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urcu\Documents\YAZILIM\Inci_Aku_PPWR_PIMS\output\"/>
    </mc:Choice>
  </mc:AlternateContent>
  <xr:revisionPtr revIDLastSave="0" documentId="13_ncr:1_{EE2E100E-39B5-40F7-88F6-2FB5632F32F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00_HOME" sheetId="1" r:id="rId1"/>
    <sheet name="SEARCH" sheetId="2" r:id="rId2"/>
    <sheet name="SEARCH_DATA" sheetId="3" r:id="rId3"/>
    <sheet name="PRODUCT_MASTER" sheetId="4" r:id="rId4"/>
    <sheet name="CONFIG_MASTER" sheetId="5" r:id="rId5"/>
    <sheet name="BOM_MASTER" sheetId="6" r:id="rId6"/>
    <sheet name="COMPONENT_MASTER" sheetId="7" r:id="rId7"/>
    <sheet name="DOCUMENT_CENTER" sheetId="8" r:id="rId8"/>
    <sheet name="DOMESTIC_DATA_GAP" sheetId="9" r:id="rId9"/>
    <sheet name="DOCUMENT_REGISTER" sheetId="10" r:id="rId10"/>
    <sheet name="OPTIONAL_EVIDENCE" sheetId="11" r:id="rId11"/>
    <sheet name="SIGNATORY" sheetId="12" r:id="rId12"/>
    <sheet name="TEMPLATE_CONTROL" sheetId="13" r:id="rId13"/>
    <sheet name="CHANGE_CONTROL" sheetId="14" r:id="rId14"/>
    <sheet name="GENERATION_QUEUE" sheetId="15" r:id="rId15"/>
    <sheet name="GENERATION_LOG" sheetId="16" r:id="rId16"/>
    <sheet name="REVISION_HISTORY" sheetId="17" r:id="rId17"/>
    <sheet name="SYSTEM_SETTINGS" sheetId="18" r:id="rId18"/>
    <sheet name="QA_DASHBOARD" sheetId="19" r:id="rId19"/>
  </sheets>
  <definedNames>
    <definedName name="_xlnm._FilterDatabase" localSheetId="5" hidden="1">BOM_MASTER!$A$1:$I$2011</definedName>
    <definedName name="_xlnm._FilterDatabase" localSheetId="13" hidden="1">CHANGE_CONTROL!$A$1:$C$7</definedName>
    <definedName name="_xlnm._FilterDatabase" localSheetId="6" hidden="1">COMPONENT_MASTER!$A$1:$D$111</definedName>
    <definedName name="_xlnm._FilterDatabase" localSheetId="4" hidden="1">CONFIG_MASTER!$A$1:$V$289</definedName>
    <definedName name="_xlnm._FilterDatabase" localSheetId="7" hidden="1">DOCUMENT_CENTER!$A$4:$P$291</definedName>
    <definedName name="_xlnm._FilterDatabase" localSheetId="9" hidden="1">DOCUMENT_REGISTER!$A$1:$I$288</definedName>
    <definedName name="_xlnm._FilterDatabase" localSheetId="8" hidden="1">DOMESTIC_DATA_GAP!$A$4:$F$46</definedName>
    <definedName name="_xlnm._FilterDatabase" localSheetId="15" hidden="1">GENERATION_LOG!$A$1:$B$2</definedName>
    <definedName name="_xlnm._FilterDatabase" localSheetId="14" hidden="1">GENERATION_QUEUE!$A$1:$C$2</definedName>
    <definedName name="_xlnm._FilterDatabase" localSheetId="10" hidden="1">OPTIONAL_EVIDENCE!$A$1:$C$3</definedName>
    <definedName name="_xlnm._FilterDatabase" localSheetId="3" hidden="1">PRODUCT_MASTER!$A$1:$L$2047</definedName>
    <definedName name="_xlnm._FilterDatabase" localSheetId="18" hidden="1">QA_DASHBOARD!$A$1:$B$10</definedName>
    <definedName name="_xlnm._FilterDatabase" localSheetId="16" hidden="1">REVISION_HISTORY!$A$1:$C$11</definedName>
    <definedName name="_xlnm._FilterDatabase" localSheetId="2" hidden="1">SEARCH_DATA!$A$1:$G$2047</definedName>
    <definedName name="_xlnm._FilterDatabase" localSheetId="11" hidden="1">SIGNATORY!$A$1:$E$2</definedName>
    <definedName name="_xlnm._FilterDatabase" localSheetId="17" hidden="1">SYSTEM_SETTINGS!$A$1:$B$8</definedName>
    <definedName name="_xlnm._FilterDatabase" localSheetId="12" hidden="1">TEMPLATE_CONTROL!$A$1:$B$5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" l="1"/>
  <c r="A13" i="2"/>
  <c r="A9" i="2"/>
  <c r="G8" i="2"/>
  <c r="F8" i="2"/>
  <c r="E8" i="2"/>
  <c r="D8" i="2"/>
  <c r="C8" i="2"/>
  <c r="B8" i="2"/>
  <c r="B19" i="2" s="1"/>
  <c r="A8" i="2"/>
  <c r="AA1" i="2"/>
  <c r="Z1" i="2"/>
  <c r="A15" i="2" l="1"/>
  <c r="B15" i="2"/>
  <c r="A17" i="2"/>
  <c r="B17" i="2"/>
  <c r="A19" i="2"/>
</calcChain>
</file>

<file path=xl/sharedStrings.xml><?xml version="1.0" encoding="utf-8"?>
<sst xmlns="http://schemas.openxmlformats.org/spreadsheetml/2006/main" count="58645" uniqueCount="7453">
  <si>
    <t>İNCİ AKÜ PPWR DOCUMENT ENGINE</t>
  </si>
  <si>
    <t>QA STATUS: PASS</t>
  </si>
  <si>
    <t>Starter Packaging Compliance • Rev.00</t>
  </si>
  <si>
    <t>Last Generation: 2026-08-11 19:33 UTC</t>
  </si>
  <si>
    <t>Active Revision: R00</t>
  </si>
  <si>
    <t>STARTER PRODUCTS
2046
All Starter Product Codes</t>
  </si>
  <si>
    <t>CONTROLLED PRODUCTS
2004
Documents issued</t>
  </si>
  <si>
    <t>CONTROLLED SETS
287
Physical Packaging Sets</t>
  </si>
  <si>
    <t>YURT İÇİ / DATA GAP
42
Documents not issued</t>
  </si>
  <si>
    <t>WORD DOCUMENTS
1148
287 × 4</t>
  </si>
  <si>
    <t>PDF DOCUMENTS
1148
287 × 4</t>
  </si>
  <si>
    <t>SIGNED DoC
287 / 287
Numan Alver</t>
  </si>
  <si>
    <t>SYSTEM STATUS
PASS
All gates green</t>
  </si>
  <si>
    <t>SYSTEM STATUS</t>
  </si>
  <si>
    <t>PPWR DOCUMENT ENGINE</t>
  </si>
  <si>
    <t>Data Integrity</t>
  </si>
  <si>
    <t>PASS</t>
  </si>
  <si>
    <t>• BOM change detected → revision evaluation
• R00 is preserved; new R01/R02 generated
• Word + PDF documents regenerated automatically
• Superseded revisions archived
• New packaging family checked against existing BOM signatures
• Exact existing physical match reuses Packaging Set Code
• True new physical configuration receives a new controlled set</t>
  </si>
  <si>
    <t>BOM Tare</t>
  </si>
  <si>
    <t>287 / 287</t>
  </si>
  <si>
    <t>Product Scope</t>
  </si>
  <si>
    <t>2004 / 2004</t>
  </si>
  <si>
    <t>DoC Signatures</t>
  </si>
  <si>
    <t>Drawing / Photo Pending</t>
  </si>
  <si>
    <t>0</t>
  </si>
  <si>
    <t>Industrial Leakage</t>
  </si>
  <si>
    <t>Container Leakage</t>
  </si>
  <si>
    <t>NAVIGATION</t>
  </si>
  <si>
    <t>SEARCH PRODUCT
Ürün kodu ile ara</t>
  </si>
  <si>
    <t>PRODUCT MASTER
2046 Starter ürün</t>
  </si>
  <si>
    <t>PACKAGING CONFIGS
287 kontrollü set</t>
  </si>
  <si>
    <t>BOM MASTER
Sabit fiziksel BOM</t>
  </si>
  <si>
    <t>DOCUMENT CENTER
OPEN WORD / PDF</t>
  </si>
  <si>
    <t>DOMESTIC 42 DATA GAP
Belgeler yok</t>
  </si>
  <si>
    <t>CHANGE CONTROL
Revizyon kuralları</t>
  </si>
  <si>
    <t>GENERATE DOCUMENTS
Üretim kuyruğu</t>
  </si>
  <si>
    <t>QA DASHBOARD
Canlı metrikler</t>
  </si>
  <si>
    <t>GLOBAL PRODUCT SEARCH</t>
  </si>
  <si>
    <t>Enter a Product Code below. Exact match. Controlled products open Word/PDF. Domestic data-gap products show warning only.</t>
  </si>
  <si>
    <t>ÜRÜN KODU / PRODUCT CODE</t>
  </si>
  <si>
    <t>Type code → result updates automatically</t>
  </si>
  <si>
    <t>SEARCH RESULT</t>
  </si>
  <si>
    <t>Product Code</t>
  </si>
  <si>
    <t>Packaging Set Code</t>
  </si>
  <si>
    <t>Product Description</t>
  </si>
  <si>
    <t>Configuration ID</t>
  </si>
  <si>
    <t>Packaging Tare</t>
  </si>
  <si>
    <t>Revision</t>
  </si>
  <si>
    <t>Status</t>
  </si>
  <si>
    <t>DOCUMENT ACTIONS</t>
  </si>
  <si>
    <t>TECHNICAL FILE</t>
  </si>
  <si>
    <t>EU DECLARATION OF CONFORMITY</t>
  </si>
  <si>
    <t>LABEL</t>
  </si>
  <si>
    <t>SHIPMENT STATEMENT</t>
  </si>
  <si>
    <t>Backend reference: see sheet SEARCH_DATA (filterable full catalog). Primary search uses the input box above.</t>
  </si>
  <si>
    <t>KEY</t>
  </si>
  <si>
    <t>1000069</t>
  </si>
  <si>
    <t>ST-021-STD-03</t>
  </si>
  <si>
    <t>AKÜ,C-FLAT,DK,200AH,İNCİ SUPRA SENTOR</t>
  </si>
  <si>
    <t>IA-ST-021-STD-03</t>
  </si>
  <si>
    <t>R00</t>
  </si>
  <si>
    <t>ISSUED Rev.00</t>
  </si>
  <si>
    <t>1000441</t>
  </si>
  <si>
    <t>ST-030-STD-08</t>
  </si>
  <si>
    <t>AKÜ,A-FLAT,DK,120AH,EAS PRIDE,İÇ PYS</t>
  </si>
  <si>
    <t>IA-ST-030-STD-08</t>
  </si>
  <si>
    <t>1000442</t>
  </si>
  <si>
    <t>AKÜ,A-FLAT,DK,135AH,EAS PRIDE,İÇ PYS</t>
  </si>
  <si>
    <t>1000445</t>
  </si>
  <si>
    <t>ST-030-STD-09</t>
  </si>
  <si>
    <t>AKÜ,B-FLAT,DK,180AH,EAS PRIDE,İÇ PYS</t>
  </si>
  <si>
    <t>IA-ST-030-STD-09</t>
  </si>
  <si>
    <t>1000448</t>
  </si>
  <si>
    <t>ST-021-STD-04</t>
  </si>
  <si>
    <t>AKÜ,C-FLAT,DK,200AH,EAS PRIDE,İÇ PYS</t>
  </si>
  <si>
    <t>IA-ST-021-STD-04</t>
  </si>
  <si>
    <t>1000890</t>
  </si>
  <si>
    <t>ST-030-STD-05</t>
  </si>
  <si>
    <t>AKÜ,A-FLAT,DK,120AH,İNCİ SUPRA SENTOR</t>
  </si>
  <si>
    <t>IA-ST-030-STD-05</t>
  </si>
  <si>
    <t>1001102</t>
  </si>
  <si>
    <t>AKÜ,C-FLAT,DK,225AH,EAS PRIDE,İÇ PYS</t>
  </si>
  <si>
    <t>1002103</t>
  </si>
  <si>
    <t>ST-045-STD-09</t>
  </si>
  <si>
    <t>AKÜ,TRAKTÖRL,DK,115AH,EAS PRIDE,İÇ PYS</t>
  </si>
  <si>
    <t>IA-ST-045-STD-09</t>
  </si>
  <si>
    <t>1002104</t>
  </si>
  <si>
    <t>AKÜ,TRAKTÖR,DK,125AH,EAS PRIDE,İÇ PYS</t>
  </si>
  <si>
    <t>1002216</t>
  </si>
  <si>
    <t>ST-030-STD-06</t>
  </si>
  <si>
    <t>AKÜ,B-FLAT,DK,180AH,İNCİ SUPRA,EEC MISIR</t>
  </si>
  <si>
    <t>IA-ST-030-STD-06</t>
  </si>
  <si>
    <t>1002422</t>
  </si>
  <si>
    <t>AKÜ,B-FLAT,DK,170AH,HUGEL ACTION</t>
  </si>
  <si>
    <t>1002873</t>
  </si>
  <si>
    <t>AKÜ,A-FLAT,DK,135AH,HUGEL ACTION</t>
  </si>
  <si>
    <t>1003150</t>
  </si>
  <si>
    <t>AKÜ,A-FLAT,DK,135AH,İNCİ,SUPRA SENTOR</t>
  </si>
  <si>
    <t>1003275</t>
  </si>
  <si>
    <t>AKÜ,C-FLAT,DK,240AH,İNCİ SUPRA SENTOR</t>
  </si>
  <si>
    <t>1003330</t>
  </si>
  <si>
    <t>AKÜ,B-FLAT,DK,180AH,HUGEL ACTION</t>
  </si>
  <si>
    <t>1003332</t>
  </si>
  <si>
    <t>1003341</t>
  </si>
  <si>
    <t>AKÜ,A-FLAT,DK,120AH,HUGEL ACTION</t>
  </si>
  <si>
    <t>1003383</t>
  </si>
  <si>
    <t>AKÜ,C-FLAT,DK,200AH,HUGEL ACTION</t>
  </si>
  <si>
    <t>1003403</t>
  </si>
  <si>
    <t>AKÜ,C-FLAT,DK,240AH,EAS PRIDE,İÇ PYS</t>
  </si>
  <si>
    <t>1003539</t>
  </si>
  <si>
    <t>AKÜ,B-FLAT,DK,180AH,EAS PRIDE</t>
  </si>
  <si>
    <t>1003643</t>
  </si>
  <si>
    <t>ST-021-EUR-03</t>
  </si>
  <si>
    <t>AKÜ,B-FLAT,DK,180AH,HUGEL ACTION,EURO</t>
  </si>
  <si>
    <t>IA-ST-021-EUR-03</t>
  </si>
  <si>
    <t>1003800</t>
  </si>
  <si>
    <t>AKÜ,B-FLAT,DK,180AH,BLİZZARO TRENDLINE</t>
  </si>
  <si>
    <t>1003973</t>
  </si>
  <si>
    <t>AKÜ,TRAKTÖRL,DK,105AH,EAS PRIDE,İÇ PYS</t>
  </si>
  <si>
    <t>1003974</t>
  </si>
  <si>
    <t>ST-045-STD-05</t>
  </si>
  <si>
    <t>AKÜ,TRACTORL,DK,105AH,BLIZZTRENDL,JANENE</t>
  </si>
  <si>
    <t>IA-ST-045-STD-05</t>
  </si>
  <si>
    <t>1003977</t>
  </si>
  <si>
    <t>AKÜ,TRACTORL,DK,105AH,İNCİ SUPRA SENTOR</t>
  </si>
  <si>
    <t>1004031</t>
  </si>
  <si>
    <t>AKÜ,B-FLAT,DK,150AH,EAS PRIDE,İÇ PYS</t>
  </si>
  <si>
    <t>1004037</t>
  </si>
  <si>
    <t>AKÜ SULU,B-EX,150AH,HUGEL</t>
  </si>
  <si>
    <t>1004067</t>
  </si>
  <si>
    <t>AKÜ,B-FLAT,DK,152AH,HUGEL ACTION,SHAWKAT</t>
  </si>
  <si>
    <t>1004234</t>
  </si>
  <si>
    <t>AKÜ,B-FLAT,DK,165AH EAS PRIDE,İÇ PYS</t>
  </si>
  <si>
    <t>1004293</t>
  </si>
  <si>
    <t>AKÜ,A-FLAT,DK,135AH,HUGEL ACTION,İÇ PYS</t>
  </si>
  <si>
    <t>1004297</t>
  </si>
  <si>
    <t>AKÜ,B-FLAT,DK,180AH,HUGEL ACTION,İÇ PYS</t>
  </si>
  <si>
    <t>1004304</t>
  </si>
  <si>
    <t>AKÜ,C-FLAT,DK,240AH,HUGEL ACTION,İÇ PYS</t>
  </si>
  <si>
    <t>1004497</t>
  </si>
  <si>
    <t>AKÜ,A-FLAT,DK,135AH,BLIZZARO TRENDLINE</t>
  </si>
  <si>
    <t>1004590</t>
  </si>
  <si>
    <t>NOT ISSUED / DATA REQUIRED</t>
  </si>
  <si>
    <t>AKÜ,TRACTOR,DK,125AH,B00,SUPRA,AIOS OEM</t>
  </si>
  <si>
    <t>NOT ISSUED</t>
  </si>
  <si>
    <t>—</t>
  </si>
  <si>
    <t>YURT İÇİ / DOMESTIC — DOCUMENTS NOT ISSUED</t>
  </si>
  <si>
    <t>1004591</t>
  </si>
  <si>
    <t>AKÜ,TRACTORL,DK,105AH,B01,SUPRA,AIOS OEM</t>
  </si>
  <si>
    <t>1004599</t>
  </si>
  <si>
    <t>AKÜ,TRACTORL,DK,115AH,B00,İNCİSUPR,TEMSA</t>
  </si>
  <si>
    <t>1004600</t>
  </si>
  <si>
    <t>AKÜ,TRACTORL,DK,105AH,İNCİSUPRA,TEMSAOEM</t>
  </si>
  <si>
    <t>1005175</t>
  </si>
  <si>
    <t>AKÜ,B-FLAT,DK,180AH,İNCİ SUPRA SENT,EURO</t>
  </si>
  <si>
    <t>1005176</t>
  </si>
  <si>
    <t>ST-018-EUR-03</t>
  </si>
  <si>
    <t>AKÜ,C-FLAT,DK,225AH,İNCİ SUPRA SENT,EURO</t>
  </si>
  <si>
    <t>IA-ST-018-EUR-03</t>
  </si>
  <si>
    <t>1005491</t>
  </si>
  <si>
    <t>ST-036-STD-06</t>
  </si>
  <si>
    <t>AKÜ,TRACTORL,DK,105AH,CARGO,MAKO,OES</t>
  </si>
  <si>
    <t>IA-ST-036-STD-06</t>
  </si>
  <si>
    <t>1005780</t>
  </si>
  <si>
    <t>AKÜ,C-IGYA,DK,225AH,İNCİ SUPRA,TEMSA OEM</t>
  </si>
  <si>
    <t>1005826</t>
  </si>
  <si>
    <t>AKÜ,C-IGYA,DK,210AH,İNCİ SUPRASENTOR,BMC</t>
  </si>
  <si>
    <t>1005827</t>
  </si>
  <si>
    <t>AKÜ,C-IGYA,DK,225AH,İNCİ SUPRA,BMC,HORT</t>
  </si>
  <si>
    <t>1005828</t>
  </si>
  <si>
    <t>AKÜ,B-FLAT,DK,180AH,İNCİ SUPRASENTOR,BMC</t>
  </si>
  <si>
    <t>1005829</t>
  </si>
  <si>
    <t>AKÜ,B-IGYA,DK,180AH,SUPRA,BMCOTOBÜS,HORT</t>
  </si>
  <si>
    <t>1005833</t>
  </si>
  <si>
    <t>AKÜ,TRACTORL,DK,115AH,B01,SUPRA,ERKUNT</t>
  </si>
  <si>
    <t>1005922</t>
  </si>
  <si>
    <t>AKÜ,TRACTORL,DK,105AH,B01,SUPRA,ERKUNT</t>
  </si>
  <si>
    <t>1006036</t>
  </si>
  <si>
    <t>ST-024-STD-03</t>
  </si>
  <si>
    <t>AKÜ,A-FLAT,DK,135AH,CARGO,MAKO,OES</t>
  </si>
  <si>
    <t>IA-ST-024-STD-03</t>
  </si>
  <si>
    <t>1006037</t>
  </si>
  <si>
    <t>ST-021-STD-08</t>
  </si>
  <si>
    <t>AKÜ,B-FLAT,DK,150AH,CARGO,MAKO,OES</t>
  </si>
  <si>
    <t>IA-ST-021-STD-08</t>
  </si>
  <si>
    <t>1006039</t>
  </si>
  <si>
    <t>AKÜ,B-FLAT,DK,180AH,CARGO,MAKO,OES</t>
  </si>
  <si>
    <t>1006040</t>
  </si>
  <si>
    <t>ST-018-EUR-05</t>
  </si>
  <si>
    <t>AKÜ,C-FLAT,DK,200AH,CARGO,MAKO,OES</t>
  </si>
  <si>
    <t>IA-ST-018-EUR-05</t>
  </si>
  <si>
    <t>1006041</t>
  </si>
  <si>
    <t>AKÜ,C-FLAT,DK,225AH,CARGO,MAKO,OES</t>
  </si>
  <si>
    <t>1006054</t>
  </si>
  <si>
    <t>AKÜ,C-IGYA,DK,240AH,İNCİ SUPRASENTOR,BMC</t>
  </si>
  <si>
    <t>1006077</t>
  </si>
  <si>
    <t>AKÜ,A-IGYASMF,DK,120AH,İNCİFORMULATAURUS</t>
  </si>
  <si>
    <t>1006081</t>
  </si>
  <si>
    <t>AKÜ,A-IGYASMF,DK,135AH,İNCİFORMULATAURUS</t>
  </si>
  <si>
    <t>1006083</t>
  </si>
  <si>
    <t>AKÜ,A-IGYASMF,DK,140AH,İNCİFORMULATAURUS</t>
  </si>
  <si>
    <t>1006152</t>
  </si>
  <si>
    <t>AKÜ,B-IGYASMF,DK150AH,FORMULA,EEC MISIR</t>
  </si>
  <si>
    <t>1006165</t>
  </si>
  <si>
    <t>AKÜ,B-IGYASMF,DK,150AH,HUGEL ULTRA</t>
  </si>
  <si>
    <t>1006428</t>
  </si>
  <si>
    <t>AKÜ,B-FLAT,DK,165AH,BLIZARO TREND,JANENE</t>
  </si>
  <si>
    <t>1006519</t>
  </si>
  <si>
    <t>AKÜ,C-IGYASMF,DK,200AH,İNCİFORMULATAURUS</t>
  </si>
  <si>
    <t>1006640</t>
  </si>
  <si>
    <t>AKÜ,C-IGYASMF,DK,240AH,EAS ACTIVA</t>
  </si>
  <si>
    <t>1006646</t>
  </si>
  <si>
    <t>AKÜ,A-IGYASMF,DK,120AH,HUGEL ULTRA</t>
  </si>
  <si>
    <t>1006652</t>
  </si>
  <si>
    <t>ST-076-EUR-04</t>
  </si>
  <si>
    <t>AKÜ,LB2,DK,65AH,IGYA SMF,STARTCRAFT</t>
  </si>
  <si>
    <t>IA-ST-076-EUR-04</t>
  </si>
  <si>
    <t>1006654</t>
  </si>
  <si>
    <t>ST-068-EUR-04</t>
  </si>
  <si>
    <t>AKÜ,LB3,DK,75AH,IGYA SMF,STARTCRAFT</t>
  </si>
  <si>
    <t>IA-ST-068-EUR-04</t>
  </si>
  <si>
    <t>1006658</t>
  </si>
  <si>
    <t>ST-048-EUR-12</t>
  </si>
  <si>
    <t>AKÜ,LB5,DK,100AH,IGYA SMF,STARTCRAFT</t>
  </si>
  <si>
    <t>IA-ST-048-EUR-12</t>
  </si>
  <si>
    <t>1007017</t>
  </si>
  <si>
    <t>ST-024-EUR-04</t>
  </si>
  <si>
    <t>AKÜ,A-IGYSMF,DK,140AH,TPOWERPARTS,TEKSAN</t>
  </si>
  <si>
    <t>IA-ST-024-EUR-04</t>
  </si>
  <si>
    <t>1007018</t>
  </si>
  <si>
    <t>AKÜ,B-IGYSMF,DK,180AH,TPOWERPARTS,TEKSAN</t>
  </si>
  <si>
    <t>1007482</t>
  </si>
  <si>
    <t>1007590</t>
  </si>
  <si>
    <t>AKÜ,A-IGYASMF,DK,140AH,HUGEL ULTRA</t>
  </si>
  <si>
    <t>1007599</t>
  </si>
  <si>
    <t>AKÜ,TRACTORL,DK,105AH,İNCİ SUPRA,SHAWKAT</t>
  </si>
  <si>
    <t>1007600</t>
  </si>
  <si>
    <t>AKÜ,A-FLAT,DK,120AH,İNCİ SUPRA,SHAWKAT</t>
  </si>
  <si>
    <t>1007601</t>
  </si>
  <si>
    <t>AKÜ,A-FLAT,DK,137AH,İNCİ SUPRA,SHAWKAT</t>
  </si>
  <si>
    <t>1007602</t>
  </si>
  <si>
    <t>AKÜ,B-FLAT,DK,152AH,İNCİ SUPRA,SHAWKAT</t>
  </si>
  <si>
    <t>1007643</t>
  </si>
  <si>
    <t>AKÜ,A-FLAT,120AH,HUGEL ACTION,SHAWKAT</t>
  </si>
  <si>
    <t>1007653</t>
  </si>
  <si>
    <t>AKÜ,TRACTORL,DK105AH,HUGELACTION,SHAWKAT</t>
  </si>
  <si>
    <t>1007778</t>
  </si>
  <si>
    <t>AKÜ,B-IGYASMF,DK180AH,HUGELULTRA,SHAWKAT</t>
  </si>
  <si>
    <t>1007985</t>
  </si>
  <si>
    <t>AKÜ,TRACTL,DK,115AH,HUGEL ACTION,SHAWKAT</t>
  </si>
  <si>
    <t>1007995</t>
  </si>
  <si>
    <t>AKÜ,C-FLAT,DK,240AH,HUGEL ACTION,SHAWKAT</t>
  </si>
  <si>
    <t>1008110</t>
  </si>
  <si>
    <t>AKÜ,C-IGYASMF,DK,240AH,İNCİFORMULA,EURO</t>
  </si>
  <si>
    <t>1008113</t>
  </si>
  <si>
    <t>AKÜ,A-IGYASMF,DK,140AH,İNCİ FORM,EURO</t>
  </si>
  <si>
    <t>1008180</t>
  </si>
  <si>
    <t>AKÜ,B-IGYA,TK,180AH,İNCİ SUPRA,TEMSA OEM</t>
  </si>
  <si>
    <t>1008246</t>
  </si>
  <si>
    <t>ST-024-STD-04</t>
  </si>
  <si>
    <t>AKÜ,L6,DK,KAMINA,110AH 950A,FIAT,OES</t>
  </si>
  <si>
    <t>IA-ST-024-STD-04</t>
  </si>
  <si>
    <t>1008310</t>
  </si>
  <si>
    <t>AKÜ,C-IGYA,TK,225AH,İNCİ SUPRA,TEMSA OEM</t>
  </si>
  <si>
    <t>1008311</t>
  </si>
  <si>
    <t>ST-056-EUR-04</t>
  </si>
  <si>
    <t>AKÜ,LB4,DK,85AH,IGYA SMF,STARTCRAFT</t>
  </si>
  <si>
    <t>IA-ST-056-EUR-04</t>
  </si>
  <si>
    <t>1008364</t>
  </si>
  <si>
    <t>AKÜ,B-FLAT,DK,180AH,İNCİ SUPRA,TEMSA OEM</t>
  </si>
  <si>
    <t>1008365</t>
  </si>
  <si>
    <t>AKÜ,C-FLAT,DK,225AH,İNCİ SUPRA,TEMSA OEM</t>
  </si>
  <si>
    <t>1008522</t>
  </si>
  <si>
    <t>ST-068-EUR-03</t>
  </si>
  <si>
    <t>AKÜ AGM,L3,DK,70AH,EAS AGM,EURO</t>
  </si>
  <si>
    <t>IA-ST-068-EUR-03</t>
  </si>
  <si>
    <t>1008524</t>
  </si>
  <si>
    <t>ST-048-EUR-10</t>
  </si>
  <si>
    <t>AKÜ AGM,L5,DK,92AH,BLIZZARO AGM S&amp;S,EURO</t>
  </si>
  <si>
    <t>IA-ST-048-EUR-10</t>
  </si>
  <si>
    <t>1008527</t>
  </si>
  <si>
    <t>AKÜ,C-FLAT,DK,225AH,EAS PRIDE</t>
  </si>
  <si>
    <t>1008599</t>
  </si>
  <si>
    <t>AKÜ,C-IGYSMF,DK240AH,İNCİFORMTAURS,TEMSA</t>
  </si>
  <si>
    <t>1008731</t>
  </si>
  <si>
    <t>1008794</t>
  </si>
  <si>
    <t>AKÜ,B-FLAT,DK,190AH,HUGEL ACTION,METRA</t>
  </si>
  <si>
    <t>1008836</t>
  </si>
  <si>
    <t>AKÜ,C-IGYASMF,DK,225AH,HUGELULTRA,NASA</t>
  </si>
  <si>
    <t>1008839</t>
  </si>
  <si>
    <t>AKÜ,A-IGYASMF,DK,140AH,HUGEL ULTRA,NASA</t>
  </si>
  <si>
    <t>1008854</t>
  </si>
  <si>
    <t>ST-012-EUR-02</t>
  </si>
  <si>
    <t>AKÜ SULU,L6,DK,105AH,KAMINA,PSA,EF,OES</t>
  </si>
  <si>
    <t>IA-ST-012-EUR-02</t>
  </si>
  <si>
    <t>1008926</t>
  </si>
  <si>
    <t>AKÜ,TRACTORL,DK,105AH,HUGEL ACTION,İÇPYS</t>
  </si>
  <si>
    <t>1008964</t>
  </si>
  <si>
    <t>AKÜ SULU,TRC,DK,125AH,HUGEL ACTION,NASA</t>
  </si>
  <si>
    <t>1009029</t>
  </si>
  <si>
    <t>AKÜ SULU,AGM,L6,DK,105AH,KAMN,BMC</t>
  </si>
  <si>
    <t>1009087</t>
  </si>
  <si>
    <t>AKÜ,TRACTOR,TK,125AH,B01,SUPRA,ERKUNT</t>
  </si>
  <si>
    <t>1009116</t>
  </si>
  <si>
    <t>AKÜ,B-IGYASMF,DK,180AH,İNCİFORMULA,EURO</t>
  </si>
  <si>
    <t>1009129</t>
  </si>
  <si>
    <t>AKÜ,C-IGYASMF,DK,225AH,BİZZAROSILVERLN</t>
  </si>
  <si>
    <t>1009148</t>
  </si>
  <si>
    <t>AKÜ,C-IGYASMF,DK,225AH,HUGELULTRA,NACITA</t>
  </si>
  <si>
    <t>1009149</t>
  </si>
  <si>
    <t>AKÜ,C-IGYASMF,DK,200AH,HUGELULTRA,NACITA</t>
  </si>
  <si>
    <t>1009163</t>
  </si>
  <si>
    <t>AKÜ,C-IGYASMF,DK,200AH,BLIZSILVRL,MISIR</t>
  </si>
  <si>
    <t>1009175</t>
  </si>
  <si>
    <t>AKÜ,B-IGYASMF,DK,150AH,HUGELULTRA,NACITA</t>
  </si>
  <si>
    <t>1009176</t>
  </si>
  <si>
    <t>AKÜ,B-IGYASMF,DK,150AH,BLIZSILVRL,MISIR</t>
  </si>
  <si>
    <t>1009270</t>
  </si>
  <si>
    <t>AKÜ,B-FLAT,DK,150AH,YUASA-CV,İÇ PYS</t>
  </si>
  <si>
    <t>1009271</t>
  </si>
  <si>
    <t>AKÜ,B-FLAT,DK,180AH,YUASA-CV,İÇ PYS</t>
  </si>
  <si>
    <t>1009273</t>
  </si>
  <si>
    <t>AKÜ,C-FLAT,DK,225AH,YUASA-CV,İÇ PYS</t>
  </si>
  <si>
    <t>1009285</t>
  </si>
  <si>
    <t>ST-045-STD-08</t>
  </si>
  <si>
    <t>AKÜ AGM,L5AGM,DK,92AH,HUGEL AGM S&amp;S,NASA</t>
  </si>
  <si>
    <t>IA-ST-045-STD-08</t>
  </si>
  <si>
    <t>1009287</t>
  </si>
  <si>
    <t>AKÜ,B-IGYASMF,DK,150AH,EAS ACTIVA,ATWAN</t>
  </si>
  <si>
    <t>1009288</t>
  </si>
  <si>
    <t>AKÜ,C-IGYASMF,DK,200AH,EAS ACTIVA,ATWAN</t>
  </si>
  <si>
    <t>1009430</t>
  </si>
  <si>
    <t>AKÜ,B-IGYASMF,DK,180AH,HUGEL ULTRA,NASA</t>
  </si>
  <si>
    <t>1009483</t>
  </si>
  <si>
    <t>ST-072-EUR-06</t>
  </si>
  <si>
    <t>AKÜ SULU,L0,DK,40AH,SMF 202,GS</t>
  </si>
  <si>
    <t>IA-ST-072-EUR-06</t>
  </si>
  <si>
    <t>1009802</t>
  </si>
  <si>
    <t>AKÜ,C-IGYASMF,DK,200AH,FORMULA,EECMISIR</t>
  </si>
  <si>
    <t>1009849</t>
  </si>
  <si>
    <t>ST-096-EUR-05</t>
  </si>
  <si>
    <t>AKÜ,LB1,DK,50AH,IGYA SMF,STARTCRAFT</t>
  </si>
  <si>
    <t>IA-ST-096-EUR-05</t>
  </si>
  <si>
    <t>1009868</t>
  </si>
  <si>
    <t>ST-030-STD-12</t>
  </si>
  <si>
    <t>AKÜ,B-FLAT,DK,180AH,FORD YP</t>
  </si>
  <si>
    <t>IA-ST-030-STD-12</t>
  </si>
  <si>
    <t>1009869</t>
  </si>
  <si>
    <t>ST-021-STD-06</t>
  </si>
  <si>
    <t>AKÜ,C-FLAT,DK,225AH,FORD YP</t>
  </si>
  <si>
    <t>IA-ST-021-STD-06</t>
  </si>
  <si>
    <t>1009874</t>
  </si>
  <si>
    <t>AKÜ,L3,DK,80AH,IGYA SMF,BOOSTER PREMIUM</t>
  </si>
  <si>
    <t>1009878</t>
  </si>
  <si>
    <t>AKÜ,C-FLAT,DK,225AH,İNCİ SUPRASENTOR,BMC</t>
  </si>
  <si>
    <t>1009888</t>
  </si>
  <si>
    <t>ST-042-STD-05</t>
  </si>
  <si>
    <t>AKÜ AGM,L6,DK,105AH,İNCİ AGM LEO,CELLMAX</t>
  </si>
  <si>
    <t>IA-ST-042-STD-05</t>
  </si>
  <si>
    <t>1009892</t>
  </si>
  <si>
    <t>AKÜ,TRACTORL,DK,115AH,OTOPRATİK,İÇ PYS</t>
  </si>
  <si>
    <t>1009898</t>
  </si>
  <si>
    <t>AKÜ,TRACTOR,DK,125AH,ISUZU OES</t>
  </si>
  <si>
    <t>1009899</t>
  </si>
  <si>
    <t>AKÜ,TRACTORL,DK,105AH,ISUZU OES</t>
  </si>
  <si>
    <t>1009931</t>
  </si>
  <si>
    <t>ST-060-EUR-02</t>
  </si>
  <si>
    <t>AKÜ,D23,DK,70AH,IGYA SMF,BOOSTER PREMIUM</t>
  </si>
  <si>
    <t>IA-ST-060-EUR-02</t>
  </si>
  <si>
    <t>1009937</t>
  </si>
  <si>
    <t>AKÜ AGM,L5,DK,92AH,VRLA,BOOSTER PREMIUM</t>
  </si>
  <si>
    <t>1009938</t>
  </si>
  <si>
    <t>ST-048-EUR-09</t>
  </si>
  <si>
    <t>AKÜ,D31,TK,100AH,IGYASMF,BOOSTER PREMIUM</t>
  </si>
  <si>
    <t>IA-ST-048-EUR-09</t>
  </si>
  <si>
    <t>1009939</t>
  </si>
  <si>
    <t>AKÜ,D31,DK,100AH,IGYASMF,BOOSTER PREMIUM</t>
  </si>
  <si>
    <t>1009950</t>
  </si>
  <si>
    <t>ST-056-EUR-03</t>
  </si>
  <si>
    <t>AKÜ,L4,DK,85AH,IGYA SMF,BOOSTER PREMIUM</t>
  </si>
  <si>
    <t>IA-ST-056-EUR-03</t>
  </si>
  <si>
    <t>1009973</t>
  </si>
  <si>
    <t>ST-096-STD-03</t>
  </si>
  <si>
    <t>AKÜ,NS60,DK,45AH,IGYA SMF,NS60L MF,LUCAS</t>
  </si>
  <si>
    <t>IA-ST-096-STD-03</t>
  </si>
  <si>
    <t>1009975</t>
  </si>
  <si>
    <t>ST-054-STD-07</t>
  </si>
  <si>
    <t>AKÜ,D31,DK,70AH,IGYA SMF,N70ZL,LUCAS</t>
  </si>
  <si>
    <t>IA-ST-054-STD-07</t>
  </si>
  <si>
    <t>1009976</t>
  </si>
  <si>
    <t>ST-120-STD-01</t>
  </si>
  <si>
    <t>AKÜ,NS40,DK,35AH,IGYA SMFNS40ZL MF,LUCAS</t>
  </si>
  <si>
    <t>IA-ST-120-STD-01</t>
  </si>
  <si>
    <t>1009977</t>
  </si>
  <si>
    <t>AKÜ,D31,DK,80AH,IGYA SMF,N80L,LUCAS</t>
  </si>
  <si>
    <t>1009978</t>
  </si>
  <si>
    <t>AKÜ,D31,TK,90AH,IGYASMF,105D31R MF,LUCAS</t>
  </si>
  <si>
    <t>1009979</t>
  </si>
  <si>
    <t>AKÜ,L5,DK,100AH,IGYA SMF,TD100L MF,LUCAS</t>
  </si>
  <si>
    <t>1009980</t>
  </si>
  <si>
    <t>ST-072-STD-10</t>
  </si>
  <si>
    <t>AKÜ,D23,DK,60AH,IGYA SMF,75D23L,LUCAS</t>
  </si>
  <si>
    <t>IA-ST-072-STD-10</t>
  </si>
  <si>
    <t>1009981</t>
  </si>
  <si>
    <t>ST-063-STD-08</t>
  </si>
  <si>
    <t>AKÜ,L3,DK,75AH,IGYA SMF,DIN75L,LUCAS</t>
  </si>
  <si>
    <t>IA-ST-063-STD-08</t>
  </si>
  <si>
    <t>1009982</t>
  </si>
  <si>
    <t>AKÜ,B-IGYASMF,DK,150AH,N150 MF,LUCAS</t>
  </si>
  <si>
    <t>1009983</t>
  </si>
  <si>
    <t>AKÜ,A-IGYASMF,DK,120AH,N120 MF,LUCAS</t>
  </si>
  <si>
    <t>1009984</t>
  </si>
  <si>
    <t>AKÜ,C-IGYASMF,DK,200AH,N200 MF,LUCAS</t>
  </si>
  <si>
    <t>1009985</t>
  </si>
  <si>
    <t>ST-087-STD-03</t>
  </si>
  <si>
    <t>AKÜ,L1,DK,44AH,IGYA SMF,DIN44L,LUCAS</t>
  </si>
  <si>
    <t>IA-ST-087-STD-03</t>
  </si>
  <si>
    <t>1009986</t>
  </si>
  <si>
    <t>ST-072-STD-13</t>
  </si>
  <si>
    <t>AKÜ,L2,DK,62AH,IGYA SMF,DIN62L,LUCAS</t>
  </si>
  <si>
    <t>IA-ST-072-STD-13</t>
  </si>
  <si>
    <t>1009997</t>
  </si>
  <si>
    <t>ST-076-EUR-03</t>
  </si>
  <si>
    <t>AKÜ,LB2,DK60AH,IGYSMF,EFBS&amp;S,BOOSTERPREM</t>
  </si>
  <si>
    <t>IA-ST-076-EUR-03</t>
  </si>
  <si>
    <t>1010000</t>
  </si>
  <si>
    <t>ST-030-STD-11</t>
  </si>
  <si>
    <t>AKÜ,B-IGYASMF,DK,180AH,SILVER,SCHNAPP</t>
  </si>
  <si>
    <t>IA-ST-030-STD-11</t>
  </si>
  <si>
    <t>1010001</t>
  </si>
  <si>
    <t>ST-021-STD-05</t>
  </si>
  <si>
    <t>AKÜ,C-IGYASMF,DK,225AH,SILVER,SCHNAPP</t>
  </si>
  <si>
    <t>IA-ST-021-STD-05</t>
  </si>
  <si>
    <t>1010002</t>
  </si>
  <si>
    <t>AKÜ,B-IGYASMF,DK,170AH,STRONG,SCHNAPP</t>
  </si>
  <si>
    <t>1010003</t>
  </si>
  <si>
    <t>ST-030-STD-10</t>
  </si>
  <si>
    <t>AKÜ,A-IGYASMF,DK,145AH,STRONG,SCHNAPP</t>
  </si>
  <si>
    <t>IA-ST-030-STD-10</t>
  </si>
  <si>
    <t>1010037</t>
  </si>
  <si>
    <t>AKÜ,L5,DK,92AH,VRLA,AGM S&amp;S,FORD OES</t>
  </si>
  <si>
    <t>1010038</t>
  </si>
  <si>
    <t>AKÜ,L3,DK,70AH,VRLA,AGM S&amp;S,FORD OES</t>
  </si>
  <si>
    <t>1010043</t>
  </si>
  <si>
    <t>AKÜ,D31,TK,80AH,IGYA SMF,N80,LUCAS</t>
  </si>
  <si>
    <t>1010050</t>
  </si>
  <si>
    <t>AKÜ,A-IGYASMF,DK,140AH,N140,LUCAS</t>
  </si>
  <si>
    <t>1010051</t>
  </si>
  <si>
    <t>AKÜ,B-IGYASMF,DK,180AH,N180,LUCAS</t>
  </si>
  <si>
    <t>1010052</t>
  </si>
  <si>
    <t>AKÜ,D31,DK,90AH,IGYA SMF,105D31L,LUCAS</t>
  </si>
  <si>
    <t>1010063</t>
  </si>
  <si>
    <t>ST-024-EUR-01</t>
  </si>
  <si>
    <t>AKÜ,TRACTOR,DK,142AH,Y1000,YBX1657,GYEUR</t>
  </si>
  <si>
    <t>IA-ST-024-EUR-01</t>
  </si>
  <si>
    <t>1010068</t>
  </si>
  <si>
    <t>AKÜ,TRACTORL,DK,105AH,OTOPRATİK, İÇ PYS</t>
  </si>
  <si>
    <t>1010069</t>
  </si>
  <si>
    <t>AKÜ,C-FLAT,DK,240AH,OTOPRATİK,İÇ PYS</t>
  </si>
  <si>
    <t>1010103</t>
  </si>
  <si>
    <t>AKÜ,A-IGYASMF,DK,120AH,BLIZSILVER,JANENE</t>
  </si>
  <si>
    <t>1010104</t>
  </si>
  <si>
    <t>AKÜ,B-IGYASMF,DK,170AH,BLIZZARO,JANENE</t>
  </si>
  <si>
    <t>1010105</t>
  </si>
  <si>
    <t>AKÜ,C-IGYASMF,DK,225AH,BİZZARO,JANENE</t>
  </si>
  <si>
    <t>1010110</t>
  </si>
  <si>
    <t>AKÜ AGM,L3,DK,70AH,BLIZZARO AGM,JANENE</t>
  </si>
  <si>
    <t>1010111</t>
  </si>
  <si>
    <t>AKÜ AGM,L5,DK,92AH,BLIZZARO AGM,JANENE</t>
  </si>
  <si>
    <t>1010160</t>
  </si>
  <si>
    <t>ST-072-STD-16</t>
  </si>
  <si>
    <t>AKÜ SULU,D20,DK,55AH,İNCİ MAXIM A,İÇ PYS</t>
  </si>
  <si>
    <t>IA-ST-072-STD-16</t>
  </si>
  <si>
    <t>1010161</t>
  </si>
  <si>
    <t>AKÜ SULU,D20,TK,55AH,İNCİ MAXIM A,İÇ PYS</t>
  </si>
  <si>
    <t>1010168</t>
  </si>
  <si>
    <t>AKÜ,C-FLAT,DK,200AH,İNCİ MARINE,İÇ PYS</t>
  </si>
  <si>
    <t>1010170</t>
  </si>
  <si>
    <t>ST-027-STD90-02</t>
  </si>
  <si>
    <t>AKÜ SULU,TANK,DK,125AH,İNCİ SUPRA,İÇ PYS</t>
  </si>
  <si>
    <t>IA-ST-027-STD90-02</t>
  </si>
  <si>
    <t>1010171</t>
  </si>
  <si>
    <t>AKÜ SULU,TRAKTÖRL,DK105AH,İNCİSUPRAİÇPYS</t>
  </si>
  <si>
    <t>1010175</t>
  </si>
  <si>
    <t>AKÜ,TRAKTÖR,DK,125AH,İNCİ MARINE,İÇPYS</t>
  </si>
  <si>
    <t>1010192</t>
  </si>
  <si>
    <t>ST-064-EUR-01</t>
  </si>
  <si>
    <t>AKÜ AGM,L3,DK,70AH,İNCİ AGM LEO,İÇ PYS</t>
  </si>
  <si>
    <t>IA-ST-064-EUR-01</t>
  </si>
  <si>
    <t>1010193</t>
  </si>
  <si>
    <t>ST-048-EUR-01</t>
  </si>
  <si>
    <t>AKÜ AGM,L5,DK,95AH,İNCİ AGM LEO,İÇ PYS</t>
  </si>
  <si>
    <t>IA-ST-048-EUR-01</t>
  </si>
  <si>
    <t>1010194</t>
  </si>
  <si>
    <t>AKÜ,B-FLAT,DK,180AH,İNCİ SUPRASENT,İÇPYS</t>
  </si>
  <si>
    <t>1010195</t>
  </si>
  <si>
    <t>AKÜ,A-FLAT,DK,135AH,İNCİ SUPRASENT,İÇPYS</t>
  </si>
  <si>
    <t>1010196</t>
  </si>
  <si>
    <t>AKÜ,B-FLAT,DK,150AH,İNCİ SUPRASENT,İÇPYS</t>
  </si>
  <si>
    <t>1010198</t>
  </si>
  <si>
    <t>AKÜ,B-FLAT,DK,165AH,İNCİ SUPRASENT,İÇPYS</t>
  </si>
  <si>
    <t>1010199</t>
  </si>
  <si>
    <t>AKÜ,C-FLAT,DK,200AH,İNCİ SUPRASENT,İÇPYS</t>
  </si>
  <si>
    <t>1010200</t>
  </si>
  <si>
    <t>AKÜ,C-FLAT,DK,225AH,İNCİ SUPRASENT,İÇPYS</t>
  </si>
  <si>
    <t>1010202</t>
  </si>
  <si>
    <t>AKÜ,C-FLAT,DK,240AH,İNCİ SUPRASENT,İÇPYS</t>
  </si>
  <si>
    <t>1010204</t>
  </si>
  <si>
    <t>AKÜ SULU,TRAKTÖRL,DK115AHİNCİSUPRA,İÇPYS</t>
  </si>
  <si>
    <t>1010205</t>
  </si>
  <si>
    <t>AKÜ,A-FLAT,DK,120AH,İNCİ SUPRASENT,İÇPYS</t>
  </si>
  <si>
    <t>1010208</t>
  </si>
  <si>
    <t>AKÜ SULU,TRAKTÖR,DK125AH,İNCİSUPRA,İÇPYS</t>
  </si>
  <si>
    <t>1010220</t>
  </si>
  <si>
    <t>1010228</t>
  </si>
  <si>
    <t>ST-042-STD-06</t>
  </si>
  <si>
    <t>AKÜ,L6,DK,110AH,KAMINA,İNCİ SUPRA,İÇPYS</t>
  </si>
  <si>
    <t>IA-ST-042-STD-06</t>
  </si>
  <si>
    <t>1010265</t>
  </si>
  <si>
    <t>ST-072-STD-11</t>
  </si>
  <si>
    <t>AKÜ,D20,DK,55AH,KSK,İNCİ MAXIMA,DIŞ PYS</t>
  </si>
  <si>
    <t>IA-ST-072-STD-11</t>
  </si>
  <si>
    <t>1010398</t>
  </si>
  <si>
    <t>AKÜ,A-IGYASMF,DK,145AH,SILVER,SCHNAPP</t>
  </si>
  <si>
    <t>1010399</t>
  </si>
  <si>
    <t>AKÜ,B-IGYASMF,DK,170AH,SILVER,SCHNAPP</t>
  </si>
  <si>
    <t>1010423</t>
  </si>
  <si>
    <t>AKÜ,B-IGYSMF,DK150AH,İNCİFORMTAURS,BMC-2</t>
  </si>
  <si>
    <t>1010437</t>
  </si>
  <si>
    <t>AKÜ,C-FLAT,DK,240AH,İNCİ SUPRA,SHAWKAT</t>
  </si>
  <si>
    <t>1010438</t>
  </si>
  <si>
    <t>AKÜ,C-FLAT,DK,225AH,İNCİ SUPRA SENTOR</t>
  </si>
  <si>
    <t>1010440</t>
  </si>
  <si>
    <t>AKÜ,C-IGYASMF,DK,240AH,İNCİFORMULATAURUS</t>
  </si>
  <si>
    <t>1010441</t>
  </si>
  <si>
    <t>AKÜ AGM,L5,DK,95AH,İNCİ AGM LEO,EURO</t>
  </si>
  <si>
    <t>1010445</t>
  </si>
  <si>
    <t>AKÜ,B-IGYASMF,DK190AH,B03,İNCİFORMTAURUS</t>
  </si>
  <si>
    <t>1010446</t>
  </si>
  <si>
    <t>AKÜ,B-IGYASMF,DK,150AH,İNCİFORMULATAURUS</t>
  </si>
  <si>
    <t>1010448</t>
  </si>
  <si>
    <t>1010451</t>
  </si>
  <si>
    <t>1010452</t>
  </si>
  <si>
    <t>1010458</t>
  </si>
  <si>
    <t>AKÜ,B-FLAT,DK,170AH,İNCİ SUPRA SENTOR</t>
  </si>
  <si>
    <t>1010469</t>
  </si>
  <si>
    <t>AKÜ,TRACTOR,DK,125AH,İNCİ SUPRA SENTOR</t>
  </si>
  <si>
    <t>1010471</t>
  </si>
  <si>
    <t>AKÜ,TRACTORL,DK,115AH,İNCİ SUPRA,SHAWKAT</t>
  </si>
  <si>
    <t>1010479</t>
  </si>
  <si>
    <t>AKÜ,B-FLAT,DK,150AH,İNCİ SUPRA SENTOR</t>
  </si>
  <si>
    <t>1010484</t>
  </si>
  <si>
    <t>AKÜ,B-IGYASMF,DK,170AH,İNCİFORMULATAURUS</t>
  </si>
  <si>
    <t>1010501</t>
  </si>
  <si>
    <t>AKÜ,A-FLAT,DK,140AH,İNCİ SUPRA SENTOR</t>
  </si>
  <si>
    <t>1010502</t>
  </si>
  <si>
    <t>AKÜ,B-FLAT,DK,190AH,İNCİ SUPRASENT,METRA</t>
  </si>
  <si>
    <t>1010532</t>
  </si>
  <si>
    <t>AKÜ,C-FLAT,DK,225AH,İNCİ SUPRA,SHAWKAT</t>
  </si>
  <si>
    <t>1010542</t>
  </si>
  <si>
    <t>AKÜ,B-FLAT,DK,180AH,İNCİ SUPRA,SHAWKAT</t>
  </si>
  <si>
    <t>1010584</t>
  </si>
  <si>
    <t>ST-045-STD-11</t>
  </si>
  <si>
    <t>AKÜ SULU,TRACTR,DK,125AH,SILVER,SCHNAPP</t>
  </si>
  <si>
    <t>IA-ST-045-STD-11</t>
  </si>
  <si>
    <t>1010690</t>
  </si>
  <si>
    <t>ST-018-STD-02</t>
  </si>
  <si>
    <t>AKÜ,C-IGYASMF,DK,220AH,MERCEDES/SHD,YP</t>
  </si>
  <si>
    <t>IA-ST-018-STD-02</t>
  </si>
  <si>
    <t>1010842</t>
  </si>
  <si>
    <t>ST-068-STD-07</t>
  </si>
  <si>
    <t>AKÜ AGM,L3,DK,70AH,MM AGM S&amp;S,MM OES</t>
  </si>
  <si>
    <t>IA-ST-068-STD-07</t>
  </si>
  <si>
    <t>1010843</t>
  </si>
  <si>
    <t>ST-048-STD-08</t>
  </si>
  <si>
    <t>AKÜ AGM,L5,DK,92AH,MM AGM S&amp;S,MM OES</t>
  </si>
  <si>
    <t>IA-ST-048-STD-08</t>
  </si>
  <si>
    <t>1010863</t>
  </si>
  <si>
    <t>ST-021-EUR-01</t>
  </si>
  <si>
    <t>AKÜ,B-FLAT,DK,170AH,MERCEDES DAİMLER,OES</t>
  </si>
  <si>
    <t>IA-ST-021-EUR-01</t>
  </si>
  <si>
    <t>1010864</t>
  </si>
  <si>
    <t>ST-024-EUR-02</t>
  </si>
  <si>
    <t>AKÜ,A-FLAT,DK,140AH,MERCEDES DAİMLER,OES</t>
  </si>
  <si>
    <t>IA-ST-024-EUR-02</t>
  </si>
  <si>
    <t>1010891</t>
  </si>
  <si>
    <t>AKÜ,A-IGYASMF,DK,140AH,EAS ACTIVA</t>
  </si>
  <si>
    <t>1010899</t>
  </si>
  <si>
    <t>ST-063-STD-07</t>
  </si>
  <si>
    <t>AKÜ,LB3,DK,75AH,IGYA,DIN75MF,RACER POWER</t>
  </si>
  <si>
    <t>IA-ST-063-STD-07</t>
  </si>
  <si>
    <t>1010902</t>
  </si>
  <si>
    <t>AKÜ,D31DK100AH,IGYA,MF135D31L,RACERPOWER</t>
  </si>
  <si>
    <t>1010906</t>
  </si>
  <si>
    <t>AKÜ,D31,DK90AH,IGYA,MF105D31L,RACERPOWER</t>
  </si>
  <si>
    <t>1010907</t>
  </si>
  <si>
    <t>AKÜ,L5,DK,100AH,IGYA,MF60038,RACERPOWER</t>
  </si>
  <si>
    <t>1010944</t>
  </si>
  <si>
    <t>AKÜ,B-FLAT,DK,180AH,ENERGY MAX</t>
  </si>
  <si>
    <t>1010991</t>
  </si>
  <si>
    <t>ST-063-STD-15</t>
  </si>
  <si>
    <t>AKÜ AGM,L3,DK,70AH,İNCİ AGM S&amp;S,Y.DIŞI</t>
  </si>
  <si>
    <t>IA-ST-063-STD-15</t>
  </si>
  <si>
    <t>1010998</t>
  </si>
  <si>
    <t>ST-021-STD-01</t>
  </si>
  <si>
    <t>AKÜ,C-FLAT,DK,225AH,YUASA-CV,SHAWKAT</t>
  </si>
  <si>
    <t>IA-ST-021-STD-01</t>
  </si>
  <si>
    <t>1011012</t>
  </si>
  <si>
    <t>ST-088-STD-03</t>
  </si>
  <si>
    <t>AKÜ,L2,DK65AH,IGYASMF,İNCİ EFB MAX,İÇPYS</t>
  </si>
  <si>
    <t>IA-ST-088-STD-03</t>
  </si>
  <si>
    <t>1011013</t>
  </si>
  <si>
    <t>ST-063-STD-11</t>
  </si>
  <si>
    <t>AKÜ,L3,DK75AH,IGYASMF,İNCİ EFB MAX,İÇPYS</t>
  </si>
  <si>
    <t>IA-ST-063-STD-11</t>
  </si>
  <si>
    <t>1011014</t>
  </si>
  <si>
    <t>ST-060-STD-03</t>
  </si>
  <si>
    <t>AKÜ,L5,DK,100AH,IGYASMF,İNCİEFBMAX,İÇPYS</t>
  </si>
  <si>
    <t>IA-ST-060-STD-03</t>
  </si>
  <si>
    <t>1011015</t>
  </si>
  <si>
    <t>ST-068-STD-02</t>
  </si>
  <si>
    <t>AKÜ,L4,DK85AH,IGYSMF,İNCİ EFB MAX,İÇ PYS</t>
  </si>
  <si>
    <t>IA-ST-068-STD-02</t>
  </si>
  <si>
    <t>1011016</t>
  </si>
  <si>
    <t>ST-063-STD-01</t>
  </si>
  <si>
    <t>AKÜ,D23,DK65AH,IGYSMF,İNCİEFBPANTR,İÇPYS</t>
  </si>
  <si>
    <t>IA-ST-063-STD-01</t>
  </si>
  <si>
    <t>1011017</t>
  </si>
  <si>
    <t>ST-057-STD-01</t>
  </si>
  <si>
    <t>AKÜ,D26,DK72AH,IGYSMF,İNCİEFBPANTR,İÇPYS</t>
  </si>
  <si>
    <t>IA-ST-057-STD-01</t>
  </si>
  <si>
    <t>1011025</t>
  </si>
  <si>
    <t>ST-051-STD-10</t>
  </si>
  <si>
    <t>AKÜ,L3,DK,VRLA,AGM 70AH 760A,ERP-TR</t>
  </si>
  <si>
    <t>IA-ST-051-STD-10</t>
  </si>
  <si>
    <t>1011027</t>
  </si>
  <si>
    <t>AKÜ SULU,TRCL,DK,115AH,HUGEL ACTION,NASA</t>
  </si>
  <si>
    <t>1011048</t>
  </si>
  <si>
    <t>AKÜ,L3,DK,75AH,IGYA SMF,Y3000,YBX3096,Yİ</t>
  </si>
  <si>
    <t>1011103</t>
  </si>
  <si>
    <t>AKÜ,L3,DK,76AH,IGYSMF,SILVERTÜRKMENİSTAN</t>
  </si>
  <si>
    <t>1011129</t>
  </si>
  <si>
    <t>AKÜ,B-FLAT,DK,190AH,SILVER,TÜRKMENİSTAN</t>
  </si>
  <si>
    <t>1011152</t>
  </si>
  <si>
    <t>ST-063-STD-05</t>
  </si>
  <si>
    <t>AKÜ,D26,TK75AH,IGYASMF,İNCİFORMULA,İÇPYS</t>
  </si>
  <si>
    <t>IA-ST-063-STD-05</t>
  </si>
  <si>
    <t>1011153</t>
  </si>
  <si>
    <t>AKÜ,D26,DK75AH,IGYASMF,İNCİFORMULA,İÇPYS</t>
  </si>
  <si>
    <t>1011154</t>
  </si>
  <si>
    <t>ST-054-STD-09</t>
  </si>
  <si>
    <t>AKÜ,D31,TK90AH,IGYASMF,İNCİFORMULA,İÇPYS</t>
  </si>
  <si>
    <t>IA-ST-054-STD-09</t>
  </si>
  <si>
    <t>1011155</t>
  </si>
  <si>
    <t>AKÜ,D31,DK90AH,IGYASMF,İNCİFORMULA,İÇPYS</t>
  </si>
  <si>
    <t>1011156</t>
  </si>
  <si>
    <t>ST-072-STD-18</t>
  </si>
  <si>
    <t>AKÜ,L2,DK,60AH,IGYASMF,İNCİFORMULA,İÇPYS</t>
  </si>
  <si>
    <t>IA-ST-072-STD-18</t>
  </si>
  <si>
    <t>1011157</t>
  </si>
  <si>
    <t>AKÜ,L3,DK,72AH,IGYASMF,İNCİFORMULA,İÇPYS</t>
  </si>
  <si>
    <t>1011158</t>
  </si>
  <si>
    <t>1011159</t>
  </si>
  <si>
    <t>AKÜ,L3,TK,72AH,IGYASMF,İNCİFORMULA,İÇPYS</t>
  </si>
  <si>
    <t>1011160</t>
  </si>
  <si>
    <t>ST-045-STD-10</t>
  </si>
  <si>
    <t>AKÜ,L5,DK,92AH,IGYASMF,İNCİFORMULA,İÇPYS</t>
  </si>
  <si>
    <t>IA-ST-045-STD-10</t>
  </si>
  <si>
    <t>1011161</t>
  </si>
  <si>
    <t>ST-087-STD-06</t>
  </si>
  <si>
    <t>AKÜ,LB1,DK50AH,IGYASMF,İNCİFORMULA,İÇPYS</t>
  </si>
  <si>
    <t>IA-ST-087-STD-06</t>
  </si>
  <si>
    <t>1011163</t>
  </si>
  <si>
    <t>ST-063-STD-10</t>
  </si>
  <si>
    <t>AKÜ,LB3,DK66AH,IGYASMF,İNCİFORMULA,İÇPYS</t>
  </si>
  <si>
    <t>IA-ST-063-STD-10</t>
  </si>
  <si>
    <t>1011164</t>
  </si>
  <si>
    <t>ST-072-STD-24</t>
  </si>
  <si>
    <t>AKÜ,LB4,DK82AH,IGYASMF,İNCİFORMULA,İÇPYS</t>
  </si>
  <si>
    <t>IA-ST-072-STD-24</t>
  </si>
  <si>
    <t>1011165</t>
  </si>
  <si>
    <t>ST-096-STD-04</t>
  </si>
  <si>
    <t>AKÜ,NS60,TK45AH,IGYSMF,İNCİFORMULA,İÇPYS</t>
  </si>
  <si>
    <t>IA-ST-096-STD-04</t>
  </si>
  <si>
    <t>1011166</t>
  </si>
  <si>
    <t>AKÜ,NS60,DK45AH,IGYSMF,İNCİFORMULA,İÇPYS</t>
  </si>
  <si>
    <t>1011167</t>
  </si>
  <si>
    <t>ST-072-STD-15</t>
  </si>
  <si>
    <t>AKÜ,D23,DK,68AH,IGYASMF,İNCİMAXIMA,İÇPYS</t>
  </si>
  <si>
    <t>IA-ST-072-STD-15</t>
  </si>
  <si>
    <t>1011168</t>
  </si>
  <si>
    <t>AKÜ,D26,DK,80AH,IGYASMF,İNCİMAXIMA,İÇPYS</t>
  </si>
  <si>
    <t>1011169</t>
  </si>
  <si>
    <t>AKÜ,D31,DK100AH,IGYASMF,İNCİMAXIMA,İÇPYS</t>
  </si>
  <si>
    <t>1011170</t>
  </si>
  <si>
    <t>ST-087-STD-07</t>
  </si>
  <si>
    <t>AKÜ,L1,DK,54AH,IGYASMF,İNCİ MAXIMA,İÇPYS</t>
  </si>
  <si>
    <t>IA-ST-087-STD-07</t>
  </si>
  <si>
    <t>1011171</t>
  </si>
  <si>
    <t>AKÜ,LB1,DK,52AH,IGYASMF,İNCİMAXIMA,İÇPYS</t>
  </si>
  <si>
    <t>1011172</t>
  </si>
  <si>
    <t>AKÜ,L2,65AH,DK,IGYASMF,İNCİ MAXIMA,İÇPYS</t>
  </si>
  <si>
    <t>1011173</t>
  </si>
  <si>
    <t>AKÜ,LB2,DK,60AH,IGYASMF,İNCİMAXIMA,İÇPYS</t>
  </si>
  <si>
    <t>1011174</t>
  </si>
  <si>
    <t>AKÜ,L3,DK,80AH,IGYASMF,İNCİ MAXIMA,İÇPYS</t>
  </si>
  <si>
    <t>1011175</t>
  </si>
  <si>
    <t>1011176</t>
  </si>
  <si>
    <t>AKÜ,LB3,DK,72AH,IGYASMF,İNCİMAXIMA,İÇPYS</t>
  </si>
  <si>
    <t>1011177</t>
  </si>
  <si>
    <t>AKÜ,L4,TK,90AH,IGYASMF,İNCİ MAXIMA,İÇPYS</t>
  </si>
  <si>
    <t>1011178</t>
  </si>
  <si>
    <t>AKÜ,LB4,DK,85AH,IGYASMF,İNCİMAXIMA,İÇPYS</t>
  </si>
  <si>
    <t>1011180</t>
  </si>
  <si>
    <t>ST-120-STD-02</t>
  </si>
  <si>
    <t>AKÜ,NS40,DK,42AH,IGYSMF,İNCİMAXIMA,İÇPYS</t>
  </si>
  <si>
    <t>IA-ST-120-STD-02</t>
  </si>
  <si>
    <t>1011181</t>
  </si>
  <si>
    <t>AKÜ,NS60,DK,55AH,IGYSMF,İNCİMAXIMA,İÇPYS</t>
  </si>
  <si>
    <t>1011184</t>
  </si>
  <si>
    <t>ST-088-STD-04</t>
  </si>
  <si>
    <t>AKÜ,L2,DK,60AH,IGYASMF,İNCİ EFBS&amp;S,İÇPYS</t>
  </si>
  <si>
    <t>IA-ST-088-STD-04</t>
  </si>
  <si>
    <t>1011186</t>
  </si>
  <si>
    <t>ST-072-STD-02</t>
  </si>
  <si>
    <t>AKÜ,LB3,DK,65AH,IGYASMF,İNCİEFBS&amp;S,İÇPYS</t>
  </si>
  <si>
    <t>IA-ST-072-STD-02</t>
  </si>
  <si>
    <t>1011187</t>
  </si>
  <si>
    <t>ST-072-STD-03</t>
  </si>
  <si>
    <t>AKÜ,L3,DK,72AH,IGYASMF,İNCİ EFBS&amp;S,İÇPYS</t>
  </si>
  <si>
    <t>IA-ST-072-STD-03</t>
  </si>
  <si>
    <t>1011188</t>
  </si>
  <si>
    <t>ST-068-STD-03</t>
  </si>
  <si>
    <t>AKÜ,LB4,DK,75AH,IGYASMF,İNCİEFBS&amp;S,İÇPYS</t>
  </si>
  <si>
    <t>IA-ST-068-STD-03</t>
  </si>
  <si>
    <t>1011189</t>
  </si>
  <si>
    <t>ST-068-STD-04</t>
  </si>
  <si>
    <t>AKÜ,L4,DK,80AH,IGYASMF,İNCİ EFBS&amp;S,İÇPYS</t>
  </si>
  <si>
    <t>IA-ST-068-STD-04</t>
  </si>
  <si>
    <t>1011191</t>
  </si>
  <si>
    <t>ST-060-STD-04</t>
  </si>
  <si>
    <t>AKÜ,L5,DK,90AH,IGYSMF,İNCİEFBPANTR,İÇPYS</t>
  </si>
  <si>
    <t>IA-ST-060-STD-04</t>
  </si>
  <si>
    <t>1011192</t>
  </si>
  <si>
    <t>AKÜ,L5,DK,90AH,IGYASMF,İNCİ MARINE,İÇPYS</t>
  </si>
  <si>
    <t>1011193</t>
  </si>
  <si>
    <t>AKÜ,L2,DK,65AH,IGYASMF,İNCİ TAKSİ,İÇ PYS</t>
  </si>
  <si>
    <t>1011194</t>
  </si>
  <si>
    <t>AKÜ,L3,DK,72AH,IGYASMF,İNCİ TAKSİ,İÇ PYS</t>
  </si>
  <si>
    <t>1011195</t>
  </si>
  <si>
    <t>AKÜ,D26,DK,75AH,IGYASMF,EAS ACTIVA,İÇPYS</t>
  </si>
  <si>
    <t>1011196</t>
  </si>
  <si>
    <t>AKÜ,D31,DK,90AH,IGYASMF,EAS ACTIVA,İÇPYS</t>
  </si>
  <si>
    <t>1011197</t>
  </si>
  <si>
    <t>AKÜ,D31,TK,90AH,IGYASMF,EAS ACTIVA,İÇPYS</t>
  </si>
  <si>
    <t>1011199</t>
  </si>
  <si>
    <t>AKÜ,LB1,DK,50AH,IGYASMF,EAS ACTIVA,İÇPYS</t>
  </si>
  <si>
    <t>1011200</t>
  </si>
  <si>
    <t>AKÜ,L2,DK,60AH,IGYASMF,EAS ACTIVA,İÇ PYS</t>
  </si>
  <si>
    <t>1011203</t>
  </si>
  <si>
    <t>AKÜ,LB3,DK,66AH,IGYASMF,EAS ACTIVA,İÇPYS</t>
  </si>
  <si>
    <t>1011204</t>
  </si>
  <si>
    <t>AKÜ,L3,DKB13,72AH,IGYASMF,EASACTIVAİÇPYS</t>
  </si>
  <si>
    <t>1011205</t>
  </si>
  <si>
    <t>AKÜ,L3,DKB01,72AH,IGYASMF,EASACTIVAİÇPYS</t>
  </si>
  <si>
    <t>1011207</t>
  </si>
  <si>
    <t>AKÜ,L5,DK,92AH,IGYASMF,EAS ACTIVA,İÇ PYS</t>
  </si>
  <si>
    <t>1011209</t>
  </si>
  <si>
    <t>AKÜ,LB4,DK,82AH,IGYASMF,EAS ACTIVA,İÇPYS</t>
  </si>
  <si>
    <t>1011211</t>
  </si>
  <si>
    <t>AKÜ,NS60,DK,45AH,IGYASMF,EASACTIVA,İÇPYS</t>
  </si>
  <si>
    <t>1011212</t>
  </si>
  <si>
    <t>AKÜ,NS60,TK,45AH,IGYASMF,EASACTIVA,İÇPYS</t>
  </si>
  <si>
    <t>1011215</t>
  </si>
  <si>
    <t>AKÜ,L2,DK,60AH,IGYASMF,EAS EFBS&amp;S,İÇ PYS</t>
  </si>
  <si>
    <t>1011216</t>
  </si>
  <si>
    <t>AKÜ,L3,DK,72AH,IGYASMF,EAS EFBS&amp;S,İÇ PYS</t>
  </si>
  <si>
    <t>1011218</t>
  </si>
  <si>
    <t>AKÜ,D31,DK90AH,IGYSMF,HUGEL ACTION,İÇPYS</t>
  </si>
  <si>
    <t>1011223</t>
  </si>
  <si>
    <t>AKÜ,LB2,DK55AH,IGYASMF,HUGELACTION,İÇPYS</t>
  </si>
  <si>
    <t>1011224</t>
  </si>
  <si>
    <t>AKÜ,L2,DK,60AH,IGYASMF,HUGEL ULTRA,İÇPYS</t>
  </si>
  <si>
    <t>1011225</t>
  </si>
  <si>
    <t>AKÜ,L3,DK,72AH,IGYASMF,HUGELACTION,İÇPYS</t>
  </si>
  <si>
    <t>1011229</t>
  </si>
  <si>
    <t>AKÜ,L5,DK100AH,IGYASMF,HUGEL ULTRA,İÇPYS</t>
  </si>
  <si>
    <t>1011230</t>
  </si>
  <si>
    <t>AKÜ,L2,DK,60AH,IGYA SMF,OTOPRATİK,İÇ PYS</t>
  </si>
  <si>
    <t>1011231</t>
  </si>
  <si>
    <t>AKÜ,L3,DK,72AH,B01,IGYA,OTOPRATİK,İÇ PYS</t>
  </si>
  <si>
    <t>1011232</t>
  </si>
  <si>
    <t>AKÜ,D31,DK,90AH,IGYASMF,OTOPRATİK,İÇ PYS</t>
  </si>
  <si>
    <t>1011253</t>
  </si>
  <si>
    <t>ST-063-STD-04</t>
  </si>
  <si>
    <t>AKÜ,D26,DK,75AH,IGYA,MF90D26L,RACERPOWER</t>
  </si>
  <si>
    <t>IA-ST-063-STD-04</t>
  </si>
  <si>
    <t>1011269</t>
  </si>
  <si>
    <t>AKÜ,D26,DK,66AH,IGYA SMF,NS70L,LUCAS</t>
  </si>
  <si>
    <t>1011270</t>
  </si>
  <si>
    <t>AKÜ,D26,TK,66AH,IGYA SMF,NS70,LUCAS</t>
  </si>
  <si>
    <t>1011299</t>
  </si>
  <si>
    <t>AKÜ,A-FLAT,DK,135AH,ENERGY MAX</t>
  </si>
  <si>
    <t>1011300</t>
  </si>
  <si>
    <t>AKÜ AGM,L3,DK,70AH,BLIZZARO AGM S&amp;S</t>
  </si>
  <si>
    <t>1011301</t>
  </si>
  <si>
    <t>AKÜ AGM,L5,DK,92AH,BLIZZARO AGM S&amp;S</t>
  </si>
  <si>
    <t>1011307</t>
  </si>
  <si>
    <t>AKÜ,A-FLAT,DK,135AH,İNCİ SUPRA,TRADING</t>
  </si>
  <si>
    <t>1011324</t>
  </si>
  <si>
    <t>AKÜ AGM,L5,DK,92AH,İNCİ AGM,Y.DIŞI</t>
  </si>
  <si>
    <t>1011330</t>
  </si>
  <si>
    <t>AKÜ,D31,TK100AH,IGYA,ORIGINALEDITION,FQS</t>
  </si>
  <si>
    <t>1011332</t>
  </si>
  <si>
    <t>AKÜ,D31,TK,95AH,IGYA,BLACK EDITION,FQS</t>
  </si>
  <si>
    <t>1011347</t>
  </si>
  <si>
    <t>AKÜ,B-FLAT,DK,180AH,İNCİ SUPRA SENTOR</t>
  </si>
  <si>
    <t>1011375</t>
  </si>
  <si>
    <t>AKÜ AGM,L5,DK,92AH,VRLA,EAS AGM S&amp;S</t>
  </si>
  <si>
    <t>1011398</t>
  </si>
  <si>
    <t>ST-057-EUR-05</t>
  </si>
  <si>
    <t>AKÜ,L2,DK,65,AH,IGYA,BPOWERSUPR,POLONYA</t>
  </si>
  <si>
    <t>IA-ST-057-EUR-05</t>
  </si>
  <si>
    <t>1011471</t>
  </si>
  <si>
    <t>AKÜ,C-IGYASMF,DK,220AH,MERCEDES/SHD BUS</t>
  </si>
  <si>
    <t>1011486</t>
  </si>
  <si>
    <t>ST-072-EUR-04</t>
  </si>
  <si>
    <t>AKÜ,L1,DK,54AH,IGYASMF,GYEUR,YBX5012-054</t>
  </si>
  <si>
    <t>IA-ST-072-EUR-04</t>
  </si>
  <si>
    <t>1011492</t>
  </si>
  <si>
    <t>ST-042-EUR-02</t>
  </si>
  <si>
    <t>AKÜ,LB4,DK85AH,IGYASMF,GYEUR,YBX5110-085</t>
  </si>
  <si>
    <t>IA-ST-042-EUR-02</t>
  </si>
  <si>
    <t>1011493</t>
  </si>
  <si>
    <t>AKÜ,B-FLAT,DK,180AH,HUGEL ACTION,SHAWKAT</t>
  </si>
  <si>
    <t>1011505</t>
  </si>
  <si>
    <t>AKÜ,C-IGYASMF,DK,220AH,MRCDS/SHD,AKSARAY</t>
  </si>
  <si>
    <t>1011548</t>
  </si>
  <si>
    <t>AKÜ,D23,DK,65AH,IGYASMF,İNCİ EFB PANTERA</t>
  </si>
  <si>
    <t>1011549</t>
  </si>
  <si>
    <t>AKÜ,D26,DK,72AH,IGYASMF,İNCİ EFB PANTERA</t>
  </si>
  <si>
    <t>1011558</t>
  </si>
  <si>
    <t>AKÜLB2DK60AH,IGYSMF,EFBEDIXYEL,CANARIBAT</t>
  </si>
  <si>
    <t>1011559</t>
  </si>
  <si>
    <t>AKÜ,L2DK60AH,IGYSMF,EFBEDIXYEL,CANARIBAT</t>
  </si>
  <si>
    <t>1011560</t>
  </si>
  <si>
    <t>ST-068-EUR-02</t>
  </si>
  <si>
    <t>AKÜLB3DK65AH,IGYSMF,EFBEDIXYEL,CANARIBAT</t>
  </si>
  <si>
    <t>IA-ST-068-EUR-02</t>
  </si>
  <si>
    <t>1011561</t>
  </si>
  <si>
    <t>AKÜ,L3DK72AH,IGYSMF,EFBEDIXYEL,CANARIBAT</t>
  </si>
  <si>
    <t>1011573</t>
  </si>
  <si>
    <t>AKÜLB2DK60AH,IGYSMF,EFBEDIXBLU,CANARIBAT</t>
  </si>
  <si>
    <t>1011574</t>
  </si>
  <si>
    <t>AKÜ,L2DK60AH,IGYSMF,EFBEDIXBLU,CANARIBAT</t>
  </si>
  <si>
    <t>1011575</t>
  </si>
  <si>
    <t>AKÜLB3DK65AH,IGYSMF,EFBEDIXBLU,CANARIBAT</t>
  </si>
  <si>
    <t>1011576</t>
  </si>
  <si>
    <t>AKÜ,L3DK72AH,IGYSMF,EFBEDIXBLU,CANARIBAT</t>
  </si>
  <si>
    <t>1011578</t>
  </si>
  <si>
    <t>AKÜ,L3,DK,70AH,AGM,EDIX BLUE,CANARIBAT</t>
  </si>
  <si>
    <t>1011579</t>
  </si>
  <si>
    <t>AKÜ,L5,DK,92AH,AGM,EDIX BLUE,CANARIBAT</t>
  </si>
  <si>
    <t>1011580</t>
  </si>
  <si>
    <t>ST-096-EUR-01</t>
  </si>
  <si>
    <t>AKÜ,LB1,DK44AH,IGYSMF,EDIXBLUE,CANARIBAT</t>
  </si>
  <si>
    <t>IA-ST-096-EUR-01</t>
  </si>
  <si>
    <t>1011582</t>
  </si>
  <si>
    <t>AKÜ,LB3,DK75AH,IGYSMF,EDIXBLUE,CANARIBAT</t>
  </si>
  <si>
    <t>1011583</t>
  </si>
  <si>
    <t>AKÜ,L5,DK,95AH,IGYSMF,EDIXBLUE,CANARIBAT</t>
  </si>
  <si>
    <t>1011584</t>
  </si>
  <si>
    <t>AKÜ,D31,DK100AH,IGYSMF,EDIXBLU,CANARIBAT</t>
  </si>
  <si>
    <t>1011585</t>
  </si>
  <si>
    <t>AKÜ,D31,TK100AH,IGYSMF,EDIXBLU,CANARIBAT</t>
  </si>
  <si>
    <t>1011586</t>
  </si>
  <si>
    <t>AKÜ,A-IGYASMF,DK140AH,EDIXBLUE,CANARIBAT</t>
  </si>
  <si>
    <t>1011614</t>
  </si>
  <si>
    <t>ST-051-EUR-01</t>
  </si>
  <si>
    <t>AKÜ,LB3DK65AH,IGYSMF,NONAMEGYEUR7100-065</t>
  </si>
  <si>
    <t>IA-ST-051-EUR-01</t>
  </si>
  <si>
    <t>1011615</t>
  </si>
  <si>
    <t>AKÜ,LB4DK75AH,IGYSMF,NONAMEGYEUR7110-075</t>
  </si>
  <si>
    <t>1011632</t>
  </si>
  <si>
    <t>AKÜ,D23,DK65AH,IGYSMF,EFB S&amp;S HUGEL,NASA</t>
  </si>
  <si>
    <t>1011637</t>
  </si>
  <si>
    <t>AKÜ,LB3,DK65AH,IGYASMF,YBX7100-065,GYEUR</t>
  </si>
  <si>
    <t>1011638</t>
  </si>
  <si>
    <t>AKÜ,LB4,DK75AH,IGYASMF,YBX7110-075,GYEUR</t>
  </si>
  <si>
    <t>1011661</t>
  </si>
  <si>
    <t>AKÜ,B-FLAT,DK,190AH,BLIZZARO TRENDLINE</t>
  </si>
  <si>
    <t>1011685</t>
  </si>
  <si>
    <t>AKÜ,LB3,DK,71AH,IGYASMF,Y3000,YBX3100,Yİ</t>
  </si>
  <si>
    <t>1011687</t>
  </si>
  <si>
    <t>AKÜ,L4,DK,80AH,IGYSMF,EFBS&amp;S,BOOSTERPREM</t>
  </si>
  <si>
    <t>1011689</t>
  </si>
  <si>
    <t>AKÜ,L5,DK,102AH,IGYA SMF,OTOPRATİK,İÇPYS</t>
  </si>
  <si>
    <t>1011738</t>
  </si>
  <si>
    <t>AKÜ AGM,L3,DK,70AH,İNCİ AGM,EURO,Y.DIŞI</t>
  </si>
  <si>
    <t>1011746</t>
  </si>
  <si>
    <t>AKÜ,B-FLAT,DK,190AH,SUNTECH,TÜRKMENİSTAN</t>
  </si>
  <si>
    <t>1011760</t>
  </si>
  <si>
    <t>AKÜ,L2,DK,65AH,IGYASMF,EFBYBX7027-065,Yİ</t>
  </si>
  <si>
    <t>1011761</t>
  </si>
  <si>
    <t>AKÜ,L3,DK,75AH,IGYASMF,EFBYBX7096-075,Yİ</t>
  </si>
  <si>
    <t>1011762</t>
  </si>
  <si>
    <t>ST-054-STD-08</t>
  </si>
  <si>
    <t>AKÜ,L4,DK,85AH,IGYSMF,EFB YBX7115-085,Yİ</t>
  </si>
  <si>
    <t>IA-ST-054-STD-08</t>
  </si>
  <si>
    <t>1011763</t>
  </si>
  <si>
    <t>AKÜ,LB3,DK65AH,IGYSMF,EFB YBX7100-065,Yİ</t>
  </si>
  <si>
    <t>1011764</t>
  </si>
  <si>
    <t>AKÜ,LB4,DK75AH,IGYSMF,EFB YBX7110-075,Yİ</t>
  </si>
  <si>
    <t>1011785</t>
  </si>
  <si>
    <t>AKÜ,D23,DK,60AH,IGYA SMF,HUGEL ACTN,NASA</t>
  </si>
  <si>
    <t>1011786</t>
  </si>
  <si>
    <t>AKÜ,D23,DK,50AH,IGYASMF,İNCİ FORM TAURUS</t>
  </si>
  <si>
    <t>1011787</t>
  </si>
  <si>
    <t>AKÜ,D23,DK,60AH,IGYA SMF,İNCİ FORMTAURUS</t>
  </si>
  <si>
    <t>1011788</t>
  </si>
  <si>
    <t>AKÜ D23,DK,50AH,IGYASMF,BLIZ.SILV,JANENE</t>
  </si>
  <si>
    <t>1011790</t>
  </si>
  <si>
    <t>AKÜ,D23,DK,60AH,IGYASMF,BLIZZARO SILVERL</t>
  </si>
  <si>
    <t>1011791</t>
  </si>
  <si>
    <t>AKÜ,D23,TK,60AH,IGYSMF,BLIZZARO SILVERLN</t>
  </si>
  <si>
    <t>1011792</t>
  </si>
  <si>
    <t>AKÜ,D23,60AH,IGYSMF,BLIZZ.SILVERLN,MISIR</t>
  </si>
  <si>
    <t>1011795</t>
  </si>
  <si>
    <t>AKÜ,D23,DK,68AH,IGYA SMF,İNCİ FORM TAURS</t>
  </si>
  <si>
    <t>1011798</t>
  </si>
  <si>
    <t>AKÜ,NS60,TK,45AH,IGYASMF,İNCİTAURUS,İNCE</t>
  </si>
  <si>
    <t>1011799</t>
  </si>
  <si>
    <t>AKÜ,NS60,TK,45AH,IGYASMF,BLIZSILVER,İNCE</t>
  </si>
  <si>
    <t>1011801</t>
  </si>
  <si>
    <t>AKÜ,NS60,DK,45AH,IGYASMF,HUGEL,İNCE,NASA</t>
  </si>
  <si>
    <t>1011805</t>
  </si>
  <si>
    <t>AKÜ,NS60,DK,45AH,IGYASMF,HUGELULTRA,ISBC</t>
  </si>
  <si>
    <t>1011806</t>
  </si>
  <si>
    <t>AKÜ,NS60,DK,45AH,IGYASMF,HUGELULTRA,İNCE</t>
  </si>
  <si>
    <t>1011808</t>
  </si>
  <si>
    <t>AKÜ,NS60,DK,45AH,IGYASMF,HUGELULTRNACITA</t>
  </si>
  <si>
    <t>1011810</t>
  </si>
  <si>
    <t>AKÜ,NS60,DK,45AH,IGYASMF,BLIZ,İNCE,MISIR</t>
  </si>
  <si>
    <t>1011811</t>
  </si>
  <si>
    <t>AKÜ,NS60,DK45AH,IGYASFM,HUGEL,İNCENACITA</t>
  </si>
  <si>
    <t>1011812</t>
  </si>
  <si>
    <t>AKÜ,NS60,DK45AH,IGYASMF,BLIZSILVR,MISIR</t>
  </si>
  <si>
    <t>1011813</t>
  </si>
  <si>
    <t>ST-087-STD-05</t>
  </si>
  <si>
    <t>AKÜ,NS60,DK45AH,IGYSMF,EAS,İNCEKOLİATWAN</t>
  </si>
  <si>
    <t>IA-ST-087-STD-05</t>
  </si>
  <si>
    <t>1011814</t>
  </si>
  <si>
    <t>AKÜ,NS60,DK,45AH,IGYA SMF,İNCİ,EEC MISIR</t>
  </si>
  <si>
    <t>1011815</t>
  </si>
  <si>
    <t>AKÜ,NS60,DK,55AH,IGYA SMF,İNCİ TAURUS</t>
  </si>
  <si>
    <t>1011816</t>
  </si>
  <si>
    <t>AKÜ,NS60,DK,45AH,IGYASMF,İNCİTAURUS,İNCE</t>
  </si>
  <si>
    <t>1011817</t>
  </si>
  <si>
    <t>AKÜ,NS60,DK,45AH,IGYASMF,BLIZ,İNCEJANENE</t>
  </si>
  <si>
    <t>1011827</t>
  </si>
  <si>
    <t>AKÜ,NS40,DK,35AH,IGYASMF,HUGEL,İNCE,NASA</t>
  </si>
  <si>
    <t>1011828</t>
  </si>
  <si>
    <t>AKÜ,NS40,DK,35AH,IGYASMF,BLIZ,İNCE,MISIR</t>
  </si>
  <si>
    <t>1011829</t>
  </si>
  <si>
    <t>AKÜ,NS40,DK,35AH,IGYSMF,HUGEL,İNCENACITA</t>
  </si>
  <si>
    <t>1011830</t>
  </si>
  <si>
    <t>ST-105-STD-01</t>
  </si>
  <si>
    <t>AKÜ,NS40,DK,35AH,IGYA SMF,EAS,İNCE,ATWAN</t>
  </si>
  <si>
    <t>IA-ST-105-STD-01</t>
  </si>
  <si>
    <t>1011831</t>
  </si>
  <si>
    <t>AKÜ,NS40,DK,35AH,IGYSMF,İNCİTAU,İNCE,EEC</t>
  </si>
  <si>
    <t>1011832</t>
  </si>
  <si>
    <t>AKÜ,NS40,DK,42AH,IGYASMF,İNCİTAURUS,İNCE</t>
  </si>
  <si>
    <t>1011834</t>
  </si>
  <si>
    <t>AKÜ,NS40,DK,42AH,IGYSMF,BLIZ,İNCE,JANENE</t>
  </si>
  <si>
    <t>1011835</t>
  </si>
  <si>
    <t>AKÜ,NS40,DK,25AH,IGYA SMF,EAS,İNCE,ATWAN</t>
  </si>
  <si>
    <t>1011836</t>
  </si>
  <si>
    <t>AKÜ,NS40,DK,25AH,IGYSMF,HUGEL,İNCENACITA</t>
  </si>
  <si>
    <t>1011838</t>
  </si>
  <si>
    <t>AKÜ,NS40,DK,42AH,IGYASMF,BLIZ,İNCEJANENE</t>
  </si>
  <si>
    <t>1011843</t>
  </si>
  <si>
    <t>AKÜ,D23,DK,68AH,IGYA SMF,HUGEL ULTRA</t>
  </si>
  <si>
    <t>1011845</t>
  </si>
  <si>
    <t>AKÜ,D23,DK,60AH,IGY SMF,HUGEL,NACITA</t>
  </si>
  <si>
    <t>1011852</t>
  </si>
  <si>
    <t>AKÜ,D23,DK,60AH,IGYASMF,İNCİ FORM TAURUS</t>
  </si>
  <si>
    <t>1011853</t>
  </si>
  <si>
    <t>AKÜ,D23,DK,60AH,B01,IGY SMF,İNCİ FORMULA</t>
  </si>
  <si>
    <t>1011854</t>
  </si>
  <si>
    <t>ST-054-STD-06</t>
  </si>
  <si>
    <t>AKÜ,LB4,DK,75AH,IGYASMF,İNCİ EFB PANTERA</t>
  </si>
  <si>
    <t>IA-ST-054-STD-06</t>
  </si>
  <si>
    <t>1011855</t>
  </si>
  <si>
    <t>AKÜ,D23,DK,60AH,IGY SMF,EAS ACTIVA,ATWAN</t>
  </si>
  <si>
    <t>1011861</t>
  </si>
  <si>
    <t>AKÜ,LB3,DK,66AH,IGYA SMF,HUGEL ACTION</t>
  </si>
  <si>
    <t>1011862</t>
  </si>
  <si>
    <t>AKÜ,LB3,DK,66AH,IGYASMF,HUGEL ULTRA,NASA</t>
  </si>
  <si>
    <t>1011863</t>
  </si>
  <si>
    <t>AKÜ,LB3,DK,72AH,IGYASMF,BLIZSILVR,MISIR</t>
  </si>
  <si>
    <t>1011867</t>
  </si>
  <si>
    <t>AKÜ,LB3,DK,65AH,IGYASMF,İNCİ EFB PANTERA</t>
  </si>
  <si>
    <t>1011868</t>
  </si>
  <si>
    <t>AKÜ,LB3,DK,72AH,IGYA SMF,İNCİ FORMTAURUS</t>
  </si>
  <si>
    <t>1011875</t>
  </si>
  <si>
    <t>AKÜ,LB2,DK,62AH,IGYASMF,İNCİ FORM TAURUS</t>
  </si>
  <si>
    <t>1011877</t>
  </si>
  <si>
    <t>ST-087-STD-02</t>
  </si>
  <si>
    <t>AKÜ,LB1,DK,44AH,IGYA SMF,EAS ACTIVA</t>
  </si>
  <si>
    <t>IA-ST-087-STD-02</t>
  </si>
  <si>
    <t>1011878</t>
  </si>
  <si>
    <t>AKÜ,LB1,DK,50AH,IGYASMF,İNCİ FORM TAURUS</t>
  </si>
  <si>
    <t>1011881</t>
  </si>
  <si>
    <t>AKÜ,D26,DK,60AH,IGYASMF,BLIZSILVR,JANENE</t>
  </si>
  <si>
    <t>1011882</t>
  </si>
  <si>
    <t>AKÜ,D26,TK,60AH,IGYASMF,BLIZSILVR,JANENE</t>
  </si>
  <si>
    <t>1011883</t>
  </si>
  <si>
    <t>AKÜ,D26,TK,72AH,IGY SMF,BLIZZARO,SILVER</t>
  </si>
  <si>
    <t>1011887</t>
  </si>
  <si>
    <t>AKÜ,D26,TK,72AH,IGYSMF,HUGELULTRA,NACITA</t>
  </si>
  <si>
    <t>1011888</t>
  </si>
  <si>
    <t>AKÜ,D26,TK,60AH,IGYSMF,HUGELULTRA,NACITA</t>
  </si>
  <si>
    <t>1011890</t>
  </si>
  <si>
    <t>AKÜ,D26,TK,75AH,IGYSMF,İNCİTAURS,SHAWKAT</t>
  </si>
  <si>
    <t>1011893</t>
  </si>
  <si>
    <t>AKÜ,L5,DK,88AH,IGYASMF,HUGEL ACTION,NASA</t>
  </si>
  <si>
    <t>1011894</t>
  </si>
  <si>
    <t>AKÜ,L5,DK,100AH,IGYA SMF,HUGEL ULTRA</t>
  </si>
  <si>
    <t>1011895</t>
  </si>
  <si>
    <t>AKÜ,L5,DK,100AH,IGYA SMF,HUGEL ACTION</t>
  </si>
  <si>
    <t>1011896</t>
  </si>
  <si>
    <t>AKÜ,D26,DK,72AH,IGYASMF,HUGEL ULTRA,NASA</t>
  </si>
  <si>
    <t>1011897</t>
  </si>
  <si>
    <t>AKÜ,L5,DK,100AH,IGYA SMF,EAS ACTIVA</t>
  </si>
  <si>
    <t>1011898</t>
  </si>
  <si>
    <t>AKÜ,D26,TK,72AH,IGY SMF,ULTRA,NASA,7014</t>
  </si>
  <si>
    <t>1011899</t>
  </si>
  <si>
    <t>AKÜ,L5,DK,100AH,IGYASMF,BLIZZARO SILVERL</t>
  </si>
  <si>
    <t>1011900</t>
  </si>
  <si>
    <t>AKÜ,D26,DK,72AH,IGYASMF,BLIZZAROSILVERLN</t>
  </si>
  <si>
    <t>1011901</t>
  </si>
  <si>
    <t>AKÜ,L5,DK,100AH,IGYSMF,BLIZSILVER,JANENE</t>
  </si>
  <si>
    <t>1011903</t>
  </si>
  <si>
    <t>AKÜ,D26,DK,75AH,IGYSMF,İNCİTAURS,SHAWKAT</t>
  </si>
  <si>
    <t>1011904</t>
  </si>
  <si>
    <t>AKÜ,D26,TK,72AH,IGYASMF,İNCİ FORM TAURUS</t>
  </si>
  <si>
    <t>1011906</t>
  </si>
  <si>
    <t>AKÜ,D26,DK,72AH,IGYA SMF,HUGEL ULTRA</t>
  </si>
  <si>
    <t>1011907</t>
  </si>
  <si>
    <t>AKÜ,D26,TK,72AH,IGYA SMF,HUGEL ULTRA</t>
  </si>
  <si>
    <t>1011908</t>
  </si>
  <si>
    <t>AKÜ,D26,DK,66AH,IGYASMF,BLIZSILVR,MISIR</t>
  </si>
  <si>
    <t>1011909</t>
  </si>
  <si>
    <t>AKÜ,D31,DK,100AH,IGYA SMF,İNCİ TAURUS</t>
  </si>
  <si>
    <t>1011910</t>
  </si>
  <si>
    <t>AKÜ,D31,DK,100AH,IGYA SMF,HUGEL ULTRA</t>
  </si>
  <si>
    <t>1011911</t>
  </si>
  <si>
    <t>AKÜ,D31,TK,100AH,IGYA SMF,HUGEL ULTRA</t>
  </si>
  <si>
    <t>1011912</t>
  </si>
  <si>
    <t>AKÜ,D31,DK,90AH,IGYA SMF,HUGEL ULTRA</t>
  </si>
  <si>
    <t>1011913</t>
  </si>
  <si>
    <t>ST-051-STD-07</t>
  </si>
  <si>
    <t>AKÜ,D31,TK,90AH,IGYA,FORMLA,KOLİEECMISIR</t>
  </si>
  <si>
    <t>IA-ST-051-STD-07</t>
  </si>
  <si>
    <t>1011914</t>
  </si>
  <si>
    <t>AKÜ,D31,TK,90AH,IGYA SMF,HUGEL ULTRA</t>
  </si>
  <si>
    <t>1011915</t>
  </si>
  <si>
    <t>AKÜ,D31,DK,90AH,IGYA SMF,BLIZZAROSILVERL</t>
  </si>
  <si>
    <t>1011916</t>
  </si>
  <si>
    <t>AKÜ,D31,TK,90AH,IGY SMF,BLIZ SILV,JANENE</t>
  </si>
  <si>
    <t>1011918</t>
  </si>
  <si>
    <t>AKÜ,D31,DK,90AH,IGY SMF,BLIZ SILV,JANENE</t>
  </si>
  <si>
    <t>1011919</t>
  </si>
  <si>
    <t>AKÜ,D31,DK,80AH,IGY SMF,FORMULA TAURUS</t>
  </si>
  <si>
    <t>1011920</t>
  </si>
  <si>
    <t>AKÜ,D31,DK,80AH,IGYA SMF,HUGEL ULTRA</t>
  </si>
  <si>
    <t>1011925</t>
  </si>
  <si>
    <t>AKÜ,D31,TK100AH,IGYSMF,HUGELULTRA,NACITA</t>
  </si>
  <si>
    <t>1011926</t>
  </si>
  <si>
    <t>AKÜ,D31,TK,80AH,IGYSMF,HUGELULTRA,NACITA</t>
  </si>
  <si>
    <t>1011927</t>
  </si>
  <si>
    <t>AKÜ,D31,TK,90AH,IGYSMF,HUGEL ULTR,NACITA</t>
  </si>
  <si>
    <t>1011930</t>
  </si>
  <si>
    <t>ST-051-STD-05</t>
  </si>
  <si>
    <t>AKÜ,D31,TK,80AH,IGYASMF,BLIZSILVR,MISIR</t>
  </si>
  <si>
    <t>IA-ST-051-STD-05</t>
  </si>
  <si>
    <t>1011931</t>
  </si>
  <si>
    <t>AKÜ,D31,DK,80AH,IGYASMF,BLIZSILVR,MISIR</t>
  </si>
  <si>
    <t>1011932</t>
  </si>
  <si>
    <t>AKÜ,D31,TK,90AH,IGYASMF,İNCİ FORM TAURUS</t>
  </si>
  <si>
    <t>1011933</t>
  </si>
  <si>
    <t>AKÜ,D31,TK,90AH,IGYSMF,BLIZZ.SILVR,MISIR</t>
  </si>
  <si>
    <t>1011934</t>
  </si>
  <si>
    <t>AKÜ,D31,DK,90AH,IGYSMF,BLIZZ.SILVR,MISIR</t>
  </si>
  <si>
    <t>1011935</t>
  </si>
  <si>
    <t>ST-051-STD-01</t>
  </si>
  <si>
    <t>AKÜ,D31,TK,80AH,IGYASMF,EAS KOLİLİ,ATWAN</t>
  </si>
  <si>
    <t>IA-ST-051-STD-01</t>
  </si>
  <si>
    <t>1011936</t>
  </si>
  <si>
    <t>AKÜ,D31,TK,90AH,IGYASMF,EAS KOLİLİ,ATWAN</t>
  </si>
  <si>
    <t>1011937</t>
  </si>
  <si>
    <t>AKÜ,D31,TK,100AH,IGYSMF,HUGEL ULTRA,NASA</t>
  </si>
  <si>
    <t>1011938</t>
  </si>
  <si>
    <t>AKÜ,D31,DK,100AH,IGY SMF,HUGEL,NASA</t>
  </si>
  <si>
    <t>1011939</t>
  </si>
  <si>
    <t>AKÜ,D31,TK,100AH,IGYSMF,EAS,KOLİLİ,ATWAN</t>
  </si>
  <si>
    <t>1011940</t>
  </si>
  <si>
    <t>AKÜ,D31,TK,80AH,IGYA,FORMLA,KOLİEECMISIR</t>
  </si>
  <si>
    <t>1011941</t>
  </si>
  <si>
    <t>AKÜ,D31,DK,80AH,IGYA,FORMLA,KOLİEECMISIR</t>
  </si>
  <si>
    <t>1011945</t>
  </si>
  <si>
    <t>AKÜ,D31,DK,90AH,IGYSMF,HUGELULTRA,NACITA</t>
  </si>
  <si>
    <t>1011946</t>
  </si>
  <si>
    <t>AKÜ,D31,DK,90AH,IGY SMF,İNCİ FORMULA</t>
  </si>
  <si>
    <t>1011948</t>
  </si>
  <si>
    <t>AKÜ,D31,TK,90AH,IGY SMF,İNCİ FORMULA</t>
  </si>
  <si>
    <t>1011950</t>
  </si>
  <si>
    <t>AKÜ,D31,TK,100AH,IGYASMF,İNCİ FORM TAURS</t>
  </si>
  <si>
    <t>1011952</t>
  </si>
  <si>
    <t>AKÜ,D31,DK,100AH,IGYASMF,İNCİ FORM TAURS</t>
  </si>
  <si>
    <t>1011956</t>
  </si>
  <si>
    <t>AKÜ,D31,DK,80AH,IGYASMF,EAS ACTIVA,ATWAN</t>
  </si>
  <si>
    <t>1011960</t>
  </si>
  <si>
    <t>AKÜ,L5,DK,100AH,IGYSMF,İNCİTAUR,EECMISIR</t>
  </si>
  <si>
    <t>1011961</t>
  </si>
  <si>
    <t>1011965</t>
  </si>
  <si>
    <t>AKÜ,L5,DK,90AH,IGYA SMF,İNCİ EFB PANTERA</t>
  </si>
  <si>
    <t>1011966</t>
  </si>
  <si>
    <t>AKÜ,L5,DK,100AH,IGYASMF,İNCİEFBMAXTIGRIS</t>
  </si>
  <si>
    <t>1011967</t>
  </si>
  <si>
    <t>AKÜ,L5,DK,100AH,IGYASMF,HUGELULTR,NACITA</t>
  </si>
  <si>
    <t>1011968</t>
  </si>
  <si>
    <t>AKÜ,L5,DK,100AH,IGYASMF,BLIZSILVER,MISIR</t>
  </si>
  <si>
    <t>1011969</t>
  </si>
  <si>
    <t>AKÜ,L5,DK,90AH,IGYASMF,HUGELULTRA,NACITA</t>
  </si>
  <si>
    <t>1011970</t>
  </si>
  <si>
    <t>AKÜ,L5,DK,90AH,IGYASMF,BLIZSILVER,MISIR</t>
  </si>
  <si>
    <t>1011971</t>
  </si>
  <si>
    <t>ST-060-STD-01</t>
  </si>
  <si>
    <t>AKÜ,L5,DK,88AH,IGYSMF,EASACTVKOLİLİATWAN</t>
  </si>
  <si>
    <t>IA-ST-060-STD-01</t>
  </si>
  <si>
    <t>1011972</t>
  </si>
  <si>
    <t>AKÜ,L5,DK,102AH,IGYASMF,İNCİ FORM TAURUS</t>
  </si>
  <si>
    <t>1011974</t>
  </si>
  <si>
    <t>AKÜ,L5,DK,100AH,IGYASMF,İNCİ FORM TAURUS</t>
  </si>
  <si>
    <t>1011977</t>
  </si>
  <si>
    <t>AKÜ,L5,DK,90AH,IGYSMF,İNCİTAURS,EECMISIR</t>
  </si>
  <si>
    <t>1011981</t>
  </si>
  <si>
    <t>AKÜ,L5,DK,100AH,IGYA SMF,ENERGY MAX</t>
  </si>
  <si>
    <t>1011982</t>
  </si>
  <si>
    <t>ST-072-STD-22</t>
  </si>
  <si>
    <t>AKÜ,L4,DK,82AH,IGYA SMF,HUGEL ULTRA</t>
  </si>
  <si>
    <t>IA-ST-072-STD-22</t>
  </si>
  <si>
    <t>1011983</t>
  </si>
  <si>
    <t>AKÜ,L4,DK,82AH,IGYASMF,BLİZSILVER,JANENE</t>
  </si>
  <si>
    <t>1011985</t>
  </si>
  <si>
    <t>AKÜ,L1,DK,50AH,IGYASMF,HUGEL ACTION,NASA</t>
  </si>
  <si>
    <t>1011986</t>
  </si>
  <si>
    <t>AKÜ,L1,DK,45AH,IGYA SMF,HUGEL ACTION</t>
  </si>
  <si>
    <t>1011987</t>
  </si>
  <si>
    <t>AKÜ,L1,DK,50AH,IGYASMF,BLIZ SILVR,JANENE</t>
  </si>
  <si>
    <t>1011988</t>
  </si>
  <si>
    <t>AKÜ,L1,DK,44AH,IGYASMF,HUGELULTRA,NACITA</t>
  </si>
  <si>
    <t>1011989</t>
  </si>
  <si>
    <t>AKÜ,L1,DK,44AH,IGYASMF,BLIZSILVRL,MISIR</t>
  </si>
  <si>
    <t>1011990</t>
  </si>
  <si>
    <t>AKÜ,L1,DK,44AH,IGY SMF,HUGEL ULTRA,GULF</t>
  </si>
  <si>
    <t>1011991</t>
  </si>
  <si>
    <t>AKÜ,L1,DK,44AH,IGYA SMF,İNCİ FORMULA</t>
  </si>
  <si>
    <t>1011992</t>
  </si>
  <si>
    <t>AKÜ,L1,DK,50AH,IGYA SMF,İNCİ FORM TAURUS</t>
  </si>
  <si>
    <t>1011999</t>
  </si>
  <si>
    <t>AKÜ,L4,DK,80AH,IGYA SMF,İNCİ EFB PANTERA</t>
  </si>
  <si>
    <t>1012001</t>
  </si>
  <si>
    <t>AKÜ,L4,DK,82AH,IGYA SMF,İNCİ FORM TAURUS</t>
  </si>
  <si>
    <t>1012003</t>
  </si>
  <si>
    <t>AKÜ,L2,DK,55AH,IGYA SMF,HUGEL ULTRA,NASA</t>
  </si>
  <si>
    <t>1012004</t>
  </si>
  <si>
    <t>AKÜ,L2,DK,62AH,IGYA SMF,HUGEL ULTRA</t>
  </si>
  <si>
    <t>1012006</t>
  </si>
  <si>
    <t>AKÜ,L2,DK,55AH,IGYA SMF,HUGEL ACTION</t>
  </si>
  <si>
    <t>1012007</t>
  </si>
  <si>
    <t>AKÜ,L2,DK,60AH,IGYA SMF,HUGEL ACTION</t>
  </si>
  <si>
    <t>1012009</t>
  </si>
  <si>
    <t>AKÜ,L2,DK,60AH,IGYASMF,BLIZ SILVR,JANENE</t>
  </si>
  <si>
    <t>1012010</t>
  </si>
  <si>
    <t>AKÜ,L2,DK,55AH,IGYASMF,BLIZ.TREND,JANENE</t>
  </si>
  <si>
    <t>1012011</t>
  </si>
  <si>
    <t>ST-088-STD-08</t>
  </si>
  <si>
    <t>AKÜ,L2,DK,62AH,IGYA,FORMLA,KOLİ,EECMISIR</t>
  </si>
  <si>
    <t>IA-ST-088-STD-08</t>
  </si>
  <si>
    <t>1012013</t>
  </si>
  <si>
    <t>AKÜ,L3,DK,72AH,IGYASMF,HUGEL ACTION,NASA</t>
  </si>
  <si>
    <t>1012014</t>
  </si>
  <si>
    <t>AKÜ,L3,DK,75AH,IGYA SMF,HUGEL ULTRA</t>
  </si>
  <si>
    <t>1012015</t>
  </si>
  <si>
    <t>1012016</t>
  </si>
  <si>
    <t>AKÜ,L3,DK,72AH,IGYA SMF,HUGEL ACTION</t>
  </si>
  <si>
    <t>1012017</t>
  </si>
  <si>
    <t>AKÜ,L3,TK,75AH,IGYA SMF,HUGEL ULTRA</t>
  </si>
  <si>
    <t>1012019</t>
  </si>
  <si>
    <t>AKÜ,L2,DK,55AH,IGYASMF,HUGEL ULTRA,ATLAS</t>
  </si>
  <si>
    <t>1012020</t>
  </si>
  <si>
    <t>AKÜ,L3,DK,74AH,IGYA SMF,HUGEL ACTION</t>
  </si>
  <si>
    <t>1012022</t>
  </si>
  <si>
    <t>AKÜ,L3,DK,75AH,IGYA SMF,EAS ACTIVA</t>
  </si>
  <si>
    <t>1012023</t>
  </si>
  <si>
    <t>AKÜ,L2,DK,60AH,IGYSMF,İNCİEFBPANT,MIRKAZ</t>
  </si>
  <si>
    <t>1012024</t>
  </si>
  <si>
    <t>AKÜ,L3,DK,75AH,IGYASMF,BLIZSILVER,JANENE</t>
  </si>
  <si>
    <t>1012025</t>
  </si>
  <si>
    <t>AKÜ,L3,DK,75AH,IGYSMF,İNCİTAUR,EEC MISIR</t>
  </si>
  <si>
    <t>1012027</t>
  </si>
  <si>
    <t>AKÜ,L3,DK,75AH,IGYASMF,BLIZZARO SILVERLN</t>
  </si>
  <si>
    <t>1012030</t>
  </si>
  <si>
    <t>AKÜ,L2,DK,62AH,IGYASMF,HUGELULTRA,NACITA</t>
  </si>
  <si>
    <t>1012031</t>
  </si>
  <si>
    <t>AKÜ,L2,TK,62AH,IGYASMF,HUGELULTRA,NACITA</t>
  </si>
  <si>
    <t>1012032</t>
  </si>
  <si>
    <t>AKÜ,L3,DK,72AH,IGYA SMF,HUGEL ULTRA</t>
  </si>
  <si>
    <t>1012034</t>
  </si>
  <si>
    <t>ST-088-STD-06</t>
  </si>
  <si>
    <t>AKÜ,L2,DK,62AH,IGYASMF,BLIZSILVRL,MISIR</t>
  </si>
  <si>
    <t>IA-ST-088-STD-06</t>
  </si>
  <si>
    <t>1012035</t>
  </si>
  <si>
    <t>AKÜ,L2,TK,62AH,IGYASMF,BLIZSILVRL,MISIR</t>
  </si>
  <si>
    <t>1012036</t>
  </si>
  <si>
    <t>AKÜ,L2,DK,60AH,IGY SMF,HUGEL ULTRA</t>
  </si>
  <si>
    <t>1012037</t>
  </si>
  <si>
    <t>AKÜ,L3,DK,75AH,IGYA SMF,ENERGY MAX</t>
  </si>
  <si>
    <t>1012038</t>
  </si>
  <si>
    <t>AKÜ,L2,DK,60AH,IGY SMF,EFBS&amp;S HUGEL,NASA</t>
  </si>
  <si>
    <t>1012040</t>
  </si>
  <si>
    <t>AKÜ,L3,DK,72AH,IGYSMF,İNCİEFBPANT,MIRKAZ</t>
  </si>
  <si>
    <t>1012041</t>
  </si>
  <si>
    <t>ST-088-STD-01</t>
  </si>
  <si>
    <t>AKÜ,L2,DK,62AH,IGYASMF,EASACTVKOLİ,ATWAN</t>
  </si>
  <si>
    <t>IA-ST-088-STD-01</t>
  </si>
  <si>
    <t>1012042</t>
  </si>
  <si>
    <t>AKÜ,L2,TK,62AH,IGYSMF,EAS ACTVKOLİ,ATWAN</t>
  </si>
  <si>
    <t>1012043</t>
  </si>
  <si>
    <t>AKÜ,L3,DK,72AH,IGYA SMF,HUGEL EFB S&amp;S</t>
  </si>
  <si>
    <t>1012046</t>
  </si>
  <si>
    <t>AKÜ,L3,DK,72AH,IGYASMF,HUGEL EFBS&amp;S,NASA</t>
  </si>
  <si>
    <t>1012048</t>
  </si>
  <si>
    <t>AKÜ,L3,DK,66AH,IGYASMF,HUGELULTRA,NACITA</t>
  </si>
  <si>
    <t>1012050</t>
  </si>
  <si>
    <t>AKÜ,L3,DK,75AH,IGYASMF,BLIZSILVRL,MISIR</t>
  </si>
  <si>
    <t>1012051</t>
  </si>
  <si>
    <t>AKÜ,L2,TK,62AH,IGYA SMF,İNCİ FORM TAURUS</t>
  </si>
  <si>
    <t>1012052</t>
  </si>
  <si>
    <t>AKÜ,L2,DK,62AH,IGYA SMF,İNCİ FORM TAURUS</t>
  </si>
  <si>
    <t>1012053</t>
  </si>
  <si>
    <t>AKÜ,L3,DK,75AH,IGYASMF,HUGELULTRA,NACITA</t>
  </si>
  <si>
    <t>1012054</t>
  </si>
  <si>
    <t>AKÜ,L2,DK,62AH,IGY SMF,İNCİ FORMULA</t>
  </si>
  <si>
    <t>1012055</t>
  </si>
  <si>
    <t>ST-072-STD-01</t>
  </si>
  <si>
    <t>AKÜ,L3,DK,66AH,IGYA SMF,EAS KOLİLİ,ATWAN</t>
  </si>
  <si>
    <t>IA-ST-072-STD-01</t>
  </si>
  <si>
    <t>1012056</t>
  </si>
  <si>
    <t>AKÜ,L2,DK,55AH,IGYA SMF,İNCİ FORM TAURUS</t>
  </si>
  <si>
    <t>1012057</t>
  </si>
  <si>
    <t>AKÜ,L3,DK,75AH,IGYA SMF,EAS KOLİLİ,ATWAN</t>
  </si>
  <si>
    <t>1012058</t>
  </si>
  <si>
    <t>AKÜ,L2,DK,60AH,IGYA SMF,İNCİ FORM TAURUS</t>
  </si>
  <si>
    <t>1012060</t>
  </si>
  <si>
    <t>AKÜ,L3,TK,75AH,IGYA SMF,İNCİ FORM TAURUS</t>
  </si>
  <si>
    <t>1012062</t>
  </si>
  <si>
    <t>AKÜ,L2,TK,62AH,IGYA,FORMLA,KOLİ,EECMISIR</t>
  </si>
  <si>
    <t>1012063</t>
  </si>
  <si>
    <t>AKÜ,L3,DK,75AH,IGYA SMF,İNCİ FORM TAURUS</t>
  </si>
  <si>
    <t>1012067</t>
  </si>
  <si>
    <t>AKÜ,L3,DK,72AH,IGYA SMF,İNCİ FORM TAURUS</t>
  </si>
  <si>
    <t>1012085</t>
  </si>
  <si>
    <t>AKÜ,D31,DK,80AH,IGYSMF,HUGELULTRA,NACITA</t>
  </si>
  <si>
    <t>1012089</t>
  </si>
  <si>
    <t>AKÜ,L3,DK,72AH,IGYASMF,NOYPANISSANEFBOES</t>
  </si>
  <si>
    <t>1012090</t>
  </si>
  <si>
    <t>AKÜ,L2,DK,63AH,IGYASMF,NOYPANISSANEFBOES</t>
  </si>
  <si>
    <t>1012091</t>
  </si>
  <si>
    <t>AKÜ,L1,DK,50AH,IGYA SMF,NOYPA-NISSAN,OES</t>
  </si>
  <si>
    <t>1012092</t>
  </si>
  <si>
    <t>AKÜ,L2,DK,60AH,IGYA SMF,NOYPA-NISSAN,OES</t>
  </si>
  <si>
    <t>1012093</t>
  </si>
  <si>
    <t>AKÜ,L3,DK,70AH,IGYA SMF,NOYPA-NISSAN,OES</t>
  </si>
  <si>
    <t>1012094</t>
  </si>
  <si>
    <t>AKÜ,L2,DK,60AH,IGYA SMF,TEMSA EFB,YP,OES</t>
  </si>
  <si>
    <t>1012095</t>
  </si>
  <si>
    <t>AKÜ,L2,DK,60AH,IGYA SMF,TEMSA,YP,OES</t>
  </si>
  <si>
    <t>1012096</t>
  </si>
  <si>
    <t>AKÜ,D26,TK,75AH,IGYA SMF,TEMSA,YP,OES</t>
  </si>
  <si>
    <t>1012097</t>
  </si>
  <si>
    <t>ST-057-EUR-03</t>
  </si>
  <si>
    <t>AKÜ,L2,DK,IGYA SMF,EFB 60AH 560A,OV</t>
  </si>
  <si>
    <t>IA-ST-057-EUR-03</t>
  </si>
  <si>
    <t>1012098</t>
  </si>
  <si>
    <t>AKÜ,LB2,DK,IGYA SMF,60AH 510A,OV</t>
  </si>
  <si>
    <t>1012099</t>
  </si>
  <si>
    <t>AKÜ,LB1,DK,IGYA SMF,50AH 420A,OV</t>
  </si>
  <si>
    <t>1012100</t>
  </si>
  <si>
    <t>AKÜ,LB4,DK,IGYA SMF,75AH 720A,OV</t>
  </si>
  <si>
    <t>1012101</t>
  </si>
  <si>
    <t>AKÜ,LB3,DK,IGYA SMF,65AH 640A,OV</t>
  </si>
  <si>
    <t>1012102</t>
  </si>
  <si>
    <t>AKÜ,LB3,DK,IGYA SMF,70AH 750A,OV</t>
  </si>
  <si>
    <t>1012103</t>
  </si>
  <si>
    <t>AKÜ,L3,DK,IGYA SMF,70AH 720A,OV</t>
  </si>
  <si>
    <t>1012104</t>
  </si>
  <si>
    <t>AKÜ,L3,DK,IGYA SMF,70AH 640A,OV</t>
  </si>
  <si>
    <t>1012105</t>
  </si>
  <si>
    <t>AKÜ,L2,DK,IGYA SMF,60AH 540A,OV</t>
  </si>
  <si>
    <t>1012106</t>
  </si>
  <si>
    <t>AKÜ,L2,DK,IGYA SMF,60AH 640A,OV</t>
  </si>
  <si>
    <t>1012108</t>
  </si>
  <si>
    <t>1012109</t>
  </si>
  <si>
    <t>1012110</t>
  </si>
  <si>
    <t>1012111</t>
  </si>
  <si>
    <t>1012112</t>
  </si>
  <si>
    <t>1012122</t>
  </si>
  <si>
    <t>AKÜ,LB4,DK85AH,IGYASMF,GYEUR,HAL5110-085</t>
  </si>
  <si>
    <t>1012123</t>
  </si>
  <si>
    <t>AKÜ,LB3,DK65AH,IGYASMF,GYEUR,HEB7100-065</t>
  </si>
  <si>
    <t>1012124</t>
  </si>
  <si>
    <t>AKÜ,LB4,DK75AH,IGYASMF,GYEUR,HEB7110-075</t>
  </si>
  <si>
    <t>1012125</t>
  </si>
  <si>
    <t>AKÜ,L1,DK,54AH,IGYASMF,GYEUR,HAL5012-054</t>
  </si>
  <si>
    <t>1012132</t>
  </si>
  <si>
    <t>ST-042-STD-07</t>
  </si>
  <si>
    <t>AKÜ,AGM,L6,DK,105AH,AGM S&amp;S 1662,SCHNAPP</t>
  </si>
  <si>
    <t>IA-ST-042-STD-07</t>
  </si>
  <si>
    <t>1012136</t>
  </si>
  <si>
    <t>AKÜ,LB2,DK,62AH,IGYA SMF,HUGEL ULTRA</t>
  </si>
  <si>
    <t>1012137</t>
  </si>
  <si>
    <t>AKÜ,LB3,DK,70AH,IGYA SMF,HUGEL ULTRA</t>
  </si>
  <si>
    <t>1012138</t>
  </si>
  <si>
    <t>1012139</t>
  </si>
  <si>
    <t>AKÜ,LB3,DK,72AH,IGYSMF,BLIZZARO SILVERLN</t>
  </si>
  <si>
    <t>1012141</t>
  </si>
  <si>
    <t>AKÜ,L3,DK,72AH,IGYSMF,BLIZZAROS&amp;S,JANENE</t>
  </si>
  <si>
    <t>1012144</t>
  </si>
  <si>
    <t>AKÜ,LB1,DK,50AH,IGYA SMF,HUGEL ULTRA</t>
  </si>
  <si>
    <t>1012146</t>
  </si>
  <si>
    <t>AKÜ,L2,DK,60AH,IGYASMF,İNCİ,CEZAYİR CIMA</t>
  </si>
  <si>
    <t>1012147</t>
  </si>
  <si>
    <t>AKÜ,L4,DK,80AH,IGYSMF,BLIZEFB S&amp;S,JANENE</t>
  </si>
  <si>
    <t>1012149</t>
  </si>
  <si>
    <t>AKÜ,NS60,DK,45AH,IGYSMF,BLIZZAROSILVRLNE</t>
  </si>
  <si>
    <t>1012150</t>
  </si>
  <si>
    <t>AKÜ,D26,DK,75AH,IGYASMF,İNCİ FORM TAURUS</t>
  </si>
  <si>
    <t>1012155</t>
  </si>
  <si>
    <t>AKÜ,D26,TK,66AH,IGYASMF,BLIZSILVR,MISIR</t>
  </si>
  <si>
    <t>1012156</t>
  </si>
  <si>
    <t>ST-057-STD-02</t>
  </si>
  <si>
    <t>AKÜ,D26,TK,72AH,IGYASMF,EAS KOLİLİ,ATWAN</t>
  </si>
  <si>
    <t>IA-ST-057-STD-02</t>
  </si>
  <si>
    <t>1012160</t>
  </si>
  <si>
    <t>AKÜ,L5,DK,100AH,IGYASMF,EAS KOLİLİ,ATWAN</t>
  </si>
  <si>
    <t>1012162</t>
  </si>
  <si>
    <t>ST-096-STD-01</t>
  </si>
  <si>
    <t>AKÜ,L1,DK,44AH,IGYA SMF,EAS KOLİLİ,ATWAN</t>
  </si>
  <si>
    <t>IA-ST-096-STD-01</t>
  </si>
  <si>
    <t>1012165</t>
  </si>
  <si>
    <t>1012166</t>
  </si>
  <si>
    <t>1012170</t>
  </si>
  <si>
    <t>AKÜ,LB1,DK,45AH,IGYASMF,Y3000,YBX3063,Yİ</t>
  </si>
  <si>
    <t>1012172</t>
  </si>
  <si>
    <t>ST-072-STD-17</t>
  </si>
  <si>
    <t>AKÜ,L2,DK,60AH,IGYA SMF,Y3000,YBX3027,Yİ</t>
  </si>
  <si>
    <t>IA-ST-072-STD-17</t>
  </si>
  <si>
    <t>1012175</t>
  </si>
  <si>
    <t>AKÜ,L5,DK,95AH,IGYA SMF,Y3000,YBX3019,Yİ</t>
  </si>
  <si>
    <t>1012179</t>
  </si>
  <si>
    <t>AKÜ,D31,DK,90AH,IGYASMF,Y3000,YBX3335,Yİ</t>
  </si>
  <si>
    <t>1012181</t>
  </si>
  <si>
    <t>AKÜ,B-FLAT,DK,190AH,İNCİ SUPRA SENTOR</t>
  </si>
  <si>
    <t>1012183</t>
  </si>
  <si>
    <t>AKÜ,L2,DK,60AH,IGYASMF,BLIZZARO SILVERLN</t>
  </si>
  <si>
    <t>1012185</t>
  </si>
  <si>
    <t>AKÜ,L2,DK,60AH,IGYSMF,BLIZAROTREND,METRA</t>
  </si>
  <si>
    <t>1012187</t>
  </si>
  <si>
    <t>AKÜ,L2,TK,60AH,IGYSMF,HUGEL ACTION,METRA</t>
  </si>
  <si>
    <t>1012188</t>
  </si>
  <si>
    <t>AKÜ,L2,TK,60AH,IGYSMF,BLIZAROTREND,METRA</t>
  </si>
  <si>
    <t>1012190</t>
  </si>
  <si>
    <t>AKÜ,L2,DK,65AH,IGYSMF,İNCİMAXIMA,DIŞ PYS</t>
  </si>
  <si>
    <t>1012191</t>
  </si>
  <si>
    <t>AKÜ,L2,DK,60AH,IGYA SMF,İNCİ SUPRA,METRA</t>
  </si>
  <si>
    <t>1012192</t>
  </si>
  <si>
    <t>AKÜ,L2,TK,60AH,IGYA SMF,İNCİ SUPRA,METRA</t>
  </si>
  <si>
    <t>1012193</t>
  </si>
  <si>
    <t>AKÜ,L2,TK,65AH,IGYSMF,İNCİ MAXIMA,DIŞPYS</t>
  </si>
  <si>
    <t>1012238</t>
  </si>
  <si>
    <t>AKÜ,L1,DK,50AH,IGYSMF,İNCİ SUPRA,METRA</t>
  </si>
  <si>
    <t>1012239</t>
  </si>
  <si>
    <t>AKÜ,L1,DK,52AH,IGYA SMF,İNCİ FORM TAURUS</t>
  </si>
  <si>
    <t>1012246</t>
  </si>
  <si>
    <t>AKÜ,D31,DK100AH,IGYSMF,İNCİMAXIMA,DIŞPYS</t>
  </si>
  <si>
    <t>1012248</t>
  </si>
  <si>
    <t>AKÜ,D31,TK100AH,IGYSMF,İNCİMAXIMA,DIŞPYS</t>
  </si>
  <si>
    <t>1012249</t>
  </si>
  <si>
    <t>ST-054-STD-10</t>
  </si>
  <si>
    <t>AKÜ,D31DK95AH,IGYSMF,GRİSYH,SILVR,SCHNPP</t>
  </si>
  <si>
    <t>IA-ST-054-STD-10</t>
  </si>
  <si>
    <t>1012250</t>
  </si>
  <si>
    <t>AKÜD31DK95AH,IGYSMF,GRİSYH,STRONG,SCHNPP</t>
  </si>
  <si>
    <t>1012251</t>
  </si>
  <si>
    <t>AKÜD31TK95AH,IGYSMF,GRİSYH,STRONG,SCHNPP</t>
  </si>
  <si>
    <t>1012254</t>
  </si>
  <si>
    <t>AKÜ,L5,DK,92AH,IGYA SMF,İNCİ SUPRA,METRA</t>
  </si>
  <si>
    <t>1012257</t>
  </si>
  <si>
    <t>AKÜ,L5,DK,102AH,IGYSMF,İNCİMAXIMA,DIŞPYS</t>
  </si>
  <si>
    <t>1012258</t>
  </si>
  <si>
    <t>1012259</t>
  </si>
  <si>
    <t>AKÜ L5,DK,105AH,IGYASMF,İNCİ FORM TAURUS</t>
  </si>
  <si>
    <t>1012264</t>
  </si>
  <si>
    <t>ST-045-STD-13</t>
  </si>
  <si>
    <t>AKÜ,L5,DK,100AH,IGYA SMF,SILVER SCHNAP</t>
  </si>
  <si>
    <t>IA-ST-045-STD-13</t>
  </si>
  <si>
    <t>1012265</t>
  </si>
  <si>
    <t>AKÜ,L5,DK,100AH,IGYA SMF,STRONG SCHNAP</t>
  </si>
  <si>
    <t>1012274</t>
  </si>
  <si>
    <t>AKÜ,D26,DK,72AH,IGYASMF,İNCİ FORM TAURUS</t>
  </si>
  <si>
    <t>1012275</t>
  </si>
  <si>
    <t>AKÜ,D26,DK,80AH,IGYSMF,İNCİMAXIMA,DIŞPYS</t>
  </si>
  <si>
    <t>1012276</t>
  </si>
  <si>
    <t>ST-063-STD-12</t>
  </si>
  <si>
    <t>AKÜD26,DK65AH,IGYSMF,GRİSYH,STRONG,SCHNP</t>
  </si>
  <si>
    <t>IA-ST-063-STD-12</t>
  </si>
  <si>
    <t>1012277</t>
  </si>
  <si>
    <t>AKÜD26,DK65AH,IGYSMF,GRİSYH,SILVER,SCHNP</t>
  </si>
  <si>
    <t>1012279</t>
  </si>
  <si>
    <t>AKÜD26,DK80AH,IGYSMF,GRİSYH,SILVER,SCHNP</t>
  </si>
  <si>
    <t>1012280</t>
  </si>
  <si>
    <t>AKÜD26,DK80AH,IGYSMF,GRİSYH,STRONG,SCHNP</t>
  </si>
  <si>
    <t>1012286</t>
  </si>
  <si>
    <t>ST-072-STD-19</t>
  </si>
  <si>
    <t>AKÜ,D23DK60AH,IGYSMF,GRİSYH,STRONG,SCHNP</t>
  </si>
  <si>
    <t>IA-ST-072-STD-19</t>
  </si>
  <si>
    <t>1012287</t>
  </si>
  <si>
    <t>AKÜ,D23,DK,68AH,IGYA SMF,MAXIMA,DIŞ PYS</t>
  </si>
  <si>
    <t>1012288</t>
  </si>
  <si>
    <t>AKÜD23DK60AH,IGYSMF,GRİSYH,SILVER,SCHNAP</t>
  </si>
  <si>
    <t>1012289</t>
  </si>
  <si>
    <t>AKÜ,D23,TK,62AH,IGYA,B0,İNCİTAUR,SHAWKAT</t>
  </si>
  <si>
    <t>1012292</t>
  </si>
  <si>
    <t>AKÜ,D23,TK,60AH,IGYASMF,İNCİ FORM TAURUS</t>
  </si>
  <si>
    <t>1012296</t>
  </si>
  <si>
    <t>AKÜ,D23,TK,60AH,IGYSMF,B01,BLIZZARO SILV</t>
  </si>
  <si>
    <t>1012298</t>
  </si>
  <si>
    <t>AKÜ,D23,DK,60AH,IGYSMF,İNCİTAUR,EECMISIR</t>
  </si>
  <si>
    <t>1012304</t>
  </si>
  <si>
    <t>ST-087-STD-04</t>
  </si>
  <si>
    <t>AKÜ,LB1,DK,43AH,IGYA SMF,SILVER SCHNAP</t>
  </si>
  <si>
    <t>IA-ST-087-STD-04</t>
  </si>
  <si>
    <t>1012306</t>
  </si>
  <si>
    <t>AKÜD26,TK80AH,IGYSMF,GRİSYH,STRONG,SCHNP</t>
  </si>
  <si>
    <t>1012307</t>
  </si>
  <si>
    <t>AKÜ,LB2,DK,45AH,IGYASMF,İNCİ FORM TAURUS</t>
  </si>
  <si>
    <t>1012309</t>
  </si>
  <si>
    <t>AKÜD26,TK80AH,IGYSMFG,RİSYH,SILVER,SCHNP</t>
  </si>
  <si>
    <t>1012313</t>
  </si>
  <si>
    <t>AKÜ LB2,DK,60AH,IGYASMF,İNCİMAXIMADIŞPYS</t>
  </si>
  <si>
    <t>1012314</t>
  </si>
  <si>
    <t>AKÜ,LB2,DK,60AH,IGYASMF,İNCİ SUPRA,METRA</t>
  </si>
  <si>
    <t>1012320</t>
  </si>
  <si>
    <t>AKÜ,D26,TK,72AH,IGYSMF,İNCİTAUR,EECMISIR</t>
  </si>
  <si>
    <t>1012332</t>
  </si>
  <si>
    <t>AKÜL1,DK50AH,IGYSMF,GRİSYH,STRONG,SCHNPP</t>
  </si>
  <si>
    <t>1012333</t>
  </si>
  <si>
    <t>AKÜ,LB3,DK,72AH,IGYASMF,İNCİMAXIMADIŞPYS</t>
  </si>
  <si>
    <t>1012334</t>
  </si>
  <si>
    <t>AKÜ,LB3,DK,75AH,IGYASMF,İNCİ SUPRA,METRA</t>
  </si>
  <si>
    <t>1012335</t>
  </si>
  <si>
    <t>AKÜ,LB3,DK,72AH,IGYSMF,İNCİTAUR,EECMISIR</t>
  </si>
  <si>
    <t>1012336</t>
  </si>
  <si>
    <t>AKÜL1,DK50AH,IGYSMF,GRİSYH,SILVER,SCHNPP</t>
  </si>
  <si>
    <t>1012337</t>
  </si>
  <si>
    <t>ST-063-STD-14</t>
  </si>
  <si>
    <t>AKÜ,LB3,DK,66AH,IGYA SMF,STRONG,SCHNAPP</t>
  </si>
  <si>
    <t>IA-ST-063-STD-14</t>
  </si>
  <si>
    <t>1012339</t>
  </si>
  <si>
    <t>AKÜL1,TK50AH,IGYSMF,GRİSYH,SILVER,SCHNAP</t>
  </si>
  <si>
    <t>1012340</t>
  </si>
  <si>
    <t>AKÜ,LB3,DK,66AH,IGYA SMF,SILVER,SCHNAPP</t>
  </si>
  <si>
    <t>1012341</t>
  </si>
  <si>
    <t>AKÜ,LB4,DK,82AH,IGYASMF,İNCİ FORM TAURUS</t>
  </si>
  <si>
    <t>1012342</t>
  </si>
  <si>
    <t>AKÜ,LB4,DK,80AH,IGYA SMF,EAS ACTIVA</t>
  </si>
  <si>
    <t>1012345</t>
  </si>
  <si>
    <t>AKÜ,LB4,DK,85AH,IGYASMF,İNCİMAXIMADIŞPYS</t>
  </si>
  <si>
    <t>1012346</t>
  </si>
  <si>
    <t>1012348</t>
  </si>
  <si>
    <t>ST-072-STD-25</t>
  </si>
  <si>
    <t>AKÜ,LB4,DK,80AH,IGYA SMF,SILVER SCHNAP</t>
  </si>
  <si>
    <t>IA-ST-072-STD-25</t>
  </si>
  <si>
    <t>1012349</t>
  </si>
  <si>
    <t>ST-054-STD-12</t>
  </si>
  <si>
    <t>AKÜ,LB4,DK,75AH,IGYA SMF,EFB S&amp;S,SCHNAPP</t>
  </si>
  <si>
    <t>IA-ST-054-STD-12</t>
  </si>
  <si>
    <t>1012355</t>
  </si>
  <si>
    <t>AKUL1,TK50AH,IGYSMF,GRİSYH,STRONG,SCHNPP</t>
  </si>
  <si>
    <t>1012364</t>
  </si>
  <si>
    <t>AKUD31TK95AH,IGYSMF,GRİSYH,SILVER,SCHNPP</t>
  </si>
  <si>
    <t>1012365</t>
  </si>
  <si>
    <t>AKÜ,NS40,TK,42AH,IGYA SMF,HUGEL ULTRA</t>
  </si>
  <si>
    <t>1012372</t>
  </si>
  <si>
    <t>AKÜ,L2,DK,55AH,IGYA SMF,İNCİ SUPRA,METRA</t>
  </si>
  <si>
    <t>1012379</t>
  </si>
  <si>
    <t>ST-072-STD-21</t>
  </si>
  <si>
    <t>AKÜL2,DK55AH,IGYSMF,GRİSYH,STRONG,SCHNAP</t>
  </si>
  <si>
    <t>IA-ST-072-STD-21</t>
  </si>
  <si>
    <t>1012382</t>
  </si>
  <si>
    <t>AKÜL2,TK55AH,IGYSMF,GRİSYH,STRONG,SCHNAP</t>
  </si>
  <si>
    <t>1012383</t>
  </si>
  <si>
    <t>AKÜL2,DK55AH,IGYSMF,GRİSYH,SILVER,SCHNAP</t>
  </si>
  <si>
    <t>1012386</t>
  </si>
  <si>
    <t>AKÜL2,TK55AH,IGYSMF,GRİSYH,SILVER,SCHNAP</t>
  </si>
  <si>
    <t>1012389</t>
  </si>
  <si>
    <t>AKÜL2,DK62AH,IGYSMF,GRİSYH,SILVER,SCHNAP</t>
  </si>
  <si>
    <t>1012391</t>
  </si>
  <si>
    <t>AKÜL2,DK62AH,IGYSMF,GRİSYH,STRONG,SCHNAP</t>
  </si>
  <si>
    <t>1012392</t>
  </si>
  <si>
    <t>AKÜL2,TK62AH,IGYSMF,GRİSYH,STRONG,SCHNAP</t>
  </si>
  <si>
    <t>1012394</t>
  </si>
  <si>
    <t>AKÜ,L2,DK,60AH,IGYA SMF,EFB S&amp;S,SCHNAPP</t>
  </si>
  <si>
    <t>1012396</t>
  </si>
  <si>
    <t>ST-072-STD-23</t>
  </si>
  <si>
    <t>AKÜ,L4,DK,82AH,IGYA,NONAME,94R-860,HYTEC</t>
  </si>
  <si>
    <t>IA-ST-072-STD-23</t>
  </si>
  <si>
    <t>1012404</t>
  </si>
  <si>
    <t>AKÜ,L5,DK,100AH,IGYA SMF,EAS EFB S&amp;S</t>
  </si>
  <si>
    <t>1012405</t>
  </si>
  <si>
    <t>AKÜ,L5,DK,100AH,IGYA SMF,HUGEL EFB S&amp;S</t>
  </si>
  <si>
    <t>1012407</t>
  </si>
  <si>
    <t>AKÜ,L5,DK100AH,IGYASMF,BLIZZARS&amp;S,JANENE</t>
  </si>
  <si>
    <t>1012408</t>
  </si>
  <si>
    <t>AKÜ,L5,DK,100AH,IGYASMF,BLIZZARO EFB S&amp;S</t>
  </si>
  <si>
    <t>1012413</t>
  </si>
  <si>
    <t>AKÜ,L3,DK,66AH,IGYA SMF,İNCİ FORM TAURUS</t>
  </si>
  <si>
    <t>1012414</t>
  </si>
  <si>
    <t>AKÜL3,DK,75AH,IGYSMF,BLIZZAROTREND,METRA</t>
  </si>
  <si>
    <t>1012416</t>
  </si>
  <si>
    <t>AKÜ,L3,DK,80AH,IGYSMF,İNCİMAXIMA,DIŞ PYS</t>
  </si>
  <si>
    <t>1012417</t>
  </si>
  <si>
    <t>AKÜ,L3,TK,75AH,IGYSMF,İNCİ SUPRA,METRA</t>
  </si>
  <si>
    <t>1012418</t>
  </si>
  <si>
    <t>AKÜ,L3,DK,75AH,IGYSMF,İNCİ SUPRA,METRA</t>
  </si>
  <si>
    <t>1012425</t>
  </si>
  <si>
    <t>AKÜ,L3,DK72AH,IGYSMF,GRİSYH,SILVR,SCHNAP</t>
  </si>
  <si>
    <t>1012426</t>
  </si>
  <si>
    <t>AKÜ,L3,DK72AH,IGYSMF,GRİSYH,STRONG,SCHNP</t>
  </si>
  <si>
    <t>1012428</t>
  </si>
  <si>
    <t>AKÜ,L3,DK,70AH,IGYA SMF,EFB S&amp;S,SCHNAPP</t>
  </si>
  <si>
    <t>1012429</t>
  </si>
  <si>
    <t>AKÜ,L3,TK72AH,IGYSMF,GRİSYH,STRONG,SCHNP</t>
  </si>
  <si>
    <t>1012431</t>
  </si>
  <si>
    <t>AKÜ,L4,DK,90AH,IGYSMF,İNCİMAXIMA,DIŞ PYS</t>
  </si>
  <si>
    <t>1012432</t>
  </si>
  <si>
    <t>ST-076-EUR-01</t>
  </si>
  <si>
    <t>AKÜ AGM,L2,DK,60AH,İNCİ AGM LEO,İÇ PYS</t>
  </si>
  <si>
    <t>IA-ST-076-EUR-01</t>
  </si>
  <si>
    <t>1012433</t>
  </si>
  <si>
    <t>ST-056-EUR-01</t>
  </si>
  <si>
    <t>AKÜ AGM,L4,DK,80AH,İNCİ AGM LEO,İÇ PYS</t>
  </si>
  <si>
    <t>IA-ST-056-EUR-01</t>
  </si>
  <si>
    <t>1012435</t>
  </si>
  <si>
    <t>AKÜ,NS60,TK,45AH,IGYA SMF,HUGEL ULTRA</t>
  </si>
  <si>
    <t>1012437</t>
  </si>
  <si>
    <t>AKÜ,NS60,DK,45AH,IGYA SMF,HUGEL ULTRA</t>
  </si>
  <si>
    <t>1012443</t>
  </si>
  <si>
    <t>ST-096-STD-05</t>
  </si>
  <si>
    <t>AKÜ,NS60,DK,45AH,IGYA SMF,SILVER SCHNAP</t>
  </si>
  <si>
    <t>IA-ST-096-STD-05</t>
  </si>
  <si>
    <t>1012444</t>
  </si>
  <si>
    <t>AKÜ,NS60,DK,45AH,IGYA SMF,STRONG SCHNAP</t>
  </si>
  <si>
    <t>1012446</t>
  </si>
  <si>
    <t>ST-120-STD-03</t>
  </si>
  <si>
    <t>AKÜ,NS40,DK,40AH,B1,IGYASMF,STRONGSCHNAP</t>
  </si>
  <si>
    <t>IA-ST-120-STD-03</t>
  </si>
  <si>
    <t>1012447</t>
  </si>
  <si>
    <t>AKÜ,NS40,DK,40AH,B1,IGYASMF,SILVERSCHNAP</t>
  </si>
  <si>
    <t>1012448</t>
  </si>
  <si>
    <t>AKÜ,NS40,DK,40AH,B0,IGYASMF,STRONGSCHNAP</t>
  </si>
  <si>
    <t>1012449</t>
  </si>
  <si>
    <t>AKÜ,NS40,DK,40AH,B0,IGYASMF,SILVERSCHNAP</t>
  </si>
  <si>
    <t>1012451</t>
  </si>
  <si>
    <t>AKÜ,NS60,TK,45AH,IGYSMF,İNCİ TAUR,DIŞPYS</t>
  </si>
  <si>
    <t>1012452</t>
  </si>
  <si>
    <t>AKÜ,NS40,DK,42AH,IGYSMF,İNCİ FORM TAURUS</t>
  </si>
  <si>
    <t>1012453</t>
  </si>
  <si>
    <t>KÜ,NS40,TK,42AH,IGYSMF,İNCİ FORM TAURUS</t>
  </si>
  <si>
    <t>1012457</t>
  </si>
  <si>
    <t>1012458</t>
  </si>
  <si>
    <t>AKÜ,NS60,TK,45AH,IGYA SMF,STRONG SCHNAP</t>
  </si>
  <si>
    <t>1012464</t>
  </si>
  <si>
    <t>1012465</t>
  </si>
  <si>
    <t>AKÜ,NS60,TK,45AH,IGYA SMF,SILVER SCHNAP</t>
  </si>
  <si>
    <t>1012467</t>
  </si>
  <si>
    <t>AKÜ,NS60,DK45AH,IGYSMF,İNCİTAUR,EECMISIR</t>
  </si>
  <si>
    <t>1012468</t>
  </si>
  <si>
    <t>ST-036-EUR-01</t>
  </si>
  <si>
    <t>AKÜ AGM,L6,DK,105AH,İNCİ AGM LEO,İÇ PYS</t>
  </si>
  <si>
    <t>IA-ST-036-EUR-01</t>
  </si>
  <si>
    <t>1012469</t>
  </si>
  <si>
    <t>AKÜ,D26,TK,75AH,IGYA SMF,İNCİ TAURUS</t>
  </si>
  <si>
    <t>1012470</t>
  </si>
  <si>
    <t>AKÜ,L1,DK,46AH,IGYA SMF,HUGEL ULTRA</t>
  </si>
  <si>
    <t>1012471</t>
  </si>
  <si>
    <t>AKÜ,LB3,DK,66AH,IGYA SMF,HUGEL ULTRA</t>
  </si>
  <si>
    <t>1012472</t>
  </si>
  <si>
    <t>AKÜ,L2,DK,55AH,IGYA SMF,HUGEL ULTRA</t>
  </si>
  <si>
    <t>1012473</t>
  </si>
  <si>
    <t>AKÜ,LB2,DK,60AH,IGYA SMF,EAS ACTIVA</t>
  </si>
  <si>
    <t>1012474</t>
  </si>
  <si>
    <t>AKÜ,L4,DK,82AH,IGYA SMF,HUGEL ACTION</t>
  </si>
  <si>
    <t>1012477</t>
  </si>
  <si>
    <t>AKÜ,D31,DK,100AH,IGYA SMF,EAS ACTIVA</t>
  </si>
  <si>
    <t>1012479</t>
  </si>
  <si>
    <t>AKÜ,D31,DK,100AH,IGYSMF,BLİZZARO SILVERL</t>
  </si>
  <si>
    <t>1012480</t>
  </si>
  <si>
    <t>AKÜ,D31,TK,100AH,IGYSMF,BLİZZARO SILVERL</t>
  </si>
  <si>
    <t>1012484</t>
  </si>
  <si>
    <t>AKÜ,LB2,DK,60AH,IGYA SMF,EAS ACTIVA,EURO</t>
  </si>
  <si>
    <t>1012485</t>
  </si>
  <si>
    <t>AKÜ,L3,DK,75AH,IGYA SMF,EAS ACTIVA,EURO</t>
  </si>
  <si>
    <t>1012486</t>
  </si>
  <si>
    <t>AKÜ,LB2,DK,60AH,IGYASMF,BLIZZARO SILVERL</t>
  </si>
  <si>
    <t>1012487</t>
  </si>
  <si>
    <t>AKÜ,LB3,DK,72AH,IGYA SMF,EAS ACTIVA,EURO</t>
  </si>
  <si>
    <t>1012488</t>
  </si>
  <si>
    <t>AKÜ,L2,DK,60AH,IGYA SMF,İNCİ EFB PANTERA</t>
  </si>
  <si>
    <t>1012490</t>
  </si>
  <si>
    <t>AKÜ,L1,DK,50AH,IGYA SMF,BLIZZARO SILVERL</t>
  </si>
  <si>
    <t>1012491</t>
  </si>
  <si>
    <t>AKÜ,LB1,DK,50AH,IGYASMF,BLIZZARO SILVERL</t>
  </si>
  <si>
    <t>1012497</t>
  </si>
  <si>
    <t>ST-072-EUR-05</t>
  </si>
  <si>
    <t>AKÜ,NS60,TK,45AH,IGYASMF,EAS ACTIVA,EURO</t>
  </si>
  <si>
    <t>IA-ST-072-EUR-05</t>
  </si>
  <si>
    <t>1012504</t>
  </si>
  <si>
    <t>AKÜ,L3,DK,72AH,IGYA SMF,EAS EFB S&amp;S</t>
  </si>
  <si>
    <t>1012506</t>
  </si>
  <si>
    <t>ST-087-EUR-01</t>
  </si>
  <si>
    <t>AKÜ,NS40,DK,42AH,IGYASMF,EAS ACTIVA,EURO</t>
  </si>
  <si>
    <t>IA-ST-087-EUR-01</t>
  </si>
  <si>
    <t>1012507</t>
  </si>
  <si>
    <t>AKÜ,D23,DK,60AH,IGYASMF,EAS ACTIVA,EURO</t>
  </si>
  <si>
    <t>1012508</t>
  </si>
  <si>
    <t>AKÜ,NS60,DK,45AH,IGYASMF,EAS ACTIVA,EURO</t>
  </si>
  <si>
    <t>1012515</t>
  </si>
  <si>
    <t>AKÜ,D23,DK,65AH,IGYA SMF,EFB S&amp;S,SCHNAPP</t>
  </si>
  <si>
    <t>1012516</t>
  </si>
  <si>
    <t>AKÜ,C-FLAT,DK,225AH,HUGEL ACTION,TRADING</t>
  </si>
  <si>
    <t>1012520</t>
  </si>
  <si>
    <t>AKÜ,L3,DK,72AH,IGYASMF,HUGEL EFBS&amp;S,EURO</t>
  </si>
  <si>
    <t>1012524</t>
  </si>
  <si>
    <t>AKÜ,L2,DK,60AH,IGYA SMF,HUGEL ULTRA,EURO</t>
  </si>
  <si>
    <t>1012526</t>
  </si>
  <si>
    <t>AKÜ,L5,DK,100AH,IGYASMF,HUGEL ULTRA,EURO</t>
  </si>
  <si>
    <t>1012528</t>
  </si>
  <si>
    <t>AKÜ,L3,DK,75AH,IGYA SMF,HUGEL ULTRA,EURO</t>
  </si>
  <si>
    <t>1012534</t>
  </si>
  <si>
    <t>AKÜ,L2,DK,60AH,IGYA SMF,EAS ACTIVA</t>
  </si>
  <si>
    <t>1012535</t>
  </si>
  <si>
    <t>AKÜ,LB1,DK,46AH,IGYA SMF,HUGEL ULTRA</t>
  </si>
  <si>
    <t>1012537</t>
  </si>
  <si>
    <t>AKÜ,L3,DK,66AH,IGYA SMF,HUGEL ACTION</t>
  </si>
  <si>
    <t>1012541</t>
  </si>
  <si>
    <t>AKÜ,D31,TK,100AH,IGYA SMF,EAS ACTIVA</t>
  </si>
  <si>
    <t>1012543</t>
  </si>
  <si>
    <t>AKÜ,D23,DK,50AH,IGYA SMF,HUGEL ULTRA</t>
  </si>
  <si>
    <t>1012549</t>
  </si>
  <si>
    <t>AKÜ,L3,DK,72AH,IGYASMF,BLIZZARO SILVERLN</t>
  </si>
  <si>
    <t>1012550</t>
  </si>
  <si>
    <t>AKÜ,D31,DK,70AH,IGYASMF,İNCİ FORM TAURUS</t>
  </si>
  <si>
    <t>1012551</t>
  </si>
  <si>
    <t>AKÜ,D31,TK,70AH,IGYASMF,İNCİ FORM TAURUS</t>
  </si>
  <si>
    <t>1012553</t>
  </si>
  <si>
    <t>AKÜ,NS60,DK,45AH,IGYA SMF,EAS ACTIVA</t>
  </si>
  <si>
    <t>1012555</t>
  </si>
  <si>
    <t>AKÜ,NS40,DK,35AH,IGYSMF,BLIZZARO SILVERL</t>
  </si>
  <si>
    <t>1012559</t>
  </si>
  <si>
    <t>AKÜ,LB1,DK,44AH,IGYASMF,İNCİ FORM TAURUS</t>
  </si>
  <si>
    <t>1012560</t>
  </si>
  <si>
    <t>AKÜ,L2,TK,55AH,IGYA SMF,İNCİ FORM TAURUS</t>
  </si>
  <si>
    <t>1012562</t>
  </si>
  <si>
    <t>AKÜ,L5,DK,90AH,IGYA SMF,İNCİ FORM TAURUS</t>
  </si>
  <si>
    <t>1012563</t>
  </si>
  <si>
    <t>AKÜ,LB3,DK,72AH,IGYSMF,İNCİFORMTAUR,EURO</t>
  </si>
  <si>
    <t>1012568</t>
  </si>
  <si>
    <t>AKÜ,D26,DK,75AH,IGYA SMF,HUGEL ULTRA</t>
  </si>
  <si>
    <t>1012570</t>
  </si>
  <si>
    <t>AKÜ,LB2,DK,62AH,IGYSMF,İNCİFORMTAUR,EURO</t>
  </si>
  <si>
    <t>1012577</t>
  </si>
  <si>
    <t>AKÜ,L2,DK,55AH,IGYSMF,EAS ACTVKOLİ,ATWAN</t>
  </si>
  <si>
    <t>1012578</t>
  </si>
  <si>
    <t>AKÜ,D31,TK,100AH,IGYSMF,İNCİ FORM TAURUS</t>
  </si>
  <si>
    <t>1012583</t>
  </si>
  <si>
    <t>AKÜ,NS60,DK,45AH,IGYSMF,İNCİ FORM TAURUS</t>
  </si>
  <si>
    <t>1012584</t>
  </si>
  <si>
    <t>1012586</t>
  </si>
  <si>
    <t>AKÜ,LB3,DK,70AH,IGYASMF,İNCİ FORM TAURUS</t>
  </si>
  <si>
    <t>1012587</t>
  </si>
  <si>
    <t>AKÜ,LB2,DK,60AH,IGYASMF,İNCİ FORM TAURUS</t>
  </si>
  <si>
    <t>1012588</t>
  </si>
  <si>
    <t>AKÜ,L5,DK,92AH,IGYA SMF,İNCİ FORM TAURUS</t>
  </si>
  <si>
    <t>1012597</t>
  </si>
  <si>
    <t>AKÜ,LB2,DK60AH,IGYSMF,BLIZZAROS&amp;S,JANENE</t>
  </si>
  <si>
    <t>1012599</t>
  </si>
  <si>
    <t>AKÜ,L2,DK,60AH,IGYSMF,HUGELULTRA,TÜRKMEN</t>
  </si>
  <si>
    <t>1012600</t>
  </si>
  <si>
    <t>AKÜ,LB4,DK,80AH,IGYA SMF,EAS ACTIVA,EURO</t>
  </si>
  <si>
    <t>1012612</t>
  </si>
  <si>
    <t>ST-057-EUR-04</t>
  </si>
  <si>
    <t>AKÜ,LB2,DK,60AH,IGYSMF,İNCİ FORM,TRADING</t>
  </si>
  <si>
    <t>IA-ST-057-EUR-04</t>
  </si>
  <si>
    <t>1012613</t>
  </si>
  <si>
    <t>ST-051-EUR-03</t>
  </si>
  <si>
    <t>AKÜ,L3,DK,75AH,IGYASMF,İNCİ FORM,TRADING</t>
  </si>
  <si>
    <t>IA-ST-051-EUR-03</t>
  </si>
  <si>
    <t>1012614</t>
  </si>
  <si>
    <t>ST-042-EUR-03</t>
  </si>
  <si>
    <t>AKÜ,L4,DK,82AH,IGYASMF,İNCİ FORM,TRADING</t>
  </si>
  <si>
    <t>IA-ST-042-EUR-03</t>
  </si>
  <si>
    <t>1012615</t>
  </si>
  <si>
    <t>ST-036-EUR-06</t>
  </si>
  <si>
    <t>AKÜ,L5,DK,100AH,IGYSMF,İNCİ FORM,TRADING</t>
  </si>
  <si>
    <t>IA-ST-036-EUR-06</t>
  </si>
  <si>
    <t>1012618</t>
  </si>
  <si>
    <t>AKÜ,L3,DK,75AH,IGYSMF,HUGELULTRA,TRADING</t>
  </si>
  <si>
    <t>1012619</t>
  </si>
  <si>
    <t>AKÜ,L4,DK,82AH,IGYSMF,HUGELULTRA,TRADING</t>
  </si>
  <si>
    <t>1012620</t>
  </si>
  <si>
    <t>AKÜ,L5,DK,100AH,IGYSMF,HUGELULTR,TRADING</t>
  </si>
  <si>
    <t>1012624</t>
  </si>
  <si>
    <t>ST-072-EUR-01</t>
  </si>
  <si>
    <t>AKÜ,LB1,DK,44AH,IGYSMF,İNCİ FORM,TRADING</t>
  </si>
  <si>
    <t>IA-ST-072-EUR-01</t>
  </si>
  <si>
    <t>1012628</t>
  </si>
  <si>
    <t>ST-096-EUR-02</t>
  </si>
  <si>
    <t>AKÜ,L1,DK,54AH,IGYA SMF,İNCİ MAXIMA,EURO</t>
  </si>
  <si>
    <t>IA-ST-096-EUR-02</t>
  </si>
  <si>
    <t>1012629</t>
  </si>
  <si>
    <t>AKÜ,LB1,DK,44AH,IGYSMF,HUGELULTR,TRADING</t>
  </si>
  <si>
    <t>1012630</t>
  </si>
  <si>
    <t>AKÜ,L2,DK,62AH,IGYSMF,HUGELULTRA,TÜRKMEN</t>
  </si>
  <si>
    <t>1012631</t>
  </si>
  <si>
    <t>AKÜ,L2,DK,60AH,IGYASMF,İNCİ FORM,TRADING</t>
  </si>
  <si>
    <t>1012632</t>
  </si>
  <si>
    <t>AKÜ,L2,DK,60AH,IGYSMF,HUGELULTRA,TRADING</t>
  </si>
  <si>
    <t>1012633</t>
  </si>
  <si>
    <t>AKÜ,L1,DK,50Ah,IGYA SMF,FIAT,52200683</t>
  </si>
  <si>
    <t>1012638</t>
  </si>
  <si>
    <t>ST-048-STD-01</t>
  </si>
  <si>
    <t>AKÜ,L1,DK,52AH,IGYSMF,Y3000EXPORT,KOLİLİ</t>
  </si>
  <si>
    <t>IA-ST-048-STD-01</t>
  </si>
  <si>
    <t>1012641</t>
  </si>
  <si>
    <t>ST-034-STD-02</t>
  </si>
  <si>
    <t>AKÜ,L4,DK,82AH,IGYSMF,Y3000EXPORT,KOLİLİ</t>
  </si>
  <si>
    <t>IA-ST-034-STD-02</t>
  </si>
  <si>
    <t>1012643</t>
  </si>
  <si>
    <t>ST-042-STD-01</t>
  </si>
  <si>
    <t>AKÜ,D23,TK60AH,IGYSMF,Y3000EXPORT,KOLİLİ</t>
  </si>
  <si>
    <t>IA-ST-042-STD-01</t>
  </si>
  <si>
    <t>1012648</t>
  </si>
  <si>
    <t>ST-034-STD-01</t>
  </si>
  <si>
    <t>AKÜ,D31,TK95AH,IGYSMF,Y3000EXPORT,KOLİLİ</t>
  </si>
  <si>
    <t>IA-ST-034-STD-01</t>
  </si>
  <si>
    <t>1012649</t>
  </si>
  <si>
    <t>AKÜ,D31,DK95AH,IGYSMF,Y3000EXPORT,KOLİLİ</t>
  </si>
  <si>
    <t>1012653</t>
  </si>
  <si>
    <t>ST-048-EUR-03</t>
  </si>
  <si>
    <t>AKÜ,D31,DK,IGYASMF,90AH 740A(EN),PSA,OES</t>
  </si>
  <si>
    <t>IA-ST-048-EUR-03</t>
  </si>
  <si>
    <t>1012654</t>
  </si>
  <si>
    <t>ST-036-EUR-02</t>
  </si>
  <si>
    <t>AKÜ,NS40,DK,IGYASMF,35AH,İNCE KB,PSA,OES</t>
  </si>
  <si>
    <t>IA-ST-036-EUR-02</t>
  </si>
  <si>
    <t>1012657</t>
  </si>
  <si>
    <t>ST-048-EUR-07</t>
  </si>
  <si>
    <t>AKÜ,L3,DK,IGYA SMF,EFB70AH720A,5600VG</t>
  </si>
  <si>
    <t>IA-ST-048-EUR-07</t>
  </si>
  <si>
    <t>1012658</t>
  </si>
  <si>
    <t>AKÜ,L2,DK,GSY SMF,EFB 60AH 640A,5600VF</t>
  </si>
  <si>
    <t>1012659</t>
  </si>
  <si>
    <t>AKÜ,L3DK,IGYASMF,75AH800A,1638948680,PSA</t>
  </si>
  <si>
    <t>1012662</t>
  </si>
  <si>
    <t>ST-057-STD-05</t>
  </si>
  <si>
    <t>AKÜ L2,DK,IGYA SMF,EFB 60AH 520A,ERP-TR</t>
  </si>
  <si>
    <t>IA-ST-057-STD-05</t>
  </si>
  <si>
    <t>1012665</t>
  </si>
  <si>
    <t>AKÜ,L3,DK,IGYA SMF,EFB70AH680A,ERP-TR</t>
  </si>
  <si>
    <t>1012667</t>
  </si>
  <si>
    <t>ST-072-STD-26</t>
  </si>
  <si>
    <t>AKÜ,LB1,DK,IGYA SMF,44AH 440A,ERP-TR</t>
  </si>
  <si>
    <t>IA-ST-072-STD-26</t>
  </si>
  <si>
    <t>1012674</t>
  </si>
  <si>
    <t>AKÜ,LB2,DK,IGYA SMF,60AH 540A,ERP-TR</t>
  </si>
  <si>
    <t>1012675</t>
  </si>
  <si>
    <t>AKÜ,L2,DK,IGYA SMF,60AH 540A,ERP-TR</t>
  </si>
  <si>
    <t>1012676</t>
  </si>
  <si>
    <t>AKÜ,L2,DK,IGYA SMF,63AH 610A,ERP-TR</t>
  </si>
  <si>
    <t>1012677</t>
  </si>
  <si>
    <t>ST-051-STD-09</t>
  </si>
  <si>
    <t>AKÜ,LB3,DK,IGYA SMF,72AH 680A,ERP-TR</t>
  </si>
  <si>
    <t>IA-ST-051-STD-09</t>
  </si>
  <si>
    <t>1012678</t>
  </si>
  <si>
    <t>AKÜ,LB3,DK,IGYA SMF,74AH 700A,ERP-TR</t>
  </si>
  <si>
    <t>1012679</t>
  </si>
  <si>
    <t>AKÜ,L3,DK,IGYA SMF,75AH 720A,ERP-TR</t>
  </si>
  <si>
    <t>1012681</t>
  </si>
  <si>
    <t>ST-042-STD-09</t>
  </si>
  <si>
    <t>AKÜ,LB4,DK,IGYA SMF,80AH 740A,ERP-TR</t>
  </si>
  <si>
    <t>IA-ST-042-STD-09</t>
  </si>
  <si>
    <t>1012682</t>
  </si>
  <si>
    <t>ST-036-EUR-03</t>
  </si>
  <si>
    <t>AKÜ,L5,DK,IGYA SMF,95AH 800A,ERP-TR</t>
  </si>
  <si>
    <t>IA-ST-036-EUR-03</t>
  </si>
  <si>
    <t>1012683</t>
  </si>
  <si>
    <t>AKÜ,L5,DK,IGYA SMF,95AH 950A,ERP-TR</t>
  </si>
  <si>
    <t>1012685</t>
  </si>
  <si>
    <t>AKÜ,L3,DK,IGYA SMF,75AH 800A,ERP-FR</t>
  </si>
  <si>
    <t>1012686</t>
  </si>
  <si>
    <t>AKÜ,D31,DK,105AH,IGYA SMF,SDF OEM</t>
  </si>
  <si>
    <t>1012687</t>
  </si>
  <si>
    <t>AKÜ,NS60,TK,45AH,IGYA SMF,EAS ACTIVA</t>
  </si>
  <si>
    <t>1012688</t>
  </si>
  <si>
    <t>AKÜ,LB4,DK,75AH,IGYA SMF,EAS EFB S&amp;S</t>
  </si>
  <si>
    <t>1012689</t>
  </si>
  <si>
    <t>AKÜ,LB2,DK,60AH,IGYA SMF,EAS EFB S&amp;S</t>
  </si>
  <si>
    <t>1012690</t>
  </si>
  <si>
    <t>AKÜ,L2,DK,60AH,IGYA SMF,ENERGY MAX</t>
  </si>
  <si>
    <t>1012692</t>
  </si>
  <si>
    <t>AKÜ,L4,DK,80AH,IGYA SMF,EAS EFB S&amp;S</t>
  </si>
  <si>
    <t>1012694</t>
  </si>
  <si>
    <t>AKÜ,LB1,DK,52AH,IGYSMF,İNCİMAXIMA,DIŞPYS</t>
  </si>
  <si>
    <t>1012695</t>
  </si>
  <si>
    <t>AKÜ,L3,DK,72AH,IGYA SMF,İNCİ EFB PANTERA</t>
  </si>
  <si>
    <t>1012697</t>
  </si>
  <si>
    <t>ST-072-EUR-02</t>
  </si>
  <si>
    <t>AKÜ,L1,DK,50AH,IGYASMF,İNCİ FORM,TRADING</t>
  </si>
  <si>
    <t>IA-ST-072-EUR-02</t>
  </si>
  <si>
    <t>1012699</t>
  </si>
  <si>
    <t>1012702</t>
  </si>
  <si>
    <t>AKÜ,D23,DK,62AH,IGYA SMF,İNCİ TAURUS</t>
  </si>
  <si>
    <t>1012703</t>
  </si>
  <si>
    <t>AKÜ,LB3,DK,70AH,IGYA SMF,FORD OES</t>
  </si>
  <si>
    <t>1012704</t>
  </si>
  <si>
    <t>AKÜ,LB1,DK,44AH,IGYA SMF,FORD OES</t>
  </si>
  <si>
    <t>1012705</t>
  </si>
  <si>
    <t>AKÜ,L1,DK,50AH,IGYA SMF,FORD OES</t>
  </si>
  <si>
    <t>1012706</t>
  </si>
  <si>
    <t>AKÜ,LB2,DK,60AH,IGYA SMF,FORD OES</t>
  </si>
  <si>
    <t>1012707</t>
  </si>
  <si>
    <t>AKÜ,LB3,DK,72AH,IGYA SMF,FORD OES</t>
  </si>
  <si>
    <t>1012709</t>
  </si>
  <si>
    <t>AKÜ,LB4,DK,82AH,IGYA SMF,FORD OES</t>
  </si>
  <si>
    <t>1012710</t>
  </si>
  <si>
    <t>AKÜ,LB3,DK,65AH,IGYASMF,EFB S&amp;S,FORD OES</t>
  </si>
  <si>
    <t>1012712</t>
  </si>
  <si>
    <t>AKÜ,L3,DK,70AH,IGYA SMF,EFB S&amp;S,FORD OES</t>
  </si>
  <si>
    <t>1012713</t>
  </si>
  <si>
    <t>AKÜ,L5,DK,100AH,IGYASMF,İNCİ SUPRA,TAFE</t>
  </si>
  <si>
    <t>1012714</t>
  </si>
  <si>
    <t>ST-036-STD-10</t>
  </si>
  <si>
    <t>AKÜ,L5,DK,102AH,IGYSMF,TPOWERPARTSTEKSAN</t>
  </si>
  <si>
    <t>IA-ST-036-STD-10</t>
  </si>
  <si>
    <t>1012715</t>
  </si>
  <si>
    <t>ST-048-STD-06</t>
  </si>
  <si>
    <t>AKÜ,NS60,DK47AH,IGYSMF,TPOWERPARTSTEKSAN</t>
  </si>
  <si>
    <t>IA-ST-048-STD-06</t>
  </si>
  <si>
    <t>1012716</t>
  </si>
  <si>
    <t>ST-051-STD-11</t>
  </si>
  <si>
    <t>AKÜ,LB3,DK,75AH,IGYSMF,TPOWERPARTSTEKSAN</t>
  </si>
  <si>
    <t>IA-ST-051-STD-11</t>
  </si>
  <si>
    <t>1012738</t>
  </si>
  <si>
    <t>ST-051-EUR-04</t>
  </si>
  <si>
    <t>AKÜ,L3,DK,72AH,IGYSMF,HUGELULTRA,POLONYA</t>
  </si>
  <si>
    <t>IA-ST-051-EUR-04</t>
  </si>
  <si>
    <t>1012739</t>
  </si>
  <si>
    <t>AKÜ,LB3,DK72AH,IGYSMF,HUGELULTRA,POLONYA</t>
  </si>
  <si>
    <t>1012740</t>
  </si>
  <si>
    <t>ST-042-EUR-04</t>
  </si>
  <si>
    <t>AKÜ,LB4,DK80AH,IGYSMF,HUGELULTRA,POLONYA</t>
  </si>
  <si>
    <t>IA-ST-042-EUR-04</t>
  </si>
  <si>
    <t>1012741</t>
  </si>
  <si>
    <t>ST-072-EUR-03</t>
  </si>
  <si>
    <t>AKÜ,LB1,DK44AH,IGYSMF,HUGELULTRA,POLONYA</t>
  </si>
  <si>
    <t>IA-ST-072-EUR-03</t>
  </si>
  <si>
    <t>1012742</t>
  </si>
  <si>
    <t>AKÜ,L1,DK,50AH,IGYSMF,HUGELULTRA,POLONYA</t>
  </si>
  <si>
    <t>1012743</t>
  </si>
  <si>
    <t>AKÜ,L2,DK,60AH,IGYSMF,HUGELULTRA,POLONYA</t>
  </si>
  <si>
    <t>1012744</t>
  </si>
  <si>
    <t>AKÜ,LB2,DK60AH,IGYSMF,HUGELULTRA,POLONYA</t>
  </si>
  <si>
    <t>1012765</t>
  </si>
  <si>
    <t>AKÜ,L3,DK,72AH,IGYA SMF,BLIZZARO EFB S&amp;S</t>
  </si>
  <si>
    <t>1012768</t>
  </si>
  <si>
    <t>AKÜ,D31,TK,70AH,IGYA SMF,HUGEL ULTRA</t>
  </si>
  <si>
    <t>1012769</t>
  </si>
  <si>
    <t>AKÜ,L5,DK,88AH,IGYSMF,İNCİTAURUS,SHAWKAT</t>
  </si>
  <si>
    <t>1012770</t>
  </si>
  <si>
    <t>AKÜ,LB1,DK,44AH,IGYA SMF,EAS ACTIVA,EURO</t>
  </si>
  <si>
    <t>1012772</t>
  </si>
  <si>
    <t>AKÜ,L2,TK,60AH,IGYA SMF,İNCİ FORM TAURUS</t>
  </si>
  <si>
    <t>1012773</t>
  </si>
  <si>
    <t>AKÜ,L5,DK,92AH,İNCİ AGM LEO,EEC MISIR</t>
  </si>
  <si>
    <t>1012786</t>
  </si>
  <si>
    <t>AKÜ,L6,DK,110AH,KAMINA,İNCİ SUPRA SENTOR</t>
  </si>
  <si>
    <t>1012787</t>
  </si>
  <si>
    <t>AKÜ,D31,TK,90AH,IGYSMF,İNCİTAURUS,HATTAT</t>
  </si>
  <si>
    <t>1012788</t>
  </si>
  <si>
    <t>AKÜ,L5,DK105AH,IGYA,B13,İNCİTAURS,HATTAT</t>
  </si>
  <si>
    <t>1012789</t>
  </si>
  <si>
    <t>AKÜ,NS60,DK45AH,IGYSMF,HUGELULTR,TRADING</t>
  </si>
  <si>
    <t>1012790</t>
  </si>
  <si>
    <t>AKÜ,D31,DK100AH,IGYSMF,HUGELULTR,TRADING</t>
  </si>
  <si>
    <t>1012791</t>
  </si>
  <si>
    <t>AKÜ,D31,TK100AH,IGYSMF,HUGELULTR,TRADING</t>
  </si>
  <si>
    <t>1012792</t>
  </si>
  <si>
    <t>AKÜ,NS40,DK,42AH,IGYA SMF,HUGEL ULTRA</t>
  </si>
  <si>
    <t>1012810</t>
  </si>
  <si>
    <t>AKÜ,L2,DK,65AH,IGYASMF,İNCİ EFBMAXTIGRIS</t>
  </si>
  <si>
    <t>1012811</t>
  </si>
  <si>
    <t>AKÜ,L3,DK,75AH,IGYASMF,İNCİ EFBMAXTIGRIS</t>
  </si>
  <si>
    <t>1012820</t>
  </si>
  <si>
    <t>ST-076-STD-01</t>
  </si>
  <si>
    <t>AKÜ,L2,DK,60AH,IGYA SMF,FIAT YP,OES</t>
  </si>
  <si>
    <t>IA-ST-076-STD-01</t>
  </si>
  <si>
    <t>1012821</t>
  </si>
  <si>
    <t>AKÜ,D31,DK,90AH,IGYSMF,İNCİTAURS,AIOSOEM</t>
  </si>
  <si>
    <t>1012822</t>
  </si>
  <si>
    <t>AKÜ,D31,DK,90AH,IGYA SMF,ISUZU OES</t>
  </si>
  <si>
    <t>1012823</t>
  </si>
  <si>
    <t>ST-048-STD-04</t>
  </si>
  <si>
    <t>AKÜ,D31,TK,90AH,IGYA SMF,MAKO YP,OES</t>
  </si>
  <si>
    <t>IA-ST-048-STD-04</t>
  </si>
  <si>
    <t>1012824</t>
  </si>
  <si>
    <t>ST-048-STD-09</t>
  </si>
  <si>
    <t>AKÜ,L5,DK,102AH,IGYA SMF,MAKO YP,OES</t>
  </si>
  <si>
    <t>IA-ST-048-STD-09</t>
  </si>
  <si>
    <t>1012825</t>
  </si>
  <si>
    <t>ST-076-STD-03</t>
  </si>
  <si>
    <t>AKÜ,L2,DK,60AH,IGYA SMF,MAKO YP,OES</t>
  </si>
  <si>
    <t>IA-ST-076-STD-03</t>
  </si>
  <si>
    <t>1012827</t>
  </si>
  <si>
    <t>ST-068-STD-06</t>
  </si>
  <si>
    <t>AKÜ,L3,DK,72AH,IGYA SMF,FIAT YP,OES</t>
  </si>
  <si>
    <t>IA-ST-068-STD-06</t>
  </si>
  <si>
    <t>1012828</t>
  </si>
  <si>
    <t>ST-068-STD-08</t>
  </si>
  <si>
    <t>AKÜ,L3,DK,72AH,IGYA SMF,MAKO YP,OES</t>
  </si>
  <si>
    <t>IA-ST-068-STD-08</t>
  </si>
  <si>
    <t>1012829</t>
  </si>
  <si>
    <t>1012830</t>
  </si>
  <si>
    <t>AKÜ,L3,DK,72AH,B01,IGYA SMF,MAKO YP,OES</t>
  </si>
  <si>
    <t>1012831</t>
  </si>
  <si>
    <t>ST-096-STD-07</t>
  </si>
  <si>
    <t>AKÜ,LB1,DK,50AH,IGYA SMF,MAKO YP,OES</t>
  </si>
  <si>
    <t>IA-ST-096-STD-07</t>
  </si>
  <si>
    <t>1012833</t>
  </si>
  <si>
    <t>ST-096-STD-08</t>
  </si>
  <si>
    <t>AKÜ,L1,DK,50Ah,IGYASMF,FIAT OES,55178584</t>
  </si>
  <si>
    <t>IA-ST-096-STD-08</t>
  </si>
  <si>
    <t>1012834</t>
  </si>
  <si>
    <t>ST-072-STD-28</t>
  </si>
  <si>
    <t>AKÜ,NS60,DK,45AH,IGYA SMF,MAKO YP,OES</t>
  </si>
  <si>
    <t>IA-ST-072-STD-28</t>
  </si>
  <si>
    <t>1012835</t>
  </si>
  <si>
    <t>ST-048-STD-07</t>
  </si>
  <si>
    <t>AKÜ,L5,DK,90AH,IGYA SMF,S&amp;S MAKO YP,OES</t>
  </si>
  <si>
    <t>IA-ST-048-STD-07</t>
  </si>
  <si>
    <t>1012838</t>
  </si>
  <si>
    <t>AKÜ,L3,DK,72AH,B13,IGYASMF,SUPRA,AIOSOEM</t>
  </si>
  <si>
    <t>1012839</t>
  </si>
  <si>
    <t>AKÜ,L3,DK,72AH,IGYA SMF,ISUZU OES</t>
  </si>
  <si>
    <t>1012840</t>
  </si>
  <si>
    <t>AKÜ,L2,DK,63AH,IGYA SMF,S&amp;S,FIAT YP,OES</t>
  </si>
  <si>
    <t>1012841</t>
  </si>
  <si>
    <t>AKÜ,L2,DK,63AH,IGYA SMF,S&amp;S,MAKO YP,OES</t>
  </si>
  <si>
    <t>1012842</t>
  </si>
  <si>
    <t>AKÜ,L3,DK,72AH,IGYA SMF,S&amp;S,FIAT YP,OES</t>
  </si>
  <si>
    <t>1012843</t>
  </si>
  <si>
    <t>AKÜ,L3,DK,72AH,IGYA SMF,S&amp;S,MAKO YP,OES</t>
  </si>
  <si>
    <t>1012844</t>
  </si>
  <si>
    <t>ST-068-STD-05</t>
  </si>
  <si>
    <t>AKÜ,LB3,DK,75AH,IGYA SMF,MAKO YP,OES</t>
  </si>
  <si>
    <t>IA-ST-068-STD-05</t>
  </si>
  <si>
    <t>1012845</t>
  </si>
  <si>
    <t>AKÜ,L5,TK,105AH,IGYASMF,İNCİSUPRA,ERKUNT</t>
  </si>
  <si>
    <t>1012846</t>
  </si>
  <si>
    <t>AKÜ,LB2,DK,60AH,IGYA SMF,MAKO YP,OES</t>
  </si>
  <si>
    <t>1012847</t>
  </si>
  <si>
    <t>ST-048-STD-05</t>
  </si>
  <si>
    <t>AKÜ,D31,DK,90AH,IGYA SMF,MAKO YP,OES</t>
  </si>
  <si>
    <t>IA-ST-048-STD-05</t>
  </si>
  <si>
    <t>1012848</t>
  </si>
  <si>
    <t>AKÜ,L3,DK,70Ah,IGYA SMF,FIAT YP,OES</t>
  </si>
  <si>
    <t>1012849</t>
  </si>
  <si>
    <t>AKÜ,L3,DK,75AH,IGYA SMF,MAKO YP,OES</t>
  </si>
  <si>
    <t>1012850</t>
  </si>
  <si>
    <t>AKÜ,D26,DK,70AH,IGYA SMF,ISUZU OES</t>
  </si>
  <si>
    <t>1012851</t>
  </si>
  <si>
    <t>AKÜ,D26,DK,68AH,IGYA SMF,AIOS OEM</t>
  </si>
  <si>
    <t>1012852</t>
  </si>
  <si>
    <t>AKÜ,D26,DK,68AH,IGYA SMF,ISUZU OES</t>
  </si>
  <si>
    <t>1012857</t>
  </si>
  <si>
    <t>AKÜ,L5,DK102AH,IGYSMF,MAXIMA,DIŞPYS,EURO</t>
  </si>
  <si>
    <t>1012862</t>
  </si>
  <si>
    <t>AKÜ,NS60,DK62AH,IGYSMF,İNCİTAURS,SHAWKAT</t>
  </si>
  <si>
    <t>1012868</t>
  </si>
  <si>
    <t>AKÜ,D26,DK,62AH,IGYSMF,İNCİTAURS,SHAWKAT</t>
  </si>
  <si>
    <t>1012870</t>
  </si>
  <si>
    <t>AKÜ,L4,DK,82AH,IGYSMF,HUGELULTRA,SHAWKAT</t>
  </si>
  <si>
    <t>1012871</t>
  </si>
  <si>
    <t>AKÜ,L2,DK,60AH,IGYASMF,EFBS&amp;S,PILOT PER.</t>
  </si>
  <si>
    <t>1012872</t>
  </si>
  <si>
    <t>AKÜ,L3,DK,72AH,IGYASMF,EFBS&amp;S,PILOT PER.</t>
  </si>
  <si>
    <t>1012873</t>
  </si>
  <si>
    <t>AKÜ,L4,DK,80AH,IGYASMF,EFBS&amp;S,PILOT PER.</t>
  </si>
  <si>
    <t>1012874</t>
  </si>
  <si>
    <t>AKÜ,L5,DK,90AH,IGYASMF,EFBS&amp;S,PILOT PER.</t>
  </si>
  <si>
    <t>1012875</t>
  </si>
  <si>
    <t>AKÜ,L5,DK,100AH,IGYASMF,EFBS&amp;S,PILOT PER</t>
  </si>
  <si>
    <t>1012876</t>
  </si>
  <si>
    <t>AKÜ,LB2,DK,60AH,IGYASMF,EFBS&amp;S,PILOT PER</t>
  </si>
  <si>
    <t>1012877</t>
  </si>
  <si>
    <t>AKÜ,LB3,DK,65AH,IGYASMF,EFBS&amp;S,PILOT PER</t>
  </si>
  <si>
    <t>1012878</t>
  </si>
  <si>
    <t>AKÜ,LB4,DK,75AH,IGYASMF,EFBS&amp;S,PILOT PER</t>
  </si>
  <si>
    <t>1012879</t>
  </si>
  <si>
    <t>ST-096-EUR-09</t>
  </si>
  <si>
    <t>AKÜ,L0,DK,40AH,DINNEW,PILOT PERFORMANCE</t>
  </si>
  <si>
    <t>IA-ST-096-EUR-09</t>
  </si>
  <si>
    <t>1012880</t>
  </si>
  <si>
    <t>ST-096-EUR-03</t>
  </si>
  <si>
    <t>AKÜ,L1,DK,44AH,IGYASMF,PILOT PERFORMANCE</t>
  </si>
  <si>
    <t>IA-ST-096-EUR-03</t>
  </si>
  <si>
    <t>1012881</t>
  </si>
  <si>
    <t>AKÜ,L1,DK,50AH,IGYASMF,PILOT PERFORMANCE</t>
  </si>
  <si>
    <t>1012884</t>
  </si>
  <si>
    <t>AKÜ,LB1,DK,50AH,IGYSMF,PILOT PERFORMANCE</t>
  </si>
  <si>
    <t>1012885</t>
  </si>
  <si>
    <t>AKÜ,L2,DK,60AH,IGYASMF,PILOT PERFORMANCE</t>
  </si>
  <si>
    <t>1012886</t>
  </si>
  <si>
    <t>AKÜ,L2,TK,60AH,IGYASMF,PILOT PERFORMANCE</t>
  </si>
  <si>
    <t>1012887</t>
  </si>
  <si>
    <t>AKÜ,LB2,DK,60AH,IGYSMF,PILOT PERFORMANCE</t>
  </si>
  <si>
    <t>1012889</t>
  </si>
  <si>
    <t>AKÜ,L3,DK,75AH,IGYASMF,PILOT PERFORMANCE</t>
  </si>
  <si>
    <t>1012890</t>
  </si>
  <si>
    <t>AKÜ,L3,TK,75AH,IGYASMF,PILOT PERFORMANCE</t>
  </si>
  <si>
    <t>1012891</t>
  </si>
  <si>
    <t>AKÜ,LB3,DK,66AH,IGYSMF,PILOT PERFORMANCE</t>
  </si>
  <si>
    <t>1012892</t>
  </si>
  <si>
    <t>AKÜ,LB3,DK,72AH,IGYSMF,PILOT PERFORMANCE</t>
  </si>
  <si>
    <t>1012894</t>
  </si>
  <si>
    <t>AKÜ,LB4,DK,80AH,IGYSMF,PILOT PERFORMANCE</t>
  </si>
  <si>
    <t>1012895</t>
  </si>
  <si>
    <t>AKÜ,L5,DK,90AH,IGYASMF,PILOT PERFORMANCE</t>
  </si>
  <si>
    <t>1012896</t>
  </si>
  <si>
    <t>AKÜ,L5,DK,100AH,IGYSMF,PILOT PERFORMANCE</t>
  </si>
  <si>
    <t>1012897</t>
  </si>
  <si>
    <t>AKÜ,LB5,DK,90AH,IGYSMF,PILOT PERFORMANCE</t>
  </si>
  <si>
    <t>1012898</t>
  </si>
  <si>
    <t>AKÜ,L4,DK,100AH,IGYSMF,PILOT PERFORMANCE</t>
  </si>
  <si>
    <t>1012899</t>
  </si>
  <si>
    <t>AKÜ,D31,DK,102AH,IGYA,HUGELULTRA,SHAWKAT</t>
  </si>
  <si>
    <t>1012903</t>
  </si>
  <si>
    <t>AKÜ,L5,DK,102AH,IGYA,HUGEL ULTRA,SHAWKAT</t>
  </si>
  <si>
    <t>1012904</t>
  </si>
  <si>
    <t>AKÜ,L4,DK,82AH,IGYA,İNCİFORMTAUR,SHAWKAT</t>
  </si>
  <si>
    <t>1012905</t>
  </si>
  <si>
    <t>AKÜ,L5,DK102AH,IGYA,İNCİFORMTAUR,SHAWKAT</t>
  </si>
  <si>
    <t>1012906</t>
  </si>
  <si>
    <t>AKÜ,L3,DK,75AH,IGYA,HUGEL ULTRA,SHAWKAT</t>
  </si>
  <si>
    <t>1012907</t>
  </si>
  <si>
    <t>AKÜ,D31,DK90AH,IGYA,İNCİFORMTAUR,SHAWKAT</t>
  </si>
  <si>
    <t>1012908</t>
  </si>
  <si>
    <t>AKÜ,D26,DK,62AH,IGYA,HUGEL ULTRA,SHAWKAT</t>
  </si>
  <si>
    <t>1012909</t>
  </si>
  <si>
    <t>AKÜ,L5,DK,90AH,IGYA,İNCİFORMTAUR,SHAWKAT</t>
  </si>
  <si>
    <t>1012910</t>
  </si>
  <si>
    <t>AKÜ,L2,TK,62AH,IGYA,İNCİFORMTAUR,SHAWKAT</t>
  </si>
  <si>
    <t>1012911</t>
  </si>
  <si>
    <t>AKÜ,L3,TK,75AH,IGYA,İNCİFORMTAUR,SHAWKAT</t>
  </si>
  <si>
    <t>1012912</t>
  </si>
  <si>
    <t>AKÜ,D31,TK102AH,IGYA,İNCİFORMTAU,SHAWKAT</t>
  </si>
  <si>
    <t>1012913</t>
  </si>
  <si>
    <t>AKÜ,L3,DK,75AH,IGYA,İNCİFORMTAUR,SHAWKAT</t>
  </si>
  <si>
    <t>1012914</t>
  </si>
  <si>
    <t>AKÜ,D23,DK,62AH,IGYA,İNCİFORMTAU,SHAWKAT</t>
  </si>
  <si>
    <t>1012915</t>
  </si>
  <si>
    <t>AKÜ,L2,DK,62AH,IGYA,İNCİFORMTAUR,SHAWKAT</t>
  </si>
  <si>
    <t>1012916</t>
  </si>
  <si>
    <t>AKÜ,D31,DK102AH,IGYA,İNCİFORMTAU,SHAWKAT</t>
  </si>
  <si>
    <t>1012917</t>
  </si>
  <si>
    <t>AKÜ,D31,TK,90AH,IGYA,İNCİFORMTAU,SHAWKAT</t>
  </si>
  <si>
    <t>1012918</t>
  </si>
  <si>
    <t>AKÜ,L2,DK,62Ah,IGYASMF,ENERGYMAX,SHAWKAT</t>
  </si>
  <si>
    <t>1012922</t>
  </si>
  <si>
    <t>AKÜ,L2,DK,57AH,IGYASMF,ENERGYMAX,SHAWKAT</t>
  </si>
  <si>
    <t>1012929</t>
  </si>
  <si>
    <t>AKÜ,L3,DK,72AH,IGYA,HUGEL ACTION,SHAWKAT</t>
  </si>
  <si>
    <t>1012930</t>
  </si>
  <si>
    <t>AKÜ,D31,DK,90AH,IGYA,HUGEL ULTRA,SHAWKAT</t>
  </si>
  <si>
    <t>1012932</t>
  </si>
  <si>
    <t>AKÜ,NS60,DK45AH,IGYA,İNCİFORMTAU,SHAWKAT</t>
  </si>
  <si>
    <t>1012937</t>
  </si>
  <si>
    <t>AKÜ,D23,TK,62AH,IGYA,EASA CTIVA,SHAWKAT</t>
  </si>
  <si>
    <t>1012939</t>
  </si>
  <si>
    <t>AKÜ,D23,DK,62AH,IGYA,HUGEL ULTRA,SHAWKAT</t>
  </si>
  <si>
    <t>1012940</t>
  </si>
  <si>
    <t>AKÜ,L3,TK,75AH,IGYSMF,HUGELULTRA,SHAWKAT</t>
  </si>
  <si>
    <t>1012943</t>
  </si>
  <si>
    <t>AKÜ,D26,DK75AH,IGYSMF,HUGELULTRA,SHAWKAT</t>
  </si>
  <si>
    <t>1012946</t>
  </si>
  <si>
    <t>AKÜ,D26,TK,62AH,IGYA,İNCİFORMTAU,SHAWKAT</t>
  </si>
  <si>
    <t>1012949</t>
  </si>
  <si>
    <t>AKÜ,NS60,DK,45AH,IGYA,HUGELULTRA,SHAWKAT</t>
  </si>
  <si>
    <t>1012956</t>
  </si>
  <si>
    <t>AKÜ,L3,TK72AH,IGYSMF,GRİSYH,SILVR,SCHNAP</t>
  </si>
  <si>
    <t>1012957</t>
  </si>
  <si>
    <t>AKÜ,L1,TK,44AH,IGYA SMF,SMF 077,GS</t>
  </si>
  <si>
    <t>1012958</t>
  </si>
  <si>
    <t>AKÜ,L1,DK,52AH,IGYA SMF,SMF 012,GS</t>
  </si>
  <si>
    <t>1012959</t>
  </si>
  <si>
    <t>AKÜ,LB1,DK,46AH,IGYA SMF,SMF 063,GS</t>
  </si>
  <si>
    <t>1012962</t>
  </si>
  <si>
    <t>AKÜ,LB2,DK,60AH,IGYA SMF,SMF 075,GS</t>
  </si>
  <si>
    <t>1012966</t>
  </si>
  <si>
    <t>AKÜ,L4,DK,82AH,IGYA SMF,SMF 115,GS</t>
  </si>
  <si>
    <t>1012967</t>
  </si>
  <si>
    <t>AKÜ,LB4,DK,80AH,IGYA SMF,SMF 110,GS</t>
  </si>
  <si>
    <t>1012969</t>
  </si>
  <si>
    <t>ST-036-EUR-04</t>
  </si>
  <si>
    <t>AKÜ,LB5,DK,90AH,IGYA SMF,SMF 017,GS</t>
  </si>
  <si>
    <t>IA-ST-036-EUR-04</t>
  </si>
  <si>
    <t>1012970</t>
  </si>
  <si>
    <t>ST-063-EUR-01</t>
  </si>
  <si>
    <t>AKÜ,D23,DK,60AH,IGYA SMF,SMF 005,GS</t>
  </si>
  <si>
    <t>IA-ST-063-EUR-01</t>
  </si>
  <si>
    <t>1012971</t>
  </si>
  <si>
    <t>AKÜ,D23,TK,60AH,IGYA SMF,SMF 014,GS</t>
  </si>
  <si>
    <t>1012972</t>
  </si>
  <si>
    <t>ST-057-EUR-01</t>
  </si>
  <si>
    <t>AKÜ,D26,DK,72AH,IGYA SMF,SMF 068,GS</t>
  </si>
  <si>
    <t>IA-ST-057-EUR-01</t>
  </si>
  <si>
    <t>1012973</t>
  </si>
  <si>
    <t>AKÜ,D26,TK,72AH,IGYA SMF,SMF 069,GS</t>
  </si>
  <si>
    <t>1012974</t>
  </si>
  <si>
    <t>ST-048-EUR-05</t>
  </si>
  <si>
    <t>AKÜ,D31,TK,95AH,IGYA SMF,SMF 334,GS</t>
  </si>
  <si>
    <t>IA-ST-048-EUR-05</t>
  </si>
  <si>
    <t>1012975</t>
  </si>
  <si>
    <t>AKÜ,D31,DK,95AH,IGYA SMF,SMF 335,GS</t>
  </si>
  <si>
    <t>1012976</t>
  </si>
  <si>
    <t>AKÜ,D31,DK,105AH,IGYA,İNCİFORM,YANMAROEM</t>
  </si>
  <si>
    <t>1012977</t>
  </si>
  <si>
    <t>AKÜ,D23,TK,60AH,IGYA,İNCİFORM,YANMAR OEM</t>
  </si>
  <si>
    <t>1012984</t>
  </si>
  <si>
    <t>AKÜ,L2,DK,60AH,GSY SMF,FCA EFB,50569189</t>
  </si>
  <si>
    <t>1012985</t>
  </si>
  <si>
    <t>AKÜ,L3,DK,70AH,GSY SMF,FCA EFB,50569187</t>
  </si>
  <si>
    <t>1012986</t>
  </si>
  <si>
    <t>AKÜ,L5,DK,102AH,IGYA SMF,BOOSTER CARBON</t>
  </si>
  <si>
    <t>1012987</t>
  </si>
  <si>
    <t>AKÜ,D31,DK,100AH,IGYA SMF,BOOSTER CARBON</t>
  </si>
  <si>
    <t>1012988</t>
  </si>
  <si>
    <t>AKÜ,D31,TK,100AH,IGYA SMF,BOOSTER CARBON</t>
  </si>
  <si>
    <t>1013000</t>
  </si>
  <si>
    <t>1013007</t>
  </si>
  <si>
    <t>AKÜ,NS60,DK,50AH,IGYSMF,İNCEKB,ENERGYMAX</t>
  </si>
  <si>
    <t>1013040</t>
  </si>
  <si>
    <t>1013043</t>
  </si>
  <si>
    <t>AKÜ,L1,DK,54AH,IGYA,NONAME,GYEUR5012-054</t>
  </si>
  <si>
    <t>1013045</t>
  </si>
  <si>
    <t>AKÜ,LB4,DK85AH,IGYA,NONAME,GYEUR5110-085</t>
  </si>
  <si>
    <t>1013050</t>
  </si>
  <si>
    <t>AKÜ,D26,TK,60AH,IGYA SMF,HUGEL ULTRA</t>
  </si>
  <si>
    <t>1013055</t>
  </si>
  <si>
    <t>AKÜ,TRACTORL,DK,115AH,BLIZZTRENDL,JANENE</t>
  </si>
  <si>
    <t>1013056</t>
  </si>
  <si>
    <t>AKÜ,L1,DK,50AH,IGYA SMF,HUGEL ULTRA</t>
  </si>
  <si>
    <t>1013058</t>
  </si>
  <si>
    <t>1013059</t>
  </si>
  <si>
    <t>AKÜ,L1,DK,46AH,IGYSMF,İNCİFORM,EEC MISIR</t>
  </si>
  <si>
    <t>1013067</t>
  </si>
  <si>
    <t>AKÜ,C-IGYASMF,DK225AH,İNCİFORMTAU,SHDNEW</t>
  </si>
  <si>
    <t>1013071</t>
  </si>
  <si>
    <t>AKÜ,B-IGYASMF,DK185AH,İNCİEFBPANTERAEURO</t>
  </si>
  <si>
    <t>1013075</t>
  </si>
  <si>
    <t>AKÜ,L5,DK,90AH,IGYA SMF,BLIZZARO EFB S&amp;S</t>
  </si>
  <si>
    <t>1013076</t>
  </si>
  <si>
    <t>AKÜ,L1,DK,50AH,IGYA,İNCİFORMTAUR,SHAWKAT</t>
  </si>
  <si>
    <t>1013077</t>
  </si>
  <si>
    <t>AKÜ,L2,DK,62AH,IGYA,HUGEL ULTRA,SHAWKAT</t>
  </si>
  <si>
    <t>1013079</t>
  </si>
  <si>
    <t>AKÜ,D26,DK,62AH,IGYA,BLIZSILVERL,SHAWKAT</t>
  </si>
  <si>
    <t>1013081</t>
  </si>
  <si>
    <t>AKÜ,D31,DK,90AH,IGYA,İNCİTAURUS,TEMSA YP</t>
  </si>
  <si>
    <t>1013083</t>
  </si>
  <si>
    <t>AKÜ,L2,DK,60AH,GSYSMF,FIATEFB,TR52216091</t>
  </si>
  <si>
    <t>1013084</t>
  </si>
  <si>
    <t>AKÜ,L3,DK,70AH,GSYSMF,FIATEFB,TR52216092</t>
  </si>
  <si>
    <t>1013097</t>
  </si>
  <si>
    <t>AKÜ,LB2,DK,60AH,IGYASMF,İNCİ EFB PANTERA</t>
  </si>
  <si>
    <t>1013118</t>
  </si>
  <si>
    <t>ST-096-STD-02</t>
  </si>
  <si>
    <t>AKÜ,LB1,DK,52AH,IGYSMF,MAXIMAKOLİ,REDMAY</t>
  </si>
  <si>
    <t>IA-ST-096-STD-02</t>
  </si>
  <si>
    <t>1013119</t>
  </si>
  <si>
    <t>ST-088-STD-07</t>
  </si>
  <si>
    <t>AKÜ,LB2,DK,60AH,IGYSMF,MAXIMAKOLİ,REDMAY</t>
  </si>
  <si>
    <t>IA-ST-088-STD-07</t>
  </si>
  <si>
    <t>1013120</t>
  </si>
  <si>
    <t>ST-060-STD-05</t>
  </si>
  <si>
    <t>AKÜ,L5,DK,102AH,IGYSMF,MAXIMAKOLİ,REDMAY</t>
  </si>
  <si>
    <t>IA-ST-060-STD-05</t>
  </si>
  <si>
    <t>1013123</t>
  </si>
  <si>
    <t>ST-105-STD-02</t>
  </si>
  <si>
    <t>AKÜ,NS40,DK42AH,IGYSMF,FORMULAKOLİREDMAY</t>
  </si>
  <si>
    <t>IA-ST-105-STD-02</t>
  </si>
  <si>
    <t>1013126</t>
  </si>
  <si>
    <t>AKÜ,L2,DK,60AH,IGYA SMF,EFB S&amp;S,FORD OES</t>
  </si>
  <si>
    <t>1013132</t>
  </si>
  <si>
    <t>1013135</t>
  </si>
  <si>
    <t>AKÜ,A-FLAT,DK,120AH,SILVER,TÜRKMENİSTAN</t>
  </si>
  <si>
    <t>1013136</t>
  </si>
  <si>
    <t>AKÜ,C-FLAT,DK,225AH,SILVER,TÜRKMENİSTAN</t>
  </si>
  <si>
    <t>1013144</t>
  </si>
  <si>
    <t>AKÜ,L3,DK,75AH,IGYASMF,HI-TECH,TÜRKMNSTN</t>
  </si>
  <si>
    <t>1013150</t>
  </si>
  <si>
    <t>AKÜ,AGM,L3,DK,70AH,HUGEL AGM S&amp;S,NACITA</t>
  </si>
  <si>
    <t>1013151</t>
  </si>
  <si>
    <t>AKÜ,AGM,L5,DK,92AH,HUGEL AGM S&amp;S,NACITA</t>
  </si>
  <si>
    <t>1013152</t>
  </si>
  <si>
    <t>AKÜ,A-IGYASMF,DK,120AH,HUGELULTRA,NACITA</t>
  </si>
  <si>
    <t>1013153</t>
  </si>
  <si>
    <t>AKÜ,B-IGYASMF,DK,180AH,HUGELULTRA,NACITA</t>
  </si>
  <si>
    <t>1013154</t>
  </si>
  <si>
    <t>AKÜ,D26,DK,72AH,IGYSMF,HUGELULTRA,NACITA</t>
  </si>
  <si>
    <t>1013172</t>
  </si>
  <si>
    <t>ST-054-STD-04</t>
  </si>
  <si>
    <t>AKÜ,D31,TK,90AH,IGYA,NONAME,YUASAAMERICA</t>
  </si>
  <si>
    <t>IA-ST-054-STD-04</t>
  </si>
  <si>
    <t>1013183</t>
  </si>
  <si>
    <t>AKÜ AGM,L3,DK,70AH,VRLAPILOT PERFORMANCE</t>
  </si>
  <si>
    <t>1013184</t>
  </si>
  <si>
    <t>AKÜ AGM,L5,DK,92AH,VRLAPILOT PERFORMANCE</t>
  </si>
  <si>
    <t>1013185</t>
  </si>
  <si>
    <t>AKÜ AGM,L6,DK,105AH,VRLAPILOTPERFORMANCE</t>
  </si>
  <si>
    <t>1013189</t>
  </si>
  <si>
    <t>AKÜ,L2,DK,55AH,IGYASMF,PILOT PERFORMANCE</t>
  </si>
  <si>
    <t>1013191</t>
  </si>
  <si>
    <t>1013193</t>
  </si>
  <si>
    <t>AKÜ,LB2,DK,60AH,IGYASMF,PILOTPERFORMANCE</t>
  </si>
  <si>
    <t>1013194</t>
  </si>
  <si>
    <t>AKÜ,L4,DK,82AH,IGYASMF,PILOT PERFORMANCE</t>
  </si>
  <si>
    <t>1013195</t>
  </si>
  <si>
    <t>AKÜ,L4,TK,90AH,IGYASMF,PILOT PERFORMANCE</t>
  </si>
  <si>
    <t>1013196</t>
  </si>
  <si>
    <t>AKÜ,L5,DK,100AH,IGYASMF,PILOTPERFORMANCE</t>
  </si>
  <si>
    <t>1013198</t>
  </si>
  <si>
    <t>AKÜ,LB2,DK,45AH,IGYASMF,PILOTPERFORMANCE</t>
  </si>
  <si>
    <t>1013217</t>
  </si>
  <si>
    <t>AKÜ,L1,DK,52AH,IGYA SMF,NO NAME,GY EUR</t>
  </si>
  <si>
    <t>1013218</t>
  </si>
  <si>
    <t>AKÜ,LB1,DK,46AH,IGYA SMF,NO NAME,GY EUR</t>
  </si>
  <si>
    <t>1013219</t>
  </si>
  <si>
    <t>AKÜ,D31,TK,95AH,IGYA SMF,NO NAME,GY EUR</t>
  </si>
  <si>
    <t>1013221</t>
  </si>
  <si>
    <t>AKÜ,D31,DK,95AH,IGYA SMF,NO NAME,GY EUR</t>
  </si>
  <si>
    <t>1013222</t>
  </si>
  <si>
    <t>AKÜ,D26,DK,80AH,IGYA SMF,NO NAME,GY EUR</t>
  </si>
  <si>
    <t>1013223</t>
  </si>
  <si>
    <t>AKÜ,LB2,DK,60AH,IGYA SMF,NO NAME,GY EUR</t>
  </si>
  <si>
    <t>1013224</t>
  </si>
  <si>
    <t>AKÜ,LB1,DK,52AH,IGYA SMF,NO NAME,GY EUR</t>
  </si>
  <si>
    <t>1013225</t>
  </si>
  <si>
    <t>ST-081-EUR-01</t>
  </si>
  <si>
    <t>AKÜ,NS60,TK,45AH,IGYA,NONAME,İNCEKBGYEUR</t>
  </si>
  <si>
    <t>IA-ST-081-EUR-01</t>
  </si>
  <si>
    <t>1013238</t>
  </si>
  <si>
    <t>AKÜ,L2,DK,62AH,IGYSMF,BLIZZTREND,SHAWKAT</t>
  </si>
  <si>
    <t>1013245</t>
  </si>
  <si>
    <t>ST-076-STD-02</t>
  </si>
  <si>
    <t>AKÜ AGM,L2,DK,60AH,MM AGM S&amp;S,EXIDE OES</t>
  </si>
  <si>
    <t>IA-ST-076-STD-02</t>
  </si>
  <si>
    <t>1013246</t>
  </si>
  <si>
    <t>AKÜ AGM,L3,DK,70AH,MM AGM S&amp;S,EXIDE OES</t>
  </si>
  <si>
    <t>1013247</t>
  </si>
  <si>
    <t>ST-056-STD-01</t>
  </si>
  <si>
    <t>AKÜ AGM,L4,DK,80AH,MM AGM S&amp;S,EXIDE OES</t>
  </si>
  <si>
    <t>IA-ST-056-STD-01</t>
  </si>
  <si>
    <t>1013248</t>
  </si>
  <si>
    <t>AKÜ AGM,L5,DK,95AH,MM AGM S&amp;S,EXIDE OES</t>
  </si>
  <si>
    <t>1013249</t>
  </si>
  <si>
    <t>ST-076-STD-04</t>
  </si>
  <si>
    <t>AKÜ,L2,TK,62AH,IGYA SMF,MAKO,EXIDE OES</t>
  </si>
  <si>
    <t>IA-ST-076-STD-04</t>
  </si>
  <si>
    <t>1013251</t>
  </si>
  <si>
    <t>AKÜ,L5,DK,95AH,IGYA SMF,MAKO,EXIDE OES</t>
  </si>
  <si>
    <t>1013252</t>
  </si>
  <si>
    <t>AKÜ,D31,TK,95AH,IGYA SMF,MAKO,EXIDE OES</t>
  </si>
  <si>
    <t>1013260</t>
  </si>
  <si>
    <t>ST-036-STD-07</t>
  </si>
  <si>
    <t>AKÜ,L6,DK,105AH,AGMS&amp;S,DUCATO FIATYP,OES</t>
  </si>
  <si>
    <t>IA-ST-036-STD-07</t>
  </si>
  <si>
    <t>1013274</t>
  </si>
  <si>
    <t>AKÜ,A-IGYASMF,DK,120AH,PILOT PERFORMANCE</t>
  </si>
  <si>
    <t>1013275</t>
  </si>
  <si>
    <t>AKÜ,A-IGYASMF,DK,140AH,PILOT PERFORMANCE</t>
  </si>
  <si>
    <t>1013276</t>
  </si>
  <si>
    <t>AKÜ,B-IGYASMF,DK,150AH,PILOT PERFORMANCE</t>
  </si>
  <si>
    <t>1013277</t>
  </si>
  <si>
    <t>AKÜ,B-IGYASMF,TK,150AH,PILOT PERFORMANCE</t>
  </si>
  <si>
    <t>1013280</t>
  </si>
  <si>
    <t>AKÜ,B-IGYASMF,DK,180AH,PILOT PERFORMANCE</t>
  </si>
  <si>
    <t>1013281</t>
  </si>
  <si>
    <t>AKÜ,C-IGYASMF,DK,200AH,PILOT PERFORMANCE</t>
  </si>
  <si>
    <t>1013283</t>
  </si>
  <si>
    <t>AKÜ,C-IGYASMF,DK,225AH,PILOT PERFORMANCE</t>
  </si>
  <si>
    <t>1013285</t>
  </si>
  <si>
    <t>AKÜ,AGM,L3,DK,70AH,HUGEL AGM S&amp;S,EURO</t>
  </si>
  <si>
    <t>1013286</t>
  </si>
  <si>
    <t>AKÜ,AGM,L5,DK,92AH,HUGEL AGM S&amp;S,EURO</t>
  </si>
  <si>
    <t>1013300</t>
  </si>
  <si>
    <t>AKÜ,L1,DK,50AH,IGYA SMF,EAS ACTIVA</t>
  </si>
  <si>
    <t>1013306</t>
  </si>
  <si>
    <t>AKÜ,L3,DK,75AH,IGYA,Y3000 EXPORT,NACITA</t>
  </si>
  <si>
    <t>1013311</t>
  </si>
  <si>
    <t>AKÜ,LB2,DK60AH,IGYSMF,EDIXBLUE,CANARIBAT</t>
  </si>
  <si>
    <t>1013312</t>
  </si>
  <si>
    <t>AKÜ,C-IGYASMF,DK225AH,EDIXBLUE,CANARIBAT</t>
  </si>
  <si>
    <t>1013319</t>
  </si>
  <si>
    <t>AKÜ,D23,DK,60AH430A,IGYA,Y3000,ORTA DOĞU</t>
  </si>
  <si>
    <t>1013321</t>
  </si>
  <si>
    <t>ST-057-STD-03</t>
  </si>
  <si>
    <t>AKÜ,D26,DK,72AH,IGYA,Y3000 EXPORT,KOLİLİ</t>
  </si>
  <si>
    <t>IA-ST-057-STD-03</t>
  </si>
  <si>
    <t>1013333</t>
  </si>
  <si>
    <t>AKÜ,D31,DK,90AH670A,IGYA,Y3000,ORTA DOĞU</t>
  </si>
  <si>
    <t>1013347</t>
  </si>
  <si>
    <t>ST-051-STD-03</t>
  </si>
  <si>
    <t>IA-ST-051-STD-03</t>
  </si>
  <si>
    <t>1013380</t>
  </si>
  <si>
    <t>ST-066-STD-02</t>
  </si>
  <si>
    <t>AKÜ,L2,DK,60AH,İNCİ AGM LEO,Y.DIŞIKOLİLİ</t>
  </si>
  <si>
    <t>IA-ST-066-STD-02</t>
  </si>
  <si>
    <t>1013381</t>
  </si>
  <si>
    <t>ST-054-STD-02</t>
  </si>
  <si>
    <t>AKÜ,L3,DK,70AH,İNCİ AGM LEO,Y.DIŞIKOLİLİ</t>
  </si>
  <si>
    <t>IA-ST-054-STD-02</t>
  </si>
  <si>
    <t>1013383</t>
  </si>
  <si>
    <t>ST-045-STD-02</t>
  </si>
  <si>
    <t>AKÜ,L5,DK,95AH,İNCİ AGM LEO,Y.DIŞIKOLİLİ</t>
  </si>
  <si>
    <t>IA-ST-045-STD-02</t>
  </si>
  <si>
    <t>1013391</t>
  </si>
  <si>
    <t>AKÜ,D31,DK,105AH,IGYSMF,İNCİTAURS,OTOKAR</t>
  </si>
  <si>
    <t>1013393</t>
  </si>
  <si>
    <t>AKÜ,C-FLAT,DK240AH,İNCİSUPRASENT,TRADING</t>
  </si>
  <si>
    <t>1013394</t>
  </si>
  <si>
    <t>AKÜ,C-IGYASMF,DK,225AH,SHD,İNCİFORMULA</t>
  </si>
  <si>
    <t>1013397</t>
  </si>
  <si>
    <t>ST-063-STD-02</t>
  </si>
  <si>
    <t>AKÜ,D26,DK,72AH,IGYSMF,Y3000EXPORT,NAZIM</t>
  </si>
  <si>
    <t>IA-ST-063-STD-02</t>
  </si>
  <si>
    <t>1013402</t>
  </si>
  <si>
    <t>AKÜ,L2,DK,60AH,IGYA SMF,HUGEL EFB S&amp;S</t>
  </si>
  <si>
    <t>1013403</t>
  </si>
  <si>
    <t>ST-090-STD-02</t>
  </si>
  <si>
    <t>AKÜ,L0,DK40AH,DINNEW,GRİSYH,STRONG,SCHNP</t>
  </si>
  <si>
    <t>IA-ST-090-STD-02</t>
  </si>
  <si>
    <t>1013404</t>
  </si>
  <si>
    <t>AKÜ,B-IGYASMF,DK180AH,EDIXBLUE,CANARIBAT</t>
  </si>
  <si>
    <t>1013405</t>
  </si>
  <si>
    <t>ST-036-EUR-05</t>
  </si>
  <si>
    <t>AKÜ,TRACTORL,DK,115AH,EDIXBLUE,CANARIBAT</t>
  </si>
  <si>
    <t>IA-ST-036-EUR-05</t>
  </si>
  <si>
    <t>1013409</t>
  </si>
  <si>
    <t>AKÜ,D23,TK,60AH,IGYA SMF,HUGEL ULTRA</t>
  </si>
  <si>
    <t>1013412</t>
  </si>
  <si>
    <t>AKÜ,L2,DK,60AH,GSYSMF,MOPAR EFB,XFCA OES</t>
  </si>
  <si>
    <t>1013413</t>
  </si>
  <si>
    <t>AKÜ,L3,DK,70AH,GSYSMF,MOPAR EFB,XFCA OES</t>
  </si>
  <si>
    <t>1013414</t>
  </si>
  <si>
    <t>AKÜ,D26,DK,80AH,IGYA SMF,EFB S&amp;S,SCHNAPP</t>
  </si>
  <si>
    <t>1013419</t>
  </si>
  <si>
    <t>ST-048-EUR-02</t>
  </si>
  <si>
    <t>AKÜ,D26,DK,72AH,IGYSMF,HUGEL EFBS&amp;S,EURO</t>
  </si>
  <si>
    <t>IA-ST-048-EUR-02</t>
  </si>
  <si>
    <t>1013423</t>
  </si>
  <si>
    <t>AKÜ,LB3,DK,72AH,IGYASMF,HUGEL ULTRA,EURO</t>
  </si>
  <si>
    <t>1013429</t>
  </si>
  <si>
    <t>AKÜ,D23,DK,65AH,IGYSMF,HUGEL EFBS&amp;S,EURO</t>
  </si>
  <si>
    <t>1013439</t>
  </si>
  <si>
    <t>AKÜ,L5,DK,92AH,IGYASMF,İNCİSUPRASENT,BMC</t>
  </si>
  <si>
    <t>1013440</t>
  </si>
  <si>
    <t>ST-096-EUR-08</t>
  </si>
  <si>
    <t>AKÜ,L0,DK,40AH,DIN NEW,HUGEL ACTION,EURO</t>
  </si>
  <si>
    <t>IA-ST-096-EUR-08</t>
  </si>
  <si>
    <t>1013442</t>
  </si>
  <si>
    <t>AKÜ,C-IGY,DK225AH,SHDNEW,TPOWERPARTEKSAN</t>
  </si>
  <si>
    <t>1013443</t>
  </si>
  <si>
    <t>AKÜ,L5,DK,105AH,IGYASMF,HUGEL ULTRA,EURO</t>
  </si>
  <si>
    <t>1013444</t>
  </si>
  <si>
    <t>AKÜ,NS60,DK,45AH,IGYASMF,HUGELULTRA,EURO</t>
  </si>
  <si>
    <t>1013445</t>
  </si>
  <si>
    <t>AKÜ,NS60,TK,45AH,IGYASMF,HUGELULTRA,EURO</t>
  </si>
  <si>
    <t>1013455</t>
  </si>
  <si>
    <t>AKÜ,L2,TK,62AH,IGYA,HUGEL ULTRA,SHAWKAT</t>
  </si>
  <si>
    <t>1013456</t>
  </si>
  <si>
    <t>AKÜ,L2,TK,62AH,IGYA,BLIZZSILVRLN,SHAWKAT</t>
  </si>
  <si>
    <t>1013460</t>
  </si>
  <si>
    <t>AKÜ AGM,L3,DK,70AH,BLIZZARO AGM S&amp;S,EURO</t>
  </si>
  <si>
    <t>1013461</t>
  </si>
  <si>
    <t>AKÜ AGM,L6,DK,105AH,BLIZZARO AGMS&amp;S,EURO</t>
  </si>
  <si>
    <t>1013462</t>
  </si>
  <si>
    <t>AKÜ,LB2,DK,60AH,IGYSMF,BLIZZSILVERL,EURO</t>
  </si>
  <si>
    <t>1013463</t>
  </si>
  <si>
    <t>AKÜ,L2,DK,60AH,IGYSMF,BLIZZSILVERLN,EURO</t>
  </si>
  <si>
    <t>1013464</t>
  </si>
  <si>
    <t>AKÜ,LB3,DK,72AH,IGYSMF,BLIZZSILVERL,EURO</t>
  </si>
  <si>
    <t>1013465</t>
  </si>
  <si>
    <t>AKÜ,L3,DK,75AH,IGYSMF,BLİZZSILVERLN,EURO</t>
  </si>
  <si>
    <t>1013467</t>
  </si>
  <si>
    <t>AKÜ,L5,DK,100AH,IGYSMF,BLIZZSILVERL,EURO</t>
  </si>
  <si>
    <t>1013469</t>
  </si>
  <si>
    <t>AKÜ,C-FLAT,DK,225AH,BLİZZAROTRENDLN,EURO</t>
  </si>
  <si>
    <t>1013480</t>
  </si>
  <si>
    <t>AKÜ,D26,TK,75AH,IGYA SMF,HUGEL ULTRA</t>
  </si>
  <si>
    <t>1013483</t>
  </si>
  <si>
    <t>AKÜ AGM,L4,DK,80AH,BLIZZARO AGM S&amp;S</t>
  </si>
  <si>
    <t>1013484</t>
  </si>
  <si>
    <t>AKÜ,LB2,DK,60AH,IGYASMF,BLIZZARO EFB S&amp;S</t>
  </si>
  <si>
    <t>1013486</t>
  </si>
  <si>
    <t>AKÜ,L5,DK,102AH,IGYA,İNCİMAXIMA,MECALAC</t>
  </si>
  <si>
    <t>1013487</t>
  </si>
  <si>
    <t>AKÜ,L6,DK,110AH,KAMINA,İNCİSUPRA,MECALAC</t>
  </si>
  <si>
    <t>1013493</t>
  </si>
  <si>
    <t>AKÜ,L2,DK,62AH,IGYA,SILVER,TÜRKMENİSTAN</t>
  </si>
  <si>
    <t>1013496</t>
  </si>
  <si>
    <t>1013500</t>
  </si>
  <si>
    <t>AKÜ,L3,DK,75AH,IGYSMF,EDIXBLUE,CANARIBAT</t>
  </si>
  <si>
    <t>1013523</t>
  </si>
  <si>
    <t>AKÜ,LB4,DK,80AH,IGYASMF,İNCİ FORM TAURUS</t>
  </si>
  <si>
    <t>1013531</t>
  </si>
  <si>
    <t>ST-096-EUR-07</t>
  </si>
  <si>
    <t>AKÜ,L0,DK,40AH,DINNEWPROFILE,NO NAME,SKG</t>
  </si>
  <si>
    <t>IA-ST-096-EUR-07</t>
  </si>
  <si>
    <t>1013533</t>
  </si>
  <si>
    <t>ST-096-EUR-06</t>
  </si>
  <si>
    <t>AKÜ,L1,DK,50AH,IGYA SMF,NO NAME,SKG</t>
  </si>
  <si>
    <t>IA-ST-096-EUR-06</t>
  </si>
  <si>
    <t>1013535</t>
  </si>
  <si>
    <t>ST-076-EUR-02</t>
  </si>
  <si>
    <t>AKÜ,L2,DK,60AH,IGYA SMF,NO NAME,SKG</t>
  </si>
  <si>
    <t>IA-ST-076-EUR-02</t>
  </si>
  <si>
    <t>1013537</t>
  </si>
  <si>
    <t>ST-068-EUR-01</t>
  </si>
  <si>
    <t>AKÜ,L3,DK,75AH,IGYA SMF,NO NAME,SKG</t>
  </si>
  <si>
    <t>IA-ST-068-EUR-01</t>
  </si>
  <si>
    <t>1013538</t>
  </si>
  <si>
    <t>AKÜ,L6,DK,110AH,KAMINA,NO NAME,SKG</t>
  </si>
  <si>
    <t>1013540</t>
  </si>
  <si>
    <t>AKÜ,L5,DK,105AH,IGYA SMF,EAS ACTIVA,EURO</t>
  </si>
  <si>
    <t>1013542</t>
  </si>
  <si>
    <t>AKÜ,A-IGYASMF,DK,140AH,EAS ACTIVA,EURO</t>
  </si>
  <si>
    <t>1013546</t>
  </si>
  <si>
    <t>AKÜ,A-FLAT,DK,120AH,EAS PRIDE,EURO</t>
  </si>
  <si>
    <t>1013549</t>
  </si>
  <si>
    <t>AKÜ,B-FLAT,DK,180AH,EAS PRIDE,EURO</t>
  </si>
  <si>
    <t>1013556</t>
  </si>
  <si>
    <t>ST-063-STD-03</t>
  </si>
  <si>
    <t>AKÜ,D26,DK72AH,IGYSMF,Y3000EXPORT,TÜRKMN</t>
  </si>
  <si>
    <t>IA-ST-063-STD-03</t>
  </si>
  <si>
    <t>1013560</t>
  </si>
  <si>
    <t>AKÜ,L3,DK,75AH 650A,IGYA,YUASA,ORTA DOĞU</t>
  </si>
  <si>
    <t>1013563</t>
  </si>
  <si>
    <t>AKÜ,D31,DK80AH,IGYSMF,PERFORMANCEBATTERY</t>
  </si>
  <si>
    <t>1013565</t>
  </si>
  <si>
    <t>AKÜ,NS60,DK45AH,IGYSMF,PERFORMANCEBATTER</t>
  </si>
  <si>
    <t>1013566</t>
  </si>
  <si>
    <t>AKÜ,NS40,DK42AH,IGYSMF,PERFORMANCEBATTER</t>
  </si>
  <si>
    <t>1013569</t>
  </si>
  <si>
    <t>AKÜ,L2,DK,60AH550A,IGYSMF,YUASA,ORTADOĞU</t>
  </si>
  <si>
    <t>1013572</t>
  </si>
  <si>
    <t>AKÜ,L4,DK,82AH,IGYASMF,BLIZ.SILVERL,EURO</t>
  </si>
  <si>
    <t>1013574</t>
  </si>
  <si>
    <t>AKÜ,D23,DK,60AH,IGYSMF,BLIZ.SILVERL,EURO</t>
  </si>
  <si>
    <t>1013575</t>
  </si>
  <si>
    <t>AKÜ,D23,TK,60AH,IGYSMF,BLIZ.SILVERL,EURO</t>
  </si>
  <si>
    <t>1013576</t>
  </si>
  <si>
    <t>AKÜ,D31,DK,100AH,IGYSMF,BLİZSILVERL,EURO</t>
  </si>
  <si>
    <t>1013599</t>
  </si>
  <si>
    <t>AKÜ,NS40,TK,42AH,IGYASMF,EAS ACTIVA,EURO</t>
  </si>
  <si>
    <t>1013610</t>
  </si>
  <si>
    <t>AKÜL2,TK62AH,IGYSMF,GRİSYH,SILVER,SCHNAP</t>
  </si>
  <si>
    <t>1013616</t>
  </si>
  <si>
    <t>AKÜ AGM,L6,DK,105AH,İNCİ AGM LEO,Y.DIŞI</t>
  </si>
  <si>
    <t>1013617</t>
  </si>
  <si>
    <t>AKÜ,C-IGYASMF,DK,250AH,İNCİ MAXIMA</t>
  </si>
  <si>
    <t>1013624</t>
  </si>
  <si>
    <t>AKÜ,L2,DK,60AH,IGYA,NO NAME,EFBS&amp;S,PARTS</t>
  </si>
  <si>
    <t>1013625</t>
  </si>
  <si>
    <t>AKÜ,LB3,DK,70AH,IGYA,NONAME,EFBS&amp;S,PARTS</t>
  </si>
  <si>
    <t>1013626</t>
  </si>
  <si>
    <t>AKÜ,L3,DK,70AH,IGYA,NO NAME,EFBS&amp;S,PARTS</t>
  </si>
  <si>
    <t>1013628</t>
  </si>
  <si>
    <t>AKÜ,LB2,DK,62AH,IGYA SMF,NO NAME,PARTS</t>
  </si>
  <si>
    <t>1013629</t>
  </si>
  <si>
    <t>AKÜ,LB2,DK,65AH,IGYA SMF,NO NAME,PARTS</t>
  </si>
  <si>
    <t>1013632</t>
  </si>
  <si>
    <t>AKÜ,LB3,DK,70AH,IGYA SMF,NO NAME,PARTS</t>
  </si>
  <si>
    <t>1013633</t>
  </si>
  <si>
    <t>1013635</t>
  </si>
  <si>
    <t>AKÜ,L3,DK,70AH,IGYA SMF,NO NAME,PARTS</t>
  </si>
  <si>
    <t>1013637</t>
  </si>
  <si>
    <t>AKÜ,L3,DK,82AH,IGYA SMF,NO NAME,PARTS</t>
  </si>
  <si>
    <t>1013638</t>
  </si>
  <si>
    <t>AKÜ,L4,DK,100AH,IGYA SMF,NO NAME,PARTS</t>
  </si>
  <si>
    <t>1013639</t>
  </si>
  <si>
    <t>1013641</t>
  </si>
  <si>
    <t>ST-048-EUR-06</t>
  </si>
  <si>
    <t>AKÜ,D31,DK,100AH,IGYA SMF,NO NAME,PARTS</t>
  </si>
  <si>
    <t>IA-ST-048-EUR-06</t>
  </si>
  <si>
    <t>1013642</t>
  </si>
  <si>
    <t>AKÜ,D31,TK,100AH,IGYA SMF,NO NAME,PARTS</t>
  </si>
  <si>
    <t>1013643</t>
  </si>
  <si>
    <t>ST-021-EUR-02</t>
  </si>
  <si>
    <t>AKÜ,B-FLAT,DK,180AH,NO NAME,PARTS</t>
  </si>
  <si>
    <t>IA-ST-021-EUR-02</t>
  </si>
  <si>
    <t>1013644</t>
  </si>
  <si>
    <t>ST-018-EUR-02</t>
  </si>
  <si>
    <t>AKÜ,C-FLAT,DK,220AH,NO NAME,PARTS</t>
  </si>
  <si>
    <t>IA-ST-018-EUR-02</t>
  </si>
  <si>
    <t>1013645</t>
  </si>
  <si>
    <t>AKÜ,C-IGYASMF,DK,230AH,İNCİ EFB PANTERA</t>
  </si>
  <si>
    <t>1013671</t>
  </si>
  <si>
    <t>AKÜ,L2,DK,65AH,IGYASMF,EAS EXTRA,DIŞ PYS</t>
  </si>
  <si>
    <t>1013675</t>
  </si>
  <si>
    <t>AKÜ,L3,DK,80AH,IGYASMF,EAS EXTRA,DIŞ PYS</t>
  </si>
  <si>
    <t>1013679</t>
  </si>
  <si>
    <t>AKÜ,L5,DK,102AH,IGYASMF,EAS EXTRA,DIŞPYS</t>
  </si>
  <si>
    <t>1013682</t>
  </si>
  <si>
    <t>AKÜ,C-IGYASMF,DK,250AH,BLIZGOLDLN,DIŞPYS</t>
  </si>
  <si>
    <t>1013692</t>
  </si>
  <si>
    <t>AKÜ,L2,DK,65AH,IGYSMF,BLIZ.GOLDLN,DIŞPYS</t>
  </si>
  <si>
    <t>1013696</t>
  </si>
  <si>
    <t>AKÜ,L3,DK,80AH,IGYSMF,BLIZ.GOLDLN,DIŞPYS</t>
  </si>
  <si>
    <t>1013708</t>
  </si>
  <si>
    <t>AKÜ,L3,DK,IGYASMF,75AH,700A,MERCEDES EFB</t>
  </si>
  <si>
    <t>1013713</t>
  </si>
  <si>
    <t>ST-072-STD-12</t>
  </si>
  <si>
    <t>AKÜ,L4,DK,90AH,IGYA,BOOSTER,TÜRKMENİSTAN</t>
  </si>
  <si>
    <t>IA-ST-072-STD-12</t>
  </si>
  <si>
    <t>1013717</t>
  </si>
  <si>
    <t>AKÜ,LB4,DK,85AH,IGYSMF,BLIZGOLDLNYD,EURO</t>
  </si>
  <si>
    <t>1013718</t>
  </si>
  <si>
    <t>AKÜ,L5,DK,102AH,IGYSMF,BLIZGOLDLNYD,EURO</t>
  </si>
  <si>
    <t>1013721</t>
  </si>
  <si>
    <t>AKÜ,C-FLAT,DK,240AH,BLIZZ.TRENDLINE,EURO</t>
  </si>
  <si>
    <t>1013722</t>
  </si>
  <si>
    <t>AKÜ,L4,DK,80AH,IGYA,NO NAME,EFBS&amp;S,PARTS</t>
  </si>
  <si>
    <t>1013723</t>
  </si>
  <si>
    <t>AKÜ,TRACTOR,DK,125AH,HUGEL ACTION</t>
  </si>
  <si>
    <t>1013733</t>
  </si>
  <si>
    <t>AKÜ,C-FLAT,DK,240AH,HUGEL ACTION,TRADING</t>
  </si>
  <si>
    <t>1013734</t>
  </si>
  <si>
    <t>ST-054-EUR-01</t>
  </si>
  <si>
    <t>AKÜ,L2DK,60AH,VRLA,AGM YBX9027-060,GYEUR</t>
  </si>
  <si>
    <t>IA-ST-054-EUR-01</t>
  </si>
  <si>
    <t>1013735</t>
  </si>
  <si>
    <t>AKÜ,L3DK,70AH,VRLA,AGM YBX9096-070,GYEUR</t>
  </si>
  <si>
    <t>1013736</t>
  </si>
  <si>
    <t>AKÜ,L4DK,80AH,VRLA,AGM YBX9115-080,GYEUR</t>
  </si>
  <si>
    <t>1013737</t>
  </si>
  <si>
    <t>AKÜ,L5DK,95AH,VRLA,AGM YBX9019-095,GYEUR</t>
  </si>
  <si>
    <t>1013738</t>
  </si>
  <si>
    <t>ST-033-EUR-01</t>
  </si>
  <si>
    <t>AKÜ,L6DK105AH,VRLA,AGM YBX9020-105,GYEUR</t>
  </si>
  <si>
    <t>IA-ST-033-EUR-01</t>
  </si>
  <si>
    <t>1013739</t>
  </si>
  <si>
    <t>AKÜ,L1,DK,54AH,IGYASMF,EAS EXTRA,YD,EURO</t>
  </si>
  <si>
    <t>1013740</t>
  </si>
  <si>
    <t>AKÜ,LB1,DK,52AH,IGYASMF,EASEXTRA,YD,EURO</t>
  </si>
  <si>
    <t>1013742</t>
  </si>
  <si>
    <t>AKÜ,L2,DK,65AH,IGYASMF,EAS EXTRA,YD,EURO</t>
  </si>
  <si>
    <t>1013743</t>
  </si>
  <si>
    <t>AKÜ,L3,DK,80AH,IGYASMF,EAS EXTRA,YD,EURO</t>
  </si>
  <si>
    <t>1013744</t>
  </si>
  <si>
    <t>AKÜ,LB4,DK,85AH,IGYASMF,EASEXTRA,YD,EURO</t>
  </si>
  <si>
    <t>1013745</t>
  </si>
  <si>
    <t>AKÜ,L4,DK,90AH,IGYASMF,EAS EXTRA,YD,EURO</t>
  </si>
  <si>
    <t>1013746</t>
  </si>
  <si>
    <t>AKÜ,NS60,DK,55AH,IGYSMF,EASEXTRA,YD,EURO</t>
  </si>
  <si>
    <t>1013747</t>
  </si>
  <si>
    <t>AKÜ,D23,DK,68AH,IGYSMF,EAS EXTRA,YD,EURO</t>
  </si>
  <si>
    <t>1013748</t>
  </si>
  <si>
    <t>AKÜ,D26,DK,80AH,IGYSMF,EAS EXTRA,YD,EURO</t>
  </si>
  <si>
    <t>1013749</t>
  </si>
  <si>
    <t>AKÜ,D31,DK,100AH,IGYSMF,EASEXTRA,YD,EURO</t>
  </si>
  <si>
    <t>1013765</t>
  </si>
  <si>
    <t>AKÜ,B-FLAT,TK,180AH,İNCİSUPRA,TEMSA OEM</t>
  </si>
  <si>
    <t>1013769</t>
  </si>
  <si>
    <t>AKÜ SULU,TRACTR,DK,125AH,STRONG,SCHNAPP</t>
  </si>
  <si>
    <t>1013773</t>
  </si>
  <si>
    <t>AKÜ,L2,DK,60AH,VRLA,AGM YBX9027-060,Yİ</t>
  </si>
  <si>
    <t>1013774</t>
  </si>
  <si>
    <t>AKÜ,L3,DK,70AH,VRLA,AGM YBX9096-070,Yİ</t>
  </si>
  <si>
    <t>1013775</t>
  </si>
  <si>
    <t>AKÜ,L4,DK,80AH,VRLA,AGM YBX9115-080,Yİ</t>
  </si>
  <si>
    <t>1013776</t>
  </si>
  <si>
    <t>AKÜ,L5,DK,95AH,VRLA,AGM YBX9019-095,Yİ</t>
  </si>
  <si>
    <t>1013777</t>
  </si>
  <si>
    <t>AKÜ,L6,DK,105AH,VRLA,AGM YBX9020-105,Yİ</t>
  </si>
  <si>
    <t>1013778</t>
  </si>
  <si>
    <t>AKÜ,C-FLAT,DK,225AH,HUGEL ACTION,SHAWKAT</t>
  </si>
  <si>
    <t>1013791</t>
  </si>
  <si>
    <t>AKÜ,D26,DK,70AH540A,IGYSMF,Y3000,SHAWKAT</t>
  </si>
  <si>
    <t>1013794</t>
  </si>
  <si>
    <t>ST-068-STD-01</t>
  </si>
  <si>
    <t>AKÜ,LB4,DK,80AH720A,IGYSMF,Y3000,SHAWKAT</t>
  </si>
  <si>
    <t>IA-ST-068-STD-01</t>
  </si>
  <si>
    <t>1013795</t>
  </si>
  <si>
    <t>ST-051-STD-02</t>
  </si>
  <si>
    <t>AKÜ,D31,DK,90AH670A,IGYSMF,Y3000,SHAWKAT</t>
  </si>
  <si>
    <t>IA-ST-051-STD-02</t>
  </si>
  <si>
    <t>1013803</t>
  </si>
  <si>
    <t>AKÜ,L2,DK,60AH,AGM,EDIX BLUE,CANARIBAT</t>
  </si>
  <si>
    <t>1013818</t>
  </si>
  <si>
    <t>ST-090-STD-01</t>
  </si>
  <si>
    <t>AKÜ,L0,DK,40AH,DINNEWPROFIL,İNCİ SUPRA</t>
  </si>
  <si>
    <t>IA-ST-090-STD-01</t>
  </si>
  <si>
    <t>1013834</t>
  </si>
  <si>
    <t>AKÜ,LB4,DK,80AH,IGYA,NONAME,EFBS&amp;S,PARTS</t>
  </si>
  <si>
    <t>1013838</t>
  </si>
  <si>
    <t>AKÜ,L2,TK,65AH,IGYASMF,EAS EXTRA,YD,EURO</t>
  </si>
  <si>
    <t>1013840</t>
  </si>
  <si>
    <t>AKÜ,D31,TK,100AH,IGYSMF,EASEXTRA,YD,EURO</t>
  </si>
  <si>
    <t>1013844</t>
  </si>
  <si>
    <t>AKÜ,B-IGYASMF,DK,152AH,İNCİFORM,SHAWKAT</t>
  </si>
  <si>
    <t>1013847</t>
  </si>
  <si>
    <t>AKÜ,L4,DK,80AH,BLIZZARO AGM S&amp;S,YD,EURO</t>
  </si>
  <si>
    <t>1013851</t>
  </si>
  <si>
    <t>AKÜ,D31,DK,90AH,IGYASMF,BLIZZSILVER,EURO</t>
  </si>
  <si>
    <t>1013852</t>
  </si>
  <si>
    <t>AKÜ,D31,TK,90AH,IGYASMF,BLIZZSILVER,EURO</t>
  </si>
  <si>
    <t>1013854</t>
  </si>
  <si>
    <t>AKÜ,B-FLAT,DK,180AH,BLIZZ.TRENDLINE,EURO</t>
  </si>
  <si>
    <t>1013857</t>
  </si>
  <si>
    <t>ST-024-EUR-03</t>
  </si>
  <si>
    <t>AKÜ,A-FLAT,TK,120AH,NO NAME,PARTS</t>
  </si>
  <si>
    <t>IA-ST-024-EUR-03</t>
  </si>
  <si>
    <t>1013860</t>
  </si>
  <si>
    <t>AKÜ,NS60,TK,45AH,IGYASMF,BLIZZ.SILV,EURO</t>
  </si>
  <si>
    <t>1013861</t>
  </si>
  <si>
    <t>AKÜ,D26,TK,72AH,IGYASMF,BLIZZ.,SILV,EURO</t>
  </si>
  <si>
    <t>1013863</t>
  </si>
  <si>
    <t>AKÜ,L5,DK,100AH,IGYA SMF,ENERGYMAX,EURO</t>
  </si>
  <si>
    <t>1013865</t>
  </si>
  <si>
    <t>AKÜ,L5,DK,105AH,IGYA SMF,HUGEL ULTRA</t>
  </si>
  <si>
    <t>1013869</t>
  </si>
  <si>
    <t>AKÜ,L2,DK,60AH,GSY SMF,S&amp;S,MAKO YP,OES</t>
  </si>
  <si>
    <t>1013870</t>
  </si>
  <si>
    <t>AKÜ,L3,DK,70AH,GSY SMF,S&amp;S,MAKO YP,OES</t>
  </si>
  <si>
    <t>1013871</t>
  </si>
  <si>
    <t>AKÜ AGM,L2,DK,60AH,İNCİ AGM LEO,EURO,YD</t>
  </si>
  <si>
    <t>1013872</t>
  </si>
  <si>
    <t>AKÜ AGM,L6,DK,105AH,İNCİ AGM LEO,EURO,YD</t>
  </si>
  <si>
    <t>1013873</t>
  </si>
  <si>
    <t>AKÜ,NS60,DK,45AH,IGYSMF,BLIZ.SILVRL,EURO</t>
  </si>
  <si>
    <t>1013888</t>
  </si>
  <si>
    <t>AKÜ,D26,DK,75AH,IGYSMF,SILVERTÜRKMENİSTN</t>
  </si>
  <si>
    <t>1013896</t>
  </si>
  <si>
    <t>AKÜ,L5,DK,100AH,IGYA SMF,İNCİAKÜ,SUPRA</t>
  </si>
  <si>
    <t>1013897</t>
  </si>
  <si>
    <t>AKÜ AGM,L2,DK,60AH,İNCİ AGM LEO,SHRİNKLİ</t>
  </si>
  <si>
    <t>1013898</t>
  </si>
  <si>
    <t>AKÜ AGM,L4,DK,80AH,İNCİ AGM LEO,SHRİNKLİ</t>
  </si>
  <si>
    <t>1013899</t>
  </si>
  <si>
    <t>AKÜ AGM,L2,DK,60AH,BLIZZARO AGM S&amp;S</t>
  </si>
  <si>
    <t>1013901</t>
  </si>
  <si>
    <t>AKÜ,D23,DK,65AH,IGYSMF,BLIZZARO EFB S&amp;S</t>
  </si>
  <si>
    <t>1013902</t>
  </si>
  <si>
    <t>AKÜ,D26,DK,72AH,IGYSMF,BLIZZARO EFB S&amp;S</t>
  </si>
  <si>
    <t>1013903</t>
  </si>
  <si>
    <t>AKÜ,L5,DK,100AH,IGYSMF,BLIZZARO TRENDLN</t>
  </si>
  <si>
    <t>1013906</t>
  </si>
  <si>
    <t>AKÜ,TRACTOR,DK,130AH,B0,İNCİSUPRA,HATTAT</t>
  </si>
  <si>
    <t>1013907</t>
  </si>
  <si>
    <t>AKÜ,L5,DK105AH,IGYA,B01,İNCİTAURS,HATTAT</t>
  </si>
  <si>
    <t>1013914</t>
  </si>
  <si>
    <t>ST-036-EUR-07</t>
  </si>
  <si>
    <t>AKÜ,L6,DK,110AH,KAMINA,NO NAME,PARTS</t>
  </si>
  <si>
    <t>IA-ST-036-EUR-07</t>
  </si>
  <si>
    <t>1013920</t>
  </si>
  <si>
    <t>ST-056-EUR-02</t>
  </si>
  <si>
    <t>AKÜ,L4,DK,90AH,IGYA SMF,NO NAME,SKG</t>
  </si>
  <si>
    <t>IA-ST-056-EUR-02</t>
  </si>
  <si>
    <t>1013921</t>
  </si>
  <si>
    <t>AKÜ,L2,DK,60AH,IGYSMF,İNCİTAURUS,TÜRKMEN</t>
  </si>
  <si>
    <t>1013922</t>
  </si>
  <si>
    <t>AKÜ,L3,DK,75AH,IGYASMF,İNCİEFBMAXSHAWKAT</t>
  </si>
  <si>
    <t>1013923</t>
  </si>
  <si>
    <t>AKÜ,L4,DK,80AH,IGYA,İNCİEFBPANTR,SHAWKAT</t>
  </si>
  <si>
    <t>1013924</t>
  </si>
  <si>
    <t>AKÜ,L5,DK,90AH,IGYA,İNCİEFBPANTR,SHAWKAT</t>
  </si>
  <si>
    <t>1013926</t>
  </si>
  <si>
    <t>1013940</t>
  </si>
  <si>
    <t>AKÜ,L2,TK,65AH,IGYASMF,HUGEL MEGA,DIŞPYS</t>
  </si>
  <si>
    <t>1013943</t>
  </si>
  <si>
    <t>AKÜ,L3,DK,80AH,IGYASMF,HUGEL MEGA,DIŞPYS</t>
  </si>
  <si>
    <t>1013946</t>
  </si>
  <si>
    <t>AKÜ,LB4,DK,85AH,IGYSMF,HUGEL MEGA,DIŞPYS</t>
  </si>
  <si>
    <t>1013948</t>
  </si>
  <si>
    <t>AKÜ,NS60,DK,45AH,IGYSMF,BLIZZARO SILVERL</t>
  </si>
  <si>
    <t>1013950</t>
  </si>
  <si>
    <t>AKÜ,B-IGYASMF,DK,180AH,BLIZZAROSILVERLIN</t>
  </si>
  <si>
    <t>1013956</t>
  </si>
  <si>
    <t>AKÜ,L3,TK,75AH,IGYA SMF,HUGEL ACTION</t>
  </si>
  <si>
    <t>1013964</t>
  </si>
  <si>
    <t>AKÜ,L5,DK100AH,IGYSMF,HUGELULTRA,POLONYA</t>
  </si>
  <si>
    <t>1013965</t>
  </si>
  <si>
    <t>ST-072-STD-07</t>
  </si>
  <si>
    <t>AKÜ,LB3,DK,72AH,IGYSMF,MAXIMAKOLİ,REDMAY</t>
  </si>
  <si>
    <t>IA-ST-072-STD-07</t>
  </si>
  <si>
    <t>1013966</t>
  </si>
  <si>
    <t>AKÜ,D31,DK100AH,IGYSMF,MAXIMAKOLİ,REDMAY</t>
  </si>
  <si>
    <t>1013968</t>
  </si>
  <si>
    <t>AKÜ,B-IGYASMF,DK170AHB00,İNCİFORM,REDMAY</t>
  </si>
  <si>
    <t>1013969</t>
  </si>
  <si>
    <t>AKÜ,B-IGYASMF,DK180AHB03,İNCİFORM,REDMAY</t>
  </si>
  <si>
    <t>1013970</t>
  </si>
  <si>
    <t>AKÜ,L3,DK,80AH,IGYASMF,HUGELMEGA,YD,EURO</t>
  </si>
  <si>
    <t>1013973</t>
  </si>
  <si>
    <t>AKÜ,L1,DK,54AH,IGYSMF,HUGEL MEGA,YD,EURO</t>
  </si>
  <si>
    <t>1013974</t>
  </si>
  <si>
    <t>AKÜ,L2,DK,65AH,IGYSMF,HUGEL MEGA,YD,EURO</t>
  </si>
  <si>
    <t>1013978</t>
  </si>
  <si>
    <t>ST-045-STD-12</t>
  </si>
  <si>
    <t>AKÜ,AGM,L5,DK,95AH,AGM S&amp;S 1629R,SCHNAPP</t>
  </si>
  <si>
    <t>IA-ST-045-STD-12</t>
  </si>
  <si>
    <t>1013979</t>
  </si>
  <si>
    <t>ST-063-STD-13</t>
  </si>
  <si>
    <t>AKÜ,AGM,L3,DK,70AH,AGM S&amp;S 1688,SCHNAPP</t>
  </si>
  <si>
    <t>IA-ST-063-STD-13</t>
  </si>
  <si>
    <t>1013980</t>
  </si>
  <si>
    <t>ST-072-STD-20</t>
  </si>
  <si>
    <t>AKÜ,AGM,L2,DK,60AH,AGM S&amp;S 1666R,SCHNAPP</t>
  </si>
  <si>
    <t>IA-ST-072-STD-20</t>
  </si>
  <si>
    <t>1013981</t>
  </si>
  <si>
    <t>ST-054-STD-11</t>
  </si>
  <si>
    <t>AKÜ,AGM,L4,DK,80AH,AGM S&amp;S 1681R,SCHNAPP</t>
  </si>
  <si>
    <t>IA-ST-054-STD-11</t>
  </si>
  <si>
    <t>1013983</t>
  </si>
  <si>
    <t>AKÜ,LB1,DK,44AH,IGYSMF,BLIZ.SILVERL,EURO</t>
  </si>
  <si>
    <t>1013984</t>
  </si>
  <si>
    <t>AKÜ,L3,TK,75AH,IGYASMF,BLIZZ.SILVER,EURO</t>
  </si>
  <si>
    <t>1013986</t>
  </si>
  <si>
    <t>AKÜ,C-IGYA SMF,DK,240AH,MERCEDES/SHD BUS</t>
  </si>
  <si>
    <t>1013987</t>
  </si>
  <si>
    <t>AKÜ,L2,DK,65AH,IGYASMF,YBX7027-065,GYEUR</t>
  </si>
  <si>
    <t>1013989</t>
  </si>
  <si>
    <t>ST-066-STD-03</t>
  </si>
  <si>
    <t>AKÜ AGM,L2,DK,60AH,EAS AGM S&amp;S,İÇ PYS</t>
  </si>
  <si>
    <t>IA-ST-066-STD-03</t>
  </si>
  <si>
    <t>1013990</t>
  </si>
  <si>
    <t>ST-054-STD-03</t>
  </si>
  <si>
    <t>AKÜ AGM,L3,DK,70AH,EAS AGM S&amp;S,İÇ PYS</t>
  </si>
  <si>
    <t>IA-ST-054-STD-03</t>
  </si>
  <si>
    <t>1013991</t>
  </si>
  <si>
    <t>ST-051-STD-06</t>
  </si>
  <si>
    <t>AKÜ AGM,L4,DK,80AH,EAS AGM S&amp;S,İÇ PYS</t>
  </si>
  <si>
    <t>IA-ST-051-STD-06</t>
  </si>
  <si>
    <t>1013992</t>
  </si>
  <si>
    <t>ST-045-STD-03</t>
  </si>
  <si>
    <t>AKÜ AGM,L5,DK,95AH,EAS AGM S&amp;S,İÇ PYS</t>
  </si>
  <si>
    <t>IA-ST-045-STD-03</t>
  </si>
  <si>
    <t>1013993</t>
  </si>
  <si>
    <t>ST-042-STD-02</t>
  </si>
  <si>
    <t>AKÜ AGM,L6,DK,105AH,EAS AGM S&amp;S,İÇ PYS</t>
  </si>
  <si>
    <t>IA-ST-042-STD-02</t>
  </si>
  <si>
    <t>1013994</t>
  </si>
  <si>
    <t>AKÜ,LB3,DK,65AH,IGYASMF,EAS EFBS&amp;S,İÇPYS</t>
  </si>
  <si>
    <t>1013995</t>
  </si>
  <si>
    <t>AKÜ,LB4,DK,75AH,IGYASMF,EAS EFBS&amp;S,İÇPYS</t>
  </si>
  <si>
    <t>1013996</t>
  </si>
  <si>
    <t>AKÜ,L4,DK,80AH,IGYASMF,EAS EFB S&amp;S,İÇPYS</t>
  </si>
  <si>
    <t>1013997</t>
  </si>
  <si>
    <t>AKÜ,L5,DK,90AH,IGYASMF,EAS EFB S&amp;S,İÇPYS</t>
  </si>
  <si>
    <t>1013998</t>
  </si>
  <si>
    <t>AKÜ,D23,DK,65AH,IGYASMF,EAS EFBS&amp;S,İÇPYS</t>
  </si>
  <si>
    <t>1013999</t>
  </si>
  <si>
    <t>AKÜ,D26,DK,72AH,IGYASMF,EAS EFBS&amp;S,İÇPYS</t>
  </si>
  <si>
    <t>1014000</t>
  </si>
  <si>
    <t>AKÜ,L2,DK,65AH,IGYA SMF,EAS EXTRA,İÇ PYS</t>
  </si>
  <si>
    <t>1014001</t>
  </si>
  <si>
    <t>AKÜ,LB2,DK,60AH,IGYASMF,EAS EXTRA,İÇ PYS</t>
  </si>
  <si>
    <t>1014002</t>
  </si>
  <si>
    <t>AKÜ,L3,DK,80AH,IGYSMF,EASEXTRA,B13,İÇPYS</t>
  </si>
  <si>
    <t>1014003</t>
  </si>
  <si>
    <t>AKÜ,L3,DK,80AH,IGYSMF,EASEXTRA,B01,İÇPYS</t>
  </si>
  <si>
    <t>1014006</t>
  </si>
  <si>
    <t>AKÜ,NS40,DK,42AH,IGYASMF,EAS EXTRA,İÇPYS</t>
  </si>
  <si>
    <t>1014007</t>
  </si>
  <si>
    <t>AKÜ,NS60,DK,55AH,IGYASMF,EAS EXTRA,İÇPYS</t>
  </si>
  <si>
    <t>1014008</t>
  </si>
  <si>
    <t>AKÜ SULU,D20,DK,55AH,EAS EXTRA,İÇ PYS</t>
  </si>
  <si>
    <t>1014009</t>
  </si>
  <si>
    <t>AKÜ SULU,D20,TK,55AH,EAS EXTRA,İÇ PYS</t>
  </si>
  <si>
    <t>1014011</t>
  </si>
  <si>
    <t>AKÜ,D23,DK,68AH,IGYASMF,EAS EXTRA,İÇ PYS</t>
  </si>
  <si>
    <t>1014012</t>
  </si>
  <si>
    <t>AKÜ,D31,DK100AH,IGYASMF,EAS EXTRA,İÇ PYS</t>
  </si>
  <si>
    <t>1014013</t>
  </si>
  <si>
    <t>AKÜ,A-IGYA SMF,DK,145AH,EAS EXTRA,İÇ PYS</t>
  </si>
  <si>
    <t>1014014</t>
  </si>
  <si>
    <t>AKÜ,B-IGYA SMF,DK,190AH,EAS EXTRA,İÇ PYS</t>
  </si>
  <si>
    <t>1014015</t>
  </si>
  <si>
    <t>AKÜ,C-IGYA SMF,DK,250AH,EAS EXTRA,İÇ PYS</t>
  </si>
  <si>
    <t>1014016</t>
  </si>
  <si>
    <t>AKÜ,B-IGYASMF,DK,185AH,EAS EFB S&amp;S,İÇPYS</t>
  </si>
  <si>
    <t>1014017</t>
  </si>
  <si>
    <t>AKÜ,C-IGYASMF,DK,230AH,EAS EFB S&amp;S,İÇPYS</t>
  </si>
  <si>
    <t>1014018</t>
  </si>
  <si>
    <t>AKÜ,A-IGYA,DK,135AH,EASACTIVASHDNEWİÇPYS</t>
  </si>
  <si>
    <t>1014019</t>
  </si>
  <si>
    <t>AKÜ,B-IGYA,DK,150AH,EASACTIVASHDNEWİÇPYS</t>
  </si>
  <si>
    <t>1014020</t>
  </si>
  <si>
    <t>AKÜ,B-IGYA,DK,180AH,EASACTIVASHDNEWİÇPYS</t>
  </si>
  <si>
    <t>1014021</t>
  </si>
  <si>
    <t>AKÜ,C-IGYA,DK,225AH,EASACTIVASHDNEWİÇPYS</t>
  </si>
  <si>
    <t>1014026</t>
  </si>
  <si>
    <t>AKÜ,A-IGYASMF,DK,135AH,HUGELULTRA,SHDNEW</t>
  </si>
  <si>
    <t>1014036</t>
  </si>
  <si>
    <t>AKÜ,L2DK65AH,IGYSMF,NONAME,GYEUR7027-065</t>
  </si>
  <si>
    <t>1014039</t>
  </si>
  <si>
    <t>AKÜ,L2,DK,60AH,IGYSMF,EFB,NONAME,CARANDA</t>
  </si>
  <si>
    <t>1014041</t>
  </si>
  <si>
    <t>AKÜ,L3,DK,75AH,IGYASMF,EFB,NONAMECARANDA</t>
  </si>
  <si>
    <t>1014042</t>
  </si>
  <si>
    <t>AKÜ,L3,DK,72AH,IGYSMF,EFB,NONAME,CARANDA</t>
  </si>
  <si>
    <t>1014046</t>
  </si>
  <si>
    <t>AKÜ,L5,DK,100AH,IGYASMF,EFBNONAMECARANDA</t>
  </si>
  <si>
    <t>1014048</t>
  </si>
  <si>
    <t>AKÜ,C-IGYASMF,DK,230AH,EFBNONAME,CARANDA</t>
  </si>
  <si>
    <t>1014049</t>
  </si>
  <si>
    <t>AKÜ,L2,DK,60AH,VRLA,AGM,NO NAME,CARANDA</t>
  </si>
  <si>
    <t>1014050</t>
  </si>
  <si>
    <t>AKÜ,L3,DK,70AH,VRLA,AGM,NO NAME,CARANDA</t>
  </si>
  <si>
    <t>1014051</t>
  </si>
  <si>
    <t>AKÜ,L4,DK,80AH,VRLA,AGM,NO NAME,CARANDA</t>
  </si>
  <si>
    <t>1014052</t>
  </si>
  <si>
    <t>AKÜ,L5,DK,95AH,VRLA,AGM,NO NAME,CARANDA</t>
  </si>
  <si>
    <t>1014053</t>
  </si>
  <si>
    <t>AKÜ,L6,DK,105AH,VRLA,AGM,NO NAME,CARANDA</t>
  </si>
  <si>
    <t>1014054</t>
  </si>
  <si>
    <t>AKÜ,L2,DK,60AH,VRLA,BLIZZARO AGMS&amp;S,EURO</t>
  </si>
  <si>
    <t>1014055</t>
  </si>
  <si>
    <t>AKÜ,L1,DK,45AH,IGYSMF,BLIZ.TRENDLNE,EURO</t>
  </si>
  <si>
    <t>1014059</t>
  </si>
  <si>
    <t>1014063</t>
  </si>
  <si>
    <t>AKÜ,A-IGYA,DK,135AH,FORMULA,SHDNEW,İÇPYS</t>
  </si>
  <si>
    <t>1014064</t>
  </si>
  <si>
    <t>AKÜ,B-IGYA,DK,150AH,FORMULA,SHDNEW,İÇPYS</t>
  </si>
  <si>
    <t>1014065</t>
  </si>
  <si>
    <t>AKÜ,B-IGYA,DK,180AH,FORMULA,SHDNEW,İÇPYS</t>
  </si>
  <si>
    <t>1014066</t>
  </si>
  <si>
    <t>AKÜ,C-IGYA,DK,225AH,FORMULA,SHDNEW,İÇPYS</t>
  </si>
  <si>
    <t>1014067</t>
  </si>
  <si>
    <t>AKÜ,A-IGYASMF,DK,145AH,İNCİMAXIMA,İÇ PYS</t>
  </si>
  <si>
    <t>1014068</t>
  </si>
  <si>
    <t>AKÜ,B-IGYASMF,DK,190AH,İNCİMAXIMA,İÇ PYS</t>
  </si>
  <si>
    <t>1014069</t>
  </si>
  <si>
    <t>AKÜ,C-IGYASMF,DK,250AH,İNCİMAXIMA,İÇ PYS</t>
  </si>
  <si>
    <t>1014070</t>
  </si>
  <si>
    <t>AKÜ,B-IGYASMF,DK,185AH,İNCİEFBPANT,İÇPYS</t>
  </si>
  <si>
    <t>1014071</t>
  </si>
  <si>
    <t>AKÜ,C-IGYASMF,DK,230AH,İNCİEFBPANT,İÇPYS</t>
  </si>
  <si>
    <t>1014075</t>
  </si>
  <si>
    <t>AKÜ,C-IGYASMF,DK,225AH,Y3000SHDNEW,İÇPYS</t>
  </si>
  <si>
    <t>1014076</t>
  </si>
  <si>
    <t>AKÜ,A-IGYA SMF,DK,145AH,Y5000,İÇ PYS</t>
  </si>
  <si>
    <t>1014077</t>
  </si>
  <si>
    <t>AKÜ,B-IGYA SMF,DK,190AH,Y5000,İÇ PYS</t>
  </si>
  <si>
    <t>1014078</t>
  </si>
  <si>
    <t>AKÜ,C-IGYA SMF,DK,250AH,Y5000,İÇ PYS</t>
  </si>
  <si>
    <t>1014080</t>
  </si>
  <si>
    <t>AKÜ,C-IGYA SMF,DK,230AH,Y7000,İÇ PYS</t>
  </si>
  <si>
    <t>1014085</t>
  </si>
  <si>
    <t>AKÜ,A-FLAT,DK,120AH,NO NAME,PARTS</t>
  </si>
  <si>
    <t>1014091</t>
  </si>
  <si>
    <t>AKÜ,L1,DK,50AH,IGYA,HUGEL ULTRA,SHAWKAT</t>
  </si>
  <si>
    <t>1014094</t>
  </si>
  <si>
    <t>ST-042-STD-08</t>
  </si>
  <si>
    <t>AKÜ,L6,DK,110AH,KAMINA,SILVER,SCHNAPP</t>
  </si>
  <si>
    <t>IA-ST-042-STD-08</t>
  </si>
  <si>
    <t>1014095</t>
  </si>
  <si>
    <t>AKÜ,LB3,DK,65AH,IGYA SMF,EFB S&amp;S,SCHNAPP</t>
  </si>
  <si>
    <t>1014113</t>
  </si>
  <si>
    <t>AKÜ,D23,DK,65AH,IGYSMF,HUGELEFBS&amp;S,YDIŞI</t>
  </si>
  <si>
    <t>1014117</t>
  </si>
  <si>
    <t>AKÜ,D31,DK105AH,IGYA,İNCİFORMULATAURUS</t>
  </si>
  <si>
    <t>1014118</t>
  </si>
  <si>
    <t>AKÜ,LB2,DK,60AH,IGYA,ELECTRA,TÜRKMENİSTN</t>
  </si>
  <si>
    <t>1014119</t>
  </si>
  <si>
    <t>AKÜ,LB2,DK,60AH,IGYA,HI-TECH,TÜRKMENİSTN</t>
  </si>
  <si>
    <t>1014130</t>
  </si>
  <si>
    <t>AKÜ AGM,L6,DK,105AH,İNCİ AGM LEO,YD</t>
  </si>
  <si>
    <t>1014140</t>
  </si>
  <si>
    <t>AKÜ,L0,DK40AH,DINNEW,GRİSYH,SILVER,SCHNP</t>
  </si>
  <si>
    <t>1014141</t>
  </si>
  <si>
    <t>AKÜ,LB2,DK,63AH,IGYASMF,BOOSTERCARBONMAX</t>
  </si>
  <si>
    <t>1014142</t>
  </si>
  <si>
    <t>AKÜ,LB3,DK,73AH,IGYASMF,BOOSTERCARBONMAX</t>
  </si>
  <si>
    <t>1014143</t>
  </si>
  <si>
    <t>AKÜ,L3,DK,82AH,IGYASMF,BOOSTER CARBONMAX</t>
  </si>
  <si>
    <t>1014144</t>
  </si>
  <si>
    <t>AKÜ,L5,DK,104AH,IGYASMF,BOOSTERCARBONMAX</t>
  </si>
  <si>
    <t>1014145</t>
  </si>
  <si>
    <t>AKÜ,D31,TK,101AH,IGYSMF,BOOSTERCARBONMAX</t>
  </si>
  <si>
    <t>1014146</t>
  </si>
  <si>
    <t>AKÜ,D31,DK,101AH,IGYSMF,BOOSTERCARBONMAX</t>
  </si>
  <si>
    <t>1014147</t>
  </si>
  <si>
    <t>1014148</t>
  </si>
  <si>
    <t>AKÜ,B-FLAT,DK,190AH,EAS PRIDE</t>
  </si>
  <si>
    <t>1014151</t>
  </si>
  <si>
    <t>AKÜ,D26,DK,72AH,IGYASMF,BLIZZ.,SILV,EURO</t>
  </si>
  <si>
    <t>1014152</t>
  </si>
  <si>
    <t>AKÜ,A-IGYASMF,DK,140AH,BLIZ.SILVRLN,EURO</t>
  </si>
  <si>
    <t>1014153</t>
  </si>
  <si>
    <t>AKÜ,B-FLAT,DK,190AH,BLIZZAROTRENDLN,EURO</t>
  </si>
  <si>
    <t>1014154</t>
  </si>
  <si>
    <t>1014155</t>
  </si>
  <si>
    <t>AKÜ,A-FLAT,DK,145AH,MF145,RACER POWER</t>
  </si>
  <si>
    <t>1014157</t>
  </si>
  <si>
    <t>AKÜ,B-FLAT,TK,210AH,MF210,RACER POWER</t>
  </si>
  <si>
    <t>1014159</t>
  </si>
  <si>
    <t>AKÜ,C-IGYASMF,DK,240AH,MF240,RACERPOWER</t>
  </si>
  <si>
    <t>1014160</t>
  </si>
  <si>
    <t>AKÜ,LB2,DK,60AH,IGYASMF,BLIZZ.TRENDLINE</t>
  </si>
  <si>
    <t>1014161</t>
  </si>
  <si>
    <t>AKÜ,D31,DK,105AH,IGYSMF,İNCİTAURS,ERKUNT</t>
  </si>
  <si>
    <t>1014163</t>
  </si>
  <si>
    <t>AKÜ,B-IGYASMF,DK,185AH,EAS EFB S&amp;S</t>
  </si>
  <si>
    <t>1014164</t>
  </si>
  <si>
    <t>AKÜ,C-IGYASMF,DK,230AH,EAS EFB S&amp;S</t>
  </si>
  <si>
    <t>1014165</t>
  </si>
  <si>
    <t>AKÜ,L6,DK,110AH,KAMINA,EAS PRIDE,İÇPYS</t>
  </si>
  <si>
    <t>1014167</t>
  </si>
  <si>
    <t>AKÜ,L6,DK,105AH,VRLA,HUGEL AGM S&amp;S,EURO</t>
  </si>
  <si>
    <t>1014168</t>
  </si>
  <si>
    <t>AKÜ,LB4,DK,85AH,IGYSMF,HUGELMEGA,YD,EURO</t>
  </si>
  <si>
    <t>1014172</t>
  </si>
  <si>
    <t>AKÜ,C-IGYASMF,DK,225AH,EAS ACTIVA,ATWAN</t>
  </si>
  <si>
    <t>1014173</t>
  </si>
  <si>
    <t>ST-051-STD-04</t>
  </si>
  <si>
    <t>AKÜ,D31,DK,90AH,IGYASMF,EAS KOLİLİ,ATWAN</t>
  </si>
  <si>
    <t>IA-ST-051-STD-04</t>
  </si>
  <si>
    <t>1014174</t>
  </si>
  <si>
    <t>AKÜ,AGM,L5,DK,92AH,EAS AGM S&amp;S,ATWAN</t>
  </si>
  <si>
    <t>1014175</t>
  </si>
  <si>
    <t>AKÜ,AGM,L6,DK,105AH,EAS AGM S&amp;S,ATWAN</t>
  </si>
  <si>
    <t>1014176</t>
  </si>
  <si>
    <t>AKÜ,L2,TK,60AH,IGYASMF,BLIZZSILVRLN,EURO</t>
  </si>
  <si>
    <t>1014178</t>
  </si>
  <si>
    <t>AKÜ,C-IGYASMF,DK,240AH,BLIZSILVERLN,EURO</t>
  </si>
  <si>
    <t>1014180</t>
  </si>
  <si>
    <t>AKÜ,L4,DK,82AH,IGYSMF,PERFORMANCEBATTERY</t>
  </si>
  <si>
    <t>1014182</t>
  </si>
  <si>
    <t>AKÜ,L1,DK,45AH,IGYSMF,PERFORMANCEBATTERY</t>
  </si>
  <si>
    <t>1014183</t>
  </si>
  <si>
    <t>AKÜ,L2,DK,55AH,IGYSMF,PERFORMANCEBATTERY</t>
  </si>
  <si>
    <t>1014189</t>
  </si>
  <si>
    <t>AKÜ,D23,TK,68AH,IGYSMF,EAS EXTRA,YD,EURO</t>
  </si>
  <si>
    <t>1014192</t>
  </si>
  <si>
    <t>AKÜ,AGM,L6,DK,105AH,EAS AGM S&amp;S</t>
  </si>
  <si>
    <t>1014193</t>
  </si>
  <si>
    <t>AKÜ,B-IGYASMF,DK,190AH,EAS EXTRA</t>
  </si>
  <si>
    <t>1014196</t>
  </si>
  <si>
    <t>AKÜ,C-IGYASMF,DK,225AH,EAS ACTIVA,SHDNEW</t>
  </si>
  <si>
    <t>1014197</t>
  </si>
  <si>
    <t>AKÜ,NS60,TK,55AH,IGYSMF,İNCİMAXIMA,İÇPYS</t>
  </si>
  <si>
    <t>1014198</t>
  </si>
  <si>
    <t>AKÜ,L2,DK,60AH,AGM BOOSTER PREMIUM MAX</t>
  </si>
  <si>
    <t>1014199</t>
  </si>
  <si>
    <t>AKÜ,L3,DK,70AH,AGM BOOSTER PREMIUM MAX</t>
  </si>
  <si>
    <t>1014200</t>
  </si>
  <si>
    <t>AKÜ,L4,DK,80AH,AGM BOOSTER PREMIUM MAX</t>
  </si>
  <si>
    <t>1014201</t>
  </si>
  <si>
    <t>AKÜ,L3,DK72AH,IGYA,EFB BOOSTERPREMIUMMAX</t>
  </si>
  <si>
    <t>1014202</t>
  </si>
  <si>
    <t>AKÜ,LB2,DK,60AH,IGYA SMF,EFB S&amp;S,LUCAS</t>
  </si>
  <si>
    <t>1014203</t>
  </si>
  <si>
    <t>AKÜ,LB3,DK,65AH,IGYA SMF,EFB S&amp;S,LUCAS</t>
  </si>
  <si>
    <t>1014204</t>
  </si>
  <si>
    <t>AKÜ,LB4,DK,75AH,IGYA SMF,EFB S&amp;S,LUCAS</t>
  </si>
  <si>
    <t>1014205</t>
  </si>
  <si>
    <t>AKÜ,L5,DK,90AH,IGYA SMF,EFB S&amp;S,LUCAS</t>
  </si>
  <si>
    <t>1014210</t>
  </si>
  <si>
    <t>AKÜ,L2,DK,60AH,IGYSMF,BLIZZ.EFB S&amp;S,EURO</t>
  </si>
  <si>
    <t>1014213</t>
  </si>
  <si>
    <t>AKÜ,D23,DK,65AH,IGYSMF,BLIZZ.EFBS&amp;S,EURO</t>
  </si>
  <si>
    <t>1014220</t>
  </si>
  <si>
    <t>AKÜ,L3,DK,76AH,IGYA,SUNTECH,TÜRKMENİSTAN</t>
  </si>
  <si>
    <t>1014221</t>
  </si>
  <si>
    <t>AKÜ,LB2,DK,62AH,IGYA,SUNTECH,TÜRKMENİSTN</t>
  </si>
  <si>
    <t>1014222</t>
  </si>
  <si>
    <t>1014223</t>
  </si>
  <si>
    <t>AKÜ,LB3,DK,72AH,IGYA SMF,EAS ACTIVA</t>
  </si>
  <si>
    <t>1014253</t>
  </si>
  <si>
    <t>AKÜ,L5,DK,100AH,IGYSMF,YBX7019-100,GYEUR</t>
  </si>
  <si>
    <t>1014254</t>
  </si>
  <si>
    <t>AKÜ,L5DK100AH,IGYSMF,NONAME7019-100GYEUR</t>
  </si>
  <si>
    <t>1014255</t>
  </si>
  <si>
    <t>ST-045-EUR-01</t>
  </si>
  <si>
    <t>AKÜ,L3,DK,75AH,IGYASMF,YBX7096-075,GYEUR</t>
  </si>
  <si>
    <t>IA-ST-045-EUR-01</t>
  </si>
  <si>
    <t>1014256</t>
  </si>
  <si>
    <t>AKÜ,L3DK75AH,IGYASMF,NONAME7096-075GYEUR</t>
  </si>
  <si>
    <t>1014258</t>
  </si>
  <si>
    <t>AKÜ AGM,L4,DK,80AH,HUGEL AGM S&amp;S,EURO</t>
  </si>
  <si>
    <t>1014268</t>
  </si>
  <si>
    <t>AKÜ,L2,TK,60AH,IGYASMF,BLIZ SILVR,JANENE</t>
  </si>
  <si>
    <t>1014269</t>
  </si>
  <si>
    <t>AKÜ AGM,L2,DK,60AH,VRLA,BLIZZARO AGM S&amp;S</t>
  </si>
  <si>
    <t>1014270</t>
  </si>
  <si>
    <t>AKÜ AGM,L3,DK,70AH,VRLA,BLIZZARO AGM S&amp;S</t>
  </si>
  <si>
    <t>1014271</t>
  </si>
  <si>
    <t>AKÜ AGM,L4,DK,80AH,VRLA,BLIZZARO AGM S&amp;S</t>
  </si>
  <si>
    <t>1014272</t>
  </si>
  <si>
    <t>AKÜ AGM,L5,DK,92AH,VRLA,BLIZZARO AGM S&amp;S</t>
  </si>
  <si>
    <t>1014275</t>
  </si>
  <si>
    <t>AKÜ,L2,DK,65AH,IGYASMF,BLIZZARO GOLDLINE</t>
  </si>
  <si>
    <t>1014276</t>
  </si>
  <si>
    <t>AKÜ,L3,DK,80AH,IGYASMF,BLIZZARO GOLDLINE</t>
  </si>
  <si>
    <t>1014277</t>
  </si>
  <si>
    <t>AKÜ,L5,DK,102AH,IGYSMF,BLIZZARO GOLDLINE</t>
  </si>
  <si>
    <t>1014278</t>
  </si>
  <si>
    <t>AKÜ,L2,DK,60AH,IGYSMF,BLIZZAROSILVERLINE</t>
  </si>
  <si>
    <t>1014280</t>
  </si>
  <si>
    <t>AKÜ,L3,DK,75AH,IGYSMF,BLIZZAROSILVERLINE</t>
  </si>
  <si>
    <t>1014281</t>
  </si>
  <si>
    <t>AKÜ,L5,DK,92AH,IGYSMF,BLIZZAROSILVERLINE</t>
  </si>
  <si>
    <t>1014283</t>
  </si>
  <si>
    <t>1014285</t>
  </si>
  <si>
    <t>AKÜ,D26,DK,75AH,IGYSMF,BLIZZAROSILVERLNE</t>
  </si>
  <si>
    <t>1014307</t>
  </si>
  <si>
    <t>AKÜ,A-IGYA,TK135AH,FORMULA,SHDNEW,YANMAR</t>
  </si>
  <si>
    <t>1014311</t>
  </si>
  <si>
    <t>ST-048-STD-02</t>
  </si>
  <si>
    <t>AKÜ,L2DK,60AH,VRLA,AGMYBX9027-060,EXPORT</t>
  </si>
  <si>
    <t>IA-ST-048-STD-02</t>
  </si>
  <si>
    <t>1014312</t>
  </si>
  <si>
    <t>ST-042-STD-03</t>
  </si>
  <si>
    <t>AKÜ,L3DK,70AH,VRLA,AGMYBX9096-070,EXPORT</t>
  </si>
  <si>
    <t>IA-ST-042-STD-03</t>
  </si>
  <si>
    <t>1014313</t>
  </si>
  <si>
    <t>ST-036-STD-02</t>
  </si>
  <si>
    <t>AKÜ,L4DK,80AH,VRLA,AGMYBX9115-080,EXPORT</t>
  </si>
  <si>
    <t>IA-ST-036-STD-02</t>
  </si>
  <si>
    <t>1014314</t>
  </si>
  <si>
    <t>ST-030-STD-01</t>
  </si>
  <si>
    <t>AKÜ,L5DK,95AH,VRLA,AGMYBX9019-095,EXPORT</t>
  </si>
  <si>
    <t>IA-ST-030-STD-01</t>
  </si>
  <si>
    <t>1014315</t>
  </si>
  <si>
    <t>ST-028-STD-01</t>
  </si>
  <si>
    <t>AKÜ,L6DK105AH,VRLA,AGMYBX9020-105,EXPORT</t>
  </si>
  <si>
    <t>IA-ST-028-STD-01</t>
  </si>
  <si>
    <t>1014316</t>
  </si>
  <si>
    <t>AKÜ AGM,L5,DK,95AH,VRLA,İNCİ AGM LEO</t>
  </si>
  <si>
    <t>1014324</t>
  </si>
  <si>
    <t>AKÜ,D20,DK,55AH,KSK,ZITEX BATTERY</t>
  </si>
  <si>
    <t>1014327</t>
  </si>
  <si>
    <t>AKÜ,D23,DK,68AH,IGYASMF,ZITEX BATTERY</t>
  </si>
  <si>
    <t>1014328</t>
  </si>
  <si>
    <t>AKÜ,L4,DK,82AH,IGYASMF,ZITEX BATTERY</t>
  </si>
  <si>
    <t>1014329</t>
  </si>
  <si>
    <t>AKÜ,L3,DK,72AH,IGYASMF,ZITEX BATTERY</t>
  </si>
  <si>
    <t>1014331</t>
  </si>
  <si>
    <t>AKÜ,L1,DK,54AH,IGYASMF,ZITEX BATTERY</t>
  </si>
  <si>
    <t>1014332</t>
  </si>
  <si>
    <t>AKÜ,D26,DK,80AH,IGYASMF,ZITEX BATTERY</t>
  </si>
  <si>
    <t>1014333</t>
  </si>
  <si>
    <t>AKÜ,NS60DK,52AH,IGYASMF,ZITEX BATTERY</t>
  </si>
  <si>
    <t>1014342</t>
  </si>
  <si>
    <t>1014344</t>
  </si>
  <si>
    <t>1014345</t>
  </si>
  <si>
    <t>AKÜ,D31,TK,80AH,IGYA,TECHNO POWER,ALSAFA</t>
  </si>
  <si>
    <t>1014347</t>
  </si>
  <si>
    <t>AKÜ,L2,DK,62AH,IGYA,TECHNO POWER,ALSAFA</t>
  </si>
  <si>
    <t>1014348</t>
  </si>
  <si>
    <t>AKÜ,L2,TK,62AH,IGYA,TECHNO POWER,ALSAFA</t>
  </si>
  <si>
    <t>1014349</t>
  </si>
  <si>
    <t>AKÜ,NS60,DK,45AH,IGYA,TECHNOPOWER,ALSAFA</t>
  </si>
  <si>
    <t>1014350</t>
  </si>
  <si>
    <t>AKÜ,L3,DK,75AH,IGYA,TECHNO POWER,ALSAFA</t>
  </si>
  <si>
    <t>1014355</t>
  </si>
  <si>
    <t>AKÜ,C-IGYA,DK,200AH,TECHNO POWER,ALSAFA</t>
  </si>
  <si>
    <t>1014356</t>
  </si>
  <si>
    <t>AKÜ,L5,DK,100AH,IGYA,TECHNO POWER,ALSAFA</t>
  </si>
  <si>
    <t>1014357</t>
  </si>
  <si>
    <t>AKÜ,D23,DK,60AH,IGYA,TECHNO POWER,ALSAFA</t>
  </si>
  <si>
    <t>1014358</t>
  </si>
  <si>
    <t>AKÜ,B-IGYASMF,TK,150AH,İNCİFORMULATAURUS</t>
  </si>
  <si>
    <t>1014364</t>
  </si>
  <si>
    <t>AKÜ,C-IGYA,DK,250AH,İNCİMAXIMA,GÜLERYÜZ</t>
  </si>
  <si>
    <t>1014367</t>
  </si>
  <si>
    <t>AKÜ,L1,DK,52AH,IGYA,4012-052,NONAMEGYEUR</t>
  </si>
  <si>
    <t>1014368</t>
  </si>
  <si>
    <t>AKÜ,D23,DK,60AH,IGYA,3005-060NONAMEGYEUR</t>
  </si>
  <si>
    <t>1014369</t>
  </si>
  <si>
    <t>AKÜ,NS40,DK,42AH,IGYA,EASJENERATÖR,İÇPYS</t>
  </si>
  <si>
    <t>1014370</t>
  </si>
  <si>
    <t>AKÜ,L2,DK,60AH,IGYA,EAS JENERATÖR,İÇ PYS</t>
  </si>
  <si>
    <t>1014371</t>
  </si>
  <si>
    <t>AKÜ,L5,DK,100AH,IGYA,EASJENERATÖR,İÇ PYS</t>
  </si>
  <si>
    <t>1014372</t>
  </si>
  <si>
    <t>AKÜ,L3,DK,75AH,IGYA,EAS JENERATÖR,İÇ PYS</t>
  </si>
  <si>
    <t>1014373</t>
  </si>
  <si>
    <t>ST-054-STD-05</t>
  </si>
  <si>
    <t>AKÜ,D31,DK,90AH,IGYA,EAS JENERATÖR,İÇPYS</t>
  </si>
  <si>
    <t>IA-ST-054-STD-05</t>
  </si>
  <si>
    <t>1014374</t>
  </si>
  <si>
    <t>ST-030-STD-02</t>
  </si>
  <si>
    <t>AKÜ,A-IGYA,DK,135AH,EAS JENERATÖR,İÇ PYS</t>
  </si>
  <si>
    <t>IA-ST-030-STD-02</t>
  </si>
  <si>
    <t>1014375</t>
  </si>
  <si>
    <t>ST-030-STD-03</t>
  </si>
  <si>
    <t>AKÜ,B-IGYA,DK,150AH,EAS JENERATÖR,İÇ PYS</t>
  </si>
  <si>
    <t>IA-ST-030-STD-03</t>
  </si>
  <si>
    <t>1014377</t>
  </si>
  <si>
    <t>AKÜ,TRACTORL,DK,115AH,İNCİ SUPRA SENTOR</t>
  </si>
  <si>
    <t>1014378</t>
  </si>
  <si>
    <t>AKÜ,NS60,TK,55AH,IGYASMF,EAS EXTRA,İÇPYS</t>
  </si>
  <si>
    <t>1014379</t>
  </si>
  <si>
    <t>AKÜ,D23,TK,60AH,IGYA,3014-060NONAMEGYEUR</t>
  </si>
  <si>
    <t>1014380</t>
  </si>
  <si>
    <t>AKÜ,D31,DK,95AH,IGYA,3335-095NONAMEGYEUR</t>
  </si>
  <si>
    <t>1014381</t>
  </si>
  <si>
    <t>AKÜ,A-FLAT,DK,135AH,İNCİ SUPRASENTOR,MST</t>
  </si>
  <si>
    <t>1014382</t>
  </si>
  <si>
    <t>AKÜ,B-FLAT,DK,165AH,İNCİ SUPRASENTOR,MST</t>
  </si>
  <si>
    <t>1014383</t>
  </si>
  <si>
    <t>AKÜ,L2,DK,65AH,IGYASMF,GYEUR,HEB7027-065</t>
  </si>
  <si>
    <t>1014384</t>
  </si>
  <si>
    <t>AKÜ,L3,DK,75AH,IGYASMF,GYEUR,HEB7096-075</t>
  </si>
  <si>
    <t>1014390</t>
  </si>
  <si>
    <t>AKÜ,L0,DK,40AH,DINNEW,BLIZZ.TRENDLN,EURO</t>
  </si>
  <si>
    <t>1014391</t>
  </si>
  <si>
    <t>AKÜ,A-FLAT,DK,140AH,HUGEL ACTION,EURO</t>
  </si>
  <si>
    <t>1014392</t>
  </si>
  <si>
    <t>AKÜ,C-FLAT,DK,200AH,HUGEL ACTION,EURO</t>
  </si>
  <si>
    <t>1014393</t>
  </si>
  <si>
    <t>AKÜ,C-IGYASMF,DK,250AH,İNCİMAXIMA,REDMAY</t>
  </si>
  <si>
    <t>1014394</t>
  </si>
  <si>
    <t>AKÜ,L2,DK,65AH,IGYASMF,İNCİEFBMAX,REDMAY</t>
  </si>
  <si>
    <t>1014395</t>
  </si>
  <si>
    <t>AKÜ,L1,DK,45AH,IGYASMF,İNCİ SUPRA,REDMAY</t>
  </si>
  <si>
    <t>1014396</t>
  </si>
  <si>
    <t>AKÜ,LB2,DK,60AH,IGYASMF,İNCİ FORM,REDMAY</t>
  </si>
  <si>
    <t>1014397</t>
  </si>
  <si>
    <t>AKÜ,LB3,DK,66AH,IGYASMF,İNCİ FORM,REDMAY</t>
  </si>
  <si>
    <t>1014399</t>
  </si>
  <si>
    <t>ST-080-EUR-01</t>
  </si>
  <si>
    <t>AKÜ AGM,L1,DK,50AH,İNCİ AGM LEO,İÇ PYS</t>
  </si>
  <si>
    <t>IA-ST-080-EUR-01</t>
  </si>
  <si>
    <t>1014400</t>
  </si>
  <si>
    <t>ST-072-STD-05</t>
  </si>
  <si>
    <t>AKÜ AGM,L1,DK,50AH,EAS AGM S&amp;S,İÇ PYS</t>
  </si>
  <si>
    <t>IA-ST-072-STD-05</t>
  </si>
  <si>
    <t>1014402</t>
  </si>
  <si>
    <t>AKÜ,L4,DK,85AH,IGYA,3115-082,NONAMEGYEUR</t>
  </si>
  <si>
    <t>1014403</t>
  </si>
  <si>
    <t>AKÜ,L2,DK,65AH,IGYASMF,GYEUR,YBX5027-065</t>
  </si>
  <si>
    <t>1014404</t>
  </si>
  <si>
    <t>AKÜ,L3,DK,80AH,IGYASMF,GYEUR,YBX5096-080</t>
  </si>
  <si>
    <t>1014405</t>
  </si>
  <si>
    <t>AKÜ,LB3,DK75AH,IGYASMF,GYEUR,YBX5100-075</t>
  </si>
  <si>
    <t>1014406</t>
  </si>
  <si>
    <t>AKÜ,L4,DK,90AH,IGYASMF,GYEUR,YBX5115-090</t>
  </si>
  <si>
    <t>1014407</t>
  </si>
  <si>
    <t>AKÜ,L4,TK,90AH,IGYASMF,GYEUR,YBX5116-090</t>
  </si>
  <si>
    <t>1014408</t>
  </si>
  <si>
    <t>AKÜ,L5,DK100AH,IGYASMF,GYEUR,YBX5019-100</t>
  </si>
  <si>
    <t>1014409</t>
  </si>
  <si>
    <t>AKÜ,L2,DK,65AH,IGYASMF,GYEUR,HAL5027-065</t>
  </si>
  <si>
    <t>1014410</t>
  </si>
  <si>
    <t>AKÜ,L2,DK,65AH,IGYA,NONAME,GYEUR5027-065</t>
  </si>
  <si>
    <t>1014412</t>
  </si>
  <si>
    <t>AKÜ,L3,DK,80AH,IGYASMF,GYEUR,HAL5096-080</t>
  </si>
  <si>
    <t>1014414</t>
  </si>
  <si>
    <t>AKÜ,L3,DK80AH,IGYSMF,NONAMEGYEUR5096-080</t>
  </si>
  <si>
    <t>1014415</t>
  </si>
  <si>
    <t>AKÜ,LB3DK75AH,IGYSMF,NONAMEGYEUR5100-075</t>
  </si>
  <si>
    <t>1014416</t>
  </si>
  <si>
    <t>AKÜ,LB3,DK75AH,IGYASMF,GYEUR,HAL5100-075</t>
  </si>
  <si>
    <t>1014417</t>
  </si>
  <si>
    <t>AKÜ,L4DK90AH,IGYSMFNONAME,GYEUR,5115-090</t>
  </si>
  <si>
    <t>1014420</t>
  </si>
  <si>
    <t>AKÜ,L5,DK100AH,IGYASMF,GYEUR,HAL5019-100</t>
  </si>
  <si>
    <t>1014422</t>
  </si>
  <si>
    <t>AKÜ,L5DK100AH,IGYSMF,NONAMEGYEUR5019-100</t>
  </si>
  <si>
    <t>1014423</t>
  </si>
  <si>
    <t>AKÜ,L2,DK,62AH,IGYASMF,GYEUR,YBX3027-062</t>
  </si>
  <si>
    <t>1014424</t>
  </si>
  <si>
    <t>AKÜ,L3,DK,76AH,IGYASMF,GYEUR,YBX3096-076</t>
  </si>
  <si>
    <t>1014425</t>
  </si>
  <si>
    <t>AKÜ,LB3,DK71AH,IGYASMF,GYEUR,YBX3100-071</t>
  </si>
  <si>
    <t>1014426</t>
  </si>
  <si>
    <t>AKÜ,L5,DK,95AH,IGYASMF,GYEUR,YBX3019-095</t>
  </si>
  <si>
    <t>1014427</t>
  </si>
  <si>
    <t>AKÜ,L2,DK,62AH,IGYA SMF,SMF 027,GS</t>
  </si>
  <si>
    <t>1014428</t>
  </si>
  <si>
    <t>AKÜ,L2,TK,60AH,IGYA SMF,SMF 078,GS</t>
  </si>
  <si>
    <t>1014429</t>
  </si>
  <si>
    <t>AKÜ,L3,DK,75AH,IGYA SMF,SMF 096,GS</t>
  </si>
  <si>
    <t>1014430</t>
  </si>
  <si>
    <t>AKÜ,L3,TK,75AH,IGYA SMF,SMF 086,GS</t>
  </si>
  <si>
    <t>1014431</t>
  </si>
  <si>
    <t>AKÜ,LB3,DK,72AH,IGYA SMF,SMF 100,GS</t>
  </si>
  <si>
    <t>1014432</t>
  </si>
  <si>
    <t>AKÜ,L5,DK,95AH,IGYA SMF,SMF 019,GS</t>
  </si>
  <si>
    <t>1014433</t>
  </si>
  <si>
    <t>AKÜ,L2,TK,62AH,IGYASMF,GYEUR,YBX3078-062</t>
  </si>
  <si>
    <t>1014434</t>
  </si>
  <si>
    <t>ST-044-STD-01</t>
  </si>
  <si>
    <t>AKÜ,L2,TK,60AH,IGYSMF,Y3000EXPORT,KOLİLİ</t>
  </si>
  <si>
    <t>IA-ST-044-STD-01</t>
  </si>
  <si>
    <t>1014435</t>
  </si>
  <si>
    <t>ST-088-STD-02</t>
  </si>
  <si>
    <t>AKÜ,L2,TK,60AH,IGYA,Y3000EXP KOLİ,NACITA</t>
  </si>
  <si>
    <t>IA-ST-088-STD-02</t>
  </si>
  <si>
    <t>1014436</t>
  </si>
  <si>
    <t>AKÜ,L2,TK,60AH,IGYA SMF,Y3000 EXPORT</t>
  </si>
  <si>
    <t>1014437</t>
  </si>
  <si>
    <t>AKÜ,L2,DK,62AH,IGYASMF,GYEUR,HAL3027-062</t>
  </si>
  <si>
    <t>1014439</t>
  </si>
  <si>
    <t>AKÜ,L2,DK,62AH,IGYA,NONAME,GYEUR3027-062</t>
  </si>
  <si>
    <t>1014440</t>
  </si>
  <si>
    <t>AKÜ,L2,DK,62AH,IGYA,Y3000EXP KOLİ,NACITA</t>
  </si>
  <si>
    <t>1014441</t>
  </si>
  <si>
    <t>ST-066-STD-01</t>
  </si>
  <si>
    <t>AKÜ,L2,DK,62AH,IGYSMF,Y3000EXPORT,KOLİLİ</t>
  </si>
  <si>
    <t>IA-ST-066-STD-01</t>
  </si>
  <si>
    <t>1014442</t>
  </si>
  <si>
    <t>AKÜ,L2,DK,62AH,IGYA SMF,Y3000 EXPORT</t>
  </si>
  <si>
    <t>1014443</t>
  </si>
  <si>
    <t>ST-072-STD-09</t>
  </si>
  <si>
    <t>AKÜ,L2,DK,62AH,IGYSMF,Y3000EXPORT,TÜRKMN</t>
  </si>
  <si>
    <t>IA-ST-072-STD-09</t>
  </si>
  <si>
    <t>1014444</t>
  </si>
  <si>
    <t>AKÜ,L3,TK,76AH,IGYASMF,GYEUR,YBX3086-076</t>
  </si>
  <si>
    <t>1014445</t>
  </si>
  <si>
    <t>AKÜ,L3TK76AH,IGYSMF,NONAME,GYEUR3086-076</t>
  </si>
  <si>
    <t>1014446</t>
  </si>
  <si>
    <t>AKÜ,L3DK76AH,IGYASMF,HALFORD,HAL3096-076</t>
  </si>
  <si>
    <t>1014447</t>
  </si>
  <si>
    <t>AKÜ,L3,DK,76AH,IGYASMF,NO NAME,3096-076</t>
  </si>
  <si>
    <t>1014448</t>
  </si>
  <si>
    <t>ST-036-STD-01</t>
  </si>
  <si>
    <t>AKÜ,L3,DK,75AH,IGYSMF,Y3000EXPORT,KOLİLİ</t>
  </si>
  <si>
    <t>IA-ST-036-STD-01</t>
  </si>
  <si>
    <t>1014450</t>
  </si>
  <si>
    <t>AKÜ,L3,DK,75AH,IGYA SMF,NO NAME,GY EUR</t>
  </si>
  <si>
    <t>1014451</t>
  </si>
  <si>
    <t>ST-054-STD-01</t>
  </si>
  <si>
    <t>IA-ST-054-STD-01</t>
  </si>
  <si>
    <t>1014452</t>
  </si>
  <si>
    <t>AKÜ,L3,DK,75AH,IGYA SMF,Y3000 EXPORT</t>
  </si>
  <si>
    <t>1014453</t>
  </si>
  <si>
    <t>AKÜ,L3,DK,75AH,IGYA,NONAME,GYEUR4096-075</t>
  </si>
  <si>
    <t>1014454</t>
  </si>
  <si>
    <t>AKÜ,LB3DK71AH,IGYSMFNONAME,GYEUR3100-071</t>
  </si>
  <si>
    <t>1014456</t>
  </si>
  <si>
    <t>AKÜ,LB3,DK,72AH,IGYA SMF,Y3000 EXPORT</t>
  </si>
  <si>
    <t>1014457</t>
  </si>
  <si>
    <t>AKÜ,L5DK95AH,IGYSMFNONAME,GYEUR,3019-095</t>
  </si>
  <si>
    <t>1014460</t>
  </si>
  <si>
    <t>ST-045-STD-14</t>
  </si>
  <si>
    <t>AKÜ,L5,DK,100AH,IGYASMF,NONAME,GSTAYLAND</t>
  </si>
  <si>
    <t>IA-ST-045-STD-14</t>
  </si>
  <si>
    <t>1014461</t>
  </si>
  <si>
    <t>ST-060-STD-02</t>
  </si>
  <si>
    <t>AKÜ,L5,DK,95AH,IGYA,Y3000EXP KOLİ,NACITA</t>
  </si>
  <si>
    <t>IA-ST-060-STD-02</t>
  </si>
  <si>
    <t>1014462</t>
  </si>
  <si>
    <t>ST-045-STD-01</t>
  </si>
  <si>
    <t>AKÜ,L5,DK,95AH,IGYSMF,Y3000EXPORT,KOLİLİ</t>
  </si>
  <si>
    <t>IA-ST-045-STD-01</t>
  </si>
  <si>
    <t>1014463</t>
  </si>
  <si>
    <t>AKÜ,L5,DK,95AH,IGYA SMF,Y3000 EXPORT</t>
  </si>
  <si>
    <t>1014464</t>
  </si>
  <si>
    <t>AKÜ,L5,DK,95AH850A,IGYSMF,YUASA,ORTADOĞU</t>
  </si>
  <si>
    <t>1014465</t>
  </si>
  <si>
    <t>AKÜ,L5,DK,95AH850A,IGYASMF,Y3000,SHAWKAT</t>
  </si>
  <si>
    <t>1014473</t>
  </si>
  <si>
    <t>AKÜ,B-IGYASMF,DK,185AH,İNCİEFBPANT,HABAŞ</t>
  </si>
  <si>
    <t>1014475</t>
  </si>
  <si>
    <t>AKÜ,B-FLAT,TK,180AH,İNCİ SUPRA,REDMAY</t>
  </si>
  <si>
    <t>1014476</t>
  </si>
  <si>
    <t>ST-087-STD-01</t>
  </si>
  <si>
    <t>AKÜ,L1,DK,45AH,IGYA SMF,NO NAME,REDMAY</t>
  </si>
  <si>
    <t>IA-ST-087-STD-01</t>
  </si>
  <si>
    <t>1014477</t>
  </si>
  <si>
    <t>ST-072-STD-14</t>
  </si>
  <si>
    <t>AKÜ,LB2,DK,60AH,IGYA SMF,NO NAME,REDMAY</t>
  </si>
  <si>
    <t>IA-ST-072-STD-14</t>
  </si>
  <si>
    <t>1014478</t>
  </si>
  <si>
    <t>ST-063-STD-09</t>
  </si>
  <si>
    <t>AKÜ,LB3,DK,66AH,IGYA SMF,NO NAME,REDMAY</t>
  </si>
  <si>
    <t>IA-ST-063-STD-09</t>
  </si>
  <si>
    <t>1014479</t>
  </si>
  <si>
    <t>AKÜ,A-IGYA,TK,120AH,İNCİ FORMULA,ERKUNT</t>
  </si>
  <si>
    <t>1014480</t>
  </si>
  <si>
    <t>AKÜ,A-IGYASMF,DK,135AH,BLIZSILVER,SHDNEW</t>
  </si>
  <si>
    <t>1014481</t>
  </si>
  <si>
    <t>AKÜ AGM,L2,DK,60AH,BLIZZARO AGM,JANENE</t>
  </si>
  <si>
    <t>1014482</t>
  </si>
  <si>
    <t>AKÜ AGM,L4,DK,80AH,BLIZZARO AGM,JANENE</t>
  </si>
  <si>
    <t>1014486</t>
  </si>
  <si>
    <t>AKÜ,D23,60AH,IGYSMF,BLIZZSILVERLN,MISIR</t>
  </si>
  <si>
    <t>1014490</t>
  </si>
  <si>
    <t>ST-051-STD-08</t>
  </si>
  <si>
    <t>AKÜ,D31,DK,80AH,IGYSMF,İNCİTAURUS,KOLİLİ</t>
  </si>
  <si>
    <t>IA-ST-051-STD-08</t>
  </si>
  <si>
    <t>1014491</t>
  </si>
  <si>
    <t>AKÜ AGM,C,DK,220AH,İNCİ AGM LEO,İÇ PYS</t>
  </si>
  <si>
    <t>1014492</t>
  </si>
  <si>
    <t>AKÜ AGM,C,DK,220AH,EAS AGM S&amp;S,İÇ PYS</t>
  </si>
  <si>
    <t>1014493</t>
  </si>
  <si>
    <t>AKÜ,L6,DK105AH,VRLA,AGM YBX9020-105_Grey</t>
  </si>
  <si>
    <t>1014494</t>
  </si>
  <si>
    <t>AKÜ,B-IGYASMF,DK190AH,B03,EASACTIVA,EURO</t>
  </si>
  <si>
    <t>1014495</t>
  </si>
  <si>
    <t>AKÜ,C-IGYASMF,DK,240AH,EAS ACTIVA,EURO</t>
  </si>
  <si>
    <t>1014496</t>
  </si>
  <si>
    <t>AKÜ,AGM,L2,DK,60AH,EAS AGM S&amp;S,EURO</t>
  </si>
  <si>
    <t>1014497</t>
  </si>
  <si>
    <t>AKÜ,AGM,L4,DK,80AH,EAS AGM S&amp;S,EURO</t>
  </si>
  <si>
    <t>1014498</t>
  </si>
  <si>
    <t>AKÜ,AGM,L5,DK,92AH,EAS AGM S&amp;S,EURO</t>
  </si>
  <si>
    <t>1014499</t>
  </si>
  <si>
    <t>AKÜ,AGM,L6,DK,105AH,EAS AGM S&amp;S,EURO</t>
  </si>
  <si>
    <t>1014500</t>
  </si>
  <si>
    <t>ST-096-EUR-04</t>
  </si>
  <si>
    <t>AKÜ,L1,DK,54AH,IGYA SMF,NO NAME,EURO</t>
  </si>
  <si>
    <t>IA-ST-096-EUR-04</t>
  </si>
  <si>
    <t>1014501</t>
  </si>
  <si>
    <t>AKÜ,NS60,DK45AH,IGYA,T3PERFORMANCEBATTER</t>
  </si>
  <si>
    <t>1014516</t>
  </si>
  <si>
    <t>1014527</t>
  </si>
  <si>
    <t>ST-048-EUR-11</t>
  </si>
  <si>
    <t>AKÜ,D31,TK,70AH,IGYASMF,NO NAME,EURO</t>
  </si>
  <si>
    <t>IA-ST-048-EUR-11</t>
  </si>
  <si>
    <t>1014534</t>
  </si>
  <si>
    <t>AKÜ,D23,DK,68AH,IGYASMF,BLIZZAROGOLDLINE</t>
  </si>
  <si>
    <t>1014535</t>
  </si>
  <si>
    <t>AKÜ,LB3DK71AH,IGYASMFHALFORD,HAL3100-071</t>
  </si>
  <si>
    <t>1014536</t>
  </si>
  <si>
    <t>AKÜ,L5DK95AH,IGYASMF,HALFORD,HAL3019-095</t>
  </si>
  <si>
    <t>1014537</t>
  </si>
  <si>
    <t>AKÜ,L5DK100AH,IGYASMFHALFORD,HALL36L-EFB</t>
  </si>
  <si>
    <t>1014542</t>
  </si>
  <si>
    <t>AKÜ,L2,DK,60AH,VRLA,NONAME9027-060,GYEUR</t>
  </si>
  <si>
    <t>1014543</t>
  </si>
  <si>
    <t>AKÜ,L3,DK,70AH,VRLA,NONAME9096-070,GYEUR</t>
  </si>
  <si>
    <t>1014544</t>
  </si>
  <si>
    <t>AKÜ,L4,DK,80AH,VRLA,NONAME9115-080,GYEUR</t>
  </si>
  <si>
    <t>1014545</t>
  </si>
  <si>
    <t>AKÜ,L5,DK,95AH,VRLA,NONAME9019-095,GYEUR</t>
  </si>
  <si>
    <t>1014546</t>
  </si>
  <si>
    <t>AKÜ,L6,DK105AH,VRLA,NONAME9020-105,GYEUR</t>
  </si>
  <si>
    <t>1014548</t>
  </si>
  <si>
    <t>AKÜ,LB4,DK,80AH,IGYSMF,HUGELULTRA,NACITA</t>
  </si>
  <si>
    <t>1014549</t>
  </si>
  <si>
    <t>AKÜ,AGM,L2,DK,60AH,HUGEL AGM S&amp;S,NACITA</t>
  </si>
  <si>
    <t>1014550</t>
  </si>
  <si>
    <t>AKÜ,AGM,L4,DK,80AH,HUGEL AGM S&amp;S,NACITA</t>
  </si>
  <si>
    <t>1014551</t>
  </si>
  <si>
    <t>AKÜ,AGM,L6,DK,105AH,HUGEL AGM S&amp;S,NACITA</t>
  </si>
  <si>
    <t>1014552</t>
  </si>
  <si>
    <t>AKÜ,L2,DK,60AH,IGYSMF,HUGELEFBS&amp;S,NACITA</t>
  </si>
  <si>
    <t>1014553</t>
  </si>
  <si>
    <t>AKÜ,L3,DK,72AH,IGYSMF,HUGELEFBS&amp;S,NACITA</t>
  </si>
  <si>
    <t>1014554</t>
  </si>
  <si>
    <t>AKÜ,L4,DK,80AH,IGYSMF,HUGELEFBS&amp;S,NACITA</t>
  </si>
  <si>
    <t>1014555</t>
  </si>
  <si>
    <t>AKÜ,L5,DK,90AH,IGYSMF,HUGELEFBS&amp;S,NACITA</t>
  </si>
  <si>
    <t>1014556</t>
  </si>
  <si>
    <t>AKÜ,LB1,DK,52AH,IGYSMF,BPOWERSUP,POLONYA</t>
  </si>
  <si>
    <t>1014557</t>
  </si>
  <si>
    <t>AKÜ,L1,DK,55AH,IGYSMF,BPOWERSUPR,POLONYA</t>
  </si>
  <si>
    <t>1014558</t>
  </si>
  <si>
    <t>AKÜ,L5,DK,102AH,IGYSMF,BPOWERSUP,POLONYA</t>
  </si>
  <si>
    <t>1014559</t>
  </si>
  <si>
    <t>AKÜ,L3,DK,80AH,IGYSMF,BPOWERSUPR,POLONYA</t>
  </si>
  <si>
    <t>1014560</t>
  </si>
  <si>
    <t>AKÜ,LB3,DK,74AH,IGYSMF,BPOWERSUP,POLONYA</t>
  </si>
  <si>
    <t>1014561</t>
  </si>
  <si>
    <t>AKÜ,LB4,DK,85AH,IGYSMF,BPOWERSUP,POLONYA</t>
  </si>
  <si>
    <t>1014562</t>
  </si>
  <si>
    <t>AKÜ,L4,DK,92AH,IGYSMF,BPOWERSUPR,POLONYA</t>
  </si>
  <si>
    <t>1014563</t>
  </si>
  <si>
    <t>AKÜ,L2,DK,60AH,IGYASMF,HUGELACTION,İÇPYS</t>
  </si>
  <si>
    <t>1014564</t>
  </si>
  <si>
    <t>AKÜ,L3,DK,72AH,IGYAB01,HUGELACTION,İÇPYS</t>
  </si>
  <si>
    <t>1014565</t>
  </si>
  <si>
    <t>AKÜ,L3,DK,72AH,IGYAB13,HUGELACTION,İÇPYS</t>
  </si>
  <si>
    <t>1014566</t>
  </si>
  <si>
    <t>AKÜ,L5,DK,92AH,IGYASMF,HUGELACTION,İÇPYS</t>
  </si>
  <si>
    <t>1014567</t>
  </si>
  <si>
    <t>AKÜ,LB1,DK50AH,IGYASMF,HUGELACTION,İÇPYS</t>
  </si>
  <si>
    <t>1014569</t>
  </si>
  <si>
    <t>AKÜ,LB3,DK66AH,IGYASMF,HUGELACTION,İÇPYS</t>
  </si>
  <si>
    <t>1014572</t>
  </si>
  <si>
    <t>AKÜ,D23,DK60AH,IGYASMF,HUGELACTION,İÇPYS</t>
  </si>
  <si>
    <t>1014573</t>
  </si>
  <si>
    <t>AKÜ,C-FLAT,DK,225AH,HUGEL ACTION,İÇ PYS</t>
  </si>
  <si>
    <t>1014574</t>
  </si>
  <si>
    <t>AKÜ,L2,DK,60AH,IGYA SMF,AUTOPRO,İÇ PYS</t>
  </si>
  <si>
    <t>1014575</t>
  </si>
  <si>
    <t>AKÜ,L3,DK,72AH,IGYA B01,AUTOPRO,İÇ PYS</t>
  </si>
  <si>
    <t>1014576</t>
  </si>
  <si>
    <t>AKÜ,L3,DK,72AH,IGYA B13,AUTOPRO,İÇ PYS</t>
  </si>
  <si>
    <t>1014577</t>
  </si>
  <si>
    <t>AKÜ,L5,DK,92AH,IGYA SMF,AUTOPRO,İÇ PYS</t>
  </si>
  <si>
    <t>1014578</t>
  </si>
  <si>
    <t>AKÜ,LB3,DK,66AH,IGYA SMF,AUTOPRO,İÇ PYS</t>
  </si>
  <si>
    <t>1014579</t>
  </si>
  <si>
    <t>AKÜ,D31,DK,90AH,IGYA SMF,AUTOPRO,İÇ PYS</t>
  </si>
  <si>
    <t>1014580</t>
  </si>
  <si>
    <t>AKÜ,A-FLAT,DK,135AH,AUTOPRO,İÇ PYS</t>
  </si>
  <si>
    <t>1014581</t>
  </si>
  <si>
    <t>AKÜ,B-FLAT,DK,180AH,AUTOPRO,İÇ PYS</t>
  </si>
  <si>
    <t>1014582</t>
  </si>
  <si>
    <t>AKÜ,C-FLAT,DK,225AH,AUTOPRO,İÇ PYS</t>
  </si>
  <si>
    <t>1014583</t>
  </si>
  <si>
    <t>AKÜ,TRACTORL,DK,105AH,AUTOPRO,İÇ PYS</t>
  </si>
  <si>
    <t>1014584</t>
  </si>
  <si>
    <t>AKÜ,L2,DK,60AH,IGYA SMF,ENERGYMAX,İÇ PYS</t>
  </si>
  <si>
    <t>1014585</t>
  </si>
  <si>
    <t>AKÜ,L3,DK,72AH,IGYA B01,ENERGYMAX,İÇ PYS</t>
  </si>
  <si>
    <t>1014586</t>
  </si>
  <si>
    <t>AKÜ,L3,DK,72AH,IGYA B13,ENERGYMAX,İÇ PYS</t>
  </si>
  <si>
    <t>1014587</t>
  </si>
  <si>
    <t>AKÜ,L5,DK,92AH,IGYA SMF,ENERGYMAX,İÇ PYS</t>
  </si>
  <si>
    <t>1014588</t>
  </si>
  <si>
    <t>AKÜ,LB3,DK,66AH,IGYASMF,ENERGYMAX,İÇ PYS</t>
  </si>
  <si>
    <t>1014589</t>
  </si>
  <si>
    <t>AKÜ,D31,DK,90AH,IGYASMF,ENERGYMAX,İÇ PYS</t>
  </si>
  <si>
    <t>1014590</t>
  </si>
  <si>
    <t>AKÜ,A-FLAT,DK,135AH,ENERGYMAX,İÇ PYS</t>
  </si>
  <si>
    <t>1014591</t>
  </si>
  <si>
    <t>AKÜ,B-FLAT,DK,180AH,ENERGYMAX,İÇ PYS</t>
  </si>
  <si>
    <t>1014592</t>
  </si>
  <si>
    <t>AKÜ,C-FLAT,DK,225AH,ENERGYMAX,İÇ PYS</t>
  </si>
  <si>
    <t>1014593</t>
  </si>
  <si>
    <t>AKÜ,TRACTORL,DK,105AH,ENERGYMAX,İÇ PYS</t>
  </si>
  <si>
    <t>1014595</t>
  </si>
  <si>
    <t>AKÜ,L3,DK,75AH,IGYA,SUNTECH,TÜRKMENİSTAN</t>
  </si>
  <si>
    <t>1014596</t>
  </si>
  <si>
    <t>AKÜ,D26,DK72AH,IGYASMF,HUGELACTION,İÇPYS</t>
  </si>
  <si>
    <t>1014597</t>
  </si>
  <si>
    <t>AKÜ,D23,DK,60AH,IGYASMF,ZITEX BATTERY</t>
  </si>
  <si>
    <t>1014598</t>
  </si>
  <si>
    <t>AKÜ,D23,TK,60AH,IGYASMF,ZITEX BATTERY</t>
  </si>
  <si>
    <t>1014600</t>
  </si>
  <si>
    <t>AKÜ,D26,DK,72AH,IGYASMF,ZITEX BATTERY</t>
  </si>
  <si>
    <t>1014602</t>
  </si>
  <si>
    <t>AKÜ LB2,DK,60AH,IGYASMF,ZITEX BATTERY</t>
  </si>
  <si>
    <t>1014604</t>
  </si>
  <si>
    <t>AKÜ,L2,DK,60AH,IGYA SMF,ZITEX BATTERY</t>
  </si>
  <si>
    <t>1014605</t>
  </si>
  <si>
    <t>AKÜ,L3,DK,66AH,IGYA SMF,ZITEX BATTERY</t>
  </si>
  <si>
    <t>1014612</t>
  </si>
  <si>
    <t>AKÜ,A-FLAT,DK,120AH,İNCİ SUPRASENTR,EURO</t>
  </si>
  <si>
    <t>1014613</t>
  </si>
  <si>
    <t>AKÜ,L5,DK,92AH,TECHNO POWER AGM,ALSAFA</t>
  </si>
  <si>
    <t>1014614</t>
  </si>
  <si>
    <t>AKÜ,D31,DK,80AH,IGYA,TECHNO POWER,ALSAFA</t>
  </si>
  <si>
    <t>1014616</t>
  </si>
  <si>
    <t>AKÜ,L1,DK,54AH,IGYA,PILOTPERFORMANCEPLUS</t>
  </si>
  <si>
    <t>1014617</t>
  </si>
  <si>
    <t>AKÜ,LB1,DK52AH,IGYA,PILOTPERFORMANCEPLUS</t>
  </si>
  <si>
    <t>1014618</t>
  </si>
  <si>
    <t>AKÜ,L2,DK,65AH,IGYA,PILOTPERFORMANCEPLUS</t>
  </si>
  <si>
    <t>1014619</t>
  </si>
  <si>
    <t>AKÜ,L3,DK,80AH,IGYA,PILOTPERFORMANCEPLUS</t>
  </si>
  <si>
    <t>1014620</t>
  </si>
  <si>
    <t>AKÜ,LB4,DK85AH,IGYA,PILOTPERFORMANCEPLUS</t>
  </si>
  <si>
    <t>1014621</t>
  </si>
  <si>
    <t>AKÜ,L3,TK,75AH,IGYASMF,HUGELULTRA,NACITA</t>
  </si>
  <si>
    <t>1014622</t>
  </si>
  <si>
    <t>AKÜ,LB3,DK,70AH,IGYSMF,HUGELULTRA,NACITA</t>
  </si>
  <si>
    <t>1014623</t>
  </si>
  <si>
    <t>AKÜ,LB4,DK80AH,IGYASMF,HUGELACTION,İÇPYS</t>
  </si>
  <si>
    <t>1014631</t>
  </si>
  <si>
    <t>AKÜ,L3,DK,80AH,IGYA,İNCİMAXIMA,TENAX OEM</t>
  </si>
  <si>
    <t>1014640</t>
  </si>
  <si>
    <t>AKÜ,C-IGYASMF,DK,225AH,FORMULA,EEC MISIR</t>
  </si>
  <si>
    <t>1014642</t>
  </si>
  <si>
    <t>1014643</t>
  </si>
  <si>
    <t>AKÜ,AGM,L5,DK,95AH,HUGEL AGM S&amp;S,EURO</t>
  </si>
  <si>
    <t>1014644</t>
  </si>
  <si>
    <t>AKÜ,LB3,DK,72AH,IGYA SMF,HUGEL MEGA,EURO</t>
  </si>
  <si>
    <t>1014645</t>
  </si>
  <si>
    <t>AKÜ,L4,DK,90AH,IGYA SMF,HUGEL MEGA,EURO</t>
  </si>
  <si>
    <t>1014646</t>
  </si>
  <si>
    <t>AKÜ,L5,DK,102AH,IGYA SMF,HUGEL MEGA,EURO</t>
  </si>
  <si>
    <t>1014647</t>
  </si>
  <si>
    <t>AKÜ,D23,DK,68AH,IGYA SMF,HUGEL MEGA,EURO</t>
  </si>
  <si>
    <t>1014648</t>
  </si>
  <si>
    <t>AKÜ,D26,DK,80AH,IGYA SMF,HUGEL MEGA,EURO</t>
  </si>
  <si>
    <t>1014649</t>
  </si>
  <si>
    <t>AKÜ,D31,DK,100AH,IGYASMF,HUGEL MEGA,EURO</t>
  </si>
  <si>
    <t>1014650</t>
  </si>
  <si>
    <t>ST-072-STD-06</t>
  </si>
  <si>
    <t>AKÜ,L3,DK,75AH,IGYASMF,HUGELULTRA KOLİLİ</t>
  </si>
  <si>
    <t>IA-ST-072-STD-06</t>
  </si>
  <si>
    <t>1014652</t>
  </si>
  <si>
    <t>AKÜ,L2,TK,62AH,IGYA,NONAME,GYEUR3078-062</t>
  </si>
  <si>
    <t>1014653</t>
  </si>
  <si>
    <t>AKÜ,L2,DK,65AH,IGYASMF,BPOWERSUP,POLONYA</t>
  </si>
  <si>
    <t>1014654</t>
  </si>
  <si>
    <t>AKÜ,LB2,DK,62AH,IGYSMF,BPOWERSUP,POLONYA</t>
  </si>
  <si>
    <t>1014655</t>
  </si>
  <si>
    <t>ST-096-STD-06</t>
  </si>
  <si>
    <t>AKÜ,L0,DK,40AH,DINNEWPROFILE,FIAT YP,OES</t>
  </si>
  <si>
    <t>IA-ST-096-STD-06</t>
  </si>
  <si>
    <t>1014656</t>
  </si>
  <si>
    <t>AKÜ,LB1,DK,43AH,IGYASMF,NO NAME,BP43,SKG</t>
  </si>
  <si>
    <t>1014657</t>
  </si>
  <si>
    <t>AKÜ,LB2,DK,60AH,IGYASMF,NO NAME,BP60,SKG</t>
  </si>
  <si>
    <t>1014658</t>
  </si>
  <si>
    <t>AKÜ,L2,DK,62AH,IGYASMF,NO NAME,BP62,SKG</t>
  </si>
  <si>
    <t>1014659</t>
  </si>
  <si>
    <t>AKÜ,LB3,DK,70AH,IGYASMF,NO NAME,BP70,SKG</t>
  </si>
  <si>
    <t>1014660</t>
  </si>
  <si>
    <t>AKÜ,L3,DK,74AH,IGYASMF,NO NAME,BP74,SKG</t>
  </si>
  <si>
    <t>1014661</t>
  </si>
  <si>
    <t>AKÜ,LB4,DK,85AH,IGYASMF,NO NAME,BP85,SKG</t>
  </si>
  <si>
    <t>1014662</t>
  </si>
  <si>
    <t>ST-048-EUR-08</t>
  </si>
  <si>
    <t>AKÜ,L5,DK,95AH,IGYASMF,NO NAME,BP95,SKG</t>
  </si>
  <si>
    <t>IA-ST-048-EUR-08</t>
  </si>
  <si>
    <t>1014663</t>
  </si>
  <si>
    <t>AKÜ,L2,DK,60AH,IGYASMF,NONAME,027EFB,SKG</t>
  </si>
  <si>
    <t>1014664</t>
  </si>
  <si>
    <t>AKÜ,LB3,DK,65AH,IGYASMF,NONAME100EFB,SKG</t>
  </si>
  <si>
    <t>1014665</t>
  </si>
  <si>
    <t>AKÜ,L3,DK,72AH,IGYASMF,NONAME,096EFB,SKG</t>
  </si>
  <si>
    <t>1014666</t>
  </si>
  <si>
    <t>AKÜ,LB4,DK,75AH,IGYASMF,NONAME110EFB,SKG</t>
  </si>
  <si>
    <t>1014667</t>
  </si>
  <si>
    <t>AKÜ AGM,L5,DK,95AH,NO NAME,019AGM,SKG</t>
  </si>
  <si>
    <t>1014668</t>
  </si>
  <si>
    <t>AKÜ AGM,L2,DK,60AH,NO NAME,027AGM,SKG</t>
  </si>
  <si>
    <t>1014669</t>
  </si>
  <si>
    <t>AKÜ AGM,L3,DK,70AH,NO NAME,096AGM,SKG</t>
  </si>
  <si>
    <t>1014670</t>
  </si>
  <si>
    <t>AKÜ AGM,L4,DK,80AH,NO NAME,110AGM,SKG</t>
  </si>
  <si>
    <t>1014673</t>
  </si>
  <si>
    <t>AKÜ,C-IGYASMF,DK,230AH,BLIZZARO EFB S&amp;S</t>
  </si>
  <si>
    <t>1014674</t>
  </si>
  <si>
    <t>AKÜ,B-IGYASMF,DK,180AH,BLIZSILVER,SHDNEW</t>
  </si>
  <si>
    <t>1014675</t>
  </si>
  <si>
    <t>AKÜ,L5,DK,105AH,IGYASMF,İNCİMAXIMA,İÇPYS</t>
  </si>
  <si>
    <t>1014676</t>
  </si>
  <si>
    <t>AKÜ,L5,DK,105AH,IGYASMF,EAS EXTRA,İÇ PYS</t>
  </si>
  <si>
    <t>1014678</t>
  </si>
  <si>
    <t>AKÜ,L2,DK,60AH,IGYA,İNCİFORMULA,HONDAOES</t>
  </si>
  <si>
    <t>1014679</t>
  </si>
  <si>
    <t>AKÜ,A-FLAT,DK,120AH,EAS PRIDE</t>
  </si>
  <si>
    <t>1014682</t>
  </si>
  <si>
    <t>AKÜ,A-IGYASMF,DK,135AH,İNCİFORMUL,SHDNEW</t>
  </si>
  <si>
    <t>1014683</t>
  </si>
  <si>
    <t>AKÜ,B-IGYASMF,DK180AH,İNCİFORMULA,SHDNEW</t>
  </si>
  <si>
    <t>1014685</t>
  </si>
  <si>
    <t>AKÜ,C-FLAT,DK,230AH,ENERGY MAX,EURO</t>
  </si>
  <si>
    <t>1014686</t>
  </si>
  <si>
    <t>AKÜ,B-FLAT,DK,180AH,ENERGY MAX,EURO</t>
  </si>
  <si>
    <t>1014687</t>
  </si>
  <si>
    <t>AKÜ,A-FLAT,DK,135AH,ENERGY MAX,EURO</t>
  </si>
  <si>
    <t>1014688</t>
  </si>
  <si>
    <t>AKÜ,L3,DK,75AH,IGYA SMF,ENERGY MAX,EURO</t>
  </si>
  <si>
    <t>1014689</t>
  </si>
  <si>
    <t>AKÜ,L2,DK,60AH,IGYA SMF,ENERGY MAX,EURO</t>
  </si>
  <si>
    <t>1014690</t>
  </si>
  <si>
    <t>AKÜ,TRACTORL,DK,105AH,BLIZ.TRENDLIN,EUR0</t>
  </si>
  <si>
    <t>1014691</t>
  </si>
  <si>
    <t>AKÜ,LB2,DK,60AH,IGYA,BOOSTER,TÜRKMENİSTN</t>
  </si>
  <si>
    <t>1014692</t>
  </si>
  <si>
    <t>AKÜ,L2,DK,60AH,IGYA,EASACTIVA,TÜRKMENSTN</t>
  </si>
  <si>
    <t>1014693</t>
  </si>
  <si>
    <t>AKÜ,L3,DK,75AH,IGYA,EASACTIVA,TÜRKMENSTN</t>
  </si>
  <si>
    <t>1014694</t>
  </si>
  <si>
    <t>AKÜ,L3,DK,75AH,IGYA,İNCİFORML,TÜRKMENSTN</t>
  </si>
  <si>
    <t>1014695</t>
  </si>
  <si>
    <t>AKÜ,L2,DK,60AH,IGYA,İNCİFORML,TÜRKMENSTN</t>
  </si>
  <si>
    <t>1014696</t>
  </si>
  <si>
    <t>AKÜ,L2,DK,62AH,IGYA,HUGELULTRA,TÜRKMNSTN</t>
  </si>
  <si>
    <t>1014697</t>
  </si>
  <si>
    <t>AKÜ,L3,DK,75AH,IGYA,HUGELULTRA,TÜRKMNSTN</t>
  </si>
  <si>
    <t>1014698</t>
  </si>
  <si>
    <t>AKÜ,D26,DK,75AH,IGYA,HUGELULTRA,TÜRKMNST</t>
  </si>
  <si>
    <t>1014699</t>
  </si>
  <si>
    <t>1014700</t>
  </si>
  <si>
    <t>1014701</t>
  </si>
  <si>
    <t>1014708</t>
  </si>
  <si>
    <t>AKÜ,L1,DK,44AH,IGYA,İNCİ FORM TAURS,EURO</t>
  </si>
  <si>
    <t>1014709</t>
  </si>
  <si>
    <t>AKÜ,L3,DK,75AH,IGYA,ENERGYMAX,TÜRKMENSTN</t>
  </si>
  <si>
    <t>1014710</t>
  </si>
  <si>
    <t>AKÜ,C-FLAT,DK,225AH,HUGEL ACTION,POLONYA</t>
  </si>
  <si>
    <t>1014711</t>
  </si>
  <si>
    <t>AKÜ,B-FLAT,DK,180AH,HUGEL ACTION,POLONYA</t>
  </si>
  <si>
    <t>1014712</t>
  </si>
  <si>
    <t>AKÜ,D31,DK,100AH,IGYA,BPOWERSUPR,POLONYA</t>
  </si>
  <si>
    <t>1014713</t>
  </si>
  <si>
    <t>AKÜ,D31,TK,100AH,IGYA,BPOWERSUPR,POLONYA</t>
  </si>
  <si>
    <t>1014714</t>
  </si>
  <si>
    <t>ST-057-EUR-02</t>
  </si>
  <si>
    <t>AKÜ,D26,DK,80AH,IGYA,BPOWER SUPR,POLONYA</t>
  </si>
  <si>
    <t>IA-ST-057-EUR-02</t>
  </si>
  <si>
    <t>1014715</t>
  </si>
  <si>
    <t>ST-063-EUR-02</t>
  </si>
  <si>
    <t>AKÜ,D23,DK,65AH,IGYA,BPOWER SUPR,POLONYA</t>
  </si>
  <si>
    <t>IA-ST-063-EUR-02</t>
  </si>
  <si>
    <t>1014716</t>
  </si>
  <si>
    <t>AKÜ,D23,TK,65AH,IGYA,BPOWER SUPR,POLONYA</t>
  </si>
  <si>
    <t>1014718</t>
  </si>
  <si>
    <t>AKÜ AGM,L3,DK,70AH,EAS AGM S&amp;S,ATWAN</t>
  </si>
  <si>
    <t>1014721</t>
  </si>
  <si>
    <t>AKÜ,L1,DK,45AH,IGYA SMF,NO NAME</t>
  </si>
  <si>
    <t>1014724</t>
  </si>
  <si>
    <t>ST-045-STD-06</t>
  </si>
  <si>
    <t>AKÜ,L5,DK,88AH,IGYA SMF,NO NAME</t>
  </si>
  <si>
    <t>IA-ST-045-STD-06</t>
  </si>
  <si>
    <t>1014726</t>
  </si>
  <si>
    <t>ST-024-STD-01</t>
  </si>
  <si>
    <t>AKÜ,C-IGYASMF,DK,225AH,NO NAME</t>
  </si>
  <si>
    <t>IA-ST-024-STD-01</t>
  </si>
  <si>
    <t>1014727</t>
  </si>
  <si>
    <t>ST-030-STD-04</t>
  </si>
  <si>
    <t>AKÜ,A-IGYASMF,DK,140AH,NO NAME</t>
  </si>
  <si>
    <t>IA-ST-030-STD-04</t>
  </si>
  <si>
    <t>1014729</t>
  </si>
  <si>
    <t>AKÜ,D31,DK,105AH,IGYA,BLIZZAROSILVERLINE</t>
  </si>
  <si>
    <t>1014731</t>
  </si>
  <si>
    <t>AKÜ,C-IGYASMF,DK,250AH,İNCİMAXIMASHAWKAT</t>
  </si>
  <si>
    <t>1014736</t>
  </si>
  <si>
    <t>AKÜ,B-FLAT,DK190AH,PILOTPERFR,TÜRKMENSTN</t>
  </si>
  <si>
    <t>1014737</t>
  </si>
  <si>
    <t>AKÜ,L5,DK100AH,IGYA,PILOTPERF,TÜRKMENSTN</t>
  </si>
  <si>
    <t>1014738</t>
  </si>
  <si>
    <t>AKÜ,L3,DK75AH,IGYA,PILOTPERFR,TÜRKMENSTN</t>
  </si>
  <si>
    <t>1014739</t>
  </si>
  <si>
    <t>AKÜ,L2,DK62AH,IGYA,PILOTPERFR,TÜRKMENSTN</t>
  </si>
  <si>
    <t>1014740</t>
  </si>
  <si>
    <t>AKÜ,L3,DK,84AH,IGYA,MF58513,RACERPOWER</t>
  </si>
  <si>
    <t>1014741</t>
  </si>
  <si>
    <t>AKÜ,D31DK110AH,IGYA,MF110D31L,RACERPOWER</t>
  </si>
  <si>
    <t>1014742</t>
  </si>
  <si>
    <t>AKÜ,C-IGYASMF,DK,245AH,N245MF,RACERPOWER</t>
  </si>
  <si>
    <t>1014743</t>
  </si>
  <si>
    <t>AKÜ,L3,TK,72AH,IGYA,İNCİ FORMULA TAURUS</t>
  </si>
  <si>
    <t>1014750</t>
  </si>
  <si>
    <t>AKÜ,L2,DK,62AH,IGYA,GLO3027-062,STARTAX</t>
  </si>
  <si>
    <t>1014752</t>
  </si>
  <si>
    <t>AKÜ,L3,DK,76AH,IGYA,GLO3096-076,STARTAX</t>
  </si>
  <si>
    <t>1014753</t>
  </si>
  <si>
    <t>AKÜ,LB3,DK,71AH,IGYA,GLO3100-071,STARTAX</t>
  </si>
  <si>
    <t>1014754</t>
  </si>
  <si>
    <t>AKÜ,L5,DK,95AH,IGYA,GLO3019-095,STARTAX</t>
  </si>
  <si>
    <t>1014755</t>
  </si>
  <si>
    <t>AKÜ,LB3,DK,75AH,IGYASMF,İNCİMAXIMA,İÇPYS</t>
  </si>
  <si>
    <t>1014756</t>
  </si>
  <si>
    <t>AKÜ,LB3,DK,75AH,IGYASMF,EAS EXTRA,İÇ PYS</t>
  </si>
  <si>
    <t>1014757</t>
  </si>
  <si>
    <t>AKÜ,LB3,DK72AH,IGYASMF,İNCİFORMULA,İÇPYS</t>
  </si>
  <si>
    <t>1014758</t>
  </si>
  <si>
    <t>AKÜ,LB3,DK,72AH,IGYASMF,EAS ACTIVA,İÇPYS</t>
  </si>
  <si>
    <t>1014761</t>
  </si>
  <si>
    <t>AKÜ,C-IGYASMF,DK,225AH,HUGEL ULTRA</t>
  </si>
  <si>
    <t>1014762</t>
  </si>
  <si>
    <t>AKÜ,L5,DK,100AH,IGYASMF,SILVER,TÜRKMNSTN</t>
  </si>
  <si>
    <t>1014763</t>
  </si>
  <si>
    <t>AKÜ,L5,DK,92AH,IGYA SMF,HUGEL ULTRA</t>
  </si>
  <si>
    <t>1014764</t>
  </si>
  <si>
    <t>AKÜ,D26,DK,75AH,IGYA,İNCİFORMUL,TÜRKMNST</t>
  </si>
  <si>
    <t>1014765</t>
  </si>
  <si>
    <t>AKÜ,D26,DK,75AH,IGYA,EAS ACTIVA,TÜRKMNST</t>
  </si>
  <si>
    <t>1014766</t>
  </si>
  <si>
    <t>AKÜ,L3,DK,75AH,IGYASMF,SILVER,TÜRKMNSTN</t>
  </si>
  <si>
    <t>1014767</t>
  </si>
  <si>
    <t>1014768</t>
  </si>
  <si>
    <t>AKÜ,L3,DK,75AH,IGYA,BLIZZSILVRLN,TÜRKMEN</t>
  </si>
  <si>
    <t>1014769</t>
  </si>
  <si>
    <t>AKÜ,D26,DK,75AH,IGYA,BLIZZSILVRLN,TÜRKMN</t>
  </si>
  <si>
    <t>1014770</t>
  </si>
  <si>
    <t>AKÜ,L2,DK,60AH,IGYA,BLIZZSILVRLN,TÜRKMEN</t>
  </si>
  <si>
    <t>1014771</t>
  </si>
  <si>
    <t>AKÜ,LB4,DK,82AH,IGYASMF,HUGEL ULTRA,EURO</t>
  </si>
  <si>
    <t>1014772</t>
  </si>
  <si>
    <t>AKÜ,D23,DK,60AH,IGYASMF,HUGEL ULTRA,EURO</t>
  </si>
  <si>
    <t>1014773</t>
  </si>
  <si>
    <t>AKÜ,D26,DK,72AH,IGYASMF,HUGEL ULTRA,EURO</t>
  </si>
  <si>
    <t>1014774</t>
  </si>
  <si>
    <t>AKÜ,B-IGYASMF,DK,185AH,NO NAME,SKG</t>
  </si>
  <si>
    <t>1014775</t>
  </si>
  <si>
    <t>AKÜ,C-IGYASMF,DK,230AH,NO NAME,SKG</t>
  </si>
  <si>
    <t>1014778</t>
  </si>
  <si>
    <t>ST-021-EUR-05</t>
  </si>
  <si>
    <t>AKÜ,B-FLAT,DK,160AH,NO NAME,PARTS</t>
  </si>
  <si>
    <t>IA-ST-021-EUR-05</t>
  </si>
  <si>
    <t>1014779</t>
  </si>
  <si>
    <t>AKÜ,L5,DK,88AH,IGYA SMF,NO NAME,PARTS</t>
  </si>
  <si>
    <t>1014780</t>
  </si>
  <si>
    <t>AKÜ,L5,DK,100AH,IGYA SMF,NONAME,PARTS</t>
  </si>
  <si>
    <t>1014782</t>
  </si>
  <si>
    <t>AKÜ,A-IGYA,DK,120AH,EAS JENERATÖR,İÇ PYS</t>
  </si>
  <si>
    <t>1014783</t>
  </si>
  <si>
    <t>AKÜ,B-IGYA,DK,180AH,EAS JENERATÖR,İÇ PYS</t>
  </si>
  <si>
    <t>1014784</t>
  </si>
  <si>
    <t>ST-021-STD-02</t>
  </si>
  <si>
    <t>AKÜ,C-IGYA,DK,200AH,EAS JENERATÖR,İÇ PYS</t>
  </si>
  <si>
    <t>IA-ST-021-STD-02</t>
  </si>
  <si>
    <t>1014788</t>
  </si>
  <si>
    <t>ST-045-STD-04</t>
  </si>
  <si>
    <t>AKÜ,L5,DK,100AH,IGYSMF,NONAME,GS VIETNAM</t>
  </si>
  <si>
    <t>IA-ST-045-STD-04</t>
  </si>
  <si>
    <t>1014789</t>
  </si>
  <si>
    <t>AKÜ,L3,DK,70AH,GSY,MOPAR,K0 PX9836412880</t>
  </si>
  <si>
    <t>1014790</t>
  </si>
  <si>
    <t>AKÜ,L3,DK,70AH,GSY,MOPAR,K0 NA9866800080</t>
  </si>
  <si>
    <t>1014792</t>
  </si>
  <si>
    <t>AKÜ,L3,DK,70AH,BLIZZARO AGM S&amp;S,MISIR</t>
  </si>
  <si>
    <t>1014793</t>
  </si>
  <si>
    <t>AKÜ,B-IGYASMF,DK,170AH,İNCİ FORM TAURUS</t>
  </si>
  <si>
    <t>1014794</t>
  </si>
  <si>
    <t>AKÜ AGM,L5,DK,92AH,İNCİ AGM LEO,EURO</t>
  </si>
  <si>
    <t>1014795</t>
  </si>
  <si>
    <t>AKÜ L5,DK,105AH,IGYA,İNCİFORMTAURUS,EURO</t>
  </si>
  <si>
    <t>1014796</t>
  </si>
  <si>
    <t>ST-088-STD-05</t>
  </si>
  <si>
    <t>AKÜ,L2,DK,65AH,IGYASMF,EAS EFB MAX,İÇPYS</t>
  </si>
  <si>
    <t>IA-ST-088-STD-05</t>
  </si>
  <si>
    <t>1014797</t>
  </si>
  <si>
    <t>ST-072-STD-04</t>
  </si>
  <si>
    <t>AKÜ,L3,DK,75AH,IGYASMF,EAS EFB MAX,İÇPYS</t>
  </si>
  <si>
    <t>IA-ST-072-STD-04</t>
  </si>
  <si>
    <t>1014798</t>
  </si>
  <si>
    <t>AKÜ,L5,DK,100AH,IGYA SMF,ZITEX BATTERY</t>
  </si>
  <si>
    <t>1014801</t>
  </si>
  <si>
    <t>AKÜ,D23,DK,50AH,IGYASMF,GOOD YEAR,DUBAI</t>
  </si>
  <si>
    <t>1014803</t>
  </si>
  <si>
    <t>AKÜ,D31,TK,70AH,IGYASMF,GOOD YEAR,DUBAI</t>
  </si>
  <si>
    <t>1014814</t>
  </si>
  <si>
    <t>AKÜ,LB2,DK,60AH,IGYA,NONAME,EFBS&amp;S,PARTS</t>
  </si>
  <si>
    <t>1014815</t>
  </si>
  <si>
    <t>ST-096-EUR-10</t>
  </si>
  <si>
    <t>AKÜ,L0,DK,40AH,DINNEWPROFIL,NONAME,PARTS</t>
  </si>
  <si>
    <t>IA-ST-096-EUR-10</t>
  </si>
  <si>
    <t>1014816</t>
  </si>
  <si>
    <t>ST-027-STD90-01</t>
  </si>
  <si>
    <t>AKÜ SULU,TANK,125AH,İNCİ SUPRA SENTOR</t>
  </si>
  <si>
    <t>IA-ST-027-STD90-01</t>
  </si>
  <si>
    <t>1014817</t>
  </si>
  <si>
    <t>AKÜ,NS40,DK,35AH,IGYA SMF,NO NAME,REDMAY</t>
  </si>
  <si>
    <t>1014818</t>
  </si>
  <si>
    <t>AKÜ,L1,DK,50AH,IGYA SMF,NO NAME,REDMAY</t>
  </si>
  <si>
    <t>1014819</t>
  </si>
  <si>
    <t>1014820</t>
  </si>
  <si>
    <t>1014821</t>
  </si>
  <si>
    <t>AKÜ,NS40,TK,35AH,IGYSMF,İNCİ FORM TAURUS</t>
  </si>
  <si>
    <t>1014830</t>
  </si>
  <si>
    <t>AKÜ,C-IGYASMF,DK,240AH,BLIZZARO SILVERLN</t>
  </si>
  <si>
    <t>1014831</t>
  </si>
  <si>
    <t>AKÜ,NS40,DK,35AH,IGYASMF,HUGELULTRA,İNCE</t>
  </si>
  <si>
    <t>1014832</t>
  </si>
  <si>
    <t>AKÜ,NS40,DK,35AH,IGYASMF,İNCİTAURUS,İNCE</t>
  </si>
  <si>
    <t>1014844</t>
  </si>
  <si>
    <t>AKÜ,NS40,DK,35AH,IGYA,İNCİ FORM TAURUS</t>
  </si>
  <si>
    <t>1014847</t>
  </si>
  <si>
    <t>AKÜ,D23,DK,60AH,B01,IGYA,İNCİFORMULA,BMC</t>
  </si>
  <si>
    <t>1014848</t>
  </si>
  <si>
    <t>ST-045-STD-07</t>
  </si>
  <si>
    <t>AKÜ,LB5,DK,90AH,IGYASMF,İNCİ FORM TAURUS</t>
  </si>
  <si>
    <t>IA-ST-045-STD-07</t>
  </si>
  <si>
    <t>1014850</t>
  </si>
  <si>
    <t>AKÜ,D26,DK,72AH,IGYA SMF,TITAN,BESA</t>
  </si>
  <si>
    <t>1014851</t>
  </si>
  <si>
    <t>AKÜ,D26,TK,72AH,IGYA SMF,TITAN,BESA</t>
  </si>
  <si>
    <t>1014852</t>
  </si>
  <si>
    <t>AKÜ,D23,DK,60AH,IGYA SMF,TITAN,BESA</t>
  </si>
  <si>
    <t>1014853</t>
  </si>
  <si>
    <t>AKÜ,D31,TK,100AH,IGYA SMF,TITAN,BESA</t>
  </si>
  <si>
    <t>1014854</t>
  </si>
  <si>
    <t>AKÜ,D31,DK,100AH,IGYA SMF,TITAN,BESA</t>
  </si>
  <si>
    <t>1014855</t>
  </si>
  <si>
    <t>AKÜ,L1,DK,50AH,IGYA SMF,TITAN,BESA</t>
  </si>
  <si>
    <t>1014856</t>
  </si>
  <si>
    <t>AKÜ,LB2,DK,60AH,IGYA SMF,TITAN,BESA</t>
  </si>
  <si>
    <t>1014857</t>
  </si>
  <si>
    <t>AKÜ,L2,DK,60AH,IGYA SMF,TITAN,BESA</t>
  </si>
  <si>
    <t>1014858</t>
  </si>
  <si>
    <t>AKÜ,LB3,DK,72AH,IGYA SMF,TITAN,BESA</t>
  </si>
  <si>
    <t>1014859</t>
  </si>
  <si>
    <t>AKÜ,L3,DK,75AH,IGYA SMF,TITAN,BESA</t>
  </si>
  <si>
    <t>1014860</t>
  </si>
  <si>
    <t>AKÜ,L5,DK,105AH,IGYA SMF,TITAN,BESA</t>
  </si>
  <si>
    <t>1014861</t>
  </si>
  <si>
    <t>AKÜ,A-FLAT,DK,110AH,TITAN,BESA</t>
  </si>
  <si>
    <t>1014862</t>
  </si>
  <si>
    <t>AKÜ,A-FLAT,DK,120AH,TITAN,BESA</t>
  </si>
  <si>
    <t>1014863</t>
  </si>
  <si>
    <t>AKÜ,B-FLAT,DK,180AH,TITAN,BESA</t>
  </si>
  <si>
    <t>1014864</t>
  </si>
  <si>
    <t>AKÜ,C-FLAT,DK,225AH,TITAN,BESA</t>
  </si>
  <si>
    <t>1014865</t>
  </si>
  <si>
    <t>AKÜ,C-IGYASMF,DK,225AH,TITAN,BESA</t>
  </si>
  <si>
    <t>1014866</t>
  </si>
  <si>
    <t>AKÜ,L5,DK,100AH,IGYA,BOOSTER,TÜRKMENİSTN</t>
  </si>
  <si>
    <t>1014867</t>
  </si>
  <si>
    <t>1014879</t>
  </si>
  <si>
    <t>AKÜ,LB1,DK,44AH,IGYA,FP36-750,FURIAPOWER</t>
  </si>
  <si>
    <t>1014880</t>
  </si>
  <si>
    <t>AKÜ,LB2,DK,45AH,IGYA,FP22-850,FURIAPOWER</t>
  </si>
  <si>
    <t>1014881</t>
  </si>
  <si>
    <t>AKÜ,L2,DK,55AH,IGYA,FP47R-900,FURIAPOWER</t>
  </si>
  <si>
    <t>1014882</t>
  </si>
  <si>
    <t>AKÜ,L2,TK,55AH,IGYA,FP47-900,FURIA POWER</t>
  </si>
  <si>
    <t>1014883</t>
  </si>
  <si>
    <t>AKÜ,L2,TK,55AH,IGYA,FP47-950,FURIA POWER</t>
  </si>
  <si>
    <t>1014884</t>
  </si>
  <si>
    <t>AKÜ,L3,DK,66AH,IGYA,FP43R-1000FURIAPOWER</t>
  </si>
  <si>
    <t>1014885</t>
  </si>
  <si>
    <t>AKÜ,NS40DK35AH,IGYA,FPNS40-600FURIAPOWER</t>
  </si>
  <si>
    <t>1014886</t>
  </si>
  <si>
    <t>AKÜ,NS60DK45AH,IGYA,FPN60L-700FURIAPOWER</t>
  </si>
  <si>
    <t>1014887</t>
  </si>
  <si>
    <t>AKÜ,D26,DK66AH,IGYA,FP24R-1000FURIAPOWER</t>
  </si>
  <si>
    <t>1014891</t>
  </si>
  <si>
    <t>AKÜ,L3,DK,72AH,IGYA SMF,EFB S&amp;S,LUCAS</t>
  </si>
  <si>
    <t>1014892</t>
  </si>
  <si>
    <t>AKÜ,L4,DK,80AH,IGYA SMF,EFB S&amp;S,LUCAS</t>
  </si>
  <si>
    <t>1014893</t>
  </si>
  <si>
    <t>AKÜ,L2,DK,60AH,VRLA,AGM S&amp;S,LUCAS</t>
  </si>
  <si>
    <t>1014894</t>
  </si>
  <si>
    <t>AKÜ,L3,DK,70AH,VRLA,AGM S&amp;S,LUCAS</t>
  </si>
  <si>
    <t>1014895</t>
  </si>
  <si>
    <t>AKÜ,L4,DK,80AH,VRLA,AGM S&amp;S,LUCAS</t>
  </si>
  <si>
    <t>1014896</t>
  </si>
  <si>
    <t>AKÜ,L5,DK,95AH,VRLA,AGM S&amp;S,LUCAS</t>
  </si>
  <si>
    <t>1014897</t>
  </si>
  <si>
    <t>ST-021-EUR-04</t>
  </si>
  <si>
    <t>AKÜ,B-IGYASMF,DK,180AH,Y3000SHDEXP,GYITA</t>
  </si>
  <si>
    <t>IA-ST-021-EUR-04</t>
  </si>
  <si>
    <t>1014898</t>
  </si>
  <si>
    <t>AKÜ,B-IGYASMF,TK,180AH,Y3000SHDEXP,GYITA</t>
  </si>
  <si>
    <t>1014899</t>
  </si>
  <si>
    <t>ST-018-EUR-04</t>
  </si>
  <si>
    <t>AKÜ,C-IGYASMF,DK,220AH,Y3000SHDEXP,GYITA</t>
  </si>
  <si>
    <t>IA-ST-018-EUR-04</t>
  </si>
  <si>
    <t>1014900</t>
  </si>
  <si>
    <t>AKÜ,B-IGYASMF,DK,185AH,Y5000SHDEXP,GYITA</t>
  </si>
  <si>
    <t>1014901</t>
  </si>
  <si>
    <t>AKÜ,B-IGYASMF,TK,185AH,Y5000SHDEXP,GYITA</t>
  </si>
  <si>
    <t>1014902</t>
  </si>
  <si>
    <t>AKÜ,C-IGYASMF,DK,230AH,Y5000SHDEXP,GYITA</t>
  </si>
  <si>
    <t>1014903</t>
  </si>
  <si>
    <t>AKÜ,B-IGYASMF,DK,185AH,Y7000SHDEXP,GYITA</t>
  </si>
  <si>
    <t>1014904</t>
  </si>
  <si>
    <t>ST-012-EUR-03</t>
  </si>
  <si>
    <t>AKÜ,C-IGYASMF,DK,230AH,Y7000SHDEXP,GYITA</t>
  </si>
  <si>
    <t>IA-ST-012-EUR-03</t>
  </si>
  <si>
    <t>1014905</t>
  </si>
  <si>
    <t>AKÜ,B-IGYASMF,DK,180AH,Y3000NONAME,GYITA</t>
  </si>
  <si>
    <t>1014906</t>
  </si>
  <si>
    <t>AKÜ,B-IGYASMF,TK,180AH,Y3000NONAME,GYITA</t>
  </si>
  <si>
    <t>1014907</t>
  </si>
  <si>
    <t>AKÜ,C-IGYASMF,DK,220AH,Y3000NONAME,GYITA</t>
  </si>
  <si>
    <t>1014908</t>
  </si>
  <si>
    <t>AKÜ,B-IGYASMF,DK,185AH,Y5000NONAME,GYITA</t>
  </si>
  <si>
    <t>1014909</t>
  </si>
  <si>
    <t>AKÜ,B-IGYASMF,TK,185AH,Y5000NONAME,GYITA</t>
  </si>
  <si>
    <t>1014910</t>
  </si>
  <si>
    <t>AKÜ,C-IGYASMF,DK,230AH,Y5000NONAME,GYITA</t>
  </si>
  <si>
    <t>1014911</t>
  </si>
  <si>
    <t>AKÜ,B-IGYASMF,DK,185AH,Y7000NONAME,GYITA</t>
  </si>
  <si>
    <t>1014912</t>
  </si>
  <si>
    <t>AKÜ,C-IGYASMF,DK,230AH,Y7000NONAME,GYITA</t>
  </si>
  <si>
    <t>1014914</t>
  </si>
  <si>
    <t>1014915</t>
  </si>
  <si>
    <t>AKÜ,L2,TK,55AH,IGYA SMF,TITAN,BESA</t>
  </si>
  <si>
    <t>1014916</t>
  </si>
  <si>
    <t>AKÜ,L5,DK,110AH,IGYA,MF60038,RACER POWER</t>
  </si>
  <si>
    <t>1014917</t>
  </si>
  <si>
    <t>AKÜ,D31TK110AH,IGYA,MF110D31R,RACERPOWER</t>
  </si>
  <si>
    <t>1014918</t>
  </si>
  <si>
    <t>AKÜ,D31,DK,90AH,IGYA,İNCİFORMULA,CEYTECH</t>
  </si>
  <si>
    <t>1014919</t>
  </si>
  <si>
    <t>AKÜ,A-FLAT,DK,120AH,İNCİ SUPRA,CEYTECH</t>
  </si>
  <si>
    <t>1014920</t>
  </si>
  <si>
    <t>AKÜ,TRACTORL,DK,105AH,İNCİ SUPRA,CEYTECH</t>
  </si>
  <si>
    <t>1014921</t>
  </si>
  <si>
    <t>AKÜ,D31,TK90AH,IGYA,İNCİMAXIMA,YANMAROEM</t>
  </si>
  <si>
    <t>1014922</t>
  </si>
  <si>
    <t>AKÜ,L5,DK,100AH,IGYA SMF,STARTCRAFT</t>
  </si>
  <si>
    <t>1014923</t>
  </si>
  <si>
    <t>AKÜ,L6,DK,110AH,KMN,İNCİ FORMULA,İÇ PYS</t>
  </si>
  <si>
    <t>1014924</t>
  </si>
  <si>
    <t>AKÜ,L6,DK,110AH,KAMINA,EAS ACTIVA,İÇ PYS</t>
  </si>
  <si>
    <t>1014925</t>
  </si>
  <si>
    <t>AKÜ AGM,L1,DK,50AH,VRLAPILOT PERFORMANCE</t>
  </si>
  <si>
    <t>1014926</t>
  </si>
  <si>
    <t>ST-060-EUR-01</t>
  </si>
  <si>
    <t>AKÜ,D23,DK60AH,IGYA,Y3000EXPORT,KOLİEURO</t>
  </si>
  <si>
    <t>IA-ST-060-EUR-01</t>
  </si>
  <si>
    <t>1014927</t>
  </si>
  <si>
    <t>ST-042-EUR-01</t>
  </si>
  <si>
    <t>AKÜ,D31,DK95AH,IGYA,Y3000EXPORT,KOLİEURO</t>
  </si>
  <si>
    <t>IA-ST-042-EUR-01</t>
  </si>
  <si>
    <t>1014928</t>
  </si>
  <si>
    <t>ST-048-EUR-04</t>
  </si>
  <si>
    <t>AKÜ,L5DK,95AHVRLA,AGMYBX9019-095EXPREURO</t>
  </si>
  <si>
    <t>IA-ST-048-EUR-04</t>
  </si>
  <si>
    <t>1014929</t>
  </si>
  <si>
    <t>AKÜ,L6DK105AHVRLA,AGMYBX9020-105EXPREURO</t>
  </si>
  <si>
    <t>1014930</t>
  </si>
  <si>
    <t>AKÜ,L5,DK,92AH,IGYA SMF,NO NAME,PARTS</t>
  </si>
  <si>
    <t>1014931</t>
  </si>
  <si>
    <t>AKÜ,D23,DK,60AH,IGYA SMF,NO NAME,PARTS</t>
  </si>
  <si>
    <t>1014932</t>
  </si>
  <si>
    <t>AKÜ,D26,DK,72AH,IGYA SMF,NO NAME,PARTS</t>
  </si>
  <si>
    <t>1014933</t>
  </si>
  <si>
    <t>ST-042-STD-04</t>
  </si>
  <si>
    <t>AKÜ,L3,DK,70AH,AGM9096-070,EXPORT,NACITA</t>
  </si>
  <si>
    <t>IA-ST-042-STD-04</t>
  </si>
  <si>
    <t>1014934</t>
  </si>
  <si>
    <t>ST-036-STD-03</t>
  </si>
  <si>
    <t>AKÜ,L4,DK,80AH,AGM9115-080,EXPORT,NACITA</t>
  </si>
  <si>
    <t>IA-ST-036-STD-03</t>
  </si>
  <si>
    <t>1014935</t>
  </si>
  <si>
    <t>AKÜ,L2,DK,65AH,IGYA,7027-065EXPORTNACITA</t>
  </si>
  <si>
    <t>1014936</t>
  </si>
  <si>
    <t>AKÜ,L3,DK,80AH,IGYA,7096-075EXPORTNACITA</t>
  </si>
  <si>
    <t>1014937</t>
  </si>
  <si>
    <t>AKÜ,L4,DK,85AH,IGYA,7115-085EXPORTNACITA</t>
  </si>
  <si>
    <t>1014938</t>
  </si>
  <si>
    <t>AKÜ,D20,DK,55AH,KSK,İNCİMAXIMA,YANMAROEM</t>
  </si>
  <si>
    <t>1014939</t>
  </si>
  <si>
    <t>AKÜ,D31TK100AH,IGYA,İNCİMAXIMA,YANMAROEM</t>
  </si>
  <si>
    <t>1014940</t>
  </si>
  <si>
    <t>AKÜ,D31DK105AHIGYA,FP30HLT1250FURIAPOWER</t>
  </si>
  <si>
    <t>1014941</t>
  </si>
  <si>
    <t>AKÜ,D26,TK80AH,IGYA,İNCİMAXIMA,YANMAROEM</t>
  </si>
  <si>
    <t>1014943</t>
  </si>
  <si>
    <t>1014944</t>
  </si>
  <si>
    <t>AKÜ,TRACTORL,DK,115AH,TITAN,BESA</t>
  </si>
  <si>
    <t>1014945</t>
  </si>
  <si>
    <t>AKÜ,A-FLAT,DK,135AH,TITAN,BESA</t>
  </si>
  <si>
    <t>1014946</t>
  </si>
  <si>
    <t>AKÜ,B-IGYASMF,DK,180AH,TITAN,BESA</t>
  </si>
  <si>
    <t>1014947</t>
  </si>
  <si>
    <t>AKÜ,C-IGYASMF,DK,230AH,TITAN,BESA</t>
  </si>
  <si>
    <t>1014949</t>
  </si>
  <si>
    <t>AKÜ,L0,DK,40AH,DINNEW,İNCİ SUPRA,SHAWKAT</t>
  </si>
  <si>
    <t>1014950</t>
  </si>
  <si>
    <t>AKÜ,L3,DK,70AH,GSYSMF,S&amp;S K0,FIAT YP,OES</t>
  </si>
  <si>
    <t>1014951</t>
  </si>
  <si>
    <t>1014952</t>
  </si>
  <si>
    <t>AKÜ,L5,DK,100AH,IGYA,HUGEL ACTION,İÇ PYS</t>
  </si>
  <si>
    <t>1014953</t>
  </si>
  <si>
    <t>AKÜ,L5,DK,100AH,IGYA SMF,AUTOPRO,İÇ PYS</t>
  </si>
  <si>
    <t>1014954</t>
  </si>
  <si>
    <t>AKÜ,L5,DK,100AH,IGYASMF,ENERGYMAX,İÇ PYS</t>
  </si>
  <si>
    <t>1014955</t>
  </si>
  <si>
    <t>AKÜ AGM,L2,DK,62AH,İNCİ AGM LEO,SHAWKAT</t>
  </si>
  <si>
    <t>1014956</t>
  </si>
  <si>
    <t>AKÜ AGM,L3,DK,70AH,İNCİ AGM LEO,SHAWKAT</t>
  </si>
  <si>
    <t>1014957</t>
  </si>
  <si>
    <t>AKÜ AGM,L4,DK,80AH,İNCİ AGM LEO,SHAWKAT</t>
  </si>
  <si>
    <t>1014958</t>
  </si>
  <si>
    <t>AKÜ AGM,L5,DK,95AH,İNCİ AGM LEO,SHAWKAT</t>
  </si>
  <si>
    <t>1014959</t>
  </si>
  <si>
    <t>AKÜ AGM,L6,DK,105AH,İNCİ AGM LEO,SHAWKAT</t>
  </si>
  <si>
    <t>1014960</t>
  </si>
  <si>
    <t>AKÜ,L2,DK,62AH,IGYA,NONAME,4027-062GYEUR</t>
  </si>
  <si>
    <t>1014961</t>
  </si>
  <si>
    <t>AKÜ,L3,DK,75AH,IGYA,NONAME,4096-075GYEUR</t>
  </si>
  <si>
    <t>1014962</t>
  </si>
  <si>
    <t>AKÜ,L5,DK,95AH,IGYA,NONAME,4019-095GYEUR</t>
  </si>
  <si>
    <t>1014963</t>
  </si>
  <si>
    <t>1014964</t>
  </si>
  <si>
    <t>AKÜ,C-VRLA,DK,220AH,MAKO AGM,OES</t>
  </si>
  <si>
    <t>1014965</t>
  </si>
  <si>
    <t>AKÜ,B-IGYASMF,DK,185AH,MAKO EFB,OES</t>
  </si>
  <si>
    <t>1014966</t>
  </si>
  <si>
    <t>AKÜ,C-IGYASMF,DK,230AH,MAKO EFB,OES</t>
  </si>
  <si>
    <t>1014967</t>
  </si>
  <si>
    <t>AKÜ,A-IGYASMF,DK,145AH,MAKOHEAVYDUTY,OES</t>
  </si>
  <si>
    <t>1014968</t>
  </si>
  <si>
    <t>AKÜ,B-IGYASMF,DK,190AH,MAKOHEAVYDUTY,OES</t>
  </si>
  <si>
    <t>1014969</t>
  </si>
  <si>
    <t>AKÜ,C-IGYASMF,DK,250AH,MAKOHEAVYDUTY,OES</t>
  </si>
  <si>
    <t>1014970</t>
  </si>
  <si>
    <t>AKÜ,A-IGYASMF,DK,135AH,MAKOHEAVYDUTY,OES</t>
  </si>
  <si>
    <t>1014971</t>
  </si>
  <si>
    <t>AKÜ,B-IGYASMF,DK,150AH,MAKOHEAVYDUTY,OES</t>
  </si>
  <si>
    <t>1014972</t>
  </si>
  <si>
    <t>AKÜ,B-IGYASMF,DK,180AH,MAKOHEAVYDUTY,OES</t>
  </si>
  <si>
    <t>1014973</t>
  </si>
  <si>
    <t>AKÜ,C-IGYASMF,DK,225AH,MAKOHEAVYDUTY,OES</t>
  </si>
  <si>
    <t>1014974</t>
  </si>
  <si>
    <t>1014975</t>
  </si>
  <si>
    <t>1014976</t>
  </si>
  <si>
    <t>1014977</t>
  </si>
  <si>
    <t>1014978</t>
  </si>
  <si>
    <t>1014984</t>
  </si>
  <si>
    <t>1014985</t>
  </si>
  <si>
    <t>1014986</t>
  </si>
  <si>
    <t>AKÜ,LB3,DK,72AH,IGYA,TECHNO POWER,ALSAFA</t>
  </si>
  <si>
    <t>1014987</t>
  </si>
  <si>
    <t>AKÜ,LB4,DK,80AH,IGYA,TECHNO POWER,ALSAFA</t>
  </si>
  <si>
    <t>1014988</t>
  </si>
  <si>
    <t>AKÜ,L6,DK,105AH,TECHNO POWER AGM,ALSAFA</t>
  </si>
  <si>
    <t>1014989</t>
  </si>
  <si>
    <t>AKÜ NS40,DK,42AH,IGYASMF,İNCİ FORMTAURUS</t>
  </si>
  <si>
    <t>1014990</t>
  </si>
  <si>
    <t>AKÜ,B-IGYASMF,DK,180AH,EAS ACTIVA,SHDNEW</t>
  </si>
  <si>
    <t>1014991</t>
  </si>
  <si>
    <t>AKÜ,LB2,DK,55AH,IGYASMF,MACHTPOWER,CONEX</t>
  </si>
  <si>
    <t>1014992</t>
  </si>
  <si>
    <t>AKÜ LB2,DK,60AH,IGYASMF,MACHTPOWER,CONEX</t>
  </si>
  <si>
    <t>1014993</t>
  </si>
  <si>
    <t>AKÜ,L2,DK,65AH,IGYASMF,MACHT POWER,CONEX</t>
  </si>
  <si>
    <t>1014994</t>
  </si>
  <si>
    <t>ST-051-EUR-02</t>
  </si>
  <si>
    <t>AKÜ,LB3,DK,70AH,IGYASMF,MACHTPOWER,CONEX</t>
  </si>
  <si>
    <t>IA-ST-051-EUR-02</t>
  </si>
  <si>
    <t>1014995</t>
  </si>
  <si>
    <t>AKÜ,L3,DK,75AH,IGYASMF,MACHT POWER,CONEX</t>
  </si>
  <si>
    <t>1014996</t>
  </si>
  <si>
    <t>AKÜ,LB4,DK,80AH,IGYASMF,MACHTPOWER,CONEX</t>
  </si>
  <si>
    <t>1014997</t>
  </si>
  <si>
    <t>AKÜ,LB4,DK,85AH,IGYASMF,MACHTPOWER,CONEX</t>
  </si>
  <si>
    <t>1014998</t>
  </si>
  <si>
    <t>AKÜ,L5,DK,100AH,IGYASMF,MACHTPOWER,CONEX</t>
  </si>
  <si>
    <t>1014999</t>
  </si>
  <si>
    <t>AKÜ,L2,DK,65AH,IGYASMF,İNCİMAXIMA,REDMAY</t>
  </si>
  <si>
    <t>1015000</t>
  </si>
  <si>
    <t>AKÜ,LB1,DK,50AH,IGYA SMF,NO NAME,REDMAY</t>
  </si>
  <si>
    <t>1015001</t>
  </si>
  <si>
    <t>1015002</t>
  </si>
  <si>
    <t>1015003</t>
  </si>
  <si>
    <t>1015004</t>
  </si>
  <si>
    <t>1015005</t>
  </si>
  <si>
    <t>1015006</t>
  </si>
  <si>
    <t>1015007</t>
  </si>
  <si>
    <t>1015008</t>
  </si>
  <si>
    <t>AKÜ,NS40,DK,35AH,IGYASMF,BLIZZ.SILV,EURO</t>
  </si>
  <si>
    <t>1015010</t>
  </si>
  <si>
    <t>AKÜ,L2,DK,62AH,IGYA SMF,ZITEX BATTERY</t>
  </si>
  <si>
    <t>1015011</t>
  </si>
  <si>
    <t>AKÜ,L3,DK,75AH,IGYA SMF,ZITEX BATTERY</t>
  </si>
  <si>
    <t>1015012</t>
  </si>
  <si>
    <t>AKÜ,L4,DK,90AH,IGYA SMF,ZITEX BATTERY</t>
  </si>
  <si>
    <t>1015013</t>
  </si>
  <si>
    <t>1015014</t>
  </si>
  <si>
    <t>AKÜ,A-FLAT,DK,120AH,ZITEX BATTERY</t>
  </si>
  <si>
    <t>1015015</t>
  </si>
  <si>
    <t>AKÜ,B-FLAT,DK,190AH,ZITEX BATTERY</t>
  </si>
  <si>
    <t>1015016</t>
  </si>
  <si>
    <t>AKÜ,A-FLAT,DK120AH,PILOTPERFR,TÜRKMENSTN</t>
  </si>
  <si>
    <t>1015017</t>
  </si>
  <si>
    <t>AKÜ,D31,DK90AH,IGYA,PILOTPERF,TÜRKMENSTN</t>
  </si>
  <si>
    <t>1015018</t>
  </si>
  <si>
    <t>AKÜ,L4,DK,90AH,IGYA,PILOTPERF,TÜRKMENSTN</t>
  </si>
  <si>
    <t>1015019</t>
  </si>
  <si>
    <t>AKÜ,D26,DK75AH,IGYA,PILOTPERF,TÜRKMENSTN</t>
  </si>
  <si>
    <t>1015020</t>
  </si>
  <si>
    <t>AKÜ,L3,DK,75AH,IGYA,PILOTPERF,TÜRKMENSTN</t>
  </si>
  <si>
    <t>1015021</t>
  </si>
  <si>
    <t>AKÜ,D31,DK,90AH,IGYA,SILVER,TÜRKMENİSTAN</t>
  </si>
  <si>
    <t>1015022</t>
  </si>
  <si>
    <t>AKÜ,L4,DK,90AH,IGYA,SILVER,TÜRKMENİSTAN</t>
  </si>
  <si>
    <t>1015023</t>
  </si>
  <si>
    <t>AKÜ,L3,DK,75AH,IGYA,BOOSTER,TÜRKMENİSTAN</t>
  </si>
  <si>
    <t>1015024</t>
  </si>
  <si>
    <t>AKÜ,L1,DK,44AH,IGYA SMF,NO NAME,BP44,SKG</t>
  </si>
  <si>
    <t>1015025</t>
  </si>
  <si>
    <t>AKÜ,L1,DK,50AH,IGYA SMF,NO NAME,BP50,SKG</t>
  </si>
  <si>
    <t>1015026</t>
  </si>
  <si>
    <t>1015027</t>
  </si>
  <si>
    <t>AKÜ,L2,DK,62AH,IGYA SMF,NO NAME,BP62,SKG</t>
  </si>
  <si>
    <t>1015028</t>
  </si>
  <si>
    <t>1015029</t>
  </si>
  <si>
    <t>AKÜ,L3,DK,74AH,IGYA SMF,NO NAME,BP74,SKG</t>
  </si>
  <si>
    <t>1015030</t>
  </si>
  <si>
    <t>1015031</t>
  </si>
  <si>
    <t>AKÜ,L4,DK,92AH,IGYA SMF,NO NAME,BP92,SKG</t>
  </si>
  <si>
    <t>1015032</t>
  </si>
  <si>
    <t>AKÜ,L5,DK,95AH,IGYA SMF,NO NAME,BP95,SKG</t>
  </si>
  <si>
    <t>1015033</t>
  </si>
  <si>
    <t>AKÜ,L6,DK,110AH,KAMINA,NO NAME,BP110,SKG</t>
  </si>
  <si>
    <t>1015034</t>
  </si>
  <si>
    <t>AKÜ,D26,DK,72AH,IGYA,124R,ZITEXBATTERY</t>
  </si>
  <si>
    <t>1015035</t>
  </si>
  <si>
    <t>AKÜ,A-IGYASMF,DK,140AH,TITAN,BESA</t>
  </si>
  <si>
    <t>1015036</t>
  </si>
  <si>
    <t>AKÜ,B-FLAT,DK,165AH,TITAN,BESA</t>
  </si>
  <si>
    <t>1015037</t>
  </si>
  <si>
    <t>1015038</t>
  </si>
  <si>
    <t>AKÜ,B-IGYASMF,DK,190AH,BLIZZAROSILVERLNE</t>
  </si>
  <si>
    <t>1015039</t>
  </si>
  <si>
    <t>AKÜ,D31,DK,80AH,IGYA SMF,NO NAME,REDMAY</t>
  </si>
  <si>
    <t>1015040</t>
  </si>
  <si>
    <t>AKÜ,L5,DK,102AH,IGYA SMF,SDF OEM</t>
  </si>
  <si>
    <t>1015041</t>
  </si>
  <si>
    <t>AKÜ,L4,DK,90AH,IGYA SMF,SDF OEM</t>
  </si>
  <si>
    <t>1015042</t>
  </si>
  <si>
    <t>AKÜ,D31,DK,95AH,IGYA SMF,SDF OEM</t>
  </si>
  <si>
    <t>1015043</t>
  </si>
  <si>
    <t>ST-081-STD-01</t>
  </si>
  <si>
    <t>AKÜ,NS60,TK,IGYA SMF,45AH 400A,ERP-TR</t>
  </si>
  <si>
    <t>IA-ST-081-STD-01</t>
  </si>
  <si>
    <t>1015044</t>
  </si>
  <si>
    <t>AKÜ,NS60,DK,IGYA SMF,45AH 400A,ERP-TR</t>
  </si>
  <si>
    <t>1015045</t>
  </si>
  <si>
    <t>ST-072-STD-27</t>
  </si>
  <si>
    <t>AKÜ,L1,DK,IGYA SMF,54AH 500A,ERP-TR</t>
  </si>
  <si>
    <t>IA-ST-072-STD-27</t>
  </si>
  <si>
    <t>1015046</t>
  </si>
  <si>
    <t>ST-057-STD-04</t>
  </si>
  <si>
    <t>AKÜ,D26,DK,IGYA SMF,70AH 600A,ERP-TR</t>
  </si>
  <si>
    <t>IA-ST-057-STD-04</t>
  </si>
  <si>
    <t>1015048</t>
  </si>
  <si>
    <t>ST-036-STD-08</t>
  </si>
  <si>
    <t>AKÜ AGM,L6,DK,105AH,İNCİ AGM LEO,TEKSAN</t>
  </si>
  <si>
    <t>IA-ST-036-STD-08</t>
  </si>
  <si>
    <t>1015049</t>
  </si>
  <si>
    <t>AKÜ AGM,C,DK,220AH,İNCİ AGM LEO,OEM</t>
  </si>
  <si>
    <t>1015050</t>
  </si>
  <si>
    <t>AKÜ,L3,DK,IGYA SMF,72AH 700A,ERP-TR</t>
  </si>
  <si>
    <t>1015051</t>
  </si>
  <si>
    <t>AKÜ,LB4,DK,IGYA SMF,EFB 75AH 730A,ERP-TR</t>
  </si>
  <si>
    <t>1015052</t>
  </si>
  <si>
    <t>AKÜ,L4,DK,VRLA,AGM 80AH 800A,ERP-TR</t>
  </si>
  <si>
    <t>1015053</t>
  </si>
  <si>
    <t>ST-048-STD-03</t>
  </si>
  <si>
    <t>AKÜ,D31,DK,IGYA SMF,90AH 740A,ERP-TR</t>
  </si>
  <si>
    <t>IA-ST-048-STD-03</t>
  </si>
  <si>
    <t>1015054</t>
  </si>
  <si>
    <t>AKÜ,L5,DK,VRLA,AGM 95AH 870A,ERP-TR</t>
  </si>
  <si>
    <t>1015055</t>
  </si>
  <si>
    <t>AKÜ,L5,DK,IGYA SMF,100AH 820A,ERP-TR</t>
  </si>
  <si>
    <t>1015056</t>
  </si>
  <si>
    <t>AKÜ,L5,DK,IGYA SMF,EFB 100AH 850A,ERP-TR</t>
  </si>
  <si>
    <t>1015057</t>
  </si>
  <si>
    <t>ST-036-STD-04</t>
  </si>
  <si>
    <t>AKÜ,TRACTORL,DK,105AH 760A,ERP-TR</t>
  </si>
  <si>
    <t>IA-ST-036-STD-04</t>
  </si>
  <si>
    <t>1015058</t>
  </si>
  <si>
    <t>AKÜ,L6,DK,VRLA,AGM 105AH 940A,ERP-TR</t>
  </si>
  <si>
    <t>1015059</t>
  </si>
  <si>
    <t>ST-036-STD-05</t>
  </si>
  <si>
    <t>AKÜ,L6,DK,KAMINA,110AH 920A,ERP-TR</t>
  </si>
  <si>
    <t>IA-ST-036-STD-05</t>
  </si>
  <si>
    <t>1015060</t>
  </si>
  <si>
    <t>ST-024-STD-02</t>
  </si>
  <si>
    <t>AKÜ,A-IGYASMF,DK,135AH 950A,ERP-TR</t>
  </si>
  <si>
    <t>IA-ST-024-STD-02</t>
  </si>
  <si>
    <t>1015061</t>
  </si>
  <si>
    <t>ST-021-STD-07</t>
  </si>
  <si>
    <t>AKÜ,B-IGYASMF,DK,180AH 1200A,ERP-TR</t>
  </si>
  <si>
    <t>IA-ST-021-STD-07</t>
  </si>
  <si>
    <t>1015062</t>
  </si>
  <si>
    <t>ST-018-STD-01</t>
  </si>
  <si>
    <t>AKÜ,C-IGYASMF,DK,225AH 1250A,ERP-TR</t>
  </si>
  <si>
    <t>IA-ST-018-STD-01</t>
  </si>
  <si>
    <t>1015063</t>
  </si>
  <si>
    <t>AKÜ,L1,DK,IGYA SMF,45AH 400A,ERP-TR</t>
  </si>
  <si>
    <t>1015064</t>
  </si>
  <si>
    <t>AKÜ,L1,DK,IGYA SMF,52AH 470A,ERP-TR</t>
  </si>
  <si>
    <t>1015065</t>
  </si>
  <si>
    <t>AKÜ,L1,DK,IGYA SMF,54AH 530A,ERP-TR</t>
  </si>
  <si>
    <t>1015066</t>
  </si>
  <si>
    <t>ST-063-STD-16</t>
  </si>
  <si>
    <t>AKÜ,D23,DK,IGYA SMF,60AH 500A,ERP-TR</t>
  </si>
  <si>
    <t>IA-ST-063-STD-16</t>
  </si>
  <si>
    <t>1015067</t>
  </si>
  <si>
    <t>AKÜ,L3,DK,IGYA SMF,EFB 70AH 680A,ERP-TR</t>
  </si>
  <si>
    <t>1015068</t>
  </si>
  <si>
    <t>1015070</t>
  </si>
  <si>
    <t>AKÜ,L3,TK,75AH,IGYA,FP43-1100,FURIAPOWER</t>
  </si>
  <si>
    <t>1015071</t>
  </si>
  <si>
    <t>AKÜ,L6,DK,110AH,KAMINA,ZITEX BATTARY</t>
  </si>
  <si>
    <t>1015073</t>
  </si>
  <si>
    <t>AKÜ,L2,DK,62AH,IGYA,BLIZSILVERLN,SHAWKAT</t>
  </si>
  <si>
    <t>1015074</t>
  </si>
  <si>
    <t>AKÜ,L5,DK,95AH,EAS AGMS&amp;S,İŞBİRJENERATÖR</t>
  </si>
  <si>
    <t>1015075</t>
  </si>
  <si>
    <t>AKÜ,L5,DK,102AH,IGYA,EAS EXTRA,İŞBİRJENE</t>
  </si>
  <si>
    <t>1015076</t>
  </si>
  <si>
    <t>AKÜ,LB1,DK,50AH,IGYA,EAS ACTIVA,İŞBİRJEN</t>
  </si>
  <si>
    <t>1015077</t>
  </si>
  <si>
    <t>AKÜ,C,DK,220AH,EAS AGMS&amp;S,İŞBİRJENERATÖR</t>
  </si>
  <si>
    <t>1015079</t>
  </si>
  <si>
    <t>AKÜ,D31,DK,90AH,IGYASMF,HUGEL ULTRA,EURO</t>
  </si>
  <si>
    <t>1015081</t>
  </si>
  <si>
    <t>AKÜ,NS40,DK42AH,IGYA,İNCİMAXIMA,HONDAOES</t>
  </si>
  <si>
    <t>1015082</t>
  </si>
  <si>
    <t>AKÜ,D31,TK,100AH,IGYA,BLIZZ.SILVR,MISIR</t>
  </si>
  <si>
    <t>1015083</t>
  </si>
  <si>
    <t>AKÜ,LB4,DK,80AH,IGYASMF,EAS ACTIVA,ATWAN</t>
  </si>
  <si>
    <t>1015084</t>
  </si>
  <si>
    <t>AKÜ,L4,DK,82AH,IGYA,FP94R-1200FURIAPOWER</t>
  </si>
  <si>
    <t>1015085</t>
  </si>
  <si>
    <t>AKÜ,D23DK,60AH,IGYAB01,İNCİTAUR,EECMISIR</t>
  </si>
  <si>
    <t>1015087</t>
  </si>
  <si>
    <t>AKÜ,L2,DK,60AH,IGYA,SWM,URZAT OTOMTV.OEM</t>
  </si>
  <si>
    <t>1015088</t>
  </si>
  <si>
    <t>AKÜ,L2,DK,62AH,IGYASMF,ADN3027-062,GYNRD</t>
  </si>
  <si>
    <t>1015089</t>
  </si>
  <si>
    <t>AKÜ,L2,DK,65AH,IGYASMF,ADN5027-065,GYNRD</t>
  </si>
  <si>
    <t>1015090</t>
  </si>
  <si>
    <t>AKÜ,LB3,DK72AH,IGYASMF,ADN3100-071,GYNRD</t>
  </si>
  <si>
    <t>1015091</t>
  </si>
  <si>
    <t>AKÜ,L3,DK,76AH,IGYASMF,ADN3096-076,GYNRD</t>
  </si>
  <si>
    <t>1015092</t>
  </si>
  <si>
    <t>AKÜ,L3,DK,80AH,IGYASMF,ADN5096-080,GYNRD</t>
  </si>
  <si>
    <t>1015093</t>
  </si>
  <si>
    <t>AKÜ,L5,DK100AH,IGYASMF,ADN3019-095,GYNRD</t>
  </si>
  <si>
    <t>1015094</t>
  </si>
  <si>
    <t>AKÜ,L5,DK,90AH,IGYA,EASACTIVA,TÜRKMENSTN</t>
  </si>
  <si>
    <t>1015095</t>
  </si>
  <si>
    <t>AKÜ,C-IGYA SMF,DK,225AH,EAS ACTIV A</t>
  </si>
  <si>
    <t>1015096</t>
  </si>
  <si>
    <t>AKÜ,L2,DK,60AH,IGYA SMF,BLIZZARO EFB S&amp;S</t>
  </si>
  <si>
    <t>1015098</t>
  </si>
  <si>
    <t>AKÜ,LB2,DK,60AH,IGYA,ENERGYMAX,TÜRKMNSTN</t>
  </si>
  <si>
    <t>1015099</t>
  </si>
  <si>
    <t>1015100</t>
  </si>
  <si>
    <t>AKÜ,L2,DK,62AH,IGYA,SUNTECH,TÜRKMENİSTAN</t>
  </si>
  <si>
    <t>1015101</t>
  </si>
  <si>
    <t>AKÜ,L2,DK,60AH,IGYA,NO NAME,EFB L2,SKG</t>
  </si>
  <si>
    <t>1015102</t>
  </si>
  <si>
    <t>AKÜ,L3,DK,72AH,IGYA,NO NAME,EFB L3,SKG</t>
  </si>
  <si>
    <t>1015103</t>
  </si>
  <si>
    <t>AKÜ,L4,DK,80AH,IGYA,NO NAME,EFB L4,SKG</t>
  </si>
  <si>
    <t>1015104</t>
  </si>
  <si>
    <t>AKÜ,L5,DK,90AH,IGYA,NO NAME,EFB L5,SKG</t>
  </si>
  <si>
    <t>1015105</t>
  </si>
  <si>
    <t>ST-018-EUR-01</t>
  </si>
  <si>
    <t>AKÜ,C-IGYASMF,DK,220AH,MERCEDES,FRANSA</t>
  </si>
  <si>
    <t>IA-ST-018-EUR-01</t>
  </si>
  <si>
    <t>1015106</t>
  </si>
  <si>
    <t>AKÜ,D23,DK,70AH,IGYA SMF,BOOSTER CARBON</t>
  </si>
  <si>
    <t>1015107</t>
  </si>
  <si>
    <t>AKÜ,NS60,DK,45AH,IGYASMF,BOOSTER PREMIUM</t>
  </si>
  <si>
    <t>1015108</t>
  </si>
  <si>
    <t>AKÜ,NS60,TK,45AH,IGYASMF,BOOSTER PREMIUM</t>
  </si>
  <si>
    <t>1015109</t>
  </si>
  <si>
    <t>AKÜ,L1,DK,52AH,IGYA,BPOWER ELITE,POLONYA</t>
  </si>
  <si>
    <t>1015110</t>
  </si>
  <si>
    <t>AKÜ,LB1,DK,52AH,IGYA,BPOWERELITE,POLONYA</t>
  </si>
  <si>
    <t>1015111</t>
  </si>
  <si>
    <t>AKÜ,LB1,DK,45AH,IGYA,BPOWERELITE,POLONYA</t>
  </si>
  <si>
    <t>1015112</t>
  </si>
  <si>
    <t>AKÜ,L2,DK,62AH,IGYA,BPOWER ELITE,POLONYA</t>
  </si>
  <si>
    <t>1015113</t>
  </si>
  <si>
    <t>AKÜ,LB2,DK,61AH,IGYA,BPOWERELITE,POLONYA</t>
  </si>
  <si>
    <t>1015114</t>
  </si>
  <si>
    <t>AKÜ,LB3,DK,74AH,IGYA,BPOWERELITE,POLONYA</t>
  </si>
  <si>
    <t>1015115</t>
  </si>
  <si>
    <t>AKÜ,L3,DK,75AH,IGYA,BPOWER ELITE,POLONYA</t>
  </si>
  <si>
    <t>1015116</t>
  </si>
  <si>
    <t>AKÜ,L4,DK,90AH,IGYA,BPOWER ELITE,POLONYA</t>
  </si>
  <si>
    <t>1015117</t>
  </si>
  <si>
    <t>AKÜ,LB4,DK,85AH,IGYA,BPOWERELITE,POLONYA</t>
  </si>
  <si>
    <t>1015118</t>
  </si>
  <si>
    <t>AKÜ,L5,DK,100AH,IGYA,BPOWERELITE,POLONYA</t>
  </si>
  <si>
    <t>1015123</t>
  </si>
  <si>
    <t>AKÜ,NS40,DK,35AH,IGYASMF,36B20,MARVEL</t>
  </si>
  <si>
    <t>1015124</t>
  </si>
  <si>
    <t>AKÜ,NS60,DK,45AH,IGYASMF,55B24L,MARVEL</t>
  </si>
  <si>
    <t>1015125</t>
  </si>
  <si>
    <t>AKÜ,L2,DK,55AH,IGYA SMF,DIN55,MARVEL</t>
  </si>
  <si>
    <t>1015126</t>
  </si>
  <si>
    <t>AKÜ,L3,DK,70AH,IGYA SMF,DIN66,MARVEL</t>
  </si>
  <si>
    <t>1015127</t>
  </si>
  <si>
    <t>AKÜ,D26,DK,75AH,IGYA SMF,80D26L,MARVEL</t>
  </si>
  <si>
    <t>1015128</t>
  </si>
  <si>
    <t>AKÜ,D31,TK,100AH,IGYA SMF,105D31R,MARVEL</t>
  </si>
  <si>
    <t>1015129</t>
  </si>
  <si>
    <t>AKÜ,L5,DK,100AH,IGYA SMF,60044,MARVEL</t>
  </si>
  <si>
    <t>1015130</t>
  </si>
  <si>
    <t>AKÜ,A-IGYA,DK,140AH,BOOSTER PREMIUM ECO</t>
  </si>
  <si>
    <t>1015131</t>
  </si>
  <si>
    <t>AKÜ,B-IGYA,DK,180AH,BOOSTER PREMIUM ECO</t>
  </si>
  <si>
    <t>1015132</t>
  </si>
  <si>
    <t>AKÜ,C-IGYA,DK,225AH,BOOSTER PREMIUM ECO</t>
  </si>
  <si>
    <t>1015133</t>
  </si>
  <si>
    <t>AKÜ,L2,TK,60AH,IGYA SMF,EAS ACTIVA</t>
  </si>
  <si>
    <t>1015134</t>
  </si>
  <si>
    <t>AKÜ,NS40,TK,35AH,IGYA SMF,EAS ACTIVA</t>
  </si>
  <si>
    <t>1015135</t>
  </si>
  <si>
    <t>AKÜ,NS40,DK,35AH,IGYA SMF,EAS ACTIVA</t>
  </si>
  <si>
    <t>1015136</t>
  </si>
  <si>
    <t>AKÜ,NS40,DK,42AH,IGYA SMF,EAS ACTIVA</t>
  </si>
  <si>
    <t>1015137</t>
  </si>
  <si>
    <t>1015138</t>
  </si>
  <si>
    <t>KÜ,NS60,TK,45AH,IGYA SMF,EAS ACTIVA</t>
  </si>
  <si>
    <t>1015139</t>
  </si>
  <si>
    <t>AKÜ,D23,DK,60AH,IGYA SMF,EAS ACTIVA</t>
  </si>
  <si>
    <t>1015140</t>
  </si>
  <si>
    <t>AKÜ,D26,DK,72AH,IGYA SMF,EAS ACTIVA</t>
  </si>
  <si>
    <t>1015141</t>
  </si>
  <si>
    <t>KÜ,D26,TK,72AH,IGYA SMF,EAS ACTIVA</t>
  </si>
  <si>
    <t>1015142</t>
  </si>
  <si>
    <t>AKÜ,D31,DK,80AH,IGYA SMF,EAS ACTIVA</t>
  </si>
  <si>
    <t>1015143</t>
  </si>
  <si>
    <t>AKÜ,D31,DK,90AH,IGYA SMF,EAS ACTIVA</t>
  </si>
  <si>
    <t>1015144</t>
  </si>
  <si>
    <t>AKÜ,D31,TK,90AH,IGYA SMF,EAS ACTIVA</t>
  </si>
  <si>
    <t>1015145</t>
  </si>
  <si>
    <t>AKÜ,L5,DK,90AH,IGYA SMF,EAS EFB S&amp;S</t>
  </si>
  <si>
    <t>1015146</t>
  </si>
  <si>
    <t>AKÜ,D23,DK,65AH,IGYA SMF,EAS EFB S&amp;S</t>
  </si>
  <si>
    <t>1015147</t>
  </si>
  <si>
    <t>AKÜ,A-IGYASMF,DK,120AH,EAS ACTIVA</t>
  </si>
  <si>
    <t>1015148</t>
  </si>
  <si>
    <t>AKÜ,C-IGYASMF,DK,250AH,EAS EXTRA</t>
  </si>
  <si>
    <t>1015149</t>
  </si>
  <si>
    <t>AKÜ,A-IGYASMF,DK,135AH,EAS ACTIVA</t>
  </si>
  <si>
    <t>1015150</t>
  </si>
  <si>
    <t>AKÜ,B-IGYASMF,DK,180AH,EAS ACTIVA</t>
  </si>
  <si>
    <t>1015151</t>
  </si>
  <si>
    <t>AKÜ,TRACTORL,DK,115AH,EAS PRIDE</t>
  </si>
  <si>
    <t>1015152</t>
  </si>
  <si>
    <t>AKÜ,L4,DK,80AH,BLIZZARO AGM S&amp;S,MISIR</t>
  </si>
  <si>
    <t>1015155</t>
  </si>
  <si>
    <t>AKÜ,L3,DK,72AH,IGYA,İNCİTAURUS,FULL JENR</t>
  </si>
  <si>
    <t>1015156</t>
  </si>
  <si>
    <t>AKÜ,C-FLAT,DK,200AH,İNCİ SUPRA,FULL JENR</t>
  </si>
  <si>
    <t>1015157</t>
  </si>
  <si>
    <t>AKÜ,L4,DK,80AH,VRLA,AGM S&amp;S,FORD OES</t>
  </si>
  <si>
    <t>1015158</t>
  </si>
  <si>
    <t>AKÜ,L3,DK,75AH,IGYA SMF,EFB S&amp;S,FORD OES</t>
  </si>
  <si>
    <t>1015159</t>
  </si>
  <si>
    <t>AKÜ,LB3,DK,60AH,IGYASMF,EFB S&amp;S,FORD OES</t>
  </si>
  <si>
    <t>1015161</t>
  </si>
  <si>
    <t>AKÜ,L4,DK,80AH,IGYA SMF,FORD OES</t>
  </si>
  <si>
    <t>1015162</t>
  </si>
  <si>
    <t>AKÜ,LB1,DK,50AH,IGYA SMF,FORD OES</t>
  </si>
  <si>
    <t>1015163</t>
  </si>
  <si>
    <t>AKÜ,LB3,DK,60AH,IGYA SMF,FORD OES</t>
  </si>
  <si>
    <t>1015164</t>
  </si>
  <si>
    <t>AKÜ,LB4,DK,80AH,IGYA SMF,FORD OES</t>
  </si>
  <si>
    <t>1015165</t>
  </si>
  <si>
    <t>AKÜ,B-IGYA,DK,185AH,PILOTPERFORMANCE EFB</t>
  </si>
  <si>
    <t>1015166</t>
  </si>
  <si>
    <t>AKÜ,C-IGYA,DK,230AH,PILOTPERFORMANCE EFB</t>
  </si>
  <si>
    <t>1015167</t>
  </si>
  <si>
    <t>AKÜ,L0,DK,40AH,DINNEW,NO NAME,BP40,SKG</t>
  </si>
  <si>
    <t>1015168</t>
  </si>
  <si>
    <t>AKÜ,LB1,DK,50AH,IGYA SMF,TITAN,BESA</t>
  </si>
  <si>
    <t>1015169</t>
  </si>
  <si>
    <t>ST-012-EUR-01</t>
  </si>
  <si>
    <t>AKÜ,C,DK,220AH,VRLA,AGMYBX9625-220,GYEUR</t>
  </si>
  <si>
    <t>IA-ST-012-EUR-01</t>
  </si>
  <si>
    <t>1015170</t>
  </si>
  <si>
    <t>AKÜ,C-IGYASMF,DK,225AH,BLIZZAROSILVERLNE</t>
  </si>
  <si>
    <t>1015172</t>
  </si>
  <si>
    <t>AKÜ,L3,DK,75AH,IGYA,GYEUR,SST3096-075</t>
  </si>
  <si>
    <t>1015173</t>
  </si>
  <si>
    <t>AKÜ,LB3,DK,73AH,IGYA,GYEUR,SST3100-073</t>
  </si>
  <si>
    <t>1015174</t>
  </si>
  <si>
    <t>AKÜ,LB1,DK,46AH,IGYA,GYNRD,PST4063-046</t>
  </si>
  <si>
    <t>1015175</t>
  </si>
  <si>
    <t>AKÜ,L1,DK,52AH,IGYA,GYNRD,PST4012-052</t>
  </si>
  <si>
    <t>1015176</t>
  </si>
  <si>
    <t>AKÜ,L2,DK,62AH,IGYA,GYNRD,PST4027-062</t>
  </si>
  <si>
    <t>1015177</t>
  </si>
  <si>
    <t>AKÜ,D23,DK,60AH,IGYA,GYNRD,PST4005-060</t>
  </si>
  <si>
    <t>1015178</t>
  </si>
  <si>
    <t>AKÜ,D26,TK,72AH,IGYA,GYNRD,PST4069-072</t>
  </si>
  <si>
    <t>1015179</t>
  </si>
  <si>
    <t>AKÜ,D26,DK,72AH,IGYA,GYNRD,PST4068-072</t>
  </si>
  <si>
    <t>1015180</t>
  </si>
  <si>
    <t>AKÜ,LB3,DK,72AH,IGYA,GYNRD,PST4100-072</t>
  </si>
  <si>
    <t>1015181</t>
  </si>
  <si>
    <t>AKÜ,L3,DK,75AH,IGYA,GYNRD,PST4096-075</t>
  </si>
  <si>
    <t>1015182</t>
  </si>
  <si>
    <t>AKÜ,LB4,DK,80AH,IGYA,GYNRD,PST4110-080</t>
  </si>
  <si>
    <t>1015183</t>
  </si>
  <si>
    <t>AKÜ,L5,DK,100AH,IGYA,GYNRD,PST4019-095</t>
  </si>
  <si>
    <t>1015184</t>
  </si>
  <si>
    <t>AKÜ,D31,TK,95AH,IGYA,GYNRD,PST4334-095</t>
  </si>
  <si>
    <t>1015185</t>
  </si>
  <si>
    <t>AKÜ,D31,DK,95AH,IGYA,GYNRD,PST4335-095</t>
  </si>
  <si>
    <t>1015190</t>
  </si>
  <si>
    <t>AKÜ,NS40,DK,35AH,IGYA SMF,GORILA,REDMAY</t>
  </si>
  <si>
    <t>1015191</t>
  </si>
  <si>
    <t>AKÜ,LB1,DK,50AH,IGYA SMF,GORILA,REDMAY</t>
  </si>
  <si>
    <t>1015192</t>
  </si>
  <si>
    <t>AKÜ,LB2,DK,60AH,IGYA SMF,GORILA,REDMAY</t>
  </si>
  <si>
    <t>1015193</t>
  </si>
  <si>
    <t>AKÜ,LB3,DK,70AH,IGYA SMF,GORILA,REDMAY</t>
  </si>
  <si>
    <t>1015194</t>
  </si>
  <si>
    <t>1015195</t>
  </si>
  <si>
    <t>1015196</t>
  </si>
  <si>
    <t>1015197</t>
  </si>
  <si>
    <t>1015198</t>
  </si>
  <si>
    <t>1015199</t>
  </si>
  <si>
    <t>1015200</t>
  </si>
  <si>
    <t>1015201</t>
  </si>
  <si>
    <t>1015202</t>
  </si>
  <si>
    <t>AKÜ,L1,DK,44AH,IGYA SMF,HUGEL ULTRA</t>
  </si>
  <si>
    <t>1015203</t>
  </si>
  <si>
    <t>ST-056-STD-02</t>
  </si>
  <si>
    <t>AKÜ,LB4,DK,80AH,IGYA SMF,MAKO,EXIDE OES</t>
  </si>
  <si>
    <t>IA-ST-056-STD-02</t>
  </si>
  <si>
    <t>1015205</t>
  </si>
  <si>
    <t>AKÜ,L4,DK,85AH,IGYASMF,YBX3115-085,GYEUR</t>
  </si>
  <si>
    <t>1015206</t>
  </si>
  <si>
    <t>AKÜ,L4,DK,85AH,IGYASMF,YBX7115-085,GYEUR</t>
  </si>
  <si>
    <t>1015209</t>
  </si>
  <si>
    <t>AKÜ,L1,DK,54AH,IGYASMF,YBX5012-054,GYEUR</t>
  </si>
  <si>
    <t>1015210</t>
  </si>
  <si>
    <t>AKÜ,L1,DK,54AH,IGYASMF,HAL5012-054,GYEUR</t>
  </si>
  <si>
    <t>1015211</t>
  </si>
  <si>
    <t>AKÜ,L1,DK,54AH,IGYA,NONAME,5012-054GYEUR</t>
  </si>
  <si>
    <t>1015212</t>
  </si>
  <si>
    <t>AKÜ,L2,DK,65AH,IGYASMF,YBX5027-065,GYEUR</t>
  </si>
  <si>
    <t>1015213</t>
  </si>
  <si>
    <t>AKÜ,L2,DK,65AH,IGYASMF,HAL5027-065,GYEUR</t>
  </si>
  <si>
    <t>1015214</t>
  </si>
  <si>
    <t>AKÜ,L2,DK,65AH,IGYA,NONAME,5027-065GYEUR</t>
  </si>
  <si>
    <t>1015215</t>
  </si>
  <si>
    <t>1015216</t>
  </si>
  <si>
    <t>AKÜ,L3,DK,80AH,IGYASMF,YBX5096-080,GYEUR</t>
  </si>
  <si>
    <t>1015217</t>
  </si>
  <si>
    <t>AKÜ,L3,DK,80AH,IGYASMF,HAL5096-080,GYEUR</t>
  </si>
  <si>
    <t>1015218</t>
  </si>
  <si>
    <t>AKÜ,L3,DK,80AH,IGYA,NONAME,5096-080GYEUR</t>
  </si>
  <si>
    <t>1015219</t>
  </si>
  <si>
    <t>1015220</t>
  </si>
  <si>
    <t>AKÜ,LB3,DK75AH,IGYASMF,YBX5100-075,GYEUR</t>
  </si>
  <si>
    <t>1015221</t>
  </si>
  <si>
    <t>AKÜ,LB3,DK75AH,IGYA,NONAME,5100-075GYEUR</t>
  </si>
  <si>
    <t>1015222</t>
  </si>
  <si>
    <t>AKÜ,LB3,DK,75AH,IGYA,HAL5100-075,GYEUR</t>
  </si>
  <si>
    <t>1015223</t>
  </si>
  <si>
    <t>AKÜ,L4,DK,90AH,IGYASMF,YBX5115-090,GYEUR</t>
  </si>
  <si>
    <t>1015224</t>
  </si>
  <si>
    <t>AKÜ,L4,TK,90AH,IGYASMF,YBX5116-090,GYEUR</t>
  </si>
  <si>
    <t>1015225</t>
  </si>
  <si>
    <t>AKÜ,L4,DK,90AH,IGYA,NONAME,5115-090GYEUR</t>
  </si>
  <si>
    <t>1015226</t>
  </si>
  <si>
    <t>AKÜ,LB4,DK,85AH,IGYA,YBX5110-085,GYEUR</t>
  </si>
  <si>
    <t>1015227</t>
  </si>
  <si>
    <t>AKÜ,LB4,DK,85AH,IGYA,HAL5110-085,GYEUR</t>
  </si>
  <si>
    <t>1015228</t>
  </si>
  <si>
    <t>AKÜ,LB4,DK85AH,IGYA,NONAME,5110-085GYEUR</t>
  </si>
  <si>
    <t>1015229</t>
  </si>
  <si>
    <t>AKÜ,L5,DK,100AH,IGYA,YBX5019-100,GYEUR</t>
  </si>
  <si>
    <t>1015230</t>
  </si>
  <si>
    <t>AKÜ,L5,DK,100AH,IGYA,HAL5019-100,GYEUR</t>
  </si>
  <si>
    <t>1015231</t>
  </si>
  <si>
    <t>AKÜ,L5,DK100AH,IGYA,NONAME,5019-100GYEUR</t>
  </si>
  <si>
    <t>1015232</t>
  </si>
  <si>
    <t>1015233</t>
  </si>
  <si>
    <t>AKÜ,L2,DK,65AH,IGYA,NONAME,7027-065GYEUR</t>
  </si>
  <si>
    <t>1015234</t>
  </si>
  <si>
    <t>AKÜ,L2,DK,65AH,IGYASMF,HEB7027-065,GYEUR</t>
  </si>
  <si>
    <t>1015235</t>
  </si>
  <si>
    <t>1015236</t>
  </si>
  <si>
    <t>AKÜ,L3,DK,75AH,IGYA,NONAME,7096-075GYEUR</t>
  </si>
  <si>
    <t>1015237</t>
  </si>
  <si>
    <t>AKÜ,L3,DK,75AH,IGYASMF,HEB7096-075,GYEUR</t>
  </si>
  <si>
    <t>1015238</t>
  </si>
  <si>
    <t>AKÜ,LB3,DK65AH,IGYA,NONAME,7100-065GYEUR</t>
  </si>
  <si>
    <t>1015239</t>
  </si>
  <si>
    <t>AKÜ,LB3,DK,65AH,IGYA,YBX7100-065,GYEUR</t>
  </si>
  <si>
    <t>1015240</t>
  </si>
  <si>
    <t>AKÜ,LB3,DK,65AH,IGYA,HEB7100-065,GYEUR</t>
  </si>
  <si>
    <t>1015241</t>
  </si>
  <si>
    <t>AKÜ,LB4,DK75AH,IGYA,NONAME,7110-075GYEUR</t>
  </si>
  <si>
    <t>1015242</t>
  </si>
  <si>
    <t>AKÜ,LB4,DK,75AH,IGYA,YBX7110-075,GYEUR</t>
  </si>
  <si>
    <t>1015243</t>
  </si>
  <si>
    <t>AKÜ,LB4,DK,75AH,IGYA,HEB7110-075,GYEUR</t>
  </si>
  <si>
    <t>1015244</t>
  </si>
  <si>
    <t>1015245</t>
  </si>
  <si>
    <t>AKÜ,L5,DK100AH,IGYA,NONAME,7019-100GYEUR</t>
  </si>
  <si>
    <t>1015246</t>
  </si>
  <si>
    <t>AKÜ,L5,DK,100AH,IGYA,HALFORD,HALL36L-EFB</t>
  </si>
  <si>
    <t>1015247</t>
  </si>
  <si>
    <t>AKÜ,L2,60AH,DK,IGYA,FIAT,OES YP,55109243</t>
  </si>
  <si>
    <t>1015250</t>
  </si>
  <si>
    <t>AKÜ,L1,DK,50AH,IGYA,BLIZZ.SILVERLN,MISIR</t>
  </si>
  <si>
    <t>1015251</t>
  </si>
  <si>
    <t>AKÜ,LB2,DK,60AH,IGYA,BLIZZ.EFB S&amp;S,MISIR</t>
  </si>
  <si>
    <t>1015252</t>
  </si>
  <si>
    <t>AKÜ,B-IGYASMF,DK,180AH,BLIZ.SILVRL,MISIR</t>
  </si>
  <si>
    <t>1015253</t>
  </si>
  <si>
    <t>AKÜ,C-IGYASMF,DK,240AH,BLIZ.SILVRL,MISIR</t>
  </si>
  <si>
    <t>1015254</t>
  </si>
  <si>
    <t>AKÜ,L1DK,50AH,VRLA,AGM YBX9012-050,GYEUR</t>
  </si>
  <si>
    <t>1015255</t>
  </si>
  <si>
    <t>ST-036-STD-09</t>
  </si>
  <si>
    <t>AKÜ AGM,L6,DK,105AH,MM AGM S&amp;S,MM OES</t>
  </si>
  <si>
    <t>IA-ST-036-STD-09</t>
  </si>
  <si>
    <t>1015256</t>
  </si>
  <si>
    <t>AKÜ,NS60,DK,55AH,IGYA SMF,MAKO YP,OES</t>
  </si>
  <si>
    <t>1015260</t>
  </si>
  <si>
    <t>AKÜ,B-IGYASMF,DK,170AH,PILOT PERFORMANCE</t>
  </si>
  <si>
    <t>1015261</t>
  </si>
  <si>
    <t>AKÜ,C-IGYASMF,DK,230AH,HUGEL EFB S&amp;S</t>
  </si>
  <si>
    <t>1015262</t>
  </si>
  <si>
    <t>AKÜ,L1,DK,55AH,IGYA,BPOWER ELITE,POLONYA</t>
  </si>
  <si>
    <t>1015263</t>
  </si>
  <si>
    <t>AKÜ,L2,DK,65AH,IGYA,BPOWER ELITE,POLONYA</t>
  </si>
  <si>
    <t>1015264</t>
  </si>
  <si>
    <t>1015265</t>
  </si>
  <si>
    <t>AKÜ,L3,DK,80AH,IGYA,BPOWER ELITE,POLONYA</t>
  </si>
  <si>
    <t>1015266</t>
  </si>
  <si>
    <t>ST-063-STD-06</t>
  </si>
  <si>
    <t>AKÜ,L3,DK,72AH,IGYA,EFB,NONAME,CONTINENT</t>
  </si>
  <si>
    <t>IA-ST-063-STD-06</t>
  </si>
  <si>
    <t>1015267</t>
  </si>
  <si>
    <t>ST-072-STD-08</t>
  </si>
  <si>
    <t>AKÜ,D23,DK65AH,IGYA,EFB,NONAME,CONTINENT</t>
  </si>
  <si>
    <t>IA-ST-072-STD-08</t>
  </si>
  <si>
    <t>1015268</t>
  </si>
  <si>
    <t>AKÜ,D26,DK72AH,IGYA,EFB,NONAME,CONTINENT</t>
  </si>
  <si>
    <t>1015269</t>
  </si>
  <si>
    <t>AKÜ AGM,L6,DK,105AH,İNCİ AGM LEO,EURO</t>
  </si>
  <si>
    <t>1015270</t>
  </si>
  <si>
    <t>AKÜ,D23,DK,68AH,IGYA SMF,HUGEL MEGA</t>
  </si>
  <si>
    <t>1015271</t>
  </si>
  <si>
    <t>AKÜ,L2,DK,60AH,İNCİ AGM LEO,REDMAY</t>
  </si>
  <si>
    <t>1015272</t>
  </si>
  <si>
    <t>AKÜ,D31,DK,90AH,IGYA SMF,NO NAME,REDMAY</t>
  </si>
  <si>
    <t>1015273</t>
  </si>
  <si>
    <t>AKÜ,L2,DK,65AH,IGYA,NONAME,EFB NR65X,SKG</t>
  </si>
  <si>
    <t>1015274</t>
  </si>
  <si>
    <t>AKÜ,L3,DK,80AH,IGYA,NONAME,EFB NR80X,SKG</t>
  </si>
  <si>
    <t>1015275</t>
  </si>
  <si>
    <t>AKÜ,L4,DK,92AH,IGYA,NONAME,EFB NR92X,SKG</t>
  </si>
  <si>
    <t>1015276</t>
  </si>
  <si>
    <t>AKÜ,L5,DK,100AH,IGYA,NONAME,EFBNR100XSKG</t>
  </si>
  <si>
    <t>1015277</t>
  </si>
  <si>
    <t>AKÜ,L3,DK,80AH,IGYA,AVANT,5096-080,GYNRD</t>
  </si>
  <si>
    <t>1015278</t>
  </si>
  <si>
    <t>AKÜ,LB3,DK,75AH,IGYA,AVANT,5100-075GYNRD</t>
  </si>
  <si>
    <t>1015279</t>
  </si>
  <si>
    <t>AKÜ,L3,DK,70AH,GS AGM,9096-070,AGM096,GS</t>
  </si>
  <si>
    <t>1015280</t>
  </si>
  <si>
    <t>AKÜ,L4,DK,80AH,GS AGM,9115-080,AGM115,GS</t>
  </si>
  <si>
    <t>1015281</t>
  </si>
  <si>
    <t>AKÜ,D26,DK75AH,IGYA,ZITEXBATR,TÜRKMENSTN</t>
  </si>
  <si>
    <t>1015282</t>
  </si>
  <si>
    <t>AKÜ,D31,DK90AH,IGYA,ZITEXBATR,TÜRKMENSTN</t>
  </si>
  <si>
    <t>1015283</t>
  </si>
  <si>
    <t>1015284</t>
  </si>
  <si>
    <t>AKÜ,AGM,L4,DK,80AH,EAS AGM S&amp;S,ATWAN</t>
  </si>
  <si>
    <t>1015285</t>
  </si>
  <si>
    <t>AKÜ,D23,TK,62AH,IGYA,B1,İNCİTAUR,SHAWKAT</t>
  </si>
  <si>
    <t>1015286</t>
  </si>
  <si>
    <t>AKÜ,A-IGYASMF,DK,120AH,İNCİFORML,SHAWKAT</t>
  </si>
  <si>
    <t>1015287</t>
  </si>
  <si>
    <t>AKÜ,B-IGYASMF,DK,190AH,B03,EAS ACTIVA</t>
  </si>
  <si>
    <t>1015288</t>
  </si>
  <si>
    <t>AKÜ,L5,DK,105AH,IGYA SMF,EAS ACTIVA</t>
  </si>
  <si>
    <t>1015289</t>
  </si>
  <si>
    <t>AKÜ,L6,DK,110AH,KAMINA,EAS PRIDE</t>
  </si>
  <si>
    <t>1015290</t>
  </si>
  <si>
    <t>AKÜ,TRACTOR,DK,125AH,EAS PRIDE</t>
  </si>
  <si>
    <t>1015291</t>
  </si>
  <si>
    <t>AKÜ,C-FLAT,DK,240AH,EAS PRIDE</t>
  </si>
  <si>
    <t>1015292</t>
  </si>
  <si>
    <t>AKÜ,L2,DK,60AH,IGYA,İNCİEFBPANTR,SHAWKAT</t>
  </si>
  <si>
    <t>1015302</t>
  </si>
  <si>
    <t>AKÜ,LB3,DK,65AH,IGYA,İNCİEFBMAX,M1İÇPYS</t>
  </si>
  <si>
    <t>1015303</t>
  </si>
  <si>
    <t>AKÜ,LB4,DK,75AH,IGYA,İNCİEFBMAX,M1İÇPYS</t>
  </si>
  <si>
    <t>1015304</t>
  </si>
  <si>
    <t>AKÜ,C-IGYASMF,DK,225AH,BLIZSILVRLN,MISIR</t>
  </si>
  <si>
    <t>1015305</t>
  </si>
  <si>
    <t>AKÜ,L2,DK,65AH,IGYASMF,BLIZ.GOLDLN,MISIR</t>
  </si>
  <si>
    <t>1015306</t>
  </si>
  <si>
    <t>AKÜ,L3,DK,80AH,IGYASMF,BLIZ.GOLDLN,MISIR</t>
  </si>
  <si>
    <t>1015310</t>
  </si>
  <si>
    <t>AKÜ,A-IGYASMF,DK,140AH,NONAME,INTERSTATE</t>
  </si>
  <si>
    <t>1015311</t>
  </si>
  <si>
    <t>ST-030-STD-07</t>
  </si>
  <si>
    <t>AKÜ,B-IGYASMF,DK,180AH,NONAME,INTERSTATE</t>
  </si>
  <si>
    <t>IA-ST-030-STD-07</t>
  </si>
  <si>
    <t>1015312</t>
  </si>
  <si>
    <t>AKÜ,L0,DK,40AH,DINNEWPROFIL,DIN40L,LUCAS</t>
  </si>
  <si>
    <t>1015313</t>
  </si>
  <si>
    <t>AKÜ,L3,DK,75AH,IGYSMF,BLIZZ.EFB S&amp;S,EURO</t>
  </si>
  <si>
    <t>1015314</t>
  </si>
  <si>
    <t>AKÜ,NS60,DK,45AH,IGYA,PILOT PERFORMANCE</t>
  </si>
  <si>
    <t>1015315</t>
  </si>
  <si>
    <t>AKÜ,D23,DK,60AH,IGYA,PILOT PERFORMANCE</t>
  </si>
  <si>
    <t>1015316</t>
  </si>
  <si>
    <t>AKÜ,D26,DK,72AH,IGYA,PILOT PERFORMANCE</t>
  </si>
  <si>
    <t>1015317</t>
  </si>
  <si>
    <t>AKÜ,D31,DK,100AH,IGYA,PILOT PERFORMANCE</t>
  </si>
  <si>
    <t>1015318</t>
  </si>
  <si>
    <t>AKÜ,D31,TK,100AH,IGYA,PILOT PERFORMANCE</t>
  </si>
  <si>
    <t>1015319</t>
  </si>
  <si>
    <t>AKÜ,NS60,DK,57AH,IGYA,İNCİTAURUS,SHAWKAT</t>
  </si>
  <si>
    <t>1015320</t>
  </si>
  <si>
    <t>AKÜ,C-IGYA,DK,230AH,İNCİEFBMAX,TEMSA OEM</t>
  </si>
  <si>
    <t>1015321</t>
  </si>
  <si>
    <t>1015322</t>
  </si>
  <si>
    <t>AKÜ,D26,DK,75AH,IGYA SMF,EAS ACTIVA,EURO</t>
  </si>
  <si>
    <t>1015323</t>
  </si>
  <si>
    <t>AKÜ,D26,TK,75AH,IGYA SMF,EAS ACTIVA,EURO</t>
  </si>
  <si>
    <t>1015326</t>
  </si>
  <si>
    <t>AKÜ,L5,DK,102AH,IGYA,BLIZZGOLDLINE,MISIR</t>
  </si>
  <si>
    <t>1015327</t>
  </si>
  <si>
    <t>AKÜ,C-IGYA,DK,250AH,BLIZZ.GOLDLINE,MISIR</t>
  </si>
  <si>
    <t>Technical Description</t>
  </si>
  <si>
    <t>Customer / Market</t>
  </si>
  <si>
    <t>Source Configuration ID</t>
  </si>
  <si>
    <t>Final Configuration ID</t>
  </si>
  <si>
    <t>Packaging Tare kg</t>
  </si>
  <si>
    <t>Scope Status</t>
  </si>
  <si>
    <t>Physical Packaging Status</t>
  </si>
  <si>
    <t>Battery Type</t>
  </si>
  <si>
    <t>Nominal Qty</t>
  </si>
  <si>
    <t>Legacy Market Status</t>
  </si>
  <si>
    <t>IA-ST-CFG-0023</t>
  </si>
  <si>
    <t>EXPORT-READY STARTER SCOPE</t>
  </si>
  <si>
    <t>CONTROLLED PACKAGING SET</t>
  </si>
  <si>
    <t>C</t>
  </si>
  <si>
    <t>IN OEM / EU PACKAGE</t>
  </si>
  <si>
    <t>YURT İÇİ AFM</t>
  </si>
  <si>
    <t>IA-ST-CFG-0054</t>
  </si>
  <si>
    <t>A</t>
  </si>
  <si>
    <t>IA-ST-CFG-0055</t>
  </si>
  <si>
    <t>B</t>
  </si>
  <si>
    <t>IA-ST-CFG-0024</t>
  </si>
  <si>
    <t>IA-ST-CFG-0051</t>
  </si>
  <si>
    <t>IA-ST-CFG-0097</t>
  </si>
  <si>
    <t>TRACTORL</t>
  </si>
  <si>
    <t>TRACTOR</t>
  </si>
  <si>
    <t>MISIR EEC</t>
  </si>
  <si>
    <t>IA-ST-CFG-0052</t>
  </si>
  <si>
    <t>IA-ST-CFG-0029</t>
  </si>
  <si>
    <t>JANENE İSRAİL</t>
  </si>
  <si>
    <t>IA-ST-CFG-0093</t>
  </si>
  <si>
    <t>SHAWKAT</t>
  </si>
  <si>
    <t>ISUZU (Yurt İçi)</t>
  </si>
  <si>
    <t>IA-ST-CFG-0007</t>
  </si>
  <si>
    <t>IN PPWR SCOPE</t>
  </si>
  <si>
    <t>DATA REQUIRED — COMPLETE PHYSICAL PACKAGING BOM REQUIRED</t>
  </si>
  <si>
    <t>DOMESTIC-ONLY / NOT IN OEM PACKAGE</t>
  </si>
  <si>
    <t>TEMSA (Yurt İçi)</t>
  </si>
  <si>
    <t>IA-ST-CFG-0014</t>
  </si>
  <si>
    <t>MAKO OES (Yurt İçi)</t>
  </si>
  <si>
    <t>IA-ST-CFG-0073</t>
  </si>
  <si>
    <t>IA-ST-CFG-0001</t>
  </si>
  <si>
    <t>BMC (Yurt İçi)</t>
  </si>
  <si>
    <t>IA-ST-CFG-0002</t>
  </si>
  <si>
    <t>ERKUNT (Yurt İçi)</t>
  </si>
  <si>
    <t>IA-ST-CFG-0040</t>
  </si>
  <si>
    <t>IA-ST-CFG-0032</t>
  </si>
  <si>
    <t>IA-ST-CFG-0016</t>
  </si>
  <si>
    <t>DORFELT ALMANYA</t>
  </si>
  <si>
    <t>IA-ST-CFG-0241</t>
  </si>
  <si>
    <t>LB2</t>
  </si>
  <si>
    <t>IA-ST-CFG-0201</t>
  </si>
  <si>
    <t>LB3</t>
  </si>
  <si>
    <t>IA-ST-CFG-0118</t>
  </si>
  <si>
    <t>LB5</t>
  </si>
  <si>
    <t>TEKSAN (Yurt İçi)</t>
  </si>
  <si>
    <t>IA-ST-CFG-0039</t>
  </si>
  <si>
    <t>TOFAŞ (Yurt İçi)</t>
  </si>
  <si>
    <t>IA-ST-CFG-0041</t>
  </si>
  <si>
    <t>L6</t>
  </si>
  <si>
    <t>IA-ST-CFG-0153</t>
  </si>
  <si>
    <t>LB4</t>
  </si>
  <si>
    <t>IA-ST-CFG-0200</t>
  </si>
  <si>
    <t>L3</t>
  </si>
  <si>
    <t>IA-ST-CFG-0116</t>
  </si>
  <si>
    <t>L5</t>
  </si>
  <si>
    <t>NASA</t>
  </si>
  <si>
    <t>PSA (Yurt Dışı)</t>
  </si>
  <si>
    <t>IA-ST-CFG-0005</t>
  </si>
  <si>
    <t>MISIR NACITA</t>
  </si>
  <si>
    <t>MISIR AL AMAN</t>
  </si>
  <si>
    <t>YUA-CV YURT İÇİ AFM</t>
  </si>
  <si>
    <t>IA-ST-CFG-0096</t>
  </si>
  <si>
    <t>MISIR ATWAN</t>
  </si>
  <si>
    <t>GS</t>
  </si>
  <si>
    <t>IA-ST-CFG-0236</t>
  </si>
  <si>
    <t>L0</t>
  </si>
  <si>
    <t>IA-ST-CFG-0268</t>
  </si>
  <si>
    <t>LB1</t>
  </si>
  <si>
    <t>FORD (Yurt İçi)</t>
  </si>
  <si>
    <t>IA-ST-CFG-0050</t>
  </si>
  <si>
    <t>IA-ST-CFG-0022</t>
  </si>
  <si>
    <t>BOOSTER</t>
  </si>
  <si>
    <t>CELLMAX</t>
  </si>
  <si>
    <t>IA-ST-CFG-0080</t>
  </si>
  <si>
    <t>OTOPRATİK (Yurt İçi)</t>
  </si>
  <si>
    <t>IA-ST-CFG-0171</t>
  </si>
  <si>
    <t>D23</t>
  </si>
  <si>
    <t>IA-ST-CFG-0115</t>
  </si>
  <si>
    <t>D31</t>
  </si>
  <si>
    <t>IA-ST-CFG-0152</t>
  </si>
  <si>
    <t>L4</t>
  </si>
  <si>
    <t>REY &amp; LENFERNA LUCAS</t>
  </si>
  <si>
    <t>IA-ST-CFG-0272</t>
  </si>
  <si>
    <t>NS60</t>
  </si>
  <si>
    <t>IA-ST-CFG-0143</t>
  </si>
  <si>
    <t>IA-ST-CFG-0284</t>
  </si>
  <si>
    <t>NS40</t>
  </si>
  <si>
    <t>IA-ST-CFG-0219</t>
  </si>
  <si>
    <t>IA-ST-CFG-0179</t>
  </si>
  <si>
    <t>IA-ST-CFG-0248</t>
  </si>
  <si>
    <t>L1</t>
  </si>
  <si>
    <t>IA-ST-CFG-0222</t>
  </si>
  <si>
    <t>L2</t>
  </si>
  <si>
    <t>IA-ST-CFG-0240</t>
  </si>
  <si>
    <t>SCHNAPP</t>
  </si>
  <si>
    <t>IA-ST-CFG-0057</t>
  </si>
  <si>
    <t>IA-ST-CFG-0025</t>
  </si>
  <si>
    <t>IA-ST-CFG-0056</t>
  </si>
  <si>
    <t>GY EUR</t>
  </si>
  <si>
    <t>IA-ST-CFG-0035</t>
  </si>
  <si>
    <t>IA-ST-CFG-0225</t>
  </si>
  <si>
    <t>D20</t>
  </si>
  <si>
    <t>IA-ST-CFG-0044</t>
  </si>
  <si>
    <t>TANK</t>
  </si>
  <si>
    <t>IA-ST-CFG-0190</t>
  </si>
  <si>
    <t>IA-ST-CFG-0105</t>
  </si>
  <si>
    <t>IA-ST-CFG-0081</t>
  </si>
  <si>
    <t>IA-ST-CFG-0220</t>
  </si>
  <si>
    <t>GULF</t>
  </si>
  <si>
    <t>IA-ST-CFG-0099</t>
  </si>
  <si>
    <t>MERCEDES (Yurt İçi)</t>
  </si>
  <si>
    <t>IA-ST-CFG-0011</t>
  </si>
  <si>
    <t>IA-ST-CFG-0203</t>
  </si>
  <si>
    <t>IA-ST-CFG-0121</t>
  </si>
  <si>
    <t>MERCEDES ALMANYA</t>
  </si>
  <si>
    <t>IA-ST-CFG-0027</t>
  </si>
  <si>
    <t>IA-ST-CFG-0037</t>
  </si>
  <si>
    <t>ARCOBALENO-GANA</t>
  </si>
  <si>
    <t>IA-ST-CFG-0178</t>
  </si>
  <si>
    <t>IA-ST-CFG-0186</t>
  </si>
  <si>
    <t>IA-ST-CFG-0020</t>
  </si>
  <si>
    <t>IA-ST-CFG-0256</t>
  </si>
  <si>
    <t>IA-ST-CFG-0182</t>
  </si>
  <si>
    <t>IA-ST-CFG-0167</t>
  </si>
  <si>
    <t>IA-ST-CFG-0195</t>
  </si>
  <si>
    <t>IA-ST-CFG-0172</t>
  </si>
  <si>
    <t>IA-ST-CFG-0155</t>
  </si>
  <si>
    <t>D26</t>
  </si>
  <si>
    <t>PSA (Yurt İçi)</t>
  </si>
  <si>
    <t>IA-ST-CFG-0131</t>
  </si>
  <si>
    <t>TÜRKMENİSTAN</t>
  </si>
  <si>
    <t>IA-ST-CFG-0176</t>
  </si>
  <si>
    <t>IA-ST-CFG-0145</t>
  </si>
  <si>
    <t>IA-ST-CFG-0227</t>
  </si>
  <si>
    <t>IA-ST-CFG-0098</t>
  </si>
  <si>
    <t>IA-ST-CFG-0251</t>
  </si>
  <si>
    <t>IA-ST-CFG-0181</t>
  </si>
  <si>
    <t>IA-ST-CFG-0233</t>
  </si>
  <si>
    <t>IA-ST-CFG-0273</t>
  </si>
  <si>
    <t>IA-ST-CFG-0224</t>
  </si>
  <si>
    <t>IA-ST-CFG-0252</t>
  </si>
  <si>
    <t>IA-ST-CFG-0285</t>
  </si>
  <si>
    <t>IA-ST-CFG-0257</t>
  </si>
  <si>
    <t>IA-ST-CFG-0211</t>
  </si>
  <si>
    <t>IA-ST-CFG-0212</t>
  </si>
  <si>
    <t>IA-ST-CFG-0196</t>
  </si>
  <si>
    <t>IA-ST-CFG-0197</t>
  </si>
  <si>
    <t>IA-ST-CFG-0168</t>
  </si>
  <si>
    <t>IA-ST-CFG-0175</t>
  </si>
  <si>
    <t>START TRADING BULGARİSTAN</t>
  </si>
  <si>
    <t>FQS BATTERY İSPANYA</t>
  </si>
  <si>
    <t>BATERIE PRZEMYSLOWE POLONYA</t>
  </si>
  <si>
    <t>IA-ST-CFG-0164</t>
  </si>
  <si>
    <t>IA-ST-CFG-0209</t>
  </si>
  <si>
    <t>IA-ST-CFG-0085</t>
  </si>
  <si>
    <t>IA-ST-CFG-0017</t>
  </si>
  <si>
    <t>CANARIBAT İSPANYA</t>
  </si>
  <si>
    <t>IA-ST-CFG-0199</t>
  </si>
  <si>
    <t>IA-ST-CFG-0264</t>
  </si>
  <si>
    <t>IA-ST-CFG-0132</t>
  </si>
  <si>
    <t>IA-ST-CFG-0144</t>
  </si>
  <si>
    <t>IA-ST-CFG-0250</t>
  </si>
  <si>
    <t>IA-ST-CFG-0282</t>
  </si>
  <si>
    <t>IA-ST-CFG-0142</t>
  </si>
  <si>
    <t>IA-ST-CFG-0247</t>
  </si>
  <si>
    <t>IA-ST-CFG-0128</t>
  </si>
  <si>
    <t>IA-ST-CFG-0126</t>
  </si>
  <si>
    <t>IA-ST-CFG-0122</t>
  </si>
  <si>
    <t>IA-ST-CFG-0165</t>
  </si>
  <si>
    <t>IA-ST-CFG-0231</t>
  </si>
  <si>
    <t>IA-ST-CFG-0261</t>
  </si>
  <si>
    <t>MIRKAZ İSRAİL</t>
  </si>
  <si>
    <t>IA-ST-CFG-0259</t>
  </si>
  <si>
    <t>IA-ST-CFG-0254</t>
  </si>
  <si>
    <t>IA-ST-CFG-0210</t>
  </si>
  <si>
    <t>NOYPA-NISSAN (Yurt İçi)</t>
  </si>
  <si>
    <t>IA-ST-CFG-0162</t>
  </si>
  <si>
    <t>IA-ST-CFG-0082</t>
  </si>
  <si>
    <t>CEZAİR SARL CIMA</t>
  </si>
  <si>
    <t>IA-ST-CFG-0156</t>
  </si>
  <si>
    <t>IA-ST-CFG-0270</t>
  </si>
  <si>
    <t>IA-ST-CFG-0226</t>
  </si>
  <si>
    <t>IA-ST-CFG-0146</t>
  </si>
  <si>
    <t>IA-ST-CFG-0101</t>
  </si>
  <si>
    <t>IA-ST-CFG-0183</t>
  </si>
  <si>
    <t>IA-ST-CFG-0228</t>
  </si>
  <si>
    <t>IA-ST-CFG-0249</t>
  </si>
  <si>
    <t>IA-ST-CFG-0185</t>
  </si>
  <si>
    <t>IA-ST-CFG-0234</t>
  </si>
  <si>
    <t>IA-ST-CFG-0148</t>
  </si>
  <si>
    <t>IA-ST-CFG-0230</t>
  </si>
  <si>
    <t>HYTEC AUTO AMERİKA</t>
  </si>
  <si>
    <t>IA-ST-CFG-0232</t>
  </si>
  <si>
    <t>IA-ST-CFG-0238</t>
  </si>
  <si>
    <t>IA-ST-CFG-0150</t>
  </si>
  <si>
    <t>IA-ST-CFG-0274</t>
  </si>
  <si>
    <t>IA-ST-CFG-0286</t>
  </si>
  <si>
    <t>IA-ST-CFG-0062</t>
  </si>
  <si>
    <t>ATHLANTIC SUHI</t>
  </si>
  <si>
    <t>IA-ST-CFG-0235</t>
  </si>
  <si>
    <t>IA-ST-CFG-0253</t>
  </si>
  <si>
    <t>IA-ST-CFG-0163</t>
  </si>
  <si>
    <t>IA-ST-CFG-0134</t>
  </si>
  <si>
    <t>IA-ST-CFG-0086</t>
  </si>
  <si>
    <t>IA-ST-CFG-0071</t>
  </si>
  <si>
    <t>IA-ST-CFG-0204</t>
  </si>
  <si>
    <t>IA-ST-CFG-0265</t>
  </si>
  <si>
    <t>IA-ST-CFG-0042</t>
  </si>
  <si>
    <t>YUASA 3000 EXPORT</t>
  </si>
  <si>
    <t>IA-ST-CFG-0104</t>
  </si>
  <si>
    <t>IA-ST-CFG-0060</t>
  </si>
  <si>
    <t>IA-ST-CFG-0075</t>
  </si>
  <si>
    <t>IA-ST-CFG-0059</t>
  </si>
  <si>
    <t>IA-ST-CFG-0109</t>
  </si>
  <si>
    <t>IA-ST-CFG-0065</t>
  </si>
  <si>
    <t>IA-ST-CFG-0113</t>
  </si>
  <si>
    <t>IA-ST-CFG-0159</t>
  </si>
  <si>
    <t>IA-ST-CFG-0207</t>
  </si>
  <si>
    <t>IA-ST-CFG-0130</t>
  </si>
  <si>
    <t>IA-ST-CFG-0084</t>
  </si>
  <si>
    <t>IA-ST-CFG-0066</t>
  </si>
  <si>
    <t>SDF (Yurt İçi)</t>
  </si>
  <si>
    <t>IA-ST-CFG-0205</t>
  </si>
  <si>
    <t>TAFE (Yurt İçi)</t>
  </si>
  <si>
    <t>IA-ST-CFG-0074</t>
  </si>
  <si>
    <t>IA-ST-CFG-0120</t>
  </si>
  <si>
    <t>IA-ST-CFG-0136</t>
  </si>
  <si>
    <t>IA-ST-CFG-0135</t>
  </si>
  <si>
    <t>IA-ST-CFG-0087</t>
  </si>
  <si>
    <t>IA-ST-CFG-0206</t>
  </si>
  <si>
    <t>HATTAT (Yurt İçi)</t>
  </si>
  <si>
    <t>IA-ST-CFG-0242</t>
  </si>
  <si>
    <t>IA-ST-CFG-0008</t>
  </si>
  <si>
    <t>IA-ST-CFG-0119</t>
  </si>
  <si>
    <t>IA-ST-CFG-0280</t>
  </si>
  <si>
    <t>IA-ST-CFG-0281</t>
  </si>
  <si>
    <t>IA-ST-CFG-0237</t>
  </si>
  <si>
    <t>IA-ST-CFG-0009</t>
  </si>
  <si>
    <t>IA-ST-CFG-0202</t>
  </si>
  <si>
    <t>LAMPA ITALY İTALYA</t>
  </si>
  <si>
    <t>IA-ST-CFG-0277</t>
  </si>
  <si>
    <t>IA-ST-CFG-0266</t>
  </si>
  <si>
    <t>IA-ST-CFG-0068</t>
  </si>
  <si>
    <t>IA-ST-CFG-0188</t>
  </si>
  <si>
    <t>IA-ST-CFG-0160</t>
  </si>
  <si>
    <t>IA-ST-CFG-0111</t>
  </si>
  <si>
    <t>YANMAR OEM (SOLİS) (Yurt İçi)</t>
  </si>
  <si>
    <t>TOFAŞ (Yurt Dışı)</t>
  </si>
  <si>
    <t>IA-ST-CFG-0019</t>
  </si>
  <si>
    <t>IA-ST-CFG-0018</t>
  </si>
  <si>
    <t>REDMAY URUGUAY</t>
  </si>
  <si>
    <t>IA-ST-CFG-0271</t>
  </si>
  <si>
    <t>IA-ST-CFG-0260</t>
  </si>
  <si>
    <t>IA-ST-CFG-0169</t>
  </si>
  <si>
    <t>IA-ST-CFG-0283</t>
  </si>
  <si>
    <t>YUASA AMERICA</t>
  </si>
  <si>
    <t>IA-ST-CFG-0140</t>
  </si>
  <si>
    <t>IA-ST-CFG-0245</t>
  </si>
  <si>
    <t>IA-ST-CFG-0154</t>
  </si>
  <si>
    <t>IA-ST-CFG-0157</t>
  </si>
  <si>
    <t>IA-ST-CFG-0124</t>
  </si>
  <si>
    <t>IA-ST-CFG-0192</t>
  </si>
  <si>
    <t>IA-ST-CFG-0138</t>
  </si>
  <si>
    <t>IA-ST-CFG-0090</t>
  </si>
  <si>
    <t>OTOKAR (Yurt İçi)</t>
  </si>
  <si>
    <t>IA-ST-CFG-0173</t>
  </si>
  <si>
    <t>IA-ST-CFG-0263</t>
  </si>
  <si>
    <t>IA-ST-CFG-0070</t>
  </si>
  <si>
    <t>FCA OES (Yurt Dışı)</t>
  </si>
  <si>
    <t>IA-ST-CFG-0107</t>
  </si>
  <si>
    <t>IA-ST-CFG-0276</t>
  </si>
  <si>
    <t>MECALAC OEM İZMİR (Yurt İçi)</t>
  </si>
  <si>
    <t>SKG İTALYA</t>
  </si>
  <si>
    <t>IA-ST-CFG-0275</t>
  </si>
  <si>
    <t>IA-ST-CFG-0269</t>
  </si>
  <si>
    <t>IA-ST-CFG-0239</t>
  </si>
  <si>
    <t>IA-ST-CFG-0198</t>
  </si>
  <si>
    <t>YUASA 3000 EXPORT TÜRKMENİSTAN</t>
  </si>
  <si>
    <t>IA-ST-CFG-0174</t>
  </si>
  <si>
    <t>DOMİNİK CUM.PERFORMANCE BATT.</t>
  </si>
  <si>
    <t>CAR PARTS DISTRIBUZIONE İTALYA</t>
  </si>
  <si>
    <t>IA-ST-CFG-0112</t>
  </si>
  <si>
    <t>IA-ST-CFG-0028</t>
  </si>
  <si>
    <t>IA-ST-CFG-0013</t>
  </si>
  <si>
    <t>IA-ST-CFG-0221</t>
  </si>
  <si>
    <t>IA-ST-CFG-0149</t>
  </si>
  <si>
    <t>IA-ST-CFG-0058</t>
  </si>
  <si>
    <t>IA-ST-CFG-0194</t>
  </si>
  <si>
    <t>IA-ST-CFG-0123</t>
  </si>
  <si>
    <t>IA-ST-CFG-0262</t>
  </si>
  <si>
    <t>IA-ST-CFG-0038</t>
  </si>
  <si>
    <t>IA-ST-CFG-0072</t>
  </si>
  <si>
    <t>IA-ST-CFG-0151</t>
  </si>
  <si>
    <t>IA-ST-CFG-0216</t>
  </si>
  <si>
    <t>IA-ST-CFG-0100</t>
  </si>
  <si>
    <t>IA-ST-CFG-0184</t>
  </si>
  <si>
    <t>IA-ST-CFG-0229</t>
  </si>
  <si>
    <t>IA-ST-CFG-0147</t>
  </si>
  <si>
    <t>IA-ST-CFG-0193</t>
  </si>
  <si>
    <t>IA-ST-CFG-0139</t>
  </si>
  <si>
    <t>IA-ST-CFG-0127</t>
  </si>
  <si>
    <t>IA-ST-CFG-0091</t>
  </si>
  <si>
    <t>IA-ST-CFG-0076</t>
  </si>
  <si>
    <t>CARANDA ROMANYA</t>
  </si>
  <si>
    <t>IA-ST-CFG-0083</t>
  </si>
  <si>
    <t>IA-ST-CFG-0125</t>
  </si>
  <si>
    <t>IA-ST-CFG-0103</t>
  </si>
  <si>
    <t>YUASA 9000 AGM EXPORT</t>
  </si>
  <si>
    <t>IA-ST-CFG-0106</t>
  </si>
  <si>
    <t>IA-ST-CFG-0078</t>
  </si>
  <si>
    <t>IA-ST-CFG-0063</t>
  </si>
  <si>
    <t>IA-ST-CFG-0046</t>
  </si>
  <si>
    <t>IA-ST-CFG-0045</t>
  </si>
  <si>
    <t>RAYA ENERGY INC. KANADA</t>
  </si>
  <si>
    <t>MISIR ALSAFA</t>
  </si>
  <si>
    <t>OTOMOTİV (Yurt İçi)</t>
  </si>
  <si>
    <t>IA-ST-CFG-0141</t>
  </si>
  <si>
    <t>IA-ST-CFG-0047</t>
  </si>
  <si>
    <t>IA-ST-CFG-0048</t>
  </si>
  <si>
    <t>MST İŞ MAKİNALARI (Yurt İçi)</t>
  </si>
  <si>
    <t>IA-ST-CFG-0243</t>
  </si>
  <si>
    <t>IA-ST-CFG-0214</t>
  </si>
  <si>
    <t>IA-ST-CFG-0088</t>
  </si>
  <si>
    <t>IA-ST-CFG-0255</t>
  </si>
  <si>
    <t>IA-ST-CFG-0191</t>
  </si>
  <si>
    <t>IA-ST-CFG-0218</t>
  </si>
  <si>
    <t>IA-ST-CFG-0061</t>
  </si>
  <si>
    <t>IA-ST-CFG-0137</t>
  </si>
  <si>
    <t>YUASA 3000</t>
  </si>
  <si>
    <t>IA-ST-CFG-0102</t>
  </si>
  <si>
    <t>IA-ST-CFG-0166</t>
  </si>
  <si>
    <t>IA-ST-CFG-0089</t>
  </si>
  <si>
    <t>HABAŞ OEM (Yurt İçi)</t>
  </si>
  <si>
    <t>IA-ST-CFG-0246</t>
  </si>
  <si>
    <t>IA-ST-CFG-0223</t>
  </si>
  <si>
    <t>IA-ST-CFG-0180</t>
  </si>
  <si>
    <t>IA-ST-CFG-0003</t>
  </si>
  <si>
    <t>IA-ST-CFG-0129</t>
  </si>
  <si>
    <t>IA-ST-CFG-0267</t>
  </si>
  <si>
    <t>IA-ST-CFG-0117</t>
  </si>
  <si>
    <t>TENAX OEM (Yurt İçi)</t>
  </si>
  <si>
    <t>IA-ST-CFG-0215</t>
  </si>
  <si>
    <t>IA-ST-CFG-0279</t>
  </si>
  <si>
    <t>IA-ST-CFG-0114</t>
  </si>
  <si>
    <t>HONDA OES (Yurt İçi)</t>
  </si>
  <si>
    <t>IA-ST-CFG-0161</t>
  </si>
  <si>
    <t>IA-ST-CFG-0189</t>
  </si>
  <si>
    <t>IA-ST-CFG-0094</t>
  </si>
  <si>
    <t>IA-ST-CFG-0034</t>
  </si>
  <si>
    <t>IA-ST-CFG-0049</t>
  </si>
  <si>
    <t>GS STARTAX FINLAND OY</t>
  </si>
  <si>
    <t>IA-ST-CFG-0031</t>
  </si>
  <si>
    <t>IA-ST-CFG-0021</t>
  </si>
  <si>
    <t>IA-ST-CFG-0092</t>
  </si>
  <si>
    <t>TOFAŞ K0 (Yurt İçi)</t>
  </si>
  <si>
    <t>IA-ST-CFG-0258</t>
  </si>
  <si>
    <t>IA-ST-CFG-0213</t>
  </si>
  <si>
    <t>ALONSA ELEC.GULF FZCO (DUBAI)</t>
  </si>
  <si>
    <t>IA-ST-CFG-0278</t>
  </si>
  <si>
    <t>IA-ST-CFG-0043</t>
  </si>
  <si>
    <t>IA-ST-CFG-0033</t>
  </si>
  <si>
    <t>IA-ST-CFG-0095</t>
  </si>
  <si>
    <t>ALEX ARABATZIS BSA(YUNANİSTAN)</t>
  </si>
  <si>
    <t>MULTISERVICIOSGOODWHEVENEZUELA</t>
  </si>
  <si>
    <t>GY ITALY</t>
  </si>
  <si>
    <t>IA-ST-CFG-0030</t>
  </si>
  <si>
    <t>IA-ST-CFG-0015</t>
  </si>
  <si>
    <t>IA-ST-CFG-0006</t>
  </si>
  <si>
    <t>CEYTECH İŞ MAKİNALARI OEM (Yurt İçi)</t>
  </si>
  <si>
    <t>IA-ST-CFG-0170</t>
  </si>
  <si>
    <t>IA-ST-CFG-0077</t>
  </si>
  <si>
    <t>IA-ST-CFG-0110</t>
  </si>
  <si>
    <t>IA-ST-CFG-0079</t>
  </si>
  <si>
    <t>IA-ST-CFG-0064</t>
  </si>
  <si>
    <t>CONEX ROMANYA</t>
  </si>
  <si>
    <t>IA-ST-CFG-0133</t>
  </si>
  <si>
    <t>IA-ST-CFG-0244</t>
  </si>
  <si>
    <t>IA-ST-CFG-0208</t>
  </si>
  <si>
    <t>IA-ST-CFG-0158</t>
  </si>
  <si>
    <t>IA-ST-CFG-0108</t>
  </si>
  <si>
    <t>IA-ST-CFG-0067</t>
  </si>
  <si>
    <t>IA-ST-CFG-0069</t>
  </si>
  <si>
    <t>IA-ST-CFG-0036</t>
  </si>
  <si>
    <t>IA-ST-CFG-0026</t>
  </si>
  <si>
    <t>IA-ST-CFG-0010</t>
  </si>
  <si>
    <t>IA-ST-CFG-0187</t>
  </si>
  <si>
    <t>İŞBİR JENERATÖR OEM (Yurt İçi)</t>
  </si>
  <si>
    <t>URZAT OTOMOTİV OEM (Yurt İçi)</t>
  </si>
  <si>
    <t>GY NRD (ADN BALTIC NORDIC)</t>
  </si>
  <si>
    <t>MERCEDES FRANSA</t>
  </si>
  <si>
    <t>IA-ST-CFG-0012</t>
  </si>
  <si>
    <t>AWAEL S.A.R.L. (LÜBNAN)</t>
  </si>
  <si>
    <t>FULL JENERATÖR OEM (Yurt İçi)</t>
  </si>
  <si>
    <t>IA-ST-CFG-0004</t>
  </si>
  <si>
    <t>CONTINENTAL USA</t>
  </si>
  <si>
    <t>IA-ST-CFG-0177</t>
  </si>
  <si>
    <t>IA-ST-CFG-0217</t>
  </si>
  <si>
    <t>IA-ST-CFG-0053</t>
  </si>
  <si>
    <t>Linked Product Codes</t>
  </si>
  <si>
    <t>Product Count</t>
  </si>
  <si>
    <t>Packaging Description</t>
  </si>
  <si>
    <t>BOM Line Count</t>
  </si>
  <si>
    <t>Configuration Status</t>
  </si>
  <si>
    <t>Origin</t>
  </si>
  <si>
    <t>Variant Basis TR</t>
  </si>
  <si>
    <t>Variant Basis EN</t>
  </si>
  <si>
    <t>Technical File ID</t>
  </si>
  <si>
    <t>EU DoC ID</t>
  </si>
  <si>
    <t>Label ID</t>
  </si>
  <si>
    <t>Shipment Statement ID</t>
  </si>
  <si>
    <t>TF Type No</t>
  </si>
  <si>
    <t>DoC Type No</t>
  </si>
  <si>
    <t>Label Type No</t>
  </si>
  <si>
    <t>STM Type No</t>
  </si>
  <si>
    <t>Notes</t>
  </si>
  <si>
    <t>Starter 12-unit | Euro Pallet 800×1200×152 mm | Variant 01</t>
  </si>
  <si>
    <t>CONTROLLED</t>
  </si>
  <si>
    <t>EXISTING_240</t>
  </si>
  <si>
    <t>C | Palet (4000038): 1 adet | Köşebent (4000590): 4 adet</t>
  </si>
  <si>
    <t>C | Pallet (4000038): 1 pc | Edge protector (4000590): 4 pcs</t>
  </si>
  <si>
    <t>IA-PPWR-TF-ST-012-EUR-01-R00</t>
  </si>
  <si>
    <t>IA-PPWR-DOC-ST-012-EUR-01-R00</t>
  </si>
  <si>
    <t>IA-PPWR-LBL-ST-012-EUR-01-R00</t>
  </si>
  <si>
    <t>IA-PPWR-STM-ST-012-EUR-01-R00</t>
  </si>
  <si>
    <t>YS/D/0020</t>
  </si>
  <si>
    <t>YS/D/0021</t>
  </si>
  <si>
    <t>YS/D/0022</t>
  </si>
  <si>
    <t>YS/D/0023</t>
  </si>
  <si>
    <t>Starter 12-unit | Euro Pallet 800×1200×152 mm | Variant 02</t>
  </si>
  <si>
    <t>L6 | Palet (4000038): 1 adet | Köşebent (4000590): 4 adet</t>
  </si>
  <si>
    <t>L6 | Pallet (4000038): 1 pc | Edge protector (4000590): 4 pcs</t>
  </si>
  <si>
    <t>IA-PPWR-TF-ST-012-EUR-02-R00</t>
  </si>
  <si>
    <t>IA-PPWR-DOC-ST-012-EUR-02-R00</t>
  </si>
  <si>
    <t>IA-PPWR-LBL-ST-012-EUR-02-R00</t>
  </si>
  <si>
    <t>IA-PPWR-STM-ST-012-EUR-02-R00</t>
  </si>
  <si>
    <t>1014904; 1014912</t>
  </si>
  <si>
    <t>Starter 12-unit | Euro Pallet 800×1200×152 mm | Variant 03</t>
  </si>
  <si>
    <t>C | Palet (4000038): 1 adet | Köşebent (4000590): 2 adet</t>
  </si>
  <si>
    <t>C | Pallet (4000038): 1 pc | Edge protector (4000590): 2 pcs</t>
  </si>
  <si>
    <t>IA-PPWR-TF-ST-012-EUR-03-R00</t>
  </si>
  <si>
    <t>IA-PPWR-DOC-ST-012-EUR-03-R00</t>
  </si>
  <si>
    <t>IA-PPWR-LBL-ST-012-EUR-03-R00</t>
  </si>
  <si>
    <t>IA-PPWR-STM-ST-012-EUR-03-R00</t>
  </si>
  <si>
    <t>Starter 18-unit | Euro Pallet 800×1200×152 mm | Variant 01</t>
  </si>
  <si>
    <t>C | Palet (4000038): 1 adet | Köşebent (4001160): 4 adet</t>
  </si>
  <si>
    <t>C | Pallet (4000038): 1 pc | Edge protector (4001160): 4 pcs</t>
  </si>
  <si>
    <t>IA-PPWR-TF-ST-018-EUR-01-R00</t>
  </si>
  <si>
    <t>IA-PPWR-DOC-ST-018-EUR-01-R00</t>
  </si>
  <si>
    <t>IA-PPWR-LBL-ST-018-EUR-01-R00</t>
  </si>
  <si>
    <t>IA-PPWR-STM-ST-018-EUR-01-R00</t>
  </si>
  <si>
    <t>1013644; 1014048; 1014710; 1014775</t>
  </si>
  <si>
    <t>Starter 18-unit | Euro Pallet 800×1200×152 mm | Variant 02</t>
  </si>
  <si>
    <t>IA-PPWR-TF-ST-018-EUR-02-R00</t>
  </si>
  <si>
    <t>IA-PPWR-DOC-ST-018-EUR-02-R00</t>
  </si>
  <si>
    <t>IA-PPWR-LBL-ST-018-EUR-02-R00</t>
  </si>
  <si>
    <t>IA-PPWR-STM-ST-018-EUR-02-R00</t>
  </si>
  <si>
    <t>1005176; 1008110; 1012516; 1013067; 1013281; 1013283; 1013312; 1013393; 1013442; 1013469; 1013682; 1013721; 1013733; 1014178; 1014392; 1014495; 1014685; 1014864; 1014865; 1014947; 1015049; 1015132; 1015166</t>
  </si>
  <si>
    <t>Starter 18-unit | Euro Pallet 800×1200×152 mm | Variant 03</t>
  </si>
  <si>
    <t>C | Palet (4000038): 1 adet | Shrink film (4000557): 1.08 kg | Köşebent (4000590): 2 adet</t>
  </si>
  <si>
    <t>C | Pallet (4000038): 1 pc | Shrink film (4000557): 1.08 kg | Edge protector (4000590): 2 pcs</t>
  </si>
  <si>
    <t>IA-PPWR-TF-ST-018-EUR-03-R00</t>
  </si>
  <si>
    <t>IA-PPWR-DOC-ST-018-EUR-03-R00</t>
  </si>
  <si>
    <t>IA-PPWR-LBL-ST-018-EUR-03-R00</t>
  </si>
  <si>
    <t>IA-PPWR-STM-ST-018-EUR-03-R00</t>
  </si>
  <si>
    <t>1014899; 1014902; 1014907; 1014910; 1015196; 1015200</t>
  </si>
  <si>
    <t>Starter 18-unit | Euro Pallet 800×1200×152 mm | Variant 04</t>
  </si>
  <si>
    <t>C | Palet (4000038): 1 adet | Honeycomb (4001186): 3 adet</t>
  </si>
  <si>
    <t>C | Pallet (4000038): 1 pc | Honeycomb (4001186): 3 pcs</t>
  </si>
  <si>
    <t>IA-PPWR-TF-ST-018-EUR-04-R00</t>
  </si>
  <si>
    <t>IA-PPWR-DOC-ST-018-EUR-04-R00</t>
  </si>
  <si>
    <t>IA-PPWR-LBL-ST-018-EUR-04-R00</t>
  </si>
  <si>
    <t>IA-PPWR-STM-ST-018-EUR-04-R00</t>
  </si>
  <si>
    <t>1006040; 1006041; 1014491; 1014964; 1014966; 1014969; 1014973</t>
  </si>
  <si>
    <t>Starter 18-unit | Euro Pallet 800×1200×152 mm | Variant 05</t>
  </si>
  <si>
    <t>C | Palet (4000038): 1 adet | Çember (4000450): kullanılmaz</t>
  </si>
  <si>
    <t>C | Pallet (4000038): 1 pc | Strap (4000450): not used</t>
  </si>
  <si>
    <t>IA-PPWR-TF-ST-018-EUR-05-R00</t>
  </si>
  <si>
    <t>IA-PPWR-DOC-ST-018-EUR-05-R00</t>
  </si>
  <si>
    <t>IA-PPWR-LBL-ST-018-EUR-05-R00</t>
  </si>
  <si>
    <t>IA-PPWR-STM-ST-018-EUR-05-R00</t>
  </si>
  <si>
    <t>Starter 18-unit | Euro,800*1200*152 | Type C</t>
  </si>
  <si>
    <t>NEW_VALIDATED_PHYSICAL</t>
  </si>
  <si>
    <t>IA-ST-CFG-0010 Product Variant 0023</t>
  </si>
  <si>
    <t>IA-PPWR-TF-ST-018-STD-01-R00</t>
  </si>
  <si>
    <t>IA-PPWR-DOC-ST-018-STD-01-R00</t>
  </si>
  <si>
    <t>IA-PPWR-LBL-ST-018-STD-01-R00</t>
  </si>
  <si>
    <t>IA-PPWR-STM-ST-018-STD-01-R00</t>
  </si>
  <si>
    <t>IA-ST-CFG-0011 Product Variant 0024</t>
  </si>
  <si>
    <t>IA-PPWR-TF-ST-018-STD-02-R00</t>
  </si>
  <si>
    <t>IA-PPWR-DOC-ST-018-STD-02-R00</t>
  </si>
  <si>
    <t>IA-PPWR-LBL-ST-018-STD-02-R00</t>
  </si>
  <si>
    <t>IA-PPWR-STM-ST-018-STD-02-R00</t>
  </si>
  <si>
    <t>Starter 21-unit | Euro Pallet 800×1200×152 mm | Variant 01</t>
  </si>
  <si>
    <t>B | B TİPİ PVC üst kapak (4000591): 21 adet</t>
  </si>
  <si>
    <t>B | B TİPİ PVC upper cover (4000591): 21 pcs</t>
  </si>
  <si>
    <t>IA-PPWR-TF-ST-021-EUR-01-R00</t>
  </si>
  <si>
    <t>IA-PPWR-DOC-ST-021-EUR-01-R00</t>
  </si>
  <si>
    <t>IA-PPWR-LBL-ST-021-EUR-01-R00</t>
  </si>
  <si>
    <t>IA-PPWR-STM-ST-021-EUR-01-R00</t>
  </si>
  <si>
    <t>1013643; 1014711; 1014774</t>
  </si>
  <si>
    <t>Starter 21-unit | Euro Pallet 800×1200×152 mm | Variant 02</t>
  </si>
  <si>
    <t>B | Palet (4000038): 1 adet | Köşebent (4000590): 4 adet</t>
  </si>
  <si>
    <t>B | Pallet (4000038): 1 pc | Edge protector (4000590): 4 pcs</t>
  </si>
  <si>
    <t>IA-PPWR-TF-ST-021-EUR-02-R00</t>
  </si>
  <si>
    <t>IA-PPWR-DOC-ST-021-EUR-02-R00</t>
  </si>
  <si>
    <t>IA-PPWR-LBL-ST-021-EUR-02-R00</t>
  </si>
  <si>
    <t>IA-PPWR-STM-ST-021-EUR-02-R00</t>
  </si>
  <si>
    <t>1003643; 1005175; 1007018; 1009116; 1013071; 1013276; 1013277; 1013280; 1013404; 1013549; 1013854; 1014153; 1014494; 1014686; 1014863; 1014946; 1014951; 1015036; 1015037; 1015131; 1015165; 1015260</t>
  </si>
  <si>
    <t>Starter 21-unit | Euro Pallet 800×1200×152 mm | Variant 03</t>
  </si>
  <si>
    <t>B | Palet (4000038): 1 adet | Shrink film (4000557): 1.155 kg | EPS (4001290): 21 adet</t>
  </si>
  <si>
    <t>B | Pallet (4000038): 1 pc | Shrink film (4000557): 1.155 kg | EPS (4001290): 21 pcs</t>
  </si>
  <si>
    <t>IA-PPWR-TF-ST-021-EUR-03-R00</t>
  </si>
  <si>
    <t>IA-PPWR-DOC-ST-021-EUR-03-R00</t>
  </si>
  <si>
    <t>IA-PPWR-LBL-ST-021-EUR-03-R00</t>
  </si>
  <si>
    <t>IA-PPWR-STM-ST-021-EUR-03-R00</t>
  </si>
  <si>
    <t>1014897; 1014898; 1014900; 1014901; 1014903; 1014905; 1014906; 1014908; 1014909; 1014911; 1015194; 1015195; 1015197; 1015198; 1015199; 1015201</t>
  </si>
  <si>
    <t>Starter 21-unit | Euro Pallet 800×1200×152 mm | Variant 04</t>
  </si>
  <si>
    <t>B | Palet (4000038): 1 adet | Honeycomb (4001186): 3 adet</t>
  </si>
  <si>
    <t>B | Pallet (4000038): 1 pc | Honeycomb (4001186): 3 pcs</t>
  </si>
  <si>
    <t>IA-PPWR-TF-ST-021-EUR-04-R00</t>
  </si>
  <si>
    <t>IA-PPWR-DOC-ST-021-EUR-04-R00</t>
  </si>
  <si>
    <t>IA-PPWR-LBL-ST-021-EUR-04-R00</t>
  </si>
  <si>
    <t>IA-PPWR-STM-ST-021-EUR-04-R00</t>
  </si>
  <si>
    <t>Starter 21-unit | Euro Pallet 800×1200×152 mm | Variant 05</t>
  </si>
  <si>
    <t>B | Palet (4000038): 1 adet | Shrink film (4000557): kullanılmaz | Köşebent (4000590): 2 adet | EPS (4001290): 21 adet</t>
  </si>
  <si>
    <t>B | Pallet (4000038): 1 pc | Shrink film (4000557): not used | Edge protector (4000590): 2 pcs | EPS (4001290): 21 pcs</t>
  </si>
  <si>
    <t>IA-PPWR-TF-ST-021-EUR-05-R00</t>
  </si>
  <si>
    <t>IA-PPWR-DOC-ST-021-EUR-05-R00</t>
  </si>
  <si>
    <t>IA-PPWR-LBL-ST-021-EUR-05-R00</t>
  </si>
  <si>
    <t>IA-PPWR-STM-ST-021-EUR-05-R00</t>
  </si>
  <si>
    <t>Starter 21-unit | Standard Pallet 1030×1110×152 mm | Variant 01</t>
  </si>
  <si>
    <t>C | Palet (4000037): 1 adet | Streç ped (4000301): 0.175 kg</t>
  </si>
  <si>
    <t>C | Pallet (4000037): 1 pc | Stretch pad (4000301): 0.175 kg</t>
  </si>
  <si>
    <t>IA-PPWR-TF-ST-021-STD-01-R00</t>
  </si>
  <si>
    <t>IA-PPWR-DOC-ST-021-STD-01-R00</t>
  </si>
  <si>
    <t>IA-PPWR-LBL-ST-021-STD-01-R00</t>
  </si>
  <si>
    <t>IA-PPWR-STM-ST-021-STD-01-R00</t>
  </si>
  <si>
    <t>Starter 21-unit | Standard Pallet 1030×1110×152 mm | Variant 02</t>
  </si>
  <si>
    <t>C | Palet (4000037): 1 adet | Köşebent (4000590): 4 adet</t>
  </si>
  <si>
    <t>C | Pallet (4000037): 1 pc | Edge protector (4000590): 4 pcs</t>
  </si>
  <si>
    <t>IA-PPWR-TF-ST-021-STD-02-R00</t>
  </si>
  <si>
    <t>IA-PPWR-DOC-ST-021-STD-02-R00</t>
  </si>
  <si>
    <t>IA-PPWR-LBL-ST-021-STD-02-R00</t>
  </si>
  <si>
    <t>IA-PPWR-STM-ST-021-STD-02-R00</t>
  </si>
  <si>
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</si>
  <si>
    <t>Starter 21-unit | Standard Pallet 1030×1110×152 mm | Variant 03</t>
  </si>
  <si>
    <t>C | Palet (4000037): 1 adet | Streç ped (4000301): 0.186 kg | Köşebent (4000590): 2 adet</t>
  </si>
  <si>
    <t>C | Pallet (4000037): 1 pc | Stretch pad (4000301): 0.186 kg | Edge protector (4000590): 2 pcs</t>
  </si>
  <si>
    <t>IA-PPWR-TF-ST-021-STD-03-R00</t>
  </si>
  <si>
    <t>IA-PPWR-DOC-ST-021-STD-03-R00</t>
  </si>
  <si>
    <t>IA-PPWR-LBL-ST-021-STD-03-R00</t>
  </si>
  <si>
    <t>IA-PPWR-STM-ST-021-STD-03-R00</t>
  </si>
  <si>
    <t>1000448; 1001102; 1003403; 1004304; 1009273; 1010069; 1010168; 1010199; 1010200; 1010202; 1014015; 1014017; 1014021; 1014066; 1014069; 1014071; 1014075; 1014078; 1014080; 1014364; 1014492; 1014573; 1014582; 1014592</t>
  </si>
  <si>
    <t>Starter 21-unit | Standard Pallet 1030×1110×152 mm | Variant 04</t>
  </si>
  <si>
    <t>C | Palet (4000037): 1 adet | Çember (4000450): kullanılmaz</t>
  </si>
  <si>
    <t>C | Pallet (4000037): 1 pc | Strap (4000450): not used</t>
  </si>
  <si>
    <t>IA-PPWR-TF-ST-021-STD-04-R00</t>
  </si>
  <si>
    <t>IA-PPWR-DOC-ST-021-STD-04-R00</t>
  </si>
  <si>
    <t>IA-PPWR-LBL-ST-021-STD-04-R00</t>
  </si>
  <si>
    <t>IA-PPWR-STM-ST-021-STD-04-R00</t>
  </si>
  <si>
    <t>Starter 21-unit | Standard Pallet 1030×1110×152 mm | Variant 05</t>
  </si>
  <si>
    <t>C | Palet (4000037): 1 adet | Shrink film (4001177): 0.597 kg</t>
  </si>
  <si>
    <t>C | Pallet (4000037): 1 pc | Shrink film (4001177): 0.597 kg</t>
  </si>
  <si>
    <t>IA-PPWR-TF-ST-021-STD-05-R00</t>
  </si>
  <si>
    <t>IA-PPWR-DOC-ST-021-STD-05-R00</t>
  </si>
  <si>
    <t>IA-PPWR-LBL-ST-021-STD-05-R00</t>
  </si>
  <si>
    <t>IA-PPWR-STM-ST-021-STD-05-R00</t>
  </si>
  <si>
    <t>Starter 21-unit | Standart,1030*1110*152 | Type C</t>
  </si>
  <si>
    <t>IA-ST-CFG-0022 Product Variant 0042</t>
  </si>
  <si>
    <t>IA-PPWR-TF-ST-021-STD-06-R00</t>
  </si>
  <si>
    <t>IA-PPWR-DOC-ST-021-STD-06-R00</t>
  </si>
  <si>
    <t>IA-PPWR-LBL-ST-021-STD-06-R00</t>
  </si>
  <si>
    <t>IA-PPWR-STM-ST-021-STD-06-R00</t>
  </si>
  <si>
    <t>Starter 21-unit | Euro,800*1200*152 | Type B</t>
  </si>
  <si>
    <t>IA-ST-CFG-0026 Product Variant 0050</t>
  </si>
  <si>
    <t>IA-PPWR-TF-ST-021-STD-07-R00</t>
  </si>
  <si>
    <t>IA-PPWR-DOC-ST-021-STD-07-R00</t>
  </si>
  <si>
    <t>IA-PPWR-LBL-ST-021-STD-07-R00</t>
  </si>
  <si>
    <t>IA-PPWR-STM-ST-021-STD-07-R00</t>
  </si>
  <si>
    <t>1006037; 1006039; 1014965; 1014968; 1014971; 1014972</t>
  </si>
  <si>
    <t>IA-ST-CFG-0032 Product Variant 0059</t>
  </si>
  <si>
    <t>IA-PPWR-TF-ST-021-STD-08-R00</t>
  </si>
  <si>
    <t>IA-PPWR-DOC-ST-021-STD-08-R00</t>
  </si>
  <si>
    <t>IA-PPWR-LBL-ST-021-STD-08-R00</t>
  </si>
  <si>
    <t>IA-PPWR-STM-ST-021-STD-08-R00</t>
  </si>
  <si>
    <t>Starter 24-unit | Euro Pallet 800×1200×152 mm | Variant 01</t>
  </si>
  <si>
    <t>TRACTOR | Palet (4000038): 1 adet | Honeycomb (4001186): 2 adet</t>
  </si>
  <si>
    <t>TRACTOR | Pallet (4000038): 1 pc | Honeycomb (4001186): 2 pcs</t>
  </si>
  <si>
    <t>IA-PPWR-TF-ST-024-EUR-01-R00</t>
  </si>
  <si>
    <t>IA-PPWR-DOC-ST-024-EUR-01-R00</t>
  </si>
  <si>
    <t>IA-PPWR-LBL-ST-024-EUR-01-R00</t>
  </si>
  <si>
    <t>IA-PPWR-STM-ST-024-EUR-01-R00</t>
  </si>
  <si>
    <t>Starter 24-unit | Euro Pallet 800×1200×152 mm | Variant 02</t>
  </si>
  <si>
    <t>A | A TİPİ VAKUM PVC PVC üst kapak (4000720): 24 adet</t>
  </si>
  <si>
    <t>A | A TİPİ VAKUM PVC PVC upper cover (4000720): 24 pcs</t>
  </si>
  <si>
    <t>IA-PPWR-TF-ST-024-EUR-02-R00</t>
  </si>
  <si>
    <t>IA-PPWR-DOC-ST-024-EUR-02-R00</t>
  </si>
  <si>
    <t>IA-PPWR-LBL-ST-024-EUR-02-R00</t>
  </si>
  <si>
    <t>IA-PPWR-STM-ST-024-EUR-02-R00</t>
  </si>
  <si>
    <t>1013857; 1014085</t>
  </si>
  <si>
    <t>Starter 24-unit | Euro Pallet 800×1200×152 mm | Variant 03</t>
  </si>
  <si>
    <t>A | Palet (4000038): 1 adet | Köşebent (4000590): 4 adet</t>
  </si>
  <si>
    <t>A | Pallet (4000038): 1 pc | Edge protector (4000590): 4 pcs</t>
  </si>
  <si>
    <t>IA-PPWR-TF-ST-024-EUR-03-R00</t>
  </si>
  <si>
    <t>IA-PPWR-DOC-ST-024-EUR-03-R00</t>
  </si>
  <si>
    <t>IA-PPWR-LBL-ST-024-EUR-03-R00</t>
  </si>
  <si>
    <t>IA-PPWR-STM-ST-024-EUR-03-R00</t>
  </si>
  <si>
    <t>1007017; 1008113; 1011307; 1011586; 1013274; 1013275; 1013542; 1013546; 1014026; 1014152; 1014391; 1014612; 1014687; 1014861; 1014862; 1014945; 1015035; 1015130</t>
  </si>
  <si>
    <t>Starter 24-unit | Euro Pallet 800×1200×152 mm | Variant 04</t>
  </si>
  <si>
    <t>A | Palet (4000038): 1 adet | Köşebent (4000590): 2 adet</t>
  </si>
  <si>
    <t>A | Pallet (4000038): 1 pc | Edge protector (4000590): 2 pcs</t>
  </si>
  <si>
    <t>IA-PPWR-TF-ST-024-EUR-04-R00</t>
  </si>
  <si>
    <t>IA-PPWR-DOC-ST-024-EUR-04-R00</t>
  </si>
  <si>
    <t>IA-PPWR-LBL-ST-024-EUR-04-R00</t>
  </si>
  <si>
    <t>IA-PPWR-STM-ST-024-EUR-04-R00</t>
  </si>
  <si>
    <t>Starter 24-unit | Standard Pallet 1030×1110×152 mm | Variant 01</t>
  </si>
  <si>
    <t>C | Palet (4000037): 1 adet | EPS (4001281): 24 adet</t>
  </si>
  <si>
    <t>C | Pallet (4000037): 1 pc | EPS (4001281): 24 pcs</t>
  </si>
  <si>
    <t>IA-PPWR-TF-ST-024-STD-01-R00</t>
  </si>
  <si>
    <t>IA-PPWR-DOC-ST-024-STD-01-R00</t>
  </si>
  <si>
    <t>IA-PPWR-LBL-ST-024-STD-01-R00</t>
  </si>
  <si>
    <t>IA-PPWR-STM-ST-024-STD-01-R00</t>
  </si>
  <si>
    <t>Starter 24-unit | Euro,800*1200*152 | Type A</t>
  </si>
  <si>
    <t>IA-ST-CFG-0036 Product Variant 0063</t>
  </si>
  <si>
    <t>IA-PPWR-TF-ST-024-STD-02-R00</t>
  </si>
  <si>
    <t>IA-PPWR-DOC-ST-024-STD-02-R00</t>
  </si>
  <si>
    <t>IA-PPWR-LBL-ST-024-STD-02-R00</t>
  </si>
  <si>
    <t>IA-PPWR-STM-ST-024-STD-02-R00</t>
  </si>
  <si>
    <t>1006036; 1014967; 1014970</t>
  </si>
  <si>
    <t>IA-ST-CFG-0040 Product Variant 0068</t>
  </si>
  <si>
    <t>IA-PPWR-TF-ST-024-STD-03-R00</t>
  </si>
  <si>
    <t>IA-PPWR-DOC-ST-024-STD-03-R00</t>
  </si>
  <si>
    <t>IA-PPWR-LBL-ST-024-STD-03-R00</t>
  </si>
  <si>
    <t>IA-PPWR-STM-ST-024-STD-03-R00</t>
  </si>
  <si>
    <t>Starter 24-unit | Euro,800*1200*152 | Type L6</t>
  </si>
  <si>
    <t>IA-ST-CFG-0041 Product Variant 0069</t>
  </si>
  <si>
    <t>IA-PPWR-TF-ST-024-STD-04-R00</t>
  </si>
  <si>
    <t>IA-PPWR-DOC-ST-024-STD-04-R00</t>
  </si>
  <si>
    <t>IA-PPWR-LBL-ST-024-STD-04-R00</t>
  </si>
  <si>
    <t>IA-PPWR-STM-ST-024-STD-04-R00</t>
  </si>
  <si>
    <t>Starter 27-unit | Standard Pallet 1000×900 mm | Variant 01</t>
  </si>
  <si>
    <t>TANK | TANK PVC üst kapak (4000493): 27 adet | Çember (4000450): 7 m</t>
  </si>
  <si>
    <t>TANK | TANK PVC upper cover (4000493): 27 pcs | Strap (4000450): 7 m</t>
  </si>
  <si>
    <t>IA-PPWR-TF-ST-027-STD90-01-R00</t>
  </si>
  <si>
    <t>IA-PPWR-DOC-ST-027-STD90-01-R00</t>
  </si>
  <si>
    <t>IA-PPWR-LBL-ST-027-STD90-01-R00</t>
  </si>
  <si>
    <t>IA-PPWR-STM-ST-027-STD90-01-R00</t>
  </si>
  <si>
    <t>Starter 27-unit | Standard Pallet 1000×900 mm | Variant 02</t>
  </si>
  <si>
    <t>TANK | TANK PVC üst kapak (4000493): 27 adet | Çember (4000450): kullanılmaz</t>
  </si>
  <si>
    <t>TANK | TANK PVC upper cover (4000493): 27 pcs | Strap (4000450): not used</t>
  </si>
  <si>
    <t>IA-PPWR-TF-ST-027-STD90-02-R00</t>
  </si>
  <si>
    <t>IA-PPWR-DOC-ST-027-STD90-02-R00</t>
  </si>
  <si>
    <t>IA-PPWR-LBL-ST-027-STD90-02-R00</t>
  </si>
  <si>
    <t>IA-PPWR-STM-ST-027-STD90-02-R00</t>
  </si>
  <si>
    <t>Starter 28-unit | Standard Pallet 1030×1110×152 mm | Variant 01</t>
  </si>
  <si>
    <t>L6 | Palet (4000037): 1 adet | Shrink film (4000608): 1.12 kg</t>
  </si>
  <si>
    <t>L6 | Pallet (4000037): 1 pc | Shrink film (4000608): 1.12 kg</t>
  </si>
  <si>
    <t>IA-PPWR-TF-ST-028-STD-01-R00</t>
  </si>
  <si>
    <t>IA-PPWR-DOC-ST-028-STD-01-R00</t>
  </si>
  <si>
    <t>IA-PPWR-LBL-ST-028-STD-01-R00</t>
  </si>
  <si>
    <t>IA-PPWR-STM-ST-028-STD-01-R00</t>
  </si>
  <si>
    <t>Starter 30-unit | Standard Pallet 1030×1110×152 mm | Variant 01</t>
  </si>
  <si>
    <t>L5 | Palet (4000037): 1 adet | Shrink film (4000608): 1.2 kg</t>
  </si>
  <si>
    <t>L5 | Pallet (4000037): 1 pc | Shrink film (4000608): 1.2 kg</t>
  </si>
  <si>
    <t>IA-PPWR-TF-ST-030-STD-01-R00</t>
  </si>
  <si>
    <t>IA-PPWR-DOC-ST-030-STD-01-R00</t>
  </si>
  <si>
    <t>IA-PPWR-LBL-ST-030-STD-01-R00</t>
  </si>
  <si>
    <t>IA-PPWR-STM-ST-030-STD-01-R00</t>
  </si>
  <si>
    <t>1014374; 1014782</t>
  </si>
  <si>
    <t>Starter 30-unit | Standard Pallet 1030×1110×152 mm | Variant 02</t>
  </si>
  <si>
    <t>A | Palet (4000037): 1 adet | Shrink film (4000557): 1.65 kg | Köşebent (4000590): 4 adet</t>
  </si>
  <si>
    <t>A | Pallet (4000037): 1 pc | Shrink film (4000557): 1.65 kg | Edge protector (4000590): 4 pcs</t>
  </si>
  <si>
    <t>IA-PPWR-TF-ST-030-STD-02-R00</t>
  </si>
  <si>
    <t>IA-PPWR-DOC-ST-030-STD-02-R00</t>
  </si>
  <si>
    <t>IA-PPWR-LBL-ST-030-STD-02-R00</t>
  </si>
  <si>
    <t>IA-PPWR-STM-ST-030-STD-02-R00</t>
  </si>
  <si>
    <t>1014375; 1014783</t>
  </si>
  <si>
    <t>Starter 30-unit | Standard Pallet 1030×1110×152 mm | Variant 03</t>
  </si>
  <si>
    <t>B | Palet (4000037): 1 adet | Shrink film (4000557): 1.65 kg | Köşebent (4000590): 4 adet</t>
  </si>
  <si>
    <t>B | Pallet (4000037): 1 pc | Shrink film (4000557): 1.65 kg | Edge protector (4000590): 4 pcs</t>
  </si>
  <si>
    <t>IA-PPWR-TF-ST-030-STD-03-R00</t>
  </si>
  <si>
    <t>IA-PPWR-DOC-ST-030-STD-03-R00</t>
  </si>
  <si>
    <t>IA-PPWR-LBL-ST-030-STD-03-R00</t>
  </si>
  <si>
    <t>IA-PPWR-STM-ST-030-STD-03-R00</t>
  </si>
  <si>
    <t>1014727; 1015310</t>
  </si>
  <si>
    <t>Starter 30-unit | Standard Pallet 1030×1110×152 mm | Variant 04</t>
  </si>
  <si>
    <t>A | Palet (4000037): 1 adet | Shrink film (4000557): kullanılmaz | Köşebent (4000590): 4 adet</t>
  </si>
  <si>
    <t>A | Pallet (4000037): 1 pc | Shrink film (4000557): not used | Edge protector (4000590): 4 pcs</t>
  </si>
  <si>
    <t>IA-PPWR-TF-ST-030-STD-04-R00</t>
  </si>
  <si>
    <t>IA-PPWR-DOC-ST-030-STD-04-R00</t>
  </si>
  <si>
    <t>IA-PPWR-LBL-ST-030-STD-04-R00</t>
  </si>
  <si>
    <t>IA-PPWR-STM-ST-030-STD-04-R00</t>
  </si>
  <si>
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</si>
  <si>
    <t>Starter 30-unit | Standard Pallet 1030×1110×152 mm | Variant 05</t>
  </si>
  <si>
    <t>A | Palet (4000037): 1 adet | Köşebent (4000590): 2 adet</t>
  </si>
  <si>
    <t>A | Pallet (4000037): 1 pc | Edge protector (4000590): 2 pcs</t>
  </si>
  <si>
    <t>IA-PPWR-TF-ST-030-STD-05-R00</t>
  </si>
  <si>
    <t>IA-PPWR-DOC-ST-030-STD-05-R00</t>
  </si>
  <si>
    <t>IA-PPWR-LBL-ST-030-STD-05-R00</t>
  </si>
  <si>
    <t>IA-PPWR-STM-ST-030-STD-05-R00</t>
  </si>
  <si>
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</si>
  <si>
    <t>Starter 30-unit | Standard Pallet 1030×1110×152 mm | Variant 06</t>
  </si>
  <si>
    <t>B | Palet (4000037): 1 adet | Köşebent (4000590): 2 adet</t>
  </si>
  <si>
    <t>B | Pallet (4000037): 1 pc | Edge protector (4000590): 2 pcs</t>
  </si>
  <si>
    <t>IA-PPWR-TF-ST-030-STD-06-R00</t>
  </si>
  <si>
    <t>IA-PPWR-DOC-ST-030-STD-06-R00</t>
  </si>
  <si>
    <t>IA-PPWR-LBL-ST-030-STD-06-R00</t>
  </si>
  <si>
    <t>IA-PPWR-STM-ST-030-STD-06-R00</t>
  </si>
  <si>
    <t>Starter 30-unit | Standard Pallet 1030×1110×152 mm | Variant 07</t>
  </si>
  <si>
    <t>B | Palet (4000037): 1 adet | Çember (4000450): 7 m | Köşebent (4000590): 4 adet</t>
  </si>
  <si>
    <t>B | Pallet (4000037): 1 pc | Strap (4000450): 7 m | Edge protector (4000590): 4 pcs</t>
  </si>
  <si>
    <t>IA-PPWR-TF-ST-030-STD-07-R00</t>
  </si>
  <si>
    <t>IA-PPWR-DOC-ST-030-STD-07-R00</t>
  </si>
  <si>
    <t>IA-PPWR-LBL-ST-030-STD-07-R00</t>
  </si>
  <si>
    <t>IA-PPWR-STM-ST-030-STD-07-R00</t>
  </si>
  <si>
    <t>1000441; 1000442; 1004293; 1010195; 1010205; 1014013; 1014018; 1014063; 1014067; 1014076; 1014307; 1014580; 1014590</t>
  </si>
  <si>
    <t>Starter 30-unit | Standard Pallet 1030×1110×152 mm | Variant 08</t>
  </si>
  <si>
    <t>A | Palet (4000037): 1 adet | Çember (4000450): kullanılmaz</t>
  </si>
  <si>
    <t>A | Pallet (4000037): 1 pc | Strap (4000450): not used</t>
  </si>
  <si>
    <t>IA-PPWR-TF-ST-030-STD-08-R00</t>
  </si>
  <si>
    <t>IA-PPWR-DOC-ST-030-STD-08-R00</t>
  </si>
  <si>
    <t>IA-PPWR-LBL-ST-030-STD-08-R00</t>
  </si>
  <si>
    <t>IA-PPWR-STM-ST-030-STD-08-R00</t>
  </si>
  <si>
    <t>1000445; 1004031; 1004234; 1004297; 1009270; 1009271; 1010194; 1010196; 1010198; 1014014; 1014016; 1014019; 1014020; 1014064; 1014065; 1014068; 1014070; 1014077; 1014581; 1014591</t>
  </si>
  <si>
    <t>Starter 30-unit | Standard Pallet 1030×1110×152 mm | Variant 09</t>
  </si>
  <si>
    <t>B | Palet (4000037): 1 adet | Çember (4000450): kullanılmaz</t>
  </si>
  <si>
    <t>B | Pallet (4000037): 1 pc | Strap (4000450): not used</t>
  </si>
  <si>
    <t>IA-PPWR-TF-ST-030-STD-09-R00</t>
  </si>
  <si>
    <t>IA-PPWR-DOC-ST-030-STD-09-R00</t>
  </si>
  <si>
    <t>IA-PPWR-LBL-ST-030-STD-09-R00</t>
  </si>
  <si>
    <t>IA-PPWR-STM-ST-030-STD-09-R00</t>
  </si>
  <si>
    <t>1010003; 1010398</t>
  </si>
  <si>
    <t>Starter 30-unit | Standard Pallet 1030×1110×152 mm | Variant 10</t>
  </si>
  <si>
    <t>A | Palet (4000037): 1 adet | Shrink film (4001177): 0.597 kg</t>
  </si>
  <si>
    <t>A | Pallet (4000037): 1 pc | Shrink film (4001177): 0.597 kg</t>
  </si>
  <si>
    <t>IA-PPWR-TF-ST-030-STD-10-R00</t>
  </si>
  <si>
    <t>IA-PPWR-DOC-ST-030-STD-10-R00</t>
  </si>
  <si>
    <t>IA-PPWR-LBL-ST-030-STD-10-R00</t>
  </si>
  <si>
    <t>IA-PPWR-STM-ST-030-STD-10-R00</t>
  </si>
  <si>
    <t>1010000; 1010002; 1010399</t>
  </si>
  <si>
    <t>Starter 30-unit | Standard Pallet 1030×1110×152 mm | Variant 11</t>
  </si>
  <si>
    <t>B | Palet (4000037): 1 adet | Shrink film (4001177): 0.597 kg</t>
  </si>
  <si>
    <t>B | Pallet (4000037): 1 pc | Shrink film (4001177): 0.597 kg</t>
  </si>
  <si>
    <t>IA-PPWR-TF-ST-030-STD-11-R00</t>
  </si>
  <si>
    <t>IA-PPWR-DOC-ST-030-STD-11-R00</t>
  </si>
  <si>
    <t>IA-PPWR-LBL-ST-030-STD-11-R00</t>
  </si>
  <si>
    <t>IA-PPWR-STM-ST-030-STD-11-R00</t>
  </si>
  <si>
    <t>Starter 30-unit | Standart,1030*1110*152 | Type B</t>
  </si>
  <si>
    <t>IA-ST-CFG-0050 Product Variant 0078</t>
  </si>
  <si>
    <t>IA-PPWR-TF-ST-030-STD-12-R00</t>
  </si>
  <si>
    <t>IA-PPWR-DOC-ST-030-STD-12-R00</t>
  </si>
  <si>
    <t>IA-PPWR-LBL-ST-030-STD-12-R00</t>
  </si>
  <si>
    <t>IA-PPWR-STM-ST-030-STD-12-R00</t>
  </si>
  <si>
    <t>1013738; 1014493; 1014546</t>
  </si>
  <si>
    <t>Starter 33-unit | Euro Pallet 800×1200×152 mm | Variant 01</t>
  </si>
  <si>
    <t>IA-PPWR-TF-ST-033-EUR-01-R00</t>
  </si>
  <si>
    <t>IA-PPWR-DOC-ST-033-EUR-01-R00</t>
  </si>
  <si>
    <t>IA-PPWR-LBL-ST-033-EUR-01-R00</t>
  </si>
  <si>
    <t>IA-PPWR-STM-ST-033-EUR-01-R00</t>
  </si>
  <si>
    <t>1012648; 1012649</t>
  </si>
  <si>
    <t>Starter 34-unit | Standard Pallet 1030×1110×152 mm | Variant 01</t>
  </si>
  <si>
    <t>D31 | D31 YUASA penceresiz Orta Doğu dış koli (4001108): 34 adet</t>
  </si>
  <si>
    <t>D31 | D31 YUASA windowless Middle East outer carton (4001108): 34 pcs</t>
  </si>
  <si>
    <t>IA-PPWR-TF-ST-034-STD-01-R00</t>
  </si>
  <si>
    <t>IA-PPWR-DOC-ST-034-STD-01-R00</t>
  </si>
  <si>
    <t>IA-PPWR-LBL-ST-034-STD-01-R00</t>
  </si>
  <si>
    <t>IA-PPWR-STM-ST-034-STD-01-R00</t>
  </si>
  <si>
    <t>Starter 34-unit | Standard Pallet 1030×1110×152 mm | Variant 02</t>
  </si>
  <si>
    <t>L4 | L4 YUASA penceresiz Orta Doğu dış koli (4001313): 34 adet</t>
  </si>
  <si>
    <t>L4 | L4 YUASA windowless Middle East outer carton (4001313): 34 pcs</t>
  </si>
  <si>
    <t>IA-PPWR-TF-ST-034-STD-02-R00</t>
  </si>
  <si>
    <t>IA-PPWR-DOC-ST-034-STD-02-R00</t>
  </si>
  <si>
    <t>IA-PPWR-LBL-ST-034-STD-02-R00</t>
  </si>
  <si>
    <t>IA-PPWR-STM-ST-034-STD-02-R00</t>
  </si>
  <si>
    <t>Starter 36-unit | Euro Pallet 800×1200×152 mm | Variant 01</t>
  </si>
  <si>
    <t>L6 | L6 İnci AGM LEO 105AH940A pencereli dış koli (4001360): 36 adet</t>
  </si>
  <si>
    <t>L6 | L6 İnci AGM LEO 105AH940A windowed outer carton (4001360): 36 pcs</t>
  </si>
  <si>
    <t>IA-PPWR-TF-ST-036-EUR-01-R00</t>
  </si>
  <si>
    <t>IA-PPWR-DOC-ST-036-EUR-01-R00</t>
  </si>
  <si>
    <t>IA-PPWR-LBL-ST-036-EUR-01-R00</t>
  </si>
  <si>
    <t>IA-PPWR-STM-ST-036-EUR-01-R00</t>
  </si>
  <si>
    <t>Starter 36-unit | Euro Pallet 800×1200×152 mm | Variant 02</t>
  </si>
  <si>
    <t>NS40 | Palet (4000038): 1 adet | EPS (4000573): 8 adet</t>
  </si>
  <si>
    <t>NS40 | Pallet (4000038): 1 pc | EPS (4000573): 8 pcs</t>
  </si>
  <si>
    <t>IA-PPWR-TF-ST-036-EUR-02-R00</t>
  </si>
  <si>
    <t>IA-PPWR-DOC-ST-036-EUR-02-R00</t>
  </si>
  <si>
    <t>IA-PPWR-LBL-ST-036-EUR-02-R00</t>
  </si>
  <si>
    <t>IA-PPWR-STM-ST-036-EUR-02-R00</t>
  </si>
  <si>
    <t>1012682; 1012683; 1014929; 1015054; 1015055; 1015056; 1015058</t>
  </si>
  <si>
    <t>Starter 36-unit | Euro Pallet 800×1200×152 mm | Variant 03</t>
  </si>
  <si>
    <t>L6, L5 | Palet (4000038): 1 adet | Köşebent (4000590): 4 adet</t>
  </si>
  <si>
    <t>L6, L5 | Pallet (4000038): 1 pc | Edge protector (4000590): 4 pcs</t>
  </si>
  <si>
    <t>IA-PPWR-TF-ST-036-EUR-03-R00</t>
  </si>
  <si>
    <t>IA-PPWR-DOC-ST-036-EUR-03-R00</t>
  </si>
  <si>
    <t>IA-PPWR-LBL-ST-036-EUR-03-R00</t>
  </si>
  <si>
    <t>IA-PPWR-STM-ST-036-EUR-03-R00</t>
  </si>
  <si>
    <t>1012969; 1013538; 1013737; 1014253; 1014254; 1014408; 1014420; 1014422; 1014426; 1014432; 1014457; 1014463; 1014536; 1014537; 1014545; 1014754; 1014962; 1015001; 1015033; 1015093; 1015183; 1015229; 1015230; 1015231; 1015244; 1015245; 1015246</t>
  </si>
  <si>
    <t>Starter 36-unit | Euro Pallet 800×1200×152 mm | Variant 04</t>
  </si>
  <si>
    <t>L5, L6, LB5 | Palet (4000038): 1 adet | Köşebent (4000590): 4 adet</t>
  </si>
  <si>
    <t>L5, L6, LB5 | Pallet (4000038): 1 pc | Edge protector (4000590): 4 pcs</t>
  </si>
  <si>
    <t>IA-PPWR-TF-ST-036-EUR-04-R00</t>
  </si>
  <si>
    <t>IA-PPWR-DOC-ST-036-EUR-04-R00</t>
  </si>
  <si>
    <t>IA-PPWR-LBL-ST-036-EUR-04-R00</t>
  </si>
  <si>
    <t>IA-PPWR-STM-ST-036-EUR-04-R00</t>
  </si>
  <si>
    <t>1013405; 1014690; 1014944</t>
  </si>
  <si>
    <t>Starter 36-unit | Euro Pallet 800×1200×152 mm | Variant 05</t>
  </si>
  <si>
    <t>TRACTORL | TRAKTÖR PVC üst kapak (4000494): 36 adet</t>
  </si>
  <si>
    <t>TRACTORL | TRAKTÖR PVC upper cover (4000494): 36 pcs</t>
  </si>
  <si>
    <t>IA-PPWR-TF-ST-036-EUR-05-R00</t>
  </si>
  <si>
    <t>IA-PPWR-DOC-ST-036-EUR-05-R00</t>
  </si>
  <si>
    <t>IA-PPWR-LBL-ST-036-EUR-05-R00</t>
  </si>
  <si>
    <t>IA-PPWR-STM-ST-036-EUR-05-R00</t>
  </si>
  <si>
    <t>1012615; 1012620; 1013185; 1013461; 1013872; 1014167; 1014499; 1014998; 1015269</t>
  </si>
  <si>
    <t>Starter 36-unit | Euro Pallet 800×1200×152 mm | Variant 06</t>
  </si>
  <si>
    <t>L6, L5 | Palet (4000038): 1 adet | Köşebent (4000590): 2 adet | Shrink film (4000608): 1.44 kg</t>
  </si>
  <si>
    <t>L6, L5 | Pallet (4000038): 1 pc | Edge protector (4000590): 2 pcs | Shrink film (4000608): 1.44 kg</t>
  </si>
  <si>
    <t>IA-PPWR-TF-ST-036-EUR-06-R00</t>
  </si>
  <si>
    <t>IA-PPWR-DOC-ST-036-EUR-06-R00</t>
  </si>
  <si>
    <t>IA-PPWR-LBL-ST-036-EUR-06-R00</t>
  </si>
  <si>
    <t>IA-PPWR-STM-ST-036-EUR-06-R00</t>
  </si>
  <si>
    <t>1013914; 1013964; 1014046; 1014052; 1014053; 1014558; 1015118</t>
  </si>
  <si>
    <t>Starter 36-unit | Euro Pallet 800×1200×152 mm | Variant 07</t>
  </si>
  <si>
    <t>L6, L5 | Palet (4000038): 1 adet | Shrink film (4000608): kullanılmaz</t>
  </si>
  <si>
    <t>L6, L5 | Pallet (4000038): 1 pc | Shrink film (4000608): not used</t>
  </si>
  <si>
    <t>IA-PPWR-TF-ST-036-EUR-07-R00</t>
  </si>
  <si>
    <t>IA-PPWR-DOC-ST-036-EUR-07-R00</t>
  </si>
  <si>
    <t>IA-PPWR-LBL-ST-036-EUR-07-R00</t>
  </si>
  <si>
    <t>IA-PPWR-STM-ST-036-EUR-07-R00</t>
  </si>
  <si>
    <t>Starter 36-unit | Standard Pallet 1030×1110×152 mm | Variant 01</t>
  </si>
  <si>
    <t>L3 | L3 YUASA penceresiz Orta Doğu dış koli (4001103): 36 adet</t>
  </si>
  <si>
    <t>L3 | L3 YUASA windowless Middle East outer carton (4001103): 36 pcs</t>
  </si>
  <si>
    <t>IA-PPWR-TF-ST-036-STD-01-R00</t>
  </si>
  <si>
    <t>IA-PPWR-DOC-ST-036-STD-01-R00</t>
  </si>
  <si>
    <t>IA-PPWR-LBL-ST-036-STD-01-R00</t>
  </si>
  <si>
    <t>IA-PPWR-STM-ST-036-STD-01-R00</t>
  </si>
  <si>
    <t>Starter 36-unit | Standard Pallet 1030×1110×152 mm | Variant 02</t>
  </si>
  <si>
    <t>L4 | Palet (4000037): 1 adet | Separatör (4000130): 3 adet</t>
  </si>
  <si>
    <t>L4 | Pallet (4000037): 1 pc | Separator (4000130): 3 pcs</t>
  </si>
  <si>
    <t>IA-PPWR-TF-ST-036-STD-02-R00</t>
  </si>
  <si>
    <t>IA-PPWR-DOC-ST-036-STD-02-R00</t>
  </si>
  <si>
    <t>IA-PPWR-LBL-ST-036-STD-02-R00</t>
  </si>
  <si>
    <t>IA-PPWR-STM-ST-036-STD-02-R00</t>
  </si>
  <si>
    <t>Starter 36-unit | Standard Pallet 1030×1110×152 mm | Variant 03</t>
  </si>
  <si>
    <t>L4 | Palet (4000037): 1 adet | Separatör (4000130): 4 adet</t>
  </si>
  <si>
    <t>L4 | Pallet (4000037): 1 pc | Separator (4000130): 4 pcs</t>
  </si>
  <si>
    <t>IA-PPWR-TF-ST-036-STD-03-R00</t>
  </si>
  <si>
    <t>IA-PPWR-DOC-ST-036-STD-03-R00</t>
  </si>
  <si>
    <t>IA-PPWR-LBL-ST-036-STD-03-R00</t>
  </si>
  <si>
    <t>IA-PPWR-STM-ST-036-STD-03-R00</t>
  </si>
  <si>
    <t>Starter 36-unit | Euro,800*1200*152 | Type TRACTORL</t>
  </si>
  <si>
    <t>IA-ST-CFG-0067 Product Variant 0103</t>
  </si>
  <si>
    <t>IA-PPWR-TF-ST-036-STD-04-R00</t>
  </si>
  <si>
    <t>IA-PPWR-DOC-ST-036-STD-04-R00</t>
  </si>
  <si>
    <t>IA-PPWR-LBL-ST-036-STD-04-R00</t>
  </si>
  <si>
    <t>IA-PPWR-STM-ST-036-STD-04-R00</t>
  </si>
  <si>
    <t>Starter 36-unit | Euro,800*1200*152 | Type L6</t>
  </si>
  <si>
    <t>IA-ST-CFG-0069 Product Variant 0109</t>
  </si>
  <si>
    <t>IA-PPWR-TF-ST-036-STD-05-R00</t>
  </si>
  <si>
    <t>IA-PPWR-DOC-ST-036-STD-05-R00</t>
  </si>
  <si>
    <t>IA-PPWR-LBL-ST-036-STD-05-R00</t>
  </si>
  <si>
    <t>IA-PPWR-STM-ST-036-STD-05-R00</t>
  </si>
  <si>
    <t>IA-ST-CFG-0073 Product Variant 0123</t>
  </si>
  <si>
    <t>IA-PPWR-TF-ST-036-STD-06-R00</t>
  </si>
  <si>
    <t>IA-PPWR-DOC-ST-036-STD-06-R00</t>
  </si>
  <si>
    <t>IA-PPWR-LBL-ST-036-STD-06-R00</t>
  </si>
  <si>
    <t>IA-PPWR-STM-ST-036-STD-06-R00</t>
  </si>
  <si>
    <t>Starter 36-unit | Euro,800*1200*152 | Type L5, L6</t>
  </si>
  <si>
    <t>IA-ST-CFG-0074 Product Variant 0124</t>
  </si>
  <si>
    <t>IA-PPWR-TF-ST-036-STD-07-R00</t>
  </si>
  <si>
    <t>IA-PPWR-DOC-ST-036-STD-07-R00</t>
  </si>
  <si>
    <t>IA-PPWR-LBL-ST-036-STD-07-R00</t>
  </si>
  <si>
    <t>IA-PPWR-STM-ST-036-STD-07-R00</t>
  </si>
  <si>
    <t>IA-ST-CFG-0074 Product Variant 0125</t>
  </si>
  <si>
    <t>IA-PPWR-TF-ST-036-STD-08-R00</t>
  </si>
  <si>
    <t>IA-PPWR-DOC-ST-036-STD-08-R00</t>
  </si>
  <si>
    <t>IA-PPWR-LBL-ST-036-STD-08-R00</t>
  </si>
  <si>
    <t>IA-PPWR-STM-ST-036-STD-08-R00</t>
  </si>
  <si>
    <t>IA-ST-CFG-0074 Product Variant 0126</t>
  </si>
  <si>
    <t>IA-PPWR-TF-ST-036-STD-09-R00</t>
  </si>
  <si>
    <t>IA-PPWR-DOC-ST-036-STD-09-R00</t>
  </si>
  <si>
    <t>IA-PPWR-LBL-ST-036-STD-09-R00</t>
  </si>
  <si>
    <t>IA-PPWR-STM-ST-036-STD-09-R00</t>
  </si>
  <si>
    <t>IA-ST-CFG-0074 Product Variant 0127</t>
  </si>
  <si>
    <t>IA-PPWR-TF-ST-036-STD-10-R00</t>
  </si>
  <si>
    <t>IA-PPWR-DOC-ST-036-STD-10-R00</t>
  </si>
  <si>
    <t>IA-PPWR-LBL-ST-036-STD-10-R00</t>
  </si>
  <si>
    <t>IA-PPWR-STM-ST-036-STD-10-R00</t>
  </si>
  <si>
    <t>Starter 42-unit | Euro Pallet 800×1200×152 mm | Variant 01</t>
  </si>
  <si>
    <t>D31 | D31 YUASA penceresiz Orta Doğu dış koli (4001108): 42 adet</t>
  </si>
  <si>
    <t>D31 | D31 YUASA windowless Middle East outer carton (4001108): 42 pcs</t>
  </si>
  <si>
    <t>IA-PPWR-TF-ST-042-EUR-01-R00</t>
  </si>
  <si>
    <t>IA-PPWR-DOC-ST-042-EUR-01-R00</t>
  </si>
  <si>
    <t>IA-PPWR-LBL-ST-042-EUR-01-R00</t>
  </si>
  <si>
    <t>IA-PPWR-STM-ST-042-EUR-01-R00</t>
  </si>
  <si>
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</si>
  <si>
    <t>Starter 42-unit | Euro Pallet 800×1200×152 mm | Variant 02</t>
  </si>
  <si>
    <t>L4, LB4 | Palet (4000038): 1 adet | Köşebent (4000590): 4 adet</t>
  </si>
  <si>
    <t>L4, LB4 | Pallet (4000038): 1 pc | Edge protector (4000590): 4 pcs</t>
  </si>
  <si>
    <t>IA-PPWR-TF-ST-042-EUR-02-R00</t>
  </si>
  <si>
    <t>IA-PPWR-DOC-ST-042-EUR-02-R00</t>
  </si>
  <si>
    <t>IA-PPWR-LBL-ST-042-EUR-02-R00</t>
  </si>
  <si>
    <t>IA-PPWR-STM-ST-042-EUR-02-R00</t>
  </si>
  <si>
    <t>1012614; 1012619; 1014200; 1014258; 1014497; 1014996; 1014997</t>
  </si>
  <si>
    <t>Starter 42-unit | Euro Pallet 800×1200×152 mm | Variant 03</t>
  </si>
  <si>
    <t>L4, LB4 | Palet (4000038): 1 adet | Shrink film (4000554): 1.428 kg</t>
  </si>
  <si>
    <t>L4, LB4 | Pallet (4000038): 1 pc | Shrink film (4000554): 1.428 kg</t>
  </si>
  <si>
    <t>IA-PPWR-TF-ST-042-EUR-03-R00</t>
  </si>
  <si>
    <t>IA-PPWR-DOC-ST-042-EUR-03-R00</t>
  </si>
  <si>
    <t>IA-PPWR-LBL-ST-042-EUR-03-R00</t>
  </si>
  <si>
    <t>IA-PPWR-STM-ST-042-EUR-03-R00</t>
  </si>
  <si>
    <t>1012740; 1014051; 1014402; 1014561; 1014562; 1015116; 1015117</t>
  </si>
  <si>
    <t>Starter 42-unit | Euro Pallet 800×1200×152 mm | Variant 04</t>
  </si>
  <si>
    <t>L4, LB4 | Palet (4000038): 1 adet | Shrink film (4000554): kullanılmaz | Köşebent (4000590): 2 adet</t>
  </si>
  <si>
    <t>L4, LB4 | Pallet (4000038): 1 pc | Shrink film (4000554): not used | Edge protector (4000590): 2 pcs</t>
  </si>
  <si>
    <t>IA-PPWR-TF-ST-042-EUR-04-R00</t>
  </si>
  <si>
    <t>IA-PPWR-DOC-ST-042-EUR-04-R00</t>
  </si>
  <si>
    <t>IA-PPWR-LBL-ST-042-EUR-04-R00</t>
  </si>
  <si>
    <t>IA-PPWR-STM-ST-042-EUR-04-R00</t>
  </si>
  <si>
    <t>Starter 42-unit | Standard Pallet 1030×1110×152 mm | Variant 01</t>
  </si>
  <si>
    <t>D23 | D23 YUASA penceresiz Orta Doğu dış koli (4001106): 42 adet</t>
  </si>
  <si>
    <t>D23 | D23 YUASA windowless Middle East outer carton (4001106): 42 pcs</t>
  </si>
  <si>
    <t>IA-PPWR-TF-ST-042-STD-01-R00</t>
  </si>
  <si>
    <t>IA-PPWR-DOC-ST-042-STD-01-R00</t>
  </si>
  <si>
    <t>IA-PPWR-LBL-ST-042-STD-01-R00</t>
  </si>
  <si>
    <t>IA-PPWR-STM-ST-042-STD-01-R00</t>
  </si>
  <si>
    <t>Starter 42-unit | Standard Pallet 1030×1110×152 mm | Variant 02</t>
  </si>
  <si>
    <t>L6 | L6 EAS AGM S&amp;S 105AH 940A pencereli dış koli (4001399): 42 adet</t>
  </si>
  <si>
    <t>L6 | L6 EAS AGM S&amp;S 105AH 940A windowed outer carton (4001399): 42 pcs</t>
  </si>
  <si>
    <t>IA-PPWR-TF-ST-042-STD-02-R00</t>
  </si>
  <si>
    <t>IA-PPWR-DOC-ST-042-STD-02-R00</t>
  </si>
  <si>
    <t>IA-PPWR-LBL-ST-042-STD-02-R00</t>
  </si>
  <si>
    <t>IA-PPWR-STM-ST-042-STD-02-R00</t>
  </si>
  <si>
    <t>Starter 42-unit | Standard Pallet 1030×1110×152 mm | Variant 03</t>
  </si>
  <si>
    <t>L3 | Palet (4000037): 1 adet | Separatör (4000130): 3 adet</t>
  </si>
  <si>
    <t>L3 | Pallet (4000037): 1 pc | Separator (4000130): 3 pcs</t>
  </si>
  <si>
    <t>IA-PPWR-TF-ST-042-STD-03-R00</t>
  </si>
  <si>
    <t>IA-PPWR-DOC-ST-042-STD-03-R00</t>
  </si>
  <si>
    <t>IA-PPWR-LBL-ST-042-STD-03-R00</t>
  </si>
  <si>
    <t>IA-PPWR-STM-ST-042-STD-03-R00</t>
  </si>
  <si>
    <t>Starter 42-unit | Standard Pallet 1030×1110×152 mm | Variant 04</t>
  </si>
  <si>
    <t>L3 | Palet (4000037): 1 adet | Separatör (4000130): 4 adet</t>
  </si>
  <si>
    <t>L3 | Pallet (4000037): 1 pc | Separator (4000130): 4 pcs</t>
  </si>
  <si>
    <t>IA-PPWR-TF-ST-042-STD-04-R00</t>
  </si>
  <si>
    <t>IA-PPWR-DOC-ST-042-STD-04-R00</t>
  </si>
  <si>
    <t>IA-PPWR-LBL-ST-042-STD-04-R00</t>
  </si>
  <si>
    <t>IA-PPWR-STM-ST-042-STD-04-R00</t>
  </si>
  <si>
    <t>1009888; 1012786; 1013616; 1014130; 1014175; 1014192; 1014551; 1014959; 1014988; 1015071; 1015289</t>
  </si>
  <si>
    <t>Starter 42-unit | Standard Pallet 1030×1110×152 mm | Variant 05</t>
  </si>
  <si>
    <t>L6 | Palet (4000037): 1 adet | Çember (4000450): 7 m</t>
  </si>
  <si>
    <t>L6 | Pallet (4000037): 1 pc | Strap (4000450): 7 m</t>
  </si>
  <si>
    <t>IA-PPWR-TF-ST-042-STD-05-R00</t>
  </si>
  <si>
    <t>IA-PPWR-DOC-ST-042-STD-05-R00</t>
  </si>
  <si>
    <t>IA-PPWR-LBL-ST-042-STD-05-R00</t>
  </si>
  <si>
    <t>IA-PPWR-STM-ST-042-STD-05-R00</t>
  </si>
  <si>
    <t>1010228; 1013487; 1013777; 1014165; 1014923; 1014924</t>
  </si>
  <si>
    <t>Starter 42-unit | Standard Pallet 1030×1110×152 mm | Variant 06</t>
  </si>
  <si>
    <t>L6 | Palet (4000037): 1 adet | Çember (4000450): kullanılmaz</t>
  </si>
  <si>
    <t>L6 | Pallet (4000037): 1 pc | Strap (4000450): not used</t>
  </si>
  <si>
    <t>IA-PPWR-TF-ST-042-STD-06-R00</t>
  </si>
  <si>
    <t>IA-PPWR-DOC-ST-042-STD-06-R00</t>
  </si>
  <si>
    <t>IA-PPWR-LBL-ST-042-STD-06-R00</t>
  </si>
  <si>
    <t>IA-PPWR-STM-ST-042-STD-06-R00</t>
  </si>
  <si>
    <t>Starter 42-unit | Standard Pallet 1030×1110×152 mm | Variant 07</t>
  </si>
  <si>
    <t>L6 | Palet (4000037): 1 adet | Köşebent (4000590): 2 adet | Shrink film (4001177): 0.597 kg</t>
  </si>
  <si>
    <t>L6 | Pallet (4000037): 1 pc | Edge protector (4000590): 2 pcs | Shrink film (4001177): 0.597 kg</t>
  </si>
  <si>
    <t>IA-PPWR-TF-ST-042-STD-07-R00</t>
  </si>
  <si>
    <t>IA-PPWR-DOC-ST-042-STD-07-R00</t>
  </si>
  <si>
    <t>IA-PPWR-LBL-ST-042-STD-07-R00</t>
  </si>
  <si>
    <t>IA-PPWR-STM-ST-042-STD-07-R00</t>
  </si>
  <si>
    <t>Starter 42-unit | Standard Pallet 1030×1110×152 mm | Variant 08</t>
  </si>
  <si>
    <t>L6 | Palet (4000037): 1 adet | Köşebent (4000590): 4 adet</t>
  </si>
  <si>
    <t>L6 | Pallet (4000037): 1 pc | Edge protector (4000590): 4 pcs</t>
  </si>
  <si>
    <t>IA-PPWR-TF-ST-042-STD-08-R00</t>
  </si>
  <si>
    <t>IA-PPWR-DOC-ST-042-STD-08-R00</t>
  </si>
  <si>
    <t>IA-PPWR-LBL-ST-042-STD-08-R00</t>
  </si>
  <si>
    <t>IA-PPWR-STM-ST-042-STD-08-R00</t>
  </si>
  <si>
    <t>1012681; 1015051; 1015052; 1015068</t>
  </si>
  <si>
    <t>Starter 42-unit | Euro,800*1200*152 | Type L4, LB4</t>
  </si>
  <si>
    <t>IA-ST-CFG-0084 Product Variant 0142</t>
  </si>
  <si>
    <t>IA-PPWR-TF-ST-042-STD-09-R00</t>
  </si>
  <si>
    <t>IA-PPWR-DOC-ST-042-STD-09-R00</t>
  </si>
  <si>
    <t>IA-PPWR-LBL-ST-042-STD-09-R00</t>
  </si>
  <si>
    <t>IA-PPWR-STM-ST-042-STD-09-R00</t>
  </si>
  <si>
    <t>Starter 44-unit | Standard Pallet 1030×1110×152 mm | Variant 01</t>
  </si>
  <si>
    <t>L2 | L2 YUASA penceresiz Orta Doğu dış koli (4001102): 44 adet</t>
  </si>
  <si>
    <t>L2 | L2 YUASA windowless Middle East outer carton (4001102): 44 pcs</t>
  </si>
  <si>
    <t>IA-PPWR-TF-ST-044-STD-01-R00</t>
  </si>
  <si>
    <t>IA-PPWR-DOC-ST-044-STD-01-R00</t>
  </si>
  <si>
    <t>IA-PPWR-LBL-ST-044-STD-01-R00</t>
  </si>
  <si>
    <t>IA-PPWR-STM-ST-044-STD-01-R00</t>
  </si>
  <si>
    <t>1014255; 1014256; 1014384; 1015235; 1015236; 1015237</t>
  </si>
  <si>
    <t>Starter 45-unit | Euro Pallet 800×1200×152 mm | Variant 01</t>
  </si>
  <si>
    <t>L3 | Palet (4000038): 1 adet | Köşebent (4000590): 4 adet</t>
  </si>
  <si>
    <t>L3 | Pallet (4000038): 1 pc | Edge protector (4000590): 4 pcs</t>
  </si>
  <si>
    <t>IA-PPWR-TF-ST-045-EUR-01-R00</t>
  </si>
  <si>
    <t>IA-PPWR-DOC-ST-045-EUR-01-R00</t>
  </si>
  <si>
    <t>IA-PPWR-LBL-ST-045-EUR-01-R00</t>
  </si>
  <si>
    <t>IA-PPWR-STM-ST-045-EUR-01-R00</t>
  </si>
  <si>
    <t>Starter 45-unit | Standard Pallet 1030×1110×152 mm | Variant 01</t>
  </si>
  <si>
    <t>L5 | L5 YUASA penceresiz Orta Doğu dış koli (4001105): 45 adet</t>
  </si>
  <si>
    <t>L5 | L5 YUASA windowless Middle East outer carton (4001105): 45 pcs</t>
  </si>
  <si>
    <t>IA-PPWR-TF-ST-045-STD-01-R00</t>
  </si>
  <si>
    <t>IA-PPWR-DOC-ST-045-STD-01-R00</t>
  </si>
  <si>
    <t>IA-PPWR-LBL-ST-045-STD-01-R00</t>
  </si>
  <si>
    <t>IA-PPWR-STM-ST-045-STD-01-R00</t>
  </si>
  <si>
    <t>Starter 45-unit | Standard Pallet 1030×1110×152 mm | Variant 02</t>
  </si>
  <si>
    <t>L5 | L5 İnci AGM LEO 95AH 870A pencereli dış koli (4001194): 45 adet</t>
  </si>
  <si>
    <t>L5 | L5 İnci AGM LEO 95AH 870A windowed outer carton (4001194): 45 pcs</t>
  </si>
  <si>
    <t>IA-PPWR-TF-ST-045-STD-02-R00</t>
  </si>
  <si>
    <t>IA-PPWR-DOC-ST-045-STD-02-R00</t>
  </si>
  <si>
    <t>IA-PPWR-LBL-ST-045-STD-02-R00</t>
  </si>
  <si>
    <t>IA-PPWR-STM-ST-045-STD-02-R00</t>
  </si>
  <si>
    <t>Starter 45-unit | Standard Pallet 1030×1110×152 mm | Variant 03</t>
  </si>
  <si>
    <t>L5 | L5 EAS AGM S&amp;S 95AH 870A pencereli dış koli (4001398): 45 adet</t>
  </si>
  <si>
    <t>L5 | L5 EAS AGM S&amp;S 95AH 870A windowed outer carton (4001398): 45 pcs</t>
  </si>
  <si>
    <t>IA-PPWR-TF-ST-045-STD-03-R00</t>
  </si>
  <si>
    <t>IA-PPWR-DOC-ST-045-STD-03-R00</t>
  </si>
  <si>
    <t>IA-PPWR-LBL-ST-045-STD-03-R00</t>
  </si>
  <si>
    <t>IA-PPWR-STM-ST-045-STD-03-R00</t>
  </si>
  <si>
    <t>Starter 45-unit | Standard Pallet 1030×1110×152 mm | Variant 04</t>
  </si>
  <si>
    <t>L5 | Palet (4000037): 1 adet | Separatör (4000130): 4 adet | Streç ped (4000301): 0.186 kg | Köşebent (4000590): 4 adet</t>
  </si>
  <si>
    <t>L5 | Pallet (4000037): 1 pc | Separator (4000130): 4 pcs | Stretch pad (4000301): 0.186 kg | Edge protector (4000590): 4 pcs</t>
  </si>
  <si>
    <t>IA-PPWR-TF-ST-045-STD-04-R00</t>
  </si>
  <si>
    <t>IA-PPWR-DOC-ST-045-STD-04-R00</t>
  </si>
  <si>
    <t>IA-PPWR-LBL-ST-045-STD-04-R00</t>
  </si>
  <si>
    <t>IA-PPWR-STM-ST-045-STD-04-R00</t>
  </si>
  <si>
    <t>1003974; 1003977; 1007599; 1007653; 1007985; 1008964; 1009898; 1009899; 1010469; 1010471; 1011027; 1013055; 1013723; 1013906; 1014377; 1014920; 1015151; 1015290</t>
  </si>
  <si>
    <t>Starter 45-unit | Standard Pallet 1030×1110×152 mm | Variant 05</t>
  </si>
  <si>
    <t>TRACTORL, TRACTOR | TRAKTÖR PVC üst kapak (4000494): 45 adet | Köşebent (4000590): 2 adet</t>
  </si>
  <si>
    <t>TRACTORL, TRACTOR | TRAKTÖR PVC upper cover (4000494): 45 pcs | Edge protector (4000590): 2 pcs</t>
  </si>
  <si>
    <t>IA-PPWR-TF-ST-045-STD-05-R00</t>
  </si>
  <si>
    <t>IA-PPWR-DOC-ST-045-STD-05-R00</t>
  </si>
  <si>
    <t>IA-PPWR-LBL-ST-045-STD-05-R00</t>
  </si>
  <si>
    <t>IA-PPWR-STM-ST-045-STD-05-R00</t>
  </si>
  <si>
    <t>Starter 45-unit | Standard Pallet 1030×1110×152 mm | Variant 06</t>
  </si>
  <si>
    <t>L5 | Palet (4000037): 1 adet | Çember (4000450): 7 m | Shrink film (4000608): kullanılmaz</t>
  </si>
  <si>
    <t>L5 | Pallet (4000037): 1 pc | Strap (4000450): 7 m | Shrink film (4000608): not used</t>
  </si>
  <si>
    <t>IA-PPWR-TF-ST-045-STD-06-R00</t>
  </si>
  <si>
    <t>IA-PPWR-DOC-ST-045-STD-06-R00</t>
  </si>
  <si>
    <t>IA-PPWR-LBL-ST-045-STD-06-R00</t>
  </si>
  <si>
    <t>IA-PPWR-STM-ST-045-STD-06-R00</t>
  </si>
  <si>
    <t>Starter 45-unit | Standard Pallet 1030×1110×152 mm | Variant 07</t>
  </si>
  <si>
    <t>LB5 | Palet (4000037): 1 adet | Shrink film (4000608): 1.53 kg</t>
  </si>
  <si>
    <t>LB5 | Pallet (4000037): 1 pc | Shrink film (4000608): 1.53 kg</t>
  </si>
  <si>
    <t>IA-PPWR-TF-ST-045-STD-07-R00</t>
  </si>
  <si>
    <t>IA-PPWR-DOC-ST-045-STD-07-R00</t>
  </si>
  <si>
    <t>IA-PPWR-LBL-ST-045-STD-07-R00</t>
  </si>
  <si>
    <t>IA-PPWR-STM-ST-045-STD-07-R00</t>
  </si>
  <si>
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</si>
  <si>
    <t>Starter 45-unit | Standard Pallet 1030×1110×152 mm | Variant 08</t>
  </si>
  <si>
    <t>L5 | Palet (4000037): 1 adet | Köşebent (4000590): 2 adet | Shrink film (4000608): 1.8 kg</t>
  </si>
  <si>
    <t>L5 | Pallet (4000037): 1 pc | Edge protector (4000590): 2 pcs | Shrink film (4000608): 1.8 kg</t>
  </si>
  <si>
    <t>IA-PPWR-TF-ST-045-STD-08-R00</t>
  </si>
  <si>
    <t>IA-PPWR-DOC-ST-045-STD-08-R00</t>
  </si>
  <si>
    <t>IA-PPWR-LBL-ST-045-STD-08-R00</t>
  </si>
  <si>
    <t>IA-PPWR-STM-ST-045-STD-08-R00</t>
  </si>
  <si>
    <t>1002103; 1002104; 1003973; 1008731; 1008926; 1009892; 1010068; 1010171; 1010175; 1010204; 1010208; 1010220; 1014583; 1014593</t>
  </si>
  <si>
    <t>Starter 45-unit | Standard Pallet 1030×1110×152 mm | Variant 09</t>
  </si>
  <si>
    <t>TRACTORL, TRACTOR | TRAKTÖR PVC üst kapak (4000494): 45 adet | Köşebent (4000590): kullanılmaz</t>
  </si>
  <si>
    <t>TRACTORL, TRACTOR | TRAKTÖR PVC upper cover (4000494): 45 pcs | Edge protector (4000590): not used</t>
  </si>
  <si>
    <t>IA-PPWR-TF-ST-045-STD-09-R00</t>
  </si>
  <si>
    <t>IA-PPWR-DOC-ST-045-STD-09-R00</t>
  </si>
  <si>
    <t>IA-PPWR-LBL-ST-045-STD-09-R00</t>
  </si>
  <si>
    <t>IA-PPWR-STM-ST-045-STD-09-R00</t>
  </si>
  <si>
    <t>1011160; 1011192; 1011207; 1011229; 1011689; 1012175; 1013486; 1013776; 1013997; 1014566; 1014577; 1014587; 1014675; 1014676; 1014952; 1014953; 1014954; 1015040</t>
  </si>
  <si>
    <t>Starter 45-unit | Standard Pallet 1030×1110×152 mm | Variant 10</t>
  </si>
  <si>
    <t>L5 | Palet (4000037): 1 adet | Çember (4000450): kullanılmaz</t>
  </si>
  <si>
    <t>L5 | Pallet (4000037): 1 pc | Strap (4000450): not used</t>
  </si>
  <si>
    <t>IA-PPWR-TF-ST-045-STD-10-R00</t>
  </si>
  <si>
    <t>IA-PPWR-DOC-ST-045-STD-10-R00</t>
  </si>
  <si>
    <t>IA-PPWR-LBL-ST-045-STD-10-R00</t>
  </si>
  <si>
    <t>IA-PPWR-STM-ST-045-STD-10-R00</t>
  </si>
  <si>
    <t>1010584; 1013769</t>
  </si>
  <si>
    <t>Starter 45-unit | Standard Pallet 1030×1110×152 mm | Variant 11</t>
  </si>
  <si>
    <t>TRACTOR | Palet (4000037): 1 adet | Shrink film (4001177): 0.597 kg</t>
  </si>
  <si>
    <t>TRACTOR | Pallet (4000037): 1 pc | Shrink film (4001177): 0.597 kg</t>
  </si>
  <si>
    <t>IA-PPWR-TF-ST-045-STD-11-R00</t>
  </si>
  <si>
    <t>IA-PPWR-DOC-ST-045-STD-11-R00</t>
  </si>
  <si>
    <t>IA-PPWR-LBL-ST-045-STD-11-R00</t>
  </si>
  <si>
    <t>IA-PPWR-STM-ST-045-STD-11-R00</t>
  </si>
  <si>
    <t>Starter 45-unit | Standard Pallet 1030×1110×152 mm | Variant 12</t>
  </si>
  <si>
    <t>L5 | Palet (4000037): 1 adet | Köşebent (4000590): 2 adet | Shrink film (4001177): 0.597 kg</t>
  </si>
  <si>
    <t>L5 | Pallet (4000037): 1 pc | Edge protector (4000590): 2 pcs | Shrink film (4001177): 0.597 kg</t>
  </si>
  <si>
    <t>IA-PPWR-TF-ST-045-STD-12-R00</t>
  </si>
  <si>
    <t>IA-PPWR-DOC-ST-045-STD-12-R00</t>
  </si>
  <si>
    <t>IA-PPWR-LBL-ST-045-STD-12-R00</t>
  </si>
  <si>
    <t>IA-PPWR-STM-ST-045-STD-12-R00</t>
  </si>
  <si>
    <t>1012264; 1012265</t>
  </si>
  <si>
    <t>Starter 45-unit | Standard Pallet 1030×1110×152 mm | Variant 13</t>
  </si>
  <si>
    <t>L5 | Palet (4000037): 1 adet | Köşebent (4000590): 4 adet | Shrink film (4001177): 0.597 kg</t>
  </si>
  <si>
    <t>L5 | Pallet (4000037): 1 pc | Edge protector (4000590): 4 pcs | Shrink film (4001177): 0.597 kg</t>
  </si>
  <si>
    <t>IA-PPWR-TF-ST-045-STD-13-R00</t>
  </si>
  <si>
    <t>IA-PPWR-DOC-ST-045-STD-13-R00</t>
  </si>
  <si>
    <t>IA-PPWR-LBL-ST-045-STD-13-R00</t>
  </si>
  <si>
    <t>IA-PPWR-STM-ST-045-STD-13-R00</t>
  </si>
  <si>
    <t>Starter 45-unit | Standard Pallet 1030×1110×152 mm | Variant 14</t>
  </si>
  <si>
    <t>L5 | Palet (4000037): 1 adet | Separatör (4000130): 5 adet</t>
  </si>
  <si>
    <t>L5 | Pallet (4000037): 1 pc | Separator (4000130): 5 pcs</t>
  </si>
  <si>
    <t>IA-PPWR-TF-ST-045-STD-14-R00</t>
  </si>
  <si>
    <t>IA-PPWR-DOC-ST-045-STD-14-R00</t>
  </si>
  <si>
    <t>IA-PPWR-LBL-ST-045-STD-14-R00</t>
  </si>
  <si>
    <t>IA-PPWR-STM-ST-045-STD-14-R00</t>
  </si>
  <si>
    <t>Starter 48-unit | Euro Pallet 800×1200×152 mm | Variant 01</t>
  </si>
  <si>
    <t>L5 | L5 İnci AGM LEO 95AH 870A pencereli dış koli (4001194): 48 adet</t>
  </si>
  <si>
    <t>L5 | L5 İnci AGM LEO 95AH 870A windowed outer carton (4001194): 48 pcs</t>
  </si>
  <si>
    <t>IA-PPWR-TF-ST-048-EUR-01-R00</t>
  </si>
  <si>
    <t>IA-PPWR-DOC-ST-048-EUR-01-R00</t>
  </si>
  <si>
    <t>IA-PPWR-LBL-ST-048-EUR-01-R00</t>
  </si>
  <si>
    <t>IA-PPWR-STM-ST-048-EUR-01-R00</t>
  </si>
  <si>
    <t>1013419; 1013748; 1013861; 1014151; 1014648; 1014773; 1014850; 1014851; 1015316; 1015322; 1015323</t>
  </si>
  <si>
    <t>Starter 48-unit | Euro Pallet 800×1200×152 mm | Variant 02</t>
  </si>
  <si>
    <t>D26 | D26 PVC üst kapak (4000440): 48 adet</t>
  </si>
  <si>
    <t>D26 | D26 PVC upper cover (4000440): 48 pcs</t>
  </si>
  <si>
    <t>IA-PPWR-TF-ST-048-EUR-02-R00</t>
  </si>
  <si>
    <t>IA-PPWR-DOC-ST-048-EUR-02-R00</t>
  </si>
  <si>
    <t>IA-PPWR-LBL-ST-048-EUR-02-R00</t>
  </si>
  <si>
    <t>IA-PPWR-STM-ST-048-EUR-02-R00</t>
  </si>
  <si>
    <t>Starter 48-unit | Euro Pallet 800×1200×152 mm | Variant 03</t>
  </si>
  <si>
    <t>D31 | Palet (4000038): 1 adet | EPS (4000573): 24 adet</t>
  </si>
  <si>
    <t>D31 | Pallet (4000038): 1 pc | EPS (4000573): 24 pcs</t>
  </si>
  <si>
    <t>IA-PPWR-TF-ST-048-EUR-03-R00</t>
  </si>
  <si>
    <t>IA-PPWR-DOC-ST-048-EUR-03-R00</t>
  </si>
  <si>
    <t>IA-PPWR-LBL-ST-048-EUR-03-R00</t>
  </si>
  <si>
    <t>IA-PPWR-STM-ST-048-EUR-03-R00</t>
  </si>
  <si>
    <t>Starter 48-unit | Euro Pallet 800×1200×152 mm | Variant 04</t>
  </si>
  <si>
    <t>L5 | Palet (4000038): 1 adet | Shrink film (4000608): 1.92 kg</t>
  </si>
  <si>
    <t>L5 | Pallet (4000038): 1 pc | Shrink film (4000608): 1.92 kg</t>
  </si>
  <si>
    <t>IA-PPWR-TF-ST-048-EUR-04-R00</t>
  </si>
  <si>
    <t>IA-PPWR-DOC-ST-048-EUR-04-R00</t>
  </si>
  <si>
    <t>IA-PPWR-LBL-ST-048-EUR-04-R00</t>
  </si>
  <si>
    <t>IA-PPWR-STM-ST-048-EUR-04-R00</t>
  </si>
  <si>
    <t>1012974; 1012975; 1013219; 1013221; 1014380; 1015006; 1015007; 1015184; 1015185</t>
  </si>
  <si>
    <t>Starter 48-unit | Euro Pallet 800×1200×152 mm | Variant 05</t>
  </si>
  <si>
    <t>D31 | Palet (4000038): 1 adet | Honeycomb (4001186): 3 adet</t>
  </si>
  <si>
    <t>D31 | Pallet (4000038): 1 pc | Honeycomb (4001186): 3 pcs</t>
  </si>
  <si>
    <t>IA-PPWR-TF-ST-048-EUR-05-R00</t>
  </si>
  <si>
    <t>IA-PPWR-DOC-ST-048-EUR-05-R00</t>
  </si>
  <si>
    <t>IA-PPWR-LBL-ST-048-EUR-05-R00</t>
  </si>
  <si>
    <t>IA-PPWR-STM-ST-048-EUR-05-R00</t>
  </si>
  <si>
    <t>1013641; 1013642; 1014712; 1014713</t>
  </si>
  <si>
    <t>Starter 48-unit | Euro Pallet 800×1200×152 mm | Variant 06</t>
  </si>
  <si>
    <t>D31 | Palet (4000038): 1 adet | Köşebent (4000590): 4 adet | EPS (4001247): 3 adet</t>
  </si>
  <si>
    <t>D31 | Pallet (4000038): 1 pc | Edge protector (4000590): 4 pcs | EPS (4001247): 3 pcs</t>
  </si>
  <si>
    <t>IA-PPWR-TF-ST-048-EUR-06-R00</t>
  </si>
  <si>
    <t>IA-PPWR-DOC-ST-048-EUR-06-R00</t>
  </si>
  <si>
    <t>IA-PPWR-LBL-ST-048-EUR-06-R00</t>
  </si>
  <si>
    <t>IA-PPWR-STM-ST-048-EUR-06-R00</t>
  </si>
  <si>
    <t>1012657; 1012685; 1013735; 1014404; 1014412; 1014414; 1014543; 1015092; 1015216; 1015217; 1015218; 1015219; 1015277; 1015279</t>
  </si>
  <si>
    <t>Starter 48-unit | Euro Pallet 800×1200×152 mm | Variant 07</t>
  </si>
  <si>
    <t>IA-PPWR-TF-ST-048-EUR-07-R00</t>
  </si>
  <si>
    <t>IA-PPWR-DOC-ST-048-EUR-07-R00</t>
  </si>
  <si>
    <t>IA-PPWR-LBL-ST-048-EUR-07-R00</t>
  </si>
  <si>
    <t>IA-PPWR-STM-ST-048-EUR-07-R00</t>
  </si>
  <si>
    <t>1014662; 1014667; 1015032; 1015104; 1015276</t>
  </si>
  <si>
    <t>Starter 48-unit | Euro Pallet 800×1200×152 mm | Variant 08</t>
  </si>
  <si>
    <t>L5 | Palet (4000038): 1 adet | Köşebent (4000590): 4 adet | Shrink film (4000608): kullanılmaz</t>
  </si>
  <si>
    <t>L5 | Pallet (4000038): 1 pc | Edge protector (4000590): 4 pcs | Shrink film (4000608): not used</t>
  </si>
  <si>
    <t>IA-PPWR-TF-ST-048-EUR-08-R00</t>
  </si>
  <si>
    <t>IA-PPWR-DOC-ST-048-EUR-08-R00</t>
  </si>
  <si>
    <t>IA-PPWR-LBL-ST-048-EUR-08-R00</t>
  </si>
  <si>
    <t>IA-PPWR-STM-ST-048-EUR-08-R00</t>
  </si>
  <si>
    <t>1009938; 1009939; 1011330; 1011332; 1011584; 1011585; 1012790; 1012791; 1012987; 1012988; 1013576; 1013749; 1013840; 1013851; 1013852; 1014145; 1014146; 1014649; 1014853; 1014854; 1015079; 1015317; 1015318</t>
  </si>
  <si>
    <t>Starter 48-unit | Euro Pallet 800×1200×152 mm | Variant 09</t>
  </si>
  <si>
    <t>D31 | D31 PVC üst kapak (4001310): 48 adet</t>
  </si>
  <si>
    <t>D31 | D31 PVC upper cover (4001310): 48 pcs</t>
  </si>
  <si>
    <t>IA-PPWR-TF-ST-048-EUR-09-R00</t>
  </si>
  <si>
    <t>IA-PPWR-DOC-ST-048-EUR-09-R00</t>
  </si>
  <si>
    <t>IA-PPWR-LBL-ST-048-EUR-09-R00</t>
  </si>
  <si>
    <t>IA-PPWR-STM-ST-048-EUR-09-R00</t>
  </si>
  <si>
    <t>1008524; 1009937; 1010441; 1011579; 1011583; 1012526; 1012857; 1012874; 1012875; 1012895; 1012896; 1012897; 1012986; 1013184; 1013196; 1013286; 1013443; 1013467; 1013540; 1013718; 1013863; 1014144; 1014498; 1014643; 1014646; 1014794; 1014795; 1014860</t>
  </si>
  <si>
    <t>Starter 48-unit | Euro Pallet 800×1200×152 mm | Variant 10</t>
  </si>
  <si>
    <t>L5, LB5 | Palet (4000038): 1 adet | Shrink film (4000608): 1.92 kg</t>
  </si>
  <si>
    <t>L5, LB5 | Pallet (4000038): 1 pc | Shrink film (4000608): 1.92 kg</t>
  </si>
  <si>
    <t>IA-PPWR-TF-ST-048-EUR-10-R00</t>
  </si>
  <si>
    <t>IA-PPWR-DOC-ST-048-EUR-10-R00</t>
  </si>
  <si>
    <t>IA-PPWR-LBL-ST-048-EUR-10-R00</t>
  </si>
  <si>
    <t>IA-PPWR-STM-ST-048-EUR-10-R00</t>
  </si>
  <si>
    <t>Starter 48-unit | Euro Pallet 800×1200×152 mm | Variant 11</t>
  </si>
  <si>
    <t>D31 | Palet (4000038): 1 adet | Köşebent (4000590): 2 adet | EPS (4001247): 3 adet</t>
  </si>
  <si>
    <t>D31 | Pallet (4000038): 1 pc | Edge protector (4000590): 2 pcs | EPS (4001247): 3 pcs</t>
  </si>
  <si>
    <t>IA-PPWR-TF-ST-048-EUR-11-R00</t>
  </si>
  <si>
    <t>IA-PPWR-DOC-ST-048-EUR-11-R00</t>
  </si>
  <si>
    <t>IA-PPWR-LBL-ST-048-EUR-11-R00</t>
  </si>
  <si>
    <t>IA-PPWR-STM-ST-048-EUR-11-R00</t>
  </si>
  <si>
    <t>1006658; 1014779; 1014780; 1014922; 1014930</t>
  </si>
  <si>
    <t>Starter 48-unit | Euro Pallet 800×1200×152 mm | Variant 12</t>
  </si>
  <si>
    <t>LB5, L5 | Palet (4000038): 1 adet | Köşebent (4000590): 2 adet</t>
  </si>
  <si>
    <t>LB5, L5 | Pallet (4000038): 1 pc | Edge protector (4000590): 2 pcs</t>
  </si>
  <si>
    <t>IA-PPWR-TF-ST-048-EUR-12-R00</t>
  </si>
  <si>
    <t>IA-PPWR-DOC-ST-048-EUR-12-R00</t>
  </si>
  <si>
    <t>IA-PPWR-LBL-ST-048-EUR-12-R00</t>
  </si>
  <si>
    <t>IA-PPWR-STM-ST-048-EUR-12-R00</t>
  </si>
  <si>
    <t>Starter 48-unit | Standard Pallet 1030×1110×152 mm | Variant 01</t>
  </si>
  <si>
    <t>L1 | L1 YUASA penceresiz Orta Doğu dış koli (4001312): 48 adet</t>
  </si>
  <si>
    <t>L1 | L1 YUASA windowless Middle East outer carton (4001312): 48 pcs</t>
  </si>
  <si>
    <t>IA-PPWR-TF-ST-048-STD-01-R00</t>
  </si>
  <si>
    <t>IA-PPWR-DOC-ST-048-STD-01-R00</t>
  </si>
  <si>
    <t>IA-PPWR-LBL-ST-048-STD-01-R00</t>
  </si>
  <si>
    <t>IA-PPWR-STM-ST-048-STD-01-R00</t>
  </si>
  <si>
    <t>Starter 48-unit | Standard Pallet 1030×1110×152 mm | Variant 02</t>
  </si>
  <si>
    <t>L2 | Palet (4000037): 1 adet | Shrink film (4000558): 1.824 kg</t>
  </si>
  <si>
    <t>L2 | Pallet (4000037): 1 pc | Shrink film (4000558): 1.824 kg</t>
  </si>
  <si>
    <t>IA-PPWR-TF-ST-048-STD-02-R00</t>
  </si>
  <si>
    <t>IA-PPWR-DOC-ST-048-STD-02-R00</t>
  </si>
  <si>
    <t>IA-PPWR-LBL-ST-048-STD-02-R00</t>
  </si>
  <si>
    <t>IA-PPWR-STM-ST-048-STD-02-R00</t>
  </si>
  <si>
    <t>Starter 48-unit | Euro,800*1200*152 | Type D31</t>
  </si>
  <si>
    <t>IA-ST-CFG-0108 Product Variant 0196</t>
  </si>
  <si>
    <t>IA-PPWR-TF-ST-048-STD-03-R00</t>
  </si>
  <si>
    <t>IA-PPWR-DOC-ST-048-STD-03-R00</t>
  </si>
  <si>
    <t>IA-PPWR-LBL-ST-048-STD-03-R00</t>
  </si>
  <si>
    <t>IA-PPWR-STM-ST-048-STD-03-R00</t>
  </si>
  <si>
    <t>IA-ST-CFG-0119 Product Variant 0223</t>
  </si>
  <si>
    <t>IA-PPWR-TF-ST-048-STD-04-R00</t>
  </si>
  <si>
    <t>IA-PPWR-DOC-ST-048-STD-04-R00</t>
  </si>
  <si>
    <t>IA-PPWR-LBL-ST-048-STD-04-R00</t>
  </si>
  <si>
    <t>IA-PPWR-STM-ST-048-STD-04-R00</t>
  </si>
  <si>
    <t>1012847; 1013252</t>
  </si>
  <si>
    <t>IA-ST-CFG-0119 Product Variant 0224</t>
  </si>
  <si>
    <t>IA-PPWR-TF-ST-048-STD-05-R00</t>
  </si>
  <si>
    <t>IA-PPWR-DOC-ST-048-STD-05-R00</t>
  </si>
  <si>
    <t>IA-PPWR-LBL-ST-048-STD-05-R00</t>
  </si>
  <si>
    <t>IA-PPWR-STM-ST-048-STD-05-R00</t>
  </si>
  <si>
    <t>Starter 48-unit | Euro,800*1200*152 | Type NS60</t>
  </si>
  <si>
    <t>IA-ST-CFG-0120 Product Variant 0225</t>
  </si>
  <si>
    <t>IA-PPWR-TF-ST-048-STD-06-R00</t>
  </si>
  <si>
    <t>IA-PPWR-DOC-ST-048-STD-06-R00</t>
  </si>
  <si>
    <t>IA-PPWR-LBL-ST-048-STD-06-R00</t>
  </si>
  <si>
    <t>IA-PPWR-STM-ST-048-STD-06-R00</t>
  </si>
  <si>
    <t>Starter 48-unit | Euro,800*1200*152 | Type L5</t>
  </si>
  <si>
    <t>IA-ST-CFG-0121 Product Variant 0226</t>
  </si>
  <si>
    <t>IA-PPWR-TF-ST-048-STD-07-R00</t>
  </si>
  <si>
    <t>IA-PPWR-DOC-ST-048-STD-07-R00</t>
  </si>
  <si>
    <t>IA-PPWR-LBL-ST-048-STD-07-R00</t>
  </si>
  <si>
    <t>IA-PPWR-STM-ST-048-STD-07-R00</t>
  </si>
  <si>
    <t>1010843; 1013248</t>
  </si>
  <si>
    <t>IA-ST-CFG-0121 Product Variant 0227</t>
  </si>
  <si>
    <t>IA-PPWR-TF-ST-048-STD-08-R00</t>
  </si>
  <si>
    <t>IA-PPWR-DOC-ST-048-STD-08-R00</t>
  </si>
  <si>
    <t>IA-PPWR-LBL-ST-048-STD-08-R00</t>
  </si>
  <si>
    <t>IA-PPWR-STM-ST-048-STD-08-R00</t>
  </si>
  <si>
    <t>1012824; 1013251</t>
  </si>
  <si>
    <t>IA-ST-CFG-0121 Product Variant 0228</t>
  </si>
  <si>
    <t>IA-PPWR-TF-ST-048-STD-09-R00</t>
  </si>
  <si>
    <t>IA-PPWR-DOC-ST-048-STD-09-R00</t>
  </si>
  <si>
    <t>IA-PPWR-LBL-ST-048-STD-09-R00</t>
  </si>
  <si>
    <t>IA-PPWR-STM-ST-048-STD-09-R00</t>
  </si>
  <si>
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</si>
  <si>
    <t>Starter 51-unit | Euro Pallet 800×1200×152 mm | Variant 01</t>
  </si>
  <si>
    <t>LB3, L3 | Palet (4000038): 1 adet | Köşebent (4000590): 4 adet</t>
  </si>
  <si>
    <t>LB3, L3 | Pallet (4000038): 1 pc | Edge protector (4000590): 4 pcs</t>
  </si>
  <si>
    <t>IA-PPWR-TF-ST-051-EUR-01-R00</t>
  </si>
  <si>
    <t>IA-PPWR-DOC-ST-051-EUR-01-R00</t>
  </si>
  <si>
    <t>IA-PPWR-LBL-ST-051-EUR-01-R00</t>
  </si>
  <si>
    <t>IA-PPWR-STM-ST-051-EUR-01-R00</t>
  </si>
  <si>
    <t>Starter 51-unit | Euro Pallet 800×1200×152 mm | Variant 02</t>
  </si>
  <si>
    <t>LB3 | Palet (4000038): 1 adet | Shrink film (4000558): 1.579 kg</t>
  </si>
  <si>
    <t>LB3 | Pallet (4000038): 1 pc | Shrink film (4000558): 1.579 kg</t>
  </si>
  <si>
    <t>IA-PPWR-TF-ST-051-EUR-02-R00</t>
  </si>
  <si>
    <t>IA-PPWR-DOC-ST-051-EUR-02-R00</t>
  </si>
  <si>
    <t>IA-PPWR-LBL-ST-051-EUR-02-R00</t>
  </si>
  <si>
    <t>IA-PPWR-STM-ST-051-EUR-02-R00</t>
  </si>
  <si>
    <t>1012613; 1012618; 1014199; 1014201; 1014995; 1015313</t>
  </si>
  <si>
    <t>Starter 51-unit | Euro Pallet 800×1200×152 mm | Variant 03</t>
  </si>
  <si>
    <t>L3 | Palet (4000038): 1 adet | Shrink film (4000558): 1.684 kg</t>
  </si>
  <si>
    <t>L3 | Pallet (4000038): 1 pc | Shrink film (4000558): 1.684 kg</t>
  </si>
  <si>
    <t>IA-PPWR-TF-ST-051-EUR-03-R00</t>
  </si>
  <si>
    <t>IA-PPWR-DOC-ST-051-EUR-03-R00</t>
  </si>
  <si>
    <t>IA-PPWR-LBL-ST-051-EUR-03-R00</t>
  </si>
  <si>
    <t>IA-PPWR-STM-ST-051-EUR-03-R00</t>
  </si>
  <si>
    <t>1012738; 1012739; 1014041; 1014042; 1014050; 1014559; 1014560; 1015114; 1015115; 1015264; 1015265</t>
  </si>
  <si>
    <t>Starter 51-unit | Euro Pallet 800×1200×152 mm | Variant 04</t>
  </si>
  <si>
    <t>L3, LB3 | Palet (4000038): 1 adet | Köşebent (4000590): 2 adet</t>
  </si>
  <si>
    <t>L3, LB3 | Pallet (4000038): 1 pc | Edge protector (4000590): 2 pcs</t>
  </si>
  <si>
    <t>IA-PPWR-TF-ST-051-EUR-04-R00</t>
  </si>
  <si>
    <t>IA-PPWR-DOC-ST-051-EUR-04-R00</t>
  </si>
  <si>
    <t>IA-PPWR-LBL-ST-051-EUR-04-R00</t>
  </si>
  <si>
    <t>IA-PPWR-STM-ST-051-EUR-04-R00</t>
  </si>
  <si>
    <t>1011935; 1011936; 1011939</t>
  </si>
  <si>
    <t>Starter 51-unit | Standard Pallet 1030×1110×152 mm | Variant 01</t>
  </si>
  <si>
    <t>D31 | Köşebent (4000033): 6 adet | D31 EAS Activa penceresiz dış koli (4000782): 51 adet</t>
  </si>
  <si>
    <t>D31 | Edge protector (4000033): 6 pcs | D31 EAS Activa windowless outer carton (4000782): 51 pcs</t>
  </si>
  <si>
    <t>IA-PPWR-TF-ST-051-STD-01-R00</t>
  </si>
  <si>
    <t>IA-PPWR-DOC-ST-051-STD-01-R00</t>
  </si>
  <si>
    <t>IA-PPWR-LBL-ST-051-STD-01-R00</t>
  </si>
  <si>
    <t>IA-PPWR-STM-ST-051-STD-01-R00</t>
  </si>
  <si>
    <t>Starter 51-unit | Standard Pallet 1030×1110×152 mm | Variant 02</t>
  </si>
  <si>
    <t>D31 | D31 YUASA penceresiz Orta Doğu dış koli (4001108): 51 adet</t>
  </si>
  <si>
    <t>D31 | D31 YUASA windowless Middle East outer carton (4001108): 51 pcs</t>
  </si>
  <si>
    <t>IA-PPWR-TF-ST-051-STD-02-R00</t>
  </si>
  <si>
    <t>IA-PPWR-DOC-ST-051-STD-02-R00</t>
  </si>
  <si>
    <t>IA-PPWR-LBL-ST-051-STD-02-R00</t>
  </si>
  <si>
    <t>IA-PPWR-STM-ST-051-STD-02-R00</t>
  </si>
  <si>
    <t>Starter 51-unit | Standard Pallet 1030×1110×152 mm | Variant 03</t>
  </si>
  <si>
    <t>L4 | L4 YUASA penceresiz Orta Doğu dış koli (4001313): 51 adet</t>
  </si>
  <si>
    <t>L4 | L4 YUASA windowless Middle East outer carton (4001313): 51 pcs</t>
  </si>
  <si>
    <t>IA-PPWR-TF-ST-051-STD-03-R00</t>
  </si>
  <si>
    <t>IA-PPWR-DOC-ST-051-STD-03-R00</t>
  </si>
  <si>
    <t>IA-PPWR-LBL-ST-051-STD-03-R00</t>
  </si>
  <si>
    <t>IA-PPWR-STM-ST-051-STD-03-R00</t>
  </si>
  <si>
    <t>Starter 51-unit | Standard Pallet 1030×1110×152 mm | Variant 04</t>
  </si>
  <si>
    <t>D31 | Köşebent (4000033): 8 adet | D31 EAS Activa penceresiz dış koli (4000782): 51 adet</t>
  </si>
  <si>
    <t>D31 | Edge protector (4000033): 8 pcs | D31 EAS Activa windowless outer carton (4000782): 51 pcs</t>
  </si>
  <si>
    <t>IA-PPWR-TF-ST-051-STD-04-R00</t>
  </si>
  <si>
    <t>IA-PPWR-DOC-ST-051-STD-04-R00</t>
  </si>
  <si>
    <t>IA-PPWR-LBL-ST-051-STD-04-R00</t>
  </si>
  <si>
    <t>IA-PPWR-STM-ST-051-STD-04-R00</t>
  </si>
  <si>
    <t>1011930; 1011931; 1011933; 1011934; 1015082</t>
  </si>
  <si>
    <t>Starter 51-unit | Standard Pallet 1030×1110×152 mm | Variant 05</t>
  </si>
  <si>
    <t>D31 | D31 BLIZZARO SILVERLINE penceresiz dış koli (4001433): 51 adet</t>
  </si>
  <si>
    <t>D31 | D31 BLIZZARO SILVERLINE windowless outer carton (4001433): 51 pcs</t>
  </si>
  <si>
    <t>IA-PPWR-TF-ST-051-STD-05-R00</t>
  </si>
  <si>
    <t>IA-PPWR-DOC-ST-051-STD-05-R00</t>
  </si>
  <si>
    <t>IA-PPWR-LBL-ST-051-STD-05-R00</t>
  </si>
  <si>
    <t>IA-PPWR-STM-ST-051-STD-05-R00</t>
  </si>
  <si>
    <t>Starter 51-unit | Standard Pallet 1030×1110×152 mm | Variant 06</t>
  </si>
  <si>
    <t>L4 | L4 EAS AGM S&amp;S 80AH 800A pencereli dış koli (4001397): 51 adet</t>
  </si>
  <si>
    <t>L4 | L4 EAS AGM S&amp;S 80AH 800A windowed outer carton (4001397): 51 pcs</t>
  </si>
  <si>
    <t>IA-PPWR-TF-ST-051-STD-06-R00</t>
  </si>
  <si>
    <t>IA-PPWR-DOC-ST-051-STD-06-R00</t>
  </si>
  <si>
    <t>IA-PPWR-LBL-ST-051-STD-06-R00</t>
  </si>
  <si>
    <t>IA-PPWR-STM-ST-051-STD-06-R00</t>
  </si>
  <si>
    <t>1011913; 1011940; 1011941; 1013966</t>
  </si>
  <si>
    <t>Starter 51-unit | Standard Pallet 1030×1110×152 mm | Variant 07</t>
  </si>
  <si>
    <t>D31 | D31 İnci FORMULA-MAXIMA penceresiz dış koli (4001211): 51 adet | Separatör (4000130): 5 adet</t>
  </si>
  <si>
    <t>D31 | D31 İnci FORMULA-MAXIMA windowless outer carton (4001211): 51 pcs | Separator (4000130): 5 pcs</t>
  </si>
  <si>
    <t>IA-PPWR-TF-ST-051-STD-07-R00</t>
  </si>
  <si>
    <t>IA-PPWR-DOC-ST-051-STD-07-R00</t>
  </si>
  <si>
    <t>IA-PPWR-LBL-ST-051-STD-07-R00</t>
  </si>
  <si>
    <t>IA-PPWR-STM-ST-051-STD-07-R00</t>
  </si>
  <si>
    <t>Starter 51-unit | Standard Pallet 1030×1110×152 mm | Variant 08</t>
  </si>
  <si>
    <t>D31 | D31 İnci FORMULA-MAXIMA penceresiz dış koli (4001211): 51 adet | Köşebent (4000590): 8 adet</t>
  </si>
  <si>
    <t>D31 | D31 İnci FORMULA-MAXIMA windowless outer carton (4001211): 51 pcs | Edge protector (4000590): 8 pcs</t>
  </si>
  <si>
    <t>IA-PPWR-TF-ST-051-STD-08-R00</t>
  </si>
  <si>
    <t>IA-PPWR-DOC-ST-051-STD-08-R00</t>
  </si>
  <si>
    <t>IA-PPWR-LBL-ST-051-STD-08-R00</t>
  </si>
  <si>
    <t>IA-PPWR-STM-ST-051-STD-08-R00</t>
  </si>
  <si>
    <t>1012677; 1012678</t>
  </si>
  <si>
    <t>Starter 51-unit | Euro,800*1200*152 | Type LB3</t>
  </si>
  <si>
    <t>IA-ST-CFG-0130 Product Variant 0237</t>
  </si>
  <si>
    <t>IA-PPWR-TF-ST-051-STD-09-R00</t>
  </si>
  <si>
    <t>IA-PPWR-DOC-ST-051-STD-09-R00</t>
  </si>
  <si>
    <t>IA-PPWR-LBL-ST-051-STD-09-R00</t>
  </si>
  <si>
    <t>IA-PPWR-STM-ST-051-STD-09-R00</t>
  </si>
  <si>
    <t>1011025; 1012665; 1012679; 1015050; 1015067</t>
  </si>
  <si>
    <t>Starter 51-unit | Euro,800*1200*152 | Type L3</t>
  </si>
  <si>
    <t>IA-ST-CFG-0131 Product Variant 0238</t>
  </si>
  <si>
    <t>IA-PPWR-TF-ST-051-STD-10-R00</t>
  </si>
  <si>
    <t>IA-PPWR-DOC-ST-051-STD-10-R00</t>
  </si>
  <si>
    <t>IA-PPWR-LBL-ST-051-STD-10-R00</t>
  </si>
  <si>
    <t>IA-PPWR-STM-ST-051-STD-10-R00</t>
  </si>
  <si>
    <t>IA-ST-CFG-0136 Product Variant 0257</t>
  </si>
  <si>
    <t>IA-PPWR-TF-ST-051-STD-11-R00</t>
  </si>
  <si>
    <t>IA-PPWR-DOC-ST-051-STD-11-R00</t>
  </si>
  <si>
    <t>IA-PPWR-LBL-ST-051-STD-11-R00</t>
  </si>
  <si>
    <t>IA-PPWR-STM-ST-051-STD-11-R00</t>
  </si>
  <si>
    <t>1013734; 1014542</t>
  </si>
  <si>
    <t>Starter 54-unit | Euro Pallet 800×1200×152 mm | Variant 01</t>
  </si>
  <si>
    <t>L2 | Palet (4000038): 1 adet | Köşebent (4000590): 4 adet</t>
  </si>
  <si>
    <t>L2 | Pallet (4000038): 1 pc | Edge protector (4000590): 4 pcs</t>
  </si>
  <si>
    <t>IA-PPWR-TF-ST-054-EUR-01-R00</t>
  </si>
  <si>
    <t>IA-PPWR-DOC-ST-054-EUR-01-R00</t>
  </si>
  <si>
    <t>IA-PPWR-LBL-ST-054-EUR-01-R00</t>
  </si>
  <si>
    <t>IA-PPWR-STM-ST-054-EUR-01-R00</t>
  </si>
  <si>
    <t>Starter 54-unit | Standard Pallet 1030×1110×152 mm | Variant 01</t>
  </si>
  <si>
    <t>L3 | L3 YUASA penceresiz Orta Doğu dış koli (4001103): 54 adet</t>
  </si>
  <si>
    <t>L3 | L3 YUASA windowless Middle East outer carton (4001103): 54 pcs</t>
  </si>
  <si>
    <t>IA-PPWR-TF-ST-054-STD-01-R00</t>
  </si>
  <si>
    <t>IA-PPWR-DOC-ST-054-STD-01-R00</t>
  </si>
  <si>
    <t>IA-PPWR-LBL-ST-054-STD-01-R00</t>
  </si>
  <si>
    <t>IA-PPWR-STM-ST-054-STD-01-R00</t>
  </si>
  <si>
    <t>Starter 54-unit | Standard Pallet 1030×1110×152 mm | Variant 02</t>
  </si>
  <si>
    <t>L3 | L3 İnci AGM LEO 70AH 760A pencereli dış koli (4001237): 54 adet</t>
  </si>
  <si>
    <t>L3 | L3 İnci AGM LEO 70AH 760A windowed outer carton (4001237): 54 pcs</t>
  </si>
  <si>
    <t>IA-PPWR-TF-ST-054-STD-02-R00</t>
  </si>
  <si>
    <t>IA-PPWR-DOC-ST-054-STD-02-R00</t>
  </si>
  <si>
    <t>IA-PPWR-LBL-ST-054-STD-02-R00</t>
  </si>
  <si>
    <t>IA-PPWR-STM-ST-054-STD-02-R00</t>
  </si>
  <si>
    <t>Starter 54-unit | Standard Pallet 1030×1110×152 mm | Variant 03</t>
  </si>
  <si>
    <t>L3 | L3 EAS AGM S&amp;S 70AH 760A pencereli dış koli (4001396): 54 adet</t>
  </si>
  <si>
    <t>L3 | L3 EAS AGM S&amp;S 70AH 760A windowed outer carton (4001396): 54 pcs</t>
  </si>
  <si>
    <t>IA-PPWR-TF-ST-054-STD-03-R00</t>
  </si>
  <si>
    <t>IA-PPWR-DOC-ST-054-STD-03-R00</t>
  </si>
  <si>
    <t>IA-PPWR-LBL-ST-054-STD-03-R00</t>
  </si>
  <si>
    <t>IA-PPWR-STM-ST-054-STD-03-R00</t>
  </si>
  <si>
    <t>Starter 54-unit | Standard Pallet 1030×1110×152 mm | Variant 04</t>
  </si>
  <si>
    <t>D31 | Palet (4000037): 1 adet | EPS (4000370): 3 adet | Köşebent (4000590): 4 adet</t>
  </si>
  <si>
    <t>D31 | Pallet (4000037): 1 pc | EPS (4000370): 3 pcs | Edge protector (4000590): 4 pcs</t>
  </si>
  <si>
    <t>IA-PPWR-TF-ST-054-STD-04-R00</t>
  </si>
  <si>
    <t>IA-PPWR-DOC-ST-054-STD-04-R00</t>
  </si>
  <si>
    <t>IA-PPWR-LBL-ST-054-STD-04-R00</t>
  </si>
  <si>
    <t>IA-PPWR-STM-ST-054-STD-04-R00</t>
  </si>
  <si>
    <t>1014373; 1015039</t>
  </si>
  <si>
    <t>Starter 54-unit | Standard Pallet 1030×1110×152 mm | Variant 05</t>
  </si>
  <si>
    <t>D31 | Köşebent (4000590): 4 adet | D31 PVC üst kapak (4001310): 54 adet</t>
  </si>
  <si>
    <t>D31 | Edge protector (4000590): 4 pcs | D31 PVC upper cover (4001310): 54 pcs</t>
  </si>
  <si>
    <t>IA-PPWR-TF-ST-054-STD-05-R00</t>
  </si>
  <si>
    <t>IA-PPWR-DOC-ST-054-STD-05-R00</t>
  </si>
  <si>
    <t>IA-PPWR-LBL-ST-054-STD-05-R00</t>
  </si>
  <si>
    <t>IA-PPWR-STM-ST-054-STD-05-R00</t>
  </si>
  <si>
    <t>1011854; 1011999; 1012147; 1012688; 1012692; 1012709; 1013483; 1013898; 1013923; 1014204; 1014271; 1014482; 1014550; 1014554; 1014892; 1014895; 1014937; 1014957; 1015152; 1015157; 1015161; 1015164; 1015284</t>
  </si>
  <si>
    <t>Starter 54-unit | Standard Pallet 1030×1110×152 mm | Variant 06</t>
  </si>
  <si>
    <t>L4, LB4 | Palet (4000037): 1 adet | Köşebent (4000590): 2 adet</t>
  </si>
  <si>
    <t>L4, LB4 | Pallet (4000037): 1 pc | Edge protector (4000590): 2 pcs</t>
  </si>
  <si>
    <t>IA-PPWR-TF-ST-054-STD-06-R00</t>
  </si>
  <si>
    <t>IA-PPWR-DOC-ST-054-STD-06-R00</t>
  </si>
  <si>
    <t>IA-PPWR-LBL-ST-054-STD-06-R00</t>
  </si>
  <si>
    <t>IA-PPWR-STM-ST-054-STD-06-R00</t>
  </si>
  <si>
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</si>
  <si>
    <t>Starter 54-unit | Standard Pallet 1030×1110×152 mm | Variant 07</t>
  </si>
  <si>
    <t>D31 | D31 PVC üst kapak (4001310): 54 adet | Köşebent (4000590): 2 adet</t>
  </si>
  <si>
    <t>D31 | D31 PVC upper cover (4001310): 54 pcs | Edge protector (4000590): 2 pcs</t>
  </si>
  <si>
    <t>IA-PPWR-TF-ST-054-STD-07-R00</t>
  </si>
  <si>
    <t>IA-PPWR-DOC-ST-054-STD-07-R00</t>
  </si>
  <si>
    <t>IA-PPWR-LBL-ST-054-STD-07-R00</t>
  </si>
  <si>
    <t>IA-PPWR-STM-ST-054-STD-07-R00</t>
  </si>
  <si>
    <t>1011762; 1011764; 1013775; 1013995; 1013996</t>
  </si>
  <si>
    <t>Starter 54-unit | Standard Pallet 1030×1110×152 mm | Variant 08</t>
  </si>
  <si>
    <t>L4, LB4 | Palet (4000037): 1 adet | Köşebent (4000590): kullanılmaz</t>
  </si>
  <si>
    <t>L4, LB4 | Pallet (4000037): 1 pc | Edge protector (4000590): not used</t>
  </si>
  <si>
    <t>IA-PPWR-TF-ST-054-STD-08-R00</t>
  </si>
  <si>
    <t>IA-PPWR-DOC-ST-054-STD-08-R00</t>
  </si>
  <si>
    <t>IA-PPWR-LBL-ST-054-STD-08-R00</t>
  </si>
  <si>
    <t>IA-PPWR-STM-ST-054-STD-08-R00</t>
  </si>
  <si>
    <t>1011154; 1011155; 1011169; 1011196; 1011197; 1011218; 1011232; 1012179; 1012686; 1012976; 1013081; 1014012; 1014579; 1014589; 1014921; 1014939; 1015042</t>
  </si>
  <si>
    <t>Starter 54-unit | Standard Pallet 1030×1110×152 mm | Variant 09</t>
  </si>
  <si>
    <t>D31 | D31 PVC üst kapak (4001310): 54 adet | Çember (4000450): kullanılmaz</t>
  </si>
  <si>
    <t>D31 | D31 PVC upper cover (4001310): 54 pcs | Strap (4000450): not used</t>
  </si>
  <si>
    <t>IA-PPWR-TF-ST-054-STD-09-R00</t>
  </si>
  <si>
    <t>IA-PPWR-DOC-ST-054-STD-09-R00</t>
  </si>
  <si>
    <t>IA-PPWR-LBL-ST-054-STD-09-R00</t>
  </si>
  <si>
    <t>IA-PPWR-STM-ST-054-STD-09-R00</t>
  </si>
  <si>
    <t>1012249; 1012250; 1012251; 1012364</t>
  </si>
  <si>
    <t>Starter 54-unit | Standard Pallet 1030×1110×152 mm | Variant 10</t>
  </si>
  <si>
    <t>D31 | Palet (4000037): 1 adet | Shrink film (4001177): 0.597 kg</t>
  </si>
  <si>
    <t>D31 | Pallet (4000037): 1 pc | Shrink film (4001177): 0.597 kg</t>
  </si>
  <si>
    <t>IA-PPWR-TF-ST-054-STD-10-R00</t>
  </si>
  <si>
    <t>IA-PPWR-DOC-ST-054-STD-10-R00</t>
  </si>
  <si>
    <t>IA-PPWR-LBL-ST-054-STD-10-R00</t>
  </si>
  <si>
    <t>IA-PPWR-STM-ST-054-STD-10-R00</t>
  </si>
  <si>
    <t>Starter 54-unit | Standard Pallet 1030×1110×152 mm | Variant 11</t>
  </si>
  <si>
    <t>L4 | Palet (4000037): 1 adet | Shrink film (4001177): 0.597 kg</t>
  </si>
  <si>
    <t>L4 | Pallet (4000037): 1 pc | Shrink film (4001177): 0.597 kg</t>
  </si>
  <si>
    <t>IA-PPWR-TF-ST-054-STD-11-R00</t>
  </si>
  <si>
    <t>IA-PPWR-DOC-ST-054-STD-11-R00</t>
  </si>
  <si>
    <t>IA-PPWR-LBL-ST-054-STD-11-R00</t>
  </si>
  <si>
    <t>IA-PPWR-STM-ST-054-STD-11-R00</t>
  </si>
  <si>
    <t>Starter 54-unit | Standard Pallet 1030×1110×152 mm | Variant 12</t>
  </si>
  <si>
    <t>LB4 | Palet (4000037): 1 adet | Shrink film (4001177): 0.597 kg</t>
  </si>
  <si>
    <t>LB4 | Pallet (4000037): 1 pc | Shrink film (4001177): 0.597 kg</t>
  </si>
  <si>
    <t>IA-PPWR-TF-ST-054-STD-12-R00</t>
  </si>
  <si>
    <t>IA-PPWR-DOC-ST-054-STD-12-R00</t>
  </si>
  <si>
    <t>IA-PPWR-LBL-ST-054-STD-12-R00</t>
  </si>
  <si>
    <t>IA-PPWR-STM-ST-054-STD-12-R00</t>
  </si>
  <si>
    <t>Starter 56-unit | Euro Pallet 800×1200×152 mm | Variant 01</t>
  </si>
  <si>
    <t>L4 | L4 İnci AGM LEO 80AH 800A pencereli dış koli (4001341): 56 adet</t>
  </si>
  <si>
    <t>L4 | L4 İnci AGM LEO 80AH 800A windowed outer carton (4001341): 56 pcs</t>
  </si>
  <si>
    <t>IA-PPWR-TF-ST-056-EUR-01-R00</t>
  </si>
  <si>
    <t>IA-PPWR-DOC-ST-056-EUR-01-R00</t>
  </si>
  <si>
    <t>IA-PPWR-LBL-ST-056-EUR-01-R00</t>
  </si>
  <si>
    <t>IA-PPWR-STM-ST-056-EUR-01-R00</t>
  </si>
  <si>
    <t>1013920; 1014661; 1014666; 1014670; 1015030; 1015031; 1015103; 1015275</t>
  </si>
  <si>
    <t>Starter 56-unit | Euro Pallet 800×1200×152 mm | Variant 02</t>
  </si>
  <si>
    <t>IA-PPWR-TF-ST-056-EUR-02-R00</t>
  </si>
  <si>
    <t>IA-PPWR-DOC-ST-056-EUR-02-R00</t>
  </si>
  <si>
    <t>IA-PPWR-LBL-ST-056-EUR-02-R00</t>
  </si>
  <si>
    <t>IA-PPWR-STM-ST-056-EUR-02-R00</t>
  </si>
  <si>
    <t>1009950; 1011687; 1012600; 1012873; 1012878; 1012894; 1012898; 1013194; 1013195; 1013572; 1013717; 1013744; 1013745; 1013847; 1014168; 1014620; 1014645; 1014771</t>
  </si>
  <si>
    <t>Starter 56-unit | Euro Pallet 800×1200×152 mm | Variant 03</t>
  </si>
  <si>
    <t>L4, LB4 | Palet (4000038): 1 adet | Shrink film (4000554): 1.904 kg</t>
  </si>
  <si>
    <t>L4, LB4 | Pallet (4000038): 1 pc | Shrink film (4000554): 1.904 kg</t>
  </si>
  <si>
    <t>IA-PPWR-TF-ST-056-EUR-03-R00</t>
  </si>
  <si>
    <t>IA-PPWR-DOC-ST-056-EUR-03-R00</t>
  </si>
  <si>
    <t>IA-PPWR-LBL-ST-056-EUR-03-R00</t>
  </si>
  <si>
    <t>IA-PPWR-STM-ST-056-EUR-03-R00</t>
  </si>
  <si>
    <t>1008311; 1013638; 1013639; 1013722; 1013834</t>
  </si>
  <si>
    <t>Starter 56-unit | Euro Pallet 800×1200×152 mm | Variant 04</t>
  </si>
  <si>
    <t>LB4, L4 | Palet (4000038): 1 adet | Köşebent (4000590): 2 adet</t>
  </si>
  <si>
    <t>LB4, L4 | Pallet (4000038): 1 pc | Edge protector (4000590): 2 pcs</t>
  </si>
  <si>
    <t>IA-PPWR-TF-ST-056-EUR-04-R00</t>
  </si>
  <si>
    <t>IA-PPWR-DOC-ST-056-EUR-04-R00</t>
  </si>
  <si>
    <t>IA-PPWR-LBL-ST-056-EUR-04-R00</t>
  </si>
  <si>
    <t>IA-PPWR-STM-ST-056-EUR-04-R00</t>
  </si>
  <si>
    <t>Starter 56-unit | Euro,800*1200*152 | Type L4, LB4</t>
  </si>
  <si>
    <t>IA-ST-CFG-0154 Product Variant 0297</t>
  </si>
  <si>
    <t>IA-PPWR-TF-ST-056-STD-01-R00</t>
  </si>
  <si>
    <t>IA-PPWR-DOC-ST-056-STD-01-R00</t>
  </si>
  <si>
    <t>IA-PPWR-LBL-ST-056-STD-01-R00</t>
  </si>
  <si>
    <t>IA-PPWR-STM-ST-056-STD-01-R00</t>
  </si>
  <si>
    <t>IA-ST-CFG-0154 Product Variant 0298</t>
  </si>
  <si>
    <t>IA-PPWR-TF-ST-056-STD-02-R00</t>
  </si>
  <si>
    <t>IA-PPWR-DOC-ST-056-STD-02-R00</t>
  </si>
  <si>
    <t>IA-PPWR-LBL-ST-056-STD-02-R00</t>
  </si>
  <si>
    <t>IA-PPWR-STM-ST-056-STD-02-R00</t>
  </si>
  <si>
    <t>1012972; 1012973; 1013222; 1015004; 1015005; 1015178; 1015179</t>
  </si>
  <si>
    <t>Starter 57-unit | Euro Pallet 800×1200×152 mm | Variant 01</t>
  </si>
  <si>
    <t>D26 | Palet (4000038): 1 adet | Honeycomb (4001186): 3 adet</t>
  </si>
  <si>
    <t>D26 | Pallet (4000038): 1 pc | Honeycomb (4001186): 3 pcs</t>
  </si>
  <si>
    <t>IA-PPWR-TF-ST-057-EUR-01-R00</t>
  </si>
  <si>
    <t>IA-PPWR-DOC-ST-057-EUR-01-R00</t>
  </si>
  <si>
    <t>IA-PPWR-LBL-ST-057-EUR-01-R00</t>
  </si>
  <si>
    <t>IA-PPWR-STM-ST-057-EUR-01-R00</t>
  </si>
  <si>
    <t>1014714; 1014932</t>
  </si>
  <si>
    <t>Starter 57-unit | Euro Pallet 800×1200×152 mm | Variant 02</t>
  </si>
  <si>
    <t>D26 | Palet (4000038): 1 adet | EPS (4001247): 3 adet</t>
  </si>
  <si>
    <t>D26 | Pallet (4000038): 1 pc | EPS (4001247): 3 pcs</t>
  </si>
  <si>
    <t>IA-PPWR-TF-ST-057-EUR-02-R00</t>
  </si>
  <si>
    <t>IA-PPWR-DOC-ST-057-EUR-02-R00</t>
  </si>
  <si>
    <t>IA-PPWR-LBL-ST-057-EUR-02-R00</t>
  </si>
  <si>
    <t>IA-PPWR-STM-ST-057-EUR-02-R00</t>
  </si>
  <si>
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</si>
  <si>
    <t>Starter 57-unit | Euro Pallet 800×1200×152 mm | Variant 03</t>
  </si>
  <si>
    <t>L2, LB2 | Palet (4000038): 1 adet | Köşebent (4000590): 4 adet</t>
  </si>
  <si>
    <t>L2, LB2 | Pallet (4000038): 1 pc | Edge protector (4000590): 4 pcs</t>
  </si>
  <si>
    <t>IA-PPWR-TF-ST-057-EUR-03-R00</t>
  </si>
  <si>
    <t>IA-PPWR-DOC-ST-057-EUR-03-R00</t>
  </si>
  <si>
    <t>IA-PPWR-LBL-ST-057-EUR-03-R00</t>
  </si>
  <si>
    <t>IA-PPWR-STM-ST-057-EUR-03-R00</t>
  </si>
  <si>
    <t>1012612; 1012631; 1012632; 1012699; 1014198; 1014210; 1014991; 1014992; 1014993</t>
  </si>
  <si>
    <t>Starter 57-unit | Euro Pallet 800×1200×152 mm | Variant 04</t>
  </si>
  <si>
    <t>L2, LB2 | Palet (4000038): 1 adet | Shrink film (4000558): 2.166 kg</t>
  </si>
  <si>
    <t>L2, LB2 | Pallet (4000038): 1 pc | Shrink film (4000558): 2.166 kg</t>
  </si>
  <si>
    <t>IA-PPWR-TF-ST-057-EUR-04-R00</t>
  </si>
  <si>
    <t>IA-PPWR-DOC-ST-057-EUR-04-R00</t>
  </si>
  <si>
    <t>IA-PPWR-LBL-ST-057-EUR-04-R00</t>
  </si>
  <si>
    <t>IA-PPWR-STM-ST-057-EUR-04-R00</t>
  </si>
  <si>
    <t>1011398; 1012743; 1012744; 1014039; 1014049; 1014653; 1014654; 1015112; 1015113; 1015263</t>
  </si>
  <si>
    <t>Starter 57-unit | Euro Pallet 800×1200×152 mm | Variant 05</t>
  </si>
  <si>
    <t>L2, LB2 | Palet (4000038): 1 adet | Shrink film (4000558): kullanılmaz | Köşebent (4000590): 2 adet</t>
  </si>
  <si>
    <t>L2, LB2 | Pallet (4000038): 1 pc | Shrink film (4000558): not used | Edge protector (4000590): 2 pcs</t>
  </si>
  <si>
    <t>IA-PPWR-TF-ST-057-EUR-05-R00</t>
  </si>
  <si>
    <t>IA-PPWR-DOC-ST-057-EUR-05-R00</t>
  </si>
  <si>
    <t>IA-PPWR-LBL-ST-057-EUR-05-R00</t>
  </si>
  <si>
    <t>IA-PPWR-STM-ST-057-EUR-05-R00</t>
  </si>
  <si>
    <t>Starter 57-unit | Standard Pallet 1030×1110×152 mm | Variant 01</t>
  </si>
  <si>
    <t>D26 | D26 İnciEFBPANTERA pencereli YÜKSEK DL dış koli (4001271): 57 adet</t>
  </si>
  <si>
    <t>D26 | D26 İnciEFBPANTERA windowed YÜKSEK DL outer carton (4001271): 57 pcs</t>
  </si>
  <si>
    <t>IA-PPWR-TF-ST-057-STD-01-R00</t>
  </si>
  <si>
    <t>IA-PPWR-DOC-ST-057-STD-01-R00</t>
  </si>
  <si>
    <t>IA-PPWR-LBL-ST-057-STD-01-R00</t>
  </si>
  <si>
    <t>IA-PPWR-STM-ST-057-STD-01-R00</t>
  </si>
  <si>
    <t>Starter 57-unit | Standard Pallet 1030×1110×152 mm | Variant 02</t>
  </si>
  <si>
    <t>D26 | D26 EAS Activa penceresiz (YÜKSEK) dış koli (4001287): 57 adet</t>
  </si>
  <si>
    <t>D26 | D26 EAS Activa windowless (YÜKSEK) outer carton (4001287): 57 pcs</t>
  </si>
  <si>
    <t>IA-PPWR-TF-ST-057-STD-02-R00</t>
  </si>
  <si>
    <t>IA-PPWR-DOC-ST-057-STD-02-R00</t>
  </si>
  <si>
    <t>IA-PPWR-LBL-ST-057-STD-02-R00</t>
  </si>
  <si>
    <t>IA-PPWR-STM-ST-057-STD-02-R00</t>
  </si>
  <si>
    <t>1013321; 1013791</t>
  </si>
  <si>
    <t>Starter 57-unit | Standard Pallet 1030×1110×152 mm | Variant 03</t>
  </si>
  <si>
    <t>D26 | D26 YUASA ORTADOĞU penceresiz dış koli (4001289): 57 adet</t>
  </si>
  <si>
    <t>D26 | D26 YUASA ORTADOĞU windowless outer carton (4001289): 57 pcs</t>
  </si>
  <si>
    <t>IA-PPWR-TF-ST-057-STD-03-R00</t>
  </si>
  <si>
    <t>IA-PPWR-DOC-ST-057-STD-03-R00</t>
  </si>
  <si>
    <t>IA-PPWR-LBL-ST-057-STD-03-R00</t>
  </si>
  <si>
    <t>IA-PPWR-STM-ST-057-STD-03-R00</t>
  </si>
  <si>
    <t>Starter 57-unit | Euro,800*1200*152 | Type D26</t>
  </si>
  <si>
    <t>IA-ST-CFG-0158 Product Variant 0303</t>
  </si>
  <si>
    <t>IA-PPWR-TF-ST-057-STD-04-R00</t>
  </si>
  <si>
    <t>IA-PPWR-DOC-ST-057-STD-04-R00</t>
  </si>
  <si>
    <t>IA-PPWR-LBL-ST-057-STD-04-R00</t>
  </si>
  <si>
    <t>IA-PPWR-STM-ST-057-STD-04-R00</t>
  </si>
  <si>
    <t>1012662; 1012674; 1012675; 1012676</t>
  </si>
  <si>
    <t>Starter 57-unit | Euro,800*1200*152 | Type L2, LB2</t>
  </si>
  <si>
    <t>IA-ST-CFG-0159 Product Variant 0304</t>
  </si>
  <si>
    <t>IA-PPWR-TF-ST-057-STD-05-R00</t>
  </si>
  <si>
    <t>IA-PPWR-DOC-ST-057-STD-05-R00</t>
  </si>
  <si>
    <t>IA-PPWR-LBL-ST-057-STD-05-R00</t>
  </si>
  <si>
    <t>IA-PPWR-STM-ST-057-STD-05-R00</t>
  </si>
  <si>
    <t>Starter 60-unit | Euro Pallet 800×1200×152 mm | Variant 01</t>
  </si>
  <si>
    <t>D23 | D23 YUASA penceresiz Orta Doğu dış koli (4001106): 60 adet</t>
  </si>
  <si>
    <t>D23 | D23 YUASA windowless Middle East outer carton (4001106): 60 pcs</t>
  </si>
  <si>
    <t>IA-PPWR-TF-ST-060-EUR-01-R00</t>
  </si>
  <si>
    <t>IA-PPWR-DOC-ST-060-EUR-01-R00</t>
  </si>
  <si>
    <t>IA-PPWR-LBL-ST-060-EUR-01-R00</t>
  </si>
  <si>
    <t>IA-PPWR-STM-ST-060-EUR-01-R00</t>
  </si>
  <si>
    <t>1009931; 1012507; 1013429; 1013574; 1013575; 1013747; 1014189; 1014213; 1014647; 1014772; 1014852; 1015106; 1015315</t>
  </si>
  <si>
    <t>Starter 60-unit | Euro Pallet 800×1200×152 mm | Variant 02</t>
  </si>
  <si>
    <t>D23 | D23 PVC üst kapak (4000461): 60 adet</t>
  </si>
  <si>
    <t>D23 | D23 PVC upper cover (4000461): 60 pcs</t>
  </si>
  <si>
    <t>IA-PPWR-TF-ST-060-EUR-02-R00</t>
  </si>
  <si>
    <t>IA-PPWR-DOC-ST-060-EUR-02-R00</t>
  </si>
  <si>
    <t>IA-PPWR-LBL-ST-060-EUR-02-R00</t>
  </si>
  <si>
    <t>IA-PPWR-STM-ST-060-EUR-02-R00</t>
  </si>
  <si>
    <t>1011971; 1012160</t>
  </si>
  <si>
    <t>Starter 60-unit | Standard Pallet 1030×1110×152 mm | Variant 01</t>
  </si>
  <si>
    <t>L5 | L5 EAS Activa penceresiz dış koli (4001006): 60 adet</t>
  </si>
  <si>
    <t>L5 | L5 EAS Activa windowless outer carton (4001006): 60 pcs</t>
  </si>
  <si>
    <t>IA-PPWR-TF-ST-060-STD-01-R00</t>
  </si>
  <si>
    <t>IA-PPWR-DOC-ST-060-STD-01-R00</t>
  </si>
  <si>
    <t>IA-PPWR-LBL-ST-060-STD-01-R00</t>
  </si>
  <si>
    <t>IA-PPWR-STM-ST-060-STD-01-R00</t>
  </si>
  <si>
    <t>1014461; 1014465</t>
  </si>
  <si>
    <t>Starter 60-unit | Standard Pallet 1030×1110×152 mm | Variant 02</t>
  </si>
  <si>
    <t>L5 | L5 YUASA penceresiz Orta Doğu dış koli (4001105): 60 adet</t>
  </si>
  <si>
    <t>L5 | L5 YUASA windowless Middle East outer carton (4001105): 60 pcs</t>
  </si>
  <si>
    <t>IA-PPWR-TF-ST-060-STD-02-R00</t>
  </si>
  <si>
    <t>IA-PPWR-DOC-ST-060-STD-02-R00</t>
  </si>
  <si>
    <t>IA-PPWR-LBL-ST-060-STD-02-R00</t>
  </si>
  <si>
    <t>IA-PPWR-STM-ST-060-STD-02-R00</t>
  </si>
  <si>
    <t>Starter 60-unit | Standard Pallet 1030×1110×152 mm | Variant 03</t>
  </si>
  <si>
    <t>L5 | L5 İnci EFB MAX TIGRIS pencereli 2020 dış koli (4001274): 60 adet</t>
  </si>
  <si>
    <t>L5 | L5 İnci EFB MAX TIGRIS windowed 2020 outer carton (4001274): 60 pcs</t>
  </si>
  <si>
    <t>IA-PPWR-TF-ST-060-STD-03-R00</t>
  </si>
  <si>
    <t>IA-PPWR-DOC-ST-060-STD-03-R00</t>
  </si>
  <si>
    <t>IA-PPWR-LBL-ST-060-STD-03-R00</t>
  </si>
  <si>
    <t>IA-PPWR-STM-ST-060-STD-03-R00</t>
  </si>
  <si>
    <t>Starter 60-unit | Standard Pallet 1030×1110×152 mm | Variant 04</t>
  </si>
  <si>
    <t>L5 | L5 İnciEFBPANTRA pencereli 90AH830A DL dış koli (4001320): 60 adet</t>
  </si>
  <si>
    <t>L5 | L5 İnciEFBPANTRA windowed 90AH830A DL outer carton (4001320): 60 pcs</t>
  </si>
  <si>
    <t>IA-PPWR-TF-ST-060-STD-04-R00</t>
  </si>
  <si>
    <t>IA-PPWR-DOC-ST-060-STD-04-R00</t>
  </si>
  <si>
    <t>IA-PPWR-LBL-ST-060-STD-04-R00</t>
  </si>
  <si>
    <t>IA-PPWR-STM-ST-060-STD-04-R00</t>
  </si>
  <si>
    <t>Starter 60-unit | Standard Pallet 1030×1110×152 mm | Variant 05</t>
  </si>
  <si>
    <t>L5 | L5 İnci FORMULA-MAXIMA 2019 dış koli (4001208): 60 adet</t>
  </si>
  <si>
    <t>L5 | L5 İnci FORMULA-MAXIMA 2019 outer carton (4001208): 60 pcs</t>
  </si>
  <si>
    <t>IA-PPWR-TF-ST-060-STD-05-R00</t>
  </si>
  <si>
    <t>IA-PPWR-DOC-ST-060-STD-05-R00</t>
  </si>
  <si>
    <t>IA-PPWR-LBL-ST-060-STD-05-R00</t>
  </si>
  <si>
    <t>IA-PPWR-STM-ST-060-STD-05-R00</t>
  </si>
  <si>
    <t>1012970; 1012971; 1014368; 1014379; 1015002; 1015003; 1015177</t>
  </si>
  <si>
    <t>Starter 63-unit | Euro Pallet 800×1200×152 mm | Variant 01</t>
  </si>
  <si>
    <t>D23 | Palet (4000038): 1 adet | Honeycomb (4001186): 3 adet</t>
  </si>
  <si>
    <t>D23 | Pallet (4000038): 1 pc | Honeycomb (4001186): 3 pcs</t>
  </si>
  <si>
    <t>IA-PPWR-TF-ST-063-EUR-01-R00</t>
  </si>
  <si>
    <t>IA-PPWR-DOC-ST-063-EUR-01-R00</t>
  </si>
  <si>
    <t>IA-PPWR-LBL-ST-063-EUR-01-R00</t>
  </si>
  <si>
    <t>IA-PPWR-STM-ST-063-EUR-01-R00</t>
  </si>
  <si>
    <t>1014715; 1014716; 1014931</t>
  </si>
  <si>
    <t>Starter 63-unit | Euro Pallet 800×1200×152 mm | Variant 02</t>
  </si>
  <si>
    <t>D23 | Palet (4000038): 1 adet | EPS (4001247): 3 adet</t>
  </si>
  <si>
    <t>D23 | Pallet (4000038): 1 pc | EPS (4001247): 3 pcs</t>
  </si>
  <si>
    <t>IA-PPWR-TF-ST-063-EUR-02-R00</t>
  </si>
  <si>
    <t>IA-PPWR-DOC-ST-063-EUR-02-R00</t>
  </si>
  <si>
    <t>IA-PPWR-LBL-ST-063-EUR-02-R00</t>
  </si>
  <si>
    <t>IA-PPWR-STM-ST-063-EUR-02-R00</t>
  </si>
  <si>
    <t>Starter 63-unit | Standard Pallet 1030×1110×152 mm | Variant 01</t>
  </si>
  <si>
    <t>D23 | D23 İnci EFBPANTERA YÜKSEK PENLİ DL dış koli (4001270): 63 adet</t>
  </si>
  <si>
    <t>D23 | D23 İnci EFBPANTERA YÜKSEK PENLİ DL outer carton (4001270): 63 pcs</t>
  </si>
  <si>
    <t>IA-PPWR-TF-ST-063-STD-01-R00</t>
  </si>
  <si>
    <t>IA-PPWR-DOC-ST-063-STD-01-R00</t>
  </si>
  <si>
    <t>IA-PPWR-LBL-ST-063-STD-01-R00</t>
  </si>
  <si>
    <t>IA-PPWR-STM-ST-063-STD-01-R00</t>
  </si>
  <si>
    <t>1013397; 1015268</t>
  </si>
  <si>
    <t>Starter 63-unit | Standard Pallet 1030×1110×152 mm | Variant 02</t>
  </si>
  <si>
    <t>D26 | Palet (4000037): 1 adet | Separatör (4000130): 1 adet | EPS (4000370): 3 adet</t>
  </si>
  <si>
    <t>D26 | Pallet (4000037): 1 pc | Separator (4000130): 1 pc | EPS (4000370): 3 pcs</t>
  </si>
  <si>
    <t>IA-PPWR-TF-ST-063-STD-02-R00</t>
  </si>
  <si>
    <t>IA-PPWR-DOC-ST-063-STD-02-R00</t>
  </si>
  <si>
    <t>IA-PPWR-LBL-ST-063-STD-02-R00</t>
  </si>
  <si>
    <t>IA-PPWR-STM-ST-063-STD-02-R00</t>
  </si>
  <si>
    <t>Starter 63-unit | Standard Pallet 1030×1110×152 mm | Variant 03</t>
  </si>
  <si>
    <t>D26 | Separatör (4000130): 1 adet | D26 PVC üst kapak (4000440): 63 adet</t>
  </si>
  <si>
    <t>D26 | Separator (4000130): 1 pc | D26 PVC upper cover (4000440): 63 pcs</t>
  </si>
  <si>
    <t>IA-PPWR-TF-ST-063-STD-03-R00</t>
  </si>
  <si>
    <t>IA-PPWR-DOC-ST-063-STD-03-R00</t>
  </si>
  <si>
    <t>IA-PPWR-LBL-ST-063-STD-03-R00</t>
  </si>
  <si>
    <t>IA-PPWR-STM-ST-063-STD-03-R00</t>
  </si>
  <si>
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</si>
  <si>
    <t>Starter 63-unit | Standard Pallet 1030×1110×152 mm | Variant 04</t>
  </si>
  <si>
    <t>D26 | D26 PVC üst kapak (4000440): 63 adet | Köşebent (4000590): 2 adet</t>
  </si>
  <si>
    <t>D26 | D26 PVC upper cover (4000440): 63 pcs | Edge protector (4000590): 2 pcs</t>
  </si>
  <si>
    <t>IA-PPWR-TF-ST-063-STD-04-R00</t>
  </si>
  <si>
    <t>IA-PPWR-DOC-ST-063-STD-04-R00</t>
  </si>
  <si>
    <t>IA-PPWR-LBL-ST-063-STD-04-R00</t>
  </si>
  <si>
    <t>IA-PPWR-STM-ST-063-STD-04-R00</t>
  </si>
  <si>
    <t>1011152; 1011153; 1011168; 1011195; 1012096; 1013999; 1014596; 1014941</t>
  </si>
  <si>
    <t>Starter 63-unit | Standard Pallet 1030×1110×152 mm | Variant 05</t>
  </si>
  <si>
    <t>D26 | D26 PVC üst kapak (4000440): 63 adet | Çember (4000450): kullanılmaz</t>
  </si>
  <si>
    <t>D26 | D26 PVC upper cover (4000440): 63 pcs | Strap (4000450): not used</t>
  </si>
  <si>
    <t>IA-PPWR-TF-ST-063-STD-05-R00</t>
  </si>
  <si>
    <t>IA-PPWR-DOC-ST-063-STD-05-R00</t>
  </si>
  <si>
    <t>IA-PPWR-LBL-ST-063-STD-05-R00</t>
  </si>
  <si>
    <t>IA-PPWR-STM-ST-063-STD-05-R00</t>
  </si>
  <si>
    <t>Starter 63-unit | Standard Pallet 1030×1110×152 mm | Variant 06</t>
  </si>
  <si>
    <t>L3 | Palet (4000037): 1 adet | Köşebent (4000590): 4 adet</t>
  </si>
  <si>
    <t>L3 | Pallet (4000037): 1 pc | Edge protector (4000590): 4 pcs</t>
  </si>
  <si>
    <t>IA-PPWR-TF-ST-063-STD-06-R00</t>
  </si>
  <si>
    <t>IA-PPWR-DOC-ST-063-STD-06-R00</t>
  </si>
  <si>
    <t>IA-PPWR-LBL-ST-063-STD-06-R00</t>
  </si>
  <si>
    <t>IA-PPWR-STM-ST-063-STD-06-R00</t>
  </si>
  <si>
    <t>1010899; 1011861; 1011862; 1011863; 1011867; 1011868; 1012137; 1012139; 1012333; 1012334; 1012335; 1012471; 1012586; 1012703; 1012707; 1012710; 1014203; 1014223; 1014397; 1014622; 1014820; 1014986; 1015159; 1015163; 1015193</t>
  </si>
  <si>
    <t>Starter 63-unit | Standard Pallet 1030×1110×152 mm | Variant 07</t>
  </si>
  <si>
    <t>LB3 | Palet (4000037): 1 adet | Shrink film (4000558): 1.95 kg | Köşebent (4000590): 2 adet</t>
  </si>
  <si>
    <t>LB3 | Pallet (4000037): 1 pc | Shrink film (4000558): 1.95 kg | Edge protector (4000590): 2 pcs</t>
  </si>
  <si>
    <t>IA-PPWR-TF-ST-063-STD-07-R00</t>
  </si>
  <si>
    <t>IA-PPWR-DOC-ST-063-STD-07-R00</t>
  </si>
  <si>
    <t>IA-PPWR-LBL-ST-063-STD-07-R00</t>
  </si>
  <si>
    <t>IA-PPWR-STM-ST-063-STD-07-R00</t>
  </si>
  <si>
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</si>
  <si>
    <t>Starter 63-unit | Standard Pallet 1030×1110×152 mm | Variant 08</t>
  </si>
  <si>
    <t>L3 | Palet (4000037): 1 adet | Separatör (4000130): 4 adet | Shrink film (4000558): 2.08 kg</t>
  </si>
  <si>
    <t>L3 | Pallet (4000037): 1 pc | Separator (4000130): 4 pcs | Shrink film (4000558): 2.08 kg</t>
  </si>
  <si>
    <t>IA-PPWR-TF-ST-063-STD-08-R00</t>
  </si>
  <si>
    <t>IA-PPWR-DOC-ST-063-STD-08-R00</t>
  </si>
  <si>
    <t>IA-PPWR-LBL-ST-063-STD-08-R00</t>
  </si>
  <si>
    <t>IA-PPWR-STM-ST-063-STD-08-R00</t>
  </si>
  <si>
    <t>Starter 63-unit | Standard Pallet 1030×1110×152 mm | Variant 09</t>
  </si>
  <si>
    <t>LB3 | Palet (4000037): 1 adet | Shrink film (4000558): kullanılmaz</t>
  </si>
  <si>
    <t>LB3 | Pallet (4000037): 1 pc | Shrink film (4000558): not used</t>
  </si>
  <si>
    <t>IA-PPWR-TF-ST-063-STD-09-R00</t>
  </si>
  <si>
    <t>IA-PPWR-DOC-ST-063-STD-09-R00</t>
  </si>
  <si>
    <t>IA-PPWR-LBL-ST-063-STD-09-R00</t>
  </si>
  <si>
    <t>IA-PPWR-STM-ST-063-STD-09-R00</t>
  </si>
  <si>
    <t>1011163; 1011176; 1011203; 1011763; 1013994; 1014569; 1014578; 1014588; 1014755; 1014756; 1014757; 1014758</t>
  </si>
  <si>
    <t>Starter 63-unit | Standard Pallet 1030×1110×152 mm | Variant 10</t>
  </si>
  <si>
    <t>LB3 | Palet (4000037): 1 adet | Köşebent (4000590): kullanılmaz</t>
  </si>
  <si>
    <t>LB3 | Pallet (4000037): 1 pc | Edge protector (4000590): not used</t>
  </si>
  <si>
    <t>IA-PPWR-TF-ST-063-STD-10-R00</t>
  </si>
  <si>
    <t>IA-PPWR-DOC-ST-063-STD-10-R00</t>
  </si>
  <si>
    <t>IA-PPWR-LBL-ST-063-STD-10-R00</t>
  </si>
  <si>
    <t>IA-PPWR-STM-ST-063-STD-10-R00</t>
  </si>
  <si>
    <t>1011013; 1011048; 1011157; 1011158; 1011159; 1011174; 1011175; 1011194; 1011204; 1011205; 1011216; 1011225; 1011231; 1011685; 1011761; 1013774; 1014002; 1014003; 1014564; 1014565; 1014575; 1014576; 1014585; 1014586; 1014631; 1015302</t>
  </si>
  <si>
    <t>Starter 63-unit | Standard Pallet 1030×1110×152 mm | Variant 11</t>
  </si>
  <si>
    <t>L3, LB3 | Palet (4000037): 1 adet | Shrink film (4000558): 2.08 kg</t>
  </si>
  <si>
    <t>L3, LB3 | Pallet (4000037): 1 pc | Shrink film (4000558): 2.08 kg</t>
  </si>
  <si>
    <t>IA-PPWR-TF-ST-063-STD-11-R00</t>
  </si>
  <si>
    <t>IA-PPWR-DOC-ST-063-STD-11-R00</t>
  </si>
  <si>
    <t>IA-PPWR-LBL-ST-063-STD-11-R00</t>
  </si>
  <si>
    <t>IA-PPWR-STM-ST-063-STD-11-R00</t>
  </si>
  <si>
    <t>1012276; 1012277; 1012279; 1012280; 1012306; 1012309; 1013414</t>
  </si>
  <si>
    <t>Starter 63-unit | Standard Pallet 1030×1110×152 mm | Variant 12</t>
  </si>
  <si>
    <t>D26 | Palet (4000037): 1 adet | Shrink film (4001177): 0.597 kg</t>
  </si>
  <si>
    <t>D26 | Pallet (4000037): 1 pc | Shrink film (4001177): 0.597 kg</t>
  </si>
  <si>
    <t>IA-PPWR-TF-ST-063-STD-12-R00</t>
  </si>
  <si>
    <t>IA-PPWR-DOC-ST-063-STD-12-R00</t>
  </si>
  <si>
    <t>IA-PPWR-LBL-ST-063-STD-12-R00</t>
  </si>
  <si>
    <t>IA-PPWR-STM-ST-063-STD-12-R00</t>
  </si>
  <si>
    <t>Starter 63-unit | Standard Pallet 1030×1110×152 mm | Variant 13</t>
  </si>
  <si>
    <t>L3 | Palet (4000037): 1 adet | Shrink film (4001177): 0.597 kg</t>
  </si>
  <si>
    <t>L3 | Pallet (4000037): 1 pc | Shrink film (4001177): 0.597 kg</t>
  </si>
  <si>
    <t>IA-PPWR-TF-ST-063-STD-13-R00</t>
  </si>
  <si>
    <t>IA-PPWR-DOC-ST-063-STD-13-R00</t>
  </si>
  <si>
    <t>IA-PPWR-LBL-ST-063-STD-13-R00</t>
  </si>
  <si>
    <t>IA-PPWR-STM-ST-063-STD-13-R00</t>
  </si>
  <si>
    <t>1012337; 1012340; 1012425; 1012426; 1012428; 1012429; 1012956; 1014095</t>
  </si>
  <si>
    <t>Starter 63-unit | Standard Pallet 1030×1110×152 mm | Variant 14</t>
  </si>
  <si>
    <t>LB3, L3 | Palet (4000037): 1 adet | Shrink film (4001177): 0.597 kg</t>
  </si>
  <si>
    <t>LB3, L3 | Pallet (4000037): 1 pc | Shrink film (4001177): 0.597 kg</t>
  </si>
  <si>
    <t>IA-PPWR-TF-ST-063-STD-14-R00</t>
  </si>
  <si>
    <t>IA-PPWR-DOC-ST-063-STD-14-R00</t>
  </si>
  <si>
    <t>IA-PPWR-LBL-ST-063-STD-14-R00</t>
  </si>
  <si>
    <t>IA-PPWR-STM-ST-063-STD-14-R00</t>
  </si>
  <si>
    <t>1010991; 1014956</t>
  </si>
  <si>
    <t>Starter 63-unit | Standard Pallet 1030×1110×152 mm | Variant 15</t>
  </si>
  <si>
    <t>L3 | Palet (4000037): 1 adet | Separatör (4000130): 5 adet</t>
  </si>
  <si>
    <t>L3 | Pallet (4000037): 1 pc | Separator (4000130): 5 pcs</t>
  </si>
  <si>
    <t>IA-PPWR-TF-ST-063-STD-15-R00</t>
  </si>
  <si>
    <t>IA-PPWR-DOC-ST-063-STD-15-R00</t>
  </si>
  <si>
    <t>IA-PPWR-LBL-ST-063-STD-15-R00</t>
  </si>
  <si>
    <t>IA-PPWR-STM-ST-063-STD-15-R00</t>
  </si>
  <si>
    <t>Starter 63-unit | Euro,800*1200*152 | Type D23</t>
  </si>
  <si>
    <t>IA-ST-CFG-0187 Product Variant 0385</t>
  </si>
  <si>
    <t>IA-PPWR-TF-ST-063-STD-16-R00</t>
  </si>
  <si>
    <t>IA-PPWR-DOC-ST-063-STD-16-R00</t>
  </si>
  <si>
    <t>IA-PPWR-LBL-ST-063-STD-16-R00</t>
  </si>
  <si>
    <t>IA-PPWR-STM-ST-063-STD-16-R00</t>
  </si>
  <si>
    <t>Starter 64-unit | Euro Pallet 800×1200×152 mm | Variant 01</t>
  </si>
  <si>
    <t>L3 | L3 İnci AGM LEO 70AH 760A pencereli dış koli (4001237): 64 adet</t>
  </si>
  <si>
    <t>L3 | L3 İnci AGM LEO 70AH 760A windowed outer carton (4001237): 64 pcs</t>
  </si>
  <si>
    <t>IA-PPWR-TF-ST-064-EUR-01-R00</t>
  </si>
  <si>
    <t>IA-PPWR-DOC-ST-064-EUR-01-R00</t>
  </si>
  <si>
    <t>IA-PPWR-LBL-ST-064-EUR-01-R00</t>
  </si>
  <si>
    <t>IA-PPWR-STM-ST-064-EUR-01-R00</t>
  </si>
  <si>
    <t>Starter 66-unit | Standard Pallet 1030×1110×152 mm | Variant 01</t>
  </si>
  <si>
    <t>L2 | L2 YUASA penceresiz Orta Doğu dış koli (4001102): 66 adet</t>
  </si>
  <si>
    <t>L2 | L2 YUASA windowless Middle East outer carton (4001102): 66 pcs</t>
  </si>
  <si>
    <t>IA-PPWR-TF-ST-066-STD-01-R00</t>
  </si>
  <si>
    <t>IA-PPWR-DOC-ST-066-STD-01-R00</t>
  </si>
  <si>
    <t>IA-PPWR-LBL-ST-066-STD-01-R00</t>
  </si>
  <si>
    <t>IA-PPWR-STM-ST-066-STD-01-R00</t>
  </si>
  <si>
    <t>Starter 66-unit | Standard Pallet 1030×1110×152 mm | Variant 02</t>
  </si>
  <si>
    <t>L2 | L2 İnci AGM LEO 60AH 680A pencereli dış koli (4001340): 66 adet</t>
  </si>
  <si>
    <t>L2 | L2 İnci AGM LEO 60AH 680A windowed outer carton (4001340): 66 pcs</t>
  </si>
  <si>
    <t>IA-PPWR-TF-ST-066-STD-02-R00</t>
  </si>
  <si>
    <t>IA-PPWR-DOC-ST-066-STD-02-R00</t>
  </si>
  <si>
    <t>IA-PPWR-LBL-ST-066-STD-02-R00</t>
  </si>
  <si>
    <t>IA-PPWR-STM-ST-066-STD-02-R00</t>
  </si>
  <si>
    <t>Starter 66-unit | Standard Pallet 1030×1110×152 mm | Variant 03</t>
  </si>
  <si>
    <t>L2 | L2 EAS AGM S&amp;S 60AH 680A pencereli dış koli (4001395): 66 adet</t>
  </si>
  <si>
    <t>L2 | L2 EAS AGM S&amp;S 60AH 680A windowed outer carton (4001395): 66 pcs</t>
  </si>
  <si>
    <t>IA-PPWR-TF-ST-066-STD-03-R00</t>
  </si>
  <si>
    <t>IA-PPWR-DOC-ST-066-STD-03-R00</t>
  </si>
  <si>
    <t>IA-PPWR-LBL-ST-066-STD-03-R00</t>
  </si>
  <si>
    <t>IA-PPWR-STM-ST-066-STD-03-R00</t>
  </si>
  <si>
    <t>1013537; 1014659; 1014660; 1014664; 1014665; 1014669; 1015028; 1015029; 1015102; 1015274</t>
  </si>
  <si>
    <t>Starter 68-unit | Euro Pallet 800×1200×152 mm | Variant 01</t>
  </si>
  <si>
    <t>L3, LB3 | Palet (4000038): 1 adet | Köşebent (4000590): 4 adet</t>
  </si>
  <si>
    <t>L3, LB3 | Pallet (4000038): 1 pc | Edge protector (4000590): 4 pcs</t>
  </si>
  <si>
    <t>IA-PPWR-TF-ST-068-EUR-01-R00</t>
  </si>
  <si>
    <t>IA-PPWR-DOC-ST-068-EUR-01-R00</t>
  </si>
  <si>
    <t>IA-PPWR-LBL-ST-068-EUR-01-R00</t>
  </si>
  <si>
    <t>IA-PPWR-STM-ST-068-EUR-01-R00</t>
  </si>
  <si>
    <t>1011560; 1011575; 1011582; 1012487; 1012563; 1012877; 1012891; 1012892; 1013423; 1013464; 1014142; 1014644; 1014858</t>
  </si>
  <si>
    <t>Starter 68-unit | Euro Pallet 800×1200×152 mm | Variant 02</t>
  </si>
  <si>
    <t>LB3 | Palet (4000038): 1 adet | Shrink film (4000558): 2.105 kg</t>
  </si>
  <si>
    <t>LB3 | Pallet (4000038): 1 pc | Shrink film (4000558): 2.105 kg</t>
  </si>
  <si>
    <t>IA-PPWR-TF-ST-068-EUR-02-R00</t>
  </si>
  <si>
    <t>IA-PPWR-DOC-ST-068-EUR-02-R00</t>
  </si>
  <si>
    <t>IA-PPWR-LBL-ST-068-EUR-02-R00</t>
  </si>
  <si>
    <t>IA-PPWR-STM-ST-068-EUR-02-R00</t>
  </si>
  <si>
    <t>1008522; 1009874; 1011561; 1011576; 1011578; 1011738; 1012485; 1012520; 1012528; 1012872; 1012889; 1012890; 1013183; 1013285; 1013460; 1013465; 1013500; 1013743; 1013970; 1013984; 1014143; 1014619; 1014642; 1014688; 1014859</t>
  </si>
  <si>
    <t>Starter 68-unit | Euro Pallet 800×1200×152 mm | Variant 03</t>
  </si>
  <si>
    <t>L3 | Palet (4000038): 1 adet | Shrink film (4000558): 2.245 kg</t>
  </si>
  <si>
    <t>L3 | Pallet (4000038): 1 pc | Shrink film (4000558): 2.245 kg</t>
  </si>
  <si>
    <t>IA-PPWR-TF-ST-068-EUR-03-R00</t>
  </si>
  <si>
    <t>IA-PPWR-DOC-ST-068-EUR-03-R00</t>
  </si>
  <si>
    <t>IA-PPWR-LBL-ST-068-EUR-03-R00</t>
  </si>
  <si>
    <t>IA-PPWR-STM-ST-068-EUR-03-R00</t>
  </si>
  <si>
    <t>1006654; 1013625; 1013626; 1013632; 1013633; 1013635; 1013637</t>
  </si>
  <si>
    <t>Starter 68-unit | Euro Pallet 800×1200×152 mm | Variant 04</t>
  </si>
  <si>
    <t>LB3, L3 | Palet (4000038): 1 adet | Köşebent (4000590): 2 adet</t>
  </si>
  <si>
    <t>LB3, L3 | Pallet (4000038): 1 pc | Edge protector (4000590): 2 pcs</t>
  </si>
  <si>
    <t>IA-PPWR-TF-ST-068-EUR-04-R00</t>
  </si>
  <si>
    <t>IA-PPWR-DOC-ST-068-EUR-04-R00</t>
  </si>
  <si>
    <t>IA-PPWR-LBL-ST-068-EUR-04-R00</t>
  </si>
  <si>
    <t>IA-PPWR-STM-ST-068-EUR-04-R00</t>
  </si>
  <si>
    <t>Starter 68-unit | Standard Pallet 1030×1110×152 mm | Variant 01</t>
  </si>
  <si>
    <t>LB4 | LB4 YUASA penceresiz Orta Doğu dış koli (4001104): 68 adet</t>
  </si>
  <si>
    <t>LB4 | LB4 YUASA windowless Middle East outer carton (4001104): 68 pcs</t>
  </si>
  <si>
    <t>IA-PPWR-TF-ST-068-STD-01-R00</t>
  </si>
  <si>
    <t>IA-PPWR-DOC-ST-068-STD-01-R00</t>
  </si>
  <si>
    <t>IA-PPWR-LBL-ST-068-STD-01-R00</t>
  </si>
  <si>
    <t>IA-PPWR-STM-ST-068-STD-01-R00</t>
  </si>
  <si>
    <t>Starter 68-unit | Standard Pallet 1030×1110×152 mm | Variant 02</t>
  </si>
  <si>
    <t>L4 | L4 İnci EFB MAX TIGRIS pencereli 2020 dış koli (4001275): 68 adet</t>
  </si>
  <si>
    <t>L4 | L4 İnci EFB MAX TIGRIS windowed 2020 outer carton (4001275): 68 pcs</t>
  </si>
  <si>
    <t>IA-PPWR-TF-ST-068-STD-02-R00</t>
  </si>
  <si>
    <t>IA-PPWR-DOC-ST-068-STD-02-R00</t>
  </si>
  <si>
    <t>IA-PPWR-LBL-ST-068-STD-02-R00</t>
  </si>
  <si>
    <t>IA-PPWR-STM-ST-068-STD-02-R00</t>
  </si>
  <si>
    <t>Starter 68-unit | Standard Pallet 1030×1110×152 mm | Variant 03</t>
  </si>
  <si>
    <t>LB4 | LB4 İnci EFB PANTERA pencereli DL dış koli (4001316): 68 adet</t>
  </si>
  <si>
    <t>LB4 | LB4 İnci EFB PANTERA windowed DL outer carton (4001316): 68 pcs</t>
  </si>
  <si>
    <t>IA-PPWR-TF-ST-068-STD-03-R00</t>
  </si>
  <si>
    <t>IA-PPWR-DOC-ST-068-STD-03-R00</t>
  </si>
  <si>
    <t>IA-PPWR-LBL-ST-068-STD-03-R00</t>
  </si>
  <si>
    <t>IA-PPWR-STM-ST-068-STD-03-R00</t>
  </si>
  <si>
    <t>Starter 68-unit | Standard Pallet 1030×1110×152 mm | Variant 04</t>
  </si>
  <si>
    <t>L4 | L4 İnci EFB PANTERA pencereli DL dış koli (4001318): 68 adet</t>
  </si>
  <si>
    <t>L4 | L4 İnci EFB PANTERA windowed DL outer carton (4001318): 68 pcs</t>
  </si>
  <si>
    <t>IA-PPWR-TF-ST-068-STD-04-R00</t>
  </si>
  <si>
    <t>IA-PPWR-DOC-ST-068-STD-04-R00</t>
  </si>
  <si>
    <t>IA-PPWR-LBL-ST-068-STD-04-R00</t>
  </si>
  <si>
    <t>IA-PPWR-STM-ST-068-STD-04-R00</t>
  </si>
  <si>
    <t>Starter 68-unit | Euro,800*1200*152 | Type LB3</t>
  </si>
  <si>
    <t>IA-ST-CFG-0202 Product Variant 0415</t>
  </si>
  <si>
    <t>IA-PPWR-TF-ST-068-STD-05-R00</t>
  </si>
  <si>
    <t>IA-PPWR-DOC-ST-068-STD-05-R00</t>
  </si>
  <si>
    <t>IA-PPWR-LBL-ST-068-STD-05-R00</t>
  </si>
  <si>
    <t>IA-PPWR-STM-ST-068-STD-05-R00</t>
  </si>
  <si>
    <t>1012827; 1012829; 1012842; 1012843; 1012848; 1013870; 1014950</t>
  </si>
  <si>
    <t>Starter 68-unit | Euro,800*1200*152 | Type L3</t>
  </si>
  <si>
    <t>IA-ST-CFG-0203 Product Variant 0416</t>
  </si>
  <si>
    <t>IA-PPWR-TF-ST-068-STD-06-R00</t>
  </si>
  <si>
    <t>IA-PPWR-DOC-ST-068-STD-06-R00</t>
  </si>
  <si>
    <t>IA-PPWR-LBL-ST-068-STD-06-R00</t>
  </si>
  <si>
    <t>IA-PPWR-STM-ST-068-STD-06-R00</t>
  </si>
  <si>
    <t>1010842; 1013246</t>
  </si>
  <si>
    <t>IA-ST-CFG-0203 Product Variant 0417</t>
  </si>
  <si>
    <t>IA-PPWR-TF-ST-068-STD-07-R00</t>
  </si>
  <si>
    <t>IA-PPWR-DOC-ST-068-STD-07-R00</t>
  </si>
  <si>
    <t>IA-PPWR-LBL-ST-068-STD-07-R00</t>
  </si>
  <si>
    <t>IA-PPWR-STM-ST-068-STD-07-R00</t>
  </si>
  <si>
    <t>1012828; 1012830; 1012849</t>
  </si>
  <si>
    <t>IA-ST-CFG-0203 Product Variant 0418</t>
  </si>
  <si>
    <t>IA-PPWR-TF-ST-068-STD-08-R00</t>
  </si>
  <si>
    <t>IA-PPWR-DOC-ST-068-STD-08-R00</t>
  </si>
  <si>
    <t>IA-PPWR-LBL-ST-068-STD-08-R00</t>
  </si>
  <si>
    <t>IA-PPWR-STM-ST-068-STD-08-R00</t>
  </si>
  <si>
    <t>1012624; 1012629</t>
  </si>
  <si>
    <t>Starter 72-unit | Euro Pallet 800×1200×152 mm | Variant 01</t>
  </si>
  <si>
    <t>LB1 | Palet (4000038): 1 adet | Shrink film (4000556): 1.945 kg</t>
  </si>
  <si>
    <t>LB1 | Pallet (4000038): 1 pc | Shrink film (4000556): 1.945 kg</t>
  </si>
  <si>
    <t>IA-PPWR-TF-ST-072-EUR-01-R00</t>
  </si>
  <si>
    <t>IA-PPWR-DOC-ST-072-EUR-01-R00</t>
  </si>
  <si>
    <t>IA-PPWR-LBL-ST-072-EUR-01-R00</t>
  </si>
  <si>
    <t>IA-PPWR-STM-ST-072-EUR-01-R00</t>
  </si>
  <si>
    <t>Starter 72-unit | Euro Pallet 800×1200×152 mm | Variant 02</t>
  </si>
  <si>
    <t>L1 | Palet (4000038): 1 adet | Shrink film (4000556): 2.375 kg</t>
  </si>
  <si>
    <t>L1 | Pallet (4000038): 1 pc | Shrink film (4000556): 2.375 kg</t>
  </si>
  <si>
    <t>IA-PPWR-TF-ST-072-EUR-02-R00</t>
  </si>
  <si>
    <t>IA-PPWR-DOC-ST-072-EUR-02-R00</t>
  </si>
  <si>
    <t>IA-PPWR-LBL-ST-072-EUR-02-R00</t>
  </si>
  <si>
    <t>IA-PPWR-STM-ST-072-EUR-02-R00</t>
  </si>
  <si>
    <t>1012741; 1012742; 1014556; 1014557; 1015109; 1015110; 1015111; 1015262</t>
  </si>
  <si>
    <t>Starter 72-unit | Euro Pallet 800×1200×152 mm | Variant 03</t>
  </si>
  <si>
    <t>LB1, L1 | Palet (4000038): 1 adet | Köşebent (4000033): 2 adet</t>
  </si>
  <si>
    <t>LB1, L1 | Pallet (4000038): 1 pc | Edge protector (4000033): 2 pcs</t>
  </si>
  <si>
    <t>IA-PPWR-TF-ST-072-EUR-03-R00</t>
  </si>
  <si>
    <t>IA-PPWR-DOC-ST-072-EUR-03-R00</t>
  </si>
  <si>
    <t>IA-PPWR-LBL-ST-072-EUR-03-R00</t>
  </si>
  <si>
    <t>IA-PPWR-STM-ST-072-EUR-03-R00</t>
  </si>
  <si>
    <t>1011486; 1012099; 1012111; 1012125; 1012957; 1012958; 1012959; 1013043; 1013217; 1013218; 1013224; 1014367; 1014974; 1014975; 1014976; 1015174; 1015175; 1015209; 1015210; 1015211; 1015254</t>
  </si>
  <si>
    <t>Starter 72-unit | Euro Pallet 800×1200×152 mm | Variant 04</t>
  </si>
  <si>
    <t>L1, LB1 | Palet (4000038): 1 adet | Köşebent (4000033): 4 adet</t>
  </si>
  <si>
    <t>L1, LB1 | Pallet (4000038): 1 pc | Edge protector (4000033): 4 pcs</t>
  </si>
  <si>
    <t>IA-PPWR-TF-ST-072-EUR-04-R00</t>
  </si>
  <si>
    <t>IA-PPWR-DOC-ST-072-EUR-04-R00</t>
  </si>
  <si>
    <t>IA-PPWR-LBL-ST-072-EUR-04-R00</t>
  </si>
  <si>
    <t>IA-PPWR-STM-ST-072-EUR-04-R00</t>
  </si>
  <si>
    <t>1012497; 1012508; 1012789; 1013444; 1013445; 1013746; 1013860; 1013873; 1015107; 1015108; 1015314</t>
  </si>
  <si>
    <t>Starter 72-unit | Euro Pallet 800×1200×152 mm | Variant 05</t>
  </si>
  <si>
    <t>NS60 | NS60 PVC üst kapak (4000602): 72 adet</t>
  </si>
  <si>
    <t>NS60 | NS60 PVC upper cover (4000602): 72 pcs</t>
  </si>
  <si>
    <t>IA-PPWR-TF-ST-072-EUR-05-R00</t>
  </si>
  <si>
    <t>IA-PPWR-DOC-ST-072-EUR-05-R00</t>
  </si>
  <si>
    <t>IA-PPWR-LBL-ST-072-EUR-05-R00</t>
  </si>
  <si>
    <t>IA-PPWR-STM-ST-072-EUR-05-R00</t>
  </si>
  <si>
    <t>1009483; 1014963</t>
  </si>
  <si>
    <t>Starter 72-unit | Euro Pallet 800×1200×152 mm | Variant 06</t>
  </si>
  <si>
    <t>L0 | Palet (4000038): 1 adet | Köşebent (4000590): 4 adet</t>
  </si>
  <si>
    <t>L0 | Pallet (4000038): 1 pc | Edge protector (4000590): 4 pcs</t>
  </si>
  <si>
    <t>IA-PPWR-TF-ST-072-EUR-06-R00</t>
  </si>
  <si>
    <t>IA-PPWR-DOC-ST-072-EUR-06-R00</t>
  </si>
  <si>
    <t>IA-PPWR-LBL-ST-072-EUR-06-R00</t>
  </si>
  <si>
    <t>IA-PPWR-STM-ST-072-EUR-06-R00</t>
  </si>
  <si>
    <t>1012055; 1012057</t>
  </si>
  <si>
    <t>Starter 72-unit | Standard Pallet 1030×1110×152 mm | Variant 01</t>
  </si>
  <si>
    <t>L3 | L3 EAS Activa penceresiz dış koli (4000646): 72 adet</t>
  </si>
  <si>
    <t>L3 | L3 EAS Activa windowless outer carton (4000646): 72 pcs</t>
  </si>
  <si>
    <t>IA-PPWR-TF-ST-072-STD-01-R00</t>
  </si>
  <si>
    <t>IA-PPWR-DOC-ST-072-STD-01-R00</t>
  </si>
  <si>
    <t>IA-PPWR-LBL-ST-072-STD-01-R00</t>
  </si>
  <si>
    <t>IA-PPWR-STM-ST-072-STD-01-R00</t>
  </si>
  <si>
    <t>Starter 72-unit | Standard Pallet 1030×1110×152 mm | Variant 02</t>
  </si>
  <si>
    <t>LB3 | LB3 İnci EFB PANTERA pencereli DL dış koli (4001314): 72 adet</t>
  </si>
  <si>
    <t>LB3 | LB3 İnci EFB PANTERA windowed DL outer carton (4001314): 72 pcs</t>
  </si>
  <si>
    <t>IA-PPWR-TF-ST-072-STD-02-R00</t>
  </si>
  <si>
    <t>IA-PPWR-DOC-ST-072-STD-02-R00</t>
  </si>
  <si>
    <t>IA-PPWR-LBL-ST-072-STD-02-R00</t>
  </si>
  <si>
    <t>IA-PPWR-STM-ST-072-STD-02-R00</t>
  </si>
  <si>
    <t>Starter 72-unit | Standard Pallet 1030×1110×152 mm | Variant 03</t>
  </si>
  <si>
    <t>L3 | L3 İnci EFB PANTERA pencereli DL dış koli (4001315): 72 adet</t>
  </si>
  <si>
    <t>L3 | L3 İnci EFB PANTERA windowed DL outer carton (4001315): 72 pcs</t>
  </si>
  <si>
    <t>IA-PPWR-TF-ST-072-STD-03-R00</t>
  </si>
  <si>
    <t>IA-PPWR-DOC-ST-072-STD-03-R00</t>
  </si>
  <si>
    <t>IA-PPWR-LBL-ST-072-STD-03-R00</t>
  </si>
  <si>
    <t>IA-PPWR-STM-ST-072-STD-03-R00</t>
  </si>
  <si>
    <t>Starter 72-unit | Standard Pallet 1030×1110×152 mm | Variant 04</t>
  </si>
  <si>
    <t>L3 | L3 EAS EFB MAX pencereli 2024 dış koli (4001411): 72 adet</t>
  </si>
  <si>
    <t>L3 | L3 EAS EFB MAX windowed 2024 outer carton (4001411): 72 pcs</t>
  </si>
  <si>
    <t>IA-PPWR-TF-ST-072-STD-04-R00</t>
  </si>
  <si>
    <t>IA-PPWR-DOC-ST-072-STD-04-R00</t>
  </si>
  <si>
    <t>IA-PPWR-LBL-ST-072-STD-04-R00</t>
  </si>
  <si>
    <t>IA-PPWR-STM-ST-072-STD-04-R00</t>
  </si>
  <si>
    <t>Starter 72-unit | Standard Pallet 1030×1110×152 mm | Variant 05</t>
  </si>
  <si>
    <t>L1 | L1 EAS AGM S&amp;S 50AH 560A pencereli dış koli (4001394): 72 adet</t>
  </si>
  <si>
    <t>L1 | L1 EAS AGM S&amp;S 50AH 560A windowed outer carton (4001394): 72 pcs</t>
  </si>
  <si>
    <t>IA-PPWR-TF-ST-072-STD-05-R00</t>
  </si>
  <si>
    <t>IA-PPWR-DOC-ST-072-STD-05-R00</t>
  </si>
  <si>
    <t>IA-PPWR-LBL-ST-072-STD-05-R00</t>
  </si>
  <si>
    <t>IA-PPWR-STM-ST-072-STD-05-R00</t>
  </si>
  <si>
    <t>Starter 72-unit | Standard Pallet 1030×1110×152 mm | Variant 06</t>
  </si>
  <si>
    <t>L3 | L3 HUGEL ULTRA penceresiz 2013 TAS. dış koli (4000865): 72 adet</t>
  </si>
  <si>
    <t>L3 | L3 HUGEL ULTRA windowless 2013 TAS. outer carton (4000865): 72 pcs</t>
  </si>
  <si>
    <t>IA-PPWR-TF-ST-072-STD-06-R00</t>
  </si>
  <si>
    <t>IA-PPWR-DOC-ST-072-STD-06-R00</t>
  </si>
  <si>
    <t>IA-PPWR-LBL-ST-072-STD-06-R00</t>
  </si>
  <si>
    <t>IA-PPWR-STM-ST-072-STD-06-R00</t>
  </si>
  <si>
    <t>Starter 72-unit | Standard Pallet 1030×1110×152 mm | Variant 07</t>
  </si>
  <si>
    <t>LB3 | LB3 İnci FORMULA-MAXIMA 2019 dış koli (4001205): 72 adet</t>
  </si>
  <si>
    <t>LB3 | LB3 İnci FORMULA-MAXIMA 2019 outer carton (4001205): 72 pcs</t>
  </si>
  <si>
    <t>IA-PPWR-TF-ST-072-STD-07-R00</t>
  </si>
  <si>
    <t>IA-PPWR-DOC-ST-072-STD-07-R00</t>
  </si>
  <si>
    <t>IA-PPWR-LBL-ST-072-STD-07-R00</t>
  </si>
  <si>
    <t>IA-PPWR-STM-ST-072-STD-07-R00</t>
  </si>
  <si>
    <t>Starter 72-unit | Standard Pallet 1030×1110×152 mm | Variant 08</t>
  </si>
  <si>
    <t>D23 | Palet (4000037): 1 adet | Separatör (4000130): 1 adet</t>
  </si>
  <si>
    <t>D23 | Pallet (4000037): 1 pc | Separator (4000130): 1 pc</t>
  </si>
  <si>
    <t>IA-PPWR-TF-ST-072-STD-08-R00</t>
  </si>
  <si>
    <t>IA-PPWR-DOC-ST-072-STD-08-R00</t>
  </si>
  <si>
    <t>IA-PPWR-LBL-ST-072-STD-08-R00</t>
  </si>
  <si>
    <t>IA-PPWR-STM-ST-072-STD-08-R00</t>
  </si>
  <si>
    <t>Starter 72-unit | Standard Pallet 1030×1110×152 mm | Variant 09</t>
  </si>
  <si>
    <t>L2 | Palet (4000037): 1 adet | Shrink film (4000558): 2.736 kg</t>
  </si>
  <si>
    <t>L2 | Pallet (4000037): 1 pc | Shrink film (4000558): 2.736 kg</t>
  </si>
  <si>
    <t>IA-PPWR-TF-ST-072-STD-09-R00</t>
  </si>
  <si>
    <t>IA-PPWR-DOC-ST-072-STD-09-R00</t>
  </si>
  <si>
    <t>IA-PPWR-LBL-ST-072-STD-09-R00</t>
  </si>
  <si>
    <t>IA-PPWR-STM-ST-072-STD-09-R00</t>
  </si>
  <si>
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</si>
  <si>
    <t>Starter 72-unit | Standard Pallet 1030×1110×152 mm | Variant 10</t>
  </si>
  <si>
    <t>D23 | D23 PVC üst kapak (4000461): 72 adet | Köşebent (4000590): 2 adet</t>
  </si>
  <si>
    <t>D23 | D23 PVC upper cover (4000461): 72 pcs | Edge protector (4000590): 2 pcs</t>
  </si>
  <si>
    <t>IA-PPWR-TF-ST-072-STD-10-R00</t>
  </si>
  <si>
    <t>IA-PPWR-DOC-ST-072-STD-10-R00</t>
  </si>
  <si>
    <t>IA-PPWR-LBL-ST-072-STD-10-R00</t>
  </si>
  <si>
    <t>IA-PPWR-STM-ST-072-STD-10-R00</t>
  </si>
  <si>
    <t>1010265; 1014324</t>
  </si>
  <si>
    <t>Starter 72-unit | Standard Pallet 1030×1110×152 mm | Variant 11</t>
  </si>
  <si>
    <t>D20 | D20 PVC üst kapak (4000490): 72 adet | Köşebent (4000590): 2 adet</t>
  </si>
  <si>
    <t>D20 | D20 PVC upper cover (4000490): 72 pcs | Edge protector (4000590): 2 pcs</t>
  </si>
  <si>
    <t>IA-PPWR-TF-ST-072-STD-11-R00</t>
  </si>
  <si>
    <t>IA-PPWR-DOC-ST-072-STD-11-R00</t>
  </si>
  <si>
    <t>IA-PPWR-LBL-ST-072-STD-11-R00</t>
  </si>
  <si>
    <t>IA-PPWR-STM-ST-072-STD-11-R00</t>
  </si>
  <si>
    <t>1013713; 1015012; 1015018; 1015022</t>
  </si>
  <si>
    <t>Starter 72-unit | Standard Pallet 1030×1110×152 mm | Variant 12</t>
  </si>
  <si>
    <t>L4 | Palet (4000037): 1 adet | Shrink film (4000554): 2.448 kg</t>
  </si>
  <si>
    <t>L4 | Pallet (4000037): 1 pc | Shrink film (4000554): 2.448 kg</t>
  </si>
  <si>
    <t>IA-PPWR-TF-ST-072-STD-12-R00</t>
  </si>
  <si>
    <t>IA-PPWR-DOC-ST-072-STD-12-R00</t>
  </si>
  <si>
    <t>IA-PPWR-LBL-ST-072-STD-12-R00</t>
  </si>
  <si>
    <t>IA-PPWR-STM-ST-072-STD-12-R00</t>
  </si>
  <si>
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</si>
  <si>
    <t>Starter 72-unit | Standard Pallet 1030×1110×152 mm | Variant 13</t>
  </si>
  <si>
    <t>L2, LB2 | Palet (4000037): 1 adet | Köşebent (4000590): 2 adet</t>
  </si>
  <si>
    <t>L2, LB2 | Pallet (4000037): 1 pc | Edge protector (4000590): 2 pcs</t>
  </si>
  <si>
    <t>IA-PPWR-TF-ST-072-STD-13-R00</t>
  </si>
  <si>
    <t>IA-PPWR-DOC-ST-072-STD-13-R00</t>
  </si>
  <si>
    <t>IA-PPWR-LBL-ST-072-STD-13-R00</t>
  </si>
  <si>
    <t>IA-PPWR-STM-ST-072-STD-13-R00</t>
  </si>
  <si>
    <t>1014477; 1015087</t>
  </si>
  <si>
    <t>Starter 72-unit | Standard Pallet 1030×1110×152 mm | Variant 14</t>
  </si>
  <si>
    <t>LB2, L2 | Palet (4000037): 1 adet | Separatör (4000130): 4 adet</t>
  </si>
  <si>
    <t>LB2, L2 | Pallet (4000037): 1 pc | Separator (4000130): 4 pcs</t>
  </si>
  <si>
    <t>IA-PPWR-TF-ST-072-STD-14-R00</t>
  </si>
  <si>
    <t>IA-PPWR-DOC-ST-072-STD-14-R00</t>
  </si>
  <si>
    <t>IA-PPWR-LBL-ST-072-STD-14-R00</t>
  </si>
  <si>
    <t>IA-PPWR-STM-ST-072-STD-14-R00</t>
  </si>
  <si>
    <t>1011167; 1012977; 1013998; 1014011; 1014572</t>
  </si>
  <si>
    <t>Starter 72-unit | Standard Pallet 1030×1110×152 mm | Variant 15</t>
  </si>
  <si>
    <t>D23 | D23 PVC üst kapak (4000461): 72 adet | Çember (4000450): kullanılmaz</t>
  </si>
  <si>
    <t>D23 | D23 PVC upper cover (4000461): 72 pcs | Strap (4000450): not used</t>
  </si>
  <si>
    <t>IA-PPWR-TF-ST-072-STD-15-R00</t>
  </si>
  <si>
    <t>IA-PPWR-DOC-ST-072-STD-15-R00</t>
  </si>
  <si>
    <t>IA-PPWR-LBL-ST-072-STD-15-R00</t>
  </si>
  <si>
    <t>IA-PPWR-STM-ST-072-STD-15-R00</t>
  </si>
  <si>
    <t>1010160; 1010161; 1014008; 1014009; 1014938</t>
  </si>
  <si>
    <t>Starter 72-unit | Standard Pallet 1030×1110×152 mm | Variant 16</t>
  </si>
  <si>
    <t>D20 | D20 PVC üst kapak (4000490): 72 adet | Köşebent (4000590): kullanılmaz</t>
  </si>
  <si>
    <t>D20 | D20 PVC upper cover (4000490): 72 pcs | Edge protector (4000590): not used</t>
  </si>
  <si>
    <t>IA-PPWR-TF-ST-072-STD-16-R00</t>
  </si>
  <si>
    <t>IA-PPWR-DOC-ST-072-STD-16-R00</t>
  </si>
  <si>
    <t>IA-PPWR-LBL-ST-072-STD-16-R00</t>
  </si>
  <si>
    <t>IA-PPWR-STM-ST-072-STD-16-R00</t>
  </si>
  <si>
    <t>Starter 72-unit | Standard Pallet 1030×1110×152 mm | Variant 17</t>
  </si>
  <si>
    <t>L2 | Palet (4000037): 1 adet | Shrink film (4000558): 2.376 kg</t>
  </si>
  <si>
    <t>L2 | Pallet (4000037): 1 pc | Shrink film (4000558): 2.376 kg</t>
  </si>
  <si>
    <t>IA-PPWR-TF-ST-072-STD-17-R00</t>
  </si>
  <si>
    <t>IA-PPWR-DOC-ST-072-STD-17-R00</t>
  </si>
  <si>
    <t>IA-PPWR-LBL-ST-072-STD-17-R00</t>
  </si>
  <si>
    <t>IA-PPWR-STM-ST-072-STD-17-R00</t>
  </si>
  <si>
    <t>1011156; 1011172; 1011173; 1011193; 1011200; 1011215; 1011223; 1011224; 1011230; 1011760; 1012094; 1012095; 1013773; 1014000; 1014001; 1014563; 1014574; 1014584</t>
  </si>
  <si>
    <t>Starter 72-unit | Standard Pallet 1030×1110×152 mm | Variant 18</t>
  </si>
  <si>
    <t>L2, LB2 | Palet (4000037): 1 adet | Köşebent (4000590): kullanılmaz</t>
  </si>
  <si>
    <t>L2, LB2 | Pallet (4000037): 1 pc | Edge protector (4000590): not used</t>
  </si>
  <si>
    <t>IA-PPWR-TF-ST-072-STD-18-R00</t>
  </si>
  <si>
    <t>IA-PPWR-DOC-ST-072-STD-18-R00</t>
  </si>
  <si>
    <t>IA-PPWR-LBL-ST-072-STD-18-R00</t>
  </si>
  <si>
    <t>IA-PPWR-STM-ST-072-STD-18-R00</t>
  </si>
  <si>
    <t>1012286; 1012288; 1012515</t>
  </si>
  <si>
    <t>Starter 72-unit | Standard Pallet 1030×1110×152 mm | Variant 19</t>
  </si>
  <si>
    <t>D23 | Palet (4000037): 1 adet | Shrink film (4001177): 0.597 kg</t>
  </si>
  <si>
    <t>D23 | Pallet (4000037): 1 pc | Shrink film (4001177): 0.597 kg</t>
  </si>
  <si>
    <t>IA-PPWR-TF-ST-072-STD-19-R00</t>
  </si>
  <si>
    <t>IA-PPWR-DOC-ST-072-STD-19-R00</t>
  </si>
  <si>
    <t>IA-PPWR-LBL-ST-072-STD-19-R00</t>
  </si>
  <si>
    <t>IA-PPWR-STM-ST-072-STD-19-R00</t>
  </si>
  <si>
    <t>Starter 72-unit | Standard Pallet 1030×1110×152 mm | Variant 20</t>
  </si>
  <si>
    <t>L2 | Palet (4000037): 1 adet | Köşebent (4000590): 2 adet</t>
  </si>
  <si>
    <t>L2 | Pallet (4000037): 1 pc | Edge protector (4000590): 2 pcs</t>
  </si>
  <si>
    <t>IA-PPWR-TF-ST-072-STD-20-R00</t>
  </si>
  <si>
    <t>IA-PPWR-DOC-ST-072-STD-20-R00</t>
  </si>
  <si>
    <t>IA-PPWR-LBL-ST-072-STD-20-R00</t>
  </si>
  <si>
    <t>IA-PPWR-STM-ST-072-STD-20-R00</t>
  </si>
  <si>
    <t>1012379; 1012382; 1012383; 1012386; 1012389; 1012391; 1012392; 1012394; 1013610</t>
  </si>
  <si>
    <t>Starter 72-unit | Standard Pallet 1030×1110×152 mm | Variant 21</t>
  </si>
  <si>
    <t>L2 | Palet (4000037): 1 adet | Köşebent (4000590): 4 adet | Shrink film (4001177): 0.597 kg</t>
  </si>
  <si>
    <t>L2 | Pallet (4000037): 1 pc | Edge protector (4000590): 4 pcs | Shrink film (4001177): 0.597 kg</t>
  </si>
  <si>
    <t>IA-PPWR-TF-ST-072-STD-21-R00</t>
  </si>
  <si>
    <t>IA-PPWR-DOC-ST-072-STD-21-R00</t>
  </si>
  <si>
    <t>IA-PPWR-LBL-ST-072-STD-21-R00</t>
  </si>
  <si>
    <t>IA-PPWR-STM-ST-072-STD-21-R00</t>
  </si>
  <si>
    <t>1011982; 1011983; 1012001; 1012138; 1012341; 1012342; 1012345; 1012346; 1012431; 1012474; 1012870; 1012904; 1013523; 1013946; 1014154; 1014180; 1014328; 1014548; 1014987; 1015083; 1015084</t>
  </si>
  <si>
    <t>Starter 72-unit | Standard Pallet 1030×1110×152 mm | Variant 22</t>
  </si>
  <si>
    <t>IA-PPWR-TF-ST-072-STD-22-R00</t>
  </si>
  <si>
    <t>IA-PPWR-DOC-ST-072-STD-22-R00</t>
  </si>
  <si>
    <t>IA-PPWR-LBL-ST-072-STD-22-R00</t>
  </si>
  <si>
    <t>IA-PPWR-STM-ST-072-STD-22-R00</t>
  </si>
  <si>
    <t>Starter 72-unit | Standard Pallet 1030×1110×152 mm | Variant 23</t>
  </si>
  <si>
    <t>L4 | Palet (4000037): 1 adet | Separatör (4000130): 5 adet</t>
  </si>
  <si>
    <t>L4 | Pallet (4000037): 1 pc | Separator (4000130): 5 pcs</t>
  </si>
  <si>
    <t>IA-PPWR-TF-ST-072-STD-23-R00</t>
  </si>
  <si>
    <t>IA-PPWR-DOC-ST-072-STD-23-R00</t>
  </si>
  <si>
    <t>IA-PPWR-LBL-ST-072-STD-23-R00</t>
  </si>
  <si>
    <t>IA-PPWR-STM-ST-072-STD-23-R00</t>
  </si>
  <si>
    <t>1011164; 1011177; 1011178; 1011209; 1014623; 1015041; 1015303</t>
  </si>
  <si>
    <t>Starter 72-unit | Standard Pallet 1030×1110×152 mm | Variant 24</t>
  </si>
  <si>
    <t>IA-PPWR-TF-ST-072-STD-24-R00</t>
  </si>
  <si>
    <t>IA-PPWR-DOC-ST-072-STD-24-R00</t>
  </si>
  <si>
    <t>IA-PPWR-LBL-ST-072-STD-24-R00</t>
  </si>
  <si>
    <t>IA-PPWR-STM-ST-072-STD-24-R00</t>
  </si>
  <si>
    <t>Starter 72-unit | Standard Pallet 1030×1110×152 mm | Variant 25</t>
  </si>
  <si>
    <t>IA-PPWR-TF-ST-072-STD-25-R00</t>
  </si>
  <si>
    <t>IA-PPWR-DOC-ST-072-STD-25-R00</t>
  </si>
  <si>
    <t>IA-PPWR-LBL-ST-072-STD-25-R00</t>
  </si>
  <si>
    <t>IA-PPWR-STM-ST-072-STD-25-R00</t>
  </si>
  <si>
    <t>Starter 72-unit | Euro,800*1200*152 | Type LB1</t>
  </si>
  <si>
    <t>IA-ST-CFG-0207 Product Variant 0423</t>
  </si>
  <si>
    <t>IA-PPWR-TF-ST-072-STD-26-R00</t>
  </si>
  <si>
    <t>IA-PPWR-DOC-ST-072-STD-26-R00</t>
  </si>
  <si>
    <t>IA-PPWR-LBL-ST-072-STD-26-R00</t>
  </si>
  <si>
    <t>IA-PPWR-STM-ST-072-STD-26-R00</t>
  </si>
  <si>
    <t>1015045; 1015063; 1015064; 1015065</t>
  </si>
  <si>
    <t>Starter 72-unit | Euro,800*1200*152 | Type L1</t>
  </si>
  <si>
    <t>IA-ST-CFG-0208 Product Variant 0424</t>
  </si>
  <si>
    <t>IA-PPWR-TF-ST-072-STD-27-R00</t>
  </si>
  <si>
    <t>IA-PPWR-DOC-ST-072-STD-27-R00</t>
  </si>
  <si>
    <t>IA-PPWR-LBL-ST-072-STD-27-R00</t>
  </si>
  <si>
    <t>IA-PPWR-STM-ST-072-STD-27-R00</t>
  </si>
  <si>
    <t>1012834; 1015256</t>
  </si>
  <si>
    <t>Starter 72-unit | Euro,800*1200*152 | Type NS60</t>
  </si>
  <si>
    <t>IA-ST-CFG-0237 Product Variant 0500</t>
  </si>
  <si>
    <t>IA-PPWR-TF-ST-072-STD-28-R00</t>
  </si>
  <si>
    <t>IA-PPWR-DOC-ST-072-STD-28-R00</t>
  </si>
  <si>
    <t>IA-PPWR-LBL-ST-072-STD-28-R00</t>
  </si>
  <si>
    <t>IA-PPWR-STM-ST-072-STD-28-R00</t>
  </si>
  <si>
    <t>Starter 76-unit | Euro Pallet 800×1200×152 mm | Variant 01</t>
  </si>
  <si>
    <t>L2 | L2 İnci AGM LEO 60AH 680A pencereli dış koli (4001340): 76 adet</t>
  </si>
  <si>
    <t>L2 | L2 İnci AGM LEO 60AH 680A windowed outer carton (4001340): 76 pcs</t>
  </si>
  <si>
    <t>IA-PPWR-TF-ST-076-EUR-01-R00</t>
  </si>
  <si>
    <t>IA-PPWR-DOC-ST-076-EUR-01-R00</t>
  </si>
  <si>
    <t>IA-PPWR-LBL-ST-076-EUR-01-R00</t>
  </si>
  <si>
    <t>IA-PPWR-STM-ST-076-EUR-01-R00</t>
  </si>
  <si>
    <t>1013535; 1014657; 1014658; 1014663; 1014668; 1015026; 1015027; 1015101; 1015273</t>
  </si>
  <si>
    <t>Starter 76-unit | Euro Pallet 800×1200×152 mm | Variant 02</t>
  </si>
  <si>
    <t>IA-PPWR-TF-ST-076-EUR-02-R00</t>
  </si>
  <si>
    <t>IA-PPWR-DOC-ST-076-EUR-02-R00</t>
  </si>
  <si>
    <t>IA-PPWR-LBL-ST-076-EUR-02-R00</t>
  </si>
  <si>
    <t>IA-PPWR-STM-ST-076-EUR-02-R00</t>
  </si>
  <si>
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</si>
  <si>
    <t>Starter 76-unit | Euro Pallet 800×1200×152 mm | Variant 03</t>
  </si>
  <si>
    <t>L2, LB2 | Palet (4000038): 1 adet | Shrink film (4000558): 2.888 kg</t>
  </si>
  <si>
    <t>L2, LB2 | Pallet (4000038): 1 pc | Shrink film (4000558): 2.888 kg</t>
  </si>
  <si>
    <t>IA-PPWR-TF-ST-076-EUR-03-R00</t>
  </si>
  <si>
    <t>IA-PPWR-DOC-ST-076-EUR-03-R00</t>
  </si>
  <si>
    <t>IA-PPWR-LBL-ST-076-EUR-03-R00</t>
  </si>
  <si>
    <t>IA-PPWR-STM-ST-076-EUR-03-R00</t>
  </si>
  <si>
    <t>1006652; 1013624; 1013628; 1013629; 1014814</t>
  </si>
  <si>
    <t>Starter 76-unit | Euro Pallet 800×1200×152 mm | Variant 04</t>
  </si>
  <si>
    <t>LB2, L2 | Palet (4000038): 1 adet | Köşebent (4000590): 2 adet</t>
  </si>
  <si>
    <t>LB2, L2 | Pallet (4000038): 1 pc | Edge protector (4000590): 2 pcs</t>
  </si>
  <si>
    <t>IA-PPWR-TF-ST-076-EUR-04-R00</t>
  </si>
  <si>
    <t>IA-PPWR-DOC-ST-076-EUR-04-R00</t>
  </si>
  <si>
    <t>IA-PPWR-LBL-ST-076-EUR-04-R00</t>
  </si>
  <si>
    <t>IA-PPWR-STM-ST-076-EUR-04-R00</t>
  </si>
  <si>
    <t>1012820; 1012840; 1012841; 1013869; 1015247</t>
  </si>
  <si>
    <t>Starter 76-unit | Euro,800*1200*152 | Type L2, LB2</t>
  </si>
  <si>
    <t>IA-ST-CFG-0242 Product Variant 0514</t>
  </si>
  <si>
    <t>IA-PPWR-TF-ST-076-STD-01-R00</t>
  </si>
  <si>
    <t>IA-PPWR-DOC-ST-076-STD-01-R00</t>
  </si>
  <si>
    <t>IA-PPWR-LBL-ST-076-STD-01-R00</t>
  </si>
  <si>
    <t>IA-PPWR-STM-ST-076-STD-01-R00</t>
  </si>
  <si>
    <t>IA-ST-CFG-0242 Product Variant 0515</t>
  </si>
  <si>
    <t>IA-PPWR-TF-ST-076-STD-02-R00</t>
  </si>
  <si>
    <t>IA-PPWR-DOC-ST-076-STD-02-R00</t>
  </si>
  <si>
    <t>IA-PPWR-LBL-ST-076-STD-02-R00</t>
  </si>
  <si>
    <t>IA-PPWR-STM-ST-076-STD-02-R00</t>
  </si>
  <si>
    <t>1012825; 1012846</t>
  </si>
  <si>
    <t>IA-ST-CFG-0242 Product Variant 0516</t>
  </si>
  <si>
    <t>IA-PPWR-TF-ST-076-STD-03-R00</t>
  </si>
  <si>
    <t>IA-PPWR-DOC-ST-076-STD-03-R00</t>
  </si>
  <si>
    <t>IA-PPWR-LBL-ST-076-STD-03-R00</t>
  </si>
  <si>
    <t>IA-PPWR-STM-ST-076-STD-03-R00</t>
  </si>
  <si>
    <t>IA-ST-CFG-0242 Product Variant 0517</t>
  </si>
  <si>
    <t>IA-PPWR-TF-ST-076-STD-04-R00</t>
  </si>
  <si>
    <t>IA-PPWR-DOC-ST-076-STD-04-R00</t>
  </si>
  <si>
    <t>IA-PPWR-LBL-ST-076-STD-04-R00</t>
  </si>
  <si>
    <t>IA-PPWR-STM-ST-076-STD-04-R00</t>
  </si>
  <si>
    <t>Starter 80-unit | Euro Pallet 800×1200×152 mm | Variant 01</t>
  </si>
  <si>
    <t>L1 | L1 İnci AGM LEO 50AH 560A pencereli dış koli (4001393): 80 adet</t>
  </si>
  <si>
    <t>L1 | L1 İnci AGM LEO 50AH 560A windowed outer carton (4001393): 80 pcs</t>
  </si>
  <si>
    <t>IA-PPWR-TF-ST-080-EUR-01-R00</t>
  </si>
  <si>
    <t>IA-PPWR-DOC-ST-080-EUR-01-R00</t>
  </si>
  <si>
    <t>IA-PPWR-LBL-ST-080-EUR-01-R00</t>
  </si>
  <si>
    <t>IA-PPWR-STM-ST-080-EUR-01-R00</t>
  </si>
  <si>
    <t>Starter 81-unit | Euro Pallet 800×1200×152 mm | Variant 01</t>
  </si>
  <si>
    <t>NS60 | Palet (4000038): 1 adet | Honeycomb (4001186): 3 adet</t>
  </si>
  <si>
    <t>NS60 | Pallet (4000038): 1 pc | Honeycomb (4001186): 3 pcs</t>
  </si>
  <si>
    <t>IA-PPWR-TF-ST-081-EUR-01-R00</t>
  </si>
  <si>
    <t>IA-PPWR-DOC-ST-081-EUR-01-R00</t>
  </si>
  <si>
    <t>IA-PPWR-LBL-ST-081-EUR-01-R00</t>
  </si>
  <si>
    <t>IA-PPWR-STM-ST-081-EUR-01-R00</t>
  </si>
  <si>
    <t>1015043; 1015044</t>
  </si>
  <si>
    <t>Starter 81-unit | Euro,800*1200*152 | Type NS60</t>
  </si>
  <si>
    <t>IA-ST-CFG-0244 Product Variant 0519</t>
  </si>
  <si>
    <t>IA-PPWR-TF-ST-081-STD-01-R00</t>
  </si>
  <si>
    <t>IA-PPWR-DOC-ST-081-STD-01-R00</t>
  </si>
  <si>
    <t>IA-PPWR-LBL-ST-081-STD-01-R00</t>
  </si>
  <si>
    <t>IA-PPWR-STM-ST-081-STD-01-R00</t>
  </si>
  <si>
    <t>1012506; 1013599; 1015008</t>
  </si>
  <si>
    <t>Starter 87-unit | Euro Pallet 800×1200×152 mm | Variant 01</t>
  </si>
  <si>
    <t>NS40 | NS40 PVC üst kapak (4000601): 87 adet</t>
  </si>
  <si>
    <t>NS40 | NS40 PVC upper cover (4000601): 87 pcs</t>
  </si>
  <si>
    <t>IA-PPWR-TF-ST-087-EUR-01-R00</t>
  </si>
  <si>
    <t>IA-PPWR-DOC-ST-087-EUR-01-R00</t>
  </si>
  <si>
    <t>IA-PPWR-LBL-ST-087-EUR-01-R00</t>
  </si>
  <si>
    <t>IA-PPWR-STM-ST-087-EUR-01-R00</t>
  </si>
  <si>
    <t>1014476; 1014721</t>
  </si>
  <si>
    <t>Starter 87-unit | Standard Pallet 1030×1110×152 mm | Variant 01</t>
  </si>
  <si>
    <t>L1 | Palet (4000037): 1 adet | Köşebent (4000033): 2 adet</t>
  </si>
  <si>
    <t>L1 | Pallet (4000037): 1 pc | Edge protector (4000033): 2 pcs</t>
  </si>
  <si>
    <t>IA-PPWR-TF-ST-087-STD-01-R00</t>
  </si>
  <si>
    <t>IA-PPWR-DOC-ST-087-STD-01-R00</t>
  </si>
  <si>
    <t>IA-PPWR-LBL-ST-087-STD-01-R00</t>
  </si>
  <si>
    <t>IA-PPWR-STM-ST-087-STD-01-R00</t>
  </si>
  <si>
    <t>1011877; 1011878; 1012144; 1012491; 1012535; 1012559; 1012704; 1014879; 1015000; 1015076; 1015162; 1015191</t>
  </si>
  <si>
    <t>Starter 87-unit | Standard Pallet 1030×1110×152 mm | Variant 02</t>
  </si>
  <si>
    <t>LB1 | Palet (4000037): 1 adet | Köşebent (4000033): 2 adet</t>
  </si>
  <si>
    <t>LB1 | Pallet (4000037): 1 pc | Edge protector (4000033): 2 pcs</t>
  </si>
  <si>
    <t>IA-PPWR-TF-ST-087-STD-02-R00</t>
  </si>
  <si>
    <t>IA-PPWR-DOC-ST-087-STD-02-R00</t>
  </si>
  <si>
    <t>IA-PPWR-LBL-ST-087-STD-02-R00</t>
  </si>
  <si>
    <t>IA-PPWR-STM-ST-087-STD-02-R00</t>
  </si>
  <si>
    <t>1009985; 1011985; 1011986; 1011987; 1011988; 1011989; 1011990; 1011991; 1011992; 1012091; 1012238; 1012239; 1012470; 1012490; 1012694; 1012705; 1013056; 1013059; 1013076; 1013300; 1014091; 1014182; 1014331; 1014395; 1014818; 1015202; 1015250</t>
  </si>
  <si>
    <t>Starter 87-unit | Standard Pallet 1030×1110×152 mm | Variant 03</t>
  </si>
  <si>
    <t>L1, LB1 | Palet (4000037): 1 adet | Köşebent (4000033): 2 adet</t>
  </si>
  <si>
    <t>L1, LB1 | Pallet (4000037): 1 pc | Edge protector (4000033): 2 pcs</t>
  </si>
  <si>
    <t>IA-PPWR-TF-ST-087-STD-03-R00</t>
  </si>
  <si>
    <t>IA-PPWR-DOC-ST-087-STD-03-R00</t>
  </si>
  <si>
    <t>IA-PPWR-LBL-ST-087-STD-03-R00</t>
  </si>
  <si>
    <t>IA-PPWR-STM-ST-087-STD-03-R00</t>
  </si>
  <si>
    <t>1012304; 1012332; 1012336; 1012339; 1012355</t>
  </si>
  <si>
    <t>Starter 87-unit | Standard Pallet 1030×1110×152 mm | Variant 04</t>
  </si>
  <si>
    <t>LB1, L1 | Palet (4000037): 1 adet | Shrink film (4001177): 0.597 kg</t>
  </si>
  <si>
    <t>LB1, L1 | Pallet (4000037): 1 pc | Shrink film (4001177): 0.597 kg</t>
  </si>
  <si>
    <t>IA-PPWR-TF-ST-087-STD-04-R00</t>
  </si>
  <si>
    <t>IA-PPWR-DOC-ST-087-STD-04-R00</t>
  </si>
  <si>
    <t>IA-PPWR-LBL-ST-087-STD-04-R00</t>
  </si>
  <si>
    <t>IA-PPWR-STM-ST-087-STD-04-R00</t>
  </si>
  <si>
    <t>Starter 87-unit | Standard Pallet 1030×1110×152 mm | Variant 05</t>
  </si>
  <si>
    <t>NS60 | NS60 EAS Activa penceresiz dış koli (4000631): 87 adet</t>
  </si>
  <si>
    <t>NS60 | NS60 EAS Activa windowless outer carton (4000631): 87 pcs</t>
  </si>
  <si>
    <t>IA-PPWR-TF-ST-087-STD-05-R00</t>
  </si>
  <si>
    <t>IA-PPWR-DOC-ST-087-STD-05-R00</t>
  </si>
  <si>
    <t>IA-PPWR-LBL-ST-087-STD-05-R00</t>
  </si>
  <si>
    <t>IA-PPWR-STM-ST-087-STD-05-R00</t>
  </si>
  <si>
    <t>1011161; 1011199; 1012170; 1014567</t>
  </si>
  <si>
    <t>Starter 87-unit | Standard Pallet 1030×1110×152 mm | Variant 06</t>
  </si>
  <si>
    <t>LB1 | Palet (4000037): 1 adet | Köşebent (4000033): kullanılmaz</t>
  </si>
  <si>
    <t>LB1 | Pallet (4000037): 1 pc | Edge protector (4000033): not used</t>
  </si>
  <si>
    <t>IA-PPWR-TF-ST-087-STD-06-R00</t>
  </si>
  <si>
    <t>IA-PPWR-DOC-ST-087-STD-06-R00</t>
  </si>
  <si>
    <t>IA-PPWR-LBL-ST-087-STD-06-R00</t>
  </si>
  <si>
    <t>IA-PPWR-STM-ST-087-STD-06-R00</t>
  </si>
  <si>
    <t>1011170; 1011171</t>
  </si>
  <si>
    <t>Starter 87-unit | Standard Pallet 1030×1110×152 mm | Variant 07</t>
  </si>
  <si>
    <t>L1, LB1 | Palet (4000037): 1 adet | Köşebent (4000033): kullanılmaz</t>
  </si>
  <si>
    <t>L1, LB1 | Pallet (4000037): 1 pc | Edge protector (4000033): not used</t>
  </si>
  <si>
    <t>IA-PPWR-TF-ST-087-STD-07-R00</t>
  </si>
  <si>
    <t>IA-PPWR-DOC-ST-087-STD-07-R00</t>
  </si>
  <si>
    <t>IA-PPWR-LBL-ST-087-STD-07-R00</t>
  </si>
  <si>
    <t>IA-PPWR-STM-ST-087-STD-07-R00</t>
  </si>
  <si>
    <t>1012041; 1012042; 1012577</t>
  </si>
  <si>
    <t>Starter 88-unit | Standard Pallet 1030×1110×152 mm | Variant 01</t>
  </si>
  <si>
    <t>L2 | L2 EAS Activa penceresiz dış koli (4000644): 88 adet</t>
  </si>
  <si>
    <t>L2 | L2 EAS Activa windowless outer carton (4000644): 88 pcs</t>
  </si>
  <si>
    <t>IA-PPWR-TF-ST-088-STD-01-R00</t>
  </si>
  <si>
    <t>IA-PPWR-DOC-ST-088-STD-01-R00</t>
  </si>
  <si>
    <t>IA-PPWR-LBL-ST-088-STD-01-R00</t>
  </si>
  <si>
    <t>IA-PPWR-STM-ST-088-STD-01-R00</t>
  </si>
  <si>
    <t>1014435; 1014440</t>
  </si>
  <si>
    <t>Starter 88-unit | Standard Pallet 1030×1110×152 mm | Variant 02</t>
  </si>
  <si>
    <t>L2 | L2 YUASA penceresiz Orta Doğu dış koli (4001102): 88 adet</t>
  </si>
  <si>
    <t>L2 | L2 YUASA windowless Middle East outer carton (4001102): 88 pcs</t>
  </si>
  <si>
    <t>IA-PPWR-TF-ST-088-STD-02-R00</t>
  </si>
  <si>
    <t>IA-PPWR-DOC-ST-088-STD-02-R00</t>
  </si>
  <si>
    <t>IA-PPWR-LBL-ST-088-STD-02-R00</t>
  </si>
  <si>
    <t>IA-PPWR-STM-ST-088-STD-02-R00</t>
  </si>
  <si>
    <t>Starter 88-unit | Standard Pallet 1030×1110×152 mm | Variant 03</t>
  </si>
  <si>
    <t>L2 | L2 İnci EFB MAX TIGRIS pencereli 2020 dış koli (4001272): 88 adet</t>
  </si>
  <si>
    <t>L2 | L2 İnci EFB MAX TIGRIS windowed 2020 outer carton (4001272): 88 pcs</t>
  </si>
  <si>
    <t>IA-PPWR-TF-ST-088-STD-03-R00</t>
  </si>
  <si>
    <t>IA-PPWR-DOC-ST-088-STD-03-R00</t>
  </si>
  <si>
    <t>IA-PPWR-LBL-ST-088-STD-03-R00</t>
  </si>
  <si>
    <t>IA-PPWR-STM-ST-088-STD-03-R00</t>
  </si>
  <si>
    <t>Starter 88-unit | Standard Pallet 1030×1110×152 mm | Variant 04</t>
  </si>
  <si>
    <t>L2 | L2 İnci EFB PANTERA pencereli DL dış koli (4001317): 88 adet</t>
  </si>
  <si>
    <t>L2 | L2 İnci EFB PANTERA windowed DL outer carton (4001317): 88 pcs</t>
  </si>
  <si>
    <t>IA-PPWR-TF-ST-088-STD-04-R00</t>
  </si>
  <si>
    <t>IA-PPWR-DOC-ST-088-STD-04-R00</t>
  </si>
  <si>
    <t>IA-PPWR-LBL-ST-088-STD-04-R00</t>
  </si>
  <si>
    <t>IA-PPWR-STM-ST-088-STD-04-R00</t>
  </si>
  <si>
    <t>Starter 88-unit | Standard Pallet 1030×1110×152 mm | Variant 05</t>
  </si>
  <si>
    <t>L2 | L2 EAS EFB MAX pencereli 2024 dış koli (4001410): 88 adet</t>
  </si>
  <si>
    <t>L2 | L2 EAS EFB MAX windowed 2024 outer carton (4001410): 88 pcs</t>
  </si>
  <si>
    <t>IA-PPWR-TF-ST-088-STD-05-R00</t>
  </si>
  <si>
    <t>IA-PPWR-DOC-ST-088-STD-05-R00</t>
  </si>
  <si>
    <t>IA-PPWR-LBL-ST-088-STD-05-R00</t>
  </si>
  <si>
    <t>IA-PPWR-STM-ST-088-STD-05-R00</t>
  </si>
  <si>
    <t>1012034; 1012035</t>
  </si>
  <si>
    <t>Starter 88-unit | Standard Pallet 1030×1110×152 mm | Variant 06</t>
  </si>
  <si>
    <t>L2 | L2 BLIZZARO SILVERLINE penceresiz dış koli (4001434): 88 adet</t>
  </si>
  <si>
    <t>L2 | L2 BLIZZARO SILVERLINE windowless outer carton (4001434): 88 pcs</t>
  </si>
  <si>
    <t>IA-PPWR-TF-ST-088-STD-06-R00</t>
  </si>
  <si>
    <t>IA-PPWR-DOC-ST-088-STD-06-R00</t>
  </si>
  <si>
    <t>IA-PPWR-LBL-ST-088-STD-06-R00</t>
  </si>
  <si>
    <t>IA-PPWR-STM-ST-088-STD-06-R00</t>
  </si>
  <si>
    <t>Starter 88-unit | Standard Pallet 1030×1110×152 mm | Variant 07</t>
  </si>
  <si>
    <t>LB2 | LB2 İnci FORMULA-MAXIMA 2019 dış koli (4001203): 88 adet</t>
  </si>
  <si>
    <t>LB2 | LB2 İnci FORMULA-MAXIMA 2019 outer carton (4001203): 88 pcs</t>
  </si>
  <si>
    <t>IA-PPWR-TF-ST-088-STD-07-R00</t>
  </si>
  <si>
    <t>IA-PPWR-DOC-ST-088-STD-07-R00</t>
  </si>
  <si>
    <t>IA-PPWR-LBL-ST-088-STD-07-R00</t>
  </si>
  <si>
    <t>IA-PPWR-STM-ST-088-STD-07-R00</t>
  </si>
  <si>
    <t>1012011; 1012062</t>
  </si>
  <si>
    <t>Starter 88-unit | Standard Pallet 1030×1110×152 mm | Variant 08</t>
  </si>
  <si>
    <t>L2 | L2 İnci FORMULA-MAXIMA penceresiz dış koli (4001419): 88 adet</t>
  </si>
  <si>
    <t>L2 | L2 İnci FORMULA-MAXIMA windowless outer carton (4001419): 88 pcs</t>
  </si>
  <si>
    <t>IA-PPWR-TF-ST-088-STD-08-R00</t>
  </si>
  <si>
    <t>IA-PPWR-DOC-ST-088-STD-08-R00</t>
  </si>
  <si>
    <t>IA-PPWR-LBL-ST-088-STD-08-R00</t>
  </si>
  <si>
    <t>IA-PPWR-STM-ST-088-STD-08-R00</t>
  </si>
  <si>
    <t>1013818; 1014949; 1015312</t>
  </si>
  <si>
    <t>Starter 90-unit | Standard Pallet 1030×1110×152 mm | Variant 01</t>
  </si>
  <si>
    <t>L0 | Palet (4000037): 1 adet | Shrink film (4000555): 2.166 kg</t>
  </si>
  <si>
    <t>L0 | Pallet (4000037): 1 pc | Shrink film (4000555): 2.166 kg</t>
  </si>
  <si>
    <t>IA-PPWR-TF-ST-090-STD-01-R00</t>
  </si>
  <si>
    <t>IA-PPWR-DOC-ST-090-STD-01-R00</t>
  </si>
  <si>
    <t>IA-PPWR-LBL-ST-090-STD-01-R00</t>
  </si>
  <si>
    <t>IA-PPWR-STM-ST-090-STD-01-R00</t>
  </si>
  <si>
    <t>1013403; 1013926; 1014140</t>
  </si>
  <si>
    <t>Starter 90-unit | Standard Pallet 1030×1110×152 mm | Variant 02</t>
  </si>
  <si>
    <t>L0 | Palet (4000037): 1 adet | Shrink film (4001177): 0.597 kg</t>
  </si>
  <si>
    <t>L0 | Pallet (4000037): 1 pc | Shrink film (4001177): 0.597 kg</t>
  </si>
  <si>
    <t>IA-PPWR-TF-ST-090-STD-02-R00</t>
  </si>
  <si>
    <t>IA-PPWR-DOC-ST-090-STD-02-R00</t>
  </si>
  <si>
    <t>IA-PPWR-LBL-ST-090-STD-02-R00</t>
  </si>
  <si>
    <t>IA-PPWR-STM-ST-090-STD-02-R00</t>
  </si>
  <si>
    <t>1011580; 1012770; 1012884; 1013740; 1013983; 1014617</t>
  </si>
  <si>
    <t>Starter 96-unit | Euro Pallet 800×1200×152 mm | Variant 01</t>
  </si>
  <si>
    <t>LB1 | Palet (4000038): 1 adet | Shrink film (4000556): 2.594 kg</t>
  </si>
  <si>
    <t>LB1 | Pallet (4000038): 1 pc | Shrink film (4000556): 2.594 kg</t>
  </si>
  <si>
    <t>IA-PPWR-TF-ST-096-EUR-01-R00</t>
  </si>
  <si>
    <t>IA-PPWR-DOC-ST-096-EUR-01-R00</t>
  </si>
  <si>
    <t>IA-PPWR-LBL-ST-096-EUR-01-R00</t>
  </si>
  <si>
    <t>IA-PPWR-STM-ST-096-EUR-01-R00</t>
  </si>
  <si>
    <t>Starter 96-unit | Euro Pallet 800×1200×152 mm | Variant 02</t>
  </si>
  <si>
    <t>L1 | Palet (4000038): 1 adet | Shrink film (4000556): 3.167 kg</t>
  </si>
  <si>
    <t>L1 | Pallet (4000038): 1 pc | Shrink film (4000556): 3.167 kg</t>
  </si>
  <si>
    <t>IA-PPWR-TF-ST-096-EUR-02-R00</t>
  </si>
  <si>
    <t>IA-PPWR-DOC-ST-096-EUR-02-R00</t>
  </si>
  <si>
    <t>IA-PPWR-LBL-ST-096-EUR-02-R00</t>
  </si>
  <si>
    <t>IA-PPWR-STM-ST-096-EUR-02-R00</t>
  </si>
  <si>
    <t>1012880; 1012881; 1013739; 1013973; 1014055; 1014616; 1014708; 1014855; 1014925; 1015168</t>
  </si>
  <si>
    <t>Starter 96-unit | Euro Pallet 800×1200×152 mm | Variant 03</t>
  </si>
  <si>
    <t>L1, LB1 | Palet (4000038): 1 adet | Shrink film (4000556): 3.167 kg</t>
  </si>
  <si>
    <t>L1, LB1 | Pallet (4000038): 1 pc | Shrink film (4000556): 3.167 kg</t>
  </si>
  <si>
    <t>IA-PPWR-TF-ST-096-EUR-03-R00</t>
  </si>
  <si>
    <t>IA-PPWR-DOC-ST-096-EUR-03-R00</t>
  </si>
  <si>
    <t>IA-PPWR-LBL-ST-096-EUR-03-R00</t>
  </si>
  <si>
    <t>IA-PPWR-STM-ST-096-EUR-03-R00</t>
  </si>
  <si>
    <t>Starter 96-unit | Euro Pallet 800×1200×152 mm | Variant 04</t>
  </si>
  <si>
    <t>L1 | Palet (4000038): 1 adet | Shrink film (4000556): kullanılmaz</t>
  </si>
  <si>
    <t>L1 | Pallet (4000038): 1 pc | Shrink film (4000556): not used</t>
  </si>
  <si>
    <t>IA-PPWR-TF-ST-096-EUR-04-R00</t>
  </si>
  <si>
    <t>IA-PPWR-DOC-ST-096-EUR-04-R00</t>
  </si>
  <si>
    <t>IA-PPWR-LBL-ST-096-EUR-04-R00</t>
  </si>
  <si>
    <t>IA-PPWR-STM-ST-096-EUR-04-R00</t>
  </si>
  <si>
    <t>Starter 96-unit | Euro Pallet 800×1200×152 mm | Variant 05</t>
  </si>
  <si>
    <t>LB1 | Palet (4000038): 1 adet | Shrink film (4000556): kullanılmaz</t>
  </si>
  <si>
    <t>LB1 | Pallet (4000038): 1 pc | Shrink film (4000556): not used</t>
  </si>
  <si>
    <t>IA-PPWR-TF-ST-096-EUR-05-R00</t>
  </si>
  <si>
    <t>IA-PPWR-DOC-ST-096-EUR-05-R00</t>
  </si>
  <si>
    <t>IA-PPWR-LBL-ST-096-EUR-05-R00</t>
  </si>
  <si>
    <t>IA-PPWR-STM-ST-096-EUR-05-R00</t>
  </si>
  <si>
    <t>1013533; 1014656; 1015024; 1015025</t>
  </si>
  <si>
    <t>Starter 96-unit | Euro Pallet 800×1200×152 mm | Variant 06</t>
  </si>
  <si>
    <t>IA-PPWR-TF-ST-096-EUR-06-R00</t>
  </si>
  <si>
    <t>IA-PPWR-DOC-ST-096-EUR-06-R00</t>
  </si>
  <si>
    <t>IA-PPWR-LBL-ST-096-EUR-06-R00</t>
  </si>
  <si>
    <t>IA-PPWR-STM-ST-096-EUR-06-R00</t>
  </si>
  <si>
    <t>1013531; 1015167</t>
  </si>
  <si>
    <t>Starter 96-unit | Euro Pallet 800×1200×152 mm | Variant 07</t>
  </si>
  <si>
    <t>IA-PPWR-TF-ST-096-EUR-07-R00</t>
  </si>
  <si>
    <t>IA-PPWR-DOC-ST-096-EUR-07-R00</t>
  </si>
  <si>
    <t>IA-PPWR-LBL-ST-096-EUR-07-R00</t>
  </si>
  <si>
    <t>IA-PPWR-STM-ST-096-EUR-07-R00</t>
  </si>
  <si>
    <t>1013440; 1014390</t>
  </si>
  <si>
    <t>Starter 96-unit | Euro Pallet 800×1200×152 mm | Variant 08</t>
  </si>
  <si>
    <t>L0 | Palet (4000038): 1 adet | Separatör (4000609): 4 adet</t>
  </si>
  <si>
    <t>L0 | Pallet (4000038): 1 pc | Separator (4000609): 4 pcs</t>
  </si>
  <si>
    <t>IA-PPWR-TF-ST-096-EUR-08-R00</t>
  </si>
  <si>
    <t>IA-PPWR-DOC-ST-096-EUR-08-R00</t>
  </si>
  <si>
    <t>IA-PPWR-LBL-ST-096-EUR-08-R00</t>
  </si>
  <si>
    <t>IA-PPWR-STM-ST-096-EUR-08-R00</t>
  </si>
  <si>
    <t>Starter 96-unit | Euro Pallet 800×1200×152 mm | Variant 09</t>
  </si>
  <si>
    <t>L0 | Palet (4000038): 1 adet | Shrink film (4000555): 2.31 kg | Separatör (4000609): 5 adet</t>
  </si>
  <si>
    <t>L0 | Pallet (4000038): 1 pc | Shrink film (4000555): 2.31 kg | Separator (4000609): 5 pcs</t>
  </si>
  <si>
    <t>IA-PPWR-TF-ST-096-EUR-09-R00</t>
  </si>
  <si>
    <t>IA-PPWR-DOC-ST-096-EUR-09-R00</t>
  </si>
  <si>
    <t>IA-PPWR-LBL-ST-096-EUR-09-R00</t>
  </si>
  <si>
    <t>IA-PPWR-STM-ST-096-EUR-09-R00</t>
  </si>
  <si>
    <t>Starter 96-unit | Euro Pallet 800×1200×152 mm | Variant 10</t>
  </si>
  <si>
    <t>L0 | Palet (4000038): 1 adet | Shrink film (4000555): kullanılmaz | Köşebent (4000590): 2 adet</t>
  </si>
  <si>
    <t>L0 | Pallet (4000038): 1 pc | Shrink film (4000555): not used | Edge protector (4000590): 2 pcs</t>
  </si>
  <si>
    <t>IA-PPWR-TF-ST-096-EUR-10-R00</t>
  </si>
  <si>
    <t>IA-PPWR-DOC-ST-096-EUR-10-R00</t>
  </si>
  <si>
    <t>IA-PPWR-LBL-ST-096-EUR-10-R00</t>
  </si>
  <si>
    <t>IA-PPWR-STM-ST-096-EUR-10-R00</t>
  </si>
  <si>
    <t>Starter 96-unit | Standard Pallet 1030×1110×152 mm | Variant 01</t>
  </si>
  <si>
    <t>L1 | L1 EAS Activa penceresiz dış koli (4000645): 96 adet</t>
  </si>
  <si>
    <t>L1 | L1 EAS Activa windowless outer carton (4000645): 96 pcs</t>
  </si>
  <si>
    <t>IA-PPWR-TF-ST-096-STD-01-R00</t>
  </si>
  <si>
    <t>IA-PPWR-DOC-ST-096-STD-01-R00</t>
  </si>
  <si>
    <t>IA-PPWR-LBL-ST-096-STD-01-R00</t>
  </si>
  <si>
    <t>IA-PPWR-STM-ST-096-STD-01-R00</t>
  </si>
  <si>
    <t>Starter 96-unit | Standard Pallet 1030×1110×152 mm | Variant 02</t>
  </si>
  <si>
    <t>LB1 | LB1 İnci FORMULA-MAXIMA 2019 dış koli (4001201): 96 adet</t>
  </si>
  <si>
    <t>LB1 | LB1 İnci FORMULA-MAXIMA 2019 outer carton (4001201): 96 pcs</t>
  </si>
  <si>
    <t>IA-PPWR-TF-ST-096-STD-02-R00</t>
  </si>
  <si>
    <t>IA-PPWR-DOC-ST-096-STD-02-R00</t>
  </si>
  <si>
    <t>IA-PPWR-LBL-ST-096-STD-02-R00</t>
  </si>
  <si>
    <t>IA-PPWR-STM-ST-096-STD-02-R00</t>
  </si>
  <si>
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</si>
  <si>
    <t>Starter 96-unit | Standard Pallet 1030×1110×152 mm | Variant 03</t>
  </si>
  <si>
    <t>NS60 | NS60 PVC üst kapak (4000602): 96 adet | Köşebent (4000590): 4 adet</t>
  </si>
  <si>
    <t>NS60 | NS60 PVC upper cover (4000602): 96 pcs | Edge protector (4000590): 4 pcs</t>
  </si>
  <si>
    <t>IA-PPWR-TF-ST-096-STD-03-R00</t>
  </si>
  <si>
    <t>IA-PPWR-DOC-ST-096-STD-03-R00</t>
  </si>
  <si>
    <t>IA-PPWR-LBL-ST-096-STD-03-R00</t>
  </si>
  <si>
    <t>IA-PPWR-STM-ST-096-STD-03-R00</t>
  </si>
  <si>
    <t>1011165; 1011166; 1011181; 1011211; 1011212; 1014007; 1014197; 1014378</t>
  </si>
  <si>
    <t>Starter 96-unit | Standard Pallet 1030×1110×152 mm | Variant 04</t>
  </si>
  <si>
    <t>NS60 | NS60 PVC üst kapak (4000602): 96 adet | Çember (4000450): kullanılmaz</t>
  </si>
  <si>
    <t>NS60 | NS60 PVC upper cover (4000602): 96 pcs | Strap (4000450): not used</t>
  </si>
  <si>
    <t>IA-PPWR-TF-ST-096-STD-04-R00</t>
  </si>
  <si>
    <t>IA-PPWR-DOC-ST-096-STD-04-R00</t>
  </si>
  <si>
    <t>IA-PPWR-LBL-ST-096-STD-04-R00</t>
  </si>
  <si>
    <t>IA-PPWR-STM-ST-096-STD-04-R00</t>
  </si>
  <si>
    <t>1012443; 1012444; 1012457; 1012458; 1012464; 1012465</t>
  </si>
  <si>
    <t>Starter 96-unit | Standard Pallet 1030×1110×152 mm | Variant 05</t>
  </si>
  <si>
    <t>NS60 | Palet (4000037): 1 adet | Shrink film (4001177): 0.597 kg</t>
  </si>
  <si>
    <t>NS60 | Pallet (4000037): 1 pc | Shrink film (4001177): 0.597 kg</t>
  </si>
  <si>
    <t>IA-PPWR-TF-ST-096-STD-05-R00</t>
  </si>
  <si>
    <t>IA-PPWR-DOC-ST-096-STD-05-R00</t>
  </si>
  <si>
    <t>IA-PPWR-LBL-ST-096-STD-05-R00</t>
  </si>
  <si>
    <t>IA-PPWR-STM-ST-096-STD-05-R00</t>
  </si>
  <si>
    <t>Starter 96-unit | Euro,800*1200*152 | Type L0</t>
  </si>
  <si>
    <t>IA-ST-CFG-0279 Product Variant 0575</t>
  </si>
  <si>
    <t>IA-PPWR-TF-ST-096-STD-06-R00</t>
  </si>
  <si>
    <t>IA-PPWR-DOC-ST-096-STD-06-R00</t>
  </si>
  <si>
    <t>IA-PPWR-LBL-ST-096-STD-06-R00</t>
  </si>
  <si>
    <t>IA-PPWR-STM-ST-096-STD-06-R00</t>
  </si>
  <si>
    <t>Starter 96-unit | Euro,800*1200*152 | Type LB1</t>
  </si>
  <si>
    <t>IA-ST-CFG-0280 Product Variant 0576</t>
  </si>
  <si>
    <t>IA-PPWR-TF-ST-096-STD-07-R00</t>
  </si>
  <si>
    <t>IA-PPWR-DOC-ST-096-STD-07-R00</t>
  </si>
  <si>
    <t>IA-PPWR-LBL-ST-096-STD-07-R00</t>
  </si>
  <si>
    <t>IA-PPWR-STM-ST-096-STD-07-R00</t>
  </si>
  <si>
    <t>Starter 96-unit | Euro,800*1200*152 | Type L1</t>
  </si>
  <si>
    <t>IA-ST-CFG-0281 Product Variant 0577</t>
  </si>
  <si>
    <t>IA-PPWR-TF-ST-096-STD-08-R00</t>
  </si>
  <si>
    <t>IA-PPWR-DOC-ST-096-STD-08-R00</t>
  </si>
  <si>
    <t>IA-PPWR-LBL-ST-096-STD-08-R00</t>
  </si>
  <si>
    <t>IA-PPWR-STM-ST-096-STD-08-R00</t>
  </si>
  <si>
    <t>Starter 105-unit | Standard Pallet 1030×1110×152 mm | Variant 01</t>
  </si>
  <si>
    <t>NS40 | NS40 EAS Activa penceresiz B00 dış koli (4000630): 105 adet</t>
  </si>
  <si>
    <t>NS40 | NS40 EAS Activa windowless B00 outer carton (4000630): 105 pcs</t>
  </si>
  <si>
    <t>IA-PPWR-TF-ST-105-STD-01-R00</t>
  </si>
  <si>
    <t>IA-PPWR-DOC-ST-105-STD-01-R00</t>
  </si>
  <si>
    <t>IA-PPWR-LBL-ST-105-STD-01-R00</t>
  </si>
  <si>
    <t>IA-PPWR-STM-ST-105-STD-01-R00</t>
  </si>
  <si>
    <t>Starter 105-unit | Standard Pallet 1030×1110×152 mm | Variant 02</t>
  </si>
  <si>
    <t>NS40 | NS40 İnci FORMULA-MAXIMA B00 2019 dış koli (4001212): 105 adet</t>
  </si>
  <si>
    <t>NS40 | NS40 İnci FORMULA-MAXIMA B00 2019 outer carton (4001212): 105 pcs</t>
  </si>
  <si>
    <t>IA-PPWR-TF-ST-105-STD-02-R00</t>
  </si>
  <si>
    <t>IA-PPWR-DOC-ST-105-STD-02-R00</t>
  </si>
  <si>
    <t>IA-PPWR-LBL-ST-105-STD-02-R00</t>
  </si>
  <si>
    <t>IA-PPWR-STM-ST-105-STD-02-R00</t>
  </si>
  <si>
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</si>
  <si>
    <t>Starter 120-unit | Standard Pallet 1030×1110×152 mm | Variant 01</t>
  </si>
  <si>
    <t>NS40 | NS40 PVC üst kapak (4000601): 120 adet | Köşebent (4000590): 4 adet</t>
  </si>
  <si>
    <t>NS40 | NS40 PVC upper cover (4000601): 120 pcs | Edge protector (4000590): 4 pcs</t>
  </si>
  <si>
    <t>IA-PPWR-TF-ST-120-STD-01-R00</t>
  </si>
  <si>
    <t>IA-PPWR-DOC-ST-120-STD-01-R00</t>
  </si>
  <si>
    <t>IA-PPWR-LBL-ST-120-STD-01-R00</t>
  </si>
  <si>
    <t>IA-PPWR-STM-ST-120-STD-01-R00</t>
  </si>
  <si>
    <t>1011180; 1014006</t>
  </si>
  <si>
    <t>Starter 120-unit | Standard Pallet 1030×1110×152 mm | Variant 02</t>
  </si>
  <si>
    <t>NS40 | NS40 PVC üst kapak (4000601): 120 adet | Çember (4000450): kullanılmaz</t>
  </si>
  <si>
    <t>NS40 | NS40 PVC upper cover (4000601): 120 pcs | Strap (4000450): not used</t>
  </si>
  <si>
    <t>IA-PPWR-TF-ST-120-STD-02-R00</t>
  </si>
  <si>
    <t>IA-PPWR-DOC-ST-120-STD-02-R00</t>
  </si>
  <si>
    <t>IA-PPWR-LBL-ST-120-STD-02-R00</t>
  </si>
  <si>
    <t>IA-PPWR-STM-ST-120-STD-02-R00</t>
  </si>
  <si>
    <t>1012446; 1012447; 1012448; 1012449</t>
  </si>
  <si>
    <t>Starter 120-unit | Standard Pallet 1030×1110×152 mm | Variant 03</t>
  </si>
  <si>
    <t>NS40 | Palet (4000037): 1 adet | Shrink film (4001177): 0.597 kg</t>
  </si>
  <si>
    <t>NS40 | Pallet (4000037): 1 pc | Shrink film (4001177): 0.597 kg</t>
  </si>
  <si>
    <t>IA-PPWR-TF-ST-120-STD-03-R00</t>
  </si>
  <si>
    <t>IA-PPWR-DOC-ST-120-STD-03-R00</t>
  </si>
  <si>
    <t>IA-PPWR-LBL-ST-120-STD-03-R00</t>
  </si>
  <si>
    <t>IA-PPWR-STM-ST-120-STD-03-R00</t>
  </si>
  <si>
    <t>1013084 | 1014789 | 1014790</t>
  </si>
  <si>
    <t>Starter 18-unit | Source Pallet Class | Type L3</t>
  </si>
  <si>
    <t>BOM DATA REQUIRED</t>
  </si>
  <si>
    <t>PENDING_BOM_DATA</t>
  </si>
  <si>
    <t>IA-ST-CFG-0018 Product Variant 0037</t>
  </si>
  <si>
    <t>IA-ST-VAR-0037</t>
  </si>
  <si>
    <t>PROVISIONAL — NOT ISSUED / BOM DATA REQUIRED; former provisional code ST-018-STD-04; variant IA-ST-VAR-0037</t>
  </si>
  <si>
    <t>Component Code</t>
  </si>
  <si>
    <t>Component Description</t>
  </si>
  <si>
    <t>Quantity</t>
  </si>
  <si>
    <t>UOM</t>
  </si>
  <si>
    <t>Unit Weight</t>
  </si>
  <si>
    <t>Line Weight</t>
  </si>
  <si>
    <t>4000450</t>
  </si>
  <si>
    <t>SIGNODE ÇEMBER 1260 2000M 3000N 12.0X0.6</t>
  </si>
  <si>
    <t>M</t>
  </si>
  <si>
    <t>4000038</t>
  </si>
  <si>
    <t>PALET EURO,800*1200*152</t>
  </si>
  <si>
    <t>ADT</t>
  </si>
  <si>
    <t>4000300</t>
  </si>
  <si>
    <t>STRECH,23MC,50CM*1500M,MAKİNA STRECH</t>
  </si>
  <si>
    <t>4000301</t>
  </si>
  <si>
    <t>STRECH PED,80MC,140CM*170CM</t>
  </si>
  <si>
    <t>KG</t>
  </si>
  <si>
    <t>MASS-BASED / N/A</t>
  </si>
  <si>
    <t>4000590</t>
  </si>
  <si>
    <t>KARTON KÖŞEBENT,4cm*4cm*4*75cm,SEV.PLT</t>
  </si>
  <si>
    <t>4000609</t>
  </si>
  <si>
    <t>KARTON SEPERATÖR,80*117.5,EURO</t>
  </si>
  <si>
    <t>4001186</t>
  </si>
  <si>
    <t>HONEYCOMP,1200*800*40 TABAKA,EURO</t>
  </si>
  <si>
    <t>4001281</t>
  </si>
  <si>
    <t>STRAFOR,C TİPİ AKÜLER İÇİN ÜST STRAFOR</t>
  </si>
  <si>
    <t>4000557</t>
  </si>
  <si>
    <t>SHRINK,65CM,100MC</t>
  </si>
  <si>
    <t>4001160</t>
  </si>
  <si>
    <t>KARTON KÖŞEBENT,6cm*6cm*6*70cm,SEV.PLT</t>
  </si>
  <si>
    <t>4001161</t>
  </si>
  <si>
    <t>KARTON KÖŞEBENT,6cm*6cm*6*100cm,SEVPLT</t>
  </si>
  <si>
    <t>3006079</t>
  </si>
  <si>
    <t>4001135</t>
  </si>
  <si>
    <t>3006078</t>
  </si>
  <si>
    <t>4000591</t>
  </si>
  <si>
    <t>B TİPİ,VAKUM PVC ,ÜST KAPAK</t>
  </si>
  <si>
    <t>4001290</t>
  </si>
  <si>
    <t>STRAFOR,B TİPİ AKÜLER İÇİN ÜST STRAF,3</t>
  </si>
  <si>
    <t>4000037</t>
  </si>
  <si>
    <t>PALET STANDART,1030*1110*152</t>
  </si>
  <si>
    <t>4000130</t>
  </si>
  <si>
    <t>KARTON SEPERATÖR,102*105,B DALGA</t>
  </si>
  <si>
    <t>4001177</t>
  </si>
  <si>
    <t>SHIRINK,ŞAPKA NAYLON UV MAVİ,120*125*135</t>
  </si>
  <si>
    <t>4001163</t>
  </si>
  <si>
    <t>KARTON KÖŞEBENT,6cm*6cm*6*79cm,SEV.PLT</t>
  </si>
  <si>
    <t>4000492</t>
  </si>
  <si>
    <t>4000491</t>
  </si>
  <si>
    <t>AMBALAJ,OSB,81*122</t>
  </si>
  <si>
    <t>4000720</t>
  </si>
  <si>
    <t>A TİPİ VAKUM PVC ,ÜST KAPAK YENİ</t>
  </si>
  <si>
    <t>4001279</t>
  </si>
  <si>
    <t>STRAFOR,A TİPİ AKÜLER İÇİN ÜST STRAFOR</t>
  </si>
  <si>
    <t>4000608</t>
  </si>
  <si>
    <t>3004234</t>
  </si>
  <si>
    <t>4000493</t>
  </si>
  <si>
    <t>TANK,VAKUM PVC ,ÜST KAPAK</t>
  </si>
  <si>
    <t>4000350</t>
  </si>
  <si>
    <t>PALET STANDART 100*90 CM</t>
  </si>
  <si>
    <t>4000558</t>
  </si>
  <si>
    <t>SHRINK,40CM,100MC</t>
  </si>
  <si>
    <t>SHRINK,50CM,100MC</t>
  </si>
  <si>
    <t>4001311</t>
  </si>
  <si>
    <t>D31,VAKUM PVC ,ÜST KAPAK,DOUBLE LID,KOLİ</t>
  </si>
  <si>
    <t>4000033</t>
  </si>
  <si>
    <t>KARTON KÖŞEBENT,4cm*4cm*4*100cm,SEVPLT</t>
  </si>
  <si>
    <t>4001108</t>
  </si>
  <si>
    <t>KOLİ,D31,YUASA,PENCERESİZ,ORTA DOĞU</t>
  </si>
  <si>
    <t>4001313</t>
  </si>
  <si>
    <t>KOLİ,L4,YUASA,PENCERESİZ,ORTA DOĞU</t>
  </si>
  <si>
    <t>4001360</t>
  </si>
  <si>
    <t>KOLİ,L6,İNCİ AGM LEO,105AH940A,PENCERELİ</t>
  </si>
  <si>
    <t>4000573</t>
  </si>
  <si>
    <t>STRAFOR,ÇUBUK,4*5*110 cm</t>
  </si>
  <si>
    <t>4000494</t>
  </si>
  <si>
    <t>TRAKTÖR,VAKUM PVC ,ÜST KAPAK</t>
  </si>
  <si>
    <t>4001103</t>
  </si>
  <si>
    <t>KOLİ,L3,YUASA,PENCERESİZ,ORTA DOĞU</t>
  </si>
  <si>
    <t>4000554</t>
  </si>
  <si>
    <t>SHRINK,45CM,100MC</t>
  </si>
  <si>
    <t>4001247</t>
  </si>
  <si>
    <t>3004685</t>
  </si>
  <si>
    <t>3004686</t>
  </si>
  <si>
    <t>3004993</t>
  </si>
  <si>
    <t>3004994</t>
  </si>
  <si>
    <t>3010376</t>
  </si>
  <si>
    <t>3010377</t>
  </si>
  <si>
    <t>4001162</t>
  </si>
  <si>
    <t>D23,VAKUM PVC ,ÜST KAPAK,KOLİ İÇİN</t>
  </si>
  <si>
    <t>4001106</t>
  </si>
  <si>
    <t>KOLİ,D23,YUASA,PENCERESİZ,ORTA DOĞU</t>
  </si>
  <si>
    <t>4001399</t>
  </si>
  <si>
    <t>KOLİ,L6,EAS AGM S&amp;S,105AH 940A,PENCERELİ</t>
  </si>
  <si>
    <t>4001102</t>
  </si>
  <si>
    <t>KOLİ,L2,YUASA,PENCERESİZ,ORTA DOĞU</t>
  </si>
  <si>
    <t>4001105</t>
  </si>
  <si>
    <t>KOLİ,L5,YUASA,PENCERESİZ,ORTA DOĞU</t>
  </si>
  <si>
    <t>4001194</t>
  </si>
  <si>
    <t>KOLİ,L5,İNCİ AGM LEO,95AH 870A,PENCERELİ</t>
  </si>
  <si>
    <t>4001398</t>
  </si>
  <si>
    <t>KOLİ,L5,EAS AGM S&amp;S,95AH 870A,PENCERELİ</t>
  </si>
  <si>
    <t>4000370</t>
  </si>
  <si>
    <t>STRAFOR,1050*1000*40,TABAKA,STANDART</t>
  </si>
  <si>
    <t>4000440</t>
  </si>
  <si>
    <t>D26,VAKUM PVC,ÜST KAPAK</t>
  </si>
  <si>
    <t>STRAFOR,1200*800*40,TABAKA,EURO</t>
  </si>
  <si>
    <t>4001310</t>
  </si>
  <si>
    <t>D31,VAKUM PVC ,ÜST KAPAK,DOUBLE LID</t>
  </si>
  <si>
    <t>4001312</t>
  </si>
  <si>
    <t>KOLİ,L1,YUASA,PENCERESİZ,ORTA DOĞU</t>
  </si>
  <si>
    <t>4000602</t>
  </si>
  <si>
    <t>4000556</t>
  </si>
  <si>
    <t>3010383</t>
  </si>
  <si>
    <t>3010384</t>
  </si>
  <si>
    <t>4000782</t>
  </si>
  <si>
    <t>KOLİ,D31 EAS ACTIV A PENCERESİZ</t>
  </si>
  <si>
    <t>4001433</t>
  </si>
  <si>
    <t>KOLİ,D31 BLIZZARO SILVERLINE PENCERESİZ</t>
  </si>
  <si>
    <t>4001397</t>
  </si>
  <si>
    <t>KOLİ,L4,EAS AGM S&amp;S,80AH 800A,PENCERELİ</t>
  </si>
  <si>
    <t>4001211</t>
  </si>
  <si>
    <t>KOLİ,D31,İNCİ FORMULA-MAXIMA,PENCERESİZ</t>
  </si>
  <si>
    <t>4001237</t>
  </si>
  <si>
    <t>KOLİ,L3,İNCİ AGM LEO,70AH 760A,PENCERELİ</t>
  </si>
  <si>
    <t>4001396</t>
  </si>
  <si>
    <t>KOLİ,L3,EAS AGM S&amp;S,70AH 760A,PENCERELİ</t>
  </si>
  <si>
    <t>4001341</t>
  </si>
  <si>
    <t>KOLİ,L4,İNCİ AGM LEO,80AH 800A,PENCERELİ</t>
  </si>
  <si>
    <t>4001010</t>
  </si>
  <si>
    <t>D26,VAKUM PVC ,ÜST KAPAK,KOLİ İÇİN</t>
  </si>
  <si>
    <t>4001271</t>
  </si>
  <si>
    <t>KOLİ,D26,İNCİEFBPANTERA,PEN'Lİ,YÜKSEK,DL</t>
  </si>
  <si>
    <t>4001287</t>
  </si>
  <si>
    <t>KOLİ,D26 EAS ACTIVA PENCERESİZ (YÜKSEK)</t>
  </si>
  <si>
    <t>4001289</t>
  </si>
  <si>
    <t>KOLİ,D26,YUASA ORTADOĞU,PENCERESİZ</t>
  </si>
  <si>
    <t>4000461</t>
  </si>
  <si>
    <t>D23,VAKUM PVC ,ÜST KAPAK</t>
  </si>
  <si>
    <t>4001006</t>
  </si>
  <si>
    <t>KOLİ,L5 EAS ACTIV A  PENCERESİZ</t>
  </si>
  <si>
    <t>4001274</t>
  </si>
  <si>
    <t>KOLİ,L5,İNCİ EFB MAX TIGRIS,PENC'Lİ,2020</t>
  </si>
  <si>
    <t>4001320</t>
  </si>
  <si>
    <t>KOLİ,L5,İNCİEFBPANTRA,PEN'Lİ,90AH830A,DL</t>
  </si>
  <si>
    <t>4001208</t>
  </si>
  <si>
    <t>KOLİ,L5,İNCİ FORMULA-MAXIMA,2019</t>
  </si>
  <si>
    <t>4001270</t>
  </si>
  <si>
    <t>KOLİ,D23,İNCİ EFBPANTERA,YÜKSEK PENLİ,DL</t>
  </si>
  <si>
    <t>4001340</t>
  </si>
  <si>
    <t>KOLİ,L2,İNCİ AGM LEO,60AH 680A,PENCERELİ</t>
  </si>
  <si>
    <t>4001395</t>
  </si>
  <si>
    <t>KOLİ,L2,EAS AGM S&amp;S,60AH 680A,PENCERELİ</t>
  </si>
  <si>
    <t>4001104</t>
  </si>
  <si>
    <t>KOLİ,LB4,YUASA,PENCERESİZ,ORTA DOĞU</t>
  </si>
  <si>
    <t>4001275</t>
  </si>
  <si>
    <t>KOLİ,L4,İNCİ EFB MAX TIGRIS,PENC'Lİ,2020</t>
  </si>
  <si>
    <t>4001316</t>
  </si>
  <si>
    <t>KOLİ,LB4,İNCİ EFB PANTERA,PENCERELİ,DL</t>
  </si>
  <si>
    <t>4001318</t>
  </si>
  <si>
    <t>KOLİ,L4,İNCİ EFB PANTERA,PENCERELİ,DL</t>
  </si>
  <si>
    <t>SHRINK,35CM,100MC</t>
  </si>
  <si>
    <t>NS60,VAKUM PVC,ÜST KAPAK</t>
  </si>
  <si>
    <t>4000646</t>
  </si>
  <si>
    <t>KOLİ,L3 EAS ACTIVA PENCERESİZ</t>
  </si>
  <si>
    <t>4001314</t>
  </si>
  <si>
    <t>KOLİ,LB3,İNCİ EFB PANTERA,PENCERELİ,DL</t>
  </si>
  <si>
    <t>4001315</t>
  </si>
  <si>
    <t>KOLİ,L3,İNCİ EFB PANTERA,PENCERELİ,DL</t>
  </si>
  <si>
    <t>4001411</t>
  </si>
  <si>
    <t>KOLİ,L3,EAS EFB MAX,PENCERELİ,2024</t>
  </si>
  <si>
    <t>4001394</t>
  </si>
  <si>
    <t>KOLİ,L1,EAS AGM S&amp;S,50AH 560A,PENCERELİ</t>
  </si>
  <si>
    <t>4000865</t>
  </si>
  <si>
    <t>KOLİ,L3 HUGEL ULTRA PENCERESİZ 2013 TAS.</t>
  </si>
  <si>
    <t>4001205</t>
  </si>
  <si>
    <t>KOLİ,LB3,İNCİ FORMULA-MAXIMA,2019</t>
  </si>
  <si>
    <t>4000490</t>
  </si>
  <si>
    <t>D20,VAKUM PVC ,ÜST KAPAK</t>
  </si>
  <si>
    <t>3010484</t>
  </si>
  <si>
    <t>3010485</t>
  </si>
  <si>
    <t>4001393</t>
  </si>
  <si>
    <t>KOLİ,L1,İNCİ AGM LEO,50AH 560A,PENCERELİ</t>
  </si>
  <si>
    <t>4000601</t>
  </si>
  <si>
    <t>NS40,VAKUM PVC,ÜST KAPAK</t>
  </si>
  <si>
    <t>4000555</t>
  </si>
  <si>
    <t>SHRINK,30CM,100MC</t>
  </si>
  <si>
    <t>4000621</t>
  </si>
  <si>
    <t>NS60,VAKUM PVC,ÜST KAPAK KOLİ İÇİN</t>
  </si>
  <si>
    <t>4000631</t>
  </si>
  <si>
    <t>KOLİ,NS60 EAS ACTIVA  PENCERESİZ</t>
  </si>
  <si>
    <t>4000644</t>
  </si>
  <si>
    <t>KOLİ,L2,EAS ACTIVA PENCERESİZ</t>
  </si>
  <si>
    <t>4001272</t>
  </si>
  <si>
    <t>KOLİ,L2,İNCİ EFB MAX TIGRIS,PENC'Lİ,2020</t>
  </si>
  <si>
    <t>4001317</t>
  </si>
  <si>
    <t>KOLİ,L2,İNCİ EFB PANTERA,PENCERELİ,DL</t>
  </si>
  <si>
    <t>4001410</t>
  </si>
  <si>
    <t>KOLİ,L2,EAS EFB MAX,PENCERELİ,2024</t>
  </si>
  <si>
    <t>4001434</t>
  </si>
  <si>
    <t>KOLİ,L2 BLIZZARO SILVERLINE PENCERESİZ</t>
  </si>
  <si>
    <t>4001203</t>
  </si>
  <si>
    <t>KOLİ,LB2,İNCİ FORMULA-MAXIMA,2019</t>
  </si>
  <si>
    <t>4001419</t>
  </si>
  <si>
    <t>KOLİ,L2,İNCİ FORMULA-MAXIMA,PENCERESİZ</t>
  </si>
  <si>
    <t>4000645</t>
  </si>
  <si>
    <t>KOLİ,L1 EAS ACTIVA PENCERESİZ</t>
  </si>
  <si>
    <t>4001201</t>
  </si>
  <si>
    <t>KOLİ,LB1,İNCİ FORMULA-MAXIMA,2019</t>
  </si>
  <si>
    <t>4000620</t>
  </si>
  <si>
    <t>NS40,VAKUM PVC,ÜST KAPAK KOLİ İÇİN</t>
  </si>
  <si>
    <t>4000630</t>
  </si>
  <si>
    <t>KOLİ,NS40 EAS ACTIVA  PENCERESİZ,B00</t>
  </si>
  <si>
    <t>4001212</t>
  </si>
  <si>
    <t>KOLİ,NS40,İNCİ FORMULA-MAXIMA,B00,2019</t>
  </si>
  <si>
    <t>Default UOM</t>
  </si>
  <si>
    <t>DOCUMENT CENTER — CONTROLLED PACKAGING SETS (HORIZONTAL)</t>
  </si>
  <si>
    <t>One Packaging Set = one row. All four document families appear side-by-side. OPEN WORD / OPEN PDF open local files relative to this workbook (00_CONTROL).</t>
  </si>
  <si>
    <t>PRODUCT / CONFIGURATION</t>
  </si>
  <si>
    <t>Product Code(s)</t>
  </si>
  <si>
    <t>TF WORD</t>
  </si>
  <si>
    <t>TF PDF</t>
  </si>
  <si>
    <t>DoC WORD</t>
  </si>
  <si>
    <t>DoC PDF</t>
  </si>
  <si>
    <t>Label WORD</t>
  </si>
  <si>
    <t>Label PDF</t>
  </si>
  <si>
    <t>Statement WORD</t>
  </si>
  <si>
    <t>Statement PDF</t>
  </si>
  <si>
    <t>ISSUED</t>
  </si>
  <si>
    <t>OPEN WORD</t>
  </si>
  <si>
    <t>OPEN PDF</t>
  </si>
  <si>
    <t>YURT İÇİ / DOMESTIC — PACKAGING DATA GAP (42)</t>
  </si>
  <si>
    <t>Documents are NOT ISSUED. Complete physical packaging BOM required.</t>
  </si>
  <si>
    <t>Documents</t>
  </si>
  <si>
    <t>TF</t>
  </si>
  <si>
    <t>DoC</t>
  </si>
  <si>
    <t>Label</t>
  </si>
  <si>
    <t>STM</t>
  </si>
  <si>
    <t>Word</t>
  </si>
  <si>
    <t>PDF</t>
  </si>
  <si>
    <t>Evidence Type</t>
  </si>
  <si>
    <t>Include in Technical File</t>
  </si>
  <si>
    <t>DRAWING</t>
  </si>
  <si>
    <t>OPTIONAL / NOT REQUIRED FOR ISSUE</t>
  </si>
  <si>
    <t>NO</t>
  </si>
  <si>
    <t>PHOTOGRAPH</t>
  </si>
  <si>
    <t>Active</t>
  </si>
  <si>
    <t>Name</t>
  </si>
  <si>
    <t>TR Title</t>
  </si>
  <si>
    <t>EN Title</t>
  </si>
  <si>
    <t>Signature File</t>
  </si>
  <si>
    <t>YES</t>
  </si>
  <si>
    <t>Numan Alver</t>
  </si>
  <si>
    <t>Operasyon Direktörü</t>
  </si>
  <si>
    <t>Operations Director</t>
  </si>
  <si>
    <t>assets/signatory/numan_alver_signature_transparent.png</t>
  </si>
  <si>
    <t>Template</t>
  </si>
  <si>
    <t>01_Technical_File_GOLDEN.docx</t>
  </si>
  <si>
    <t>LOCKED</t>
  </si>
  <si>
    <t>02_EU_DoC_GOLDEN.docx</t>
  </si>
  <si>
    <t>03_Label_GOLDEN.docx</t>
  </si>
  <si>
    <t>04_Shipment_Statement_GOLDEN.docx</t>
  </si>
  <si>
    <t>Rule</t>
  </si>
  <si>
    <t>Action</t>
  </si>
  <si>
    <t>BOM signature change</t>
  </si>
  <si>
    <t>Archive Rev00; issue R01+</t>
  </si>
  <si>
    <t>ACTIVE</t>
  </si>
  <si>
    <t>Product scope change</t>
  </si>
  <si>
    <t>Regenerate affected docs with revision evaluation</t>
  </si>
  <si>
    <t>New Packaging Family</t>
  </si>
  <si>
    <t>Compare against all 287 physical BOM signatures first</t>
  </si>
  <si>
    <t>Exact physical match</t>
  </si>
  <si>
    <t>Reuse Packaging Set Code</t>
  </si>
  <si>
    <t>True new physical BOM</t>
  </si>
  <si>
    <t>Issue new Packaging Set Code</t>
  </si>
  <si>
    <t>Incomplete physical BOM</t>
  </si>
  <si>
    <t>DATA REQUIRED — document generation blocked</t>
  </si>
  <si>
    <t>Scope</t>
  </si>
  <si>
    <t>ALL_287</t>
  </si>
  <si>
    <t>DONE</t>
  </si>
  <si>
    <t>Event</t>
  </si>
  <si>
    <t>Detail</t>
  </si>
  <si>
    <t>PREMIUM_FIX</t>
  </si>
  <si>
    <t>2026-08-11T19:20:54.895439+00:00</t>
  </si>
  <si>
    <t>Packaging Set</t>
  </si>
  <si>
    <t>Note</t>
  </si>
  <si>
    <t>Premium UI fix</t>
  </si>
  <si>
    <t>Key</t>
  </si>
  <si>
    <t>Value</t>
  </si>
  <si>
    <t>MASTER</t>
  </si>
  <si>
    <t>C:\Users\burcu\Documents\YAZILIM\Inci_Aku_PPWR_PIMS\output\INCI_AKU_PPWR_STARTER_MASTER_Rev00.xlsx</t>
  </si>
  <si>
    <t>DELIVERY</t>
  </si>
  <si>
    <t>C:\Users\burcu\Documents\YAZILIM\Inci_Aku_PPWR_PIMS\output\INCI_AKU_PPWR_STARTER_CUSTOMER_DELIVERY_REV00_FINAL_PREMIUM_CANDIDATE</t>
  </si>
  <si>
    <t>CONTROLLED_SETS</t>
  </si>
  <si>
    <t>TF_TYPE</t>
  </si>
  <si>
    <t>DOC_TYPE</t>
  </si>
  <si>
    <t>LABEL_TYPE</t>
  </si>
  <si>
    <t>STM_TYPE</t>
  </si>
  <si>
    <t>Metric</t>
  </si>
  <si>
    <t>Starter Products</t>
  </si>
  <si>
    <t>Controlled Products</t>
  </si>
  <si>
    <t>DATA REQUIRED</t>
  </si>
  <si>
    <t>Controlled Packaging Sets</t>
  </si>
  <si>
    <t>Signed DoCs</t>
  </si>
  <si>
    <t>Pending Regeneration</t>
  </si>
  <si>
    <t>QA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</si>
</sst>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9"/>
      <color rgb="FF1C2430"/>
      <name val="Tahoma"/>
    </font>
    <font>
      <b/>
      <sz val="9"/>
      <color rgb="FFFFFFFF"/>
      <name val="Tahoma"/>
    </font>
    <font>
      <b/>
      <sz val="14"/>
      <color rgb="FFB47B00"/>
      <name val="Tahoma"/>
    </font>
    <font>
      <b/>
      <sz val="20"/>
      <color rgb="FF0E2A47"/>
      <name val="Tahoma"/>
    </font>
    <font>
      <sz val="11"/>
      <color rgb="FF1F4E79"/>
      <name val="Tahoma"/>
    </font>
    <font>
      <b/>
      <sz val="12"/>
      <color rgb="FFFFFFFF"/>
      <name val="Tahoma"/>
    </font>
    <font>
      <sz val="8"/>
      <color rgb="FF1C2430"/>
      <name val="Tahoma"/>
    </font>
    <font>
      <b/>
      <sz val="8"/>
      <color rgb="FF0E2A47"/>
      <name val="Tahoma"/>
    </font>
    <font>
      <b/>
      <sz val="11"/>
      <color rgb="FFFFFFFF"/>
      <name val="Tahoma"/>
    </font>
    <font>
      <b/>
      <sz val="13"/>
      <color rgb="FF0E2A47"/>
      <name val="Tahoma"/>
    </font>
    <font>
      <sz val="10"/>
      <color rgb="FF1C2430"/>
      <name val="Tahoma"/>
    </font>
    <font>
      <b/>
      <sz val="10"/>
      <color rgb="FFFFFFFF"/>
      <name val="Tahoma"/>
    </font>
    <font>
      <sz val="9"/>
      <color rgb="FF1C2430"/>
      <name val="Tahoma"/>
    </font>
    <font>
      <b/>
      <sz val="9"/>
      <color rgb="FFFFFFFF"/>
      <name val="Tahoma"/>
    </font>
    <font>
      <b/>
      <sz val="18"/>
      <color rgb="FF0E2A47"/>
      <name val="Tahoma"/>
    </font>
    <font>
      <sz val="9"/>
      <color rgb="FF1F4E79"/>
      <name val="Tahoma"/>
    </font>
    <font>
      <b/>
      <sz val="14"/>
      <color rgb="FF0E2A47"/>
      <name val="Tahoma"/>
    </font>
    <font>
      <i/>
      <sz val="9"/>
      <color rgb="FF1F4E79"/>
      <name val="Tahoma"/>
    </font>
    <font>
      <b/>
      <sz val="12"/>
      <color rgb="FF0E2A47"/>
      <name val="Tahoma"/>
    </font>
    <font>
      <b/>
      <sz val="9"/>
      <color rgb="FFB47B00"/>
      <name val="Tahoma"/>
    </font>
    <font>
      <b/>
      <sz val="11"/>
      <color rgb="FF0E2A47"/>
      <name val="Tahoma"/>
    </font>
    <font>
      <i/>
      <sz val="8"/>
      <color rgb="FF667788"/>
      <name val="Tahoma"/>
    </font>
    <font>
      <b/>
      <sz val="14"/>
      <color rgb="FF0E2A47"/>
      <name val="Tahoma"/>
    </font>
    <font>
      <sz val="9"/>
      <color rgb="FF1F4E79"/>
      <name val="Tahoma"/>
    </font>
    <font>
      <b/>
      <sz val="9"/>
      <color rgb="FFFFFFFF"/>
      <name val="Tahoma"/>
    </font>
    <font>
      <b/>
      <sz val="8"/>
      <color rgb="FFFFFFFF"/>
      <name val="Tahoma"/>
    </font>
    <font>
      <sz val="9"/>
      <color rgb="FF1C2430"/>
      <name val="Tahoma"/>
    </font>
    <font>
      <b/>
      <sz val="10"/>
      <color rgb="FF0563C1"/>
      <name val="Tahoma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E2A47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rgb="FF1F7A4C"/>
      </patternFill>
    </fill>
    <fill>
      <patternFill patternType="solid">
        <fgColor rgb="FF0E2A47"/>
      </patternFill>
    </fill>
    <fill>
      <patternFill patternType="solid">
        <fgColor rgb="FF1F4E79"/>
      </patternFill>
    </fill>
    <fill>
      <patternFill patternType="solid">
        <fgColor rgb="FFB47B00"/>
      </patternFill>
    </fill>
    <fill>
      <patternFill patternType="solid">
        <fgColor rgb="FFF3F6F9"/>
      </patternFill>
    </fill>
    <fill>
      <patternFill patternType="solid">
        <fgColor rgb="FFFFF8E1"/>
      </patternFill>
    </fill>
    <fill>
      <patternFill patternType="solid">
        <fgColor rgb="FFE8EEF5"/>
      </patternFill>
    </fill>
    <fill>
      <patternFill patternType="solid">
        <fgColor rgb="FF0E2A47"/>
      </patternFill>
    </fill>
    <fill>
      <patternFill patternType="solid">
        <fgColor rgb="FF1F4E79"/>
      </patternFill>
    </fill>
    <fill>
      <patternFill patternType="solid">
        <fgColor rgb="FF163A5F"/>
      </patternFill>
    </fill>
    <fill>
      <patternFill patternType="solid">
        <fgColor rgb="FFFFFFFF"/>
      </patternFill>
    </fill>
    <fill>
      <patternFill patternType="solid">
        <fgColor rgb="FFE8F0FE"/>
      </patternFill>
    </fill>
    <fill>
      <patternFill patternType="solid">
        <fgColor rgb="FFF3F6F9"/>
      </patternFill>
    </fill>
  </fills>
  <borders count="18">
    <border>
      <left/>
      <right/>
      <top/>
      <bottom/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medium">
        <color rgb="FFC8A24A"/>
      </left>
      <right style="medium">
        <color rgb="FFC8A24A"/>
      </right>
      <top style="medium">
        <color rgb="FFC8A24A"/>
      </top>
      <bottom style="medium">
        <color rgb="FFC8A24A"/>
      </bottom>
      <diagonal/>
    </border>
    <border>
      <left/>
      <right/>
      <top style="medium">
        <color rgb="FFC8A24A"/>
      </top>
      <bottom/>
      <diagonal/>
    </border>
    <border>
      <left/>
      <right style="medium">
        <color rgb="FFC8A24A"/>
      </right>
      <top style="medium">
        <color rgb="FFC8A24A"/>
      </top>
      <bottom/>
      <diagonal/>
    </border>
    <border>
      <left/>
      <right style="medium">
        <color rgb="FFC8A24A"/>
      </right>
      <top style="medium">
        <color rgb="FFC8A24A"/>
      </top>
      <bottom style="medium">
        <color rgb="FFC8A24A"/>
      </bottom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  <border>
      <left/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medium">
        <color rgb="FFC8A24A"/>
      </left>
      <right/>
      <top/>
      <bottom/>
      <diagonal/>
    </border>
    <border>
      <left/>
      <right style="medium">
        <color rgb="FFC8A24A"/>
      </right>
      <top/>
      <bottom/>
      <diagonal/>
    </border>
    <border>
      <left style="medium">
        <color rgb="FFC8A24A"/>
      </left>
      <right/>
      <top/>
      <bottom style="medium">
        <color rgb="FFC8A24A"/>
      </bottom>
      <diagonal/>
    </border>
    <border>
      <left/>
      <right/>
      <top/>
      <bottom style="medium">
        <color rgb="FFC8A24A"/>
      </bottom>
      <diagonal/>
    </border>
    <border>
      <left/>
      <right style="medium">
        <color rgb="FFC8A24A"/>
      </right>
      <top/>
      <bottom style="medium">
        <color rgb="FFC8A24A"/>
      </bottom>
      <diagonal/>
    </border>
    <border>
      <left/>
      <right/>
      <top style="medium">
        <color rgb="FFC8A24A"/>
      </top>
      <bottom style="medium">
        <color rgb="FFC8A24A"/>
      </bottom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  <border>
      <left/>
      <right/>
      <top style="hair">
        <color rgb="FFD0D7DE"/>
      </top>
      <bottom style="hair">
        <color rgb="FFD0D7DE"/>
      </bottom>
      <diagonal/>
    </border>
    <border>
      <left/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thin">
        <color rgb="FFC8A24A"/>
      </left>
      <right style="thin">
        <color rgb="FFC8A24A"/>
      </right>
      <top style="thin">
        <color rgb="FFC8A24A"/>
      </top>
      <bottom style="thin">
        <color rgb="FFC8A24A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0" borderId="0" xfId="0" applyFont="1"/>
    <xf numFmtId="0" fontId="10" fillId="0" borderId="0" xfId="0" applyFont="1"/>
    <xf numFmtId="49" fontId="0" fillId="0" borderId="0" xfId="0" applyNumberFormat="1"/>
    <xf numFmtId="0" fontId="9" fillId="6" borderId="0" xfId="0" applyFont="1" applyFill="1" applyAlignment="1">
      <alignment vertical="center"/>
    </xf>
    <xf numFmtId="0" fontId="18" fillId="0" borderId="0" xfId="0" applyFont="1"/>
    <xf numFmtId="0" fontId="19" fillId="0" borderId="0" xfId="0" applyFont="1"/>
    <xf numFmtId="0" fontId="14" fillId="6" borderId="6" xfId="0" applyFont="1" applyFill="1" applyBorder="1"/>
    <xf numFmtId="0" fontId="11" fillId="9" borderId="6" xfId="0" applyFont="1" applyFill="1" applyBorder="1" applyAlignment="1">
      <alignment vertical="center" wrapText="1"/>
    </xf>
    <xf numFmtId="0" fontId="14" fillId="6" borderId="0" xfId="0" applyFont="1" applyFill="1"/>
    <xf numFmtId="49" fontId="1" fillId="4" borderId="1" xfId="0" applyNumberFormat="1" applyFont="1" applyFill="1" applyBorder="1" applyAlignment="1">
      <alignment vertical="center" wrapText="1"/>
    </xf>
    <xf numFmtId="49" fontId="1" fillId="3" borderId="1" xfId="0" applyNumberFormat="1" applyFont="1" applyFill="1" applyBorder="1" applyAlignment="1">
      <alignment vertical="center" wrapText="1"/>
    </xf>
    <xf numFmtId="0" fontId="28" fillId="16" borderId="17" xfId="0" applyFont="1" applyFill="1" applyBorder="1" applyAlignment="1">
      <alignment horizontal="center"/>
    </xf>
    <xf numFmtId="0" fontId="26" fillId="14" borderId="14" xfId="0" applyFont="1" applyFill="1" applyBorder="1" applyAlignment="1">
      <alignment horizontal="center" vertical="center" wrapText="1"/>
    </xf>
    <xf numFmtId="0" fontId="27" fillId="15" borderId="14" xfId="0" applyFont="1" applyFill="1" applyBorder="1" applyAlignment="1">
      <alignment vertical="center" wrapText="1"/>
    </xf>
    <xf numFmtId="0" fontId="27" fillId="17" borderId="14" xfId="0" applyFont="1" applyFill="1" applyBorder="1" applyAlignment="1">
      <alignment vertical="center" wrapText="1"/>
    </xf>
    <xf numFmtId="0" fontId="11" fillId="9" borderId="6" xfId="0" applyFont="1" applyFill="1" applyBorder="1"/>
    <xf numFmtId="0" fontId="0" fillId="0" borderId="7" xfId="0" applyBorder="1"/>
    <xf numFmtId="0" fontId="9" fillId="6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12" fillId="7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/>
    <xf numFmtId="0" fontId="12" fillId="5" borderId="6" xfId="0" applyFont="1" applyFill="1" applyBorder="1" applyAlignment="1">
      <alignment horizontal="center"/>
    </xf>
    <xf numFmtId="0" fontId="10" fillId="0" borderId="0" xfId="0" applyFont="1"/>
    <xf numFmtId="0" fontId="9" fillId="7" borderId="2" xfId="0" applyFont="1" applyFill="1" applyBorder="1" applyAlignment="1">
      <alignment horizontal="center" vertical="center" wrapText="1"/>
    </xf>
    <xf numFmtId="0" fontId="8" fillId="0" borderId="0" xfId="0" applyFont="1"/>
    <xf numFmtId="0" fontId="9" fillId="8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7" fillId="0" borderId="0" xfId="0" applyFont="1"/>
    <xf numFmtId="0" fontId="5" fillId="0" borderId="0" xfId="0" applyFont="1"/>
    <xf numFmtId="0" fontId="21" fillId="11" borderId="0" xfId="0" applyFont="1" applyFill="1"/>
    <xf numFmtId="0" fontId="15" fillId="0" borderId="0" xfId="0" applyFont="1"/>
    <xf numFmtId="0" fontId="20" fillId="0" borderId="0" xfId="0" applyFont="1"/>
    <xf numFmtId="0" fontId="22" fillId="0" borderId="0" xfId="0" applyFont="1"/>
    <xf numFmtId="49" fontId="17" fillId="10" borderId="2" xfId="0" applyNumberFormat="1" applyFont="1" applyFill="1" applyBorder="1"/>
    <xf numFmtId="0" fontId="0" fillId="0" borderId="13" xfId="0" applyBorder="1"/>
    <xf numFmtId="0" fontId="16" fillId="0" borderId="0" xfId="0" applyFont="1"/>
    <xf numFmtId="0" fontId="23" fillId="0" borderId="0" xfId="0" applyFont="1"/>
    <xf numFmtId="0" fontId="25" fillId="12" borderId="14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25" fillId="13" borderId="14" xfId="0" applyFont="1" applyFill="1" applyBorder="1" applyAlignment="1">
      <alignment horizontal="center" vertical="center"/>
    </xf>
    <xf numFmtId="0" fontId="24" fillId="0" borderId="0" xfId="0" applyFont="1"/>
    <xf numFmtId="0" fontId="29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3175</xdr:rowOff>
    </xdr:from>
    <xdr:to>
      <xdr:col>1</xdr:col>
      <xdr:colOff>784225</xdr:colOff>
      <xdr:row>3</xdr:row>
      <xdr:rowOff>158750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127000"/>
          <a:ext cx="1498600" cy="660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25400</xdr:rowOff>
    </xdr:from>
    <xdr:to>
      <xdr:col>12</xdr:col>
      <xdr:colOff>533400</xdr:colOff>
      <xdr:row>0</xdr:row>
      <xdr:rowOff>254000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86D3F0-7440-7187-7388-B73D240D1530}"/>
            </a:ext>
          </a:extLst>
        </xdr:cNvPr>
        <xdr:cNvSpPr/>
      </xdr:nvSpPr>
      <xdr:spPr>
        <a:xfrm>
          <a:off x="14439900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25400</xdr:rowOff>
    </xdr:from>
    <xdr:to>
      <xdr:col>12</xdr:col>
      <xdr:colOff>533400</xdr:colOff>
      <xdr:row>0</xdr:row>
      <xdr:rowOff>254000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F34F69-1A5E-ED96-711D-6CC2B7A7ECC7}"/>
            </a:ext>
          </a:extLst>
        </xdr:cNvPr>
        <xdr:cNvSpPr/>
      </xdr:nvSpPr>
      <xdr:spPr>
        <a:xfrm>
          <a:off x="9363075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25400</xdr:rowOff>
    </xdr:from>
    <xdr:to>
      <xdr:col>11</xdr:col>
      <xdr:colOff>1143000</xdr:colOff>
      <xdr:row>0</xdr:row>
      <xdr:rowOff>254000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F398C1-8C18-B039-6230-C4BD5A91A40E}"/>
            </a:ext>
          </a:extLst>
        </xdr:cNvPr>
        <xdr:cNvSpPr/>
      </xdr:nvSpPr>
      <xdr:spPr>
        <a:xfrm>
          <a:off x="14135100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25400</xdr:rowOff>
    </xdr:from>
    <xdr:to>
      <xdr:col>11</xdr:col>
      <xdr:colOff>1143000</xdr:colOff>
      <xdr:row>0</xdr:row>
      <xdr:rowOff>254000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E3F652-826B-418B-BA1C-9570A7624F61}"/>
            </a:ext>
          </a:extLst>
        </xdr:cNvPr>
        <xdr:cNvSpPr/>
      </xdr:nvSpPr>
      <xdr:spPr>
        <a:xfrm>
          <a:off x="14068425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25400</xdr:rowOff>
    </xdr:from>
    <xdr:to>
      <xdr:col>12</xdr:col>
      <xdr:colOff>533400</xdr:colOff>
      <xdr:row>0</xdr:row>
      <xdr:rowOff>254000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066B69-1E99-1C43-9A3A-04F15C3F76C3}"/>
            </a:ext>
          </a:extLst>
        </xdr:cNvPr>
        <xdr:cNvSpPr/>
      </xdr:nvSpPr>
      <xdr:spPr>
        <a:xfrm>
          <a:off x="11620500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25400</xdr:rowOff>
    </xdr:from>
    <xdr:to>
      <xdr:col>12</xdr:col>
      <xdr:colOff>533400</xdr:colOff>
      <xdr:row>0</xdr:row>
      <xdr:rowOff>254000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D4102B-3E9B-17E7-4A64-8D63CC7E8A75}"/>
            </a:ext>
          </a:extLst>
        </xdr:cNvPr>
        <xdr:cNvSpPr/>
      </xdr:nvSpPr>
      <xdr:spPr>
        <a:xfrm>
          <a:off x="8601075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0</xdr:row>
      <xdr:rowOff>25400</xdr:rowOff>
    </xdr:from>
    <xdr:to>
      <xdr:col>18</xdr:col>
      <xdr:colOff>209550</xdr:colOff>
      <xdr:row>1</xdr:row>
      <xdr:rowOff>25400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14A3F4-B3B3-F008-3C09-A5B2DC802DEF}"/>
            </a:ext>
          </a:extLst>
        </xdr:cNvPr>
        <xdr:cNvSpPr/>
      </xdr:nvSpPr>
      <xdr:spPr>
        <a:xfrm>
          <a:off x="19278600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25400</xdr:rowOff>
    </xdr:from>
    <xdr:to>
      <xdr:col>12</xdr:col>
      <xdr:colOff>533400</xdr:colOff>
      <xdr:row>0</xdr:row>
      <xdr:rowOff>254000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F747C6-76BD-4554-52E0-D8179BEAC882}"/>
            </a:ext>
          </a:extLst>
        </xdr:cNvPr>
        <xdr:cNvSpPr/>
      </xdr:nvSpPr>
      <xdr:spPr>
        <a:xfrm>
          <a:off x="10382250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25400</xdr:rowOff>
    </xdr:from>
    <xdr:to>
      <xdr:col>12</xdr:col>
      <xdr:colOff>533400</xdr:colOff>
      <xdr:row>0</xdr:row>
      <xdr:rowOff>254000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9E7D15-14D6-1651-AEC3-10A4ED10DCA0}"/>
            </a:ext>
          </a:extLst>
        </xdr:cNvPr>
        <xdr:cNvSpPr/>
      </xdr:nvSpPr>
      <xdr:spPr>
        <a:xfrm>
          <a:off x="8953500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25400</xdr:rowOff>
    </xdr:from>
    <xdr:to>
      <xdr:col>12</xdr:col>
      <xdr:colOff>533400</xdr:colOff>
      <xdr:row>0</xdr:row>
      <xdr:rowOff>254000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2FF6BC-340D-5744-3838-779911F97784}"/>
            </a:ext>
          </a:extLst>
        </xdr:cNvPr>
        <xdr:cNvSpPr/>
      </xdr:nvSpPr>
      <xdr:spPr>
        <a:xfrm>
          <a:off x="8477250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25400</xdr:rowOff>
    </xdr:from>
    <xdr:to>
      <xdr:col>12</xdr:col>
      <xdr:colOff>533400</xdr:colOff>
      <xdr:row>0</xdr:row>
      <xdr:rowOff>254000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40AA3D-04C9-38AC-DF98-9EDD5F3300C7}"/>
            </a:ext>
          </a:extLst>
        </xdr:cNvPr>
        <xdr:cNvSpPr/>
      </xdr:nvSpPr>
      <xdr:spPr>
        <a:xfrm>
          <a:off x="7924800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25400</xdr:rowOff>
    </xdr:from>
    <xdr:to>
      <xdr:col>12</xdr:col>
      <xdr:colOff>533400</xdr:colOff>
      <xdr:row>0</xdr:row>
      <xdr:rowOff>254000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5D7CDF-2408-55DE-83AE-CBCB6BD587EE}"/>
            </a:ext>
          </a:extLst>
        </xdr:cNvPr>
        <xdr:cNvSpPr/>
      </xdr:nvSpPr>
      <xdr:spPr>
        <a:xfrm>
          <a:off x="7086600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25400</xdr:rowOff>
    </xdr:from>
    <xdr:to>
      <xdr:col>12</xdr:col>
      <xdr:colOff>533400</xdr:colOff>
      <xdr:row>0</xdr:row>
      <xdr:rowOff>254000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5EF01C-CEA3-2EF3-674D-FA4F5CB92DE1}"/>
            </a:ext>
          </a:extLst>
        </xdr:cNvPr>
        <xdr:cNvSpPr/>
      </xdr:nvSpPr>
      <xdr:spPr>
        <a:xfrm>
          <a:off x="7277100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25400</xdr:rowOff>
    </xdr:from>
    <xdr:to>
      <xdr:col>12</xdr:col>
      <xdr:colOff>533400</xdr:colOff>
      <xdr:row>0</xdr:row>
      <xdr:rowOff>254000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18769E-7B67-DE99-01FA-46BCC1CDE71F}"/>
            </a:ext>
          </a:extLst>
        </xdr:cNvPr>
        <xdr:cNvSpPr/>
      </xdr:nvSpPr>
      <xdr:spPr>
        <a:xfrm>
          <a:off x="7277100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25400</xdr:rowOff>
    </xdr:from>
    <xdr:to>
      <xdr:col>12</xdr:col>
      <xdr:colOff>533400</xdr:colOff>
      <xdr:row>0</xdr:row>
      <xdr:rowOff>254000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321BD6-718A-539D-B50E-50F479933B54}"/>
            </a:ext>
          </a:extLst>
        </xdr:cNvPr>
        <xdr:cNvSpPr/>
      </xdr:nvSpPr>
      <xdr:spPr>
        <a:xfrm>
          <a:off x="7086600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25400</xdr:rowOff>
    </xdr:from>
    <xdr:to>
      <xdr:col>12</xdr:col>
      <xdr:colOff>533400</xdr:colOff>
      <xdr:row>0</xdr:row>
      <xdr:rowOff>254000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FB929C-497C-A137-08F2-4521011B0DA4}"/>
            </a:ext>
          </a:extLst>
        </xdr:cNvPr>
        <xdr:cNvSpPr/>
      </xdr:nvSpPr>
      <xdr:spPr>
        <a:xfrm>
          <a:off x="7477125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25400</xdr:rowOff>
    </xdr:from>
    <xdr:to>
      <xdr:col>12</xdr:col>
      <xdr:colOff>533400</xdr:colOff>
      <xdr:row>0</xdr:row>
      <xdr:rowOff>254000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EBC4AD-29A7-B3CB-1FD6-BDE4BB7AC2F8}"/>
            </a:ext>
          </a:extLst>
        </xdr:cNvPr>
        <xdr:cNvSpPr/>
      </xdr:nvSpPr>
      <xdr:spPr>
        <a:xfrm>
          <a:off x="7086600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25400</xdr:rowOff>
    </xdr:from>
    <xdr:to>
      <xdr:col>12</xdr:col>
      <xdr:colOff>533400</xdr:colOff>
      <xdr:row>0</xdr:row>
      <xdr:rowOff>254000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3A4B0-B1A1-F0D5-36C5-309780DFF12B}"/>
            </a:ext>
          </a:extLst>
        </xdr:cNvPr>
        <xdr:cNvSpPr/>
      </xdr:nvSpPr>
      <xdr:spPr>
        <a:xfrm>
          <a:off x="7086600" y="25400"/>
          <a:ext cx="1143000" cy="228600"/>
        </a:xfrm>
        <a:prstGeom prst="roundRect">
          <a:avLst/>
        </a:prstGeom>
        <a:solidFill>
          <a:srgbClr val="0E2A47"/>
        </a:solidFill>
        <a:ln w="13970">
          <a:solidFill>
            <a:srgbClr val="C8A24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9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827" Type="http://schemas.openxmlformats.org/officeDocument/2006/relationships/hyperlink" Target="..\01_DOCUMENT_SETS\ST-072-STD-22\02_EU_DoC.docx" TargetMode="External"/><Relationship Id="rId170" Type="http://schemas.openxmlformats.org/officeDocument/2006/relationships/hyperlink" Target="..\01_DOCUMENT_SETS\ST-021-STD-07\01_Technical_File.pdf" TargetMode="External"/><Relationship Id="rId987" Type="http://schemas.openxmlformats.org/officeDocument/2006/relationships/hyperlink" Target="..\01_DOCUMENT_SETS\ST-051-STD-04\02_EU_DoC.docx" TargetMode="External"/><Relationship Id="rId847" Type="http://schemas.openxmlformats.org/officeDocument/2006/relationships/hyperlink" Target="..\01_DOCUMENT_SETS\ST-048-EUR-11\04_Shipment_Statement.docx" TargetMode="External"/><Relationship Id="rId1477" Type="http://schemas.openxmlformats.org/officeDocument/2006/relationships/hyperlink" Target="..\01_DOCUMENT_SETS\ST-063-STD-16\03_Label.docx" TargetMode="External"/><Relationship Id="rId1684" Type="http://schemas.openxmlformats.org/officeDocument/2006/relationships/hyperlink" Target="..\01_DOCUMENT_SETS\ST-072-STD-04\02_EU_DoC.pdf" TargetMode="External"/><Relationship Id="rId1891" Type="http://schemas.openxmlformats.org/officeDocument/2006/relationships/hyperlink" Target="..\01_DOCUMENT_SETS\ST-076-EUR-02\02_EU_DoC.docx" TargetMode="External"/><Relationship Id="rId707" Type="http://schemas.openxmlformats.org/officeDocument/2006/relationships/hyperlink" Target="..\01_DOCUMENT_SETS\ST-045-STD-08\02_EU_DoC.docx" TargetMode="External"/><Relationship Id="rId914" Type="http://schemas.openxmlformats.org/officeDocument/2006/relationships/hyperlink" Target="..\01_DOCUMENT_SETS\ST-048-STD-08\01_Technical_File.pdf" TargetMode="External"/><Relationship Id="rId1337" Type="http://schemas.openxmlformats.org/officeDocument/2006/relationships/hyperlink" Target="..\01_DOCUMENT_SETS\ST-063-EUR-01\01_Technical_File.docx" TargetMode="External"/><Relationship Id="rId1544" Type="http://schemas.openxmlformats.org/officeDocument/2006/relationships/hyperlink" Target="..\01_DOCUMENT_SETS\ST-068-EUR-04\04_Shipment_Statement.pdf" TargetMode="External"/><Relationship Id="rId1751" Type="http://schemas.openxmlformats.org/officeDocument/2006/relationships/hyperlink" Target="..\01_DOCUMENT_SETS\ST-072-STD-12\04_Shipment_Statement.docx" TargetMode="External"/><Relationship Id="rId43" Type="http://schemas.openxmlformats.org/officeDocument/2006/relationships/hyperlink" Target="..\01_DOCUMENT_SETS\ST-018-EUR-03\02_EU_DoC.docx" TargetMode="External"/><Relationship Id="rId1404" Type="http://schemas.openxmlformats.org/officeDocument/2006/relationships/hyperlink" Target="..\01_DOCUMENT_SETS\ST-063-STD-07\02_EU_DoC.pdf" TargetMode="External"/><Relationship Id="rId1611" Type="http://schemas.openxmlformats.org/officeDocument/2006/relationships/hyperlink" Target="..\01_DOCUMENT_SETS\ST-072-EUR-01\02_EU_DoC.docx" TargetMode="External"/><Relationship Id="rId497" Type="http://schemas.openxmlformats.org/officeDocument/2006/relationships/hyperlink" Target="..\01_DOCUMENT_SETS\ST-036-STD-07\01_Technical_File.docx" TargetMode="External"/><Relationship Id="rId2178" Type="http://schemas.openxmlformats.org/officeDocument/2006/relationships/hyperlink" Target="..\01_DOCUMENT_SETS\ST-096-EUR-09\01_Technical_File.pdf" TargetMode="External"/><Relationship Id="rId357" Type="http://schemas.openxmlformats.org/officeDocument/2006/relationships/hyperlink" Target="..\01_DOCUMENT_SETS\ST-030-STD-11\03_Label.docx" TargetMode="External"/><Relationship Id="rId1194" Type="http://schemas.openxmlformats.org/officeDocument/2006/relationships/hyperlink" Target="..\01_DOCUMENT_SETS\ST-056-STD-02\01_Technical_File.pdf" TargetMode="External"/><Relationship Id="rId2038" Type="http://schemas.openxmlformats.org/officeDocument/2006/relationships/hyperlink" Target="..\01_DOCUMENT_SETS\ST-088-STD-01\03_Label.pdf" TargetMode="External"/><Relationship Id="rId217" Type="http://schemas.openxmlformats.org/officeDocument/2006/relationships/hyperlink" Target="..\01_DOCUMENT_SETS\ST-024-STD-01\01_Technical_File.docx" TargetMode="External"/><Relationship Id="rId564" Type="http://schemas.openxmlformats.org/officeDocument/2006/relationships/hyperlink" Target="..\01_DOCUMENT_SETS\ST-042-STD-01\02_EU_DoC.pdf" TargetMode="External"/><Relationship Id="rId771" Type="http://schemas.openxmlformats.org/officeDocument/2006/relationships/hyperlink" Target="..\01_DOCUMENT_SETS\ST-048-EUR-02\02_EU_DoC.docx" TargetMode="External"/><Relationship Id="rId2245" Type="http://schemas.openxmlformats.org/officeDocument/2006/relationships/hyperlink" Target="..\01_DOCUMENT_SETS\ST-096-STD-07\03_Label.docx" TargetMode="External"/><Relationship Id="rId424" Type="http://schemas.openxmlformats.org/officeDocument/2006/relationships/hyperlink" Target="..\01_DOCUMENT_SETS\ST-036-EUR-04\04_Shipment_Statement.pdf" TargetMode="External"/><Relationship Id="rId631" Type="http://schemas.openxmlformats.org/officeDocument/2006/relationships/hyperlink" Target="..\01_DOCUMENT_SETS\ST-042-STD-09\04_Shipment_Statement.docx" TargetMode="External"/><Relationship Id="rId1054" Type="http://schemas.openxmlformats.org/officeDocument/2006/relationships/hyperlink" Target="..\01_DOCUMENT_SETS\ST-054-EUR-01\03_Label.pdf" TargetMode="External"/><Relationship Id="rId1261" Type="http://schemas.openxmlformats.org/officeDocument/2006/relationships/hyperlink" Target="..\01_DOCUMENT_SETS\ST-057-STD-03\03_Label.docx" TargetMode="External"/><Relationship Id="rId2105" Type="http://schemas.openxmlformats.org/officeDocument/2006/relationships/hyperlink" Target="..\01_DOCUMENT_SETS\ST-090-STD-02\01_Technical_File.docx" TargetMode="External"/><Relationship Id="rId1121" Type="http://schemas.openxmlformats.org/officeDocument/2006/relationships/hyperlink" Target="..\01_DOCUMENT_SETS\ST-054-STD-09\01_Technical_File.docx" TargetMode="External"/><Relationship Id="rId1938" Type="http://schemas.openxmlformats.org/officeDocument/2006/relationships/hyperlink" Target="..\01_DOCUMENT_SETS\ST-076-STD-04\01_Technical_File.pdf" TargetMode="External"/><Relationship Id="rId281" Type="http://schemas.openxmlformats.org/officeDocument/2006/relationships/hyperlink" Target="..\01_DOCUMENT_SETS\ST-030-STD-02\01_Technical_File.docx" TargetMode="External"/><Relationship Id="rId141" Type="http://schemas.openxmlformats.org/officeDocument/2006/relationships/hyperlink" Target="..\01_DOCUMENT_SETS\ST-021-STD-03\03_Label.docx" TargetMode="External"/><Relationship Id="rId7" Type="http://schemas.openxmlformats.org/officeDocument/2006/relationships/hyperlink" Target="..\01_DOCUMENT_SETS\ST-012-EUR-01\04_Shipment_Statement.docx" TargetMode="External"/><Relationship Id="rId958" Type="http://schemas.openxmlformats.org/officeDocument/2006/relationships/hyperlink" Target="..\01_DOCUMENT_SETS\ST-051-EUR-04\03_Label.pdf" TargetMode="External"/><Relationship Id="rId1588" Type="http://schemas.openxmlformats.org/officeDocument/2006/relationships/hyperlink" Target="..\01_DOCUMENT_SETS\ST-068-STD-06\02_EU_DoC.pdf" TargetMode="External"/><Relationship Id="rId1795" Type="http://schemas.openxmlformats.org/officeDocument/2006/relationships/hyperlink" Target="..\01_DOCUMENT_SETS\ST-072-STD-18\02_EU_DoC.docx" TargetMode="External"/><Relationship Id="rId87" Type="http://schemas.openxmlformats.org/officeDocument/2006/relationships/hyperlink" Target="..\01_DOCUMENT_SETS\ST-021-EUR-01\04_Shipment_Statement.docx" TargetMode="External"/><Relationship Id="rId818" Type="http://schemas.openxmlformats.org/officeDocument/2006/relationships/hyperlink" Target="..\01_DOCUMENT_SETS\ST-048-EUR-08\01_Technical_File.pdf" TargetMode="External"/><Relationship Id="rId1448" Type="http://schemas.openxmlformats.org/officeDocument/2006/relationships/hyperlink" Target="..\01_DOCUMENT_SETS\ST-063-STD-12\04_Shipment_Statement.pdf" TargetMode="External"/><Relationship Id="rId1655" Type="http://schemas.openxmlformats.org/officeDocument/2006/relationships/hyperlink" Target="..\01_DOCUMENT_SETS\ST-072-EUR-06\04_Shipment_Statement.docx" TargetMode="External"/><Relationship Id="rId1308" Type="http://schemas.openxmlformats.org/officeDocument/2006/relationships/hyperlink" Target="..\01_DOCUMENT_SETS\ST-060-STD-02\02_EU_DoC.pdf" TargetMode="External"/><Relationship Id="rId1862" Type="http://schemas.openxmlformats.org/officeDocument/2006/relationships/hyperlink" Target="..\01_DOCUMENT_SETS\ST-072-STD-26\03_Label.pdf" TargetMode="External"/><Relationship Id="rId1515" Type="http://schemas.openxmlformats.org/officeDocument/2006/relationships/hyperlink" Target="..\01_DOCUMENT_SETS\ST-068-EUR-01\02_EU_DoC.docx" TargetMode="External"/><Relationship Id="rId1722" Type="http://schemas.openxmlformats.org/officeDocument/2006/relationships/hyperlink" Target="..\01_DOCUMENT_SETS\ST-072-STD-09\01_Technical_File.pdf" TargetMode="External"/><Relationship Id="rId14" Type="http://schemas.openxmlformats.org/officeDocument/2006/relationships/hyperlink" Target="..\01_DOCUMENT_SETS\ST-012-EUR-02\03_Label.pdf" TargetMode="External"/><Relationship Id="rId2289" Type="http://schemas.openxmlformats.org/officeDocument/2006/relationships/hyperlink" Target="..\01_DOCUMENT_SETS\ST-120-STD-03\01_Technical_File.docx" TargetMode="External"/><Relationship Id="rId468" Type="http://schemas.openxmlformats.org/officeDocument/2006/relationships/hyperlink" Target="..\01_DOCUMENT_SETS\ST-036-STD-03\02_EU_DoC.pdf" TargetMode="External"/><Relationship Id="rId675" Type="http://schemas.openxmlformats.org/officeDocument/2006/relationships/hyperlink" Target="..\01_DOCUMENT_SETS\ST-045-STD-04\02_EU_DoC.docx" TargetMode="External"/><Relationship Id="rId882" Type="http://schemas.openxmlformats.org/officeDocument/2006/relationships/hyperlink" Target="..\01_DOCUMENT_SETS\ST-048-STD-04\01_Technical_File.pdf" TargetMode="External"/><Relationship Id="rId1098" Type="http://schemas.openxmlformats.org/officeDocument/2006/relationships/hyperlink" Target="..\01_DOCUMENT_SETS\ST-054-STD-06\01_Technical_File.pdf" TargetMode="External"/><Relationship Id="rId2149" Type="http://schemas.openxmlformats.org/officeDocument/2006/relationships/hyperlink" Target="..\01_DOCUMENT_SETS\ST-096-EUR-05\03_Label.docx" TargetMode="External"/><Relationship Id="rId328" Type="http://schemas.openxmlformats.org/officeDocument/2006/relationships/hyperlink" Target="..\01_DOCUMENT_SETS\ST-030-STD-07\04_Shipment_Statement.pdf" TargetMode="External"/><Relationship Id="rId535" Type="http://schemas.openxmlformats.org/officeDocument/2006/relationships/hyperlink" Target="..\01_DOCUMENT_SETS\ST-042-EUR-01\04_Shipment_Statement.docx" TargetMode="External"/><Relationship Id="rId742" Type="http://schemas.openxmlformats.org/officeDocument/2006/relationships/hyperlink" Target="..\01_DOCUMENT_SETS\ST-045-STD-12\03_Label.pdf" TargetMode="External"/><Relationship Id="rId1165" Type="http://schemas.openxmlformats.org/officeDocument/2006/relationships/hyperlink" Target="..\01_DOCUMENT_SETS\ST-056-EUR-02\03_Label.docx" TargetMode="External"/><Relationship Id="rId1372" Type="http://schemas.openxmlformats.org/officeDocument/2006/relationships/hyperlink" Target="..\01_DOCUMENT_SETS\ST-063-STD-03\02_EU_DoC.pdf" TargetMode="External"/><Relationship Id="rId2009" Type="http://schemas.openxmlformats.org/officeDocument/2006/relationships/hyperlink" Target="..\01_DOCUMENT_SETS\ST-087-STD-05\01_Technical_File.docx" TargetMode="External"/><Relationship Id="rId2216" Type="http://schemas.openxmlformats.org/officeDocument/2006/relationships/hyperlink" Target="..\01_DOCUMENT_SETS\ST-096-STD-03\04_Shipment_Statement.pdf" TargetMode="External"/><Relationship Id="rId602" Type="http://schemas.openxmlformats.org/officeDocument/2006/relationships/hyperlink" Target="..\01_DOCUMENT_SETS\ST-042-STD-06\01_Technical_File.pdf" TargetMode="External"/><Relationship Id="rId1025" Type="http://schemas.openxmlformats.org/officeDocument/2006/relationships/hyperlink" Target="..\01_DOCUMENT_SETS\ST-051-STD-09\01_Technical_File.docx" TargetMode="External"/><Relationship Id="rId1232" Type="http://schemas.openxmlformats.org/officeDocument/2006/relationships/hyperlink" Target="..\01_DOCUMENT_SETS\ST-057-EUR-04\04_Shipment_Statement.pdf" TargetMode="External"/><Relationship Id="rId185" Type="http://schemas.openxmlformats.org/officeDocument/2006/relationships/hyperlink" Target="..\01_DOCUMENT_SETS\ST-024-EUR-01\01_Technical_File.docx" TargetMode="External"/><Relationship Id="rId1909" Type="http://schemas.openxmlformats.org/officeDocument/2006/relationships/hyperlink" Target="..\01_DOCUMENT_SETS\ST-076-EUR-04\03_Label.docx" TargetMode="External"/><Relationship Id="rId392" Type="http://schemas.openxmlformats.org/officeDocument/2006/relationships/hyperlink" Target="..\01_DOCUMENT_SETS\ST-034-STD-02\04_Shipment_Statement.pdf" TargetMode="External"/><Relationship Id="rId2073" Type="http://schemas.openxmlformats.org/officeDocument/2006/relationships/hyperlink" Target="..\01_DOCUMENT_SETS\ST-088-STD-06\01_Technical_File.docx" TargetMode="External"/><Relationship Id="rId2280" Type="http://schemas.openxmlformats.org/officeDocument/2006/relationships/hyperlink" Target="..\01_DOCUMENT_SETS\ST-120-STD-01\04_Shipment_Statement.pdf" TargetMode="External"/><Relationship Id="rId252" Type="http://schemas.openxmlformats.org/officeDocument/2006/relationships/hyperlink" Target="..\01_DOCUMENT_SETS\ST-027-STD90-01\02_EU_DoC.pdf" TargetMode="External"/><Relationship Id="rId2140" Type="http://schemas.openxmlformats.org/officeDocument/2006/relationships/hyperlink" Target="..\01_DOCUMENT_SETS\ST-096-EUR-04\02_EU_DoC.pdf" TargetMode="External"/><Relationship Id="rId112" Type="http://schemas.openxmlformats.org/officeDocument/2006/relationships/hyperlink" Target="..\01_DOCUMENT_SETS\ST-021-EUR-04\04_Shipment_Statement.pdf" TargetMode="External"/><Relationship Id="rId1699" Type="http://schemas.openxmlformats.org/officeDocument/2006/relationships/hyperlink" Target="..\01_DOCUMENT_SETS\ST-072-STD-06\02_EU_DoC.docx" TargetMode="External"/><Relationship Id="rId2000" Type="http://schemas.openxmlformats.org/officeDocument/2006/relationships/hyperlink" Target="..\01_DOCUMENT_SETS\ST-087-STD-03\04_Shipment_Statement.pdf" TargetMode="External"/><Relationship Id="rId929" Type="http://schemas.openxmlformats.org/officeDocument/2006/relationships/hyperlink" Target="..\01_DOCUMENT_SETS\ST-051-EUR-01\01_Technical_File.docx" TargetMode="External"/><Relationship Id="rId1559" Type="http://schemas.openxmlformats.org/officeDocument/2006/relationships/hyperlink" Target="..\01_DOCUMENT_SETS\ST-068-STD-02\04_Shipment_Statement.docx" TargetMode="External"/><Relationship Id="rId1766" Type="http://schemas.openxmlformats.org/officeDocument/2006/relationships/hyperlink" Target="..\01_DOCUMENT_SETS\ST-072-STD-14\03_Label.pdf" TargetMode="External"/><Relationship Id="rId1973" Type="http://schemas.openxmlformats.org/officeDocument/2006/relationships/hyperlink" Target="..\01_DOCUMENT_SETS\ST-087-EUR-01\03_Label.docx" TargetMode="External"/><Relationship Id="rId58" Type="http://schemas.openxmlformats.org/officeDocument/2006/relationships/hyperlink" Target="..\01_DOCUMENT_SETS\ST-018-EUR-05\01_Technical_File.pdf" TargetMode="External"/><Relationship Id="rId1419" Type="http://schemas.openxmlformats.org/officeDocument/2006/relationships/hyperlink" Target="..\01_DOCUMENT_SETS\ST-063-STD-09\02_EU_DoC.docx" TargetMode="External"/><Relationship Id="rId1626" Type="http://schemas.openxmlformats.org/officeDocument/2006/relationships/hyperlink" Target="..\01_DOCUMENT_SETS\ST-072-EUR-03\01_Technical_File.pdf" TargetMode="External"/><Relationship Id="rId1833" Type="http://schemas.openxmlformats.org/officeDocument/2006/relationships/hyperlink" Target="..\01_DOCUMENT_SETS\ST-072-STD-23\01_Technical_File.docx" TargetMode="External"/><Relationship Id="rId1900" Type="http://schemas.openxmlformats.org/officeDocument/2006/relationships/hyperlink" Target="..\01_DOCUMENT_SETS\ST-076-EUR-03\02_EU_DoC.pdf" TargetMode="External"/><Relationship Id="rId579" Type="http://schemas.openxmlformats.org/officeDocument/2006/relationships/hyperlink" Target="..\01_DOCUMENT_SETS\ST-042-STD-03\02_EU_DoC.docx" TargetMode="External"/><Relationship Id="rId786" Type="http://schemas.openxmlformats.org/officeDocument/2006/relationships/hyperlink" Target="..\01_DOCUMENT_SETS\ST-048-EUR-04\01_Technical_File.pdf" TargetMode="External"/><Relationship Id="rId993" Type="http://schemas.openxmlformats.org/officeDocument/2006/relationships/hyperlink" Target="..\01_DOCUMENT_SETS\ST-051-STD-05\01_Technical_File.docx" TargetMode="External"/><Relationship Id="rId439" Type="http://schemas.openxmlformats.org/officeDocument/2006/relationships/hyperlink" Target="..\01_DOCUMENT_SETS\ST-036-EUR-06\04_Shipment_Statement.docx" TargetMode="External"/><Relationship Id="rId646" Type="http://schemas.openxmlformats.org/officeDocument/2006/relationships/hyperlink" Target="..\01_DOCUMENT_SETS\ST-045-EUR-01\03_Label.pdf" TargetMode="External"/><Relationship Id="rId1069" Type="http://schemas.openxmlformats.org/officeDocument/2006/relationships/hyperlink" Target="..\01_DOCUMENT_SETS\ST-054-STD-02\03_Label.docx" TargetMode="External"/><Relationship Id="rId1276" Type="http://schemas.openxmlformats.org/officeDocument/2006/relationships/hyperlink" Target="..\01_DOCUMENT_SETS\ST-057-STD-05\02_EU_DoC.pdf" TargetMode="External"/><Relationship Id="rId1483" Type="http://schemas.openxmlformats.org/officeDocument/2006/relationships/hyperlink" Target="..\01_DOCUMENT_SETS\ST-064-EUR-01\02_EU_DoC.docx" TargetMode="External"/><Relationship Id="rId506" Type="http://schemas.openxmlformats.org/officeDocument/2006/relationships/hyperlink" Target="..\01_DOCUMENT_SETS\ST-036-STD-08\01_Technical_File.pdf" TargetMode="External"/><Relationship Id="rId853" Type="http://schemas.openxmlformats.org/officeDocument/2006/relationships/hyperlink" Target="..\01_DOCUMENT_SETS\ST-048-EUR-12\03_Label.docx" TargetMode="External"/><Relationship Id="rId1136" Type="http://schemas.openxmlformats.org/officeDocument/2006/relationships/hyperlink" Target="..\01_DOCUMENT_SETS\ST-054-STD-10\04_Shipment_Statement.pdf" TargetMode="External"/><Relationship Id="rId1690" Type="http://schemas.openxmlformats.org/officeDocument/2006/relationships/hyperlink" Target="..\01_DOCUMENT_SETS\ST-072-STD-05\01_Technical_File.pdf" TargetMode="External"/><Relationship Id="rId713" Type="http://schemas.openxmlformats.org/officeDocument/2006/relationships/hyperlink" Target="..\01_DOCUMENT_SETS\ST-045-STD-09\01_Technical_File.docx" TargetMode="External"/><Relationship Id="rId920" Type="http://schemas.openxmlformats.org/officeDocument/2006/relationships/hyperlink" Target="..\01_DOCUMENT_SETS\ST-048-STD-08\04_Shipment_Statement.pdf" TargetMode="External"/><Relationship Id="rId1343" Type="http://schemas.openxmlformats.org/officeDocument/2006/relationships/hyperlink" Target="..\01_DOCUMENT_SETS\ST-063-EUR-01\04_Shipment_Statement.docx" TargetMode="External"/><Relationship Id="rId1550" Type="http://schemas.openxmlformats.org/officeDocument/2006/relationships/hyperlink" Target="..\01_DOCUMENT_SETS\ST-068-STD-01\03_Label.pdf" TargetMode="External"/><Relationship Id="rId1203" Type="http://schemas.openxmlformats.org/officeDocument/2006/relationships/hyperlink" Target="..\01_DOCUMENT_SETS\ST-057-EUR-01\02_EU_DoC.docx" TargetMode="External"/><Relationship Id="rId1410" Type="http://schemas.openxmlformats.org/officeDocument/2006/relationships/hyperlink" Target="..\01_DOCUMENT_SETS\ST-063-STD-08\01_Technical_File.pdf" TargetMode="External"/><Relationship Id="rId296" Type="http://schemas.openxmlformats.org/officeDocument/2006/relationships/hyperlink" Target="..\01_DOCUMENT_SETS\ST-030-STD-03\04_Shipment_Statement.pdf" TargetMode="External"/><Relationship Id="rId2184" Type="http://schemas.openxmlformats.org/officeDocument/2006/relationships/hyperlink" Target="..\01_DOCUMENT_SETS\ST-096-EUR-09\04_Shipment_Statement.pdf" TargetMode="External"/><Relationship Id="rId156" Type="http://schemas.openxmlformats.org/officeDocument/2006/relationships/hyperlink" Target="..\01_DOCUMENT_SETS\ST-021-STD-05\02_EU_DoC.pdf" TargetMode="External"/><Relationship Id="rId363" Type="http://schemas.openxmlformats.org/officeDocument/2006/relationships/hyperlink" Target="..\01_DOCUMENT_SETS\ST-030-STD-12\02_EU_DoC.docx" TargetMode="External"/><Relationship Id="rId570" Type="http://schemas.openxmlformats.org/officeDocument/2006/relationships/hyperlink" Target="..\01_DOCUMENT_SETS\ST-042-STD-02\01_Technical_File.pdf" TargetMode="External"/><Relationship Id="rId2044" Type="http://schemas.openxmlformats.org/officeDocument/2006/relationships/hyperlink" Target="..\01_DOCUMENT_SETS\ST-088-STD-02\02_EU_DoC.pdf" TargetMode="External"/><Relationship Id="rId2251" Type="http://schemas.openxmlformats.org/officeDocument/2006/relationships/hyperlink" Target="..\01_DOCUMENT_SETS\ST-096-STD-08\02_EU_DoC.docx" TargetMode="External"/><Relationship Id="rId223" Type="http://schemas.openxmlformats.org/officeDocument/2006/relationships/hyperlink" Target="..\01_DOCUMENT_SETS\ST-024-STD-01\04_Shipment_Statement.docx" TargetMode="External"/><Relationship Id="rId430" Type="http://schemas.openxmlformats.org/officeDocument/2006/relationships/hyperlink" Target="..\01_DOCUMENT_SETS\ST-036-EUR-05\03_Label.pdf" TargetMode="External"/><Relationship Id="rId1060" Type="http://schemas.openxmlformats.org/officeDocument/2006/relationships/hyperlink" Target="..\01_DOCUMENT_SETS\ST-054-STD-01\02_EU_DoC.pdf" TargetMode="External"/><Relationship Id="rId2111" Type="http://schemas.openxmlformats.org/officeDocument/2006/relationships/hyperlink" Target="..\01_DOCUMENT_SETS\ST-090-STD-02\04_Shipment_Statement.docx" TargetMode="External"/><Relationship Id="rId1877" Type="http://schemas.openxmlformats.org/officeDocument/2006/relationships/hyperlink" Target="..\01_DOCUMENT_SETS\ST-072-STD-28\03_Label.docx" TargetMode="External"/><Relationship Id="rId1737" Type="http://schemas.openxmlformats.org/officeDocument/2006/relationships/hyperlink" Target="..\01_DOCUMENT_SETS\ST-072-STD-11\01_Technical_File.docx" TargetMode="External"/><Relationship Id="rId1944" Type="http://schemas.openxmlformats.org/officeDocument/2006/relationships/hyperlink" Target="..\01_DOCUMENT_SETS\ST-076-STD-04\04_Shipment_Statement.pdf" TargetMode="External"/><Relationship Id="rId29" Type="http://schemas.openxmlformats.org/officeDocument/2006/relationships/hyperlink" Target="..\01_DOCUMENT_SETS\ST-018-EUR-01\03_Label.docx" TargetMode="External"/><Relationship Id="rId1804" Type="http://schemas.openxmlformats.org/officeDocument/2006/relationships/hyperlink" Target="..\01_DOCUMENT_SETS\ST-072-STD-19\02_EU_DoC.pdf" TargetMode="External"/><Relationship Id="rId897" Type="http://schemas.openxmlformats.org/officeDocument/2006/relationships/hyperlink" Target="..\01_DOCUMENT_SETS\ST-048-STD-06\01_Technical_File.docx" TargetMode="External"/><Relationship Id="rId757" Type="http://schemas.openxmlformats.org/officeDocument/2006/relationships/hyperlink" Target="..\01_DOCUMENT_SETS\ST-045-STD-14\03_Label.docx" TargetMode="External"/><Relationship Id="rId964" Type="http://schemas.openxmlformats.org/officeDocument/2006/relationships/hyperlink" Target="..\01_DOCUMENT_SETS\ST-051-STD-01\02_EU_DoC.pdf" TargetMode="External"/><Relationship Id="rId1387" Type="http://schemas.openxmlformats.org/officeDocument/2006/relationships/hyperlink" Target="..\01_DOCUMENT_SETS\ST-063-STD-05\02_EU_DoC.docx" TargetMode="External"/><Relationship Id="rId1594" Type="http://schemas.openxmlformats.org/officeDocument/2006/relationships/hyperlink" Target="..\01_DOCUMENT_SETS\ST-068-STD-07\01_Technical_File.pdf" TargetMode="External"/><Relationship Id="rId93" Type="http://schemas.openxmlformats.org/officeDocument/2006/relationships/hyperlink" Target="..\01_DOCUMENT_SETS\ST-021-EUR-02\03_Label.docx" TargetMode="External"/><Relationship Id="rId617" Type="http://schemas.openxmlformats.org/officeDocument/2006/relationships/hyperlink" Target="..\01_DOCUMENT_SETS\ST-042-STD-08\01_Technical_File.docx" TargetMode="External"/><Relationship Id="rId824" Type="http://schemas.openxmlformats.org/officeDocument/2006/relationships/hyperlink" Target="..\01_DOCUMENT_SETS\ST-048-EUR-08\04_Shipment_Statement.pdf" TargetMode="External"/><Relationship Id="rId1247" Type="http://schemas.openxmlformats.org/officeDocument/2006/relationships/hyperlink" Target="..\01_DOCUMENT_SETS\ST-057-STD-01\04_Shipment_Statement.docx" TargetMode="External"/><Relationship Id="rId1454" Type="http://schemas.openxmlformats.org/officeDocument/2006/relationships/hyperlink" Target="..\01_DOCUMENT_SETS\ST-063-STD-13\03_Label.pdf" TargetMode="External"/><Relationship Id="rId1661" Type="http://schemas.openxmlformats.org/officeDocument/2006/relationships/hyperlink" Target="..\01_DOCUMENT_SETS\ST-072-STD-01\03_Label.docx" TargetMode="External"/><Relationship Id="rId1107" Type="http://schemas.openxmlformats.org/officeDocument/2006/relationships/hyperlink" Target="..\01_DOCUMENT_SETS\ST-054-STD-07\02_EU_DoC.docx" TargetMode="External"/><Relationship Id="rId1314" Type="http://schemas.openxmlformats.org/officeDocument/2006/relationships/hyperlink" Target="..\01_DOCUMENT_SETS\ST-060-STD-03\01_Technical_File.pdf" TargetMode="External"/><Relationship Id="rId1521" Type="http://schemas.openxmlformats.org/officeDocument/2006/relationships/hyperlink" Target="..\01_DOCUMENT_SETS\ST-068-EUR-02\01_Technical_File.docx" TargetMode="External"/><Relationship Id="rId20" Type="http://schemas.openxmlformats.org/officeDocument/2006/relationships/hyperlink" Target="..\01_DOCUMENT_SETS\ST-012-EUR-03\02_EU_DoC.pdf" TargetMode="External"/><Relationship Id="rId2088" Type="http://schemas.openxmlformats.org/officeDocument/2006/relationships/hyperlink" Target="..\01_DOCUMENT_SETS\ST-088-STD-07\04_Shipment_Statement.pdf" TargetMode="External"/><Relationship Id="rId2295" Type="http://schemas.openxmlformats.org/officeDocument/2006/relationships/hyperlink" Target="..\01_DOCUMENT_SETS\ST-120-STD-03\04_Shipment_Statement.docx" TargetMode="External"/><Relationship Id="rId267" Type="http://schemas.openxmlformats.org/officeDocument/2006/relationships/hyperlink" Target="..\01_DOCUMENT_SETS\ST-028-STD-01\02_EU_DoC.docx" TargetMode="External"/><Relationship Id="rId474" Type="http://schemas.openxmlformats.org/officeDocument/2006/relationships/hyperlink" Target="..\01_DOCUMENT_SETS\ST-036-STD-04\01_Technical_File.pdf" TargetMode="External"/><Relationship Id="rId2155" Type="http://schemas.openxmlformats.org/officeDocument/2006/relationships/hyperlink" Target="..\01_DOCUMENT_SETS\ST-096-EUR-06\02_EU_DoC.docx" TargetMode="External"/><Relationship Id="rId127" Type="http://schemas.openxmlformats.org/officeDocument/2006/relationships/hyperlink" Target="..\01_DOCUMENT_SETS\ST-021-STD-01\04_Shipment_Statement.docx" TargetMode="External"/><Relationship Id="rId681" Type="http://schemas.openxmlformats.org/officeDocument/2006/relationships/hyperlink" Target="..\01_DOCUMENT_SETS\ST-045-STD-05\01_Technical_File.docx" TargetMode="External"/><Relationship Id="rId334" Type="http://schemas.openxmlformats.org/officeDocument/2006/relationships/hyperlink" Target="..\01_DOCUMENT_SETS\ST-030-STD-08\03_Label.pdf" TargetMode="External"/><Relationship Id="rId541" Type="http://schemas.openxmlformats.org/officeDocument/2006/relationships/hyperlink" Target="..\01_DOCUMENT_SETS\ST-042-EUR-02\03_Label.docx" TargetMode="External"/><Relationship Id="rId1171" Type="http://schemas.openxmlformats.org/officeDocument/2006/relationships/hyperlink" Target="..\01_DOCUMENT_SETS\ST-056-EUR-03\02_EU_DoC.docx" TargetMode="External"/><Relationship Id="rId2015" Type="http://schemas.openxmlformats.org/officeDocument/2006/relationships/hyperlink" Target="..\01_DOCUMENT_SETS\ST-087-STD-05\04_Shipment_Statement.docx" TargetMode="External"/><Relationship Id="rId2222" Type="http://schemas.openxmlformats.org/officeDocument/2006/relationships/hyperlink" Target="..\01_DOCUMENT_SETS\ST-096-STD-04\03_Label.pdf" TargetMode="External"/><Relationship Id="rId401" Type="http://schemas.openxmlformats.org/officeDocument/2006/relationships/hyperlink" Target="..\01_DOCUMENT_SETS\ST-036-EUR-02\01_Technical_File.docx" TargetMode="External"/><Relationship Id="rId846" Type="http://schemas.openxmlformats.org/officeDocument/2006/relationships/hyperlink" Target="..\01_DOCUMENT_SETS\ST-048-EUR-11\03_Label.pdf" TargetMode="External"/><Relationship Id="rId1031" Type="http://schemas.openxmlformats.org/officeDocument/2006/relationships/hyperlink" Target="..\01_DOCUMENT_SETS\ST-051-STD-09\04_Shipment_Statement.docx" TargetMode="External"/><Relationship Id="rId1129" Type="http://schemas.openxmlformats.org/officeDocument/2006/relationships/hyperlink" Target="..\01_DOCUMENT_SETS\ST-054-STD-10\01_Technical_File.docx" TargetMode="External"/><Relationship Id="rId1683" Type="http://schemas.openxmlformats.org/officeDocument/2006/relationships/hyperlink" Target="..\01_DOCUMENT_SETS\ST-072-STD-04\02_EU_DoC.docx" TargetMode="External"/><Relationship Id="rId1890" Type="http://schemas.openxmlformats.org/officeDocument/2006/relationships/hyperlink" Target="..\01_DOCUMENT_SETS\ST-076-EUR-02\01_Technical_File.pdf" TargetMode="External"/><Relationship Id="rId1988" Type="http://schemas.openxmlformats.org/officeDocument/2006/relationships/hyperlink" Target="..\01_DOCUMENT_SETS\ST-087-STD-02\02_EU_DoC.pdf" TargetMode="External"/><Relationship Id="rId706" Type="http://schemas.openxmlformats.org/officeDocument/2006/relationships/hyperlink" Target="..\01_DOCUMENT_SETS\ST-045-STD-08\01_Technical_File.pdf" TargetMode="External"/><Relationship Id="rId913" Type="http://schemas.openxmlformats.org/officeDocument/2006/relationships/hyperlink" Target="..\01_DOCUMENT_SETS\ST-048-STD-08\01_Technical_File.docx" TargetMode="External"/><Relationship Id="rId1336" Type="http://schemas.openxmlformats.org/officeDocument/2006/relationships/hyperlink" Target="..\01_DOCUMENT_SETS\ST-060-STD-05\04_Shipment_Statement.pdf" TargetMode="External"/><Relationship Id="rId1543" Type="http://schemas.openxmlformats.org/officeDocument/2006/relationships/hyperlink" Target="..\01_DOCUMENT_SETS\ST-068-EUR-04\04_Shipment_Statement.docx" TargetMode="External"/><Relationship Id="rId1750" Type="http://schemas.openxmlformats.org/officeDocument/2006/relationships/hyperlink" Target="..\01_DOCUMENT_SETS\ST-072-STD-12\03_Label.pdf" TargetMode="External"/><Relationship Id="rId42" Type="http://schemas.openxmlformats.org/officeDocument/2006/relationships/hyperlink" Target="..\01_DOCUMENT_SETS\ST-018-EUR-03\01_Technical_File.pdf" TargetMode="External"/><Relationship Id="rId1403" Type="http://schemas.openxmlformats.org/officeDocument/2006/relationships/hyperlink" Target="..\01_DOCUMENT_SETS\ST-063-STD-07\02_EU_DoC.docx" TargetMode="External"/><Relationship Id="rId1610" Type="http://schemas.openxmlformats.org/officeDocument/2006/relationships/hyperlink" Target="..\01_DOCUMENT_SETS\ST-072-EUR-01\01_Technical_File.pdf" TargetMode="External"/><Relationship Id="rId1848" Type="http://schemas.openxmlformats.org/officeDocument/2006/relationships/hyperlink" Target="..\01_DOCUMENT_SETS\ST-072-STD-24\04_Shipment_Statement.pdf" TargetMode="External"/><Relationship Id="rId191" Type="http://schemas.openxmlformats.org/officeDocument/2006/relationships/hyperlink" Target="..\01_DOCUMENT_SETS\ST-024-EUR-01\04_Shipment_Statement.docx" TargetMode="External"/><Relationship Id="rId1708" Type="http://schemas.openxmlformats.org/officeDocument/2006/relationships/hyperlink" Target="..\01_DOCUMENT_SETS\ST-072-STD-07\02_EU_DoC.pdf" TargetMode="External"/><Relationship Id="rId1915" Type="http://schemas.openxmlformats.org/officeDocument/2006/relationships/hyperlink" Target="..\01_DOCUMENT_SETS\ST-076-STD-01\02_EU_DoC.docx" TargetMode="External"/><Relationship Id="rId289" Type="http://schemas.openxmlformats.org/officeDocument/2006/relationships/hyperlink" Target="..\01_DOCUMENT_SETS\ST-030-STD-03\01_Technical_File.docx" TargetMode="External"/><Relationship Id="rId496" Type="http://schemas.openxmlformats.org/officeDocument/2006/relationships/hyperlink" Target="..\01_DOCUMENT_SETS\ST-036-STD-06\04_Shipment_Statement.pdf" TargetMode="External"/><Relationship Id="rId2177" Type="http://schemas.openxmlformats.org/officeDocument/2006/relationships/hyperlink" Target="..\01_DOCUMENT_SETS\ST-096-EUR-09\01_Technical_File.docx" TargetMode="External"/><Relationship Id="rId149" Type="http://schemas.openxmlformats.org/officeDocument/2006/relationships/hyperlink" Target="..\01_DOCUMENT_SETS\ST-021-STD-04\03_Label.docx" TargetMode="External"/><Relationship Id="rId356" Type="http://schemas.openxmlformats.org/officeDocument/2006/relationships/hyperlink" Target="..\01_DOCUMENT_SETS\ST-030-STD-11\02_EU_DoC.pdf" TargetMode="External"/><Relationship Id="rId563" Type="http://schemas.openxmlformats.org/officeDocument/2006/relationships/hyperlink" Target="..\01_DOCUMENT_SETS\ST-042-STD-01\02_EU_DoC.docx" TargetMode="External"/><Relationship Id="rId770" Type="http://schemas.openxmlformats.org/officeDocument/2006/relationships/hyperlink" Target="..\01_DOCUMENT_SETS\ST-048-EUR-02\01_Technical_File.pdf" TargetMode="External"/><Relationship Id="rId1193" Type="http://schemas.openxmlformats.org/officeDocument/2006/relationships/hyperlink" Target="..\01_DOCUMENT_SETS\ST-056-STD-02\01_Technical_File.docx" TargetMode="External"/><Relationship Id="rId2037" Type="http://schemas.openxmlformats.org/officeDocument/2006/relationships/hyperlink" Target="..\01_DOCUMENT_SETS\ST-088-STD-01\03_Label.docx" TargetMode="External"/><Relationship Id="rId2244" Type="http://schemas.openxmlformats.org/officeDocument/2006/relationships/hyperlink" Target="..\01_DOCUMENT_SETS\ST-096-STD-07\02_EU_DoC.pdf" TargetMode="External"/><Relationship Id="rId216" Type="http://schemas.openxmlformats.org/officeDocument/2006/relationships/hyperlink" Target="..\01_DOCUMENT_SETS\ST-024-EUR-04\04_Shipment_Statement.pdf" TargetMode="External"/><Relationship Id="rId423" Type="http://schemas.openxmlformats.org/officeDocument/2006/relationships/hyperlink" Target="..\01_DOCUMENT_SETS\ST-036-EUR-04\04_Shipment_Statement.docx" TargetMode="External"/><Relationship Id="rId868" Type="http://schemas.openxmlformats.org/officeDocument/2006/relationships/hyperlink" Target="..\01_DOCUMENT_SETS\ST-048-STD-02\02_EU_DoC.pdf" TargetMode="External"/><Relationship Id="rId1053" Type="http://schemas.openxmlformats.org/officeDocument/2006/relationships/hyperlink" Target="..\01_DOCUMENT_SETS\ST-054-EUR-01\03_Label.docx" TargetMode="External"/><Relationship Id="rId1260" Type="http://schemas.openxmlformats.org/officeDocument/2006/relationships/hyperlink" Target="..\01_DOCUMENT_SETS\ST-057-STD-03\02_EU_DoC.pdf" TargetMode="External"/><Relationship Id="rId1498" Type="http://schemas.openxmlformats.org/officeDocument/2006/relationships/hyperlink" Target="..\01_DOCUMENT_SETS\ST-066-STD-02\01_Technical_File.pdf" TargetMode="External"/><Relationship Id="rId2104" Type="http://schemas.openxmlformats.org/officeDocument/2006/relationships/hyperlink" Target="..\01_DOCUMENT_SETS\ST-090-STD-01\04_Shipment_Statement.pdf" TargetMode="External"/><Relationship Id="rId630" Type="http://schemas.openxmlformats.org/officeDocument/2006/relationships/hyperlink" Target="..\01_DOCUMENT_SETS\ST-042-STD-09\03_Label.pdf" TargetMode="External"/><Relationship Id="rId728" Type="http://schemas.openxmlformats.org/officeDocument/2006/relationships/hyperlink" Target="..\01_DOCUMENT_SETS\ST-045-STD-10\04_Shipment_Statement.pdf" TargetMode="External"/><Relationship Id="rId935" Type="http://schemas.openxmlformats.org/officeDocument/2006/relationships/hyperlink" Target="..\01_DOCUMENT_SETS\ST-051-EUR-01\04_Shipment_Statement.docx" TargetMode="External"/><Relationship Id="rId1358" Type="http://schemas.openxmlformats.org/officeDocument/2006/relationships/hyperlink" Target="..\01_DOCUMENT_SETS\ST-063-STD-01\03_Label.pdf" TargetMode="External"/><Relationship Id="rId1565" Type="http://schemas.openxmlformats.org/officeDocument/2006/relationships/hyperlink" Target="..\01_DOCUMENT_SETS\ST-068-STD-03\03_Label.docx" TargetMode="External"/><Relationship Id="rId1772" Type="http://schemas.openxmlformats.org/officeDocument/2006/relationships/hyperlink" Target="..\01_DOCUMENT_SETS\ST-072-STD-15\02_EU_DoC.pdf" TargetMode="External"/><Relationship Id="rId64" Type="http://schemas.openxmlformats.org/officeDocument/2006/relationships/hyperlink" Target="..\01_DOCUMENT_SETS\ST-018-EUR-05\04_Shipment_Statement.pdf" TargetMode="External"/><Relationship Id="rId1120" Type="http://schemas.openxmlformats.org/officeDocument/2006/relationships/hyperlink" Target="..\01_DOCUMENT_SETS\ST-054-STD-08\04_Shipment_Statement.pdf" TargetMode="External"/><Relationship Id="rId1218" Type="http://schemas.openxmlformats.org/officeDocument/2006/relationships/hyperlink" Target="..\01_DOCUMENT_SETS\ST-057-EUR-03\01_Technical_File.pdf" TargetMode="External"/><Relationship Id="rId1425" Type="http://schemas.openxmlformats.org/officeDocument/2006/relationships/hyperlink" Target="..\01_DOCUMENT_SETS\ST-063-STD-10\01_Technical_File.docx" TargetMode="External"/><Relationship Id="rId1632" Type="http://schemas.openxmlformats.org/officeDocument/2006/relationships/hyperlink" Target="..\01_DOCUMENT_SETS\ST-072-EUR-03\04_Shipment_Statement.pdf" TargetMode="External"/><Relationship Id="rId1937" Type="http://schemas.openxmlformats.org/officeDocument/2006/relationships/hyperlink" Target="..\01_DOCUMENT_SETS\ST-076-STD-04\01_Technical_File.docx" TargetMode="External"/><Relationship Id="rId2199" Type="http://schemas.openxmlformats.org/officeDocument/2006/relationships/hyperlink" Target="..\01_DOCUMENT_SETS\ST-096-STD-01\04_Shipment_Statement.docx" TargetMode="External"/><Relationship Id="rId280" Type="http://schemas.openxmlformats.org/officeDocument/2006/relationships/hyperlink" Target="..\01_DOCUMENT_SETS\ST-030-STD-01\04_Shipment_Statement.pdf" TargetMode="External"/><Relationship Id="rId140" Type="http://schemas.openxmlformats.org/officeDocument/2006/relationships/hyperlink" Target="..\01_DOCUMENT_SETS\ST-021-STD-03\02_EU_DoC.pdf" TargetMode="External"/><Relationship Id="rId378" Type="http://schemas.openxmlformats.org/officeDocument/2006/relationships/hyperlink" Target="..\01_DOCUMENT_SETS\ST-034-STD-01\01_Technical_File.pdf" TargetMode="External"/><Relationship Id="rId585" Type="http://schemas.openxmlformats.org/officeDocument/2006/relationships/hyperlink" Target="..\01_DOCUMENT_SETS\ST-042-STD-04\01_Technical_File.docx" TargetMode="External"/><Relationship Id="rId792" Type="http://schemas.openxmlformats.org/officeDocument/2006/relationships/hyperlink" Target="..\01_DOCUMENT_SETS\ST-048-EUR-04\04_Shipment_Statement.pdf" TargetMode="External"/><Relationship Id="rId2059" Type="http://schemas.openxmlformats.org/officeDocument/2006/relationships/hyperlink" Target="..\01_DOCUMENT_SETS\ST-088-STD-04\02_EU_DoC.docx" TargetMode="External"/><Relationship Id="rId2266" Type="http://schemas.openxmlformats.org/officeDocument/2006/relationships/hyperlink" Target="..\01_DOCUMENT_SETS\ST-105-STD-02\01_Technical_File.pdf" TargetMode="External"/><Relationship Id="rId6" Type="http://schemas.openxmlformats.org/officeDocument/2006/relationships/hyperlink" Target="..\01_DOCUMENT_SETS\ST-012-EUR-01\03_Label.pdf" TargetMode="External"/><Relationship Id="rId238" Type="http://schemas.openxmlformats.org/officeDocument/2006/relationships/hyperlink" Target="..\01_DOCUMENT_SETS\ST-024-STD-03\03_Label.pdf" TargetMode="External"/><Relationship Id="rId445" Type="http://schemas.openxmlformats.org/officeDocument/2006/relationships/hyperlink" Target="..\01_DOCUMENT_SETS\ST-036-EUR-07\03_Label.docx" TargetMode="External"/><Relationship Id="rId652" Type="http://schemas.openxmlformats.org/officeDocument/2006/relationships/hyperlink" Target="..\01_DOCUMENT_SETS\ST-045-STD-01\02_EU_DoC.pdf" TargetMode="External"/><Relationship Id="rId1075" Type="http://schemas.openxmlformats.org/officeDocument/2006/relationships/hyperlink" Target="..\01_DOCUMENT_SETS\ST-054-STD-03\02_EU_DoC.docx" TargetMode="External"/><Relationship Id="rId1282" Type="http://schemas.openxmlformats.org/officeDocument/2006/relationships/hyperlink" Target="..\01_DOCUMENT_SETS\ST-060-EUR-01\01_Technical_File.pdf" TargetMode="External"/><Relationship Id="rId2126" Type="http://schemas.openxmlformats.org/officeDocument/2006/relationships/hyperlink" Target="..\01_DOCUMENT_SETS\ST-096-EUR-02\03_Label.pdf" TargetMode="External"/><Relationship Id="rId305" Type="http://schemas.openxmlformats.org/officeDocument/2006/relationships/hyperlink" Target="..\01_DOCUMENT_SETS\ST-030-STD-05\01_Technical_File.docx" TargetMode="External"/><Relationship Id="rId512" Type="http://schemas.openxmlformats.org/officeDocument/2006/relationships/hyperlink" Target="..\01_DOCUMENT_SETS\ST-036-STD-08\04_Shipment_Statement.pdf" TargetMode="External"/><Relationship Id="rId957" Type="http://schemas.openxmlformats.org/officeDocument/2006/relationships/hyperlink" Target="..\01_DOCUMENT_SETS\ST-051-EUR-04\03_Label.docx" TargetMode="External"/><Relationship Id="rId1142" Type="http://schemas.openxmlformats.org/officeDocument/2006/relationships/hyperlink" Target="..\01_DOCUMENT_SETS\ST-054-STD-11\03_Label.pdf" TargetMode="External"/><Relationship Id="rId1587" Type="http://schemas.openxmlformats.org/officeDocument/2006/relationships/hyperlink" Target="..\01_DOCUMENT_SETS\ST-068-STD-06\02_EU_DoC.docx" TargetMode="External"/><Relationship Id="rId1794" Type="http://schemas.openxmlformats.org/officeDocument/2006/relationships/hyperlink" Target="..\01_DOCUMENT_SETS\ST-072-STD-18\01_Technical_File.pdf" TargetMode="External"/><Relationship Id="rId86" Type="http://schemas.openxmlformats.org/officeDocument/2006/relationships/hyperlink" Target="..\01_DOCUMENT_SETS\ST-021-EUR-01\03_Label.pdf" TargetMode="External"/><Relationship Id="rId817" Type="http://schemas.openxmlformats.org/officeDocument/2006/relationships/hyperlink" Target="..\01_DOCUMENT_SETS\ST-048-EUR-08\01_Technical_File.docx" TargetMode="External"/><Relationship Id="rId1002" Type="http://schemas.openxmlformats.org/officeDocument/2006/relationships/hyperlink" Target="..\01_DOCUMENT_SETS\ST-051-STD-06\01_Technical_File.pdf" TargetMode="External"/><Relationship Id="rId1447" Type="http://schemas.openxmlformats.org/officeDocument/2006/relationships/hyperlink" Target="..\01_DOCUMENT_SETS\ST-063-STD-12\04_Shipment_Statement.docx" TargetMode="External"/><Relationship Id="rId1654" Type="http://schemas.openxmlformats.org/officeDocument/2006/relationships/hyperlink" Target="..\01_DOCUMENT_SETS\ST-072-EUR-06\03_Label.pdf" TargetMode="External"/><Relationship Id="rId1861" Type="http://schemas.openxmlformats.org/officeDocument/2006/relationships/hyperlink" Target="..\01_DOCUMENT_SETS\ST-072-STD-26\03_Label.docx" TargetMode="External"/><Relationship Id="rId1307" Type="http://schemas.openxmlformats.org/officeDocument/2006/relationships/hyperlink" Target="..\01_DOCUMENT_SETS\ST-060-STD-02\02_EU_DoC.docx" TargetMode="External"/><Relationship Id="rId1514" Type="http://schemas.openxmlformats.org/officeDocument/2006/relationships/hyperlink" Target="..\01_DOCUMENT_SETS\ST-068-EUR-01\01_Technical_File.pdf" TargetMode="External"/><Relationship Id="rId1721" Type="http://schemas.openxmlformats.org/officeDocument/2006/relationships/hyperlink" Target="..\01_DOCUMENT_SETS\ST-072-STD-09\01_Technical_File.docx" TargetMode="External"/><Relationship Id="rId1959" Type="http://schemas.openxmlformats.org/officeDocument/2006/relationships/hyperlink" Target="..\01_DOCUMENT_SETS\ST-081-EUR-01\04_Shipment_Statement.docx" TargetMode="External"/><Relationship Id="rId13" Type="http://schemas.openxmlformats.org/officeDocument/2006/relationships/hyperlink" Target="..\01_DOCUMENT_SETS\ST-012-EUR-02\03_Label.docx" TargetMode="External"/><Relationship Id="rId1819" Type="http://schemas.openxmlformats.org/officeDocument/2006/relationships/hyperlink" Target="..\01_DOCUMENT_SETS\ST-072-STD-21\02_EU_DoC.docx" TargetMode="External"/><Relationship Id="rId2190" Type="http://schemas.openxmlformats.org/officeDocument/2006/relationships/hyperlink" Target="..\01_DOCUMENT_SETS\ST-096-EUR-10\03_Label.pdf" TargetMode="External"/><Relationship Id="rId2288" Type="http://schemas.openxmlformats.org/officeDocument/2006/relationships/hyperlink" Target="..\01_DOCUMENT_SETS\ST-120-STD-02\04_Shipment_Statement.pdf" TargetMode="External"/><Relationship Id="rId162" Type="http://schemas.openxmlformats.org/officeDocument/2006/relationships/hyperlink" Target="..\01_DOCUMENT_SETS\ST-021-STD-06\01_Technical_File.pdf" TargetMode="External"/><Relationship Id="rId467" Type="http://schemas.openxmlformats.org/officeDocument/2006/relationships/hyperlink" Target="..\01_DOCUMENT_SETS\ST-036-STD-03\02_EU_DoC.docx" TargetMode="External"/><Relationship Id="rId1097" Type="http://schemas.openxmlformats.org/officeDocument/2006/relationships/hyperlink" Target="..\01_DOCUMENT_SETS\ST-054-STD-06\01_Technical_File.docx" TargetMode="External"/><Relationship Id="rId2050" Type="http://schemas.openxmlformats.org/officeDocument/2006/relationships/hyperlink" Target="..\01_DOCUMENT_SETS\ST-088-STD-03\01_Technical_File.pdf" TargetMode="External"/><Relationship Id="rId2148" Type="http://schemas.openxmlformats.org/officeDocument/2006/relationships/hyperlink" Target="..\01_DOCUMENT_SETS\ST-096-EUR-05\02_EU_DoC.pdf" TargetMode="External"/><Relationship Id="rId674" Type="http://schemas.openxmlformats.org/officeDocument/2006/relationships/hyperlink" Target="..\01_DOCUMENT_SETS\ST-045-STD-04\01_Technical_File.pdf" TargetMode="External"/><Relationship Id="rId881" Type="http://schemas.openxmlformats.org/officeDocument/2006/relationships/hyperlink" Target="..\01_DOCUMENT_SETS\ST-048-STD-04\01_Technical_File.docx" TargetMode="External"/><Relationship Id="rId979" Type="http://schemas.openxmlformats.org/officeDocument/2006/relationships/hyperlink" Target="..\01_DOCUMENT_SETS\ST-051-STD-03\02_EU_DoC.docx" TargetMode="External"/><Relationship Id="rId327" Type="http://schemas.openxmlformats.org/officeDocument/2006/relationships/hyperlink" Target="..\01_DOCUMENT_SETS\ST-030-STD-07\04_Shipment_Statement.docx" TargetMode="External"/><Relationship Id="rId534" Type="http://schemas.openxmlformats.org/officeDocument/2006/relationships/hyperlink" Target="..\01_DOCUMENT_SETS\ST-042-EUR-01\03_Label.pdf" TargetMode="External"/><Relationship Id="rId741" Type="http://schemas.openxmlformats.org/officeDocument/2006/relationships/hyperlink" Target="..\01_DOCUMENT_SETS\ST-045-STD-12\03_Label.docx" TargetMode="External"/><Relationship Id="rId839" Type="http://schemas.openxmlformats.org/officeDocument/2006/relationships/hyperlink" Target="..\01_DOCUMENT_SETS\ST-048-EUR-10\04_Shipment_Statement.docx" TargetMode="External"/><Relationship Id="rId1164" Type="http://schemas.openxmlformats.org/officeDocument/2006/relationships/hyperlink" Target="..\01_DOCUMENT_SETS\ST-056-EUR-02\02_EU_DoC.pdf" TargetMode="External"/><Relationship Id="rId1371" Type="http://schemas.openxmlformats.org/officeDocument/2006/relationships/hyperlink" Target="..\01_DOCUMENT_SETS\ST-063-STD-03\02_EU_DoC.docx" TargetMode="External"/><Relationship Id="rId1469" Type="http://schemas.openxmlformats.org/officeDocument/2006/relationships/hyperlink" Target="..\01_DOCUMENT_SETS\ST-063-STD-15\03_Label.docx" TargetMode="External"/><Relationship Id="rId2008" Type="http://schemas.openxmlformats.org/officeDocument/2006/relationships/hyperlink" Target="..\01_DOCUMENT_SETS\ST-087-STD-04\04_Shipment_Statement.pdf" TargetMode="External"/><Relationship Id="rId2215" Type="http://schemas.openxmlformats.org/officeDocument/2006/relationships/hyperlink" Target="..\01_DOCUMENT_SETS\ST-096-STD-03\04_Shipment_Statement.docx" TargetMode="External"/><Relationship Id="rId601" Type="http://schemas.openxmlformats.org/officeDocument/2006/relationships/hyperlink" Target="..\01_DOCUMENT_SETS\ST-042-STD-06\01_Technical_File.docx" TargetMode="External"/><Relationship Id="rId1024" Type="http://schemas.openxmlformats.org/officeDocument/2006/relationships/hyperlink" Target="..\01_DOCUMENT_SETS\ST-051-STD-08\04_Shipment_Statement.pdf" TargetMode="External"/><Relationship Id="rId1231" Type="http://schemas.openxmlformats.org/officeDocument/2006/relationships/hyperlink" Target="..\01_DOCUMENT_SETS\ST-057-EUR-04\04_Shipment_Statement.docx" TargetMode="External"/><Relationship Id="rId1676" Type="http://schemas.openxmlformats.org/officeDocument/2006/relationships/hyperlink" Target="..\01_DOCUMENT_SETS\ST-072-STD-03\02_EU_DoC.pdf" TargetMode="External"/><Relationship Id="rId1883" Type="http://schemas.openxmlformats.org/officeDocument/2006/relationships/hyperlink" Target="..\01_DOCUMENT_SETS\ST-076-EUR-01\02_EU_DoC.docx" TargetMode="External"/><Relationship Id="rId906" Type="http://schemas.openxmlformats.org/officeDocument/2006/relationships/hyperlink" Target="..\01_DOCUMENT_SETS\ST-048-STD-07\01_Technical_File.pdf" TargetMode="External"/><Relationship Id="rId1329" Type="http://schemas.openxmlformats.org/officeDocument/2006/relationships/hyperlink" Target="..\01_DOCUMENT_SETS\ST-060-STD-05\01_Technical_File.docx" TargetMode="External"/><Relationship Id="rId1536" Type="http://schemas.openxmlformats.org/officeDocument/2006/relationships/hyperlink" Target="..\01_DOCUMENT_SETS\ST-068-EUR-03\04_Shipment_Statement.pdf" TargetMode="External"/><Relationship Id="rId1743" Type="http://schemas.openxmlformats.org/officeDocument/2006/relationships/hyperlink" Target="..\01_DOCUMENT_SETS\ST-072-STD-11\04_Shipment_Statement.docx" TargetMode="External"/><Relationship Id="rId1950" Type="http://schemas.openxmlformats.org/officeDocument/2006/relationships/hyperlink" Target="..\01_DOCUMENT_SETS\ST-080-EUR-01\03_Label.pdf" TargetMode="External"/><Relationship Id="rId35" Type="http://schemas.openxmlformats.org/officeDocument/2006/relationships/hyperlink" Target="..\01_DOCUMENT_SETS\ST-018-EUR-02\02_EU_DoC.docx" TargetMode="External"/><Relationship Id="rId1603" Type="http://schemas.openxmlformats.org/officeDocument/2006/relationships/hyperlink" Target="..\01_DOCUMENT_SETS\ST-068-STD-08\02_EU_DoC.docx" TargetMode="External"/><Relationship Id="rId1810" Type="http://schemas.openxmlformats.org/officeDocument/2006/relationships/hyperlink" Target="..\01_DOCUMENT_SETS\ST-072-STD-20\01_Technical_File.pdf" TargetMode="External"/><Relationship Id="rId184" Type="http://schemas.openxmlformats.org/officeDocument/2006/relationships/hyperlink" Target="..\01_DOCUMENT_SETS\ST-021-STD-08\04_Shipment_Statement.pdf" TargetMode="External"/><Relationship Id="rId391" Type="http://schemas.openxmlformats.org/officeDocument/2006/relationships/hyperlink" Target="..\01_DOCUMENT_SETS\ST-034-STD-02\04_Shipment_Statement.docx" TargetMode="External"/><Relationship Id="rId1908" Type="http://schemas.openxmlformats.org/officeDocument/2006/relationships/hyperlink" Target="..\01_DOCUMENT_SETS\ST-076-EUR-04\02_EU_DoC.pdf" TargetMode="External"/><Relationship Id="rId2072" Type="http://schemas.openxmlformats.org/officeDocument/2006/relationships/hyperlink" Target="..\01_DOCUMENT_SETS\ST-088-STD-05\04_Shipment_Statement.pdf" TargetMode="External"/><Relationship Id="rId251" Type="http://schemas.openxmlformats.org/officeDocument/2006/relationships/hyperlink" Target="..\01_DOCUMENT_SETS\ST-027-STD90-01\02_EU_DoC.docx" TargetMode="External"/><Relationship Id="rId489" Type="http://schemas.openxmlformats.org/officeDocument/2006/relationships/hyperlink" Target="..\01_DOCUMENT_SETS\ST-036-STD-06\01_Technical_File.docx" TargetMode="External"/><Relationship Id="rId696" Type="http://schemas.openxmlformats.org/officeDocument/2006/relationships/hyperlink" Target="..\01_DOCUMENT_SETS\ST-045-STD-06\04_Shipment_Statement.pdf" TargetMode="External"/><Relationship Id="rId349" Type="http://schemas.openxmlformats.org/officeDocument/2006/relationships/hyperlink" Target="..\01_DOCUMENT_SETS\ST-030-STD-10\03_Label.docx" TargetMode="External"/><Relationship Id="rId556" Type="http://schemas.openxmlformats.org/officeDocument/2006/relationships/hyperlink" Target="..\01_DOCUMENT_SETS\ST-042-EUR-04\02_EU_DoC.pdf" TargetMode="External"/><Relationship Id="rId763" Type="http://schemas.openxmlformats.org/officeDocument/2006/relationships/hyperlink" Target="..\01_DOCUMENT_SETS\ST-048-EUR-01\02_EU_DoC.docx" TargetMode="External"/><Relationship Id="rId1186" Type="http://schemas.openxmlformats.org/officeDocument/2006/relationships/hyperlink" Target="..\01_DOCUMENT_SETS\ST-056-STD-01\01_Technical_File.pdf" TargetMode="External"/><Relationship Id="rId1393" Type="http://schemas.openxmlformats.org/officeDocument/2006/relationships/hyperlink" Target="..\01_DOCUMENT_SETS\ST-063-STD-06\01_Technical_File.docx" TargetMode="External"/><Relationship Id="rId2237" Type="http://schemas.openxmlformats.org/officeDocument/2006/relationships/hyperlink" Target="..\01_DOCUMENT_SETS\ST-096-STD-06\03_Label.docx" TargetMode="External"/><Relationship Id="rId111" Type="http://schemas.openxmlformats.org/officeDocument/2006/relationships/hyperlink" Target="..\01_DOCUMENT_SETS\ST-021-EUR-04\04_Shipment_Statement.docx" TargetMode="External"/><Relationship Id="rId209" Type="http://schemas.openxmlformats.org/officeDocument/2006/relationships/hyperlink" Target="..\01_DOCUMENT_SETS\ST-024-EUR-04\01_Technical_File.docx" TargetMode="External"/><Relationship Id="rId416" Type="http://schemas.openxmlformats.org/officeDocument/2006/relationships/hyperlink" Target="..\01_DOCUMENT_SETS\ST-036-EUR-03\04_Shipment_Statement.pdf" TargetMode="External"/><Relationship Id="rId970" Type="http://schemas.openxmlformats.org/officeDocument/2006/relationships/hyperlink" Target="..\01_DOCUMENT_SETS\ST-051-STD-02\01_Technical_File.pdf" TargetMode="External"/><Relationship Id="rId1046" Type="http://schemas.openxmlformats.org/officeDocument/2006/relationships/hyperlink" Target="..\01_DOCUMENT_SETS\ST-051-STD-11\03_Label.pdf" TargetMode="External"/><Relationship Id="rId1253" Type="http://schemas.openxmlformats.org/officeDocument/2006/relationships/hyperlink" Target="..\01_DOCUMENT_SETS\ST-057-STD-02\03_Label.docx" TargetMode="External"/><Relationship Id="rId1698" Type="http://schemas.openxmlformats.org/officeDocument/2006/relationships/hyperlink" Target="..\01_DOCUMENT_SETS\ST-072-STD-06\01_Technical_File.pdf" TargetMode="External"/><Relationship Id="rId623" Type="http://schemas.openxmlformats.org/officeDocument/2006/relationships/hyperlink" Target="..\01_DOCUMENT_SETS\ST-042-STD-08\04_Shipment_Statement.docx" TargetMode="External"/><Relationship Id="rId830" Type="http://schemas.openxmlformats.org/officeDocument/2006/relationships/hyperlink" Target="..\01_DOCUMENT_SETS\ST-048-EUR-09\03_Label.pdf" TargetMode="External"/><Relationship Id="rId928" Type="http://schemas.openxmlformats.org/officeDocument/2006/relationships/hyperlink" Target="..\01_DOCUMENT_SETS\ST-048-STD-09\04_Shipment_Statement.pdf" TargetMode="External"/><Relationship Id="rId1460" Type="http://schemas.openxmlformats.org/officeDocument/2006/relationships/hyperlink" Target="..\01_DOCUMENT_SETS\ST-063-STD-14\02_EU_DoC.pdf" TargetMode="External"/><Relationship Id="rId1558" Type="http://schemas.openxmlformats.org/officeDocument/2006/relationships/hyperlink" Target="..\01_DOCUMENT_SETS\ST-068-STD-02\03_Label.pdf" TargetMode="External"/><Relationship Id="rId1765" Type="http://schemas.openxmlformats.org/officeDocument/2006/relationships/hyperlink" Target="..\01_DOCUMENT_SETS\ST-072-STD-14\03_Label.docx" TargetMode="External"/><Relationship Id="rId57" Type="http://schemas.openxmlformats.org/officeDocument/2006/relationships/hyperlink" Target="..\01_DOCUMENT_SETS\ST-018-EUR-05\01_Technical_File.docx" TargetMode="External"/><Relationship Id="rId1113" Type="http://schemas.openxmlformats.org/officeDocument/2006/relationships/hyperlink" Target="..\01_DOCUMENT_SETS\ST-054-STD-08\01_Technical_File.docx" TargetMode="External"/><Relationship Id="rId1320" Type="http://schemas.openxmlformats.org/officeDocument/2006/relationships/hyperlink" Target="..\01_DOCUMENT_SETS\ST-060-STD-03\04_Shipment_Statement.pdf" TargetMode="External"/><Relationship Id="rId1418" Type="http://schemas.openxmlformats.org/officeDocument/2006/relationships/hyperlink" Target="..\01_DOCUMENT_SETS\ST-063-STD-09\01_Technical_File.pdf" TargetMode="External"/><Relationship Id="rId1972" Type="http://schemas.openxmlformats.org/officeDocument/2006/relationships/hyperlink" Target="..\01_DOCUMENT_SETS\ST-087-EUR-01\02_EU_DoC.pdf" TargetMode="External"/><Relationship Id="rId1625" Type="http://schemas.openxmlformats.org/officeDocument/2006/relationships/hyperlink" Target="..\01_DOCUMENT_SETS\ST-072-EUR-03\01_Technical_File.docx" TargetMode="External"/><Relationship Id="rId1832" Type="http://schemas.openxmlformats.org/officeDocument/2006/relationships/hyperlink" Target="..\01_DOCUMENT_SETS\ST-072-STD-22\04_Shipment_Statement.pdf" TargetMode="External"/><Relationship Id="rId2094" Type="http://schemas.openxmlformats.org/officeDocument/2006/relationships/hyperlink" Target="..\01_DOCUMENT_SETS\ST-088-STD-08\03_Label.pdf" TargetMode="External"/><Relationship Id="rId273" Type="http://schemas.openxmlformats.org/officeDocument/2006/relationships/hyperlink" Target="..\01_DOCUMENT_SETS\ST-030-STD-01\01_Technical_File.docx" TargetMode="External"/><Relationship Id="rId480" Type="http://schemas.openxmlformats.org/officeDocument/2006/relationships/hyperlink" Target="..\01_DOCUMENT_SETS\ST-036-STD-04\04_Shipment_Statement.pdf" TargetMode="External"/><Relationship Id="rId2161" Type="http://schemas.openxmlformats.org/officeDocument/2006/relationships/hyperlink" Target="..\01_DOCUMENT_SETS\ST-096-EUR-07\01_Technical_File.docx" TargetMode="External"/><Relationship Id="rId133" Type="http://schemas.openxmlformats.org/officeDocument/2006/relationships/hyperlink" Target="..\01_DOCUMENT_SETS\ST-021-STD-02\03_Label.docx" TargetMode="External"/><Relationship Id="rId340" Type="http://schemas.openxmlformats.org/officeDocument/2006/relationships/hyperlink" Target="..\01_DOCUMENT_SETS\ST-030-STD-09\02_EU_DoC.pdf" TargetMode="External"/><Relationship Id="rId578" Type="http://schemas.openxmlformats.org/officeDocument/2006/relationships/hyperlink" Target="..\01_DOCUMENT_SETS\ST-042-STD-03\01_Technical_File.pdf" TargetMode="External"/><Relationship Id="rId785" Type="http://schemas.openxmlformats.org/officeDocument/2006/relationships/hyperlink" Target="..\01_DOCUMENT_SETS\ST-048-EUR-04\01_Technical_File.docx" TargetMode="External"/><Relationship Id="rId992" Type="http://schemas.openxmlformats.org/officeDocument/2006/relationships/hyperlink" Target="..\01_DOCUMENT_SETS\ST-051-STD-04\04_Shipment_Statement.pdf" TargetMode="External"/><Relationship Id="rId2021" Type="http://schemas.openxmlformats.org/officeDocument/2006/relationships/hyperlink" Target="..\01_DOCUMENT_SETS\ST-087-STD-06\03_Label.docx" TargetMode="External"/><Relationship Id="rId2259" Type="http://schemas.openxmlformats.org/officeDocument/2006/relationships/hyperlink" Target="..\01_DOCUMENT_SETS\ST-105-STD-01\02_EU_DoC.docx" TargetMode="External"/><Relationship Id="rId200" Type="http://schemas.openxmlformats.org/officeDocument/2006/relationships/hyperlink" Target="..\01_DOCUMENT_SETS\ST-024-EUR-02\04_Shipment_Statement.pdf" TargetMode="External"/><Relationship Id="rId438" Type="http://schemas.openxmlformats.org/officeDocument/2006/relationships/hyperlink" Target="..\01_DOCUMENT_SETS\ST-036-EUR-06\03_Label.pdf" TargetMode="External"/><Relationship Id="rId645" Type="http://schemas.openxmlformats.org/officeDocument/2006/relationships/hyperlink" Target="..\01_DOCUMENT_SETS\ST-045-EUR-01\03_Label.docx" TargetMode="External"/><Relationship Id="rId852" Type="http://schemas.openxmlformats.org/officeDocument/2006/relationships/hyperlink" Target="..\01_DOCUMENT_SETS\ST-048-EUR-12\02_EU_DoC.pdf" TargetMode="External"/><Relationship Id="rId1068" Type="http://schemas.openxmlformats.org/officeDocument/2006/relationships/hyperlink" Target="..\01_DOCUMENT_SETS\ST-054-STD-02\02_EU_DoC.pdf" TargetMode="External"/><Relationship Id="rId1275" Type="http://schemas.openxmlformats.org/officeDocument/2006/relationships/hyperlink" Target="..\01_DOCUMENT_SETS\ST-057-STD-05\02_EU_DoC.docx" TargetMode="External"/><Relationship Id="rId1482" Type="http://schemas.openxmlformats.org/officeDocument/2006/relationships/hyperlink" Target="..\01_DOCUMENT_SETS\ST-064-EUR-01\01_Technical_File.pdf" TargetMode="External"/><Relationship Id="rId2119" Type="http://schemas.openxmlformats.org/officeDocument/2006/relationships/hyperlink" Target="..\01_DOCUMENT_SETS\ST-096-EUR-01\04_Shipment_Statement.docx" TargetMode="External"/><Relationship Id="rId505" Type="http://schemas.openxmlformats.org/officeDocument/2006/relationships/hyperlink" Target="..\01_DOCUMENT_SETS\ST-036-STD-08\01_Technical_File.docx" TargetMode="External"/><Relationship Id="rId712" Type="http://schemas.openxmlformats.org/officeDocument/2006/relationships/hyperlink" Target="..\01_DOCUMENT_SETS\ST-045-STD-08\04_Shipment_Statement.pdf" TargetMode="External"/><Relationship Id="rId1135" Type="http://schemas.openxmlformats.org/officeDocument/2006/relationships/hyperlink" Target="..\01_DOCUMENT_SETS\ST-054-STD-10\04_Shipment_Statement.docx" TargetMode="External"/><Relationship Id="rId1342" Type="http://schemas.openxmlformats.org/officeDocument/2006/relationships/hyperlink" Target="..\01_DOCUMENT_SETS\ST-063-EUR-01\03_Label.pdf" TargetMode="External"/><Relationship Id="rId1787" Type="http://schemas.openxmlformats.org/officeDocument/2006/relationships/hyperlink" Target="..\01_DOCUMENT_SETS\ST-072-STD-17\02_EU_DoC.docx" TargetMode="External"/><Relationship Id="rId1994" Type="http://schemas.openxmlformats.org/officeDocument/2006/relationships/hyperlink" Target="..\01_DOCUMENT_SETS\ST-087-STD-03\01_Technical_File.pdf" TargetMode="External"/><Relationship Id="rId79" Type="http://schemas.openxmlformats.org/officeDocument/2006/relationships/hyperlink" Target="..\01_DOCUMENT_SETS\ST-018-STD-02\04_Shipment_Statement.docx" TargetMode="External"/><Relationship Id="rId1202" Type="http://schemas.openxmlformats.org/officeDocument/2006/relationships/hyperlink" Target="..\01_DOCUMENT_SETS\ST-057-EUR-01\01_Technical_File.pdf" TargetMode="External"/><Relationship Id="rId1647" Type="http://schemas.openxmlformats.org/officeDocument/2006/relationships/hyperlink" Target="..\01_DOCUMENT_SETS\ST-072-EUR-05\04_Shipment_Statement.docx" TargetMode="External"/><Relationship Id="rId1854" Type="http://schemas.openxmlformats.org/officeDocument/2006/relationships/hyperlink" Target="..\01_DOCUMENT_SETS\ST-072-STD-25\03_Label.pdf" TargetMode="External"/><Relationship Id="rId1507" Type="http://schemas.openxmlformats.org/officeDocument/2006/relationships/hyperlink" Target="..\01_DOCUMENT_SETS\ST-066-STD-03\02_EU_DoC.docx" TargetMode="External"/><Relationship Id="rId1714" Type="http://schemas.openxmlformats.org/officeDocument/2006/relationships/hyperlink" Target="..\01_DOCUMENT_SETS\ST-072-STD-08\01_Technical_File.pdf" TargetMode="External"/><Relationship Id="rId295" Type="http://schemas.openxmlformats.org/officeDocument/2006/relationships/hyperlink" Target="..\01_DOCUMENT_SETS\ST-030-STD-03\04_Shipment_Statement.docx" TargetMode="External"/><Relationship Id="rId1921" Type="http://schemas.openxmlformats.org/officeDocument/2006/relationships/hyperlink" Target="..\01_DOCUMENT_SETS\ST-076-STD-02\01_Technical_File.docx" TargetMode="External"/><Relationship Id="rId2183" Type="http://schemas.openxmlformats.org/officeDocument/2006/relationships/hyperlink" Target="..\01_DOCUMENT_SETS\ST-096-EUR-09\04_Shipment_Statement.docx" TargetMode="External"/><Relationship Id="rId155" Type="http://schemas.openxmlformats.org/officeDocument/2006/relationships/hyperlink" Target="..\01_DOCUMENT_SETS\ST-021-STD-05\02_EU_DoC.docx" TargetMode="External"/><Relationship Id="rId362" Type="http://schemas.openxmlformats.org/officeDocument/2006/relationships/hyperlink" Target="..\01_DOCUMENT_SETS\ST-030-STD-12\01_Technical_File.pdf" TargetMode="External"/><Relationship Id="rId1297" Type="http://schemas.openxmlformats.org/officeDocument/2006/relationships/hyperlink" Target="..\01_DOCUMENT_SETS\ST-060-STD-01\01_Technical_File.docx" TargetMode="External"/><Relationship Id="rId2043" Type="http://schemas.openxmlformats.org/officeDocument/2006/relationships/hyperlink" Target="..\01_DOCUMENT_SETS\ST-088-STD-02\02_EU_DoC.docx" TargetMode="External"/><Relationship Id="rId2250" Type="http://schemas.openxmlformats.org/officeDocument/2006/relationships/hyperlink" Target="..\01_DOCUMENT_SETS\ST-096-STD-08\01_Technical_File.pdf" TargetMode="External"/><Relationship Id="rId222" Type="http://schemas.openxmlformats.org/officeDocument/2006/relationships/hyperlink" Target="..\01_DOCUMENT_SETS\ST-024-STD-01\03_Label.pdf" TargetMode="External"/><Relationship Id="rId667" Type="http://schemas.openxmlformats.org/officeDocument/2006/relationships/hyperlink" Target="..\01_DOCUMENT_SETS\ST-045-STD-03\02_EU_DoC.docx" TargetMode="External"/><Relationship Id="rId874" Type="http://schemas.openxmlformats.org/officeDocument/2006/relationships/hyperlink" Target="..\01_DOCUMENT_SETS\ST-048-STD-03\01_Technical_File.pdf" TargetMode="External"/><Relationship Id="rId2110" Type="http://schemas.openxmlformats.org/officeDocument/2006/relationships/hyperlink" Target="..\01_DOCUMENT_SETS\ST-090-STD-02\03_Label.pdf" TargetMode="External"/><Relationship Id="rId527" Type="http://schemas.openxmlformats.org/officeDocument/2006/relationships/hyperlink" Target="..\01_DOCUMENT_SETS\ST-036-STD-10\04_Shipment_Statement.docx" TargetMode="External"/><Relationship Id="rId734" Type="http://schemas.openxmlformats.org/officeDocument/2006/relationships/hyperlink" Target="..\01_DOCUMENT_SETS\ST-045-STD-11\03_Label.pdf" TargetMode="External"/><Relationship Id="rId941" Type="http://schemas.openxmlformats.org/officeDocument/2006/relationships/hyperlink" Target="..\01_DOCUMENT_SETS\ST-051-EUR-02\03_Label.docx" TargetMode="External"/><Relationship Id="rId1157" Type="http://schemas.openxmlformats.org/officeDocument/2006/relationships/hyperlink" Target="..\01_DOCUMENT_SETS\ST-056-EUR-01\03_Label.docx" TargetMode="External"/><Relationship Id="rId1364" Type="http://schemas.openxmlformats.org/officeDocument/2006/relationships/hyperlink" Target="..\01_DOCUMENT_SETS\ST-063-STD-02\02_EU_DoC.pdf" TargetMode="External"/><Relationship Id="rId1571" Type="http://schemas.openxmlformats.org/officeDocument/2006/relationships/hyperlink" Target="..\01_DOCUMENT_SETS\ST-068-STD-04\02_EU_DoC.docx" TargetMode="External"/><Relationship Id="rId2208" Type="http://schemas.openxmlformats.org/officeDocument/2006/relationships/hyperlink" Target="..\01_DOCUMENT_SETS\ST-096-STD-02\04_Shipment_Statement.pdf" TargetMode="External"/><Relationship Id="rId70" Type="http://schemas.openxmlformats.org/officeDocument/2006/relationships/hyperlink" Target="..\01_DOCUMENT_SETS\ST-018-STD-01\03_Label.pdf" TargetMode="External"/><Relationship Id="rId801" Type="http://schemas.openxmlformats.org/officeDocument/2006/relationships/hyperlink" Target="..\01_DOCUMENT_SETS\ST-048-EUR-06\01_Technical_File.docx" TargetMode="External"/><Relationship Id="rId1017" Type="http://schemas.openxmlformats.org/officeDocument/2006/relationships/hyperlink" Target="..\01_DOCUMENT_SETS\ST-051-STD-08\01_Technical_File.docx" TargetMode="External"/><Relationship Id="rId1224" Type="http://schemas.openxmlformats.org/officeDocument/2006/relationships/hyperlink" Target="..\01_DOCUMENT_SETS\ST-057-EUR-03\04_Shipment_Statement.pdf" TargetMode="External"/><Relationship Id="rId1431" Type="http://schemas.openxmlformats.org/officeDocument/2006/relationships/hyperlink" Target="..\01_DOCUMENT_SETS\ST-063-STD-10\04_Shipment_Statement.docx" TargetMode="External"/><Relationship Id="rId1669" Type="http://schemas.openxmlformats.org/officeDocument/2006/relationships/hyperlink" Target="..\01_DOCUMENT_SETS\ST-072-STD-02\03_Label.docx" TargetMode="External"/><Relationship Id="rId1876" Type="http://schemas.openxmlformats.org/officeDocument/2006/relationships/hyperlink" Target="..\01_DOCUMENT_SETS\ST-072-STD-28\02_EU_DoC.pdf" TargetMode="External"/><Relationship Id="rId1529" Type="http://schemas.openxmlformats.org/officeDocument/2006/relationships/hyperlink" Target="..\01_DOCUMENT_SETS\ST-068-EUR-03\01_Technical_File.docx" TargetMode="External"/><Relationship Id="rId1736" Type="http://schemas.openxmlformats.org/officeDocument/2006/relationships/hyperlink" Target="..\01_DOCUMENT_SETS\ST-072-STD-10\04_Shipment_Statement.pdf" TargetMode="External"/><Relationship Id="rId1943" Type="http://schemas.openxmlformats.org/officeDocument/2006/relationships/hyperlink" Target="..\01_DOCUMENT_SETS\ST-076-STD-04\04_Shipment_Statement.docx" TargetMode="External"/><Relationship Id="rId28" Type="http://schemas.openxmlformats.org/officeDocument/2006/relationships/hyperlink" Target="..\01_DOCUMENT_SETS\ST-018-EUR-01\02_EU_DoC.pdf" TargetMode="External"/><Relationship Id="rId1803" Type="http://schemas.openxmlformats.org/officeDocument/2006/relationships/hyperlink" Target="..\01_DOCUMENT_SETS\ST-072-STD-19\02_EU_DoC.docx" TargetMode="External"/><Relationship Id="rId177" Type="http://schemas.openxmlformats.org/officeDocument/2006/relationships/hyperlink" Target="..\01_DOCUMENT_SETS\ST-021-STD-08\01_Technical_File.docx" TargetMode="External"/><Relationship Id="rId384" Type="http://schemas.openxmlformats.org/officeDocument/2006/relationships/hyperlink" Target="..\01_DOCUMENT_SETS\ST-034-STD-01\04_Shipment_Statement.pdf" TargetMode="External"/><Relationship Id="rId591" Type="http://schemas.openxmlformats.org/officeDocument/2006/relationships/hyperlink" Target="..\01_DOCUMENT_SETS\ST-042-STD-04\04_Shipment_Statement.docx" TargetMode="External"/><Relationship Id="rId2065" Type="http://schemas.openxmlformats.org/officeDocument/2006/relationships/hyperlink" Target="..\01_DOCUMENT_SETS\ST-088-STD-05\01_Technical_File.docx" TargetMode="External"/><Relationship Id="rId2272" Type="http://schemas.openxmlformats.org/officeDocument/2006/relationships/hyperlink" Target="..\01_DOCUMENT_SETS\ST-105-STD-02\04_Shipment_Statement.pdf" TargetMode="External"/><Relationship Id="rId244" Type="http://schemas.openxmlformats.org/officeDocument/2006/relationships/hyperlink" Target="..\01_DOCUMENT_SETS\ST-024-STD-04\02_EU_DoC.pdf" TargetMode="External"/><Relationship Id="rId689" Type="http://schemas.openxmlformats.org/officeDocument/2006/relationships/hyperlink" Target="..\01_DOCUMENT_SETS\ST-045-STD-06\01_Technical_File.docx" TargetMode="External"/><Relationship Id="rId896" Type="http://schemas.openxmlformats.org/officeDocument/2006/relationships/hyperlink" Target="..\01_DOCUMENT_SETS\ST-048-STD-05\04_Shipment_Statement.pdf" TargetMode="External"/><Relationship Id="rId1081" Type="http://schemas.openxmlformats.org/officeDocument/2006/relationships/hyperlink" Target="..\01_DOCUMENT_SETS\ST-054-STD-04\01_Technical_File.docx" TargetMode="External"/><Relationship Id="rId451" Type="http://schemas.openxmlformats.org/officeDocument/2006/relationships/hyperlink" Target="..\01_DOCUMENT_SETS\ST-036-STD-01\02_EU_DoC.docx" TargetMode="External"/><Relationship Id="rId549" Type="http://schemas.openxmlformats.org/officeDocument/2006/relationships/hyperlink" Target="..\01_DOCUMENT_SETS\ST-042-EUR-03\03_Label.docx" TargetMode="External"/><Relationship Id="rId756" Type="http://schemas.openxmlformats.org/officeDocument/2006/relationships/hyperlink" Target="..\01_DOCUMENT_SETS\ST-045-STD-14\02_EU_DoC.pdf" TargetMode="External"/><Relationship Id="rId1179" Type="http://schemas.openxmlformats.org/officeDocument/2006/relationships/hyperlink" Target="..\01_DOCUMENT_SETS\ST-056-EUR-04\02_EU_DoC.docx" TargetMode="External"/><Relationship Id="rId1386" Type="http://schemas.openxmlformats.org/officeDocument/2006/relationships/hyperlink" Target="..\01_DOCUMENT_SETS\ST-063-STD-05\01_Technical_File.pdf" TargetMode="External"/><Relationship Id="rId1593" Type="http://schemas.openxmlformats.org/officeDocument/2006/relationships/hyperlink" Target="..\01_DOCUMENT_SETS\ST-068-STD-07\01_Technical_File.docx" TargetMode="External"/><Relationship Id="rId2132" Type="http://schemas.openxmlformats.org/officeDocument/2006/relationships/hyperlink" Target="..\01_DOCUMENT_SETS\ST-096-EUR-03\02_EU_DoC.pdf" TargetMode="External"/><Relationship Id="rId104" Type="http://schemas.openxmlformats.org/officeDocument/2006/relationships/hyperlink" Target="..\01_DOCUMENT_SETS\ST-021-EUR-03\04_Shipment_Statement.pdf" TargetMode="External"/><Relationship Id="rId311" Type="http://schemas.openxmlformats.org/officeDocument/2006/relationships/hyperlink" Target="..\01_DOCUMENT_SETS\ST-030-STD-05\04_Shipment_Statement.docx" TargetMode="External"/><Relationship Id="rId409" Type="http://schemas.openxmlformats.org/officeDocument/2006/relationships/hyperlink" Target="..\01_DOCUMENT_SETS\ST-036-EUR-03\01_Technical_File.docx" TargetMode="External"/><Relationship Id="rId963" Type="http://schemas.openxmlformats.org/officeDocument/2006/relationships/hyperlink" Target="..\01_DOCUMENT_SETS\ST-051-STD-01\02_EU_DoC.docx" TargetMode="External"/><Relationship Id="rId1039" Type="http://schemas.openxmlformats.org/officeDocument/2006/relationships/hyperlink" Target="..\01_DOCUMENT_SETS\ST-051-STD-10\04_Shipment_Statement.docx" TargetMode="External"/><Relationship Id="rId1246" Type="http://schemas.openxmlformats.org/officeDocument/2006/relationships/hyperlink" Target="..\01_DOCUMENT_SETS\ST-057-STD-01\03_Label.pdf" TargetMode="External"/><Relationship Id="rId1898" Type="http://schemas.openxmlformats.org/officeDocument/2006/relationships/hyperlink" Target="..\01_DOCUMENT_SETS\ST-076-EUR-03\01_Technical_File.pdf" TargetMode="External"/><Relationship Id="rId92" Type="http://schemas.openxmlformats.org/officeDocument/2006/relationships/hyperlink" Target="..\01_DOCUMENT_SETS\ST-021-EUR-02\02_EU_DoC.pdf" TargetMode="External"/><Relationship Id="rId616" Type="http://schemas.openxmlformats.org/officeDocument/2006/relationships/hyperlink" Target="..\01_DOCUMENT_SETS\ST-042-STD-07\04_Shipment_Statement.pdf" TargetMode="External"/><Relationship Id="rId823" Type="http://schemas.openxmlformats.org/officeDocument/2006/relationships/hyperlink" Target="..\01_DOCUMENT_SETS\ST-048-EUR-08\04_Shipment_Statement.docx" TargetMode="External"/><Relationship Id="rId1453" Type="http://schemas.openxmlformats.org/officeDocument/2006/relationships/hyperlink" Target="..\01_DOCUMENT_SETS\ST-063-STD-13\03_Label.docx" TargetMode="External"/><Relationship Id="rId1660" Type="http://schemas.openxmlformats.org/officeDocument/2006/relationships/hyperlink" Target="..\01_DOCUMENT_SETS\ST-072-STD-01\02_EU_DoC.pdf" TargetMode="External"/><Relationship Id="rId1758" Type="http://schemas.openxmlformats.org/officeDocument/2006/relationships/hyperlink" Target="..\01_DOCUMENT_SETS\ST-072-STD-13\03_Label.pdf" TargetMode="External"/><Relationship Id="rId1106" Type="http://schemas.openxmlformats.org/officeDocument/2006/relationships/hyperlink" Target="..\01_DOCUMENT_SETS\ST-054-STD-07\01_Technical_File.pdf" TargetMode="External"/><Relationship Id="rId1313" Type="http://schemas.openxmlformats.org/officeDocument/2006/relationships/hyperlink" Target="..\01_DOCUMENT_SETS\ST-060-STD-03\01_Technical_File.docx" TargetMode="External"/><Relationship Id="rId1520" Type="http://schemas.openxmlformats.org/officeDocument/2006/relationships/hyperlink" Target="..\01_DOCUMENT_SETS\ST-068-EUR-01\04_Shipment_Statement.pdf" TargetMode="External"/><Relationship Id="rId1965" Type="http://schemas.openxmlformats.org/officeDocument/2006/relationships/hyperlink" Target="..\01_DOCUMENT_SETS\ST-081-STD-01\03_Label.docx" TargetMode="External"/><Relationship Id="rId1618" Type="http://schemas.openxmlformats.org/officeDocument/2006/relationships/hyperlink" Target="..\01_DOCUMENT_SETS\ST-072-EUR-02\01_Technical_File.pdf" TargetMode="External"/><Relationship Id="rId1825" Type="http://schemas.openxmlformats.org/officeDocument/2006/relationships/hyperlink" Target="..\01_DOCUMENT_SETS\ST-072-STD-22\01_Technical_File.docx" TargetMode="External"/><Relationship Id="rId199" Type="http://schemas.openxmlformats.org/officeDocument/2006/relationships/hyperlink" Target="..\01_DOCUMENT_SETS\ST-024-EUR-02\04_Shipment_Statement.docx" TargetMode="External"/><Relationship Id="rId2087" Type="http://schemas.openxmlformats.org/officeDocument/2006/relationships/hyperlink" Target="..\01_DOCUMENT_SETS\ST-088-STD-07\04_Shipment_Statement.docx" TargetMode="External"/><Relationship Id="rId2294" Type="http://schemas.openxmlformats.org/officeDocument/2006/relationships/hyperlink" Target="..\01_DOCUMENT_SETS\ST-120-STD-03\03_Label.pdf" TargetMode="External"/><Relationship Id="rId266" Type="http://schemas.openxmlformats.org/officeDocument/2006/relationships/hyperlink" Target="..\01_DOCUMENT_SETS\ST-028-STD-01\01_Technical_File.pdf" TargetMode="External"/><Relationship Id="rId473" Type="http://schemas.openxmlformats.org/officeDocument/2006/relationships/hyperlink" Target="..\01_DOCUMENT_SETS\ST-036-STD-04\01_Technical_File.docx" TargetMode="External"/><Relationship Id="rId680" Type="http://schemas.openxmlformats.org/officeDocument/2006/relationships/hyperlink" Target="..\01_DOCUMENT_SETS\ST-045-STD-04\04_Shipment_Statement.pdf" TargetMode="External"/><Relationship Id="rId2154" Type="http://schemas.openxmlformats.org/officeDocument/2006/relationships/hyperlink" Target="..\01_DOCUMENT_SETS\ST-096-EUR-06\01_Technical_File.pdf" TargetMode="External"/><Relationship Id="rId126" Type="http://schemas.openxmlformats.org/officeDocument/2006/relationships/hyperlink" Target="..\01_DOCUMENT_SETS\ST-021-STD-01\03_Label.pdf" TargetMode="External"/><Relationship Id="rId333" Type="http://schemas.openxmlformats.org/officeDocument/2006/relationships/hyperlink" Target="..\01_DOCUMENT_SETS\ST-030-STD-08\03_Label.docx" TargetMode="External"/><Relationship Id="rId540" Type="http://schemas.openxmlformats.org/officeDocument/2006/relationships/hyperlink" Target="..\01_DOCUMENT_SETS\ST-042-EUR-02\02_EU_DoC.pdf" TargetMode="External"/><Relationship Id="rId778" Type="http://schemas.openxmlformats.org/officeDocument/2006/relationships/hyperlink" Target="..\01_DOCUMENT_SETS\ST-048-EUR-03\01_Technical_File.pdf" TargetMode="External"/><Relationship Id="rId985" Type="http://schemas.openxmlformats.org/officeDocument/2006/relationships/hyperlink" Target="..\01_DOCUMENT_SETS\ST-051-STD-04\01_Technical_File.docx" TargetMode="External"/><Relationship Id="rId1170" Type="http://schemas.openxmlformats.org/officeDocument/2006/relationships/hyperlink" Target="..\01_DOCUMENT_SETS\ST-056-EUR-03\01_Technical_File.pdf" TargetMode="External"/><Relationship Id="rId2014" Type="http://schemas.openxmlformats.org/officeDocument/2006/relationships/hyperlink" Target="..\01_DOCUMENT_SETS\ST-087-STD-05\03_Label.pdf" TargetMode="External"/><Relationship Id="rId2221" Type="http://schemas.openxmlformats.org/officeDocument/2006/relationships/hyperlink" Target="..\01_DOCUMENT_SETS\ST-096-STD-04\03_Label.docx" TargetMode="External"/><Relationship Id="rId638" Type="http://schemas.openxmlformats.org/officeDocument/2006/relationships/hyperlink" Target="..\01_DOCUMENT_SETS\ST-044-STD-01\03_Label.pdf" TargetMode="External"/><Relationship Id="rId845" Type="http://schemas.openxmlformats.org/officeDocument/2006/relationships/hyperlink" Target="..\01_DOCUMENT_SETS\ST-048-EUR-11\03_Label.docx" TargetMode="External"/><Relationship Id="rId1030" Type="http://schemas.openxmlformats.org/officeDocument/2006/relationships/hyperlink" Target="..\01_DOCUMENT_SETS\ST-051-STD-09\03_Label.pdf" TargetMode="External"/><Relationship Id="rId1268" Type="http://schemas.openxmlformats.org/officeDocument/2006/relationships/hyperlink" Target="..\01_DOCUMENT_SETS\ST-057-STD-04\02_EU_DoC.pdf" TargetMode="External"/><Relationship Id="rId1475" Type="http://schemas.openxmlformats.org/officeDocument/2006/relationships/hyperlink" Target="..\01_DOCUMENT_SETS\ST-063-STD-16\02_EU_DoC.docx" TargetMode="External"/><Relationship Id="rId1682" Type="http://schemas.openxmlformats.org/officeDocument/2006/relationships/hyperlink" Target="..\01_DOCUMENT_SETS\ST-072-STD-04\01_Technical_File.pdf" TargetMode="External"/><Relationship Id="rId400" Type="http://schemas.openxmlformats.org/officeDocument/2006/relationships/hyperlink" Target="..\01_DOCUMENT_SETS\ST-036-EUR-01\04_Shipment_Statement.pdf" TargetMode="External"/><Relationship Id="rId705" Type="http://schemas.openxmlformats.org/officeDocument/2006/relationships/hyperlink" Target="..\01_DOCUMENT_SETS\ST-045-STD-08\01_Technical_File.docx" TargetMode="External"/><Relationship Id="rId1128" Type="http://schemas.openxmlformats.org/officeDocument/2006/relationships/hyperlink" Target="..\01_DOCUMENT_SETS\ST-054-STD-09\04_Shipment_Statement.pdf" TargetMode="External"/><Relationship Id="rId1335" Type="http://schemas.openxmlformats.org/officeDocument/2006/relationships/hyperlink" Target="..\01_DOCUMENT_SETS\ST-060-STD-05\04_Shipment_Statement.docx" TargetMode="External"/><Relationship Id="rId1542" Type="http://schemas.openxmlformats.org/officeDocument/2006/relationships/hyperlink" Target="..\01_DOCUMENT_SETS\ST-068-EUR-04\03_Label.pdf" TargetMode="External"/><Relationship Id="rId1987" Type="http://schemas.openxmlformats.org/officeDocument/2006/relationships/hyperlink" Target="..\01_DOCUMENT_SETS\ST-087-STD-02\02_EU_DoC.docx" TargetMode="External"/><Relationship Id="rId912" Type="http://schemas.openxmlformats.org/officeDocument/2006/relationships/hyperlink" Target="..\01_DOCUMENT_SETS\ST-048-STD-07\04_Shipment_Statement.pdf" TargetMode="External"/><Relationship Id="rId1847" Type="http://schemas.openxmlformats.org/officeDocument/2006/relationships/hyperlink" Target="..\01_DOCUMENT_SETS\ST-072-STD-24\04_Shipment_Statement.docx" TargetMode="External"/><Relationship Id="rId41" Type="http://schemas.openxmlformats.org/officeDocument/2006/relationships/hyperlink" Target="..\01_DOCUMENT_SETS\ST-018-EUR-03\01_Technical_File.docx" TargetMode="External"/><Relationship Id="rId1402" Type="http://schemas.openxmlformats.org/officeDocument/2006/relationships/hyperlink" Target="..\01_DOCUMENT_SETS\ST-063-STD-07\01_Technical_File.pdf" TargetMode="External"/><Relationship Id="rId1707" Type="http://schemas.openxmlformats.org/officeDocument/2006/relationships/hyperlink" Target="..\01_DOCUMENT_SETS\ST-072-STD-07\02_EU_DoC.docx" TargetMode="External"/><Relationship Id="rId190" Type="http://schemas.openxmlformats.org/officeDocument/2006/relationships/hyperlink" Target="..\01_DOCUMENT_SETS\ST-024-EUR-01\03_Label.pdf" TargetMode="External"/><Relationship Id="rId288" Type="http://schemas.openxmlformats.org/officeDocument/2006/relationships/hyperlink" Target="..\01_DOCUMENT_SETS\ST-030-STD-02\04_Shipment_Statement.pdf" TargetMode="External"/><Relationship Id="rId1914" Type="http://schemas.openxmlformats.org/officeDocument/2006/relationships/hyperlink" Target="..\01_DOCUMENT_SETS\ST-076-STD-01\01_Technical_File.pdf" TargetMode="External"/><Relationship Id="rId495" Type="http://schemas.openxmlformats.org/officeDocument/2006/relationships/hyperlink" Target="..\01_DOCUMENT_SETS\ST-036-STD-06\04_Shipment_Statement.docx" TargetMode="External"/><Relationship Id="rId2176" Type="http://schemas.openxmlformats.org/officeDocument/2006/relationships/hyperlink" Target="..\01_DOCUMENT_SETS\ST-096-EUR-08\04_Shipment_Statement.pdf" TargetMode="External"/><Relationship Id="rId148" Type="http://schemas.openxmlformats.org/officeDocument/2006/relationships/hyperlink" Target="..\01_DOCUMENT_SETS\ST-021-STD-04\02_EU_DoC.pdf" TargetMode="External"/><Relationship Id="rId355" Type="http://schemas.openxmlformats.org/officeDocument/2006/relationships/hyperlink" Target="..\01_DOCUMENT_SETS\ST-030-STD-11\02_EU_DoC.docx" TargetMode="External"/><Relationship Id="rId562" Type="http://schemas.openxmlformats.org/officeDocument/2006/relationships/hyperlink" Target="..\01_DOCUMENT_SETS\ST-042-STD-01\01_Technical_File.pdf" TargetMode="External"/><Relationship Id="rId1192" Type="http://schemas.openxmlformats.org/officeDocument/2006/relationships/hyperlink" Target="..\01_DOCUMENT_SETS\ST-056-STD-01\04_Shipment_Statement.pdf" TargetMode="External"/><Relationship Id="rId2036" Type="http://schemas.openxmlformats.org/officeDocument/2006/relationships/hyperlink" Target="..\01_DOCUMENT_SETS\ST-088-STD-01\02_EU_DoC.pdf" TargetMode="External"/><Relationship Id="rId2243" Type="http://schemas.openxmlformats.org/officeDocument/2006/relationships/hyperlink" Target="..\01_DOCUMENT_SETS\ST-096-STD-07\02_EU_DoC.docx" TargetMode="External"/><Relationship Id="rId215" Type="http://schemas.openxmlformats.org/officeDocument/2006/relationships/hyperlink" Target="..\01_DOCUMENT_SETS\ST-024-EUR-04\04_Shipment_Statement.docx" TargetMode="External"/><Relationship Id="rId422" Type="http://schemas.openxmlformats.org/officeDocument/2006/relationships/hyperlink" Target="..\01_DOCUMENT_SETS\ST-036-EUR-04\03_Label.pdf" TargetMode="External"/><Relationship Id="rId867" Type="http://schemas.openxmlformats.org/officeDocument/2006/relationships/hyperlink" Target="..\01_DOCUMENT_SETS\ST-048-STD-02\02_EU_DoC.docx" TargetMode="External"/><Relationship Id="rId1052" Type="http://schemas.openxmlformats.org/officeDocument/2006/relationships/hyperlink" Target="..\01_DOCUMENT_SETS\ST-054-EUR-01\02_EU_DoC.pdf" TargetMode="External"/><Relationship Id="rId1497" Type="http://schemas.openxmlformats.org/officeDocument/2006/relationships/hyperlink" Target="..\01_DOCUMENT_SETS\ST-066-STD-02\01_Technical_File.docx" TargetMode="External"/><Relationship Id="rId2103" Type="http://schemas.openxmlformats.org/officeDocument/2006/relationships/hyperlink" Target="..\01_DOCUMENT_SETS\ST-090-STD-01\04_Shipment_Statement.docx" TargetMode="External"/><Relationship Id="rId727" Type="http://schemas.openxmlformats.org/officeDocument/2006/relationships/hyperlink" Target="..\01_DOCUMENT_SETS\ST-045-STD-10\04_Shipment_Statement.docx" TargetMode="External"/><Relationship Id="rId934" Type="http://schemas.openxmlformats.org/officeDocument/2006/relationships/hyperlink" Target="..\01_DOCUMENT_SETS\ST-051-EUR-01\03_Label.pdf" TargetMode="External"/><Relationship Id="rId1357" Type="http://schemas.openxmlformats.org/officeDocument/2006/relationships/hyperlink" Target="..\01_DOCUMENT_SETS\ST-063-STD-01\03_Label.docx" TargetMode="External"/><Relationship Id="rId1564" Type="http://schemas.openxmlformats.org/officeDocument/2006/relationships/hyperlink" Target="..\01_DOCUMENT_SETS\ST-068-STD-03\02_EU_DoC.pdf" TargetMode="External"/><Relationship Id="rId1771" Type="http://schemas.openxmlformats.org/officeDocument/2006/relationships/hyperlink" Target="..\01_DOCUMENT_SETS\ST-072-STD-15\02_EU_DoC.docx" TargetMode="External"/><Relationship Id="rId63" Type="http://schemas.openxmlformats.org/officeDocument/2006/relationships/hyperlink" Target="..\01_DOCUMENT_SETS\ST-018-EUR-05\04_Shipment_Statement.docx" TargetMode="External"/><Relationship Id="rId1217" Type="http://schemas.openxmlformats.org/officeDocument/2006/relationships/hyperlink" Target="..\01_DOCUMENT_SETS\ST-057-EUR-03\01_Technical_File.docx" TargetMode="External"/><Relationship Id="rId1424" Type="http://schemas.openxmlformats.org/officeDocument/2006/relationships/hyperlink" Target="..\01_DOCUMENT_SETS\ST-063-STD-09\04_Shipment_Statement.pdf" TargetMode="External"/><Relationship Id="rId1631" Type="http://schemas.openxmlformats.org/officeDocument/2006/relationships/hyperlink" Target="..\01_DOCUMENT_SETS\ST-072-EUR-03\04_Shipment_Statement.docx" TargetMode="External"/><Relationship Id="rId1869" Type="http://schemas.openxmlformats.org/officeDocument/2006/relationships/hyperlink" Target="..\01_DOCUMENT_SETS\ST-072-STD-27\03_Label.docx" TargetMode="External"/><Relationship Id="rId1729" Type="http://schemas.openxmlformats.org/officeDocument/2006/relationships/hyperlink" Target="..\01_DOCUMENT_SETS\ST-072-STD-10\01_Technical_File.docx" TargetMode="External"/><Relationship Id="rId1936" Type="http://schemas.openxmlformats.org/officeDocument/2006/relationships/hyperlink" Target="..\01_DOCUMENT_SETS\ST-076-STD-03\04_Shipment_Statement.pdf" TargetMode="External"/><Relationship Id="rId2198" Type="http://schemas.openxmlformats.org/officeDocument/2006/relationships/hyperlink" Target="..\01_DOCUMENT_SETS\ST-096-STD-01\03_Label.pdf" TargetMode="External"/><Relationship Id="rId377" Type="http://schemas.openxmlformats.org/officeDocument/2006/relationships/hyperlink" Target="..\01_DOCUMENT_SETS\ST-034-STD-01\01_Technical_File.docx" TargetMode="External"/><Relationship Id="rId584" Type="http://schemas.openxmlformats.org/officeDocument/2006/relationships/hyperlink" Target="..\01_DOCUMENT_SETS\ST-042-STD-03\04_Shipment_Statement.pdf" TargetMode="External"/><Relationship Id="rId2058" Type="http://schemas.openxmlformats.org/officeDocument/2006/relationships/hyperlink" Target="..\01_DOCUMENT_SETS\ST-088-STD-04\01_Technical_File.pdf" TargetMode="External"/><Relationship Id="rId2265" Type="http://schemas.openxmlformats.org/officeDocument/2006/relationships/hyperlink" Target="..\01_DOCUMENT_SETS\ST-105-STD-02\01_Technical_File.docx" TargetMode="External"/><Relationship Id="rId5" Type="http://schemas.openxmlformats.org/officeDocument/2006/relationships/hyperlink" Target="..\01_DOCUMENT_SETS\ST-012-EUR-01\03_Label.docx" TargetMode="External"/><Relationship Id="rId237" Type="http://schemas.openxmlformats.org/officeDocument/2006/relationships/hyperlink" Target="..\01_DOCUMENT_SETS\ST-024-STD-03\03_Label.docx" TargetMode="External"/><Relationship Id="rId791" Type="http://schemas.openxmlformats.org/officeDocument/2006/relationships/hyperlink" Target="..\01_DOCUMENT_SETS\ST-048-EUR-04\04_Shipment_Statement.docx" TargetMode="External"/><Relationship Id="rId889" Type="http://schemas.openxmlformats.org/officeDocument/2006/relationships/hyperlink" Target="..\01_DOCUMENT_SETS\ST-048-STD-05\01_Technical_File.docx" TargetMode="External"/><Relationship Id="rId1074" Type="http://schemas.openxmlformats.org/officeDocument/2006/relationships/hyperlink" Target="..\01_DOCUMENT_SETS\ST-054-STD-03\01_Technical_File.pdf" TargetMode="External"/><Relationship Id="rId444" Type="http://schemas.openxmlformats.org/officeDocument/2006/relationships/hyperlink" Target="..\01_DOCUMENT_SETS\ST-036-EUR-07\02_EU_DoC.pdf" TargetMode="External"/><Relationship Id="rId651" Type="http://schemas.openxmlformats.org/officeDocument/2006/relationships/hyperlink" Target="..\01_DOCUMENT_SETS\ST-045-STD-01\02_EU_DoC.docx" TargetMode="External"/><Relationship Id="rId749" Type="http://schemas.openxmlformats.org/officeDocument/2006/relationships/hyperlink" Target="..\01_DOCUMENT_SETS\ST-045-STD-13\03_Label.docx" TargetMode="External"/><Relationship Id="rId1281" Type="http://schemas.openxmlformats.org/officeDocument/2006/relationships/hyperlink" Target="..\01_DOCUMENT_SETS\ST-060-EUR-01\01_Technical_File.docx" TargetMode="External"/><Relationship Id="rId1379" Type="http://schemas.openxmlformats.org/officeDocument/2006/relationships/hyperlink" Target="..\01_DOCUMENT_SETS\ST-063-STD-04\02_EU_DoC.docx" TargetMode="External"/><Relationship Id="rId1586" Type="http://schemas.openxmlformats.org/officeDocument/2006/relationships/hyperlink" Target="..\01_DOCUMENT_SETS\ST-068-STD-06\01_Technical_File.pdf" TargetMode="External"/><Relationship Id="rId2125" Type="http://schemas.openxmlformats.org/officeDocument/2006/relationships/hyperlink" Target="..\01_DOCUMENT_SETS\ST-096-EUR-02\03_Label.docx" TargetMode="External"/><Relationship Id="rId304" Type="http://schemas.openxmlformats.org/officeDocument/2006/relationships/hyperlink" Target="..\01_DOCUMENT_SETS\ST-030-STD-04\04_Shipment_Statement.pdf" TargetMode="External"/><Relationship Id="rId511" Type="http://schemas.openxmlformats.org/officeDocument/2006/relationships/hyperlink" Target="..\01_DOCUMENT_SETS\ST-036-STD-08\04_Shipment_Statement.docx" TargetMode="External"/><Relationship Id="rId609" Type="http://schemas.openxmlformats.org/officeDocument/2006/relationships/hyperlink" Target="..\01_DOCUMENT_SETS\ST-042-STD-07\01_Technical_File.docx" TargetMode="External"/><Relationship Id="rId956" Type="http://schemas.openxmlformats.org/officeDocument/2006/relationships/hyperlink" Target="..\01_DOCUMENT_SETS\ST-051-EUR-04\02_EU_DoC.pdf" TargetMode="External"/><Relationship Id="rId1141" Type="http://schemas.openxmlformats.org/officeDocument/2006/relationships/hyperlink" Target="..\01_DOCUMENT_SETS\ST-054-STD-11\03_Label.docx" TargetMode="External"/><Relationship Id="rId1239" Type="http://schemas.openxmlformats.org/officeDocument/2006/relationships/hyperlink" Target="..\01_DOCUMENT_SETS\ST-057-EUR-05\04_Shipment_Statement.docx" TargetMode="External"/><Relationship Id="rId1793" Type="http://schemas.openxmlformats.org/officeDocument/2006/relationships/hyperlink" Target="..\01_DOCUMENT_SETS\ST-072-STD-18\01_Technical_File.docx" TargetMode="External"/><Relationship Id="rId85" Type="http://schemas.openxmlformats.org/officeDocument/2006/relationships/hyperlink" Target="..\01_DOCUMENT_SETS\ST-021-EUR-01\03_Label.docx" TargetMode="External"/><Relationship Id="rId816" Type="http://schemas.openxmlformats.org/officeDocument/2006/relationships/hyperlink" Target="..\01_DOCUMENT_SETS\ST-048-EUR-07\04_Shipment_Statement.pdf" TargetMode="External"/><Relationship Id="rId1001" Type="http://schemas.openxmlformats.org/officeDocument/2006/relationships/hyperlink" Target="..\01_DOCUMENT_SETS\ST-051-STD-06\01_Technical_File.docx" TargetMode="External"/><Relationship Id="rId1446" Type="http://schemas.openxmlformats.org/officeDocument/2006/relationships/hyperlink" Target="..\01_DOCUMENT_SETS\ST-063-STD-12\03_Label.pdf" TargetMode="External"/><Relationship Id="rId1653" Type="http://schemas.openxmlformats.org/officeDocument/2006/relationships/hyperlink" Target="..\01_DOCUMENT_SETS\ST-072-EUR-06\03_Label.docx" TargetMode="External"/><Relationship Id="rId1860" Type="http://schemas.openxmlformats.org/officeDocument/2006/relationships/hyperlink" Target="..\01_DOCUMENT_SETS\ST-072-STD-26\02_EU_DoC.pdf" TargetMode="External"/><Relationship Id="rId1306" Type="http://schemas.openxmlformats.org/officeDocument/2006/relationships/hyperlink" Target="..\01_DOCUMENT_SETS\ST-060-STD-02\01_Technical_File.pdf" TargetMode="External"/><Relationship Id="rId1513" Type="http://schemas.openxmlformats.org/officeDocument/2006/relationships/hyperlink" Target="..\01_DOCUMENT_SETS\ST-068-EUR-01\01_Technical_File.docx" TargetMode="External"/><Relationship Id="rId1720" Type="http://schemas.openxmlformats.org/officeDocument/2006/relationships/hyperlink" Target="..\01_DOCUMENT_SETS\ST-072-STD-08\04_Shipment_Statement.pdf" TargetMode="External"/><Relationship Id="rId1958" Type="http://schemas.openxmlformats.org/officeDocument/2006/relationships/hyperlink" Target="..\01_DOCUMENT_SETS\ST-081-EUR-01\03_Label.pdf" TargetMode="External"/><Relationship Id="rId12" Type="http://schemas.openxmlformats.org/officeDocument/2006/relationships/hyperlink" Target="..\01_DOCUMENT_SETS\ST-012-EUR-02\02_EU_DoC.pdf" TargetMode="External"/><Relationship Id="rId1818" Type="http://schemas.openxmlformats.org/officeDocument/2006/relationships/hyperlink" Target="..\01_DOCUMENT_SETS\ST-072-STD-21\01_Technical_File.pdf" TargetMode="External"/><Relationship Id="rId161" Type="http://schemas.openxmlformats.org/officeDocument/2006/relationships/hyperlink" Target="..\01_DOCUMENT_SETS\ST-021-STD-06\01_Technical_File.docx" TargetMode="External"/><Relationship Id="rId399" Type="http://schemas.openxmlformats.org/officeDocument/2006/relationships/hyperlink" Target="..\01_DOCUMENT_SETS\ST-036-EUR-01\04_Shipment_Statement.docx" TargetMode="External"/><Relationship Id="rId2287" Type="http://schemas.openxmlformats.org/officeDocument/2006/relationships/hyperlink" Target="..\01_DOCUMENT_SETS\ST-120-STD-02\04_Shipment_Statement.docx" TargetMode="External"/><Relationship Id="rId259" Type="http://schemas.openxmlformats.org/officeDocument/2006/relationships/hyperlink" Target="..\01_DOCUMENT_SETS\ST-027-STD90-02\02_EU_DoC.docx" TargetMode="External"/><Relationship Id="rId466" Type="http://schemas.openxmlformats.org/officeDocument/2006/relationships/hyperlink" Target="..\01_DOCUMENT_SETS\ST-036-STD-03\01_Technical_File.pdf" TargetMode="External"/><Relationship Id="rId673" Type="http://schemas.openxmlformats.org/officeDocument/2006/relationships/hyperlink" Target="..\01_DOCUMENT_SETS\ST-045-STD-04\01_Technical_File.docx" TargetMode="External"/><Relationship Id="rId880" Type="http://schemas.openxmlformats.org/officeDocument/2006/relationships/hyperlink" Target="..\01_DOCUMENT_SETS\ST-048-STD-03\04_Shipment_Statement.pdf" TargetMode="External"/><Relationship Id="rId1096" Type="http://schemas.openxmlformats.org/officeDocument/2006/relationships/hyperlink" Target="..\01_DOCUMENT_SETS\ST-054-STD-05\04_Shipment_Statement.pdf" TargetMode="External"/><Relationship Id="rId2147" Type="http://schemas.openxmlformats.org/officeDocument/2006/relationships/hyperlink" Target="..\01_DOCUMENT_SETS\ST-096-EUR-05\02_EU_DoC.docx" TargetMode="External"/><Relationship Id="rId119" Type="http://schemas.openxmlformats.org/officeDocument/2006/relationships/hyperlink" Target="..\01_DOCUMENT_SETS\ST-021-EUR-05\04_Shipment_Statement.docx" TargetMode="External"/><Relationship Id="rId326" Type="http://schemas.openxmlformats.org/officeDocument/2006/relationships/hyperlink" Target="..\01_DOCUMENT_SETS\ST-030-STD-07\03_Label.pdf" TargetMode="External"/><Relationship Id="rId533" Type="http://schemas.openxmlformats.org/officeDocument/2006/relationships/hyperlink" Target="..\01_DOCUMENT_SETS\ST-042-EUR-01\03_Label.docx" TargetMode="External"/><Relationship Id="rId978" Type="http://schemas.openxmlformats.org/officeDocument/2006/relationships/hyperlink" Target="..\01_DOCUMENT_SETS\ST-051-STD-03\01_Technical_File.pdf" TargetMode="External"/><Relationship Id="rId1163" Type="http://schemas.openxmlformats.org/officeDocument/2006/relationships/hyperlink" Target="..\01_DOCUMENT_SETS\ST-056-EUR-02\02_EU_DoC.docx" TargetMode="External"/><Relationship Id="rId1370" Type="http://schemas.openxmlformats.org/officeDocument/2006/relationships/hyperlink" Target="..\01_DOCUMENT_SETS\ST-063-STD-03\01_Technical_File.pdf" TargetMode="External"/><Relationship Id="rId2007" Type="http://schemas.openxmlformats.org/officeDocument/2006/relationships/hyperlink" Target="..\01_DOCUMENT_SETS\ST-087-STD-04\04_Shipment_Statement.docx" TargetMode="External"/><Relationship Id="rId2214" Type="http://schemas.openxmlformats.org/officeDocument/2006/relationships/hyperlink" Target="..\01_DOCUMENT_SETS\ST-096-STD-03\03_Label.pdf" TargetMode="External"/><Relationship Id="rId740" Type="http://schemas.openxmlformats.org/officeDocument/2006/relationships/hyperlink" Target="..\01_DOCUMENT_SETS\ST-045-STD-12\02_EU_DoC.pdf" TargetMode="External"/><Relationship Id="rId838" Type="http://schemas.openxmlformats.org/officeDocument/2006/relationships/hyperlink" Target="..\01_DOCUMENT_SETS\ST-048-EUR-10\03_Label.pdf" TargetMode="External"/><Relationship Id="rId1023" Type="http://schemas.openxmlformats.org/officeDocument/2006/relationships/hyperlink" Target="..\01_DOCUMENT_SETS\ST-051-STD-08\04_Shipment_Statement.docx" TargetMode="External"/><Relationship Id="rId1468" Type="http://schemas.openxmlformats.org/officeDocument/2006/relationships/hyperlink" Target="..\01_DOCUMENT_SETS\ST-063-STD-15\02_EU_DoC.pdf" TargetMode="External"/><Relationship Id="rId1675" Type="http://schemas.openxmlformats.org/officeDocument/2006/relationships/hyperlink" Target="..\01_DOCUMENT_SETS\ST-072-STD-03\02_EU_DoC.docx" TargetMode="External"/><Relationship Id="rId1882" Type="http://schemas.openxmlformats.org/officeDocument/2006/relationships/hyperlink" Target="..\01_DOCUMENT_SETS\ST-076-EUR-01\01_Technical_File.pdf" TargetMode="External"/><Relationship Id="rId600" Type="http://schemas.openxmlformats.org/officeDocument/2006/relationships/hyperlink" Target="..\01_DOCUMENT_SETS\ST-042-STD-05\04_Shipment_Statement.pdf" TargetMode="External"/><Relationship Id="rId1230" Type="http://schemas.openxmlformats.org/officeDocument/2006/relationships/hyperlink" Target="..\01_DOCUMENT_SETS\ST-057-EUR-04\03_Label.pdf" TargetMode="External"/><Relationship Id="rId1328" Type="http://schemas.openxmlformats.org/officeDocument/2006/relationships/hyperlink" Target="..\01_DOCUMENT_SETS\ST-060-STD-04\04_Shipment_Statement.pdf" TargetMode="External"/><Relationship Id="rId1535" Type="http://schemas.openxmlformats.org/officeDocument/2006/relationships/hyperlink" Target="..\01_DOCUMENT_SETS\ST-068-EUR-03\04_Shipment_Statement.docx" TargetMode="External"/><Relationship Id="rId905" Type="http://schemas.openxmlformats.org/officeDocument/2006/relationships/hyperlink" Target="..\01_DOCUMENT_SETS\ST-048-STD-07\01_Technical_File.docx" TargetMode="External"/><Relationship Id="rId1742" Type="http://schemas.openxmlformats.org/officeDocument/2006/relationships/hyperlink" Target="..\01_DOCUMENT_SETS\ST-072-STD-11\03_Label.pdf" TargetMode="External"/><Relationship Id="rId34" Type="http://schemas.openxmlformats.org/officeDocument/2006/relationships/hyperlink" Target="..\01_DOCUMENT_SETS\ST-018-EUR-02\01_Technical_File.pdf" TargetMode="External"/><Relationship Id="rId1602" Type="http://schemas.openxmlformats.org/officeDocument/2006/relationships/hyperlink" Target="..\01_DOCUMENT_SETS\ST-068-STD-08\01_Technical_File.pdf" TargetMode="External"/><Relationship Id="rId183" Type="http://schemas.openxmlformats.org/officeDocument/2006/relationships/hyperlink" Target="..\01_DOCUMENT_SETS\ST-021-STD-08\04_Shipment_Statement.docx" TargetMode="External"/><Relationship Id="rId390" Type="http://schemas.openxmlformats.org/officeDocument/2006/relationships/hyperlink" Target="..\01_DOCUMENT_SETS\ST-034-STD-02\03_Label.pdf" TargetMode="External"/><Relationship Id="rId1907" Type="http://schemas.openxmlformats.org/officeDocument/2006/relationships/hyperlink" Target="..\01_DOCUMENT_SETS\ST-076-EUR-04\02_EU_DoC.docx" TargetMode="External"/><Relationship Id="rId2071" Type="http://schemas.openxmlformats.org/officeDocument/2006/relationships/hyperlink" Target="..\01_DOCUMENT_SETS\ST-088-STD-05\04_Shipment_Statement.docx" TargetMode="External"/><Relationship Id="rId250" Type="http://schemas.openxmlformats.org/officeDocument/2006/relationships/hyperlink" Target="..\01_DOCUMENT_SETS\ST-027-STD90-01\01_Technical_File.pdf" TargetMode="External"/><Relationship Id="rId488" Type="http://schemas.openxmlformats.org/officeDocument/2006/relationships/hyperlink" Target="..\01_DOCUMENT_SETS\ST-036-STD-05\04_Shipment_Statement.pdf" TargetMode="External"/><Relationship Id="rId695" Type="http://schemas.openxmlformats.org/officeDocument/2006/relationships/hyperlink" Target="..\01_DOCUMENT_SETS\ST-045-STD-06\04_Shipment_Statement.docx" TargetMode="External"/><Relationship Id="rId2169" Type="http://schemas.openxmlformats.org/officeDocument/2006/relationships/hyperlink" Target="..\01_DOCUMENT_SETS\ST-096-EUR-08\01_Technical_File.docx" TargetMode="External"/><Relationship Id="rId110" Type="http://schemas.openxmlformats.org/officeDocument/2006/relationships/hyperlink" Target="..\01_DOCUMENT_SETS\ST-021-EUR-04\03_Label.pdf" TargetMode="External"/><Relationship Id="rId348" Type="http://schemas.openxmlformats.org/officeDocument/2006/relationships/hyperlink" Target="..\01_DOCUMENT_SETS\ST-030-STD-10\02_EU_DoC.pdf" TargetMode="External"/><Relationship Id="rId555" Type="http://schemas.openxmlformats.org/officeDocument/2006/relationships/hyperlink" Target="..\01_DOCUMENT_SETS\ST-042-EUR-04\02_EU_DoC.docx" TargetMode="External"/><Relationship Id="rId762" Type="http://schemas.openxmlformats.org/officeDocument/2006/relationships/hyperlink" Target="..\01_DOCUMENT_SETS\ST-048-EUR-01\01_Technical_File.pdf" TargetMode="External"/><Relationship Id="rId1185" Type="http://schemas.openxmlformats.org/officeDocument/2006/relationships/hyperlink" Target="..\01_DOCUMENT_SETS\ST-056-STD-01\01_Technical_File.docx" TargetMode="External"/><Relationship Id="rId1392" Type="http://schemas.openxmlformats.org/officeDocument/2006/relationships/hyperlink" Target="..\01_DOCUMENT_SETS\ST-063-STD-05\04_Shipment_Statement.pdf" TargetMode="External"/><Relationship Id="rId2029" Type="http://schemas.openxmlformats.org/officeDocument/2006/relationships/hyperlink" Target="..\01_DOCUMENT_SETS\ST-087-STD-07\03_Label.docx" TargetMode="External"/><Relationship Id="rId2236" Type="http://schemas.openxmlformats.org/officeDocument/2006/relationships/hyperlink" Target="..\01_DOCUMENT_SETS\ST-096-STD-06\02_EU_DoC.pdf" TargetMode="External"/><Relationship Id="rId208" Type="http://schemas.openxmlformats.org/officeDocument/2006/relationships/hyperlink" Target="..\01_DOCUMENT_SETS\ST-024-EUR-03\04_Shipment_Statement.pdf" TargetMode="External"/><Relationship Id="rId415" Type="http://schemas.openxmlformats.org/officeDocument/2006/relationships/hyperlink" Target="..\01_DOCUMENT_SETS\ST-036-EUR-03\04_Shipment_Statement.docx" TargetMode="External"/><Relationship Id="rId622" Type="http://schemas.openxmlformats.org/officeDocument/2006/relationships/hyperlink" Target="..\01_DOCUMENT_SETS\ST-042-STD-08\03_Label.pdf" TargetMode="External"/><Relationship Id="rId1045" Type="http://schemas.openxmlformats.org/officeDocument/2006/relationships/hyperlink" Target="..\01_DOCUMENT_SETS\ST-051-STD-11\03_Label.docx" TargetMode="External"/><Relationship Id="rId1252" Type="http://schemas.openxmlformats.org/officeDocument/2006/relationships/hyperlink" Target="..\01_DOCUMENT_SETS\ST-057-STD-02\02_EU_DoC.pdf" TargetMode="External"/><Relationship Id="rId1697" Type="http://schemas.openxmlformats.org/officeDocument/2006/relationships/hyperlink" Target="..\01_DOCUMENT_SETS\ST-072-STD-06\01_Technical_File.docx" TargetMode="External"/><Relationship Id="rId927" Type="http://schemas.openxmlformats.org/officeDocument/2006/relationships/hyperlink" Target="..\01_DOCUMENT_SETS\ST-048-STD-09\04_Shipment_Statement.docx" TargetMode="External"/><Relationship Id="rId1112" Type="http://schemas.openxmlformats.org/officeDocument/2006/relationships/hyperlink" Target="..\01_DOCUMENT_SETS\ST-054-STD-07\04_Shipment_Statement.pdf" TargetMode="External"/><Relationship Id="rId1557" Type="http://schemas.openxmlformats.org/officeDocument/2006/relationships/hyperlink" Target="..\01_DOCUMENT_SETS\ST-068-STD-02\03_Label.docx" TargetMode="External"/><Relationship Id="rId1764" Type="http://schemas.openxmlformats.org/officeDocument/2006/relationships/hyperlink" Target="..\01_DOCUMENT_SETS\ST-072-STD-14\02_EU_DoC.pdf" TargetMode="External"/><Relationship Id="rId1971" Type="http://schemas.openxmlformats.org/officeDocument/2006/relationships/hyperlink" Target="..\01_DOCUMENT_SETS\ST-087-EUR-01\02_EU_DoC.docx" TargetMode="External"/><Relationship Id="rId56" Type="http://schemas.openxmlformats.org/officeDocument/2006/relationships/hyperlink" Target="..\01_DOCUMENT_SETS\ST-018-EUR-04\04_Shipment_Statement.pdf" TargetMode="External"/><Relationship Id="rId1417" Type="http://schemas.openxmlformats.org/officeDocument/2006/relationships/hyperlink" Target="..\01_DOCUMENT_SETS\ST-063-STD-09\01_Technical_File.docx" TargetMode="External"/><Relationship Id="rId1624" Type="http://schemas.openxmlformats.org/officeDocument/2006/relationships/hyperlink" Target="..\01_DOCUMENT_SETS\ST-072-EUR-02\04_Shipment_Statement.pdf" TargetMode="External"/><Relationship Id="rId1831" Type="http://schemas.openxmlformats.org/officeDocument/2006/relationships/hyperlink" Target="..\01_DOCUMENT_SETS\ST-072-STD-22\04_Shipment_Statement.docx" TargetMode="External"/><Relationship Id="rId1929" Type="http://schemas.openxmlformats.org/officeDocument/2006/relationships/hyperlink" Target="..\01_DOCUMENT_SETS\ST-076-STD-03\01_Technical_File.docx" TargetMode="External"/><Relationship Id="rId2093" Type="http://schemas.openxmlformats.org/officeDocument/2006/relationships/hyperlink" Target="..\01_DOCUMENT_SETS\ST-088-STD-08\03_Label.docx" TargetMode="External"/><Relationship Id="rId272" Type="http://schemas.openxmlformats.org/officeDocument/2006/relationships/hyperlink" Target="..\01_DOCUMENT_SETS\ST-028-STD-01\04_Shipment_Statement.pdf" TargetMode="External"/><Relationship Id="rId577" Type="http://schemas.openxmlformats.org/officeDocument/2006/relationships/hyperlink" Target="..\01_DOCUMENT_SETS\ST-042-STD-03\01_Technical_File.docx" TargetMode="External"/><Relationship Id="rId2160" Type="http://schemas.openxmlformats.org/officeDocument/2006/relationships/hyperlink" Target="..\01_DOCUMENT_SETS\ST-096-EUR-06\04_Shipment_Statement.pdf" TargetMode="External"/><Relationship Id="rId2258" Type="http://schemas.openxmlformats.org/officeDocument/2006/relationships/hyperlink" Target="..\01_DOCUMENT_SETS\ST-105-STD-01\01_Technical_File.pdf" TargetMode="External"/><Relationship Id="rId132" Type="http://schemas.openxmlformats.org/officeDocument/2006/relationships/hyperlink" Target="..\01_DOCUMENT_SETS\ST-021-STD-02\02_EU_DoC.pdf" TargetMode="External"/><Relationship Id="rId784" Type="http://schemas.openxmlformats.org/officeDocument/2006/relationships/hyperlink" Target="..\01_DOCUMENT_SETS\ST-048-EUR-03\04_Shipment_Statement.pdf" TargetMode="External"/><Relationship Id="rId991" Type="http://schemas.openxmlformats.org/officeDocument/2006/relationships/hyperlink" Target="..\01_DOCUMENT_SETS\ST-051-STD-04\04_Shipment_Statement.docx" TargetMode="External"/><Relationship Id="rId1067" Type="http://schemas.openxmlformats.org/officeDocument/2006/relationships/hyperlink" Target="..\01_DOCUMENT_SETS\ST-054-STD-02\02_EU_DoC.docx" TargetMode="External"/><Relationship Id="rId2020" Type="http://schemas.openxmlformats.org/officeDocument/2006/relationships/hyperlink" Target="..\01_DOCUMENT_SETS\ST-087-STD-06\02_EU_DoC.pdf" TargetMode="External"/><Relationship Id="rId437" Type="http://schemas.openxmlformats.org/officeDocument/2006/relationships/hyperlink" Target="..\01_DOCUMENT_SETS\ST-036-EUR-06\03_Label.docx" TargetMode="External"/><Relationship Id="rId644" Type="http://schemas.openxmlformats.org/officeDocument/2006/relationships/hyperlink" Target="..\01_DOCUMENT_SETS\ST-045-EUR-01\02_EU_DoC.pdf" TargetMode="External"/><Relationship Id="rId851" Type="http://schemas.openxmlformats.org/officeDocument/2006/relationships/hyperlink" Target="..\01_DOCUMENT_SETS\ST-048-EUR-12\02_EU_DoC.docx" TargetMode="External"/><Relationship Id="rId1274" Type="http://schemas.openxmlformats.org/officeDocument/2006/relationships/hyperlink" Target="..\01_DOCUMENT_SETS\ST-057-STD-05\01_Technical_File.pdf" TargetMode="External"/><Relationship Id="rId1481" Type="http://schemas.openxmlformats.org/officeDocument/2006/relationships/hyperlink" Target="..\01_DOCUMENT_SETS\ST-064-EUR-01\01_Technical_File.docx" TargetMode="External"/><Relationship Id="rId1579" Type="http://schemas.openxmlformats.org/officeDocument/2006/relationships/hyperlink" Target="..\01_DOCUMENT_SETS\ST-068-STD-05\02_EU_DoC.docx" TargetMode="External"/><Relationship Id="rId2118" Type="http://schemas.openxmlformats.org/officeDocument/2006/relationships/hyperlink" Target="..\01_DOCUMENT_SETS\ST-096-EUR-01\03_Label.pdf" TargetMode="External"/><Relationship Id="rId504" Type="http://schemas.openxmlformats.org/officeDocument/2006/relationships/hyperlink" Target="..\01_DOCUMENT_SETS\ST-036-STD-07\04_Shipment_Statement.pdf" TargetMode="External"/><Relationship Id="rId711" Type="http://schemas.openxmlformats.org/officeDocument/2006/relationships/hyperlink" Target="..\01_DOCUMENT_SETS\ST-045-STD-08\04_Shipment_Statement.docx" TargetMode="External"/><Relationship Id="rId949" Type="http://schemas.openxmlformats.org/officeDocument/2006/relationships/hyperlink" Target="..\01_DOCUMENT_SETS\ST-051-EUR-03\03_Label.docx" TargetMode="External"/><Relationship Id="rId1134" Type="http://schemas.openxmlformats.org/officeDocument/2006/relationships/hyperlink" Target="..\01_DOCUMENT_SETS\ST-054-STD-10\03_Label.pdf" TargetMode="External"/><Relationship Id="rId1341" Type="http://schemas.openxmlformats.org/officeDocument/2006/relationships/hyperlink" Target="..\01_DOCUMENT_SETS\ST-063-EUR-01\03_Label.docx" TargetMode="External"/><Relationship Id="rId1786" Type="http://schemas.openxmlformats.org/officeDocument/2006/relationships/hyperlink" Target="..\01_DOCUMENT_SETS\ST-072-STD-17\01_Technical_File.pdf" TargetMode="External"/><Relationship Id="rId1993" Type="http://schemas.openxmlformats.org/officeDocument/2006/relationships/hyperlink" Target="..\01_DOCUMENT_SETS\ST-087-STD-03\01_Technical_File.docx" TargetMode="External"/><Relationship Id="rId78" Type="http://schemas.openxmlformats.org/officeDocument/2006/relationships/hyperlink" Target="..\01_DOCUMENT_SETS\ST-018-STD-02\03_Label.pdf" TargetMode="External"/><Relationship Id="rId809" Type="http://schemas.openxmlformats.org/officeDocument/2006/relationships/hyperlink" Target="..\01_DOCUMENT_SETS\ST-048-EUR-07\01_Technical_File.docx" TargetMode="External"/><Relationship Id="rId1201" Type="http://schemas.openxmlformats.org/officeDocument/2006/relationships/hyperlink" Target="..\01_DOCUMENT_SETS\ST-057-EUR-01\01_Technical_File.docx" TargetMode="External"/><Relationship Id="rId1439" Type="http://schemas.openxmlformats.org/officeDocument/2006/relationships/hyperlink" Target="..\01_DOCUMENT_SETS\ST-063-STD-11\04_Shipment_Statement.docx" TargetMode="External"/><Relationship Id="rId1646" Type="http://schemas.openxmlformats.org/officeDocument/2006/relationships/hyperlink" Target="..\01_DOCUMENT_SETS\ST-072-EUR-05\03_Label.pdf" TargetMode="External"/><Relationship Id="rId1853" Type="http://schemas.openxmlformats.org/officeDocument/2006/relationships/hyperlink" Target="..\01_DOCUMENT_SETS\ST-072-STD-25\03_Label.docx" TargetMode="External"/><Relationship Id="rId1506" Type="http://schemas.openxmlformats.org/officeDocument/2006/relationships/hyperlink" Target="..\01_DOCUMENT_SETS\ST-066-STD-03\01_Technical_File.pdf" TargetMode="External"/><Relationship Id="rId1713" Type="http://schemas.openxmlformats.org/officeDocument/2006/relationships/hyperlink" Target="..\01_DOCUMENT_SETS\ST-072-STD-08\01_Technical_File.docx" TargetMode="External"/><Relationship Id="rId1920" Type="http://schemas.openxmlformats.org/officeDocument/2006/relationships/hyperlink" Target="..\01_DOCUMENT_SETS\ST-076-STD-01\04_Shipment_Statement.pdf" TargetMode="External"/><Relationship Id="rId294" Type="http://schemas.openxmlformats.org/officeDocument/2006/relationships/hyperlink" Target="..\01_DOCUMENT_SETS\ST-030-STD-03\03_Label.pdf" TargetMode="External"/><Relationship Id="rId2182" Type="http://schemas.openxmlformats.org/officeDocument/2006/relationships/hyperlink" Target="..\01_DOCUMENT_SETS\ST-096-EUR-09\03_Label.pdf" TargetMode="External"/><Relationship Id="rId154" Type="http://schemas.openxmlformats.org/officeDocument/2006/relationships/hyperlink" Target="..\01_DOCUMENT_SETS\ST-021-STD-05\01_Technical_File.pdf" TargetMode="External"/><Relationship Id="rId361" Type="http://schemas.openxmlformats.org/officeDocument/2006/relationships/hyperlink" Target="..\01_DOCUMENT_SETS\ST-030-STD-12\01_Technical_File.docx" TargetMode="External"/><Relationship Id="rId599" Type="http://schemas.openxmlformats.org/officeDocument/2006/relationships/hyperlink" Target="..\01_DOCUMENT_SETS\ST-042-STD-05\04_Shipment_Statement.docx" TargetMode="External"/><Relationship Id="rId2042" Type="http://schemas.openxmlformats.org/officeDocument/2006/relationships/hyperlink" Target="..\01_DOCUMENT_SETS\ST-088-STD-02\01_Technical_File.pdf" TargetMode="External"/><Relationship Id="rId459" Type="http://schemas.openxmlformats.org/officeDocument/2006/relationships/hyperlink" Target="..\01_DOCUMENT_SETS\ST-036-STD-02\02_EU_DoC.docx" TargetMode="External"/><Relationship Id="rId666" Type="http://schemas.openxmlformats.org/officeDocument/2006/relationships/hyperlink" Target="..\01_DOCUMENT_SETS\ST-045-STD-03\01_Technical_File.pdf" TargetMode="External"/><Relationship Id="rId873" Type="http://schemas.openxmlformats.org/officeDocument/2006/relationships/hyperlink" Target="..\01_DOCUMENT_SETS\ST-048-STD-03\01_Technical_File.docx" TargetMode="External"/><Relationship Id="rId1089" Type="http://schemas.openxmlformats.org/officeDocument/2006/relationships/hyperlink" Target="..\01_DOCUMENT_SETS\ST-054-STD-05\01_Technical_File.docx" TargetMode="External"/><Relationship Id="rId1296" Type="http://schemas.openxmlformats.org/officeDocument/2006/relationships/hyperlink" Target="..\01_DOCUMENT_SETS\ST-060-EUR-02\04_Shipment_Statement.pdf" TargetMode="External"/><Relationship Id="rId221" Type="http://schemas.openxmlformats.org/officeDocument/2006/relationships/hyperlink" Target="..\01_DOCUMENT_SETS\ST-024-STD-01\03_Label.docx" TargetMode="External"/><Relationship Id="rId319" Type="http://schemas.openxmlformats.org/officeDocument/2006/relationships/hyperlink" Target="..\01_DOCUMENT_SETS\ST-030-STD-06\04_Shipment_Statement.docx" TargetMode="External"/><Relationship Id="rId526" Type="http://schemas.openxmlformats.org/officeDocument/2006/relationships/hyperlink" Target="..\01_DOCUMENT_SETS\ST-036-STD-10\03_Label.pdf" TargetMode="External"/><Relationship Id="rId1156" Type="http://schemas.openxmlformats.org/officeDocument/2006/relationships/hyperlink" Target="..\01_DOCUMENT_SETS\ST-056-EUR-01\02_EU_DoC.pdf" TargetMode="External"/><Relationship Id="rId1363" Type="http://schemas.openxmlformats.org/officeDocument/2006/relationships/hyperlink" Target="..\01_DOCUMENT_SETS\ST-063-STD-02\02_EU_DoC.docx" TargetMode="External"/><Relationship Id="rId2207" Type="http://schemas.openxmlformats.org/officeDocument/2006/relationships/hyperlink" Target="..\01_DOCUMENT_SETS\ST-096-STD-02\04_Shipment_Statement.docx" TargetMode="External"/><Relationship Id="rId733" Type="http://schemas.openxmlformats.org/officeDocument/2006/relationships/hyperlink" Target="..\01_DOCUMENT_SETS\ST-045-STD-11\03_Label.docx" TargetMode="External"/><Relationship Id="rId940" Type="http://schemas.openxmlformats.org/officeDocument/2006/relationships/hyperlink" Target="..\01_DOCUMENT_SETS\ST-051-EUR-02\02_EU_DoC.pdf" TargetMode="External"/><Relationship Id="rId1016" Type="http://schemas.openxmlformats.org/officeDocument/2006/relationships/hyperlink" Target="..\01_DOCUMENT_SETS\ST-051-STD-07\04_Shipment_Statement.pdf" TargetMode="External"/><Relationship Id="rId1570" Type="http://schemas.openxmlformats.org/officeDocument/2006/relationships/hyperlink" Target="..\01_DOCUMENT_SETS\ST-068-STD-04\01_Technical_File.pdf" TargetMode="External"/><Relationship Id="rId1668" Type="http://schemas.openxmlformats.org/officeDocument/2006/relationships/hyperlink" Target="..\01_DOCUMENT_SETS\ST-072-STD-02\02_EU_DoC.pdf" TargetMode="External"/><Relationship Id="rId1875" Type="http://schemas.openxmlformats.org/officeDocument/2006/relationships/hyperlink" Target="..\01_DOCUMENT_SETS\ST-072-STD-28\02_EU_DoC.docx" TargetMode="External"/><Relationship Id="rId800" Type="http://schemas.openxmlformats.org/officeDocument/2006/relationships/hyperlink" Target="..\01_DOCUMENT_SETS\ST-048-EUR-05\04_Shipment_Statement.pdf" TargetMode="External"/><Relationship Id="rId1223" Type="http://schemas.openxmlformats.org/officeDocument/2006/relationships/hyperlink" Target="..\01_DOCUMENT_SETS\ST-057-EUR-03\04_Shipment_Statement.docx" TargetMode="External"/><Relationship Id="rId1430" Type="http://schemas.openxmlformats.org/officeDocument/2006/relationships/hyperlink" Target="..\01_DOCUMENT_SETS\ST-063-STD-10\03_Label.pdf" TargetMode="External"/><Relationship Id="rId1528" Type="http://schemas.openxmlformats.org/officeDocument/2006/relationships/hyperlink" Target="..\01_DOCUMENT_SETS\ST-068-EUR-02\04_Shipment_Statement.pdf" TargetMode="External"/><Relationship Id="rId1735" Type="http://schemas.openxmlformats.org/officeDocument/2006/relationships/hyperlink" Target="..\01_DOCUMENT_SETS\ST-072-STD-10\04_Shipment_Statement.docx" TargetMode="External"/><Relationship Id="rId1942" Type="http://schemas.openxmlformats.org/officeDocument/2006/relationships/hyperlink" Target="..\01_DOCUMENT_SETS\ST-076-STD-04\03_Label.pdf" TargetMode="External"/><Relationship Id="rId27" Type="http://schemas.openxmlformats.org/officeDocument/2006/relationships/hyperlink" Target="..\01_DOCUMENT_SETS\ST-018-EUR-01\02_EU_DoC.docx" TargetMode="External"/><Relationship Id="rId1802" Type="http://schemas.openxmlformats.org/officeDocument/2006/relationships/hyperlink" Target="..\01_DOCUMENT_SETS\ST-072-STD-19\01_Technical_File.pdf" TargetMode="External"/><Relationship Id="rId176" Type="http://schemas.openxmlformats.org/officeDocument/2006/relationships/hyperlink" Target="..\01_DOCUMENT_SETS\ST-021-STD-07\04_Shipment_Statement.pdf" TargetMode="External"/><Relationship Id="rId383" Type="http://schemas.openxmlformats.org/officeDocument/2006/relationships/hyperlink" Target="..\01_DOCUMENT_SETS\ST-034-STD-01\04_Shipment_Statement.docx" TargetMode="External"/><Relationship Id="rId590" Type="http://schemas.openxmlformats.org/officeDocument/2006/relationships/hyperlink" Target="..\01_DOCUMENT_SETS\ST-042-STD-04\03_Label.pdf" TargetMode="External"/><Relationship Id="rId2064" Type="http://schemas.openxmlformats.org/officeDocument/2006/relationships/hyperlink" Target="..\01_DOCUMENT_SETS\ST-088-STD-04\04_Shipment_Statement.pdf" TargetMode="External"/><Relationship Id="rId2271" Type="http://schemas.openxmlformats.org/officeDocument/2006/relationships/hyperlink" Target="..\01_DOCUMENT_SETS\ST-105-STD-02\04_Shipment_Statement.docx" TargetMode="External"/><Relationship Id="rId243" Type="http://schemas.openxmlformats.org/officeDocument/2006/relationships/hyperlink" Target="..\01_DOCUMENT_SETS\ST-024-STD-04\02_EU_DoC.docx" TargetMode="External"/><Relationship Id="rId450" Type="http://schemas.openxmlformats.org/officeDocument/2006/relationships/hyperlink" Target="..\01_DOCUMENT_SETS\ST-036-STD-01\01_Technical_File.pdf" TargetMode="External"/><Relationship Id="rId688" Type="http://schemas.openxmlformats.org/officeDocument/2006/relationships/hyperlink" Target="..\01_DOCUMENT_SETS\ST-045-STD-05\04_Shipment_Statement.pdf" TargetMode="External"/><Relationship Id="rId895" Type="http://schemas.openxmlformats.org/officeDocument/2006/relationships/hyperlink" Target="..\01_DOCUMENT_SETS\ST-048-STD-05\04_Shipment_Statement.docx" TargetMode="External"/><Relationship Id="rId1080" Type="http://schemas.openxmlformats.org/officeDocument/2006/relationships/hyperlink" Target="..\01_DOCUMENT_SETS\ST-054-STD-03\04_Shipment_Statement.pdf" TargetMode="External"/><Relationship Id="rId2131" Type="http://schemas.openxmlformats.org/officeDocument/2006/relationships/hyperlink" Target="..\01_DOCUMENT_SETS\ST-096-EUR-03\02_EU_DoC.docx" TargetMode="External"/><Relationship Id="rId103" Type="http://schemas.openxmlformats.org/officeDocument/2006/relationships/hyperlink" Target="..\01_DOCUMENT_SETS\ST-021-EUR-03\04_Shipment_Statement.docx" TargetMode="External"/><Relationship Id="rId310" Type="http://schemas.openxmlformats.org/officeDocument/2006/relationships/hyperlink" Target="..\01_DOCUMENT_SETS\ST-030-STD-05\03_Label.pdf" TargetMode="External"/><Relationship Id="rId548" Type="http://schemas.openxmlformats.org/officeDocument/2006/relationships/hyperlink" Target="..\01_DOCUMENT_SETS\ST-042-EUR-03\02_EU_DoC.pdf" TargetMode="External"/><Relationship Id="rId755" Type="http://schemas.openxmlformats.org/officeDocument/2006/relationships/hyperlink" Target="..\01_DOCUMENT_SETS\ST-045-STD-14\02_EU_DoC.docx" TargetMode="External"/><Relationship Id="rId962" Type="http://schemas.openxmlformats.org/officeDocument/2006/relationships/hyperlink" Target="..\01_DOCUMENT_SETS\ST-051-STD-01\01_Technical_File.pdf" TargetMode="External"/><Relationship Id="rId1178" Type="http://schemas.openxmlformats.org/officeDocument/2006/relationships/hyperlink" Target="..\01_DOCUMENT_SETS\ST-056-EUR-04\01_Technical_File.pdf" TargetMode="External"/><Relationship Id="rId1385" Type="http://schemas.openxmlformats.org/officeDocument/2006/relationships/hyperlink" Target="..\01_DOCUMENT_SETS\ST-063-STD-05\01_Technical_File.docx" TargetMode="External"/><Relationship Id="rId1592" Type="http://schemas.openxmlformats.org/officeDocument/2006/relationships/hyperlink" Target="..\01_DOCUMENT_SETS\ST-068-STD-06\04_Shipment_Statement.pdf" TargetMode="External"/><Relationship Id="rId2229" Type="http://schemas.openxmlformats.org/officeDocument/2006/relationships/hyperlink" Target="..\01_DOCUMENT_SETS\ST-096-STD-05\03_Label.docx" TargetMode="External"/><Relationship Id="rId91" Type="http://schemas.openxmlformats.org/officeDocument/2006/relationships/hyperlink" Target="..\01_DOCUMENT_SETS\ST-021-EUR-02\02_EU_DoC.docx" TargetMode="External"/><Relationship Id="rId408" Type="http://schemas.openxmlformats.org/officeDocument/2006/relationships/hyperlink" Target="..\01_DOCUMENT_SETS\ST-036-EUR-02\04_Shipment_Statement.pdf" TargetMode="External"/><Relationship Id="rId615" Type="http://schemas.openxmlformats.org/officeDocument/2006/relationships/hyperlink" Target="..\01_DOCUMENT_SETS\ST-042-STD-07\04_Shipment_Statement.docx" TargetMode="External"/><Relationship Id="rId822" Type="http://schemas.openxmlformats.org/officeDocument/2006/relationships/hyperlink" Target="..\01_DOCUMENT_SETS\ST-048-EUR-08\03_Label.pdf" TargetMode="External"/><Relationship Id="rId1038" Type="http://schemas.openxmlformats.org/officeDocument/2006/relationships/hyperlink" Target="..\01_DOCUMENT_SETS\ST-051-STD-10\03_Label.pdf" TargetMode="External"/><Relationship Id="rId1245" Type="http://schemas.openxmlformats.org/officeDocument/2006/relationships/hyperlink" Target="..\01_DOCUMENT_SETS\ST-057-STD-01\03_Label.docx" TargetMode="External"/><Relationship Id="rId1452" Type="http://schemas.openxmlformats.org/officeDocument/2006/relationships/hyperlink" Target="..\01_DOCUMENT_SETS\ST-063-STD-13\02_EU_DoC.pdf" TargetMode="External"/><Relationship Id="rId1897" Type="http://schemas.openxmlformats.org/officeDocument/2006/relationships/hyperlink" Target="..\01_DOCUMENT_SETS\ST-076-EUR-03\01_Technical_File.docx" TargetMode="External"/><Relationship Id="rId1105" Type="http://schemas.openxmlformats.org/officeDocument/2006/relationships/hyperlink" Target="..\01_DOCUMENT_SETS\ST-054-STD-07\01_Technical_File.docx" TargetMode="External"/><Relationship Id="rId1312" Type="http://schemas.openxmlformats.org/officeDocument/2006/relationships/hyperlink" Target="..\01_DOCUMENT_SETS\ST-060-STD-02\04_Shipment_Statement.pdf" TargetMode="External"/><Relationship Id="rId1757" Type="http://schemas.openxmlformats.org/officeDocument/2006/relationships/hyperlink" Target="..\01_DOCUMENT_SETS\ST-072-STD-13\03_Label.docx" TargetMode="External"/><Relationship Id="rId1964" Type="http://schemas.openxmlformats.org/officeDocument/2006/relationships/hyperlink" Target="..\01_DOCUMENT_SETS\ST-081-STD-01\02_EU_DoC.pdf" TargetMode="External"/><Relationship Id="rId49" Type="http://schemas.openxmlformats.org/officeDocument/2006/relationships/hyperlink" Target="..\01_DOCUMENT_SETS\ST-018-EUR-04\01_Technical_File.docx" TargetMode="External"/><Relationship Id="rId1617" Type="http://schemas.openxmlformats.org/officeDocument/2006/relationships/hyperlink" Target="..\01_DOCUMENT_SETS\ST-072-EUR-02\01_Technical_File.docx" TargetMode="External"/><Relationship Id="rId1824" Type="http://schemas.openxmlformats.org/officeDocument/2006/relationships/hyperlink" Target="..\01_DOCUMENT_SETS\ST-072-STD-21\04_Shipment_Statement.pdf" TargetMode="External"/><Relationship Id="rId198" Type="http://schemas.openxmlformats.org/officeDocument/2006/relationships/hyperlink" Target="..\01_DOCUMENT_SETS\ST-024-EUR-02\03_Label.pdf" TargetMode="External"/><Relationship Id="rId2086" Type="http://schemas.openxmlformats.org/officeDocument/2006/relationships/hyperlink" Target="..\01_DOCUMENT_SETS\ST-088-STD-07\03_Label.pdf" TargetMode="External"/><Relationship Id="rId2293" Type="http://schemas.openxmlformats.org/officeDocument/2006/relationships/hyperlink" Target="..\01_DOCUMENT_SETS\ST-120-STD-03\03_Label.docx" TargetMode="External"/><Relationship Id="rId265" Type="http://schemas.openxmlformats.org/officeDocument/2006/relationships/hyperlink" Target="..\01_DOCUMENT_SETS\ST-028-STD-01\01_Technical_File.docx" TargetMode="External"/><Relationship Id="rId472" Type="http://schemas.openxmlformats.org/officeDocument/2006/relationships/hyperlink" Target="..\01_DOCUMENT_SETS\ST-036-STD-03\04_Shipment_Statement.pdf" TargetMode="External"/><Relationship Id="rId2153" Type="http://schemas.openxmlformats.org/officeDocument/2006/relationships/hyperlink" Target="..\01_DOCUMENT_SETS\ST-096-EUR-06\01_Technical_File.docx" TargetMode="External"/><Relationship Id="rId125" Type="http://schemas.openxmlformats.org/officeDocument/2006/relationships/hyperlink" Target="..\01_DOCUMENT_SETS\ST-021-STD-01\03_Label.docx" TargetMode="External"/><Relationship Id="rId332" Type="http://schemas.openxmlformats.org/officeDocument/2006/relationships/hyperlink" Target="..\01_DOCUMENT_SETS\ST-030-STD-08\02_EU_DoC.pdf" TargetMode="External"/><Relationship Id="rId777" Type="http://schemas.openxmlformats.org/officeDocument/2006/relationships/hyperlink" Target="..\01_DOCUMENT_SETS\ST-048-EUR-03\01_Technical_File.docx" TargetMode="External"/><Relationship Id="rId984" Type="http://schemas.openxmlformats.org/officeDocument/2006/relationships/hyperlink" Target="..\01_DOCUMENT_SETS\ST-051-STD-03\04_Shipment_Statement.pdf" TargetMode="External"/><Relationship Id="rId2013" Type="http://schemas.openxmlformats.org/officeDocument/2006/relationships/hyperlink" Target="..\01_DOCUMENT_SETS\ST-087-STD-05\03_Label.docx" TargetMode="External"/><Relationship Id="rId2220" Type="http://schemas.openxmlformats.org/officeDocument/2006/relationships/hyperlink" Target="..\01_DOCUMENT_SETS\ST-096-STD-04\02_EU_DoC.pdf" TargetMode="External"/><Relationship Id="rId637" Type="http://schemas.openxmlformats.org/officeDocument/2006/relationships/hyperlink" Target="..\01_DOCUMENT_SETS\ST-044-STD-01\03_Label.docx" TargetMode="External"/><Relationship Id="rId844" Type="http://schemas.openxmlformats.org/officeDocument/2006/relationships/hyperlink" Target="..\01_DOCUMENT_SETS\ST-048-EUR-11\02_EU_DoC.pdf" TargetMode="External"/><Relationship Id="rId1267" Type="http://schemas.openxmlformats.org/officeDocument/2006/relationships/hyperlink" Target="..\01_DOCUMENT_SETS\ST-057-STD-04\02_EU_DoC.docx" TargetMode="External"/><Relationship Id="rId1474" Type="http://schemas.openxmlformats.org/officeDocument/2006/relationships/hyperlink" Target="..\01_DOCUMENT_SETS\ST-063-STD-16\01_Technical_File.pdf" TargetMode="External"/><Relationship Id="rId1681" Type="http://schemas.openxmlformats.org/officeDocument/2006/relationships/hyperlink" Target="..\01_DOCUMENT_SETS\ST-072-STD-04\01_Technical_File.docx" TargetMode="External"/><Relationship Id="rId704" Type="http://schemas.openxmlformats.org/officeDocument/2006/relationships/hyperlink" Target="..\01_DOCUMENT_SETS\ST-045-STD-07\04_Shipment_Statement.pdf" TargetMode="External"/><Relationship Id="rId911" Type="http://schemas.openxmlformats.org/officeDocument/2006/relationships/hyperlink" Target="..\01_DOCUMENT_SETS\ST-048-STD-07\04_Shipment_Statement.docx" TargetMode="External"/><Relationship Id="rId1127" Type="http://schemas.openxmlformats.org/officeDocument/2006/relationships/hyperlink" Target="..\01_DOCUMENT_SETS\ST-054-STD-09\04_Shipment_Statement.docx" TargetMode="External"/><Relationship Id="rId1334" Type="http://schemas.openxmlformats.org/officeDocument/2006/relationships/hyperlink" Target="..\01_DOCUMENT_SETS\ST-060-STD-05\03_Label.pdf" TargetMode="External"/><Relationship Id="rId1541" Type="http://schemas.openxmlformats.org/officeDocument/2006/relationships/hyperlink" Target="..\01_DOCUMENT_SETS\ST-068-EUR-04\03_Label.docx" TargetMode="External"/><Relationship Id="rId1779" Type="http://schemas.openxmlformats.org/officeDocument/2006/relationships/hyperlink" Target="..\01_DOCUMENT_SETS\ST-072-STD-16\02_EU_DoC.docx" TargetMode="External"/><Relationship Id="rId1986" Type="http://schemas.openxmlformats.org/officeDocument/2006/relationships/hyperlink" Target="..\01_DOCUMENT_SETS\ST-087-STD-02\01_Technical_File.pdf" TargetMode="External"/><Relationship Id="rId40" Type="http://schemas.openxmlformats.org/officeDocument/2006/relationships/hyperlink" Target="..\01_DOCUMENT_SETS\ST-018-EUR-02\04_Shipment_Statement.pdf" TargetMode="External"/><Relationship Id="rId1401" Type="http://schemas.openxmlformats.org/officeDocument/2006/relationships/hyperlink" Target="..\01_DOCUMENT_SETS\ST-063-STD-07\01_Technical_File.docx" TargetMode="External"/><Relationship Id="rId1639" Type="http://schemas.openxmlformats.org/officeDocument/2006/relationships/hyperlink" Target="..\01_DOCUMENT_SETS\ST-072-EUR-04\04_Shipment_Statement.docx" TargetMode="External"/><Relationship Id="rId1846" Type="http://schemas.openxmlformats.org/officeDocument/2006/relationships/hyperlink" Target="..\01_DOCUMENT_SETS\ST-072-STD-24\03_Label.pdf" TargetMode="External"/><Relationship Id="rId1706" Type="http://schemas.openxmlformats.org/officeDocument/2006/relationships/hyperlink" Target="..\01_DOCUMENT_SETS\ST-072-STD-07\01_Technical_File.pdf" TargetMode="External"/><Relationship Id="rId1913" Type="http://schemas.openxmlformats.org/officeDocument/2006/relationships/hyperlink" Target="..\01_DOCUMENT_SETS\ST-076-STD-01\01_Technical_File.docx" TargetMode="External"/><Relationship Id="rId287" Type="http://schemas.openxmlformats.org/officeDocument/2006/relationships/hyperlink" Target="..\01_DOCUMENT_SETS\ST-030-STD-02\04_Shipment_Statement.docx" TargetMode="External"/><Relationship Id="rId494" Type="http://schemas.openxmlformats.org/officeDocument/2006/relationships/hyperlink" Target="..\01_DOCUMENT_SETS\ST-036-STD-06\03_Label.pdf" TargetMode="External"/><Relationship Id="rId2175" Type="http://schemas.openxmlformats.org/officeDocument/2006/relationships/hyperlink" Target="..\01_DOCUMENT_SETS\ST-096-EUR-08\04_Shipment_Statement.docx" TargetMode="External"/><Relationship Id="rId147" Type="http://schemas.openxmlformats.org/officeDocument/2006/relationships/hyperlink" Target="..\01_DOCUMENT_SETS\ST-021-STD-04\02_EU_DoC.docx" TargetMode="External"/><Relationship Id="rId354" Type="http://schemas.openxmlformats.org/officeDocument/2006/relationships/hyperlink" Target="..\01_DOCUMENT_SETS\ST-030-STD-11\01_Technical_File.pdf" TargetMode="External"/><Relationship Id="rId799" Type="http://schemas.openxmlformats.org/officeDocument/2006/relationships/hyperlink" Target="..\01_DOCUMENT_SETS\ST-048-EUR-05\04_Shipment_Statement.docx" TargetMode="External"/><Relationship Id="rId1191" Type="http://schemas.openxmlformats.org/officeDocument/2006/relationships/hyperlink" Target="..\01_DOCUMENT_SETS\ST-056-STD-01\04_Shipment_Statement.docx" TargetMode="External"/><Relationship Id="rId2035" Type="http://schemas.openxmlformats.org/officeDocument/2006/relationships/hyperlink" Target="..\01_DOCUMENT_SETS\ST-088-STD-01\02_EU_DoC.docx" TargetMode="External"/><Relationship Id="rId561" Type="http://schemas.openxmlformats.org/officeDocument/2006/relationships/hyperlink" Target="..\01_DOCUMENT_SETS\ST-042-STD-01\01_Technical_File.docx" TargetMode="External"/><Relationship Id="rId659" Type="http://schemas.openxmlformats.org/officeDocument/2006/relationships/hyperlink" Target="..\01_DOCUMENT_SETS\ST-045-STD-02\02_EU_DoC.docx" TargetMode="External"/><Relationship Id="rId866" Type="http://schemas.openxmlformats.org/officeDocument/2006/relationships/hyperlink" Target="..\01_DOCUMENT_SETS\ST-048-STD-02\01_Technical_File.pdf" TargetMode="External"/><Relationship Id="rId1289" Type="http://schemas.openxmlformats.org/officeDocument/2006/relationships/hyperlink" Target="..\01_DOCUMENT_SETS\ST-060-EUR-02\01_Technical_File.docx" TargetMode="External"/><Relationship Id="rId1496" Type="http://schemas.openxmlformats.org/officeDocument/2006/relationships/hyperlink" Target="..\01_DOCUMENT_SETS\ST-066-STD-01\04_Shipment_Statement.pdf" TargetMode="External"/><Relationship Id="rId2242" Type="http://schemas.openxmlformats.org/officeDocument/2006/relationships/hyperlink" Target="..\01_DOCUMENT_SETS\ST-096-STD-07\01_Technical_File.pdf" TargetMode="External"/><Relationship Id="rId214" Type="http://schemas.openxmlformats.org/officeDocument/2006/relationships/hyperlink" Target="..\01_DOCUMENT_SETS\ST-024-EUR-04\03_Label.pdf" TargetMode="External"/><Relationship Id="rId421" Type="http://schemas.openxmlformats.org/officeDocument/2006/relationships/hyperlink" Target="..\01_DOCUMENT_SETS\ST-036-EUR-04\03_Label.docx" TargetMode="External"/><Relationship Id="rId519" Type="http://schemas.openxmlformats.org/officeDocument/2006/relationships/hyperlink" Target="..\01_DOCUMENT_SETS\ST-036-STD-09\04_Shipment_Statement.docx" TargetMode="External"/><Relationship Id="rId1051" Type="http://schemas.openxmlformats.org/officeDocument/2006/relationships/hyperlink" Target="..\01_DOCUMENT_SETS\ST-054-EUR-01\02_EU_DoC.docx" TargetMode="External"/><Relationship Id="rId1149" Type="http://schemas.openxmlformats.org/officeDocument/2006/relationships/hyperlink" Target="..\01_DOCUMENT_SETS\ST-054-STD-12\03_Label.docx" TargetMode="External"/><Relationship Id="rId1356" Type="http://schemas.openxmlformats.org/officeDocument/2006/relationships/hyperlink" Target="..\01_DOCUMENT_SETS\ST-063-STD-01\02_EU_DoC.pdf" TargetMode="External"/><Relationship Id="rId2102" Type="http://schemas.openxmlformats.org/officeDocument/2006/relationships/hyperlink" Target="..\01_DOCUMENT_SETS\ST-090-STD-01\03_Label.pdf" TargetMode="External"/><Relationship Id="rId726" Type="http://schemas.openxmlformats.org/officeDocument/2006/relationships/hyperlink" Target="..\01_DOCUMENT_SETS\ST-045-STD-10\03_Label.pdf" TargetMode="External"/><Relationship Id="rId933" Type="http://schemas.openxmlformats.org/officeDocument/2006/relationships/hyperlink" Target="..\01_DOCUMENT_SETS\ST-051-EUR-01\03_Label.docx" TargetMode="External"/><Relationship Id="rId1009" Type="http://schemas.openxmlformats.org/officeDocument/2006/relationships/hyperlink" Target="..\01_DOCUMENT_SETS\ST-051-STD-07\01_Technical_File.docx" TargetMode="External"/><Relationship Id="rId1563" Type="http://schemas.openxmlformats.org/officeDocument/2006/relationships/hyperlink" Target="..\01_DOCUMENT_SETS\ST-068-STD-03\02_EU_DoC.docx" TargetMode="External"/><Relationship Id="rId1770" Type="http://schemas.openxmlformats.org/officeDocument/2006/relationships/hyperlink" Target="..\01_DOCUMENT_SETS\ST-072-STD-15\01_Technical_File.pdf" TargetMode="External"/><Relationship Id="rId1868" Type="http://schemas.openxmlformats.org/officeDocument/2006/relationships/hyperlink" Target="..\01_DOCUMENT_SETS\ST-072-STD-27\02_EU_DoC.pdf" TargetMode="External"/><Relationship Id="rId62" Type="http://schemas.openxmlformats.org/officeDocument/2006/relationships/hyperlink" Target="..\01_DOCUMENT_SETS\ST-018-EUR-05\03_Label.pdf" TargetMode="External"/><Relationship Id="rId1216" Type="http://schemas.openxmlformats.org/officeDocument/2006/relationships/hyperlink" Target="..\01_DOCUMENT_SETS\ST-057-EUR-02\04_Shipment_Statement.pdf" TargetMode="External"/><Relationship Id="rId1423" Type="http://schemas.openxmlformats.org/officeDocument/2006/relationships/hyperlink" Target="..\01_DOCUMENT_SETS\ST-063-STD-09\04_Shipment_Statement.docx" TargetMode="External"/><Relationship Id="rId1630" Type="http://schemas.openxmlformats.org/officeDocument/2006/relationships/hyperlink" Target="..\01_DOCUMENT_SETS\ST-072-EUR-03\03_Label.pdf" TargetMode="External"/><Relationship Id="rId1728" Type="http://schemas.openxmlformats.org/officeDocument/2006/relationships/hyperlink" Target="..\01_DOCUMENT_SETS\ST-072-STD-09\04_Shipment_Statement.pdf" TargetMode="External"/><Relationship Id="rId1935" Type="http://schemas.openxmlformats.org/officeDocument/2006/relationships/hyperlink" Target="..\01_DOCUMENT_SETS\ST-076-STD-03\04_Shipment_Statement.docx" TargetMode="External"/><Relationship Id="rId2197" Type="http://schemas.openxmlformats.org/officeDocument/2006/relationships/hyperlink" Target="..\01_DOCUMENT_SETS\ST-096-STD-01\03_Label.docx" TargetMode="External"/><Relationship Id="rId169" Type="http://schemas.openxmlformats.org/officeDocument/2006/relationships/hyperlink" Target="..\01_DOCUMENT_SETS\ST-021-STD-07\01_Technical_File.docx" TargetMode="External"/><Relationship Id="rId376" Type="http://schemas.openxmlformats.org/officeDocument/2006/relationships/hyperlink" Target="..\01_DOCUMENT_SETS\ST-033-EUR-01\04_Shipment_Statement.pdf" TargetMode="External"/><Relationship Id="rId583" Type="http://schemas.openxmlformats.org/officeDocument/2006/relationships/hyperlink" Target="..\01_DOCUMENT_SETS\ST-042-STD-03\04_Shipment_Statement.docx" TargetMode="External"/><Relationship Id="rId790" Type="http://schemas.openxmlformats.org/officeDocument/2006/relationships/hyperlink" Target="..\01_DOCUMENT_SETS\ST-048-EUR-04\03_Label.pdf" TargetMode="External"/><Relationship Id="rId2057" Type="http://schemas.openxmlformats.org/officeDocument/2006/relationships/hyperlink" Target="..\01_DOCUMENT_SETS\ST-088-STD-04\01_Technical_File.docx" TargetMode="External"/><Relationship Id="rId2264" Type="http://schemas.openxmlformats.org/officeDocument/2006/relationships/hyperlink" Target="..\01_DOCUMENT_SETS\ST-105-STD-01\04_Shipment_Statement.pdf" TargetMode="External"/><Relationship Id="rId4" Type="http://schemas.openxmlformats.org/officeDocument/2006/relationships/hyperlink" Target="..\01_DOCUMENT_SETS\ST-012-EUR-01\02_EU_DoC.pdf" TargetMode="External"/><Relationship Id="rId236" Type="http://schemas.openxmlformats.org/officeDocument/2006/relationships/hyperlink" Target="..\01_DOCUMENT_SETS\ST-024-STD-03\02_EU_DoC.pdf" TargetMode="External"/><Relationship Id="rId443" Type="http://schemas.openxmlformats.org/officeDocument/2006/relationships/hyperlink" Target="..\01_DOCUMENT_SETS\ST-036-EUR-07\02_EU_DoC.docx" TargetMode="External"/><Relationship Id="rId650" Type="http://schemas.openxmlformats.org/officeDocument/2006/relationships/hyperlink" Target="..\01_DOCUMENT_SETS\ST-045-STD-01\01_Technical_File.pdf" TargetMode="External"/><Relationship Id="rId888" Type="http://schemas.openxmlformats.org/officeDocument/2006/relationships/hyperlink" Target="..\01_DOCUMENT_SETS\ST-048-STD-04\04_Shipment_Statement.pdf" TargetMode="External"/><Relationship Id="rId1073" Type="http://schemas.openxmlformats.org/officeDocument/2006/relationships/hyperlink" Target="..\01_DOCUMENT_SETS\ST-054-STD-03\01_Technical_File.docx" TargetMode="External"/><Relationship Id="rId1280" Type="http://schemas.openxmlformats.org/officeDocument/2006/relationships/hyperlink" Target="..\01_DOCUMENT_SETS\ST-057-STD-05\04_Shipment_Statement.pdf" TargetMode="External"/><Relationship Id="rId2124" Type="http://schemas.openxmlformats.org/officeDocument/2006/relationships/hyperlink" Target="..\01_DOCUMENT_SETS\ST-096-EUR-02\02_EU_DoC.pdf" TargetMode="External"/><Relationship Id="rId303" Type="http://schemas.openxmlformats.org/officeDocument/2006/relationships/hyperlink" Target="..\01_DOCUMENT_SETS\ST-030-STD-04\04_Shipment_Statement.docx" TargetMode="External"/><Relationship Id="rId748" Type="http://schemas.openxmlformats.org/officeDocument/2006/relationships/hyperlink" Target="..\01_DOCUMENT_SETS\ST-045-STD-13\02_EU_DoC.pdf" TargetMode="External"/><Relationship Id="rId955" Type="http://schemas.openxmlformats.org/officeDocument/2006/relationships/hyperlink" Target="..\01_DOCUMENT_SETS\ST-051-EUR-04\02_EU_DoC.docx" TargetMode="External"/><Relationship Id="rId1140" Type="http://schemas.openxmlformats.org/officeDocument/2006/relationships/hyperlink" Target="..\01_DOCUMENT_SETS\ST-054-STD-11\02_EU_DoC.pdf" TargetMode="External"/><Relationship Id="rId1378" Type="http://schemas.openxmlformats.org/officeDocument/2006/relationships/hyperlink" Target="..\01_DOCUMENT_SETS\ST-063-STD-04\01_Technical_File.pdf" TargetMode="External"/><Relationship Id="rId1585" Type="http://schemas.openxmlformats.org/officeDocument/2006/relationships/hyperlink" Target="..\01_DOCUMENT_SETS\ST-068-STD-06\01_Technical_File.docx" TargetMode="External"/><Relationship Id="rId1792" Type="http://schemas.openxmlformats.org/officeDocument/2006/relationships/hyperlink" Target="..\01_DOCUMENT_SETS\ST-072-STD-17\04_Shipment_Statement.pdf" TargetMode="External"/><Relationship Id="rId84" Type="http://schemas.openxmlformats.org/officeDocument/2006/relationships/hyperlink" Target="..\01_DOCUMENT_SETS\ST-021-EUR-01\02_EU_DoC.pdf" TargetMode="External"/><Relationship Id="rId510" Type="http://schemas.openxmlformats.org/officeDocument/2006/relationships/hyperlink" Target="..\01_DOCUMENT_SETS\ST-036-STD-08\03_Label.pdf" TargetMode="External"/><Relationship Id="rId608" Type="http://schemas.openxmlformats.org/officeDocument/2006/relationships/hyperlink" Target="..\01_DOCUMENT_SETS\ST-042-STD-06\04_Shipment_Statement.pdf" TargetMode="External"/><Relationship Id="rId815" Type="http://schemas.openxmlformats.org/officeDocument/2006/relationships/hyperlink" Target="..\01_DOCUMENT_SETS\ST-048-EUR-07\04_Shipment_Statement.docx" TargetMode="External"/><Relationship Id="rId1238" Type="http://schemas.openxmlformats.org/officeDocument/2006/relationships/hyperlink" Target="..\01_DOCUMENT_SETS\ST-057-EUR-05\03_Label.pdf" TargetMode="External"/><Relationship Id="rId1445" Type="http://schemas.openxmlformats.org/officeDocument/2006/relationships/hyperlink" Target="..\01_DOCUMENT_SETS\ST-063-STD-12\03_Label.docx" TargetMode="External"/><Relationship Id="rId1652" Type="http://schemas.openxmlformats.org/officeDocument/2006/relationships/hyperlink" Target="..\01_DOCUMENT_SETS\ST-072-EUR-06\02_EU_DoC.pdf" TargetMode="External"/><Relationship Id="rId1000" Type="http://schemas.openxmlformats.org/officeDocument/2006/relationships/hyperlink" Target="..\01_DOCUMENT_SETS\ST-051-STD-05\04_Shipment_Statement.pdf" TargetMode="External"/><Relationship Id="rId1305" Type="http://schemas.openxmlformats.org/officeDocument/2006/relationships/hyperlink" Target="..\01_DOCUMENT_SETS\ST-060-STD-02\01_Technical_File.docx" TargetMode="External"/><Relationship Id="rId1957" Type="http://schemas.openxmlformats.org/officeDocument/2006/relationships/hyperlink" Target="..\01_DOCUMENT_SETS\ST-081-EUR-01\03_Label.docx" TargetMode="External"/><Relationship Id="rId1512" Type="http://schemas.openxmlformats.org/officeDocument/2006/relationships/hyperlink" Target="..\01_DOCUMENT_SETS\ST-066-STD-03\04_Shipment_Statement.pdf" TargetMode="External"/><Relationship Id="rId1817" Type="http://schemas.openxmlformats.org/officeDocument/2006/relationships/hyperlink" Target="..\01_DOCUMENT_SETS\ST-072-STD-21\01_Technical_File.docx" TargetMode="External"/><Relationship Id="rId11" Type="http://schemas.openxmlformats.org/officeDocument/2006/relationships/hyperlink" Target="..\01_DOCUMENT_SETS\ST-012-EUR-02\02_EU_DoC.docx" TargetMode="External"/><Relationship Id="rId398" Type="http://schemas.openxmlformats.org/officeDocument/2006/relationships/hyperlink" Target="..\01_DOCUMENT_SETS\ST-036-EUR-01\03_Label.pdf" TargetMode="External"/><Relationship Id="rId2079" Type="http://schemas.openxmlformats.org/officeDocument/2006/relationships/hyperlink" Target="..\01_DOCUMENT_SETS\ST-088-STD-06\04_Shipment_Statement.docx" TargetMode="External"/><Relationship Id="rId160" Type="http://schemas.openxmlformats.org/officeDocument/2006/relationships/hyperlink" Target="..\01_DOCUMENT_SETS\ST-021-STD-05\04_Shipment_Statement.pdf" TargetMode="External"/><Relationship Id="rId2286" Type="http://schemas.openxmlformats.org/officeDocument/2006/relationships/hyperlink" Target="..\01_DOCUMENT_SETS\ST-120-STD-02\03_Label.pdf" TargetMode="External"/><Relationship Id="rId258" Type="http://schemas.openxmlformats.org/officeDocument/2006/relationships/hyperlink" Target="..\01_DOCUMENT_SETS\ST-027-STD90-02\01_Technical_File.pdf" TargetMode="External"/><Relationship Id="rId465" Type="http://schemas.openxmlformats.org/officeDocument/2006/relationships/hyperlink" Target="..\01_DOCUMENT_SETS\ST-036-STD-03\01_Technical_File.docx" TargetMode="External"/><Relationship Id="rId672" Type="http://schemas.openxmlformats.org/officeDocument/2006/relationships/hyperlink" Target="..\01_DOCUMENT_SETS\ST-045-STD-03\04_Shipment_Statement.pdf" TargetMode="External"/><Relationship Id="rId1095" Type="http://schemas.openxmlformats.org/officeDocument/2006/relationships/hyperlink" Target="..\01_DOCUMENT_SETS\ST-054-STD-05\04_Shipment_Statement.docx" TargetMode="External"/><Relationship Id="rId2146" Type="http://schemas.openxmlformats.org/officeDocument/2006/relationships/hyperlink" Target="..\01_DOCUMENT_SETS\ST-096-EUR-05\01_Technical_File.pdf" TargetMode="External"/><Relationship Id="rId118" Type="http://schemas.openxmlformats.org/officeDocument/2006/relationships/hyperlink" Target="..\01_DOCUMENT_SETS\ST-021-EUR-05\03_Label.pdf" TargetMode="External"/><Relationship Id="rId325" Type="http://schemas.openxmlformats.org/officeDocument/2006/relationships/hyperlink" Target="..\01_DOCUMENT_SETS\ST-030-STD-07\03_Label.docx" TargetMode="External"/><Relationship Id="rId532" Type="http://schemas.openxmlformats.org/officeDocument/2006/relationships/hyperlink" Target="..\01_DOCUMENT_SETS\ST-042-EUR-01\02_EU_DoC.pdf" TargetMode="External"/><Relationship Id="rId977" Type="http://schemas.openxmlformats.org/officeDocument/2006/relationships/hyperlink" Target="..\01_DOCUMENT_SETS\ST-051-STD-03\01_Technical_File.docx" TargetMode="External"/><Relationship Id="rId1162" Type="http://schemas.openxmlformats.org/officeDocument/2006/relationships/hyperlink" Target="..\01_DOCUMENT_SETS\ST-056-EUR-02\01_Technical_File.pdf" TargetMode="External"/><Relationship Id="rId2006" Type="http://schemas.openxmlformats.org/officeDocument/2006/relationships/hyperlink" Target="..\01_DOCUMENT_SETS\ST-087-STD-04\03_Label.pdf" TargetMode="External"/><Relationship Id="rId2213" Type="http://schemas.openxmlformats.org/officeDocument/2006/relationships/hyperlink" Target="..\01_DOCUMENT_SETS\ST-096-STD-03\03_Label.docx" TargetMode="External"/><Relationship Id="rId837" Type="http://schemas.openxmlformats.org/officeDocument/2006/relationships/hyperlink" Target="..\01_DOCUMENT_SETS\ST-048-EUR-10\03_Label.docx" TargetMode="External"/><Relationship Id="rId1022" Type="http://schemas.openxmlformats.org/officeDocument/2006/relationships/hyperlink" Target="..\01_DOCUMENT_SETS\ST-051-STD-08\03_Label.pdf" TargetMode="External"/><Relationship Id="rId1467" Type="http://schemas.openxmlformats.org/officeDocument/2006/relationships/hyperlink" Target="..\01_DOCUMENT_SETS\ST-063-STD-15\02_EU_DoC.docx" TargetMode="External"/><Relationship Id="rId1674" Type="http://schemas.openxmlformats.org/officeDocument/2006/relationships/hyperlink" Target="..\01_DOCUMENT_SETS\ST-072-STD-03\01_Technical_File.pdf" TargetMode="External"/><Relationship Id="rId1881" Type="http://schemas.openxmlformats.org/officeDocument/2006/relationships/hyperlink" Target="..\01_DOCUMENT_SETS\ST-076-EUR-01\01_Technical_File.docx" TargetMode="External"/><Relationship Id="rId904" Type="http://schemas.openxmlformats.org/officeDocument/2006/relationships/hyperlink" Target="..\01_DOCUMENT_SETS\ST-048-STD-06\04_Shipment_Statement.pdf" TargetMode="External"/><Relationship Id="rId1327" Type="http://schemas.openxmlformats.org/officeDocument/2006/relationships/hyperlink" Target="..\01_DOCUMENT_SETS\ST-060-STD-04\04_Shipment_Statement.docx" TargetMode="External"/><Relationship Id="rId1534" Type="http://schemas.openxmlformats.org/officeDocument/2006/relationships/hyperlink" Target="..\01_DOCUMENT_SETS\ST-068-EUR-03\03_Label.pdf" TargetMode="External"/><Relationship Id="rId1741" Type="http://schemas.openxmlformats.org/officeDocument/2006/relationships/hyperlink" Target="..\01_DOCUMENT_SETS\ST-072-STD-11\03_Label.docx" TargetMode="External"/><Relationship Id="rId1979" Type="http://schemas.openxmlformats.org/officeDocument/2006/relationships/hyperlink" Target="..\01_DOCUMENT_SETS\ST-087-STD-01\02_EU_DoC.docx" TargetMode="External"/><Relationship Id="rId33" Type="http://schemas.openxmlformats.org/officeDocument/2006/relationships/hyperlink" Target="..\01_DOCUMENT_SETS\ST-018-EUR-02\01_Technical_File.docx" TargetMode="External"/><Relationship Id="rId1601" Type="http://schemas.openxmlformats.org/officeDocument/2006/relationships/hyperlink" Target="..\01_DOCUMENT_SETS\ST-068-STD-08\01_Technical_File.docx" TargetMode="External"/><Relationship Id="rId1839" Type="http://schemas.openxmlformats.org/officeDocument/2006/relationships/hyperlink" Target="..\01_DOCUMENT_SETS\ST-072-STD-23\04_Shipment_Statement.docx" TargetMode="External"/><Relationship Id="rId182" Type="http://schemas.openxmlformats.org/officeDocument/2006/relationships/hyperlink" Target="..\01_DOCUMENT_SETS\ST-021-STD-08\03_Label.pdf" TargetMode="External"/><Relationship Id="rId1906" Type="http://schemas.openxmlformats.org/officeDocument/2006/relationships/hyperlink" Target="..\01_DOCUMENT_SETS\ST-076-EUR-04\01_Technical_File.pdf" TargetMode="External"/><Relationship Id="rId487" Type="http://schemas.openxmlformats.org/officeDocument/2006/relationships/hyperlink" Target="..\01_DOCUMENT_SETS\ST-036-STD-05\04_Shipment_Statement.docx" TargetMode="External"/><Relationship Id="rId694" Type="http://schemas.openxmlformats.org/officeDocument/2006/relationships/hyperlink" Target="..\01_DOCUMENT_SETS\ST-045-STD-06\03_Label.pdf" TargetMode="External"/><Relationship Id="rId2070" Type="http://schemas.openxmlformats.org/officeDocument/2006/relationships/hyperlink" Target="..\01_DOCUMENT_SETS\ST-088-STD-05\03_Label.pdf" TargetMode="External"/><Relationship Id="rId2168" Type="http://schemas.openxmlformats.org/officeDocument/2006/relationships/hyperlink" Target="..\01_DOCUMENT_SETS\ST-096-EUR-07\04_Shipment_Statement.pdf" TargetMode="External"/><Relationship Id="rId347" Type="http://schemas.openxmlformats.org/officeDocument/2006/relationships/hyperlink" Target="..\01_DOCUMENT_SETS\ST-030-STD-10\02_EU_DoC.docx" TargetMode="External"/><Relationship Id="rId999" Type="http://schemas.openxmlformats.org/officeDocument/2006/relationships/hyperlink" Target="..\01_DOCUMENT_SETS\ST-051-STD-05\04_Shipment_Statement.docx" TargetMode="External"/><Relationship Id="rId1184" Type="http://schemas.openxmlformats.org/officeDocument/2006/relationships/hyperlink" Target="..\01_DOCUMENT_SETS\ST-056-EUR-04\04_Shipment_Statement.pdf" TargetMode="External"/><Relationship Id="rId2028" Type="http://schemas.openxmlformats.org/officeDocument/2006/relationships/hyperlink" Target="..\01_DOCUMENT_SETS\ST-087-STD-07\02_EU_DoC.pdf" TargetMode="External"/><Relationship Id="rId554" Type="http://schemas.openxmlformats.org/officeDocument/2006/relationships/hyperlink" Target="..\01_DOCUMENT_SETS\ST-042-EUR-04\01_Technical_File.pdf" TargetMode="External"/><Relationship Id="rId761" Type="http://schemas.openxmlformats.org/officeDocument/2006/relationships/hyperlink" Target="..\01_DOCUMENT_SETS\ST-048-EUR-01\01_Technical_File.docx" TargetMode="External"/><Relationship Id="rId859" Type="http://schemas.openxmlformats.org/officeDocument/2006/relationships/hyperlink" Target="..\01_DOCUMENT_SETS\ST-048-STD-01\02_EU_DoC.docx" TargetMode="External"/><Relationship Id="rId1391" Type="http://schemas.openxmlformats.org/officeDocument/2006/relationships/hyperlink" Target="..\01_DOCUMENT_SETS\ST-063-STD-05\04_Shipment_Statement.docx" TargetMode="External"/><Relationship Id="rId1489" Type="http://schemas.openxmlformats.org/officeDocument/2006/relationships/hyperlink" Target="..\01_DOCUMENT_SETS\ST-066-STD-01\01_Technical_File.docx" TargetMode="External"/><Relationship Id="rId1696" Type="http://schemas.openxmlformats.org/officeDocument/2006/relationships/hyperlink" Target="..\01_DOCUMENT_SETS\ST-072-STD-05\04_Shipment_Statement.pdf" TargetMode="External"/><Relationship Id="rId2235" Type="http://schemas.openxmlformats.org/officeDocument/2006/relationships/hyperlink" Target="..\01_DOCUMENT_SETS\ST-096-STD-06\02_EU_DoC.docx" TargetMode="External"/><Relationship Id="rId207" Type="http://schemas.openxmlformats.org/officeDocument/2006/relationships/hyperlink" Target="..\01_DOCUMENT_SETS\ST-024-EUR-03\04_Shipment_Statement.docx" TargetMode="External"/><Relationship Id="rId414" Type="http://schemas.openxmlformats.org/officeDocument/2006/relationships/hyperlink" Target="..\01_DOCUMENT_SETS\ST-036-EUR-03\03_Label.pdf" TargetMode="External"/><Relationship Id="rId621" Type="http://schemas.openxmlformats.org/officeDocument/2006/relationships/hyperlink" Target="..\01_DOCUMENT_SETS\ST-042-STD-08\03_Label.docx" TargetMode="External"/><Relationship Id="rId1044" Type="http://schemas.openxmlformats.org/officeDocument/2006/relationships/hyperlink" Target="..\01_DOCUMENT_SETS\ST-051-STD-11\02_EU_DoC.pdf" TargetMode="External"/><Relationship Id="rId1251" Type="http://schemas.openxmlformats.org/officeDocument/2006/relationships/hyperlink" Target="..\01_DOCUMENT_SETS\ST-057-STD-02\02_EU_DoC.docx" TargetMode="External"/><Relationship Id="rId1349" Type="http://schemas.openxmlformats.org/officeDocument/2006/relationships/hyperlink" Target="..\01_DOCUMENT_SETS\ST-063-EUR-02\03_Label.docx" TargetMode="External"/><Relationship Id="rId719" Type="http://schemas.openxmlformats.org/officeDocument/2006/relationships/hyperlink" Target="..\01_DOCUMENT_SETS\ST-045-STD-09\04_Shipment_Statement.docx" TargetMode="External"/><Relationship Id="rId926" Type="http://schemas.openxmlformats.org/officeDocument/2006/relationships/hyperlink" Target="..\01_DOCUMENT_SETS\ST-048-STD-09\03_Label.pdf" TargetMode="External"/><Relationship Id="rId1111" Type="http://schemas.openxmlformats.org/officeDocument/2006/relationships/hyperlink" Target="..\01_DOCUMENT_SETS\ST-054-STD-07\04_Shipment_Statement.docx" TargetMode="External"/><Relationship Id="rId1556" Type="http://schemas.openxmlformats.org/officeDocument/2006/relationships/hyperlink" Target="..\01_DOCUMENT_SETS\ST-068-STD-02\02_EU_DoC.pdf" TargetMode="External"/><Relationship Id="rId1763" Type="http://schemas.openxmlformats.org/officeDocument/2006/relationships/hyperlink" Target="..\01_DOCUMENT_SETS\ST-072-STD-14\02_EU_DoC.docx" TargetMode="External"/><Relationship Id="rId1970" Type="http://schemas.openxmlformats.org/officeDocument/2006/relationships/hyperlink" Target="..\01_DOCUMENT_SETS\ST-087-EUR-01\01_Technical_File.pdf" TargetMode="External"/><Relationship Id="rId55" Type="http://schemas.openxmlformats.org/officeDocument/2006/relationships/hyperlink" Target="..\01_DOCUMENT_SETS\ST-018-EUR-04\04_Shipment_Statement.docx" TargetMode="External"/><Relationship Id="rId1209" Type="http://schemas.openxmlformats.org/officeDocument/2006/relationships/hyperlink" Target="..\01_DOCUMENT_SETS\ST-057-EUR-02\01_Technical_File.docx" TargetMode="External"/><Relationship Id="rId1416" Type="http://schemas.openxmlformats.org/officeDocument/2006/relationships/hyperlink" Target="..\01_DOCUMENT_SETS\ST-063-STD-08\04_Shipment_Statement.pdf" TargetMode="External"/><Relationship Id="rId1623" Type="http://schemas.openxmlformats.org/officeDocument/2006/relationships/hyperlink" Target="..\01_DOCUMENT_SETS\ST-072-EUR-02\04_Shipment_Statement.docx" TargetMode="External"/><Relationship Id="rId1830" Type="http://schemas.openxmlformats.org/officeDocument/2006/relationships/hyperlink" Target="..\01_DOCUMENT_SETS\ST-072-STD-22\03_Label.pdf" TargetMode="External"/><Relationship Id="rId1928" Type="http://schemas.openxmlformats.org/officeDocument/2006/relationships/hyperlink" Target="..\01_DOCUMENT_SETS\ST-076-STD-02\04_Shipment_Statement.pdf" TargetMode="External"/><Relationship Id="rId2092" Type="http://schemas.openxmlformats.org/officeDocument/2006/relationships/hyperlink" Target="..\01_DOCUMENT_SETS\ST-088-STD-08\02_EU_DoC.pdf" TargetMode="External"/><Relationship Id="rId271" Type="http://schemas.openxmlformats.org/officeDocument/2006/relationships/hyperlink" Target="..\01_DOCUMENT_SETS\ST-028-STD-01\04_Shipment_Statement.docx" TargetMode="External"/><Relationship Id="rId131" Type="http://schemas.openxmlformats.org/officeDocument/2006/relationships/hyperlink" Target="..\01_DOCUMENT_SETS\ST-021-STD-02\02_EU_DoC.docx" TargetMode="External"/><Relationship Id="rId369" Type="http://schemas.openxmlformats.org/officeDocument/2006/relationships/hyperlink" Target="..\01_DOCUMENT_SETS\ST-033-EUR-01\01_Technical_File.docx" TargetMode="External"/><Relationship Id="rId576" Type="http://schemas.openxmlformats.org/officeDocument/2006/relationships/hyperlink" Target="..\01_DOCUMENT_SETS\ST-042-STD-02\04_Shipment_Statement.pdf" TargetMode="External"/><Relationship Id="rId783" Type="http://schemas.openxmlformats.org/officeDocument/2006/relationships/hyperlink" Target="..\01_DOCUMENT_SETS\ST-048-EUR-03\04_Shipment_Statement.docx" TargetMode="External"/><Relationship Id="rId990" Type="http://schemas.openxmlformats.org/officeDocument/2006/relationships/hyperlink" Target="..\01_DOCUMENT_SETS\ST-051-STD-04\03_Label.pdf" TargetMode="External"/><Relationship Id="rId2257" Type="http://schemas.openxmlformats.org/officeDocument/2006/relationships/hyperlink" Target="..\01_DOCUMENT_SETS\ST-105-STD-01\01_Technical_File.docx" TargetMode="External"/><Relationship Id="rId229" Type="http://schemas.openxmlformats.org/officeDocument/2006/relationships/hyperlink" Target="..\01_DOCUMENT_SETS\ST-024-STD-02\03_Label.docx" TargetMode="External"/><Relationship Id="rId436" Type="http://schemas.openxmlformats.org/officeDocument/2006/relationships/hyperlink" Target="..\01_DOCUMENT_SETS\ST-036-EUR-06\02_EU_DoC.pdf" TargetMode="External"/><Relationship Id="rId643" Type="http://schemas.openxmlformats.org/officeDocument/2006/relationships/hyperlink" Target="..\01_DOCUMENT_SETS\ST-045-EUR-01\02_EU_DoC.docx" TargetMode="External"/><Relationship Id="rId1066" Type="http://schemas.openxmlformats.org/officeDocument/2006/relationships/hyperlink" Target="..\01_DOCUMENT_SETS\ST-054-STD-02\01_Technical_File.pdf" TargetMode="External"/><Relationship Id="rId1273" Type="http://schemas.openxmlformats.org/officeDocument/2006/relationships/hyperlink" Target="..\01_DOCUMENT_SETS\ST-057-STD-05\01_Technical_File.docx" TargetMode="External"/><Relationship Id="rId1480" Type="http://schemas.openxmlformats.org/officeDocument/2006/relationships/hyperlink" Target="..\01_DOCUMENT_SETS\ST-063-STD-16\04_Shipment_Statement.pdf" TargetMode="External"/><Relationship Id="rId2117" Type="http://schemas.openxmlformats.org/officeDocument/2006/relationships/hyperlink" Target="..\01_DOCUMENT_SETS\ST-096-EUR-01\03_Label.docx" TargetMode="External"/><Relationship Id="rId850" Type="http://schemas.openxmlformats.org/officeDocument/2006/relationships/hyperlink" Target="..\01_DOCUMENT_SETS\ST-048-EUR-12\01_Technical_File.pdf" TargetMode="External"/><Relationship Id="rId948" Type="http://schemas.openxmlformats.org/officeDocument/2006/relationships/hyperlink" Target="..\01_DOCUMENT_SETS\ST-051-EUR-03\02_EU_DoC.pdf" TargetMode="External"/><Relationship Id="rId1133" Type="http://schemas.openxmlformats.org/officeDocument/2006/relationships/hyperlink" Target="..\01_DOCUMENT_SETS\ST-054-STD-10\03_Label.docx" TargetMode="External"/><Relationship Id="rId1578" Type="http://schemas.openxmlformats.org/officeDocument/2006/relationships/hyperlink" Target="..\01_DOCUMENT_SETS\ST-068-STD-05\01_Technical_File.pdf" TargetMode="External"/><Relationship Id="rId1785" Type="http://schemas.openxmlformats.org/officeDocument/2006/relationships/hyperlink" Target="..\01_DOCUMENT_SETS\ST-072-STD-17\01_Technical_File.docx" TargetMode="External"/><Relationship Id="rId1992" Type="http://schemas.openxmlformats.org/officeDocument/2006/relationships/hyperlink" Target="..\01_DOCUMENT_SETS\ST-087-STD-02\04_Shipment_Statement.pdf" TargetMode="External"/><Relationship Id="rId77" Type="http://schemas.openxmlformats.org/officeDocument/2006/relationships/hyperlink" Target="..\01_DOCUMENT_SETS\ST-018-STD-02\03_Label.docx" TargetMode="External"/><Relationship Id="rId503" Type="http://schemas.openxmlformats.org/officeDocument/2006/relationships/hyperlink" Target="..\01_DOCUMENT_SETS\ST-036-STD-07\04_Shipment_Statement.docx" TargetMode="External"/><Relationship Id="rId710" Type="http://schemas.openxmlformats.org/officeDocument/2006/relationships/hyperlink" Target="..\01_DOCUMENT_SETS\ST-045-STD-08\03_Label.pdf" TargetMode="External"/><Relationship Id="rId808" Type="http://schemas.openxmlformats.org/officeDocument/2006/relationships/hyperlink" Target="..\01_DOCUMENT_SETS\ST-048-EUR-06\04_Shipment_Statement.pdf" TargetMode="External"/><Relationship Id="rId1340" Type="http://schemas.openxmlformats.org/officeDocument/2006/relationships/hyperlink" Target="..\01_DOCUMENT_SETS\ST-063-EUR-01\02_EU_DoC.pdf" TargetMode="External"/><Relationship Id="rId1438" Type="http://schemas.openxmlformats.org/officeDocument/2006/relationships/hyperlink" Target="..\01_DOCUMENT_SETS\ST-063-STD-11\03_Label.pdf" TargetMode="External"/><Relationship Id="rId1645" Type="http://schemas.openxmlformats.org/officeDocument/2006/relationships/hyperlink" Target="..\01_DOCUMENT_SETS\ST-072-EUR-05\03_Label.docx" TargetMode="External"/><Relationship Id="rId1200" Type="http://schemas.openxmlformats.org/officeDocument/2006/relationships/hyperlink" Target="..\01_DOCUMENT_SETS\ST-056-STD-02\04_Shipment_Statement.pdf" TargetMode="External"/><Relationship Id="rId1852" Type="http://schemas.openxmlformats.org/officeDocument/2006/relationships/hyperlink" Target="..\01_DOCUMENT_SETS\ST-072-STD-25\02_EU_DoC.pdf" TargetMode="External"/><Relationship Id="rId1505" Type="http://schemas.openxmlformats.org/officeDocument/2006/relationships/hyperlink" Target="..\01_DOCUMENT_SETS\ST-066-STD-03\01_Technical_File.docx" TargetMode="External"/><Relationship Id="rId1712" Type="http://schemas.openxmlformats.org/officeDocument/2006/relationships/hyperlink" Target="..\01_DOCUMENT_SETS\ST-072-STD-07\04_Shipment_Statement.pdf" TargetMode="External"/><Relationship Id="rId293" Type="http://schemas.openxmlformats.org/officeDocument/2006/relationships/hyperlink" Target="..\01_DOCUMENT_SETS\ST-030-STD-03\03_Label.docx" TargetMode="External"/><Relationship Id="rId2181" Type="http://schemas.openxmlformats.org/officeDocument/2006/relationships/hyperlink" Target="..\01_DOCUMENT_SETS\ST-096-EUR-09\03_Label.docx" TargetMode="External"/><Relationship Id="rId153" Type="http://schemas.openxmlformats.org/officeDocument/2006/relationships/hyperlink" Target="..\01_DOCUMENT_SETS\ST-021-STD-05\01_Technical_File.docx" TargetMode="External"/><Relationship Id="rId360" Type="http://schemas.openxmlformats.org/officeDocument/2006/relationships/hyperlink" Target="..\01_DOCUMENT_SETS\ST-030-STD-11\04_Shipment_Statement.pdf" TargetMode="External"/><Relationship Id="rId598" Type="http://schemas.openxmlformats.org/officeDocument/2006/relationships/hyperlink" Target="..\01_DOCUMENT_SETS\ST-042-STD-05\03_Label.pdf" TargetMode="External"/><Relationship Id="rId2041" Type="http://schemas.openxmlformats.org/officeDocument/2006/relationships/hyperlink" Target="..\01_DOCUMENT_SETS\ST-088-STD-02\01_Technical_File.docx" TargetMode="External"/><Relationship Id="rId2279" Type="http://schemas.openxmlformats.org/officeDocument/2006/relationships/hyperlink" Target="..\01_DOCUMENT_SETS\ST-120-STD-01\04_Shipment_Statement.docx" TargetMode="External"/><Relationship Id="rId220" Type="http://schemas.openxmlformats.org/officeDocument/2006/relationships/hyperlink" Target="..\01_DOCUMENT_SETS\ST-024-STD-01\02_EU_DoC.pdf" TargetMode="External"/><Relationship Id="rId458" Type="http://schemas.openxmlformats.org/officeDocument/2006/relationships/hyperlink" Target="..\01_DOCUMENT_SETS\ST-036-STD-02\01_Technical_File.pdf" TargetMode="External"/><Relationship Id="rId665" Type="http://schemas.openxmlformats.org/officeDocument/2006/relationships/hyperlink" Target="..\01_DOCUMENT_SETS\ST-045-STD-03\01_Technical_File.docx" TargetMode="External"/><Relationship Id="rId872" Type="http://schemas.openxmlformats.org/officeDocument/2006/relationships/hyperlink" Target="..\01_DOCUMENT_SETS\ST-048-STD-02\04_Shipment_Statement.pdf" TargetMode="External"/><Relationship Id="rId1088" Type="http://schemas.openxmlformats.org/officeDocument/2006/relationships/hyperlink" Target="..\01_DOCUMENT_SETS\ST-054-STD-04\04_Shipment_Statement.pdf" TargetMode="External"/><Relationship Id="rId1295" Type="http://schemas.openxmlformats.org/officeDocument/2006/relationships/hyperlink" Target="..\01_DOCUMENT_SETS\ST-060-EUR-02\04_Shipment_Statement.docx" TargetMode="External"/><Relationship Id="rId2139" Type="http://schemas.openxmlformats.org/officeDocument/2006/relationships/hyperlink" Target="..\01_DOCUMENT_SETS\ST-096-EUR-04\02_EU_DoC.docx" TargetMode="External"/><Relationship Id="rId318" Type="http://schemas.openxmlformats.org/officeDocument/2006/relationships/hyperlink" Target="..\01_DOCUMENT_SETS\ST-030-STD-06\03_Label.pdf" TargetMode="External"/><Relationship Id="rId525" Type="http://schemas.openxmlformats.org/officeDocument/2006/relationships/hyperlink" Target="..\01_DOCUMENT_SETS\ST-036-STD-10\03_Label.docx" TargetMode="External"/><Relationship Id="rId732" Type="http://schemas.openxmlformats.org/officeDocument/2006/relationships/hyperlink" Target="..\01_DOCUMENT_SETS\ST-045-STD-11\02_EU_DoC.pdf" TargetMode="External"/><Relationship Id="rId1155" Type="http://schemas.openxmlformats.org/officeDocument/2006/relationships/hyperlink" Target="..\01_DOCUMENT_SETS\ST-056-EUR-01\02_EU_DoC.docx" TargetMode="External"/><Relationship Id="rId1362" Type="http://schemas.openxmlformats.org/officeDocument/2006/relationships/hyperlink" Target="..\01_DOCUMENT_SETS\ST-063-STD-02\01_Technical_File.pdf" TargetMode="External"/><Relationship Id="rId2206" Type="http://schemas.openxmlformats.org/officeDocument/2006/relationships/hyperlink" Target="..\01_DOCUMENT_SETS\ST-096-STD-02\03_Label.pdf" TargetMode="External"/><Relationship Id="rId99" Type="http://schemas.openxmlformats.org/officeDocument/2006/relationships/hyperlink" Target="..\01_DOCUMENT_SETS\ST-021-EUR-03\02_EU_DoC.docx" TargetMode="External"/><Relationship Id="rId1015" Type="http://schemas.openxmlformats.org/officeDocument/2006/relationships/hyperlink" Target="..\01_DOCUMENT_SETS\ST-051-STD-07\04_Shipment_Statement.docx" TargetMode="External"/><Relationship Id="rId1222" Type="http://schemas.openxmlformats.org/officeDocument/2006/relationships/hyperlink" Target="..\01_DOCUMENT_SETS\ST-057-EUR-03\03_Label.pdf" TargetMode="External"/><Relationship Id="rId1667" Type="http://schemas.openxmlformats.org/officeDocument/2006/relationships/hyperlink" Target="..\01_DOCUMENT_SETS\ST-072-STD-02\02_EU_DoC.docx" TargetMode="External"/><Relationship Id="rId1874" Type="http://schemas.openxmlformats.org/officeDocument/2006/relationships/hyperlink" Target="..\01_DOCUMENT_SETS\ST-072-STD-28\01_Technical_File.pdf" TargetMode="External"/><Relationship Id="rId1527" Type="http://schemas.openxmlformats.org/officeDocument/2006/relationships/hyperlink" Target="..\01_DOCUMENT_SETS\ST-068-EUR-02\04_Shipment_Statement.docx" TargetMode="External"/><Relationship Id="rId1734" Type="http://schemas.openxmlformats.org/officeDocument/2006/relationships/hyperlink" Target="..\01_DOCUMENT_SETS\ST-072-STD-10\03_Label.pdf" TargetMode="External"/><Relationship Id="rId1941" Type="http://schemas.openxmlformats.org/officeDocument/2006/relationships/hyperlink" Target="..\01_DOCUMENT_SETS\ST-076-STD-04\03_Label.docx" TargetMode="External"/><Relationship Id="rId26" Type="http://schemas.openxmlformats.org/officeDocument/2006/relationships/hyperlink" Target="..\01_DOCUMENT_SETS\ST-018-EUR-01\01_Technical_File.pdf" TargetMode="External"/><Relationship Id="rId175" Type="http://schemas.openxmlformats.org/officeDocument/2006/relationships/hyperlink" Target="..\01_DOCUMENT_SETS\ST-021-STD-07\04_Shipment_Statement.docx" TargetMode="External"/><Relationship Id="rId1801" Type="http://schemas.openxmlformats.org/officeDocument/2006/relationships/hyperlink" Target="..\01_DOCUMENT_SETS\ST-072-STD-19\01_Technical_File.docx" TargetMode="External"/><Relationship Id="rId382" Type="http://schemas.openxmlformats.org/officeDocument/2006/relationships/hyperlink" Target="..\01_DOCUMENT_SETS\ST-034-STD-01\03_Label.pdf" TargetMode="External"/><Relationship Id="rId687" Type="http://schemas.openxmlformats.org/officeDocument/2006/relationships/hyperlink" Target="..\01_DOCUMENT_SETS\ST-045-STD-05\04_Shipment_Statement.docx" TargetMode="External"/><Relationship Id="rId2063" Type="http://schemas.openxmlformats.org/officeDocument/2006/relationships/hyperlink" Target="..\01_DOCUMENT_SETS\ST-088-STD-04\04_Shipment_Statement.docx" TargetMode="External"/><Relationship Id="rId2270" Type="http://schemas.openxmlformats.org/officeDocument/2006/relationships/hyperlink" Target="..\01_DOCUMENT_SETS\ST-105-STD-02\03_Label.pdf" TargetMode="External"/><Relationship Id="rId242" Type="http://schemas.openxmlformats.org/officeDocument/2006/relationships/hyperlink" Target="..\01_DOCUMENT_SETS\ST-024-STD-04\01_Technical_File.pdf" TargetMode="External"/><Relationship Id="rId894" Type="http://schemas.openxmlformats.org/officeDocument/2006/relationships/hyperlink" Target="..\01_DOCUMENT_SETS\ST-048-STD-05\03_Label.pdf" TargetMode="External"/><Relationship Id="rId1177" Type="http://schemas.openxmlformats.org/officeDocument/2006/relationships/hyperlink" Target="..\01_DOCUMENT_SETS\ST-056-EUR-04\01_Technical_File.docx" TargetMode="External"/><Relationship Id="rId2130" Type="http://schemas.openxmlformats.org/officeDocument/2006/relationships/hyperlink" Target="..\01_DOCUMENT_SETS\ST-096-EUR-03\01_Technical_File.pdf" TargetMode="External"/><Relationship Id="rId102" Type="http://schemas.openxmlformats.org/officeDocument/2006/relationships/hyperlink" Target="..\01_DOCUMENT_SETS\ST-021-EUR-03\03_Label.pdf" TargetMode="External"/><Relationship Id="rId547" Type="http://schemas.openxmlformats.org/officeDocument/2006/relationships/hyperlink" Target="..\01_DOCUMENT_SETS\ST-042-EUR-03\02_EU_DoC.docx" TargetMode="External"/><Relationship Id="rId754" Type="http://schemas.openxmlformats.org/officeDocument/2006/relationships/hyperlink" Target="..\01_DOCUMENT_SETS\ST-045-STD-14\01_Technical_File.pdf" TargetMode="External"/><Relationship Id="rId961" Type="http://schemas.openxmlformats.org/officeDocument/2006/relationships/hyperlink" Target="..\01_DOCUMENT_SETS\ST-051-STD-01\01_Technical_File.docx" TargetMode="External"/><Relationship Id="rId1384" Type="http://schemas.openxmlformats.org/officeDocument/2006/relationships/hyperlink" Target="..\01_DOCUMENT_SETS\ST-063-STD-04\04_Shipment_Statement.pdf" TargetMode="External"/><Relationship Id="rId1591" Type="http://schemas.openxmlformats.org/officeDocument/2006/relationships/hyperlink" Target="..\01_DOCUMENT_SETS\ST-068-STD-06\04_Shipment_Statement.docx" TargetMode="External"/><Relationship Id="rId1689" Type="http://schemas.openxmlformats.org/officeDocument/2006/relationships/hyperlink" Target="..\01_DOCUMENT_SETS\ST-072-STD-05\01_Technical_File.docx" TargetMode="External"/><Relationship Id="rId2228" Type="http://schemas.openxmlformats.org/officeDocument/2006/relationships/hyperlink" Target="..\01_DOCUMENT_SETS\ST-096-STD-05\02_EU_DoC.pdf" TargetMode="External"/><Relationship Id="rId90" Type="http://schemas.openxmlformats.org/officeDocument/2006/relationships/hyperlink" Target="..\01_DOCUMENT_SETS\ST-021-EUR-02\01_Technical_File.pdf" TargetMode="External"/><Relationship Id="rId407" Type="http://schemas.openxmlformats.org/officeDocument/2006/relationships/hyperlink" Target="..\01_DOCUMENT_SETS\ST-036-EUR-02\04_Shipment_Statement.docx" TargetMode="External"/><Relationship Id="rId614" Type="http://schemas.openxmlformats.org/officeDocument/2006/relationships/hyperlink" Target="..\01_DOCUMENT_SETS\ST-042-STD-07\03_Label.pdf" TargetMode="External"/><Relationship Id="rId821" Type="http://schemas.openxmlformats.org/officeDocument/2006/relationships/hyperlink" Target="..\01_DOCUMENT_SETS\ST-048-EUR-08\03_Label.docx" TargetMode="External"/><Relationship Id="rId1037" Type="http://schemas.openxmlformats.org/officeDocument/2006/relationships/hyperlink" Target="..\01_DOCUMENT_SETS\ST-051-STD-10\03_Label.docx" TargetMode="External"/><Relationship Id="rId1244" Type="http://schemas.openxmlformats.org/officeDocument/2006/relationships/hyperlink" Target="..\01_DOCUMENT_SETS\ST-057-STD-01\02_EU_DoC.pdf" TargetMode="External"/><Relationship Id="rId1451" Type="http://schemas.openxmlformats.org/officeDocument/2006/relationships/hyperlink" Target="..\01_DOCUMENT_SETS\ST-063-STD-13\02_EU_DoC.docx" TargetMode="External"/><Relationship Id="rId1896" Type="http://schemas.openxmlformats.org/officeDocument/2006/relationships/hyperlink" Target="..\01_DOCUMENT_SETS\ST-076-EUR-02\04_Shipment_Statement.pdf" TargetMode="External"/><Relationship Id="rId919" Type="http://schemas.openxmlformats.org/officeDocument/2006/relationships/hyperlink" Target="..\01_DOCUMENT_SETS\ST-048-STD-08\04_Shipment_Statement.docx" TargetMode="External"/><Relationship Id="rId1104" Type="http://schemas.openxmlformats.org/officeDocument/2006/relationships/hyperlink" Target="..\01_DOCUMENT_SETS\ST-054-STD-06\04_Shipment_Statement.pdf" TargetMode="External"/><Relationship Id="rId1311" Type="http://schemas.openxmlformats.org/officeDocument/2006/relationships/hyperlink" Target="..\01_DOCUMENT_SETS\ST-060-STD-02\04_Shipment_Statement.docx" TargetMode="External"/><Relationship Id="rId1549" Type="http://schemas.openxmlformats.org/officeDocument/2006/relationships/hyperlink" Target="..\01_DOCUMENT_SETS\ST-068-STD-01\03_Label.docx" TargetMode="External"/><Relationship Id="rId1756" Type="http://schemas.openxmlformats.org/officeDocument/2006/relationships/hyperlink" Target="..\01_DOCUMENT_SETS\ST-072-STD-13\02_EU_DoC.pdf" TargetMode="External"/><Relationship Id="rId1963" Type="http://schemas.openxmlformats.org/officeDocument/2006/relationships/hyperlink" Target="..\01_DOCUMENT_SETS\ST-081-STD-01\02_EU_DoC.docx" TargetMode="External"/><Relationship Id="rId48" Type="http://schemas.openxmlformats.org/officeDocument/2006/relationships/hyperlink" Target="..\01_DOCUMENT_SETS\ST-018-EUR-03\04_Shipment_Statement.pdf" TargetMode="External"/><Relationship Id="rId1409" Type="http://schemas.openxmlformats.org/officeDocument/2006/relationships/hyperlink" Target="..\01_DOCUMENT_SETS\ST-063-STD-08\01_Technical_File.docx" TargetMode="External"/><Relationship Id="rId1616" Type="http://schemas.openxmlformats.org/officeDocument/2006/relationships/hyperlink" Target="..\01_DOCUMENT_SETS\ST-072-EUR-01\04_Shipment_Statement.pdf" TargetMode="External"/><Relationship Id="rId1823" Type="http://schemas.openxmlformats.org/officeDocument/2006/relationships/hyperlink" Target="..\01_DOCUMENT_SETS\ST-072-STD-21\04_Shipment_Statement.docx" TargetMode="External"/><Relationship Id="rId197" Type="http://schemas.openxmlformats.org/officeDocument/2006/relationships/hyperlink" Target="..\01_DOCUMENT_SETS\ST-024-EUR-02\03_Label.docx" TargetMode="External"/><Relationship Id="rId2085" Type="http://schemas.openxmlformats.org/officeDocument/2006/relationships/hyperlink" Target="..\01_DOCUMENT_SETS\ST-088-STD-07\03_Label.docx" TargetMode="External"/><Relationship Id="rId2292" Type="http://schemas.openxmlformats.org/officeDocument/2006/relationships/hyperlink" Target="..\01_DOCUMENT_SETS\ST-120-STD-03\02_EU_DoC.pdf" TargetMode="External"/><Relationship Id="rId264" Type="http://schemas.openxmlformats.org/officeDocument/2006/relationships/hyperlink" Target="..\01_DOCUMENT_SETS\ST-027-STD90-02\04_Shipment_Statement.pdf" TargetMode="External"/><Relationship Id="rId471" Type="http://schemas.openxmlformats.org/officeDocument/2006/relationships/hyperlink" Target="..\01_DOCUMENT_SETS\ST-036-STD-03\04_Shipment_Statement.docx" TargetMode="External"/><Relationship Id="rId2152" Type="http://schemas.openxmlformats.org/officeDocument/2006/relationships/hyperlink" Target="..\01_DOCUMENT_SETS\ST-096-EUR-05\04_Shipment_Statement.pdf" TargetMode="External"/><Relationship Id="rId124" Type="http://schemas.openxmlformats.org/officeDocument/2006/relationships/hyperlink" Target="..\01_DOCUMENT_SETS\ST-021-STD-01\02_EU_DoC.pdf" TargetMode="External"/><Relationship Id="rId569" Type="http://schemas.openxmlformats.org/officeDocument/2006/relationships/hyperlink" Target="..\01_DOCUMENT_SETS\ST-042-STD-02\01_Technical_File.docx" TargetMode="External"/><Relationship Id="rId776" Type="http://schemas.openxmlformats.org/officeDocument/2006/relationships/hyperlink" Target="..\01_DOCUMENT_SETS\ST-048-EUR-02\04_Shipment_Statement.pdf" TargetMode="External"/><Relationship Id="rId983" Type="http://schemas.openxmlformats.org/officeDocument/2006/relationships/hyperlink" Target="..\01_DOCUMENT_SETS\ST-051-STD-03\04_Shipment_Statement.docx" TargetMode="External"/><Relationship Id="rId1199" Type="http://schemas.openxmlformats.org/officeDocument/2006/relationships/hyperlink" Target="..\01_DOCUMENT_SETS\ST-056-STD-02\04_Shipment_Statement.docx" TargetMode="External"/><Relationship Id="rId331" Type="http://schemas.openxmlformats.org/officeDocument/2006/relationships/hyperlink" Target="..\01_DOCUMENT_SETS\ST-030-STD-08\02_EU_DoC.docx" TargetMode="External"/><Relationship Id="rId429" Type="http://schemas.openxmlformats.org/officeDocument/2006/relationships/hyperlink" Target="..\01_DOCUMENT_SETS\ST-036-EUR-05\03_Label.docx" TargetMode="External"/><Relationship Id="rId636" Type="http://schemas.openxmlformats.org/officeDocument/2006/relationships/hyperlink" Target="..\01_DOCUMENT_SETS\ST-044-STD-01\02_EU_DoC.pdf" TargetMode="External"/><Relationship Id="rId1059" Type="http://schemas.openxmlformats.org/officeDocument/2006/relationships/hyperlink" Target="..\01_DOCUMENT_SETS\ST-054-STD-01\02_EU_DoC.docx" TargetMode="External"/><Relationship Id="rId1266" Type="http://schemas.openxmlformats.org/officeDocument/2006/relationships/hyperlink" Target="..\01_DOCUMENT_SETS\ST-057-STD-04\01_Technical_File.pdf" TargetMode="External"/><Relationship Id="rId1473" Type="http://schemas.openxmlformats.org/officeDocument/2006/relationships/hyperlink" Target="..\01_DOCUMENT_SETS\ST-063-STD-16\01_Technical_File.docx" TargetMode="External"/><Relationship Id="rId2012" Type="http://schemas.openxmlformats.org/officeDocument/2006/relationships/hyperlink" Target="..\01_DOCUMENT_SETS\ST-087-STD-05\02_EU_DoC.pdf" TargetMode="External"/><Relationship Id="rId843" Type="http://schemas.openxmlformats.org/officeDocument/2006/relationships/hyperlink" Target="..\01_DOCUMENT_SETS\ST-048-EUR-11\02_EU_DoC.docx" TargetMode="External"/><Relationship Id="rId1126" Type="http://schemas.openxmlformats.org/officeDocument/2006/relationships/hyperlink" Target="..\01_DOCUMENT_SETS\ST-054-STD-09\03_Label.pdf" TargetMode="External"/><Relationship Id="rId1680" Type="http://schemas.openxmlformats.org/officeDocument/2006/relationships/hyperlink" Target="..\01_DOCUMENT_SETS\ST-072-STD-03\04_Shipment_Statement.pdf" TargetMode="External"/><Relationship Id="rId1778" Type="http://schemas.openxmlformats.org/officeDocument/2006/relationships/hyperlink" Target="..\01_DOCUMENT_SETS\ST-072-STD-16\01_Technical_File.pdf" TargetMode="External"/><Relationship Id="rId1985" Type="http://schemas.openxmlformats.org/officeDocument/2006/relationships/hyperlink" Target="..\01_DOCUMENT_SETS\ST-087-STD-02\01_Technical_File.docx" TargetMode="External"/><Relationship Id="rId703" Type="http://schemas.openxmlformats.org/officeDocument/2006/relationships/hyperlink" Target="..\01_DOCUMENT_SETS\ST-045-STD-07\04_Shipment_Statement.docx" TargetMode="External"/><Relationship Id="rId910" Type="http://schemas.openxmlformats.org/officeDocument/2006/relationships/hyperlink" Target="..\01_DOCUMENT_SETS\ST-048-STD-07\03_Label.pdf" TargetMode="External"/><Relationship Id="rId1333" Type="http://schemas.openxmlformats.org/officeDocument/2006/relationships/hyperlink" Target="..\01_DOCUMENT_SETS\ST-060-STD-05\03_Label.docx" TargetMode="External"/><Relationship Id="rId1540" Type="http://schemas.openxmlformats.org/officeDocument/2006/relationships/hyperlink" Target="..\01_DOCUMENT_SETS\ST-068-EUR-04\02_EU_DoC.pdf" TargetMode="External"/><Relationship Id="rId1638" Type="http://schemas.openxmlformats.org/officeDocument/2006/relationships/hyperlink" Target="..\01_DOCUMENT_SETS\ST-072-EUR-04\03_Label.pdf" TargetMode="External"/><Relationship Id="rId1400" Type="http://schemas.openxmlformats.org/officeDocument/2006/relationships/hyperlink" Target="..\01_DOCUMENT_SETS\ST-063-STD-06\04_Shipment_Statement.pdf" TargetMode="External"/><Relationship Id="rId1845" Type="http://schemas.openxmlformats.org/officeDocument/2006/relationships/hyperlink" Target="..\01_DOCUMENT_SETS\ST-072-STD-24\03_Label.docx" TargetMode="External"/><Relationship Id="rId1705" Type="http://schemas.openxmlformats.org/officeDocument/2006/relationships/hyperlink" Target="..\01_DOCUMENT_SETS\ST-072-STD-07\01_Technical_File.docx" TargetMode="External"/><Relationship Id="rId1912" Type="http://schemas.openxmlformats.org/officeDocument/2006/relationships/hyperlink" Target="..\01_DOCUMENT_SETS\ST-076-EUR-04\04_Shipment_Statement.pdf" TargetMode="External"/><Relationship Id="rId286" Type="http://schemas.openxmlformats.org/officeDocument/2006/relationships/hyperlink" Target="..\01_DOCUMENT_SETS\ST-030-STD-02\03_Label.pdf" TargetMode="External"/><Relationship Id="rId493" Type="http://schemas.openxmlformats.org/officeDocument/2006/relationships/hyperlink" Target="..\01_DOCUMENT_SETS\ST-036-STD-06\03_Label.docx" TargetMode="External"/><Relationship Id="rId2174" Type="http://schemas.openxmlformats.org/officeDocument/2006/relationships/hyperlink" Target="..\01_DOCUMENT_SETS\ST-096-EUR-08\03_Label.pdf" TargetMode="External"/><Relationship Id="rId146" Type="http://schemas.openxmlformats.org/officeDocument/2006/relationships/hyperlink" Target="..\01_DOCUMENT_SETS\ST-021-STD-04\01_Technical_File.pdf" TargetMode="External"/><Relationship Id="rId353" Type="http://schemas.openxmlformats.org/officeDocument/2006/relationships/hyperlink" Target="..\01_DOCUMENT_SETS\ST-030-STD-11\01_Technical_File.docx" TargetMode="External"/><Relationship Id="rId560" Type="http://schemas.openxmlformats.org/officeDocument/2006/relationships/hyperlink" Target="..\01_DOCUMENT_SETS\ST-042-EUR-04\04_Shipment_Statement.pdf" TargetMode="External"/><Relationship Id="rId798" Type="http://schemas.openxmlformats.org/officeDocument/2006/relationships/hyperlink" Target="..\01_DOCUMENT_SETS\ST-048-EUR-05\03_Label.pdf" TargetMode="External"/><Relationship Id="rId1190" Type="http://schemas.openxmlformats.org/officeDocument/2006/relationships/hyperlink" Target="..\01_DOCUMENT_SETS\ST-056-STD-01\03_Label.pdf" TargetMode="External"/><Relationship Id="rId2034" Type="http://schemas.openxmlformats.org/officeDocument/2006/relationships/hyperlink" Target="..\01_DOCUMENT_SETS\ST-088-STD-01\01_Technical_File.pdf" TargetMode="External"/><Relationship Id="rId2241" Type="http://schemas.openxmlformats.org/officeDocument/2006/relationships/hyperlink" Target="..\01_DOCUMENT_SETS\ST-096-STD-07\01_Technical_File.docx" TargetMode="External"/><Relationship Id="rId213" Type="http://schemas.openxmlformats.org/officeDocument/2006/relationships/hyperlink" Target="..\01_DOCUMENT_SETS\ST-024-EUR-04\03_Label.docx" TargetMode="External"/><Relationship Id="rId420" Type="http://schemas.openxmlformats.org/officeDocument/2006/relationships/hyperlink" Target="..\01_DOCUMENT_SETS\ST-036-EUR-04\02_EU_DoC.pdf" TargetMode="External"/><Relationship Id="rId658" Type="http://schemas.openxmlformats.org/officeDocument/2006/relationships/hyperlink" Target="..\01_DOCUMENT_SETS\ST-045-STD-02\01_Technical_File.pdf" TargetMode="External"/><Relationship Id="rId865" Type="http://schemas.openxmlformats.org/officeDocument/2006/relationships/hyperlink" Target="..\01_DOCUMENT_SETS\ST-048-STD-02\01_Technical_File.docx" TargetMode="External"/><Relationship Id="rId1050" Type="http://schemas.openxmlformats.org/officeDocument/2006/relationships/hyperlink" Target="..\01_DOCUMENT_SETS\ST-054-EUR-01\01_Technical_File.pdf" TargetMode="External"/><Relationship Id="rId1288" Type="http://schemas.openxmlformats.org/officeDocument/2006/relationships/hyperlink" Target="..\01_DOCUMENT_SETS\ST-060-EUR-01\04_Shipment_Statement.pdf" TargetMode="External"/><Relationship Id="rId1495" Type="http://schemas.openxmlformats.org/officeDocument/2006/relationships/hyperlink" Target="..\01_DOCUMENT_SETS\ST-066-STD-01\04_Shipment_Statement.docx" TargetMode="External"/><Relationship Id="rId2101" Type="http://schemas.openxmlformats.org/officeDocument/2006/relationships/hyperlink" Target="..\01_DOCUMENT_SETS\ST-090-STD-01\03_Label.docx" TargetMode="External"/><Relationship Id="rId518" Type="http://schemas.openxmlformats.org/officeDocument/2006/relationships/hyperlink" Target="..\01_DOCUMENT_SETS\ST-036-STD-09\03_Label.pdf" TargetMode="External"/><Relationship Id="rId725" Type="http://schemas.openxmlformats.org/officeDocument/2006/relationships/hyperlink" Target="..\01_DOCUMENT_SETS\ST-045-STD-10\03_Label.docx" TargetMode="External"/><Relationship Id="rId932" Type="http://schemas.openxmlformats.org/officeDocument/2006/relationships/hyperlink" Target="..\01_DOCUMENT_SETS\ST-051-EUR-01\02_EU_DoC.pdf" TargetMode="External"/><Relationship Id="rId1148" Type="http://schemas.openxmlformats.org/officeDocument/2006/relationships/hyperlink" Target="..\01_DOCUMENT_SETS\ST-054-STD-12\02_EU_DoC.pdf" TargetMode="External"/><Relationship Id="rId1355" Type="http://schemas.openxmlformats.org/officeDocument/2006/relationships/hyperlink" Target="..\01_DOCUMENT_SETS\ST-063-STD-01\02_EU_DoC.docx" TargetMode="External"/><Relationship Id="rId1562" Type="http://schemas.openxmlformats.org/officeDocument/2006/relationships/hyperlink" Target="..\01_DOCUMENT_SETS\ST-068-STD-03\01_Technical_File.pdf" TargetMode="External"/><Relationship Id="rId1008" Type="http://schemas.openxmlformats.org/officeDocument/2006/relationships/hyperlink" Target="..\01_DOCUMENT_SETS\ST-051-STD-06\04_Shipment_Statement.pdf" TargetMode="External"/><Relationship Id="rId1215" Type="http://schemas.openxmlformats.org/officeDocument/2006/relationships/hyperlink" Target="..\01_DOCUMENT_SETS\ST-057-EUR-02\04_Shipment_Statement.docx" TargetMode="External"/><Relationship Id="rId1422" Type="http://schemas.openxmlformats.org/officeDocument/2006/relationships/hyperlink" Target="..\01_DOCUMENT_SETS\ST-063-STD-09\03_Label.pdf" TargetMode="External"/><Relationship Id="rId1867" Type="http://schemas.openxmlformats.org/officeDocument/2006/relationships/hyperlink" Target="..\01_DOCUMENT_SETS\ST-072-STD-27\02_EU_DoC.docx" TargetMode="External"/><Relationship Id="rId61" Type="http://schemas.openxmlformats.org/officeDocument/2006/relationships/hyperlink" Target="..\01_DOCUMENT_SETS\ST-018-EUR-05\03_Label.docx" TargetMode="External"/><Relationship Id="rId1727" Type="http://schemas.openxmlformats.org/officeDocument/2006/relationships/hyperlink" Target="..\01_DOCUMENT_SETS\ST-072-STD-09\04_Shipment_Statement.docx" TargetMode="External"/><Relationship Id="rId1934" Type="http://schemas.openxmlformats.org/officeDocument/2006/relationships/hyperlink" Target="..\01_DOCUMENT_SETS\ST-076-STD-03\03_Label.pdf" TargetMode="External"/><Relationship Id="rId19" Type="http://schemas.openxmlformats.org/officeDocument/2006/relationships/hyperlink" Target="..\01_DOCUMENT_SETS\ST-012-EUR-03\02_EU_DoC.docx" TargetMode="External"/><Relationship Id="rId2196" Type="http://schemas.openxmlformats.org/officeDocument/2006/relationships/hyperlink" Target="..\01_DOCUMENT_SETS\ST-096-STD-01\02_EU_DoC.pdf" TargetMode="External"/><Relationship Id="rId168" Type="http://schemas.openxmlformats.org/officeDocument/2006/relationships/hyperlink" Target="..\01_DOCUMENT_SETS\ST-021-STD-06\04_Shipment_Statement.pdf" TargetMode="External"/><Relationship Id="rId375" Type="http://schemas.openxmlformats.org/officeDocument/2006/relationships/hyperlink" Target="..\01_DOCUMENT_SETS\ST-033-EUR-01\04_Shipment_Statement.docx" TargetMode="External"/><Relationship Id="rId582" Type="http://schemas.openxmlformats.org/officeDocument/2006/relationships/hyperlink" Target="..\01_DOCUMENT_SETS\ST-042-STD-03\03_Label.pdf" TargetMode="External"/><Relationship Id="rId2056" Type="http://schemas.openxmlformats.org/officeDocument/2006/relationships/hyperlink" Target="..\01_DOCUMENT_SETS\ST-088-STD-03\04_Shipment_Statement.pdf" TargetMode="External"/><Relationship Id="rId2263" Type="http://schemas.openxmlformats.org/officeDocument/2006/relationships/hyperlink" Target="..\01_DOCUMENT_SETS\ST-105-STD-01\04_Shipment_Statement.docx" TargetMode="External"/><Relationship Id="rId3" Type="http://schemas.openxmlformats.org/officeDocument/2006/relationships/hyperlink" Target="..\01_DOCUMENT_SETS\ST-012-EUR-01\02_EU_DoC.docx" TargetMode="External"/><Relationship Id="rId235" Type="http://schemas.openxmlformats.org/officeDocument/2006/relationships/hyperlink" Target="..\01_DOCUMENT_SETS\ST-024-STD-03\02_EU_DoC.docx" TargetMode="External"/><Relationship Id="rId442" Type="http://schemas.openxmlformats.org/officeDocument/2006/relationships/hyperlink" Target="..\01_DOCUMENT_SETS\ST-036-EUR-07\01_Technical_File.pdf" TargetMode="External"/><Relationship Id="rId887" Type="http://schemas.openxmlformats.org/officeDocument/2006/relationships/hyperlink" Target="..\01_DOCUMENT_SETS\ST-048-STD-04\04_Shipment_Statement.docx" TargetMode="External"/><Relationship Id="rId1072" Type="http://schemas.openxmlformats.org/officeDocument/2006/relationships/hyperlink" Target="..\01_DOCUMENT_SETS\ST-054-STD-02\04_Shipment_Statement.pdf" TargetMode="External"/><Relationship Id="rId2123" Type="http://schemas.openxmlformats.org/officeDocument/2006/relationships/hyperlink" Target="..\01_DOCUMENT_SETS\ST-096-EUR-02\02_EU_DoC.docx" TargetMode="External"/><Relationship Id="rId302" Type="http://schemas.openxmlformats.org/officeDocument/2006/relationships/hyperlink" Target="..\01_DOCUMENT_SETS\ST-030-STD-04\03_Label.pdf" TargetMode="External"/><Relationship Id="rId747" Type="http://schemas.openxmlformats.org/officeDocument/2006/relationships/hyperlink" Target="..\01_DOCUMENT_SETS\ST-045-STD-13\02_EU_DoC.docx" TargetMode="External"/><Relationship Id="rId954" Type="http://schemas.openxmlformats.org/officeDocument/2006/relationships/hyperlink" Target="..\01_DOCUMENT_SETS\ST-051-EUR-04\01_Technical_File.pdf" TargetMode="External"/><Relationship Id="rId1377" Type="http://schemas.openxmlformats.org/officeDocument/2006/relationships/hyperlink" Target="..\01_DOCUMENT_SETS\ST-063-STD-04\01_Technical_File.docx" TargetMode="External"/><Relationship Id="rId1584" Type="http://schemas.openxmlformats.org/officeDocument/2006/relationships/hyperlink" Target="..\01_DOCUMENT_SETS\ST-068-STD-05\04_Shipment_Statement.pdf" TargetMode="External"/><Relationship Id="rId1791" Type="http://schemas.openxmlformats.org/officeDocument/2006/relationships/hyperlink" Target="..\01_DOCUMENT_SETS\ST-072-STD-17\04_Shipment_Statement.docx" TargetMode="External"/><Relationship Id="rId83" Type="http://schemas.openxmlformats.org/officeDocument/2006/relationships/hyperlink" Target="..\01_DOCUMENT_SETS\ST-021-EUR-01\02_EU_DoC.docx" TargetMode="External"/><Relationship Id="rId607" Type="http://schemas.openxmlformats.org/officeDocument/2006/relationships/hyperlink" Target="..\01_DOCUMENT_SETS\ST-042-STD-06\04_Shipment_Statement.docx" TargetMode="External"/><Relationship Id="rId814" Type="http://schemas.openxmlformats.org/officeDocument/2006/relationships/hyperlink" Target="..\01_DOCUMENT_SETS\ST-048-EUR-07\03_Label.pdf" TargetMode="External"/><Relationship Id="rId1237" Type="http://schemas.openxmlformats.org/officeDocument/2006/relationships/hyperlink" Target="..\01_DOCUMENT_SETS\ST-057-EUR-05\03_Label.docx" TargetMode="External"/><Relationship Id="rId1444" Type="http://schemas.openxmlformats.org/officeDocument/2006/relationships/hyperlink" Target="..\01_DOCUMENT_SETS\ST-063-STD-12\02_EU_DoC.pdf" TargetMode="External"/><Relationship Id="rId1651" Type="http://schemas.openxmlformats.org/officeDocument/2006/relationships/hyperlink" Target="..\01_DOCUMENT_SETS\ST-072-EUR-06\02_EU_DoC.docx" TargetMode="External"/><Relationship Id="rId1889" Type="http://schemas.openxmlformats.org/officeDocument/2006/relationships/hyperlink" Target="..\01_DOCUMENT_SETS\ST-076-EUR-02\01_Technical_File.docx" TargetMode="External"/><Relationship Id="rId1304" Type="http://schemas.openxmlformats.org/officeDocument/2006/relationships/hyperlink" Target="..\01_DOCUMENT_SETS\ST-060-STD-01\04_Shipment_Statement.pdf" TargetMode="External"/><Relationship Id="rId1511" Type="http://schemas.openxmlformats.org/officeDocument/2006/relationships/hyperlink" Target="..\01_DOCUMENT_SETS\ST-066-STD-03\04_Shipment_Statement.docx" TargetMode="External"/><Relationship Id="rId1749" Type="http://schemas.openxmlformats.org/officeDocument/2006/relationships/hyperlink" Target="..\01_DOCUMENT_SETS\ST-072-STD-12\03_Label.docx" TargetMode="External"/><Relationship Id="rId1956" Type="http://schemas.openxmlformats.org/officeDocument/2006/relationships/hyperlink" Target="..\01_DOCUMENT_SETS\ST-081-EUR-01\02_EU_DoC.pdf" TargetMode="External"/><Relationship Id="rId1609" Type="http://schemas.openxmlformats.org/officeDocument/2006/relationships/hyperlink" Target="..\01_DOCUMENT_SETS\ST-072-EUR-01\01_Technical_File.docx" TargetMode="External"/><Relationship Id="rId1816" Type="http://schemas.openxmlformats.org/officeDocument/2006/relationships/hyperlink" Target="..\01_DOCUMENT_SETS\ST-072-STD-20\04_Shipment_Statement.pdf" TargetMode="External"/><Relationship Id="rId10" Type="http://schemas.openxmlformats.org/officeDocument/2006/relationships/hyperlink" Target="..\01_DOCUMENT_SETS\ST-012-EUR-02\01_Technical_File.pdf" TargetMode="External"/><Relationship Id="rId397" Type="http://schemas.openxmlformats.org/officeDocument/2006/relationships/hyperlink" Target="..\01_DOCUMENT_SETS\ST-036-EUR-01\03_Label.docx" TargetMode="External"/><Relationship Id="rId2078" Type="http://schemas.openxmlformats.org/officeDocument/2006/relationships/hyperlink" Target="..\01_DOCUMENT_SETS\ST-088-STD-06\03_Label.pdf" TargetMode="External"/><Relationship Id="rId2285" Type="http://schemas.openxmlformats.org/officeDocument/2006/relationships/hyperlink" Target="..\01_DOCUMENT_SETS\ST-120-STD-02\03_Label.docx" TargetMode="External"/><Relationship Id="rId257" Type="http://schemas.openxmlformats.org/officeDocument/2006/relationships/hyperlink" Target="..\01_DOCUMENT_SETS\ST-027-STD90-02\01_Technical_File.docx" TargetMode="External"/><Relationship Id="rId464" Type="http://schemas.openxmlformats.org/officeDocument/2006/relationships/hyperlink" Target="..\01_DOCUMENT_SETS\ST-036-STD-02\04_Shipment_Statement.pdf" TargetMode="External"/><Relationship Id="rId1094" Type="http://schemas.openxmlformats.org/officeDocument/2006/relationships/hyperlink" Target="..\01_DOCUMENT_SETS\ST-054-STD-05\03_Label.pdf" TargetMode="External"/><Relationship Id="rId2145" Type="http://schemas.openxmlformats.org/officeDocument/2006/relationships/hyperlink" Target="..\01_DOCUMENT_SETS\ST-096-EUR-05\01_Technical_File.docx" TargetMode="External"/><Relationship Id="rId117" Type="http://schemas.openxmlformats.org/officeDocument/2006/relationships/hyperlink" Target="..\01_DOCUMENT_SETS\ST-021-EUR-05\03_Label.docx" TargetMode="External"/><Relationship Id="rId671" Type="http://schemas.openxmlformats.org/officeDocument/2006/relationships/hyperlink" Target="..\01_DOCUMENT_SETS\ST-045-STD-03\04_Shipment_Statement.docx" TargetMode="External"/><Relationship Id="rId769" Type="http://schemas.openxmlformats.org/officeDocument/2006/relationships/hyperlink" Target="..\01_DOCUMENT_SETS\ST-048-EUR-02\01_Technical_File.docx" TargetMode="External"/><Relationship Id="rId976" Type="http://schemas.openxmlformats.org/officeDocument/2006/relationships/hyperlink" Target="..\01_DOCUMENT_SETS\ST-051-STD-02\04_Shipment_Statement.pdf" TargetMode="External"/><Relationship Id="rId1399" Type="http://schemas.openxmlformats.org/officeDocument/2006/relationships/hyperlink" Target="..\01_DOCUMENT_SETS\ST-063-STD-06\04_Shipment_Statement.docx" TargetMode="External"/><Relationship Id="rId324" Type="http://schemas.openxmlformats.org/officeDocument/2006/relationships/hyperlink" Target="..\01_DOCUMENT_SETS\ST-030-STD-07\02_EU_DoC.pdf" TargetMode="External"/><Relationship Id="rId531" Type="http://schemas.openxmlformats.org/officeDocument/2006/relationships/hyperlink" Target="..\01_DOCUMENT_SETS\ST-042-EUR-01\02_EU_DoC.docx" TargetMode="External"/><Relationship Id="rId629" Type="http://schemas.openxmlformats.org/officeDocument/2006/relationships/hyperlink" Target="..\01_DOCUMENT_SETS\ST-042-STD-09\03_Label.docx" TargetMode="External"/><Relationship Id="rId1161" Type="http://schemas.openxmlformats.org/officeDocument/2006/relationships/hyperlink" Target="..\01_DOCUMENT_SETS\ST-056-EUR-02\01_Technical_File.docx" TargetMode="External"/><Relationship Id="rId1259" Type="http://schemas.openxmlformats.org/officeDocument/2006/relationships/hyperlink" Target="..\01_DOCUMENT_SETS\ST-057-STD-03\02_EU_DoC.docx" TargetMode="External"/><Relationship Id="rId1466" Type="http://schemas.openxmlformats.org/officeDocument/2006/relationships/hyperlink" Target="..\01_DOCUMENT_SETS\ST-063-STD-15\01_Technical_File.pdf" TargetMode="External"/><Relationship Id="rId2005" Type="http://schemas.openxmlformats.org/officeDocument/2006/relationships/hyperlink" Target="..\01_DOCUMENT_SETS\ST-087-STD-04\03_Label.docx" TargetMode="External"/><Relationship Id="rId2212" Type="http://schemas.openxmlformats.org/officeDocument/2006/relationships/hyperlink" Target="..\01_DOCUMENT_SETS\ST-096-STD-03\02_EU_DoC.pdf" TargetMode="External"/><Relationship Id="rId836" Type="http://schemas.openxmlformats.org/officeDocument/2006/relationships/hyperlink" Target="..\01_DOCUMENT_SETS\ST-048-EUR-10\02_EU_DoC.pdf" TargetMode="External"/><Relationship Id="rId1021" Type="http://schemas.openxmlformats.org/officeDocument/2006/relationships/hyperlink" Target="..\01_DOCUMENT_SETS\ST-051-STD-08\03_Label.docx" TargetMode="External"/><Relationship Id="rId1119" Type="http://schemas.openxmlformats.org/officeDocument/2006/relationships/hyperlink" Target="..\01_DOCUMENT_SETS\ST-054-STD-08\04_Shipment_Statement.docx" TargetMode="External"/><Relationship Id="rId1673" Type="http://schemas.openxmlformats.org/officeDocument/2006/relationships/hyperlink" Target="..\01_DOCUMENT_SETS\ST-072-STD-03\01_Technical_File.docx" TargetMode="External"/><Relationship Id="rId1880" Type="http://schemas.openxmlformats.org/officeDocument/2006/relationships/hyperlink" Target="..\01_DOCUMENT_SETS\ST-072-STD-28\04_Shipment_Statement.pdf" TargetMode="External"/><Relationship Id="rId1978" Type="http://schemas.openxmlformats.org/officeDocument/2006/relationships/hyperlink" Target="..\01_DOCUMENT_SETS\ST-087-STD-01\01_Technical_File.pdf" TargetMode="External"/><Relationship Id="rId903" Type="http://schemas.openxmlformats.org/officeDocument/2006/relationships/hyperlink" Target="..\01_DOCUMENT_SETS\ST-048-STD-06\04_Shipment_Statement.docx" TargetMode="External"/><Relationship Id="rId1326" Type="http://schemas.openxmlformats.org/officeDocument/2006/relationships/hyperlink" Target="..\01_DOCUMENT_SETS\ST-060-STD-04\03_Label.pdf" TargetMode="External"/><Relationship Id="rId1533" Type="http://schemas.openxmlformats.org/officeDocument/2006/relationships/hyperlink" Target="..\01_DOCUMENT_SETS\ST-068-EUR-03\03_Label.docx" TargetMode="External"/><Relationship Id="rId1740" Type="http://schemas.openxmlformats.org/officeDocument/2006/relationships/hyperlink" Target="..\01_DOCUMENT_SETS\ST-072-STD-11\02_EU_DoC.pdf" TargetMode="External"/><Relationship Id="rId32" Type="http://schemas.openxmlformats.org/officeDocument/2006/relationships/hyperlink" Target="..\01_DOCUMENT_SETS\ST-018-EUR-01\04_Shipment_Statement.pdf" TargetMode="External"/><Relationship Id="rId1600" Type="http://schemas.openxmlformats.org/officeDocument/2006/relationships/hyperlink" Target="..\01_DOCUMENT_SETS\ST-068-STD-07\04_Shipment_Statement.pdf" TargetMode="External"/><Relationship Id="rId1838" Type="http://schemas.openxmlformats.org/officeDocument/2006/relationships/hyperlink" Target="..\01_DOCUMENT_SETS\ST-072-STD-23\03_Label.pdf" TargetMode="External"/><Relationship Id="rId181" Type="http://schemas.openxmlformats.org/officeDocument/2006/relationships/hyperlink" Target="..\01_DOCUMENT_SETS\ST-021-STD-08\03_Label.docx" TargetMode="External"/><Relationship Id="rId1905" Type="http://schemas.openxmlformats.org/officeDocument/2006/relationships/hyperlink" Target="..\01_DOCUMENT_SETS\ST-076-EUR-04\01_Technical_File.docx" TargetMode="External"/><Relationship Id="rId279" Type="http://schemas.openxmlformats.org/officeDocument/2006/relationships/hyperlink" Target="..\01_DOCUMENT_SETS\ST-030-STD-01\04_Shipment_Statement.docx" TargetMode="External"/><Relationship Id="rId486" Type="http://schemas.openxmlformats.org/officeDocument/2006/relationships/hyperlink" Target="..\01_DOCUMENT_SETS\ST-036-STD-05\03_Label.pdf" TargetMode="External"/><Relationship Id="rId693" Type="http://schemas.openxmlformats.org/officeDocument/2006/relationships/hyperlink" Target="..\01_DOCUMENT_SETS\ST-045-STD-06\03_Label.docx" TargetMode="External"/><Relationship Id="rId2167" Type="http://schemas.openxmlformats.org/officeDocument/2006/relationships/hyperlink" Target="..\01_DOCUMENT_SETS\ST-096-EUR-07\04_Shipment_Statement.docx" TargetMode="External"/><Relationship Id="rId139" Type="http://schemas.openxmlformats.org/officeDocument/2006/relationships/hyperlink" Target="..\01_DOCUMENT_SETS\ST-021-STD-03\02_EU_DoC.docx" TargetMode="External"/><Relationship Id="rId346" Type="http://schemas.openxmlformats.org/officeDocument/2006/relationships/hyperlink" Target="..\01_DOCUMENT_SETS\ST-030-STD-10\01_Technical_File.pdf" TargetMode="External"/><Relationship Id="rId553" Type="http://schemas.openxmlformats.org/officeDocument/2006/relationships/hyperlink" Target="..\01_DOCUMENT_SETS\ST-042-EUR-04\01_Technical_File.docx" TargetMode="External"/><Relationship Id="rId760" Type="http://schemas.openxmlformats.org/officeDocument/2006/relationships/hyperlink" Target="..\01_DOCUMENT_SETS\ST-045-STD-14\04_Shipment_Statement.pdf" TargetMode="External"/><Relationship Id="rId998" Type="http://schemas.openxmlformats.org/officeDocument/2006/relationships/hyperlink" Target="..\01_DOCUMENT_SETS\ST-051-STD-05\03_Label.pdf" TargetMode="External"/><Relationship Id="rId1183" Type="http://schemas.openxmlformats.org/officeDocument/2006/relationships/hyperlink" Target="..\01_DOCUMENT_SETS\ST-056-EUR-04\04_Shipment_Statement.docx" TargetMode="External"/><Relationship Id="rId1390" Type="http://schemas.openxmlformats.org/officeDocument/2006/relationships/hyperlink" Target="..\01_DOCUMENT_SETS\ST-063-STD-05\03_Label.pdf" TargetMode="External"/><Relationship Id="rId2027" Type="http://schemas.openxmlformats.org/officeDocument/2006/relationships/hyperlink" Target="..\01_DOCUMENT_SETS\ST-087-STD-07\02_EU_DoC.docx" TargetMode="External"/><Relationship Id="rId2234" Type="http://schemas.openxmlformats.org/officeDocument/2006/relationships/hyperlink" Target="..\01_DOCUMENT_SETS\ST-096-STD-06\01_Technical_File.pdf" TargetMode="External"/><Relationship Id="rId206" Type="http://schemas.openxmlformats.org/officeDocument/2006/relationships/hyperlink" Target="..\01_DOCUMENT_SETS\ST-024-EUR-03\03_Label.pdf" TargetMode="External"/><Relationship Id="rId413" Type="http://schemas.openxmlformats.org/officeDocument/2006/relationships/hyperlink" Target="..\01_DOCUMENT_SETS\ST-036-EUR-03\03_Label.docx" TargetMode="External"/><Relationship Id="rId858" Type="http://schemas.openxmlformats.org/officeDocument/2006/relationships/hyperlink" Target="..\01_DOCUMENT_SETS\ST-048-STD-01\01_Technical_File.pdf" TargetMode="External"/><Relationship Id="rId1043" Type="http://schemas.openxmlformats.org/officeDocument/2006/relationships/hyperlink" Target="..\01_DOCUMENT_SETS\ST-051-STD-11\02_EU_DoC.docx" TargetMode="External"/><Relationship Id="rId1488" Type="http://schemas.openxmlformats.org/officeDocument/2006/relationships/hyperlink" Target="..\01_DOCUMENT_SETS\ST-064-EUR-01\04_Shipment_Statement.pdf" TargetMode="External"/><Relationship Id="rId1695" Type="http://schemas.openxmlformats.org/officeDocument/2006/relationships/hyperlink" Target="..\01_DOCUMENT_SETS\ST-072-STD-05\04_Shipment_Statement.docx" TargetMode="External"/><Relationship Id="rId620" Type="http://schemas.openxmlformats.org/officeDocument/2006/relationships/hyperlink" Target="..\01_DOCUMENT_SETS\ST-042-STD-08\02_EU_DoC.pdf" TargetMode="External"/><Relationship Id="rId718" Type="http://schemas.openxmlformats.org/officeDocument/2006/relationships/hyperlink" Target="..\01_DOCUMENT_SETS\ST-045-STD-09\03_Label.pdf" TargetMode="External"/><Relationship Id="rId925" Type="http://schemas.openxmlformats.org/officeDocument/2006/relationships/hyperlink" Target="..\01_DOCUMENT_SETS\ST-048-STD-09\03_Label.docx" TargetMode="External"/><Relationship Id="rId1250" Type="http://schemas.openxmlformats.org/officeDocument/2006/relationships/hyperlink" Target="..\01_DOCUMENT_SETS\ST-057-STD-02\01_Technical_File.pdf" TargetMode="External"/><Relationship Id="rId1348" Type="http://schemas.openxmlformats.org/officeDocument/2006/relationships/hyperlink" Target="..\01_DOCUMENT_SETS\ST-063-EUR-02\02_EU_DoC.pdf" TargetMode="External"/><Relationship Id="rId1555" Type="http://schemas.openxmlformats.org/officeDocument/2006/relationships/hyperlink" Target="..\01_DOCUMENT_SETS\ST-068-STD-02\02_EU_DoC.docx" TargetMode="External"/><Relationship Id="rId1762" Type="http://schemas.openxmlformats.org/officeDocument/2006/relationships/hyperlink" Target="..\01_DOCUMENT_SETS\ST-072-STD-14\01_Technical_File.pdf" TargetMode="External"/><Relationship Id="rId1110" Type="http://schemas.openxmlformats.org/officeDocument/2006/relationships/hyperlink" Target="..\01_DOCUMENT_SETS\ST-054-STD-07\03_Label.pdf" TargetMode="External"/><Relationship Id="rId1208" Type="http://schemas.openxmlformats.org/officeDocument/2006/relationships/hyperlink" Target="..\01_DOCUMENT_SETS\ST-057-EUR-01\04_Shipment_Statement.pdf" TargetMode="External"/><Relationship Id="rId1415" Type="http://schemas.openxmlformats.org/officeDocument/2006/relationships/hyperlink" Target="..\01_DOCUMENT_SETS\ST-063-STD-08\04_Shipment_Statement.docx" TargetMode="External"/><Relationship Id="rId54" Type="http://schemas.openxmlformats.org/officeDocument/2006/relationships/hyperlink" Target="..\01_DOCUMENT_SETS\ST-018-EUR-04\03_Label.pdf" TargetMode="External"/><Relationship Id="rId1622" Type="http://schemas.openxmlformats.org/officeDocument/2006/relationships/hyperlink" Target="..\01_DOCUMENT_SETS\ST-072-EUR-02\03_Label.pdf" TargetMode="External"/><Relationship Id="rId1927" Type="http://schemas.openxmlformats.org/officeDocument/2006/relationships/hyperlink" Target="..\01_DOCUMENT_SETS\ST-076-STD-02\04_Shipment_Statement.docx" TargetMode="External"/><Relationship Id="rId2091" Type="http://schemas.openxmlformats.org/officeDocument/2006/relationships/hyperlink" Target="..\01_DOCUMENT_SETS\ST-088-STD-08\02_EU_DoC.docx" TargetMode="External"/><Relationship Id="rId2189" Type="http://schemas.openxmlformats.org/officeDocument/2006/relationships/hyperlink" Target="..\01_DOCUMENT_SETS\ST-096-EUR-10\03_Label.docx" TargetMode="External"/><Relationship Id="rId270" Type="http://schemas.openxmlformats.org/officeDocument/2006/relationships/hyperlink" Target="..\01_DOCUMENT_SETS\ST-028-STD-01\03_Label.pdf" TargetMode="External"/><Relationship Id="rId130" Type="http://schemas.openxmlformats.org/officeDocument/2006/relationships/hyperlink" Target="..\01_DOCUMENT_SETS\ST-021-STD-02\01_Technical_File.pdf" TargetMode="External"/><Relationship Id="rId368" Type="http://schemas.openxmlformats.org/officeDocument/2006/relationships/hyperlink" Target="..\01_DOCUMENT_SETS\ST-030-STD-12\04_Shipment_Statement.pdf" TargetMode="External"/><Relationship Id="rId575" Type="http://schemas.openxmlformats.org/officeDocument/2006/relationships/hyperlink" Target="..\01_DOCUMENT_SETS\ST-042-STD-02\04_Shipment_Statement.docx" TargetMode="External"/><Relationship Id="rId782" Type="http://schemas.openxmlformats.org/officeDocument/2006/relationships/hyperlink" Target="..\01_DOCUMENT_SETS\ST-048-EUR-03\03_Label.pdf" TargetMode="External"/><Relationship Id="rId2049" Type="http://schemas.openxmlformats.org/officeDocument/2006/relationships/hyperlink" Target="..\01_DOCUMENT_SETS\ST-088-STD-03\01_Technical_File.docx" TargetMode="External"/><Relationship Id="rId2256" Type="http://schemas.openxmlformats.org/officeDocument/2006/relationships/hyperlink" Target="..\01_DOCUMENT_SETS\ST-096-STD-08\04_Shipment_Statement.pdf" TargetMode="External"/><Relationship Id="rId228" Type="http://schemas.openxmlformats.org/officeDocument/2006/relationships/hyperlink" Target="..\01_DOCUMENT_SETS\ST-024-STD-02\02_EU_DoC.pdf" TargetMode="External"/><Relationship Id="rId435" Type="http://schemas.openxmlformats.org/officeDocument/2006/relationships/hyperlink" Target="..\01_DOCUMENT_SETS\ST-036-EUR-06\02_EU_DoC.docx" TargetMode="External"/><Relationship Id="rId642" Type="http://schemas.openxmlformats.org/officeDocument/2006/relationships/hyperlink" Target="..\01_DOCUMENT_SETS\ST-045-EUR-01\01_Technical_File.pdf" TargetMode="External"/><Relationship Id="rId1065" Type="http://schemas.openxmlformats.org/officeDocument/2006/relationships/hyperlink" Target="..\01_DOCUMENT_SETS\ST-054-STD-02\01_Technical_File.docx" TargetMode="External"/><Relationship Id="rId1272" Type="http://schemas.openxmlformats.org/officeDocument/2006/relationships/hyperlink" Target="..\01_DOCUMENT_SETS\ST-057-STD-04\04_Shipment_Statement.pdf" TargetMode="External"/><Relationship Id="rId2116" Type="http://schemas.openxmlformats.org/officeDocument/2006/relationships/hyperlink" Target="..\01_DOCUMENT_SETS\ST-096-EUR-01\02_EU_DoC.pdf" TargetMode="External"/><Relationship Id="rId502" Type="http://schemas.openxmlformats.org/officeDocument/2006/relationships/hyperlink" Target="..\01_DOCUMENT_SETS\ST-036-STD-07\03_Label.pdf" TargetMode="External"/><Relationship Id="rId947" Type="http://schemas.openxmlformats.org/officeDocument/2006/relationships/hyperlink" Target="..\01_DOCUMENT_SETS\ST-051-EUR-03\02_EU_DoC.docx" TargetMode="External"/><Relationship Id="rId1132" Type="http://schemas.openxmlformats.org/officeDocument/2006/relationships/hyperlink" Target="..\01_DOCUMENT_SETS\ST-054-STD-10\02_EU_DoC.pdf" TargetMode="External"/><Relationship Id="rId1577" Type="http://schemas.openxmlformats.org/officeDocument/2006/relationships/hyperlink" Target="..\01_DOCUMENT_SETS\ST-068-STD-05\01_Technical_File.docx" TargetMode="External"/><Relationship Id="rId1784" Type="http://schemas.openxmlformats.org/officeDocument/2006/relationships/hyperlink" Target="..\01_DOCUMENT_SETS\ST-072-STD-16\04_Shipment_Statement.pdf" TargetMode="External"/><Relationship Id="rId1991" Type="http://schemas.openxmlformats.org/officeDocument/2006/relationships/hyperlink" Target="..\01_DOCUMENT_SETS\ST-087-STD-02\04_Shipment_Statement.docx" TargetMode="External"/><Relationship Id="rId76" Type="http://schemas.openxmlformats.org/officeDocument/2006/relationships/hyperlink" Target="..\01_DOCUMENT_SETS\ST-018-STD-02\02_EU_DoC.pdf" TargetMode="External"/><Relationship Id="rId807" Type="http://schemas.openxmlformats.org/officeDocument/2006/relationships/hyperlink" Target="..\01_DOCUMENT_SETS\ST-048-EUR-06\04_Shipment_Statement.docx" TargetMode="External"/><Relationship Id="rId1437" Type="http://schemas.openxmlformats.org/officeDocument/2006/relationships/hyperlink" Target="..\01_DOCUMENT_SETS\ST-063-STD-11\03_Label.docx" TargetMode="External"/><Relationship Id="rId1644" Type="http://schemas.openxmlformats.org/officeDocument/2006/relationships/hyperlink" Target="..\01_DOCUMENT_SETS\ST-072-EUR-05\02_EU_DoC.pdf" TargetMode="External"/><Relationship Id="rId1851" Type="http://schemas.openxmlformats.org/officeDocument/2006/relationships/hyperlink" Target="..\01_DOCUMENT_SETS\ST-072-STD-25\02_EU_DoC.docx" TargetMode="External"/><Relationship Id="rId1504" Type="http://schemas.openxmlformats.org/officeDocument/2006/relationships/hyperlink" Target="..\01_DOCUMENT_SETS\ST-066-STD-02\04_Shipment_Statement.pdf" TargetMode="External"/><Relationship Id="rId1711" Type="http://schemas.openxmlformats.org/officeDocument/2006/relationships/hyperlink" Target="..\01_DOCUMENT_SETS\ST-072-STD-07\04_Shipment_Statement.docx" TargetMode="External"/><Relationship Id="rId1949" Type="http://schemas.openxmlformats.org/officeDocument/2006/relationships/hyperlink" Target="..\01_DOCUMENT_SETS\ST-080-EUR-01\03_Label.docx" TargetMode="External"/><Relationship Id="rId292" Type="http://schemas.openxmlformats.org/officeDocument/2006/relationships/hyperlink" Target="..\01_DOCUMENT_SETS\ST-030-STD-03\02_EU_DoC.pdf" TargetMode="External"/><Relationship Id="rId1809" Type="http://schemas.openxmlformats.org/officeDocument/2006/relationships/hyperlink" Target="..\01_DOCUMENT_SETS\ST-072-STD-20\01_Technical_File.docx" TargetMode="External"/><Relationship Id="rId597" Type="http://schemas.openxmlformats.org/officeDocument/2006/relationships/hyperlink" Target="..\01_DOCUMENT_SETS\ST-042-STD-05\03_Label.docx" TargetMode="External"/><Relationship Id="rId2180" Type="http://schemas.openxmlformats.org/officeDocument/2006/relationships/hyperlink" Target="..\01_DOCUMENT_SETS\ST-096-EUR-09\02_EU_DoC.pdf" TargetMode="External"/><Relationship Id="rId2278" Type="http://schemas.openxmlformats.org/officeDocument/2006/relationships/hyperlink" Target="..\01_DOCUMENT_SETS\ST-120-STD-01\03_Label.pdf" TargetMode="External"/><Relationship Id="rId152" Type="http://schemas.openxmlformats.org/officeDocument/2006/relationships/hyperlink" Target="..\01_DOCUMENT_SETS\ST-021-STD-04\04_Shipment_Statement.pdf" TargetMode="External"/><Relationship Id="rId457" Type="http://schemas.openxmlformats.org/officeDocument/2006/relationships/hyperlink" Target="..\01_DOCUMENT_SETS\ST-036-STD-02\01_Technical_File.docx" TargetMode="External"/><Relationship Id="rId1087" Type="http://schemas.openxmlformats.org/officeDocument/2006/relationships/hyperlink" Target="..\01_DOCUMENT_SETS\ST-054-STD-04\04_Shipment_Statement.docx" TargetMode="External"/><Relationship Id="rId1294" Type="http://schemas.openxmlformats.org/officeDocument/2006/relationships/hyperlink" Target="..\01_DOCUMENT_SETS\ST-060-EUR-02\03_Label.pdf" TargetMode="External"/><Relationship Id="rId2040" Type="http://schemas.openxmlformats.org/officeDocument/2006/relationships/hyperlink" Target="..\01_DOCUMENT_SETS\ST-088-STD-01\04_Shipment_Statement.pdf" TargetMode="External"/><Relationship Id="rId2138" Type="http://schemas.openxmlformats.org/officeDocument/2006/relationships/hyperlink" Target="..\01_DOCUMENT_SETS\ST-096-EUR-04\01_Technical_File.pdf" TargetMode="External"/><Relationship Id="rId664" Type="http://schemas.openxmlformats.org/officeDocument/2006/relationships/hyperlink" Target="..\01_DOCUMENT_SETS\ST-045-STD-02\04_Shipment_Statement.pdf" TargetMode="External"/><Relationship Id="rId871" Type="http://schemas.openxmlformats.org/officeDocument/2006/relationships/hyperlink" Target="..\01_DOCUMENT_SETS\ST-048-STD-02\04_Shipment_Statement.docx" TargetMode="External"/><Relationship Id="rId969" Type="http://schemas.openxmlformats.org/officeDocument/2006/relationships/hyperlink" Target="..\01_DOCUMENT_SETS\ST-051-STD-02\01_Technical_File.docx" TargetMode="External"/><Relationship Id="rId1599" Type="http://schemas.openxmlformats.org/officeDocument/2006/relationships/hyperlink" Target="..\01_DOCUMENT_SETS\ST-068-STD-07\04_Shipment_Statement.docx" TargetMode="External"/><Relationship Id="rId317" Type="http://schemas.openxmlformats.org/officeDocument/2006/relationships/hyperlink" Target="..\01_DOCUMENT_SETS\ST-030-STD-06\03_Label.docx" TargetMode="External"/><Relationship Id="rId524" Type="http://schemas.openxmlformats.org/officeDocument/2006/relationships/hyperlink" Target="..\01_DOCUMENT_SETS\ST-036-STD-10\02_EU_DoC.pdf" TargetMode="External"/><Relationship Id="rId731" Type="http://schemas.openxmlformats.org/officeDocument/2006/relationships/hyperlink" Target="..\01_DOCUMENT_SETS\ST-045-STD-11\02_EU_DoC.docx" TargetMode="External"/><Relationship Id="rId1154" Type="http://schemas.openxmlformats.org/officeDocument/2006/relationships/hyperlink" Target="..\01_DOCUMENT_SETS\ST-056-EUR-01\01_Technical_File.pdf" TargetMode="External"/><Relationship Id="rId1361" Type="http://schemas.openxmlformats.org/officeDocument/2006/relationships/hyperlink" Target="..\01_DOCUMENT_SETS\ST-063-STD-02\01_Technical_File.docx" TargetMode="External"/><Relationship Id="rId1459" Type="http://schemas.openxmlformats.org/officeDocument/2006/relationships/hyperlink" Target="..\01_DOCUMENT_SETS\ST-063-STD-14\02_EU_DoC.docx" TargetMode="External"/><Relationship Id="rId2205" Type="http://schemas.openxmlformats.org/officeDocument/2006/relationships/hyperlink" Target="..\01_DOCUMENT_SETS\ST-096-STD-02\03_Label.docx" TargetMode="External"/><Relationship Id="rId98" Type="http://schemas.openxmlformats.org/officeDocument/2006/relationships/hyperlink" Target="..\01_DOCUMENT_SETS\ST-021-EUR-03\01_Technical_File.pdf" TargetMode="External"/><Relationship Id="rId829" Type="http://schemas.openxmlformats.org/officeDocument/2006/relationships/hyperlink" Target="..\01_DOCUMENT_SETS\ST-048-EUR-09\03_Label.docx" TargetMode="External"/><Relationship Id="rId1014" Type="http://schemas.openxmlformats.org/officeDocument/2006/relationships/hyperlink" Target="..\01_DOCUMENT_SETS\ST-051-STD-07\03_Label.pdf" TargetMode="External"/><Relationship Id="rId1221" Type="http://schemas.openxmlformats.org/officeDocument/2006/relationships/hyperlink" Target="..\01_DOCUMENT_SETS\ST-057-EUR-03\03_Label.docx" TargetMode="External"/><Relationship Id="rId1666" Type="http://schemas.openxmlformats.org/officeDocument/2006/relationships/hyperlink" Target="..\01_DOCUMENT_SETS\ST-072-STD-02\01_Technical_File.pdf" TargetMode="External"/><Relationship Id="rId1873" Type="http://schemas.openxmlformats.org/officeDocument/2006/relationships/hyperlink" Target="..\01_DOCUMENT_SETS\ST-072-STD-28\01_Technical_File.docx" TargetMode="External"/><Relationship Id="rId1319" Type="http://schemas.openxmlformats.org/officeDocument/2006/relationships/hyperlink" Target="..\01_DOCUMENT_SETS\ST-060-STD-03\04_Shipment_Statement.docx" TargetMode="External"/><Relationship Id="rId1526" Type="http://schemas.openxmlformats.org/officeDocument/2006/relationships/hyperlink" Target="..\01_DOCUMENT_SETS\ST-068-EUR-02\03_Label.pdf" TargetMode="External"/><Relationship Id="rId1733" Type="http://schemas.openxmlformats.org/officeDocument/2006/relationships/hyperlink" Target="..\01_DOCUMENT_SETS\ST-072-STD-10\03_Label.docx" TargetMode="External"/><Relationship Id="rId1940" Type="http://schemas.openxmlformats.org/officeDocument/2006/relationships/hyperlink" Target="..\01_DOCUMENT_SETS\ST-076-STD-04\02_EU_DoC.pdf" TargetMode="External"/><Relationship Id="rId25" Type="http://schemas.openxmlformats.org/officeDocument/2006/relationships/hyperlink" Target="..\01_DOCUMENT_SETS\ST-018-EUR-01\01_Technical_File.docx" TargetMode="External"/><Relationship Id="rId1800" Type="http://schemas.openxmlformats.org/officeDocument/2006/relationships/hyperlink" Target="..\01_DOCUMENT_SETS\ST-072-STD-18\04_Shipment_Statement.pdf" TargetMode="External"/><Relationship Id="rId174" Type="http://schemas.openxmlformats.org/officeDocument/2006/relationships/hyperlink" Target="..\01_DOCUMENT_SETS\ST-021-STD-07\03_Label.pdf" TargetMode="External"/><Relationship Id="rId381" Type="http://schemas.openxmlformats.org/officeDocument/2006/relationships/hyperlink" Target="..\01_DOCUMENT_SETS\ST-034-STD-01\03_Label.docx" TargetMode="External"/><Relationship Id="rId2062" Type="http://schemas.openxmlformats.org/officeDocument/2006/relationships/hyperlink" Target="..\01_DOCUMENT_SETS\ST-088-STD-04\03_Label.pdf" TargetMode="External"/><Relationship Id="rId241" Type="http://schemas.openxmlformats.org/officeDocument/2006/relationships/hyperlink" Target="..\01_DOCUMENT_SETS\ST-024-STD-04\01_Technical_File.docx" TargetMode="External"/><Relationship Id="rId479" Type="http://schemas.openxmlformats.org/officeDocument/2006/relationships/hyperlink" Target="..\01_DOCUMENT_SETS\ST-036-STD-04\04_Shipment_Statement.docx" TargetMode="External"/><Relationship Id="rId686" Type="http://schemas.openxmlformats.org/officeDocument/2006/relationships/hyperlink" Target="..\01_DOCUMENT_SETS\ST-045-STD-05\03_Label.pdf" TargetMode="External"/><Relationship Id="rId893" Type="http://schemas.openxmlformats.org/officeDocument/2006/relationships/hyperlink" Target="..\01_DOCUMENT_SETS\ST-048-STD-05\03_Label.docx" TargetMode="External"/><Relationship Id="rId339" Type="http://schemas.openxmlformats.org/officeDocument/2006/relationships/hyperlink" Target="..\01_DOCUMENT_SETS\ST-030-STD-09\02_EU_DoC.docx" TargetMode="External"/><Relationship Id="rId546" Type="http://schemas.openxmlformats.org/officeDocument/2006/relationships/hyperlink" Target="..\01_DOCUMENT_SETS\ST-042-EUR-03\01_Technical_File.pdf" TargetMode="External"/><Relationship Id="rId753" Type="http://schemas.openxmlformats.org/officeDocument/2006/relationships/hyperlink" Target="..\01_DOCUMENT_SETS\ST-045-STD-14\01_Technical_File.docx" TargetMode="External"/><Relationship Id="rId1176" Type="http://schemas.openxmlformats.org/officeDocument/2006/relationships/hyperlink" Target="..\01_DOCUMENT_SETS\ST-056-EUR-03\04_Shipment_Statement.pdf" TargetMode="External"/><Relationship Id="rId1383" Type="http://schemas.openxmlformats.org/officeDocument/2006/relationships/hyperlink" Target="..\01_DOCUMENT_SETS\ST-063-STD-04\04_Shipment_Statement.docx" TargetMode="External"/><Relationship Id="rId2227" Type="http://schemas.openxmlformats.org/officeDocument/2006/relationships/hyperlink" Target="..\01_DOCUMENT_SETS\ST-096-STD-05\02_EU_DoC.docx" TargetMode="External"/><Relationship Id="rId101" Type="http://schemas.openxmlformats.org/officeDocument/2006/relationships/hyperlink" Target="..\01_DOCUMENT_SETS\ST-021-EUR-03\03_Label.docx" TargetMode="External"/><Relationship Id="rId406" Type="http://schemas.openxmlformats.org/officeDocument/2006/relationships/hyperlink" Target="..\01_DOCUMENT_SETS\ST-036-EUR-02\03_Label.pdf" TargetMode="External"/><Relationship Id="rId960" Type="http://schemas.openxmlformats.org/officeDocument/2006/relationships/hyperlink" Target="..\01_DOCUMENT_SETS\ST-051-EUR-04\04_Shipment_Statement.pdf" TargetMode="External"/><Relationship Id="rId1036" Type="http://schemas.openxmlformats.org/officeDocument/2006/relationships/hyperlink" Target="..\01_DOCUMENT_SETS\ST-051-STD-10\02_EU_DoC.pdf" TargetMode="External"/><Relationship Id="rId1243" Type="http://schemas.openxmlformats.org/officeDocument/2006/relationships/hyperlink" Target="..\01_DOCUMENT_SETS\ST-057-STD-01\02_EU_DoC.docx" TargetMode="External"/><Relationship Id="rId1590" Type="http://schemas.openxmlformats.org/officeDocument/2006/relationships/hyperlink" Target="..\01_DOCUMENT_SETS\ST-068-STD-06\03_Label.pdf" TargetMode="External"/><Relationship Id="rId1688" Type="http://schemas.openxmlformats.org/officeDocument/2006/relationships/hyperlink" Target="..\01_DOCUMENT_SETS\ST-072-STD-04\04_Shipment_Statement.pdf" TargetMode="External"/><Relationship Id="rId1895" Type="http://schemas.openxmlformats.org/officeDocument/2006/relationships/hyperlink" Target="..\01_DOCUMENT_SETS\ST-076-EUR-02\04_Shipment_Statement.docx" TargetMode="External"/><Relationship Id="rId613" Type="http://schemas.openxmlformats.org/officeDocument/2006/relationships/hyperlink" Target="..\01_DOCUMENT_SETS\ST-042-STD-07\03_Label.docx" TargetMode="External"/><Relationship Id="rId820" Type="http://schemas.openxmlformats.org/officeDocument/2006/relationships/hyperlink" Target="..\01_DOCUMENT_SETS\ST-048-EUR-08\02_EU_DoC.pdf" TargetMode="External"/><Relationship Id="rId918" Type="http://schemas.openxmlformats.org/officeDocument/2006/relationships/hyperlink" Target="..\01_DOCUMENT_SETS\ST-048-STD-08\03_Label.pdf" TargetMode="External"/><Relationship Id="rId1450" Type="http://schemas.openxmlformats.org/officeDocument/2006/relationships/hyperlink" Target="..\01_DOCUMENT_SETS\ST-063-STD-13\01_Technical_File.pdf" TargetMode="External"/><Relationship Id="rId1548" Type="http://schemas.openxmlformats.org/officeDocument/2006/relationships/hyperlink" Target="..\01_DOCUMENT_SETS\ST-068-STD-01\02_EU_DoC.pdf" TargetMode="External"/><Relationship Id="rId1755" Type="http://schemas.openxmlformats.org/officeDocument/2006/relationships/hyperlink" Target="..\01_DOCUMENT_SETS\ST-072-STD-13\02_EU_DoC.docx" TargetMode="External"/><Relationship Id="rId1103" Type="http://schemas.openxmlformats.org/officeDocument/2006/relationships/hyperlink" Target="..\01_DOCUMENT_SETS\ST-054-STD-06\04_Shipment_Statement.docx" TargetMode="External"/><Relationship Id="rId1310" Type="http://schemas.openxmlformats.org/officeDocument/2006/relationships/hyperlink" Target="..\01_DOCUMENT_SETS\ST-060-STD-02\03_Label.pdf" TargetMode="External"/><Relationship Id="rId1408" Type="http://schemas.openxmlformats.org/officeDocument/2006/relationships/hyperlink" Target="..\01_DOCUMENT_SETS\ST-063-STD-07\04_Shipment_Statement.pdf" TargetMode="External"/><Relationship Id="rId1962" Type="http://schemas.openxmlformats.org/officeDocument/2006/relationships/hyperlink" Target="..\01_DOCUMENT_SETS\ST-081-STD-01\01_Technical_File.pdf" TargetMode="External"/><Relationship Id="rId47" Type="http://schemas.openxmlformats.org/officeDocument/2006/relationships/hyperlink" Target="..\01_DOCUMENT_SETS\ST-018-EUR-03\04_Shipment_Statement.docx" TargetMode="External"/><Relationship Id="rId1615" Type="http://schemas.openxmlformats.org/officeDocument/2006/relationships/hyperlink" Target="..\01_DOCUMENT_SETS\ST-072-EUR-01\04_Shipment_Statement.docx" TargetMode="External"/><Relationship Id="rId1822" Type="http://schemas.openxmlformats.org/officeDocument/2006/relationships/hyperlink" Target="..\01_DOCUMENT_SETS\ST-072-STD-21\03_Label.pdf" TargetMode="External"/><Relationship Id="rId196" Type="http://schemas.openxmlformats.org/officeDocument/2006/relationships/hyperlink" Target="..\01_DOCUMENT_SETS\ST-024-EUR-02\02_EU_DoC.pdf" TargetMode="External"/><Relationship Id="rId2084" Type="http://schemas.openxmlformats.org/officeDocument/2006/relationships/hyperlink" Target="..\01_DOCUMENT_SETS\ST-088-STD-07\02_EU_DoC.pdf" TargetMode="External"/><Relationship Id="rId2291" Type="http://schemas.openxmlformats.org/officeDocument/2006/relationships/hyperlink" Target="..\01_DOCUMENT_SETS\ST-120-STD-03\02_EU_DoC.docx" TargetMode="External"/><Relationship Id="rId263" Type="http://schemas.openxmlformats.org/officeDocument/2006/relationships/hyperlink" Target="..\01_DOCUMENT_SETS\ST-027-STD90-02\04_Shipment_Statement.docx" TargetMode="External"/><Relationship Id="rId470" Type="http://schemas.openxmlformats.org/officeDocument/2006/relationships/hyperlink" Target="..\01_DOCUMENT_SETS\ST-036-STD-03\03_Label.pdf" TargetMode="External"/><Relationship Id="rId2151" Type="http://schemas.openxmlformats.org/officeDocument/2006/relationships/hyperlink" Target="..\01_DOCUMENT_SETS\ST-096-EUR-05\04_Shipment_Statement.docx" TargetMode="External"/><Relationship Id="rId123" Type="http://schemas.openxmlformats.org/officeDocument/2006/relationships/hyperlink" Target="..\01_DOCUMENT_SETS\ST-021-STD-01\02_EU_DoC.docx" TargetMode="External"/><Relationship Id="rId330" Type="http://schemas.openxmlformats.org/officeDocument/2006/relationships/hyperlink" Target="..\01_DOCUMENT_SETS\ST-030-STD-08\01_Technical_File.pdf" TargetMode="External"/><Relationship Id="rId568" Type="http://schemas.openxmlformats.org/officeDocument/2006/relationships/hyperlink" Target="..\01_DOCUMENT_SETS\ST-042-STD-01\04_Shipment_Statement.pdf" TargetMode="External"/><Relationship Id="rId775" Type="http://schemas.openxmlformats.org/officeDocument/2006/relationships/hyperlink" Target="..\01_DOCUMENT_SETS\ST-048-EUR-02\04_Shipment_Statement.docx" TargetMode="External"/><Relationship Id="rId982" Type="http://schemas.openxmlformats.org/officeDocument/2006/relationships/hyperlink" Target="..\01_DOCUMENT_SETS\ST-051-STD-03\03_Label.pdf" TargetMode="External"/><Relationship Id="rId1198" Type="http://schemas.openxmlformats.org/officeDocument/2006/relationships/hyperlink" Target="..\01_DOCUMENT_SETS\ST-056-STD-02\03_Label.pdf" TargetMode="External"/><Relationship Id="rId2011" Type="http://schemas.openxmlformats.org/officeDocument/2006/relationships/hyperlink" Target="..\01_DOCUMENT_SETS\ST-087-STD-05\02_EU_DoC.docx" TargetMode="External"/><Relationship Id="rId2249" Type="http://schemas.openxmlformats.org/officeDocument/2006/relationships/hyperlink" Target="..\01_DOCUMENT_SETS\ST-096-STD-08\01_Technical_File.docx" TargetMode="External"/><Relationship Id="rId428" Type="http://schemas.openxmlformats.org/officeDocument/2006/relationships/hyperlink" Target="..\01_DOCUMENT_SETS\ST-036-EUR-05\02_EU_DoC.pdf" TargetMode="External"/><Relationship Id="rId635" Type="http://schemas.openxmlformats.org/officeDocument/2006/relationships/hyperlink" Target="..\01_DOCUMENT_SETS\ST-044-STD-01\02_EU_DoC.docx" TargetMode="External"/><Relationship Id="rId842" Type="http://schemas.openxmlformats.org/officeDocument/2006/relationships/hyperlink" Target="..\01_DOCUMENT_SETS\ST-048-EUR-11\01_Technical_File.pdf" TargetMode="External"/><Relationship Id="rId1058" Type="http://schemas.openxmlformats.org/officeDocument/2006/relationships/hyperlink" Target="..\01_DOCUMENT_SETS\ST-054-STD-01\01_Technical_File.pdf" TargetMode="External"/><Relationship Id="rId1265" Type="http://schemas.openxmlformats.org/officeDocument/2006/relationships/hyperlink" Target="..\01_DOCUMENT_SETS\ST-057-STD-04\01_Technical_File.docx" TargetMode="External"/><Relationship Id="rId1472" Type="http://schemas.openxmlformats.org/officeDocument/2006/relationships/hyperlink" Target="..\01_DOCUMENT_SETS\ST-063-STD-15\04_Shipment_Statement.pdf" TargetMode="External"/><Relationship Id="rId2109" Type="http://schemas.openxmlformats.org/officeDocument/2006/relationships/hyperlink" Target="..\01_DOCUMENT_SETS\ST-090-STD-02\03_Label.docx" TargetMode="External"/><Relationship Id="rId702" Type="http://schemas.openxmlformats.org/officeDocument/2006/relationships/hyperlink" Target="..\01_DOCUMENT_SETS\ST-045-STD-07\03_Label.pdf" TargetMode="External"/><Relationship Id="rId1125" Type="http://schemas.openxmlformats.org/officeDocument/2006/relationships/hyperlink" Target="..\01_DOCUMENT_SETS\ST-054-STD-09\03_Label.docx" TargetMode="External"/><Relationship Id="rId1332" Type="http://schemas.openxmlformats.org/officeDocument/2006/relationships/hyperlink" Target="..\01_DOCUMENT_SETS\ST-060-STD-05\02_EU_DoC.pdf" TargetMode="External"/><Relationship Id="rId1777" Type="http://schemas.openxmlformats.org/officeDocument/2006/relationships/hyperlink" Target="..\01_DOCUMENT_SETS\ST-072-STD-16\01_Technical_File.docx" TargetMode="External"/><Relationship Id="rId1984" Type="http://schemas.openxmlformats.org/officeDocument/2006/relationships/hyperlink" Target="..\01_DOCUMENT_SETS\ST-087-STD-01\04_Shipment_Statement.pdf" TargetMode="External"/><Relationship Id="rId69" Type="http://schemas.openxmlformats.org/officeDocument/2006/relationships/hyperlink" Target="..\01_DOCUMENT_SETS\ST-018-STD-01\03_Label.docx" TargetMode="External"/><Relationship Id="rId1637" Type="http://schemas.openxmlformats.org/officeDocument/2006/relationships/hyperlink" Target="..\01_DOCUMENT_SETS\ST-072-EUR-04\03_Label.docx" TargetMode="External"/><Relationship Id="rId1844" Type="http://schemas.openxmlformats.org/officeDocument/2006/relationships/hyperlink" Target="..\01_DOCUMENT_SETS\ST-072-STD-24\02_EU_DoC.pdf" TargetMode="External"/><Relationship Id="rId1704" Type="http://schemas.openxmlformats.org/officeDocument/2006/relationships/hyperlink" Target="..\01_DOCUMENT_SETS\ST-072-STD-06\04_Shipment_Statement.pdf" TargetMode="External"/><Relationship Id="rId285" Type="http://schemas.openxmlformats.org/officeDocument/2006/relationships/hyperlink" Target="..\01_DOCUMENT_SETS\ST-030-STD-02\03_Label.docx" TargetMode="External"/><Relationship Id="rId1911" Type="http://schemas.openxmlformats.org/officeDocument/2006/relationships/hyperlink" Target="..\01_DOCUMENT_SETS\ST-076-EUR-04\04_Shipment_Statement.docx" TargetMode="External"/><Relationship Id="rId492" Type="http://schemas.openxmlformats.org/officeDocument/2006/relationships/hyperlink" Target="..\01_DOCUMENT_SETS\ST-036-STD-06\02_EU_DoC.pdf" TargetMode="External"/><Relationship Id="rId797" Type="http://schemas.openxmlformats.org/officeDocument/2006/relationships/hyperlink" Target="..\01_DOCUMENT_SETS\ST-048-EUR-05\03_Label.docx" TargetMode="External"/><Relationship Id="rId2173" Type="http://schemas.openxmlformats.org/officeDocument/2006/relationships/hyperlink" Target="..\01_DOCUMENT_SETS\ST-096-EUR-08\03_Label.docx" TargetMode="External"/><Relationship Id="rId145" Type="http://schemas.openxmlformats.org/officeDocument/2006/relationships/hyperlink" Target="..\01_DOCUMENT_SETS\ST-021-STD-04\01_Technical_File.docx" TargetMode="External"/><Relationship Id="rId352" Type="http://schemas.openxmlformats.org/officeDocument/2006/relationships/hyperlink" Target="..\01_DOCUMENT_SETS\ST-030-STD-10\04_Shipment_Statement.pdf" TargetMode="External"/><Relationship Id="rId1287" Type="http://schemas.openxmlformats.org/officeDocument/2006/relationships/hyperlink" Target="..\01_DOCUMENT_SETS\ST-060-EUR-01\04_Shipment_Statement.docx" TargetMode="External"/><Relationship Id="rId2033" Type="http://schemas.openxmlformats.org/officeDocument/2006/relationships/hyperlink" Target="..\01_DOCUMENT_SETS\ST-088-STD-01\01_Technical_File.docx" TargetMode="External"/><Relationship Id="rId2240" Type="http://schemas.openxmlformats.org/officeDocument/2006/relationships/hyperlink" Target="..\01_DOCUMENT_SETS\ST-096-STD-06\04_Shipment_Statement.pdf" TargetMode="External"/><Relationship Id="rId212" Type="http://schemas.openxmlformats.org/officeDocument/2006/relationships/hyperlink" Target="..\01_DOCUMENT_SETS\ST-024-EUR-04\02_EU_DoC.pdf" TargetMode="External"/><Relationship Id="rId657" Type="http://schemas.openxmlformats.org/officeDocument/2006/relationships/hyperlink" Target="..\01_DOCUMENT_SETS\ST-045-STD-02\01_Technical_File.docx" TargetMode="External"/><Relationship Id="rId864" Type="http://schemas.openxmlformats.org/officeDocument/2006/relationships/hyperlink" Target="..\01_DOCUMENT_SETS\ST-048-STD-01\04_Shipment_Statement.pdf" TargetMode="External"/><Relationship Id="rId1494" Type="http://schemas.openxmlformats.org/officeDocument/2006/relationships/hyperlink" Target="..\01_DOCUMENT_SETS\ST-066-STD-01\03_Label.pdf" TargetMode="External"/><Relationship Id="rId1799" Type="http://schemas.openxmlformats.org/officeDocument/2006/relationships/hyperlink" Target="..\01_DOCUMENT_SETS\ST-072-STD-18\04_Shipment_Statement.docx" TargetMode="External"/><Relationship Id="rId2100" Type="http://schemas.openxmlformats.org/officeDocument/2006/relationships/hyperlink" Target="..\01_DOCUMENT_SETS\ST-090-STD-01\02_EU_DoC.pdf" TargetMode="External"/><Relationship Id="rId517" Type="http://schemas.openxmlformats.org/officeDocument/2006/relationships/hyperlink" Target="..\01_DOCUMENT_SETS\ST-036-STD-09\03_Label.docx" TargetMode="External"/><Relationship Id="rId724" Type="http://schemas.openxmlformats.org/officeDocument/2006/relationships/hyperlink" Target="..\01_DOCUMENT_SETS\ST-045-STD-10\02_EU_DoC.pdf" TargetMode="External"/><Relationship Id="rId931" Type="http://schemas.openxmlformats.org/officeDocument/2006/relationships/hyperlink" Target="..\01_DOCUMENT_SETS\ST-051-EUR-01\02_EU_DoC.docx" TargetMode="External"/><Relationship Id="rId1147" Type="http://schemas.openxmlformats.org/officeDocument/2006/relationships/hyperlink" Target="..\01_DOCUMENT_SETS\ST-054-STD-12\02_EU_DoC.docx" TargetMode="External"/><Relationship Id="rId1354" Type="http://schemas.openxmlformats.org/officeDocument/2006/relationships/hyperlink" Target="..\01_DOCUMENT_SETS\ST-063-STD-01\01_Technical_File.pdf" TargetMode="External"/><Relationship Id="rId1561" Type="http://schemas.openxmlformats.org/officeDocument/2006/relationships/hyperlink" Target="..\01_DOCUMENT_SETS\ST-068-STD-03\01_Technical_File.docx" TargetMode="External"/><Relationship Id="rId60" Type="http://schemas.openxmlformats.org/officeDocument/2006/relationships/hyperlink" Target="..\01_DOCUMENT_SETS\ST-018-EUR-05\02_EU_DoC.pdf" TargetMode="External"/><Relationship Id="rId1007" Type="http://schemas.openxmlformats.org/officeDocument/2006/relationships/hyperlink" Target="..\01_DOCUMENT_SETS\ST-051-STD-06\04_Shipment_Statement.docx" TargetMode="External"/><Relationship Id="rId1214" Type="http://schemas.openxmlformats.org/officeDocument/2006/relationships/hyperlink" Target="..\01_DOCUMENT_SETS\ST-057-EUR-02\03_Label.pdf" TargetMode="External"/><Relationship Id="rId1421" Type="http://schemas.openxmlformats.org/officeDocument/2006/relationships/hyperlink" Target="..\01_DOCUMENT_SETS\ST-063-STD-09\03_Label.docx" TargetMode="External"/><Relationship Id="rId1659" Type="http://schemas.openxmlformats.org/officeDocument/2006/relationships/hyperlink" Target="..\01_DOCUMENT_SETS\ST-072-STD-01\02_EU_DoC.docx" TargetMode="External"/><Relationship Id="rId1866" Type="http://schemas.openxmlformats.org/officeDocument/2006/relationships/hyperlink" Target="..\01_DOCUMENT_SETS\ST-072-STD-27\01_Technical_File.pdf" TargetMode="External"/><Relationship Id="rId1519" Type="http://schemas.openxmlformats.org/officeDocument/2006/relationships/hyperlink" Target="..\01_DOCUMENT_SETS\ST-068-EUR-01\04_Shipment_Statement.docx" TargetMode="External"/><Relationship Id="rId1726" Type="http://schemas.openxmlformats.org/officeDocument/2006/relationships/hyperlink" Target="..\01_DOCUMENT_SETS\ST-072-STD-09\03_Label.pdf" TargetMode="External"/><Relationship Id="rId1933" Type="http://schemas.openxmlformats.org/officeDocument/2006/relationships/hyperlink" Target="..\01_DOCUMENT_SETS\ST-076-STD-03\03_Label.docx" TargetMode="External"/><Relationship Id="rId18" Type="http://schemas.openxmlformats.org/officeDocument/2006/relationships/hyperlink" Target="..\01_DOCUMENT_SETS\ST-012-EUR-03\01_Technical_File.pdf" TargetMode="External"/><Relationship Id="rId2195" Type="http://schemas.openxmlformats.org/officeDocument/2006/relationships/hyperlink" Target="..\01_DOCUMENT_SETS\ST-096-STD-01\02_EU_DoC.docx" TargetMode="External"/><Relationship Id="rId167" Type="http://schemas.openxmlformats.org/officeDocument/2006/relationships/hyperlink" Target="..\01_DOCUMENT_SETS\ST-021-STD-06\04_Shipment_Statement.docx" TargetMode="External"/><Relationship Id="rId374" Type="http://schemas.openxmlformats.org/officeDocument/2006/relationships/hyperlink" Target="..\01_DOCUMENT_SETS\ST-033-EUR-01\03_Label.pdf" TargetMode="External"/><Relationship Id="rId581" Type="http://schemas.openxmlformats.org/officeDocument/2006/relationships/hyperlink" Target="..\01_DOCUMENT_SETS\ST-042-STD-03\03_Label.docx" TargetMode="External"/><Relationship Id="rId2055" Type="http://schemas.openxmlformats.org/officeDocument/2006/relationships/hyperlink" Target="..\01_DOCUMENT_SETS\ST-088-STD-03\04_Shipment_Statement.docx" TargetMode="External"/><Relationship Id="rId2262" Type="http://schemas.openxmlformats.org/officeDocument/2006/relationships/hyperlink" Target="..\01_DOCUMENT_SETS\ST-105-STD-01\03_Label.pdf" TargetMode="External"/><Relationship Id="rId234" Type="http://schemas.openxmlformats.org/officeDocument/2006/relationships/hyperlink" Target="..\01_DOCUMENT_SETS\ST-024-STD-03\01_Technical_File.pdf" TargetMode="External"/><Relationship Id="rId679" Type="http://schemas.openxmlformats.org/officeDocument/2006/relationships/hyperlink" Target="..\01_DOCUMENT_SETS\ST-045-STD-04\04_Shipment_Statement.docx" TargetMode="External"/><Relationship Id="rId886" Type="http://schemas.openxmlformats.org/officeDocument/2006/relationships/hyperlink" Target="..\01_DOCUMENT_SETS\ST-048-STD-04\03_Label.pdf" TargetMode="External"/><Relationship Id="rId2" Type="http://schemas.openxmlformats.org/officeDocument/2006/relationships/hyperlink" Target="..\01_DOCUMENT_SETS\ST-012-EUR-01\01_Technical_File.pdf" TargetMode="External"/><Relationship Id="rId441" Type="http://schemas.openxmlformats.org/officeDocument/2006/relationships/hyperlink" Target="..\01_DOCUMENT_SETS\ST-036-EUR-07\01_Technical_File.docx" TargetMode="External"/><Relationship Id="rId539" Type="http://schemas.openxmlformats.org/officeDocument/2006/relationships/hyperlink" Target="..\01_DOCUMENT_SETS\ST-042-EUR-02\02_EU_DoC.docx" TargetMode="External"/><Relationship Id="rId746" Type="http://schemas.openxmlformats.org/officeDocument/2006/relationships/hyperlink" Target="..\01_DOCUMENT_SETS\ST-045-STD-13\01_Technical_File.pdf" TargetMode="External"/><Relationship Id="rId1071" Type="http://schemas.openxmlformats.org/officeDocument/2006/relationships/hyperlink" Target="..\01_DOCUMENT_SETS\ST-054-STD-02\04_Shipment_Statement.docx" TargetMode="External"/><Relationship Id="rId1169" Type="http://schemas.openxmlformats.org/officeDocument/2006/relationships/hyperlink" Target="..\01_DOCUMENT_SETS\ST-056-EUR-03\01_Technical_File.docx" TargetMode="External"/><Relationship Id="rId1376" Type="http://schemas.openxmlformats.org/officeDocument/2006/relationships/hyperlink" Target="..\01_DOCUMENT_SETS\ST-063-STD-03\04_Shipment_Statement.pdf" TargetMode="External"/><Relationship Id="rId1583" Type="http://schemas.openxmlformats.org/officeDocument/2006/relationships/hyperlink" Target="..\01_DOCUMENT_SETS\ST-068-STD-05\04_Shipment_Statement.docx" TargetMode="External"/><Relationship Id="rId2122" Type="http://schemas.openxmlformats.org/officeDocument/2006/relationships/hyperlink" Target="..\01_DOCUMENT_SETS\ST-096-EUR-02\01_Technical_File.pdf" TargetMode="External"/><Relationship Id="rId301" Type="http://schemas.openxmlformats.org/officeDocument/2006/relationships/hyperlink" Target="..\01_DOCUMENT_SETS\ST-030-STD-04\03_Label.docx" TargetMode="External"/><Relationship Id="rId953" Type="http://schemas.openxmlformats.org/officeDocument/2006/relationships/hyperlink" Target="..\01_DOCUMENT_SETS\ST-051-EUR-04\01_Technical_File.docx" TargetMode="External"/><Relationship Id="rId1029" Type="http://schemas.openxmlformats.org/officeDocument/2006/relationships/hyperlink" Target="..\01_DOCUMENT_SETS\ST-051-STD-09\03_Label.docx" TargetMode="External"/><Relationship Id="rId1236" Type="http://schemas.openxmlformats.org/officeDocument/2006/relationships/hyperlink" Target="..\01_DOCUMENT_SETS\ST-057-EUR-05\02_EU_DoC.pdf" TargetMode="External"/><Relationship Id="rId1790" Type="http://schemas.openxmlformats.org/officeDocument/2006/relationships/hyperlink" Target="..\01_DOCUMENT_SETS\ST-072-STD-17\03_Label.pdf" TargetMode="External"/><Relationship Id="rId1888" Type="http://schemas.openxmlformats.org/officeDocument/2006/relationships/hyperlink" Target="..\01_DOCUMENT_SETS\ST-076-EUR-01\04_Shipment_Statement.pdf" TargetMode="External"/><Relationship Id="rId82" Type="http://schemas.openxmlformats.org/officeDocument/2006/relationships/hyperlink" Target="..\01_DOCUMENT_SETS\ST-021-EUR-01\01_Technical_File.pdf" TargetMode="External"/><Relationship Id="rId606" Type="http://schemas.openxmlformats.org/officeDocument/2006/relationships/hyperlink" Target="..\01_DOCUMENT_SETS\ST-042-STD-06\03_Label.pdf" TargetMode="External"/><Relationship Id="rId813" Type="http://schemas.openxmlformats.org/officeDocument/2006/relationships/hyperlink" Target="..\01_DOCUMENT_SETS\ST-048-EUR-07\03_Label.docx" TargetMode="External"/><Relationship Id="rId1443" Type="http://schemas.openxmlformats.org/officeDocument/2006/relationships/hyperlink" Target="..\01_DOCUMENT_SETS\ST-063-STD-12\02_EU_DoC.docx" TargetMode="External"/><Relationship Id="rId1650" Type="http://schemas.openxmlformats.org/officeDocument/2006/relationships/hyperlink" Target="..\01_DOCUMENT_SETS\ST-072-EUR-06\01_Technical_File.pdf" TargetMode="External"/><Relationship Id="rId1748" Type="http://schemas.openxmlformats.org/officeDocument/2006/relationships/hyperlink" Target="..\01_DOCUMENT_SETS\ST-072-STD-12\02_EU_DoC.pdf" TargetMode="External"/><Relationship Id="rId1303" Type="http://schemas.openxmlformats.org/officeDocument/2006/relationships/hyperlink" Target="..\01_DOCUMENT_SETS\ST-060-STD-01\04_Shipment_Statement.docx" TargetMode="External"/><Relationship Id="rId1510" Type="http://schemas.openxmlformats.org/officeDocument/2006/relationships/hyperlink" Target="..\01_DOCUMENT_SETS\ST-066-STD-03\03_Label.pdf" TargetMode="External"/><Relationship Id="rId1955" Type="http://schemas.openxmlformats.org/officeDocument/2006/relationships/hyperlink" Target="..\01_DOCUMENT_SETS\ST-081-EUR-01\02_EU_DoC.docx" TargetMode="External"/><Relationship Id="rId1608" Type="http://schemas.openxmlformats.org/officeDocument/2006/relationships/hyperlink" Target="..\01_DOCUMENT_SETS\ST-068-STD-08\04_Shipment_Statement.pdf" TargetMode="External"/><Relationship Id="rId1815" Type="http://schemas.openxmlformats.org/officeDocument/2006/relationships/hyperlink" Target="..\01_DOCUMENT_SETS\ST-072-STD-20\04_Shipment_Statement.docx" TargetMode="External"/><Relationship Id="rId189" Type="http://schemas.openxmlformats.org/officeDocument/2006/relationships/hyperlink" Target="..\01_DOCUMENT_SETS\ST-024-EUR-01\03_Label.docx" TargetMode="External"/><Relationship Id="rId396" Type="http://schemas.openxmlformats.org/officeDocument/2006/relationships/hyperlink" Target="..\01_DOCUMENT_SETS\ST-036-EUR-01\02_EU_DoC.pdf" TargetMode="External"/><Relationship Id="rId2077" Type="http://schemas.openxmlformats.org/officeDocument/2006/relationships/hyperlink" Target="..\01_DOCUMENT_SETS\ST-088-STD-06\03_Label.docx" TargetMode="External"/><Relationship Id="rId2284" Type="http://schemas.openxmlformats.org/officeDocument/2006/relationships/hyperlink" Target="..\01_DOCUMENT_SETS\ST-120-STD-02\02_EU_DoC.pdf" TargetMode="External"/><Relationship Id="rId256" Type="http://schemas.openxmlformats.org/officeDocument/2006/relationships/hyperlink" Target="..\01_DOCUMENT_SETS\ST-027-STD90-01\04_Shipment_Statement.pdf" TargetMode="External"/><Relationship Id="rId463" Type="http://schemas.openxmlformats.org/officeDocument/2006/relationships/hyperlink" Target="..\01_DOCUMENT_SETS\ST-036-STD-02\04_Shipment_Statement.docx" TargetMode="External"/><Relationship Id="rId670" Type="http://schemas.openxmlformats.org/officeDocument/2006/relationships/hyperlink" Target="..\01_DOCUMENT_SETS\ST-045-STD-03\03_Label.pdf" TargetMode="External"/><Relationship Id="rId1093" Type="http://schemas.openxmlformats.org/officeDocument/2006/relationships/hyperlink" Target="..\01_DOCUMENT_SETS\ST-054-STD-05\03_Label.docx" TargetMode="External"/><Relationship Id="rId2144" Type="http://schemas.openxmlformats.org/officeDocument/2006/relationships/hyperlink" Target="..\01_DOCUMENT_SETS\ST-096-EUR-04\04_Shipment_Statement.pdf" TargetMode="External"/><Relationship Id="rId116" Type="http://schemas.openxmlformats.org/officeDocument/2006/relationships/hyperlink" Target="..\01_DOCUMENT_SETS\ST-021-EUR-05\02_EU_DoC.pdf" TargetMode="External"/><Relationship Id="rId323" Type="http://schemas.openxmlformats.org/officeDocument/2006/relationships/hyperlink" Target="..\01_DOCUMENT_SETS\ST-030-STD-07\02_EU_DoC.docx" TargetMode="External"/><Relationship Id="rId530" Type="http://schemas.openxmlformats.org/officeDocument/2006/relationships/hyperlink" Target="..\01_DOCUMENT_SETS\ST-042-EUR-01\01_Technical_File.pdf" TargetMode="External"/><Relationship Id="rId768" Type="http://schemas.openxmlformats.org/officeDocument/2006/relationships/hyperlink" Target="..\01_DOCUMENT_SETS\ST-048-EUR-01\04_Shipment_Statement.pdf" TargetMode="External"/><Relationship Id="rId975" Type="http://schemas.openxmlformats.org/officeDocument/2006/relationships/hyperlink" Target="..\01_DOCUMENT_SETS\ST-051-STD-02\04_Shipment_Statement.docx" TargetMode="External"/><Relationship Id="rId1160" Type="http://schemas.openxmlformats.org/officeDocument/2006/relationships/hyperlink" Target="..\01_DOCUMENT_SETS\ST-056-EUR-01\04_Shipment_Statement.pdf" TargetMode="External"/><Relationship Id="rId1398" Type="http://schemas.openxmlformats.org/officeDocument/2006/relationships/hyperlink" Target="..\01_DOCUMENT_SETS\ST-063-STD-06\03_Label.pdf" TargetMode="External"/><Relationship Id="rId2004" Type="http://schemas.openxmlformats.org/officeDocument/2006/relationships/hyperlink" Target="..\01_DOCUMENT_SETS\ST-087-STD-04\02_EU_DoC.pdf" TargetMode="External"/><Relationship Id="rId2211" Type="http://schemas.openxmlformats.org/officeDocument/2006/relationships/hyperlink" Target="..\01_DOCUMENT_SETS\ST-096-STD-03\02_EU_DoC.docx" TargetMode="External"/><Relationship Id="rId628" Type="http://schemas.openxmlformats.org/officeDocument/2006/relationships/hyperlink" Target="..\01_DOCUMENT_SETS\ST-042-STD-09\02_EU_DoC.pdf" TargetMode="External"/><Relationship Id="rId835" Type="http://schemas.openxmlformats.org/officeDocument/2006/relationships/hyperlink" Target="..\01_DOCUMENT_SETS\ST-048-EUR-10\02_EU_DoC.docx" TargetMode="External"/><Relationship Id="rId1258" Type="http://schemas.openxmlformats.org/officeDocument/2006/relationships/hyperlink" Target="..\01_DOCUMENT_SETS\ST-057-STD-03\01_Technical_File.pdf" TargetMode="External"/><Relationship Id="rId1465" Type="http://schemas.openxmlformats.org/officeDocument/2006/relationships/hyperlink" Target="..\01_DOCUMENT_SETS\ST-063-STD-15\01_Technical_File.docx" TargetMode="External"/><Relationship Id="rId1672" Type="http://schemas.openxmlformats.org/officeDocument/2006/relationships/hyperlink" Target="..\01_DOCUMENT_SETS\ST-072-STD-02\04_Shipment_Statement.pdf" TargetMode="External"/><Relationship Id="rId1020" Type="http://schemas.openxmlformats.org/officeDocument/2006/relationships/hyperlink" Target="..\01_DOCUMENT_SETS\ST-051-STD-08\02_EU_DoC.pdf" TargetMode="External"/><Relationship Id="rId1118" Type="http://schemas.openxmlformats.org/officeDocument/2006/relationships/hyperlink" Target="..\01_DOCUMENT_SETS\ST-054-STD-08\03_Label.pdf" TargetMode="External"/><Relationship Id="rId1325" Type="http://schemas.openxmlformats.org/officeDocument/2006/relationships/hyperlink" Target="..\01_DOCUMENT_SETS\ST-060-STD-04\03_Label.docx" TargetMode="External"/><Relationship Id="rId1532" Type="http://schemas.openxmlformats.org/officeDocument/2006/relationships/hyperlink" Target="..\01_DOCUMENT_SETS\ST-068-EUR-03\02_EU_DoC.pdf" TargetMode="External"/><Relationship Id="rId1977" Type="http://schemas.openxmlformats.org/officeDocument/2006/relationships/hyperlink" Target="..\01_DOCUMENT_SETS\ST-087-STD-01\01_Technical_File.docx" TargetMode="External"/><Relationship Id="rId902" Type="http://schemas.openxmlformats.org/officeDocument/2006/relationships/hyperlink" Target="..\01_DOCUMENT_SETS\ST-048-STD-06\03_Label.pdf" TargetMode="External"/><Relationship Id="rId1837" Type="http://schemas.openxmlformats.org/officeDocument/2006/relationships/hyperlink" Target="..\01_DOCUMENT_SETS\ST-072-STD-23\03_Label.docx" TargetMode="External"/><Relationship Id="rId31" Type="http://schemas.openxmlformats.org/officeDocument/2006/relationships/hyperlink" Target="..\01_DOCUMENT_SETS\ST-018-EUR-01\04_Shipment_Statement.docx" TargetMode="External"/><Relationship Id="rId2099" Type="http://schemas.openxmlformats.org/officeDocument/2006/relationships/hyperlink" Target="..\01_DOCUMENT_SETS\ST-090-STD-01\02_EU_DoC.docx" TargetMode="External"/><Relationship Id="rId180" Type="http://schemas.openxmlformats.org/officeDocument/2006/relationships/hyperlink" Target="..\01_DOCUMENT_SETS\ST-021-STD-08\02_EU_DoC.pdf" TargetMode="External"/><Relationship Id="rId278" Type="http://schemas.openxmlformats.org/officeDocument/2006/relationships/hyperlink" Target="..\01_DOCUMENT_SETS\ST-030-STD-01\03_Label.pdf" TargetMode="External"/><Relationship Id="rId1904" Type="http://schemas.openxmlformats.org/officeDocument/2006/relationships/hyperlink" Target="..\01_DOCUMENT_SETS\ST-076-EUR-03\04_Shipment_Statement.pdf" TargetMode="External"/><Relationship Id="rId485" Type="http://schemas.openxmlformats.org/officeDocument/2006/relationships/hyperlink" Target="..\01_DOCUMENT_SETS\ST-036-STD-05\03_Label.docx" TargetMode="External"/><Relationship Id="rId692" Type="http://schemas.openxmlformats.org/officeDocument/2006/relationships/hyperlink" Target="..\01_DOCUMENT_SETS\ST-045-STD-06\02_EU_DoC.pdf" TargetMode="External"/><Relationship Id="rId2166" Type="http://schemas.openxmlformats.org/officeDocument/2006/relationships/hyperlink" Target="..\01_DOCUMENT_SETS\ST-096-EUR-07\03_Label.pdf" TargetMode="External"/><Relationship Id="rId138" Type="http://schemas.openxmlformats.org/officeDocument/2006/relationships/hyperlink" Target="..\01_DOCUMENT_SETS\ST-021-STD-03\01_Technical_File.pdf" TargetMode="External"/><Relationship Id="rId345" Type="http://schemas.openxmlformats.org/officeDocument/2006/relationships/hyperlink" Target="..\01_DOCUMENT_SETS\ST-030-STD-10\01_Technical_File.docx" TargetMode="External"/><Relationship Id="rId552" Type="http://schemas.openxmlformats.org/officeDocument/2006/relationships/hyperlink" Target="..\01_DOCUMENT_SETS\ST-042-EUR-03\04_Shipment_Statement.pdf" TargetMode="External"/><Relationship Id="rId997" Type="http://schemas.openxmlformats.org/officeDocument/2006/relationships/hyperlink" Target="..\01_DOCUMENT_SETS\ST-051-STD-05\03_Label.docx" TargetMode="External"/><Relationship Id="rId1182" Type="http://schemas.openxmlformats.org/officeDocument/2006/relationships/hyperlink" Target="..\01_DOCUMENT_SETS\ST-056-EUR-04\03_Label.pdf" TargetMode="External"/><Relationship Id="rId2026" Type="http://schemas.openxmlformats.org/officeDocument/2006/relationships/hyperlink" Target="..\01_DOCUMENT_SETS\ST-087-STD-07\01_Technical_File.pdf" TargetMode="External"/><Relationship Id="rId2233" Type="http://schemas.openxmlformats.org/officeDocument/2006/relationships/hyperlink" Target="..\01_DOCUMENT_SETS\ST-096-STD-06\01_Technical_File.docx" TargetMode="External"/><Relationship Id="rId205" Type="http://schemas.openxmlformats.org/officeDocument/2006/relationships/hyperlink" Target="..\01_DOCUMENT_SETS\ST-024-EUR-03\03_Label.docx" TargetMode="External"/><Relationship Id="rId412" Type="http://schemas.openxmlformats.org/officeDocument/2006/relationships/hyperlink" Target="..\01_DOCUMENT_SETS\ST-036-EUR-03\02_EU_DoC.pdf" TargetMode="External"/><Relationship Id="rId857" Type="http://schemas.openxmlformats.org/officeDocument/2006/relationships/hyperlink" Target="..\01_DOCUMENT_SETS\ST-048-STD-01\01_Technical_File.docx" TargetMode="External"/><Relationship Id="rId1042" Type="http://schemas.openxmlformats.org/officeDocument/2006/relationships/hyperlink" Target="..\01_DOCUMENT_SETS\ST-051-STD-11\01_Technical_File.pdf" TargetMode="External"/><Relationship Id="rId1487" Type="http://schemas.openxmlformats.org/officeDocument/2006/relationships/hyperlink" Target="..\01_DOCUMENT_SETS\ST-064-EUR-01\04_Shipment_Statement.docx" TargetMode="External"/><Relationship Id="rId1694" Type="http://schemas.openxmlformats.org/officeDocument/2006/relationships/hyperlink" Target="..\01_DOCUMENT_SETS\ST-072-STD-05\03_Label.pdf" TargetMode="External"/><Relationship Id="rId717" Type="http://schemas.openxmlformats.org/officeDocument/2006/relationships/hyperlink" Target="..\01_DOCUMENT_SETS\ST-045-STD-09\03_Label.docx" TargetMode="External"/><Relationship Id="rId924" Type="http://schemas.openxmlformats.org/officeDocument/2006/relationships/hyperlink" Target="..\01_DOCUMENT_SETS\ST-048-STD-09\02_EU_DoC.pdf" TargetMode="External"/><Relationship Id="rId1347" Type="http://schemas.openxmlformats.org/officeDocument/2006/relationships/hyperlink" Target="..\01_DOCUMENT_SETS\ST-063-EUR-02\02_EU_DoC.docx" TargetMode="External"/><Relationship Id="rId1554" Type="http://schemas.openxmlformats.org/officeDocument/2006/relationships/hyperlink" Target="..\01_DOCUMENT_SETS\ST-068-STD-02\01_Technical_File.pdf" TargetMode="External"/><Relationship Id="rId1761" Type="http://schemas.openxmlformats.org/officeDocument/2006/relationships/hyperlink" Target="..\01_DOCUMENT_SETS\ST-072-STD-14\01_Technical_File.docx" TargetMode="External"/><Relationship Id="rId1999" Type="http://schemas.openxmlformats.org/officeDocument/2006/relationships/hyperlink" Target="..\01_DOCUMENT_SETS\ST-087-STD-03\04_Shipment_Statement.docx" TargetMode="External"/><Relationship Id="rId53" Type="http://schemas.openxmlformats.org/officeDocument/2006/relationships/hyperlink" Target="..\01_DOCUMENT_SETS\ST-018-EUR-04\03_Label.docx" TargetMode="External"/><Relationship Id="rId1207" Type="http://schemas.openxmlformats.org/officeDocument/2006/relationships/hyperlink" Target="..\01_DOCUMENT_SETS\ST-057-EUR-01\04_Shipment_Statement.docx" TargetMode="External"/><Relationship Id="rId1414" Type="http://schemas.openxmlformats.org/officeDocument/2006/relationships/hyperlink" Target="..\01_DOCUMENT_SETS\ST-063-STD-08\03_Label.pdf" TargetMode="External"/><Relationship Id="rId1621" Type="http://schemas.openxmlformats.org/officeDocument/2006/relationships/hyperlink" Target="..\01_DOCUMENT_SETS\ST-072-EUR-02\03_Label.docx" TargetMode="External"/><Relationship Id="rId1859" Type="http://schemas.openxmlformats.org/officeDocument/2006/relationships/hyperlink" Target="..\01_DOCUMENT_SETS\ST-072-STD-26\02_EU_DoC.docx" TargetMode="External"/><Relationship Id="rId1719" Type="http://schemas.openxmlformats.org/officeDocument/2006/relationships/hyperlink" Target="..\01_DOCUMENT_SETS\ST-072-STD-08\04_Shipment_Statement.docx" TargetMode="External"/><Relationship Id="rId1926" Type="http://schemas.openxmlformats.org/officeDocument/2006/relationships/hyperlink" Target="..\01_DOCUMENT_SETS\ST-076-STD-02\03_Label.pdf" TargetMode="External"/><Relationship Id="rId2090" Type="http://schemas.openxmlformats.org/officeDocument/2006/relationships/hyperlink" Target="..\01_DOCUMENT_SETS\ST-088-STD-08\01_Technical_File.pdf" TargetMode="External"/><Relationship Id="rId2188" Type="http://schemas.openxmlformats.org/officeDocument/2006/relationships/hyperlink" Target="..\01_DOCUMENT_SETS\ST-096-EUR-10\02_EU_DoC.pdf" TargetMode="External"/><Relationship Id="rId367" Type="http://schemas.openxmlformats.org/officeDocument/2006/relationships/hyperlink" Target="..\01_DOCUMENT_SETS\ST-030-STD-12\04_Shipment_Statement.docx" TargetMode="External"/><Relationship Id="rId574" Type="http://schemas.openxmlformats.org/officeDocument/2006/relationships/hyperlink" Target="..\01_DOCUMENT_SETS\ST-042-STD-02\03_Label.pdf" TargetMode="External"/><Relationship Id="rId2048" Type="http://schemas.openxmlformats.org/officeDocument/2006/relationships/hyperlink" Target="..\01_DOCUMENT_SETS\ST-088-STD-02\04_Shipment_Statement.pdf" TargetMode="External"/><Relationship Id="rId2255" Type="http://schemas.openxmlformats.org/officeDocument/2006/relationships/hyperlink" Target="..\01_DOCUMENT_SETS\ST-096-STD-08\04_Shipment_Statement.docx" TargetMode="External"/><Relationship Id="rId227" Type="http://schemas.openxmlformats.org/officeDocument/2006/relationships/hyperlink" Target="..\01_DOCUMENT_SETS\ST-024-STD-02\02_EU_DoC.docx" TargetMode="External"/><Relationship Id="rId781" Type="http://schemas.openxmlformats.org/officeDocument/2006/relationships/hyperlink" Target="..\01_DOCUMENT_SETS\ST-048-EUR-03\03_Label.docx" TargetMode="External"/><Relationship Id="rId879" Type="http://schemas.openxmlformats.org/officeDocument/2006/relationships/hyperlink" Target="..\01_DOCUMENT_SETS\ST-048-STD-03\04_Shipment_Statement.docx" TargetMode="External"/><Relationship Id="rId434" Type="http://schemas.openxmlformats.org/officeDocument/2006/relationships/hyperlink" Target="..\01_DOCUMENT_SETS\ST-036-EUR-06\01_Technical_File.pdf" TargetMode="External"/><Relationship Id="rId641" Type="http://schemas.openxmlformats.org/officeDocument/2006/relationships/hyperlink" Target="..\01_DOCUMENT_SETS\ST-045-EUR-01\01_Technical_File.docx" TargetMode="External"/><Relationship Id="rId739" Type="http://schemas.openxmlformats.org/officeDocument/2006/relationships/hyperlink" Target="..\01_DOCUMENT_SETS\ST-045-STD-12\02_EU_DoC.docx" TargetMode="External"/><Relationship Id="rId1064" Type="http://schemas.openxmlformats.org/officeDocument/2006/relationships/hyperlink" Target="..\01_DOCUMENT_SETS\ST-054-STD-01\04_Shipment_Statement.pdf" TargetMode="External"/><Relationship Id="rId1271" Type="http://schemas.openxmlformats.org/officeDocument/2006/relationships/hyperlink" Target="..\01_DOCUMENT_SETS\ST-057-STD-04\04_Shipment_Statement.docx" TargetMode="External"/><Relationship Id="rId1369" Type="http://schemas.openxmlformats.org/officeDocument/2006/relationships/hyperlink" Target="..\01_DOCUMENT_SETS\ST-063-STD-03\01_Technical_File.docx" TargetMode="External"/><Relationship Id="rId1576" Type="http://schemas.openxmlformats.org/officeDocument/2006/relationships/hyperlink" Target="..\01_DOCUMENT_SETS\ST-068-STD-04\04_Shipment_Statement.pdf" TargetMode="External"/><Relationship Id="rId2115" Type="http://schemas.openxmlformats.org/officeDocument/2006/relationships/hyperlink" Target="..\01_DOCUMENT_SETS\ST-096-EUR-01\02_EU_DoC.docx" TargetMode="External"/><Relationship Id="rId501" Type="http://schemas.openxmlformats.org/officeDocument/2006/relationships/hyperlink" Target="..\01_DOCUMENT_SETS\ST-036-STD-07\03_Label.docx" TargetMode="External"/><Relationship Id="rId946" Type="http://schemas.openxmlformats.org/officeDocument/2006/relationships/hyperlink" Target="..\01_DOCUMENT_SETS\ST-051-EUR-03\01_Technical_File.pdf" TargetMode="External"/><Relationship Id="rId1131" Type="http://schemas.openxmlformats.org/officeDocument/2006/relationships/hyperlink" Target="..\01_DOCUMENT_SETS\ST-054-STD-10\02_EU_DoC.docx" TargetMode="External"/><Relationship Id="rId1229" Type="http://schemas.openxmlformats.org/officeDocument/2006/relationships/hyperlink" Target="..\01_DOCUMENT_SETS\ST-057-EUR-04\03_Label.docx" TargetMode="External"/><Relationship Id="rId1783" Type="http://schemas.openxmlformats.org/officeDocument/2006/relationships/hyperlink" Target="..\01_DOCUMENT_SETS\ST-072-STD-16\04_Shipment_Statement.docx" TargetMode="External"/><Relationship Id="rId1990" Type="http://schemas.openxmlformats.org/officeDocument/2006/relationships/hyperlink" Target="..\01_DOCUMENT_SETS\ST-087-STD-02\03_Label.pdf" TargetMode="External"/><Relationship Id="rId75" Type="http://schemas.openxmlformats.org/officeDocument/2006/relationships/hyperlink" Target="..\01_DOCUMENT_SETS\ST-018-STD-02\02_EU_DoC.docx" TargetMode="External"/><Relationship Id="rId806" Type="http://schemas.openxmlformats.org/officeDocument/2006/relationships/hyperlink" Target="..\01_DOCUMENT_SETS\ST-048-EUR-06\03_Label.pdf" TargetMode="External"/><Relationship Id="rId1436" Type="http://schemas.openxmlformats.org/officeDocument/2006/relationships/hyperlink" Target="..\01_DOCUMENT_SETS\ST-063-STD-11\02_EU_DoC.pdf" TargetMode="External"/><Relationship Id="rId1643" Type="http://schemas.openxmlformats.org/officeDocument/2006/relationships/hyperlink" Target="..\01_DOCUMENT_SETS\ST-072-EUR-05\02_EU_DoC.docx" TargetMode="External"/><Relationship Id="rId1850" Type="http://schemas.openxmlformats.org/officeDocument/2006/relationships/hyperlink" Target="..\01_DOCUMENT_SETS\ST-072-STD-25\01_Technical_File.pdf" TargetMode="External"/><Relationship Id="rId1503" Type="http://schemas.openxmlformats.org/officeDocument/2006/relationships/hyperlink" Target="..\01_DOCUMENT_SETS\ST-066-STD-02\04_Shipment_Statement.docx" TargetMode="External"/><Relationship Id="rId1710" Type="http://schemas.openxmlformats.org/officeDocument/2006/relationships/hyperlink" Target="..\01_DOCUMENT_SETS\ST-072-STD-07\03_Label.pdf" TargetMode="External"/><Relationship Id="rId1948" Type="http://schemas.openxmlformats.org/officeDocument/2006/relationships/hyperlink" Target="..\01_DOCUMENT_SETS\ST-080-EUR-01\02_EU_DoC.pdf" TargetMode="External"/><Relationship Id="rId291" Type="http://schemas.openxmlformats.org/officeDocument/2006/relationships/hyperlink" Target="..\01_DOCUMENT_SETS\ST-030-STD-03\02_EU_DoC.docx" TargetMode="External"/><Relationship Id="rId1808" Type="http://schemas.openxmlformats.org/officeDocument/2006/relationships/hyperlink" Target="..\01_DOCUMENT_SETS\ST-072-STD-19\04_Shipment_Statement.pdf" TargetMode="External"/><Relationship Id="rId151" Type="http://schemas.openxmlformats.org/officeDocument/2006/relationships/hyperlink" Target="..\01_DOCUMENT_SETS\ST-021-STD-04\04_Shipment_Statement.docx" TargetMode="External"/><Relationship Id="rId389" Type="http://schemas.openxmlformats.org/officeDocument/2006/relationships/hyperlink" Target="..\01_DOCUMENT_SETS\ST-034-STD-02\03_Label.docx" TargetMode="External"/><Relationship Id="rId596" Type="http://schemas.openxmlformats.org/officeDocument/2006/relationships/hyperlink" Target="..\01_DOCUMENT_SETS\ST-042-STD-05\02_EU_DoC.pdf" TargetMode="External"/><Relationship Id="rId2277" Type="http://schemas.openxmlformats.org/officeDocument/2006/relationships/hyperlink" Target="..\01_DOCUMENT_SETS\ST-120-STD-01\03_Label.docx" TargetMode="External"/><Relationship Id="rId249" Type="http://schemas.openxmlformats.org/officeDocument/2006/relationships/hyperlink" Target="..\01_DOCUMENT_SETS\ST-027-STD90-01\01_Technical_File.docx" TargetMode="External"/><Relationship Id="rId456" Type="http://schemas.openxmlformats.org/officeDocument/2006/relationships/hyperlink" Target="..\01_DOCUMENT_SETS\ST-036-STD-01\04_Shipment_Statement.pdf" TargetMode="External"/><Relationship Id="rId663" Type="http://schemas.openxmlformats.org/officeDocument/2006/relationships/hyperlink" Target="..\01_DOCUMENT_SETS\ST-045-STD-02\04_Shipment_Statement.docx" TargetMode="External"/><Relationship Id="rId870" Type="http://schemas.openxmlformats.org/officeDocument/2006/relationships/hyperlink" Target="..\01_DOCUMENT_SETS\ST-048-STD-02\03_Label.pdf" TargetMode="External"/><Relationship Id="rId1086" Type="http://schemas.openxmlformats.org/officeDocument/2006/relationships/hyperlink" Target="..\01_DOCUMENT_SETS\ST-054-STD-04\03_Label.pdf" TargetMode="External"/><Relationship Id="rId1293" Type="http://schemas.openxmlformats.org/officeDocument/2006/relationships/hyperlink" Target="..\01_DOCUMENT_SETS\ST-060-EUR-02\03_Label.docx" TargetMode="External"/><Relationship Id="rId2137" Type="http://schemas.openxmlformats.org/officeDocument/2006/relationships/hyperlink" Target="..\01_DOCUMENT_SETS\ST-096-EUR-04\01_Technical_File.docx" TargetMode="External"/><Relationship Id="rId109" Type="http://schemas.openxmlformats.org/officeDocument/2006/relationships/hyperlink" Target="..\01_DOCUMENT_SETS\ST-021-EUR-04\03_Label.docx" TargetMode="External"/><Relationship Id="rId316" Type="http://schemas.openxmlformats.org/officeDocument/2006/relationships/hyperlink" Target="..\01_DOCUMENT_SETS\ST-030-STD-06\02_EU_DoC.pdf" TargetMode="External"/><Relationship Id="rId523" Type="http://schemas.openxmlformats.org/officeDocument/2006/relationships/hyperlink" Target="..\01_DOCUMENT_SETS\ST-036-STD-10\02_EU_DoC.docx" TargetMode="External"/><Relationship Id="rId968" Type="http://schemas.openxmlformats.org/officeDocument/2006/relationships/hyperlink" Target="..\01_DOCUMENT_SETS\ST-051-STD-01\04_Shipment_Statement.pdf" TargetMode="External"/><Relationship Id="rId1153" Type="http://schemas.openxmlformats.org/officeDocument/2006/relationships/hyperlink" Target="..\01_DOCUMENT_SETS\ST-056-EUR-01\01_Technical_File.docx" TargetMode="External"/><Relationship Id="rId1598" Type="http://schemas.openxmlformats.org/officeDocument/2006/relationships/hyperlink" Target="..\01_DOCUMENT_SETS\ST-068-STD-07\03_Label.pdf" TargetMode="External"/><Relationship Id="rId2204" Type="http://schemas.openxmlformats.org/officeDocument/2006/relationships/hyperlink" Target="..\01_DOCUMENT_SETS\ST-096-STD-02\02_EU_DoC.pdf" TargetMode="External"/><Relationship Id="rId97" Type="http://schemas.openxmlformats.org/officeDocument/2006/relationships/hyperlink" Target="..\01_DOCUMENT_SETS\ST-021-EUR-03\01_Technical_File.docx" TargetMode="External"/><Relationship Id="rId730" Type="http://schemas.openxmlformats.org/officeDocument/2006/relationships/hyperlink" Target="..\01_DOCUMENT_SETS\ST-045-STD-11\01_Technical_File.pdf" TargetMode="External"/><Relationship Id="rId828" Type="http://schemas.openxmlformats.org/officeDocument/2006/relationships/hyperlink" Target="..\01_DOCUMENT_SETS\ST-048-EUR-09\02_EU_DoC.pdf" TargetMode="External"/><Relationship Id="rId1013" Type="http://schemas.openxmlformats.org/officeDocument/2006/relationships/hyperlink" Target="..\01_DOCUMENT_SETS\ST-051-STD-07\03_Label.docx" TargetMode="External"/><Relationship Id="rId1360" Type="http://schemas.openxmlformats.org/officeDocument/2006/relationships/hyperlink" Target="..\01_DOCUMENT_SETS\ST-063-STD-01\04_Shipment_Statement.pdf" TargetMode="External"/><Relationship Id="rId1458" Type="http://schemas.openxmlformats.org/officeDocument/2006/relationships/hyperlink" Target="..\01_DOCUMENT_SETS\ST-063-STD-14\01_Technical_File.pdf" TargetMode="External"/><Relationship Id="rId1665" Type="http://schemas.openxmlformats.org/officeDocument/2006/relationships/hyperlink" Target="..\01_DOCUMENT_SETS\ST-072-STD-02\01_Technical_File.docx" TargetMode="External"/><Relationship Id="rId1872" Type="http://schemas.openxmlformats.org/officeDocument/2006/relationships/hyperlink" Target="..\01_DOCUMENT_SETS\ST-072-STD-27\04_Shipment_Statement.pdf" TargetMode="External"/><Relationship Id="rId1220" Type="http://schemas.openxmlformats.org/officeDocument/2006/relationships/hyperlink" Target="..\01_DOCUMENT_SETS\ST-057-EUR-03\02_EU_DoC.pdf" TargetMode="External"/><Relationship Id="rId1318" Type="http://schemas.openxmlformats.org/officeDocument/2006/relationships/hyperlink" Target="..\01_DOCUMENT_SETS\ST-060-STD-03\03_Label.pdf" TargetMode="External"/><Relationship Id="rId1525" Type="http://schemas.openxmlformats.org/officeDocument/2006/relationships/hyperlink" Target="..\01_DOCUMENT_SETS\ST-068-EUR-02\03_Label.docx" TargetMode="External"/><Relationship Id="rId1732" Type="http://schemas.openxmlformats.org/officeDocument/2006/relationships/hyperlink" Target="..\01_DOCUMENT_SETS\ST-072-STD-10\02_EU_DoC.pdf" TargetMode="External"/><Relationship Id="rId24" Type="http://schemas.openxmlformats.org/officeDocument/2006/relationships/hyperlink" Target="..\01_DOCUMENT_SETS\ST-012-EUR-03\04_Shipment_Statement.pdf" TargetMode="External"/><Relationship Id="rId173" Type="http://schemas.openxmlformats.org/officeDocument/2006/relationships/hyperlink" Target="..\01_DOCUMENT_SETS\ST-021-STD-07\03_Label.docx" TargetMode="External"/><Relationship Id="rId380" Type="http://schemas.openxmlformats.org/officeDocument/2006/relationships/hyperlink" Target="..\01_DOCUMENT_SETS\ST-034-STD-01\02_EU_DoC.pdf" TargetMode="External"/><Relationship Id="rId2061" Type="http://schemas.openxmlformats.org/officeDocument/2006/relationships/hyperlink" Target="..\01_DOCUMENT_SETS\ST-088-STD-04\03_Label.docx" TargetMode="External"/><Relationship Id="rId240" Type="http://schemas.openxmlformats.org/officeDocument/2006/relationships/hyperlink" Target="..\01_DOCUMENT_SETS\ST-024-STD-03\04_Shipment_Statement.pdf" TargetMode="External"/><Relationship Id="rId478" Type="http://schemas.openxmlformats.org/officeDocument/2006/relationships/hyperlink" Target="..\01_DOCUMENT_SETS\ST-036-STD-04\03_Label.pdf" TargetMode="External"/><Relationship Id="rId685" Type="http://schemas.openxmlformats.org/officeDocument/2006/relationships/hyperlink" Target="..\01_DOCUMENT_SETS\ST-045-STD-05\03_Label.docx" TargetMode="External"/><Relationship Id="rId892" Type="http://schemas.openxmlformats.org/officeDocument/2006/relationships/hyperlink" Target="..\01_DOCUMENT_SETS\ST-048-STD-05\02_EU_DoC.pdf" TargetMode="External"/><Relationship Id="rId2159" Type="http://schemas.openxmlformats.org/officeDocument/2006/relationships/hyperlink" Target="..\01_DOCUMENT_SETS\ST-096-EUR-06\04_Shipment_Statement.docx" TargetMode="External"/><Relationship Id="rId100" Type="http://schemas.openxmlformats.org/officeDocument/2006/relationships/hyperlink" Target="..\01_DOCUMENT_SETS\ST-021-EUR-03\02_EU_DoC.pdf" TargetMode="External"/><Relationship Id="rId338" Type="http://schemas.openxmlformats.org/officeDocument/2006/relationships/hyperlink" Target="..\01_DOCUMENT_SETS\ST-030-STD-09\01_Technical_File.pdf" TargetMode="External"/><Relationship Id="rId545" Type="http://schemas.openxmlformats.org/officeDocument/2006/relationships/hyperlink" Target="..\01_DOCUMENT_SETS\ST-042-EUR-03\01_Technical_File.docx" TargetMode="External"/><Relationship Id="rId752" Type="http://schemas.openxmlformats.org/officeDocument/2006/relationships/hyperlink" Target="..\01_DOCUMENT_SETS\ST-045-STD-13\04_Shipment_Statement.pdf" TargetMode="External"/><Relationship Id="rId1175" Type="http://schemas.openxmlformats.org/officeDocument/2006/relationships/hyperlink" Target="..\01_DOCUMENT_SETS\ST-056-EUR-03\04_Shipment_Statement.docx" TargetMode="External"/><Relationship Id="rId1382" Type="http://schemas.openxmlformats.org/officeDocument/2006/relationships/hyperlink" Target="..\01_DOCUMENT_SETS\ST-063-STD-04\03_Label.pdf" TargetMode="External"/><Relationship Id="rId2019" Type="http://schemas.openxmlformats.org/officeDocument/2006/relationships/hyperlink" Target="..\01_DOCUMENT_SETS\ST-087-STD-06\02_EU_DoC.docx" TargetMode="External"/><Relationship Id="rId2226" Type="http://schemas.openxmlformats.org/officeDocument/2006/relationships/hyperlink" Target="..\01_DOCUMENT_SETS\ST-096-STD-05\01_Technical_File.pdf" TargetMode="External"/><Relationship Id="rId405" Type="http://schemas.openxmlformats.org/officeDocument/2006/relationships/hyperlink" Target="..\01_DOCUMENT_SETS\ST-036-EUR-02\03_Label.docx" TargetMode="External"/><Relationship Id="rId612" Type="http://schemas.openxmlformats.org/officeDocument/2006/relationships/hyperlink" Target="..\01_DOCUMENT_SETS\ST-042-STD-07\02_EU_DoC.pdf" TargetMode="External"/><Relationship Id="rId1035" Type="http://schemas.openxmlformats.org/officeDocument/2006/relationships/hyperlink" Target="..\01_DOCUMENT_SETS\ST-051-STD-10\02_EU_DoC.docx" TargetMode="External"/><Relationship Id="rId1242" Type="http://schemas.openxmlformats.org/officeDocument/2006/relationships/hyperlink" Target="..\01_DOCUMENT_SETS\ST-057-STD-01\01_Technical_File.pdf" TargetMode="External"/><Relationship Id="rId1687" Type="http://schemas.openxmlformats.org/officeDocument/2006/relationships/hyperlink" Target="..\01_DOCUMENT_SETS\ST-072-STD-04\04_Shipment_Statement.docx" TargetMode="External"/><Relationship Id="rId1894" Type="http://schemas.openxmlformats.org/officeDocument/2006/relationships/hyperlink" Target="..\01_DOCUMENT_SETS\ST-076-EUR-02\03_Label.pdf" TargetMode="External"/><Relationship Id="rId917" Type="http://schemas.openxmlformats.org/officeDocument/2006/relationships/hyperlink" Target="..\01_DOCUMENT_SETS\ST-048-STD-08\03_Label.docx" TargetMode="External"/><Relationship Id="rId1102" Type="http://schemas.openxmlformats.org/officeDocument/2006/relationships/hyperlink" Target="..\01_DOCUMENT_SETS\ST-054-STD-06\03_Label.pdf" TargetMode="External"/><Relationship Id="rId1547" Type="http://schemas.openxmlformats.org/officeDocument/2006/relationships/hyperlink" Target="..\01_DOCUMENT_SETS\ST-068-STD-01\02_EU_DoC.docx" TargetMode="External"/><Relationship Id="rId1754" Type="http://schemas.openxmlformats.org/officeDocument/2006/relationships/hyperlink" Target="..\01_DOCUMENT_SETS\ST-072-STD-13\01_Technical_File.pdf" TargetMode="External"/><Relationship Id="rId1961" Type="http://schemas.openxmlformats.org/officeDocument/2006/relationships/hyperlink" Target="..\01_DOCUMENT_SETS\ST-081-STD-01\01_Technical_File.docx" TargetMode="External"/><Relationship Id="rId46" Type="http://schemas.openxmlformats.org/officeDocument/2006/relationships/hyperlink" Target="..\01_DOCUMENT_SETS\ST-018-EUR-03\03_Label.pdf" TargetMode="External"/><Relationship Id="rId1407" Type="http://schemas.openxmlformats.org/officeDocument/2006/relationships/hyperlink" Target="..\01_DOCUMENT_SETS\ST-063-STD-07\04_Shipment_Statement.docx" TargetMode="External"/><Relationship Id="rId1614" Type="http://schemas.openxmlformats.org/officeDocument/2006/relationships/hyperlink" Target="..\01_DOCUMENT_SETS\ST-072-EUR-01\03_Label.pdf" TargetMode="External"/><Relationship Id="rId1821" Type="http://schemas.openxmlformats.org/officeDocument/2006/relationships/hyperlink" Target="..\01_DOCUMENT_SETS\ST-072-STD-21\03_Label.docx" TargetMode="External"/><Relationship Id="rId195" Type="http://schemas.openxmlformats.org/officeDocument/2006/relationships/hyperlink" Target="..\01_DOCUMENT_SETS\ST-024-EUR-02\02_EU_DoC.docx" TargetMode="External"/><Relationship Id="rId1919" Type="http://schemas.openxmlformats.org/officeDocument/2006/relationships/hyperlink" Target="..\01_DOCUMENT_SETS\ST-076-STD-01\04_Shipment_Statement.docx" TargetMode="External"/><Relationship Id="rId2083" Type="http://schemas.openxmlformats.org/officeDocument/2006/relationships/hyperlink" Target="..\01_DOCUMENT_SETS\ST-088-STD-07\02_EU_DoC.docx" TargetMode="External"/><Relationship Id="rId2290" Type="http://schemas.openxmlformats.org/officeDocument/2006/relationships/hyperlink" Target="..\01_DOCUMENT_SETS\ST-120-STD-03\01_Technical_File.pdf" TargetMode="External"/><Relationship Id="rId262" Type="http://schemas.openxmlformats.org/officeDocument/2006/relationships/hyperlink" Target="..\01_DOCUMENT_SETS\ST-027-STD90-02\03_Label.pdf" TargetMode="External"/><Relationship Id="rId567" Type="http://schemas.openxmlformats.org/officeDocument/2006/relationships/hyperlink" Target="..\01_DOCUMENT_SETS\ST-042-STD-01\04_Shipment_Statement.docx" TargetMode="External"/><Relationship Id="rId1197" Type="http://schemas.openxmlformats.org/officeDocument/2006/relationships/hyperlink" Target="..\01_DOCUMENT_SETS\ST-056-STD-02\03_Label.docx" TargetMode="External"/><Relationship Id="rId2150" Type="http://schemas.openxmlformats.org/officeDocument/2006/relationships/hyperlink" Target="..\01_DOCUMENT_SETS\ST-096-EUR-05\03_Label.pdf" TargetMode="External"/><Relationship Id="rId2248" Type="http://schemas.openxmlformats.org/officeDocument/2006/relationships/hyperlink" Target="..\01_DOCUMENT_SETS\ST-096-STD-07\04_Shipment_Statement.pdf" TargetMode="External"/><Relationship Id="rId122" Type="http://schemas.openxmlformats.org/officeDocument/2006/relationships/hyperlink" Target="..\01_DOCUMENT_SETS\ST-021-STD-01\01_Technical_File.pdf" TargetMode="External"/><Relationship Id="rId774" Type="http://schemas.openxmlformats.org/officeDocument/2006/relationships/hyperlink" Target="..\01_DOCUMENT_SETS\ST-048-EUR-02\03_Label.pdf" TargetMode="External"/><Relationship Id="rId981" Type="http://schemas.openxmlformats.org/officeDocument/2006/relationships/hyperlink" Target="..\01_DOCUMENT_SETS\ST-051-STD-03\03_Label.docx" TargetMode="External"/><Relationship Id="rId1057" Type="http://schemas.openxmlformats.org/officeDocument/2006/relationships/hyperlink" Target="..\01_DOCUMENT_SETS\ST-054-STD-01\01_Technical_File.docx" TargetMode="External"/><Relationship Id="rId2010" Type="http://schemas.openxmlformats.org/officeDocument/2006/relationships/hyperlink" Target="..\01_DOCUMENT_SETS\ST-087-STD-05\01_Technical_File.pdf" TargetMode="External"/><Relationship Id="rId427" Type="http://schemas.openxmlformats.org/officeDocument/2006/relationships/hyperlink" Target="..\01_DOCUMENT_SETS\ST-036-EUR-05\02_EU_DoC.docx" TargetMode="External"/><Relationship Id="rId634" Type="http://schemas.openxmlformats.org/officeDocument/2006/relationships/hyperlink" Target="..\01_DOCUMENT_SETS\ST-044-STD-01\01_Technical_File.pdf" TargetMode="External"/><Relationship Id="rId841" Type="http://schemas.openxmlformats.org/officeDocument/2006/relationships/hyperlink" Target="..\01_DOCUMENT_SETS\ST-048-EUR-11\01_Technical_File.docx" TargetMode="External"/><Relationship Id="rId1264" Type="http://schemas.openxmlformats.org/officeDocument/2006/relationships/hyperlink" Target="..\01_DOCUMENT_SETS\ST-057-STD-03\04_Shipment_Statement.pdf" TargetMode="External"/><Relationship Id="rId1471" Type="http://schemas.openxmlformats.org/officeDocument/2006/relationships/hyperlink" Target="..\01_DOCUMENT_SETS\ST-063-STD-15\04_Shipment_Statement.docx" TargetMode="External"/><Relationship Id="rId1569" Type="http://schemas.openxmlformats.org/officeDocument/2006/relationships/hyperlink" Target="..\01_DOCUMENT_SETS\ST-068-STD-04\01_Technical_File.docx" TargetMode="External"/><Relationship Id="rId2108" Type="http://schemas.openxmlformats.org/officeDocument/2006/relationships/hyperlink" Target="..\01_DOCUMENT_SETS\ST-090-STD-02\02_EU_DoC.pdf" TargetMode="External"/><Relationship Id="rId701" Type="http://schemas.openxmlformats.org/officeDocument/2006/relationships/hyperlink" Target="..\01_DOCUMENT_SETS\ST-045-STD-07\03_Label.docx" TargetMode="External"/><Relationship Id="rId939" Type="http://schemas.openxmlformats.org/officeDocument/2006/relationships/hyperlink" Target="..\01_DOCUMENT_SETS\ST-051-EUR-02\02_EU_DoC.docx" TargetMode="External"/><Relationship Id="rId1124" Type="http://schemas.openxmlformats.org/officeDocument/2006/relationships/hyperlink" Target="..\01_DOCUMENT_SETS\ST-054-STD-09\02_EU_DoC.pdf" TargetMode="External"/><Relationship Id="rId1331" Type="http://schemas.openxmlformats.org/officeDocument/2006/relationships/hyperlink" Target="..\01_DOCUMENT_SETS\ST-060-STD-05\02_EU_DoC.docx" TargetMode="External"/><Relationship Id="rId1776" Type="http://schemas.openxmlformats.org/officeDocument/2006/relationships/hyperlink" Target="..\01_DOCUMENT_SETS\ST-072-STD-15\04_Shipment_Statement.pdf" TargetMode="External"/><Relationship Id="rId1983" Type="http://schemas.openxmlformats.org/officeDocument/2006/relationships/hyperlink" Target="..\01_DOCUMENT_SETS\ST-087-STD-01\04_Shipment_Statement.docx" TargetMode="External"/><Relationship Id="rId68" Type="http://schemas.openxmlformats.org/officeDocument/2006/relationships/hyperlink" Target="..\01_DOCUMENT_SETS\ST-018-STD-01\02_EU_DoC.pdf" TargetMode="External"/><Relationship Id="rId1429" Type="http://schemas.openxmlformats.org/officeDocument/2006/relationships/hyperlink" Target="..\01_DOCUMENT_SETS\ST-063-STD-10\03_Label.docx" TargetMode="External"/><Relationship Id="rId1636" Type="http://schemas.openxmlformats.org/officeDocument/2006/relationships/hyperlink" Target="..\01_DOCUMENT_SETS\ST-072-EUR-04\02_EU_DoC.pdf" TargetMode="External"/><Relationship Id="rId1843" Type="http://schemas.openxmlformats.org/officeDocument/2006/relationships/hyperlink" Target="..\01_DOCUMENT_SETS\ST-072-STD-24\02_EU_DoC.docx" TargetMode="External"/><Relationship Id="rId1703" Type="http://schemas.openxmlformats.org/officeDocument/2006/relationships/hyperlink" Target="..\01_DOCUMENT_SETS\ST-072-STD-06\04_Shipment_Statement.docx" TargetMode="External"/><Relationship Id="rId1910" Type="http://schemas.openxmlformats.org/officeDocument/2006/relationships/hyperlink" Target="..\01_DOCUMENT_SETS\ST-076-EUR-04\03_Label.pdf" TargetMode="External"/><Relationship Id="rId284" Type="http://schemas.openxmlformats.org/officeDocument/2006/relationships/hyperlink" Target="..\01_DOCUMENT_SETS\ST-030-STD-02\02_EU_DoC.pdf" TargetMode="External"/><Relationship Id="rId491" Type="http://schemas.openxmlformats.org/officeDocument/2006/relationships/hyperlink" Target="..\01_DOCUMENT_SETS\ST-036-STD-06\02_EU_DoC.docx" TargetMode="External"/><Relationship Id="rId2172" Type="http://schemas.openxmlformats.org/officeDocument/2006/relationships/hyperlink" Target="..\01_DOCUMENT_SETS\ST-096-EUR-08\02_EU_DoC.pdf" TargetMode="External"/><Relationship Id="rId144" Type="http://schemas.openxmlformats.org/officeDocument/2006/relationships/hyperlink" Target="..\01_DOCUMENT_SETS\ST-021-STD-03\04_Shipment_Statement.pdf" TargetMode="External"/><Relationship Id="rId589" Type="http://schemas.openxmlformats.org/officeDocument/2006/relationships/hyperlink" Target="..\01_DOCUMENT_SETS\ST-042-STD-04\03_Label.docx" TargetMode="External"/><Relationship Id="rId796" Type="http://schemas.openxmlformats.org/officeDocument/2006/relationships/hyperlink" Target="..\01_DOCUMENT_SETS\ST-048-EUR-05\02_EU_DoC.pdf" TargetMode="External"/><Relationship Id="rId351" Type="http://schemas.openxmlformats.org/officeDocument/2006/relationships/hyperlink" Target="..\01_DOCUMENT_SETS\ST-030-STD-10\04_Shipment_Statement.docx" TargetMode="External"/><Relationship Id="rId449" Type="http://schemas.openxmlformats.org/officeDocument/2006/relationships/hyperlink" Target="..\01_DOCUMENT_SETS\ST-036-STD-01\01_Technical_File.docx" TargetMode="External"/><Relationship Id="rId656" Type="http://schemas.openxmlformats.org/officeDocument/2006/relationships/hyperlink" Target="..\01_DOCUMENT_SETS\ST-045-STD-01\04_Shipment_Statement.pdf" TargetMode="External"/><Relationship Id="rId863" Type="http://schemas.openxmlformats.org/officeDocument/2006/relationships/hyperlink" Target="..\01_DOCUMENT_SETS\ST-048-STD-01\04_Shipment_Statement.docx" TargetMode="External"/><Relationship Id="rId1079" Type="http://schemas.openxmlformats.org/officeDocument/2006/relationships/hyperlink" Target="..\01_DOCUMENT_SETS\ST-054-STD-03\04_Shipment_Statement.docx" TargetMode="External"/><Relationship Id="rId1286" Type="http://schemas.openxmlformats.org/officeDocument/2006/relationships/hyperlink" Target="..\01_DOCUMENT_SETS\ST-060-EUR-01\03_Label.pdf" TargetMode="External"/><Relationship Id="rId1493" Type="http://schemas.openxmlformats.org/officeDocument/2006/relationships/hyperlink" Target="..\01_DOCUMENT_SETS\ST-066-STD-01\03_Label.docx" TargetMode="External"/><Relationship Id="rId2032" Type="http://schemas.openxmlformats.org/officeDocument/2006/relationships/hyperlink" Target="..\01_DOCUMENT_SETS\ST-087-STD-07\04_Shipment_Statement.pdf" TargetMode="External"/><Relationship Id="rId211" Type="http://schemas.openxmlformats.org/officeDocument/2006/relationships/hyperlink" Target="..\01_DOCUMENT_SETS\ST-024-EUR-04\02_EU_DoC.docx" TargetMode="External"/><Relationship Id="rId309" Type="http://schemas.openxmlformats.org/officeDocument/2006/relationships/hyperlink" Target="..\01_DOCUMENT_SETS\ST-030-STD-05\03_Label.docx" TargetMode="External"/><Relationship Id="rId516" Type="http://schemas.openxmlformats.org/officeDocument/2006/relationships/hyperlink" Target="..\01_DOCUMENT_SETS\ST-036-STD-09\02_EU_DoC.pdf" TargetMode="External"/><Relationship Id="rId1146" Type="http://schemas.openxmlformats.org/officeDocument/2006/relationships/hyperlink" Target="..\01_DOCUMENT_SETS\ST-054-STD-12\01_Technical_File.pdf" TargetMode="External"/><Relationship Id="rId1798" Type="http://schemas.openxmlformats.org/officeDocument/2006/relationships/hyperlink" Target="..\01_DOCUMENT_SETS\ST-072-STD-18\03_Label.pdf" TargetMode="External"/><Relationship Id="rId723" Type="http://schemas.openxmlformats.org/officeDocument/2006/relationships/hyperlink" Target="..\01_DOCUMENT_SETS\ST-045-STD-10\02_EU_DoC.docx" TargetMode="External"/><Relationship Id="rId930" Type="http://schemas.openxmlformats.org/officeDocument/2006/relationships/hyperlink" Target="..\01_DOCUMENT_SETS\ST-051-EUR-01\01_Technical_File.pdf" TargetMode="External"/><Relationship Id="rId1006" Type="http://schemas.openxmlformats.org/officeDocument/2006/relationships/hyperlink" Target="..\01_DOCUMENT_SETS\ST-051-STD-06\03_Label.pdf" TargetMode="External"/><Relationship Id="rId1353" Type="http://schemas.openxmlformats.org/officeDocument/2006/relationships/hyperlink" Target="..\01_DOCUMENT_SETS\ST-063-STD-01\01_Technical_File.docx" TargetMode="External"/><Relationship Id="rId1560" Type="http://schemas.openxmlformats.org/officeDocument/2006/relationships/hyperlink" Target="..\01_DOCUMENT_SETS\ST-068-STD-02\04_Shipment_Statement.pdf" TargetMode="External"/><Relationship Id="rId1658" Type="http://schemas.openxmlformats.org/officeDocument/2006/relationships/hyperlink" Target="..\01_DOCUMENT_SETS\ST-072-STD-01\01_Technical_File.pdf" TargetMode="External"/><Relationship Id="rId1865" Type="http://schemas.openxmlformats.org/officeDocument/2006/relationships/hyperlink" Target="..\01_DOCUMENT_SETS\ST-072-STD-27\01_Technical_File.docx" TargetMode="External"/><Relationship Id="rId1213" Type="http://schemas.openxmlformats.org/officeDocument/2006/relationships/hyperlink" Target="..\01_DOCUMENT_SETS\ST-057-EUR-02\03_Label.docx" TargetMode="External"/><Relationship Id="rId1420" Type="http://schemas.openxmlformats.org/officeDocument/2006/relationships/hyperlink" Target="..\01_DOCUMENT_SETS\ST-063-STD-09\02_EU_DoC.pdf" TargetMode="External"/><Relationship Id="rId1518" Type="http://schemas.openxmlformats.org/officeDocument/2006/relationships/hyperlink" Target="..\01_DOCUMENT_SETS\ST-068-EUR-01\03_Label.pdf" TargetMode="External"/><Relationship Id="rId1725" Type="http://schemas.openxmlformats.org/officeDocument/2006/relationships/hyperlink" Target="..\01_DOCUMENT_SETS\ST-072-STD-09\03_Label.docx" TargetMode="External"/><Relationship Id="rId1932" Type="http://schemas.openxmlformats.org/officeDocument/2006/relationships/hyperlink" Target="..\01_DOCUMENT_SETS\ST-076-STD-03\02_EU_DoC.pdf" TargetMode="External"/><Relationship Id="rId17" Type="http://schemas.openxmlformats.org/officeDocument/2006/relationships/hyperlink" Target="..\01_DOCUMENT_SETS\ST-012-EUR-03\01_Technical_File.docx" TargetMode="External"/><Relationship Id="rId2194" Type="http://schemas.openxmlformats.org/officeDocument/2006/relationships/hyperlink" Target="..\01_DOCUMENT_SETS\ST-096-STD-01\01_Technical_File.pdf" TargetMode="External"/><Relationship Id="rId166" Type="http://schemas.openxmlformats.org/officeDocument/2006/relationships/hyperlink" Target="..\01_DOCUMENT_SETS\ST-021-STD-06\03_Label.pdf" TargetMode="External"/><Relationship Id="rId373" Type="http://schemas.openxmlformats.org/officeDocument/2006/relationships/hyperlink" Target="..\01_DOCUMENT_SETS\ST-033-EUR-01\03_Label.docx" TargetMode="External"/><Relationship Id="rId580" Type="http://schemas.openxmlformats.org/officeDocument/2006/relationships/hyperlink" Target="..\01_DOCUMENT_SETS\ST-042-STD-03\02_EU_DoC.pdf" TargetMode="External"/><Relationship Id="rId2054" Type="http://schemas.openxmlformats.org/officeDocument/2006/relationships/hyperlink" Target="..\01_DOCUMENT_SETS\ST-088-STD-03\03_Label.pdf" TargetMode="External"/><Relationship Id="rId2261" Type="http://schemas.openxmlformats.org/officeDocument/2006/relationships/hyperlink" Target="..\01_DOCUMENT_SETS\ST-105-STD-01\03_Label.docx" TargetMode="External"/><Relationship Id="rId1" Type="http://schemas.openxmlformats.org/officeDocument/2006/relationships/hyperlink" Target="..\01_DOCUMENT_SETS\ST-012-EUR-01\01_Technical_File.docx" TargetMode="External"/><Relationship Id="rId233" Type="http://schemas.openxmlformats.org/officeDocument/2006/relationships/hyperlink" Target="..\01_DOCUMENT_SETS\ST-024-STD-03\01_Technical_File.docx" TargetMode="External"/><Relationship Id="rId440" Type="http://schemas.openxmlformats.org/officeDocument/2006/relationships/hyperlink" Target="..\01_DOCUMENT_SETS\ST-036-EUR-06\04_Shipment_Statement.pdf" TargetMode="External"/><Relationship Id="rId678" Type="http://schemas.openxmlformats.org/officeDocument/2006/relationships/hyperlink" Target="..\01_DOCUMENT_SETS\ST-045-STD-04\03_Label.pdf" TargetMode="External"/><Relationship Id="rId885" Type="http://schemas.openxmlformats.org/officeDocument/2006/relationships/hyperlink" Target="..\01_DOCUMENT_SETS\ST-048-STD-04\03_Label.docx" TargetMode="External"/><Relationship Id="rId1070" Type="http://schemas.openxmlformats.org/officeDocument/2006/relationships/hyperlink" Target="..\01_DOCUMENT_SETS\ST-054-STD-02\03_Label.pdf" TargetMode="External"/><Relationship Id="rId2121" Type="http://schemas.openxmlformats.org/officeDocument/2006/relationships/hyperlink" Target="..\01_DOCUMENT_SETS\ST-096-EUR-02\01_Technical_File.docx" TargetMode="External"/><Relationship Id="rId300" Type="http://schemas.openxmlformats.org/officeDocument/2006/relationships/hyperlink" Target="..\01_DOCUMENT_SETS\ST-030-STD-04\02_EU_DoC.pdf" TargetMode="External"/><Relationship Id="rId538" Type="http://schemas.openxmlformats.org/officeDocument/2006/relationships/hyperlink" Target="..\01_DOCUMENT_SETS\ST-042-EUR-02\01_Technical_File.pdf" TargetMode="External"/><Relationship Id="rId745" Type="http://schemas.openxmlformats.org/officeDocument/2006/relationships/hyperlink" Target="..\01_DOCUMENT_SETS\ST-045-STD-13\01_Technical_File.docx" TargetMode="External"/><Relationship Id="rId952" Type="http://schemas.openxmlformats.org/officeDocument/2006/relationships/hyperlink" Target="..\01_DOCUMENT_SETS\ST-051-EUR-03\04_Shipment_Statement.pdf" TargetMode="External"/><Relationship Id="rId1168" Type="http://schemas.openxmlformats.org/officeDocument/2006/relationships/hyperlink" Target="..\01_DOCUMENT_SETS\ST-056-EUR-02\04_Shipment_Statement.pdf" TargetMode="External"/><Relationship Id="rId1375" Type="http://schemas.openxmlformats.org/officeDocument/2006/relationships/hyperlink" Target="..\01_DOCUMENT_SETS\ST-063-STD-03\04_Shipment_Statement.docx" TargetMode="External"/><Relationship Id="rId1582" Type="http://schemas.openxmlformats.org/officeDocument/2006/relationships/hyperlink" Target="..\01_DOCUMENT_SETS\ST-068-STD-05\03_Label.pdf" TargetMode="External"/><Relationship Id="rId2219" Type="http://schemas.openxmlformats.org/officeDocument/2006/relationships/hyperlink" Target="..\01_DOCUMENT_SETS\ST-096-STD-04\02_EU_DoC.docx" TargetMode="External"/><Relationship Id="rId81" Type="http://schemas.openxmlformats.org/officeDocument/2006/relationships/hyperlink" Target="..\01_DOCUMENT_SETS\ST-021-EUR-01\01_Technical_File.docx" TargetMode="External"/><Relationship Id="rId605" Type="http://schemas.openxmlformats.org/officeDocument/2006/relationships/hyperlink" Target="..\01_DOCUMENT_SETS\ST-042-STD-06\03_Label.docx" TargetMode="External"/><Relationship Id="rId812" Type="http://schemas.openxmlformats.org/officeDocument/2006/relationships/hyperlink" Target="..\01_DOCUMENT_SETS\ST-048-EUR-07\02_EU_DoC.pdf" TargetMode="External"/><Relationship Id="rId1028" Type="http://schemas.openxmlformats.org/officeDocument/2006/relationships/hyperlink" Target="..\01_DOCUMENT_SETS\ST-051-STD-09\02_EU_DoC.pdf" TargetMode="External"/><Relationship Id="rId1235" Type="http://schemas.openxmlformats.org/officeDocument/2006/relationships/hyperlink" Target="..\01_DOCUMENT_SETS\ST-057-EUR-05\02_EU_DoC.docx" TargetMode="External"/><Relationship Id="rId1442" Type="http://schemas.openxmlformats.org/officeDocument/2006/relationships/hyperlink" Target="..\01_DOCUMENT_SETS\ST-063-STD-12\01_Technical_File.pdf" TargetMode="External"/><Relationship Id="rId1887" Type="http://schemas.openxmlformats.org/officeDocument/2006/relationships/hyperlink" Target="..\01_DOCUMENT_SETS\ST-076-EUR-01\04_Shipment_Statement.docx" TargetMode="External"/><Relationship Id="rId1302" Type="http://schemas.openxmlformats.org/officeDocument/2006/relationships/hyperlink" Target="..\01_DOCUMENT_SETS\ST-060-STD-01\03_Label.pdf" TargetMode="External"/><Relationship Id="rId1747" Type="http://schemas.openxmlformats.org/officeDocument/2006/relationships/hyperlink" Target="..\01_DOCUMENT_SETS\ST-072-STD-12\02_EU_DoC.docx" TargetMode="External"/><Relationship Id="rId1954" Type="http://schemas.openxmlformats.org/officeDocument/2006/relationships/hyperlink" Target="..\01_DOCUMENT_SETS\ST-081-EUR-01\01_Technical_File.pdf" TargetMode="External"/><Relationship Id="rId39" Type="http://schemas.openxmlformats.org/officeDocument/2006/relationships/hyperlink" Target="..\01_DOCUMENT_SETS\ST-018-EUR-02\04_Shipment_Statement.docx" TargetMode="External"/><Relationship Id="rId1607" Type="http://schemas.openxmlformats.org/officeDocument/2006/relationships/hyperlink" Target="..\01_DOCUMENT_SETS\ST-068-STD-08\04_Shipment_Statement.docx" TargetMode="External"/><Relationship Id="rId1814" Type="http://schemas.openxmlformats.org/officeDocument/2006/relationships/hyperlink" Target="..\01_DOCUMENT_SETS\ST-072-STD-20\03_Label.pdf" TargetMode="External"/><Relationship Id="rId188" Type="http://schemas.openxmlformats.org/officeDocument/2006/relationships/hyperlink" Target="..\01_DOCUMENT_SETS\ST-024-EUR-01\02_EU_DoC.pdf" TargetMode="External"/><Relationship Id="rId395" Type="http://schemas.openxmlformats.org/officeDocument/2006/relationships/hyperlink" Target="..\01_DOCUMENT_SETS\ST-036-EUR-01\02_EU_DoC.docx" TargetMode="External"/><Relationship Id="rId2076" Type="http://schemas.openxmlformats.org/officeDocument/2006/relationships/hyperlink" Target="..\01_DOCUMENT_SETS\ST-088-STD-06\02_EU_DoC.pdf" TargetMode="External"/><Relationship Id="rId2283" Type="http://schemas.openxmlformats.org/officeDocument/2006/relationships/hyperlink" Target="..\01_DOCUMENT_SETS\ST-120-STD-02\02_EU_DoC.docx" TargetMode="External"/><Relationship Id="rId255" Type="http://schemas.openxmlformats.org/officeDocument/2006/relationships/hyperlink" Target="..\01_DOCUMENT_SETS\ST-027-STD90-01\04_Shipment_Statement.docx" TargetMode="External"/><Relationship Id="rId462" Type="http://schemas.openxmlformats.org/officeDocument/2006/relationships/hyperlink" Target="..\01_DOCUMENT_SETS\ST-036-STD-02\03_Label.pdf" TargetMode="External"/><Relationship Id="rId1092" Type="http://schemas.openxmlformats.org/officeDocument/2006/relationships/hyperlink" Target="..\01_DOCUMENT_SETS\ST-054-STD-05\02_EU_DoC.pdf" TargetMode="External"/><Relationship Id="rId1397" Type="http://schemas.openxmlformats.org/officeDocument/2006/relationships/hyperlink" Target="..\01_DOCUMENT_SETS\ST-063-STD-06\03_Label.docx" TargetMode="External"/><Relationship Id="rId2143" Type="http://schemas.openxmlformats.org/officeDocument/2006/relationships/hyperlink" Target="..\01_DOCUMENT_SETS\ST-096-EUR-04\04_Shipment_Statement.docx" TargetMode="External"/><Relationship Id="rId115" Type="http://schemas.openxmlformats.org/officeDocument/2006/relationships/hyperlink" Target="..\01_DOCUMENT_SETS\ST-021-EUR-05\02_EU_DoC.docx" TargetMode="External"/><Relationship Id="rId322" Type="http://schemas.openxmlformats.org/officeDocument/2006/relationships/hyperlink" Target="..\01_DOCUMENT_SETS\ST-030-STD-07\01_Technical_File.pdf" TargetMode="External"/><Relationship Id="rId767" Type="http://schemas.openxmlformats.org/officeDocument/2006/relationships/hyperlink" Target="..\01_DOCUMENT_SETS\ST-048-EUR-01\04_Shipment_Statement.docx" TargetMode="External"/><Relationship Id="rId974" Type="http://schemas.openxmlformats.org/officeDocument/2006/relationships/hyperlink" Target="..\01_DOCUMENT_SETS\ST-051-STD-02\03_Label.pdf" TargetMode="External"/><Relationship Id="rId2003" Type="http://schemas.openxmlformats.org/officeDocument/2006/relationships/hyperlink" Target="..\01_DOCUMENT_SETS\ST-087-STD-04\02_EU_DoC.docx" TargetMode="External"/><Relationship Id="rId2210" Type="http://schemas.openxmlformats.org/officeDocument/2006/relationships/hyperlink" Target="..\01_DOCUMENT_SETS\ST-096-STD-03\01_Technical_File.pdf" TargetMode="External"/><Relationship Id="rId627" Type="http://schemas.openxmlformats.org/officeDocument/2006/relationships/hyperlink" Target="..\01_DOCUMENT_SETS\ST-042-STD-09\02_EU_DoC.docx" TargetMode="External"/><Relationship Id="rId834" Type="http://schemas.openxmlformats.org/officeDocument/2006/relationships/hyperlink" Target="..\01_DOCUMENT_SETS\ST-048-EUR-10\01_Technical_File.pdf" TargetMode="External"/><Relationship Id="rId1257" Type="http://schemas.openxmlformats.org/officeDocument/2006/relationships/hyperlink" Target="..\01_DOCUMENT_SETS\ST-057-STD-03\01_Technical_File.docx" TargetMode="External"/><Relationship Id="rId1464" Type="http://schemas.openxmlformats.org/officeDocument/2006/relationships/hyperlink" Target="..\01_DOCUMENT_SETS\ST-063-STD-14\04_Shipment_Statement.pdf" TargetMode="External"/><Relationship Id="rId1671" Type="http://schemas.openxmlformats.org/officeDocument/2006/relationships/hyperlink" Target="..\01_DOCUMENT_SETS\ST-072-STD-02\04_Shipment_Statement.docx" TargetMode="External"/><Relationship Id="rId901" Type="http://schemas.openxmlformats.org/officeDocument/2006/relationships/hyperlink" Target="..\01_DOCUMENT_SETS\ST-048-STD-06\03_Label.docx" TargetMode="External"/><Relationship Id="rId1117" Type="http://schemas.openxmlformats.org/officeDocument/2006/relationships/hyperlink" Target="..\01_DOCUMENT_SETS\ST-054-STD-08\03_Label.docx" TargetMode="External"/><Relationship Id="rId1324" Type="http://schemas.openxmlformats.org/officeDocument/2006/relationships/hyperlink" Target="..\01_DOCUMENT_SETS\ST-060-STD-04\02_EU_DoC.pdf" TargetMode="External"/><Relationship Id="rId1531" Type="http://schemas.openxmlformats.org/officeDocument/2006/relationships/hyperlink" Target="..\01_DOCUMENT_SETS\ST-068-EUR-03\02_EU_DoC.docx" TargetMode="External"/><Relationship Id="rId1769" Type="http://schemas.openxmlformats.org/officeDocument/2006/relationships/hyperlink" Target="..\01_DOCUMENT_SETS\ST-072-STD-15\01_Technical_File.docx" TargetMode="External"/><Relationship Id="rId1976" Type="http://schemas.openxmlformats.org/officeDocument/2006/relationships/hyperlink" Target="..\01_DOCUMENT_SETS\ST-087-EUR-01\04_Shipment_Statement.pdf" TargetMode="External"/><Relationship Id="rId30" Type="http://schemas.openxmlformats.org/officeDocument/2006/relationships/hyperlink" Target="..\01_DOCUMENT_SETS\ST-018-EUR-01\03_Label.pdf" TargetMode="External"/><Relationship Id="rId1629" Type="http://schemas.openxmlformats.org/officeDocument/2006/relationships/hyperlink" Target="..\01_DOCUMENT_SETS\ST-072-EUR-03\03_Label.docx" TargetMode="External"/><Relationship Id="rId1836" Type="http://schemas.openxmlformats.org/officeDocument/2006/relationships/hyperlink" Target="..\01_DOCUMENT_SETS\ST-072-STD-23\02_EU_DoC.pdf" TargetMode="External"/><Relationship Id="rId1903" Type="http://schemas.openxmlformats.org/officeDocument/2006/relationships/hyperlink" Target="..\01_DOCUMENT_SETS\ST-076-EUR-03\04_Shipment_Statement.docx" TargetMode="External"/><Relationship Id="rId2098" Type="http://schemas.openxmlformats.org/officeDocument/2006/relationships/hyperlink" Target="..\01_DOCUMENT_SETS\ST-090-STD-01\01_Technical_File.pdf" TargetMode="External"/><Relationship Id="rId277" Type="http://schemas.openxmlformats.org/officeDocument/2006/relationships/hyperlink" Target="..\01_DOCUMENT_SETS\ST-030-STD-01\03_Label.docx" TargetMode="External"/><Relationship Id="rId484" Type="http://schemas.openxmlformats.org/officeDocument/2006/relationships/hyperlink" Target="..\01_DOCUMENT_SETS\ST-036-STD-05\02_EU_DoC.pdf" TargetMode="External"/><Relationship Id="rId2165" Type="http://schemas.openxmlformats.org/officeDocument/2006/relationships/hyperlink" Target="..\01_DOCUMENT_SETS\ST-096-EUR-07\03_Label.docx" TargetMode="External"/><Relationship Id="rId137" Type="http://schemas.openxmlformats.org/officeDocument/2006/relationships/hyperlink" Target="..\01_DOCUMENT_SETS\ST-021-STD-03\01_Technical_File.docx" TargetMode="External"/><Relationship Id="rId344" Type="http://schemas.openxmlformats.org/officeDocument/2006/relationships/hyperlink" Target="..\01_DOCUMENT_SETS\ST-030-STD-09\04_Shipment_Statement.pdf" TargetMode="External"/><Relationship Id="rId691" Type="http://schemas.openxmlformats.org/officeDocument/2006/relationships/hyperlink" Target="..\01_DOCUMENT_SETS\ST-045-STD-06\02_EU_DoC.docx" TargetMode="External"/><Relationship Id="rId789" Type="http://schemas.openxmlformats.org/officeDocument/2006/relationships/hyperlink" Target="..\01_DOCUMENT_SETS\ST-048-EUR-04\03_Label.docx" TargetMode="External"/><Relationship Id="rId996" Type="http://schemas.openxmlformats.org/officeDocument/2006/relationships/hyperlink" Target="..\01_DOCUMENT_SETS\ST-051-STD-05\02_EU_DoC.pdf" TargetMode="External"/><Relationship Id="rId2025" Type="http://schemas.openxmlformats.org/officeDocument/2006/relationships/hyperlink" Target="..\01_DOCUMENT_SETS\ST-087-STD-07\01_Technical_File.docx" TargetMode="External"/><Relationship Id="rId551" Type="http://schemas.openxmlformats.org/officeDocument/2006/relationships/hyperlink" Target="..\01_DOCUMENT_SETS\ST-042-EUR-03\04_Shipment_Statement.docx" TargetMode="External"/><Relationship Id="rId649" Type="http://schemas.openxmlformats.org/officeDocument/2006/relationships/hyperlink" Target="..\01_DOCUMENT_SETS\ST-045-STD-01\01_Technical_File.docx" TargetMode="External"/><Relationship Id="rId856" Type="http://schemas.openxmlformats.org/officeDocument/2006/relationships/hyperlink" Target="..\01_DOCUMENT_SETS\ST-048-EUR-12\04_Shipment_Statement.pdf" TargetMode="External"/><Relationship Id="rId1181" Type="http://schemas.openxmlformats.org/officeDocument/2006/relationships/hyperlink" Target="..\01_DOCUMENT_SETS\ST-056-EUR-04\03_Label.docx" TargetMode="External"/><Relationship Id="rId1279" Type="http://schemas.openxmlformats.org/officeDocument/2006/relationships/hyperlink" Target="..\01_DOCUMENT_SETS\ST-057-STD-05\04_Shipment_Statement.docx" TargetMode="External"/><Relationship Id="rId1486" Type="http://schemas.openxmlformats.org/officeDocument/2006/relationships/hyperlink" Target="..\01_DOCUMENT_SETS\ST-064-EUR-01\03_Label.pdf" TargetMode="External"/><Relationship Id="rId2232" Type="http://schemas.openxmlformats.org/officeDocument/2006/relationships/hyperlink" Target="..\01_DOCUMENT_SETS\ST-096-STD-05\04_Shipment_Statement.pdf" TargetMode="External"/><Relationship Id="rId204" Type="http://schemas.openxmlformats.org/officeDocument/2006/relationships/hyperlink" Target="..\01_DOCUMENT_SETS\ST-024-EUR-03\02_EU_DoC.pdf" TargetMode="External"/><Relationship Id="rId411" Type="http://schemas.openxmlformats.org/officeDocument/2006/relationships/hyperlink" Target="..\01_DOCUMENT_SETS\ST-036-EUR-03\02_EU_DoC.docx" TargetMode="External"/><Relationship Id="rId509" Type="http://schemas.openxmlformats.org/officeDocument/2006/relationships/hyperlink" Target="..\01_DOCUMENT_SETS\ST-036-STD-08\03_Label.docx" TargetMode="External"/><Relationship Id="rId1041" Type="http://schemas.openxmlformats.org/officeDocument/2006/relationships/hyperlink" Target="..\01_DOCUMENT_SETS\ST-051-STD-11\01_Technical_File.docx" TargetMode="External"/><Relationship Id="rId1139" Type="http://schemas.openxmlformats.org/officeDocument/2006/relationships/hyperlink" Target="..\01_DOCUMENT_SETS\ST-054-STD-11\02_EU_DoC.docx" TargetMode="External"/><Relationship Id="rId1346" Type="http://schemas.openxmlformats.org/officeDocument/2006/relationships/hyperlink" Target="..\01_DOCUMENT_SETS\ST-063-EUR-02\01_Technical_File.pdf" TargetMode="External"/><Relationship Id="rId1693" Type="http://schemas.openxmlformats.org/officeDocument/2006/relationships/hyperlink" Target="..\01_DOCUMENT_SETS\ST-072-STD-05\03_Label.docx" TargetMode="External"/><Relationship Id="rId1998" Type="http://schemas.openxmlformats.org/officeDocument/2006/relationships/hyperlink" Target="..\01_DOCUMENT_SETS\ST-087-STD-03\03_Label.pdf" TargetMode="External"/><Relationship Id="rId716" Type="http://schemas.openxmlformats.org/officeDocument/2006/relationships/hyperlink" Target="..\01_DOCUMENT_SETS\ST-045-STD-09\02_EU_DoC.pdf" TargetMode="External"/><Relationship Id="rId923" Type="http://schemas.openxmlformats.org/officeDocument/2006/relationships/hyperlink" Target="..\01_DOCUMENT_SETS\ST-048-STD-09\02_EU_DoC.docx" TargetMode="External"/><Relationship Id="rId1553" Type="http://schemas.openxmlformats.org/officeDocument/2006/relationships/hyperlink" Target="..\01_DOCUMENT_SETS\ST-068-STD-02\01_Technical_File.docx" TargetMode="External"/><Relationship Id="rId1760" Type="http://schemas.openxmlformats.org/officeDocument/2006/relationships/hyperlink" Target="..\01_DOCUMENT_SETS\ST-072-STD-13\04_Shipment_Statement.pdf" TargetMode="External"/><Relationship Id="rId1858" Type="http://schemas.openxmlformats.org/officeDocument/2006/relationships/hyperlink" Target="..\01_DOCUMENT_SETS\ST-072-STD-26\01_Technical_File.pdf" TargetMode="External"/><Relationship Id="rId52" Type="http://schemas.openxmlformats.org/officeDocument/2006/relationships/hyperlink" Target="..\01_DOCUMENT_SETS\ST-018-EUR-04\02_EU_DoC.pdf" TargetMode="External"/><Relationship Id="rId1206" Type="http://schemas.openxmlformats.org/officeDocument/2006/relationships/hyperlink" Target="..\01_DOCUMENT_SETS\ST-057-EUR-01\03_Label.pdf" TargetMode="External"/><Relationship Id="rId1413" Type="http://schemas.openxmlformats.org/officeDocument/2006/relationships/hyperlink" Target="..\01_DOCUMENT_SETS\ST-063-STD-08\03_Label.docx" TargetMode="External"/><Relationship Id="rId1620" Type="http://schemas.openxmlformats.org/officeDocument/2006/relationships/hyperlink" Target="..\01_DOCUMENT_SETS\ST-072-EUR-02\02_EU_DoC.pdf" TargetMode="External"/><Relationship Id="rId1718" Type="http://schemas.openxmlformats.org/officeDocument/2006/relationships/hyperlink" Target="..\01_DOCUMENT_SETS\ST-072-STD-08\03_Label.pdf" TargetMode="External"/><Relationship Id="rId1925" Type="http://schemas.openxmlformats.org/officeDocument/2006/relationships/hyperlink" Target="..\01_DOCUMENT_SETS\ST-076-STD-02\03_Label.docx" TargetMode="External"/><Relationship Id="rId299" Type="http://schemas.openxmlformats.org/officeDocument/2006/relationships/hyperlink" Target="..\01_DOCUMENT_SETS\ST-030-STD-04\02_EU_DoC.docx" TargetMode="External"/><Relationship Id="rId2187" Type="http://schemas.openxmlformats.org/officeDocument/2006/relationships/hyperlink" Target="..\01_DOCUMENT_SETS\ST-096-EUR-10\02_EU_DoC.docx" TargetMode="External"/><Relationship Id="rId159" Type="http://schemas.openxmlformats.org/officeDocument/2006/relationships/hyperlink" Target="..\01_DOCUMENT_SETS\ST-021-STD-05\04_Shipment_Statement.docx" TargetMode="External"/><Relationship Id="rId366" Type="http://schemas.openxmlformats.org/officeDocument/2006/relationships/hyperlink" Target="..\01_DOCUMENT_SETS\ST-030-STD-12\03_Label.pdf" TargetMode="External"/><Relationship Id="rId573" Type="http://schemas.openxmlformats.org/officeDocument/2006/relationships/hyperlink" Target="..\01_DOCUMENT_SETS\ST-042-STD-02\03_Label.docx" TargetMode="External"/><Relationship Id="rId780" Type="http://schemas.openxmlformats.org/officeDocument/2006/relationships/hyperlink" Target="..\01_DOCUMENT_SETS\ST-048-EUR-03\02_EU_DoC.pdf" TargetMode="External"/><Relationship Id="rId2047" Type="http://schemas.openxmlformats.org/officeDocument/2006/relationships/hyperlink" Target="..\01_DOCUMENT_SETS\ST-088-STD-02\04_Shipment_Statement.docx" TargetMode="External"/><Relationship Id="rId2254" Type="http://schemas.openxmlformats.org/officeDocument/2006/relationships/hyperlink" Target="..\01_DOCUMENT_SETS\ST-096-STD-08\03_Label.pdf" TargetMode="External"/><Relationship Id="rId226" Type="http://schemas.openxmlformats.org/officeDocument/2006/relationships/hyperlink" Target="..\01_DOCUMENT_SETS\ST-024-STD-02\01_Technical_File.pdf" TargetMode="External"/><Relationship Id="rId433" Type="http://schemas.openxmlformats.org/officeDocument/2006/relationships/hyperlink" Target="..\01_DOCUMENT_SETS\ST-036-EUR-06\01_Technical_File.docx" TargetMode="External"/><Relationship Id="rId878" Type="http://schemas.openxmlformats.org/officeDocument/2006/relationships/hyperlink" Target="..\01_DOCUMENT_SETS\ST-048-STD-03\03_Label.pdf" TargetMode="External"/><Relationship Id="rId1063" Type="http://schemas.openxmlformats.org/officeDocument/2006/relationships/hyperlink" Target="..\01_DOCUMENT_SETS\ST-054-STD-01\04_Shipment_Statement.docx" TargetMode="External"/><Relationship Id="rId1270" Type="http://schemas.openxmlformats.org/officeDocument/2006/relationships/hyperlink" Target="..\01_DOCUMENT_SETS\ST-057-STD-04\03_Label.pdf" TargetMode="External"/><Relationship Id="rId2114" Type="http://schemas.openxmlformats.org/officeDocument/2006/relationships/hyperlink" Target="..\01_DOCUMENT_SETS\ST-096-EUR-01\01_Technical_File.pdf" TargetMode="External"/><Relationship Id="rId640" Type="http://schemas.openxmlformats.org/officeDocument/2006/relationships/hyperlink" Target="..\01_DOCUMENT_SETS\ST-044-STD-01\04_Shipment_Statement.pdf" TargetMode="External"/><Relationship Id="rId738" Type="http://schemas.openxmlformats.org/officeDocument/2006/relationships/hyperlink" Target="..\01_DOCUMENT_SETS\ST-045-STD-12\01_Technical_File.pdf" TargetMode="External"/><Relationship Id="rId945" Type="http://schemas.openxmlformats.org/officeDocument/2006/relationships/hyperlink" Target="..\01_DOCUMENT_SETS\ST-051-EUR-03\01_Technical_File.docx" TargetMode="External"/><Relationship Id="rId1368" Type="http://schemas.openxmlformats.org/officeDocument/2006/relationships/hyperlink" Target="..\01_DOCUMENT_SETS\ST-063-STD-02\04_Shipment_Statement.pdf" TargetMode="External"/><Relationship Id="rId1575" Type="http://schemas.openxmlformats.org/officeDocument/2006/relationships/hyperlink" Target="..\01_DOCUMENT_SETS\ST-068-STD-04\04_Shipment_Statement.docx" TargetMode="External"/><Relationship Id="rId1782" Type="http://schemas.openxmlformats.org/officeDocument/2006/relationships/hyperlink" Target="..\01_DOCUMENT_SETS\ST-072-STD-16\03_Label.pdf" TargetMode="External"/><Relationship Id="rId74" Type="http://schemas.openxmlformats.org/officeDocument/2006/relationships/hyperlink" Target="..\01_DOCUMENT_SETS\ST-018-STD-02\01_Technical_File.pdf" TargetMode="External"/><Relationship Id="rId500" Type="http://schemas.openxmlformats.org/officeDocument/2006/relationships/hyperlink" Target="..\01_DOCUMENT_SETS\ST-036-STD-07\02_EU_DoC.pdf" TargetMode="External"/><Relationship Id="rId805" Type="http://schemas.openxmlformats.org/officeDocument/2006/relationships/hyperlink" Target="..\01_DOCUMENT_SETS\ST-048-EUR-06\03_Label.docx" TargetMode="External"/><Relationship Id="rId1130" Type="http://schemas.openxmlformats.org/officeDocument/2006/relationships/hyperlink" Target="..\01_DOCUMENT_SETS\ST-054-STD-10\01_Technical_File.pdf" TargetMode="External"/><Relationship Id="rId1228" Type="http://schemas.openxmlformats.org/officeDocument/2006/relationships/hyperlink" Target="..\01_DOCUMENT_SETS\ST-057-EUR-04\02_EU_DoC.pdf" TargetMode="External"/><Relationship Id="rId1435" Type="http://schemas.openxmlformats.org/officeDocument/2006/relationships/hyperlink" Target="..\01_DOCUMENT_SETS\ST-063-STD-11\02_EU_DoC.docx" TargetMode="External"/><Relationship Id="rId1642" Type="http://schemas.openxmlformats.org/officeDocument/2006/relationships/hyperlink" Target="..\01_DOCUMENT_SETS\ST-072-EUR-05\01_Technical_File.pdf" TargetMode="External"/><Relationship Id="rId1947" Type="http://schemas.openxmlformats.org/officeDocument/2006/relationships/hyperlink" Target="..\01_DOCUMENT_SETS\ST-080-EUR-01\02_EU_DoC.docx" TargetMode="External"/><Relationship Id="rId1502" Type="http://schemas.openxmlformats.org/officeDocument/2006/relationships/hyperlink" Target="..\01_DOCUMENT_SETS\ST-066-STD-02\03_Label.pdf" TargetMode="External"/><Relationship Id="rId1807" Type="http://schemas.openxmlformats.org/officeDocument/2006/relationships/hyperlink" Target="..\01_DOCUMENT_SETS\ST-072-STD-19\04_Shipment_Statement.docx" TargetMode="External"/><Relationship Id="rId290" Type="http://schemas.openxmlformats.org/officeDocument/2006/relationships/hyperlink" Target="..\01_DOCUMENT_SETS\ST-030-STD-03\01_Technical_File.pdf" TargetMode="External"/><Relationship Id="rId388" Type="http://schemas.openxmlformats.org/officeDocument/2006/relationships/hyperlink" Target="..\01_DOCUMENT_SETS\ST-034-STD-02\02_EU_DoC.pdf" TargetMode="External"/><Relationship Id="rId2069" Type="http://schemas.openxmlformats.org/officeDocument/2006/relationships/hyperlink" Target="..\01_DOCUMENT_SETS\ST-088-STD-05\03_Label.docx" TargetMode="External"/><Relationship Id="rId150" Type="http://schemas.openxmlformats.org/officeDocument/2006/relationships/hyperlink" Target="..\01_DOCUMENT_SETS\ST-021-STD-04\03_Label.pdf" TargetMode="External"/><Relationship Id="rId595" Type="http://schemas.openxmlformats.org/officeDocument/2006/relationships/hyperlink" Target="..\01_DOCUMENT_SETS\ST-042-STD-05\02_EU_DoC.docx" TargetMode="External"/><Relationship Id="rId2276" Type="http://schemas.openxmlformats.org/officeDocument/2006/relationships/hyperlink" Target="..\01_DOCUMENT_SETS\ST-120-STD-01\02_EU_DoC.pdf" TargetMode="External"/><Relationship Id="rId248" Type="http://schemas.openxmlformats.org/officeDocument/2006/relationships/hyperlink" Target="..\01_DOCUMENT_SETS\ST-024-STD-04\04_Shipment_Statement.pdf" TargetMode="External"/><Relationship Id="rId455" Type="http://schemas.openxmlformats.org/officeDocument/2006/relationships/hyperlink" Target="..\01_DOCUMENT_SETS\ST-036-STD-01\04_Shipment_Statement.docx" TargetMode="External"/><Relationship Id="rId662" Type="http://schemas.openxmlformats.org/officeDocument/2006/relationships/hyperlink" Target="..\01_DOCUMENT_SETS\ST-045-STD-02\03_Label.pdf" TargetMode="External"/><Relationship Id="rId1085" Type="http://schemas.openxmlformats.org/officeDocument/2006/relationships/hyperlink" Target="..\01_DOCUMENT_SETS\ST-054-STD-04\03_Label.docx" TargetMode="External"/><Relationship Id="rId1292" Type="http://schemas.openxmlformats.org/officeDocument/2006/relationships/hyperlink" Target="..\01_DOCUMENT_SETS\ST-060-EUR-02\02_EU_DoC.pdf" TargetMode="External"/><Relationship Id="rId2136" Type="http://schemas.openxmlformats.org/officeDocument/2006/relationships/hyperlink" Target="..\01_DOCUMENT_SETS\ST-096-EUR-03\04_Shipment_Statement.pdf" TargetMode="External"/><Relationship Id="rId108" Type="http://schemas.openxmlformats.org/officeDocument/2006/relationships/hyperlink" Target="..\01_DOCUMENT_SETS\ST-021-EUR-04\02_EU_DoC.pdf" TargetMode="External"/><Relationship Id="rId315" Type="http://schemas.openxmlformats.org/officeDocument/2006/relationships/hyperlink" Target="..\01_DOCUMENT_SETS\ST-030-STD-06\02_EU_DoC.docx" TargetMode="External"/><Relationship Id="rId522" Type="http://schemas.openxmlformats.org/officeDocument/2006/relationships/hyperlink" Target="..\01_DOCUMENT_SETS\ST-036-STD-10\01_Technical_File.pdf" TargetMode="External"/><Relationship Id="rId967" Type="http://schemas.openxmlformats.org/officeDocument/2006/relationships/hyperlink" Target="..\01_DOCUMENT_SETS\ST-051-STD-01\04_Shipment_Statement.docx" TargetMode="External"/><Relationship Id="rId1152" Type="http://schemas.openxmlformats.org/officeDocument/2006/relationships/hyperlink" Target="..\01_DOCUMENT_SETS\ST-054-STD-12\04_Shipment_Statement.pdf" TargetMode="External"/><Relationship Id="rId1597" Type="http://schemas.openxmlformats.org/officeDocument/2006/relationships/hyperlink" Target="..\01_DOCUMENT_SETS\ST-068-STD-07\03_Label.docx" TargetMode="External"/><Relationship Id="rId2203" Type="http://schemas.openxmlformats.org/officeDocument/2006/relationships/hyperlink" Target="..\01_DOCUMENT_SETS\ST-096-STD-02\02_EU_DoC.docx" TargetMode="External"/><Relationship Id="rId96" Type="http://schemas.openxmlformats.org/officeDocument/2006/relationships/hyperlink" Target="..\01_DOCUMENT_SETS\ST-021-EUR-02\04_Shipment_Statement.pdf" TargetMode="External"/><Relationship Id="rId827" Type="http://schemas.openxmlformats.org/officeDocument/2006/relationships/hyperlink" Target="..\01_DOCUMENT_SETS\ST-048-EUR-09\02_EU_DoC.docx" TargetMode="External"/><Relationship Id="rId1012" Type="http://schemas.openxmlformats.org/officeDocument/2006/relationships/hyperlink" Target="..\01_DOCUMENT_SETS\ST-051-STD-07\02_EU_DoC.pdf" TargetMode="External"/><Relationship Id="rId1457" Type="http://schemas.openxmlformats.org/officeDocument/2006/relationships/hyperlink" Target="..\01_DOCUMENT_SETS\ST-063-STD-14\01_Technical_File.docx" TargetMode="External"/><Relationship Id="rId1664" Type="http://schemas.openxmlformats.org/officeDocument/2006/relationships/hyperlink" Target="..\01_DOCUMENT_SETS\ST-072-STD-01\04_Shipment_Statement.pdf" TargetMode="External"/><Relationship Id="rId1871" Type="http://schemas.openxmlformats.org/officeDocument/2006/relationships/hyperlink" Target="..\01_DOCUMENT_SETS\ST-072-STD-27\04_Shipment_Statement.docx" TargetMode="External"/><Relationship Id="rId1317" Type="http://schemas.openxmlformats.org/officeDocument/2006/relationships/hyperlink" Target="..\01_DOCUMENT_SETS\ST-060-STD-03\03_Label.docx" TargetMode="External"/><Relationship Id="rId1524" Type="http://schemas.openxmlformats.org/officeDocument/2006/relationships/hyperlink" Target="..\01_DOCUMENT_SETS\ST-068-EUR-02\02_EU_DoC.pdf" TargetMode="External"/><Relationship Id="rId1731" Type="http://schemas.openxmlformats.org/officeDocument/2006/relationships/hyperlink" Target="..\01_DOCUMENT_SETS\ST-072-STD-10\02_EU_DoC.docx" TargetMode="External"/><Relationship Id="rId1969" Type="http://schemas.openxmlformats.org/officeDocument/2006/relationships/hyperlink" Target="..\01_DOCUMENT_SETS\ST-087-EUR-01\01_Technical_File.docx" TargetMode="External"/><Relationship Id="rId23" Type="http://schemas.openxmlformats.org/officeDocument/2006/relationships/hyperlink" Target="..\01_DOCUMENT_SETS\ST-012-EUR-03\04_Shipment_Statement.docx" TargetMode="External"/><Relationship Id="rId1829" Type="http://schemas.openxmlformats.org/officeDocument/2006/relationships/hyperlink" Target="..\01_DOCUMENT_SETS\ST-072-STD-22\03_Label.docx" TargetMode="External"/><Relationship Id="rId172" Type="http://schemas.openxmlformats.org/officeDocument/2006/relationships/hyperlink" Target="..\01_DOCUMENT_SETS\ST-021-STD-07\02_EU_DoC.pdf" TargetMode="External"/><Relationship Id="rId477" Type="http://schemas.openxmlformats.org/officeDocument/2006/relationships/hyperlink" Target="..\01_DOCUMENT_SETS\ST-036-STD-04\03_Label.docx" TargetMode="External"/><Relationship Id="rId684" Type="http://schemas.openxmlformats.org/officeDocument/2006/relationships/hyperlink" Target="..\01_DOCUMENT_SETS\ST-045-STD-05\02_EU_DoC.pdf" TargetMode="External"/><Relationship Id="rId2060" Type="http://schemas.openxmlformats.org/officeDocument/2006/relationships/hyperlink" Target="..\01_DOCUMENT_SETS\ST-088-STD-04\02_EU_DoC.pdf" TargetMode="External"/><Relationship Id="rId2158" Type="http://schemas.openxmlformats.org/officeDocument/2006/relationships/hyperlink" Target="..\01_DOCUMENT_SETS\ST-096-EUR-06\03_Label.pdf" TargetMode="External"/><Relationship Id="rId337" Type="http://schemas.openxmlformats.org/officeDocument/2006/relationships/hyperlink" Target="..\01_DOCUMENT_SETS\ST-030-STD-09\01_Technical_File.docx" TargetMode="External"/><Relationship Id="rId891" Type="http://schemas.openxmlformats.org/officeDocument/2006/relationships/hyperlink" Target="..\01_DOCUMENT_SETS\ST-048-STD-05\02_EU_DoC.docx" TargetMode="External"/><Relationship Id="rId989" Type="http://schemas.openxmlformats.org/officeDocument/2006/relationships/hyperlink" Target="..\01_DOCUMENT_SETS\ST-051-STD-04\03_Label.docx" TargetMode="External"/><Relationship Id="rId2018" Type="http://schemas.openxmlformats.org/officeDocument/2006/relationships/hyperlink" Target="..\01_DOCUMENT_SETS\ST-087-STD-06\01_Technical_File.pdf" TargetMode="External"/><Relationship Id="rId544" Type="http://schemas.openxmlformats.org/officeDocument/2006/relationships/hyperlink" Target="..\01_DOCUMENT_SETS\ST-042-EUR-02\04_Shipment_Statement.pdf" TargetMode="External"/><Relationship Id="rId751" Type="http://schemas.openxmlformats.org/officeDocument/2006/relationships/hyperlink" Target="..\01_DOCUMENT_SETS\ST-045-STD-13\04_Shipment_Statement.docx" TargetMode="External"/><Relationship Id="rId849" Type="http://schemas.openxmlformats.org/officeDocument/2006/relationships/hyperlink" Target="..\01_DOCUMENT_SETS\ST-048-EUR-12\01_Technical_File.docx" TargetMode="External"/><Relationship Id="rId1174" Type="http://schemas.openxmlformats.org/officeDocument/2006/relationships/hyperlink" Target="..\01_DOCUMENT_SETS\ST-056-EUR-03\03_Label.pdf" TargetMode="External"/><Relationship Id="rId1381" Type="http://schemas.openxmlformats.org/officeDocument/2006/relationships/hyperlink" Target="..\01_DOCUMENT_SETS\ST-063-STD-04\03_Label.docx" TargetMode="External"/><Relationship Id="rId1479" Type="http://schemas.openxmlformats.org/officeDocument/2006/relationships/hyperlink" Target="..\01_DOCUMENT_SETS\ST-063-STD-16\04_Shipment_Statement.docx" TargetMode="External"/><Relationship Id="rId1686" Type="http://schemas.openxmlformats.org/officeDocument/2006/relationships/hyperlink" Target="..\01_DOCUMENT_SETS\ST-072-STD-04\03_Label.pdf" TargetMode="External"/><Relationship Id="rId2225" Type="http://schemas.openxmlformats.org/officeDocument/2006/relationships/hyperlink" Target="..\01_DOCUMENT_SETS\ST-096-STD-05\01_Technical_File.docx" TargetMode="External"/><Relationship Id="rId404" Type="http://schemas.openxmlformats.org/officeDocument/2006/relationships/hyperlink" Target="..\01_DOCUMENT_SETS\ST-036-EUR-02\02_EU_DoC.pdf" TargetMode="External"/><Relationship Id="rId611" Type="http://schemas.openxmlformats.org/officeDocument/2006/relationships/hyperlink" Target="..\01_DOCUMENT_SETS\ST-042-STD-07\02_EU_DoC.docx" TargetMode="External"/><Relationship Id="rId1034" Type="http://schemas.openxmlformats.org/officeDocument/2006/relationships/hyperlink" Target="..\01_DOCUMENT_SETS\ST-051-STD-10\01_Technical_File.pdf" TargetMode="External"/><Relationship Id="rId1241" Type="http://schemas.openxmlformats.org/officeDocument/2006/relationships/hyperlink" Target="..\01_DOCUMENT_SETS\ST-057-STD-01\01_Technical_File.docx" TargetMode="External"/><Relationship Id="rId1339" Type="http://schemas.openxmlformats.org/officeDocument/2006/relationships/hyperlink" Target="..\01_DOCUMENT_SETS\ST-063-EUR-01\02_EU_DoC.docx" TargetMode="External"/><Relationship Id="rId1893" Type="http://schemas.openxmlformats.org/officeDocument/2006/relationships/hyperlink" Target="..\01_DOCUMENT_SETS\ST-076-EUR-02\03_Label.docx" TargetMode="External"/><Relationship Id="rId709" Type="http://schemas.openxmlformats.org/officeDocument/2006/relationships/hyperlink" Target="..\01_DOCUMENT_SETS\ST-045-STD-08\03_Label.docx" TargetMode="External"/><Relationship Id="rId916" Type="http://schemas.openxmlformats.org/officeDocument/2006/relationships/hyperlink" Target="..\01_DOCUMENT_SETS\ST-048-STD-08\02_EU_DoC.pdf" TargetMode="External"/><Relationship Id="rId1101" Type="http://schemas.openxmlformats.org/officeDocument/2006/relationships/hyperlink" Target="..\01_DOCUMENT_SETS\ST-054-STD-06\03_Label.docx" TargetMode="External"/><Relationship Id="rId1546" Type="http://schemas.openxmlformats.org/officeDocument/2006/relationships/hyperlink" Target="..\01_DOCUMENT_SETS\ST-068-STD-01\01_Technical_File.pdf" TargetMode="External"/><Relationship Id="rId1753" Type="http://schemas.openxmlformats.org/officeDocument/2006/relationships/hyperlink" Target="..\01_DOCUMENT_SETS\ST-072-STD-13\01_Technical_File.docx" TargetMode="External"/><Relationship Id="rId1960" Type="http://schemas.openxmlformats.org/officeDocument/2006/relationships/hyperlink" Target="..\01_DOCUMENT_SETS\ST-081-EUR-01\04_Shipment_Statement.pdf" TargetMode="External"/><Relationship Id="rId45" Type="http://schemas.openxmlformats.org/officeDocument/2006/relationships/hyperlink" Target="..\01_DOCUMENT_SETS\ST-018-EUR-03\03_Label.docx" TargetMode="External"/><Relationship Id="rId1406" Type="http://schemas.openxmlformats.org/officeDocument/2006/relationships/hyperlink" Target="..\01_DOCUMENT_SETS\ST-063-STD-07\03_Label.pdf" TargetMode="External"/><Relationship Id="rId1613" Type="http://schemas.openxmlformats.org/officeDocument/2006/relationships/hyperlink" Target="..\01_DOCUMENT_SETS\ST-072-EUR-01\03_Label.docx" TargetMode="External"/><Relationship Id="rId1820" Type="http://schemas.openxmlformats.org/officeDocument/2006/relationships/hyperlink" Target="..\01_DOCUMENT_SETS\ST-072-STD-21\02_EU_DoC.pdf" TargetMode="External"/><Relationship Id="rId194" Type="http://schemas.openxmlformats.org/officeDocument/2006/relationships/hyperlink" Target="..\01_DOCUMENT_SETS\ST-024-EUR-02\01_Technical_File.pdf" TargetMode="External"/><Relationship Id="rId1918" Type="http://schemas.openxmlformats.org/officeDocument/2006/relationships/hyperlink" Target="..\01_DOCUMENT_SETS\ST-076-STD-01\03_Label.pdf" TargetMode="External"/><Relationship Id="rId2082" Type="http://schemas.openxmlformats.org/officeDocument/2006/relationships/hyperlink" Target="..\01_DOCUMENT_SETS\ST-088-STD-07\01_Technical_File.pdf" TargetMode="External"/><Relationship Id="rId261" Type="http://schemas.openxmlformats.org/officeDocument/2006/relationships/hyperlink" Target="..\01_DOCUMENT_SETS\ST-027-STD90-02\03_Label.docx" TargetMode="External"/><Relationship Id="rId499" Type="http://schemas.openxmlformats.org/officeDocument/2006/relationships/hyperlink" Target="..\01_DOCUMENT_SETS\ST-036-STD-07\02_EU_DoC.docx" TargetMode="External"/><Relationship Id="rId359" Type="http://schemas.openxmlformats.org/officeDocument/2006/relationships/hyperlink" Target="..\01_DOCUMENT_SETS\ST-030-STD-11\04_Shipment_Statement.docx" TargetMode="External"/><Relationship Id="rId566" Type="http://schemas.openxmlformats.org/officeDocument/2006/relationships/hyperlink" Target="..\01_DOCUMENT_SETS\ST-042-STD-01\03_Label.pdf" TargetMode="External"/><Relationship Id="rId773" Type="http://schemas.openxmlformats.org/officeDocument/2006/relationships/hyperlink" Target="..\01_DOCUMENT_SETS\ST-048-EUR-02\03_Label.docx" TargetMode="External"/><Relationship Id="rId1196" Type="http://schemas.openxmlformats.org/officeDocument/2006/relationships/hyperlink" Target="..\01_DOCUMENT_SETS\ST-056-STD-02\02_EU_DoC.pdf" TargetMode="External"/><Relationship Id="rId2247" Type="http://schemas.openxmlformats.org/officeDocument/2006/relationships/hyperlink" Target="..\01_DOCUMENT_SETS\ST-096-STD-07\04_Shipment_Statement.docx" TargetMode="External"/><Relationship Id="rId121" Type="http://schemas.openxmlformats.org/officeDocument/2006/relationships/hyperlink" Target="..\01_DOCUMENT_SETS\ST-021-STD-01\01_Technical_File.docx" TargetMode="External"/><Relationship Id="rId219" Type="http://schemas.openxmlformats.org/officeDocument/2006/relationships/hyperlink" Target="..\01_DOCUMENT_SETS\ST-024-STD-01\02_EU_DoC.docx" TargetMode="External"/><Relationship Id="rId426" Type="http://schemas.openxmlformats.org/officeDocument/2006/relationships/hyperlink" Target="..\01_DOCUMENT_SETS\ST-036-EUR-05\01_Technical_File.pdf" TargetMode="External"/><Relationship Id="rId633" Type="http://schemas.openxmlformats.org/officeDocument/2006/relationships/hyperlink" Target="..\01_DOCUMENT_SETS\ST-044-STD-01\01_Technical_File.docx" TargetMode="External"/><Relationship Id="rId980" Type="http://schemas.openxmlformats.org/officeDocument/2006/relationships/hyperlink" Target="..\01_DOCUMENT_SETS\ST-051-STD-03\02_EU_DoC.pdf" TargetMode="External"/><Relationship Id="rId1056" Type="http://schemas.openxmlformats.org/officeDocument/2006/relationships/hyperlink" Target="..\01_DOCUMENT_SETS\ST-054-EUR-01\04_Shipment_Statement.pdf" TargetMode="External"/><Relationship Id="rId1263" Type="http://schemas.openxmlformats.org/officeDocument/2006/relationships/hyperlink" Target="..\01_DOCUMENT_SETS\ST-057-STD-03\04_Shipment_Statement.docx" TargetMode="External"/><Relationship Id="rId2107" Type="http://schemas.openxmlformats.org/officeDocument/2006/relationships/hyperlink" Target="..\01_DOCUMENT_SETS\ST-090-STD-02\02_EU_DoC.docx" TargetMode="External"/><Relationship Id="rId840" Type="http://schemas.openxmlformats.org/officeDocument/2006/relationships/hyperlink" Target="..\01_DOCUMENT_SETS\ST-048-EUR-10\04_Shipment_Statement.pdf" TargetMode="External"/><Relationship Id="rId938" Type="http://schemas.openxmlformats.org/officeDocument/2006/relationships/hyperlink" Target="..\01_DOCUMENT_SETS\ST-051-EUR-02\01_Technical_File.pdf" TargetMode="External"/><Relationship Id="rId1470" Type="http://schemas.openxmlformats.org/officeDocument/2006/relationships/hyperlink" Target="..\01_DOCUMENT_SETS\ST-063-STD-15\03_Label.pdf" TargetMode="External"/><Relationship Id="rId1568" Type="http://schemas.openxmlformats.org/officeDocument/2006/relationships/hyperlink" Target="..\01_DOCUMENT_SETS\ST-068-STD-03\04_Shipment_Statement.pdf" TargetMode="External"/><Relationship Id="rId1775" Type="http://schemas.openxmlformats.org/officeDocument/2006/relationships/hyperlink" Target="..\01_DOCUMENT_SETS\ST-072-STD-15\04_Shipment_Statement.docx" TargetMode="External"/><Relationship Id="rId67" Type="http://schemas.openxmlformats.org/officeDocument/2006/relationships/hyperlink" Target="..\01_DOCUMENT_SETS\ST-018-STD-01\02_EU_DoC.docx" TargetMode="External"/><Relationship Id="rId700" Type="http://schemas.openxmlformats.org/officeDocument/2006/relationships/hyperlink" Target="..\01_DOCUMENT_SETS\ST-045-STD-07\02_EU_DoC.pdf" TargetMode="External"/><Relationship Id="rId1123" Type="http://schemas.openxmlformats.org/officeDocument/2006/relationships/hyperlink" Target="..\01_DOCUMENT_SETS\ST-054-STD-09\02_EU_DoC.docx" TargetMode="External"/><Relationship Id="rId1330" Type="http://schemas.openxmlformats.org/officeDocument/2006/relationships/hyperlink" Target="..\01_DOCUMENT_SETS\ST-060-STD-05\01_Technical_File.pdf" TargetMode="External"/><Relationship Id="rId1428" Type="http://schemas.openxmlformats.org/officeDocument/2006/relationships/hyperlink" Target="..\01_DOCUMENT_SETS\ST-063-STD-10\02_EU_DoC.pdf" TargetMode="External"/><Relationship Id="rId1635" Type="http://schemas.openxmlformats.org/officeDocument/2006/relationships/hyperlink" Target="..\01_DOCUMENT_SETS\ST-072-EUR-04\02_EU_DoC.docx" TargetMode="External"/><Relationship Id="rId1982" Type="http://schemas.openxmlformats.org/officeDocument/2006/relationships/hyperlink" Target="..\01_DOCUMENT_SETS\ST-087-STD-01\03_Label.pdf" TargetMode="External"/><Relationship Id="rId1842" Type="http://schemas.openxmlformats.org/officeDocument/2006/relationships/hyperlink" Target="..\01_DOCUMENT_SETS\ST-072-STD-24\01_Technical_File.pdf" TargetMode="External"/><Relationship Id="rId1702" Type="http://schemas.openxmlformats.org/officeDocument/2006/relationships/hyperlink" Target="..\01_DOCUMENT_SETS\ST-072-STD-06\03_Label.pdf" TargetMode="External"/><Relationship Id="rId283" Type="http://schemas.openxmlformats.org/officeDocument/2006/relationships/hyperlink" Target="..\01_DOCUMENT_SETS\ST-030-STD-02\02_EU_DoC.docx" TargetMode="External"/><Relationship Id="rId490" Type="http://schemas.openxmlformats.org/officeDocument/2006/relationships/hyperlink" Target="..\01_DOCUMENT_SETS\ST-036-STD-06\01_Technical_File.pdf" TargetMode="External"/><Relationship Id="rId2171" Type="http://schemas.openxmlformats.org/officeDocument/2006/relationships/hyperlink" Target="..\01_DOCUMENT_SETS\ST-096-EUR-08\02_EU_DoC.docx" TargetMode="External"/><Relationship Id="rId143" Type="http://schemas.openxmlformats.org/officeDocument/2006/relationships/hyperlink" Target="..\01_DOCUMENT_SETS\ST-021-STD-03\04_Shipment_Statement.docx" TargetMode="External"/><Relationship Id="rId350" Type="http://schemas.openxmlformats.org/officeDocument/2006/relationships/hyperlink" Target="..\01_DOCUMENT_SETS\ST-030-STD-10\03_Label.pdf" TargetMode="External"/><Relationship Id="rId588" Type="http://schemas.openxmlformats.org/officeDocument/2006/relationships/hyperlink" Target="..\01_DOCUMENT_SETS\ST-042-STD-04\02_EU_DoC.pdf" TargetMode="External"/><Relationship Id="rId795" Type="http://schemas.openxmlformats.org/officeDocument/2006/relationships/hyperlink" Target="..\01_DOCUMENT_SETS\ST-048-EUR-05\02_EU_DoC.docx" TargetMode="External"/><Relationship Id="rId2031" Type="http://schemas.openxmlformats.org/officeDocument/2006/relationships/hyperlink" Target="..\01_DOCUMENT_SETS\ST-087-STD-07\04_Shipment_Statement.docx" TargetMode="External"/><Relationship Id="rId2269" Type="http://schemas.openxmlformats.org/officeDocument/2006/relationships/hyperlink" Target="..\01_DOCUMENT_SETS\ST-105-STD-02\03_Label.docx" TargetMode="External"/><Relationship Id="rId9" Type="http://schemas.openxmlformats.org/officeDocument/2006/relationships/hyperlink" Target="..\01_DOCUMENT_SETS\ST-012-EUR-02\01_Technical_File.docx" TargetMode="External"/><Relationship Id="rId210" Type="http://schemas.openxmlformats.org/officeDocument/2006/relationships/hyperlink" Target="..\01_DOCUMENT_SETS\ST-024-EUR-04\01_Technical_File.pdf" TargetMode="External"/><Relationship Id="rId448" Type="http://schemas.openxmlformats.org/officeDocument/2006/relationships/hyperlink" Target="..\01_DOCUMENT_SETS\ST-036-EUR-07\04_Shipment_Statement.pdf" TargetMode="External"/><Relationship Id="rId655" Type="http://schemas.openxmlformats.org/officeDocument/2006/relationships/hyperlink" Target="..\01_DOCUMENT_SETS\ST-045-STD-01\04_Shipment_Statement.docx" TargetMode="External"/><Relationship Id="rId862" Type="http://schemas.openxmlformats.org/officeDocument/2006/relationships/hyperlink" Target="..\01_DOCUMENT_SETS\ST-048-STD-01\03_Label.pdf" TargetMode="External"/><Relationship Id="rId1078" Type="http://schemas.openxmlformats.org/officeDocument/2006/relationships/hyperlink" Target="..\01_DOCUMENT_SETS\ST-054-STD-03\03_Label.pdf" TargetMode="External"/><Relationship Id="rId1285" Type="http://schemas.openxmlformats.org/officeDocument/2006/relationships/hyperlink" Target="..\01_DOCUMENT_SETS\ST-060-EUR-01\03_Label.docx" TargetMode="External"/><Relationship Id="rId1492" Type="http://schemas.openxmlformats.org/officeDocument/2006/relationships/hyperlink" Target="..\01_DOCUMENT_SETS\ST-066-STD-01\02_EU_DoC.pdf" TargetMode="External"/><Relationship Id="rId2129" Type="http://schemas.openxmlformats.org/officeDocument/2006/relationships/hyperlink" Target="..\01_DOCUMENT_SETS\ST-096-EUR-03\01_Technical_File.docx" TargetMode="External"/><Relationship Id="rId308" Type="http://schemas.openxmlformats.org/officeDocument/2006/relationships/hyperlink" Target="..\01_DOCUMENT_SETS\ST-030-STD-05\02_EU_DoC.pdf" TargetMode="External"/><Relationship Id="rId515" Type="http://schemas.openxmlformats.org/officeDocument/2006/relationships/hyperlink" Target="..\01_DOCUMENT_SETS\ST-036-STD-09\02_EU_DoC.docx" TargetMode="External"/><Relationship Id="rId722" Type="http://schemas.openxmlformats.org/officeDocument/2006/relationships/hyperlink" Target="..\01_DOCUMENT_SETS\ST-045-STD-10\01_Technical_File.pdf" TargetMode="External"/><Relationship Id="rId1145" Type="http://schemas.openxmlformats.org/officeDocument/2006/relationships/hyperlink" Target="..\01_DOCUMENT_SETS\ST-054-STD-12\01_Technical_File.docx" TargetMode="External"/><Relationship Id="rId1352" Type="http://schemas.openxmlformats.org/officeDocument/2006/relationships/hyperlink" Target="..\01_DOCUMENT_SETS\ST-063-EUR-02\04_Shipment_Statement.pdf" TargetMode="External"/><Relationship Id="rId1797" Type="http://schemas.openxmlformats.org/officeDocument/2006/relationships/hyperlink" Target="..\01_DOCUMENT_SETS\ST-072-STD-18\03_Label.docx" TargetMode="External"/><Relationship Id="rId89" Type="http://schemas.openxmlformats.org/officeDocument/2006/relationships/hyperlink" Target="..\01_DOCUMENT_SETS\ST-021-EUR-02\01_Technical_File.docx" TargetMode="External"/><Relationship Id="rId1005" Type="http://schemas.openxmlformats.org/officeDocument/2006/relationships/hyperlink" Target="..\01_DOCUMENT_SETS\ST-051-STD-06\03_Label.docx" TargetMode="External"/><Relationship Id="rId1212" Type="http://schemas.openxmlformats.org/officeDocument/2006/relationships/hyperlink" Target="..\01_DOCUMENT_SETS\ST-057-EUR-02\02_EU_DoC.pdf" TargetMode="External"/><Relationship Id="rId1657" Type="http://schemas.openxmlformats.org/officeDocument/2006/relationships/hyperlink" Target="..\01_DOCUMENT_SETS\ST-072-STD-01\01_Technical_File.docx" TargetMode="External"/><Relationship Id="rId1864" Type="http://schemas.openxmlformats.org/officeDocument/2006/relationships/hyperlink" Target="..\01_DOCUMENT_SETS\ST-072-STD-26\04_Shipment_Statement.pdf" TargetMode="External"/><Relationship Id="rId1517" Type="http://schemas.openxmlformats.org/officeDocument/2006/relationships/hyperlink" Target="..\01_DOCUMENT_SETS\ST-068-EUR-01\03_Label.docx" TargetMode="External"/><Relationship Id="rId1724" Type="http://schemas.openxmlformats.org/officeDocument/2006/relationships/hyperlink" Target="..\01_DOCUMENT_SETS\ST-072-STD-09\02_EU_DoC.pdf" TargetMode="External"/><Relationship Id="rId16" Type="http://schemas.openxmlformats.org/officeDocument/2006/relationships/hyperlink" Target="..\01_DOCUMENT_SETS\ST-012-EUR-02\04_Shipment_Statement.pdf" TargetMode="External"/><Relationship Id="rId1931" Type="http://schemas.openxmlformats.org/officeDocument/2006/relationships/hyperlink" Target="..\01_DOCUMENT_SETS\ST-076-STD-03\02_EU_DoC.docx" TargetMode="External"/><Relationship Id="rId2193" Type="http://schemas.openxmlformats.org/officeDocument/2006/relationships/hyperlink" Target="..\01_DOCUMENT_SETS\ST-096-STD-01\01_Technical_File.docx" TargetMode="External"/><Relationship Id="rId165" Type="http://schemas.openxmlformats.org/officeDocument/2006/relationships/hyperlink" Target="..\01_DOCUMENT_SETS\ST-021-STD-06\03_Label.docx" TargetMode="External"/><Relationship Id="rId372" Type="http://schemas.openxmlformats.org/officeDocument/2006/relationships/hyperlink" Target="..\01_DOCUMENT_SETS\ST-033-EUR-01\02_EU_DoC.pdf" TargetMode="External"/><Relationship Id="rId677" Type="http://schemas.openxmlformats.org/officeDocument/2006/relationships/hyperlink" Target="..\01_DOCUMENT_SETS\ST-045-STD-04\03_Label.docx" TargetMode="External"/><Relationship Id="rId2053" Type="http://schemas.openxmlformats.org/officeDocument/2006/relationships/hyperlink" Target="..\01_DOCUMENT_SETS\ST-088-STD-03\03_Label.docx" TargetMode="External"/><Relationship Id="rId2260" Type="http://schemas.openxmlformats.org/officeDocument/2006/relationships/hyperlink" Target="..\01_DOCUMENT_SETS\ST-105-STD-01\02_EU_DoC.pdf" TargetMode="External"/><Relationship Id="rId232" Type="http://schemas.openxmlformats.org/officeDocument/2006/relationships/hyperlink" Target="..\01_DOCUMENT_SETS\ST-024-STD-02\04_Shipment_Statement.pdf" TargetMode="External"/><Relationship Id="rId884" Type="http://schemas.openxmlformats.org/officeDocument/2006/relationships/hyperlink" Target="..\01_DOCUMENT_SETS\ST-048-STD-04\02_EU_DoC.pdf" TargetMode="External"/><Relationship Id="rId2120" Type="http://schemas.openxmlformats.org/officeDocument/2006/relationships/hyperlink" Target="..\01_DOCUMENT_SETS\ST-096-EUR-01\04_Shipment_Statement.pdf" TargetMode="External"/><Relationship Id="rId537" Type="http://schemas.openxmlformats.org/officeDocument/2006/relationships/hyperlink" Target="..\01_DOCUMENT_SETS\ST-042-EUR-02\01_Technical_File.docx" TargetMode="External"/><Relationship Id="rId744" Type="http://schemas.openxmlformats.org/officeDocument/2006/relationships/hyperlink" Target="..\01_DOCUMENT_SETS\ST-045-STD-12\04_Shipment_Statement.pdf" TargetMode="External"/><Relationship Id="rId951" Type="http://schemas.openxmlformats.org/officeDocument/2006/relationships/hyperlink" Target="..\01_DOCUMENT_SETS\ST-051-EUR-03\04_Shipment_Statement.docx" TargetMode="External"/><Relationship Id="rId1167" Type="http://schemas.openxmlformats.org/officeDocument/2006/relationships/hyperlink" Target="..\01_DOCUMENT_SETS\ST-056-EUR-02\04_Shipment_Statement.docx" TargetMode="External"/><Relationship Id="rId1374" Type="http://schemas.openxmlformats.org/officeDocument/2006/relationships/hyperlink" Target="..\01_DOCUMENT_SETS\ST-063-STD-03\03_Label.pdf" TargetMode="External"/><Relationship Id="rId1581" Type="http://schemas.openxmlformats.org/officeDocument/2006/relationships/hyperlink" Target="..\01_DOCUMENT_SETS\ST-068-STD-05\03_Label.docx" TargetMode="External"/><Relationship Id="rId1679" Type="http://schemas.openxmlformats.org/officeDocument/2006/relationships/hyperlink" Target="..\01_DOCUMENT_SETS\ST-072-STD-03\04_Shipment_Statement.docx" TargetMode="External"/><Relationship Id="rId2218" Type="http://schemas.openxmlformats.org/officeDocument/2006/relationships/hyperlink" Target="..\01_DOCUMENT_SETS\ST-096-STD-04\01_Technical_File.pdf" TargetMode="External"/><Relationship Id="rId80" Type="http://schemas.openxmlformats.org/officeDocument/2006/relationships/hyperlink" Target="..\01_DOCUMENT_SETS\ST-018-STD-02\04_Shipment_Statement.pdf" TargetMode="External"/><Relationship Id="rId604" Type="http://schemas.openxmlformats.org/officeDocument/2006/relationships/hyperlink" Target="..\01_DOCUMENT_SETS\ST-042-STD-06\02_EU_DoC.pdf" TargetMode="External"/><Relationship Id="rId811" Type="http://schemas.openxmlformats.org/officeDocument/2006/relationships/hyperlink" Target="..\01_DOCUMENT_SETS\ST-048-EUR-07\02_EU_DoC.docx" TargetMode="External"/><Relationship Id="rId1027" Type="http://schemas.openxmlformats.org/officeDocument/2006/relationships/hyperlink" Target="..\01_DOCUMENT_SETS\ST-051-STD-09\02_EU_DoC.docx" TargetMode="External"/><Relationship Id="rId1234" Type="http://schemas.openxmlformats.org/officeDocument/2006/relationships/hyperlink" Target="..\01_DOCUMENT_SETS\ST-057-EUR-05\01_Technical_File.pdf" TargetMode="External"/><Relationship Id="rId1441" Type="http://schemas.openxmlformats.org/officeDocument/2006/relationships/hyperlink" Target="..\01_DOCUMENT_SETS\ST-063-STD-12\01_Technical_File.docx" TargetMode="External"/><Relationship Id="rId1886" Type="http://schemas.openxmlformats.org/officeDocument/2006/relationships/hyperlink" Target="..\01_DOCUMENT_SETS\ST-076-EUR-01\03_Label.pdf" TargetMode="External"/><Relationship Id="rId909" Type="http://schemas.openxmlformats.org/officeDocument/2006/relationships/hyperlink" Target="..\01_DOCUMENT_SETS\ST-048-STD-07\03_Label.docx" TargetMode="External"/><Relationship Id="rId1301" Type="http://schemas.openxmlformats.org/officeDocument/2006/relationships/hyperlink" Target="..\01_DOCUMENT_SETS\ST-060-STD-01\03_Label.docx" TargetMode="External"/><Relationship Id="rId1539" Type="http://schemas.openxmlformats.org/officeDocument/2006/relationships/hyperlink" Target="..\01_DOCUMENT_SETS\ST-068-EUR-04\02_EU_DoC.docx" TargetMode="External"/><Relationship Id="rId1746" Type="http://schemas.openxmlformats.org/officeDocument/2006/relationships/hyperlink" Target="..\01_DOCUMENT_SETS\ST-072-STD-12\01_Technical_File.pdf" TargetMode="External"/><Relationship Id="rId1953" Type="http://schemas.openxmlformats.org/officeDocument/2006/relationships/hyperlink" Target="..\01_DOCUMENT_SETS\ST-081-EUR-01\01_Technical_File.docx" TargetMode="External"/><Relationship Id="rId38" Type="http://schemas.openxmlformats.org/officeDocument/2006/relationships/hyperlink" Target="..\01_DOCUMENT_SETS\ST-018-EUR-02\03_Label.pdf" TargetMode="External"/><Relationship Id="rId1606" Type="http://schemas.openxmlformats.org/officeDocument/2006/relationships/hyperlink" Target="..\01_DOCUMENT_SETS\ST-068-STD-08\03_Label.pdf" TargetMode="External"/><Relationship Id="rId1813" Type="http://schemas.openxmlformats.org/officeDocument/2006/relationships/hyperlink" Target="..\01_DOCUMENT_SETS\ST-072-STD-20\03_Label.docx" TargetMode="External"/><Relationship Id="rId187" Type="http://schemas.openxmlformats.org/officeDocument/2006/relationships/hyperlink" Target="..\01_DOCUMENT_SETS\ST-024-EUR-01\02_EU_DoC.docx" TargetMode="External"/><Relationship Id="rId394" Type="http://schemas.openxmlformats.org/officeDocument/2006/relationships/hyperlink" Target="..\01_DOCUMENT_SETS\ST-036-EUR-01\01_Technical_File.pdf" TargetMode="External"/><Relationship Id="rId2075" Type="http://schemas.openxmlformats.org/officeDocument/2006/relationships/hyperlink" Target="..\01_DOCUMENT_SETS\ST-088-STD-06\02_EU_DoC.docx" TargetMode="External"/><Relationship Id="rId2282" Type="http://schemas.openxmlformats.org/officeDocument/2006/relationships/hyperlink" Target="..\01_DOCUMENT_SETS\ST-120-STD-02\01_Technical_File.pdf" TargetMode="External"/><Relationship Id="rId254" Type="http://schemas.openxmlformats.org/officeDocument/2006/relationships/hyperlink" Target="..\01_DOCUMENT_SETS\ST-027-STD90-01\03_Label.pdf" TargetMode="External"/><Relationship Id="rId699" Type="http://schemas.openxmlformats.org/officeDocument/2006/relationships/hyperlink" Target="..\01_DOCUMENT_SETS\ST-045-STD-07\02_EU_DoC.docx" TargetMode="External"/><Relationship Id="rId1091" Type="http://schemas.openxmlformats.org/officeDocument/2006/relationships/hyperlink" Target="..\01_DOCUMENT_SETS\ST-054-STD-05\02_EU_DoC.docx" TargetMode="External"/><Relationship Id="rId114" Type="http://schemas.openxmlformats.org/officeDocument/2006/relationships/hyperlink" Target="..\01_DOCUMENT_SETS\ST-021-EUR-05\01_Technical_File.pdf" TargetMode="External"/><Relationship Id="rId461" Type="http://schemas.openxmlformats.org/officeDocument/2006/relationships/hyperlink" Target="..\01_DOCUMENT_SETS\ST-036-STD-02\03_Label.docx" TargetMode="External"/><Relationship Id="rId559" Type="http://schemas.openxmlformats.org/officeDocument/2006/relationships/hyperlink" Target="..\01_DOCUMENT_SETS\ST-042-EUR-04\04_Shipment_Statement.docx" TargetMode="External"/><Relationship Id="rId766" Type="http://schemas.openxmlformats.org/officeDocument/2006/relationships/hyperlink" Target="..\01_DOCUMENT_SETS\ST-048-EUR-01\03_Label.pdf" TargetMode="External"/><Relationship Id="rId1189" Type="http://schemas.openxmlformats.org/officeDocument/2006/relationships/hyperlink" Target="..\01_DOCUMENT_SETS\ST-056-STD-01\03_Label.docx" TargetMode="External"/><Relationship Id="rId1396" Type="http://schemas.openxmlformats.org/officeDocument/2006/relationships/hyperlink" Target="..\01_DOCUMENT_SETS\ST-063-STD-06\02_EU_DoC.pdf" TargetMode="External"/><Relationship Id="rId2142" Type="http://schemas.openxmlformats.org/officeDocument/2006/relationships/hyperlink" Target="..\01_DOCUMENT_SETS\ST-096-EUR-04\03_Label.pdf" TargetMode="External"/><Relationship Id="rId321" Type="http://schemas.openxmlformats.org/officeDocument/2006/relationships/hyperlink" Target="..\01_DOCUMENT_SETS\ST-030-STD-07\01_Technical_File.docx" TargetMode="External"/><Relationship Id="rId419" Type="http://schemas.openxmlformats.org/officeDocument/2006/relationships/hyperlink" Target="..\01_DOCUMENT_SETS\ST-036-EUR-04\02_EU_DoC.docx" TargetMode="External"/><Relationship Id="rId626" Type="http://schemas.openxmlformats.org/officeDocument/2006/relationships/hyperlink" Target="..\01_DOCUMENT_SETS\ST-042-STD-09\01_Technical_File.pdf" TargetMode="External"/><Relationship Id="rId973" Type="http://schemas.openxmlformats.org/officeDocument/2006/relationships/hyperlink" Target="..\01_DOCUMENT_SETS\ST-051-STD-02\03_Label.docx" TargetMode="External"/><Relationship Id="rId1049" Type="http://schemas.openxmlformats.org/officeDocument/2006/relationships/hyperlink" Target="..\01_DOCUMENT_SETS\ST-054-EUR-01\01_Technical_File.docx" TargetMode="External"/><Relationship Id="rId1256" Type="http://schemas.openxmlformats.org/officeDocument/2006/relationships/hyperlink" Target="..\01_DOCUMENT_SETS\ST-057-STD-02\04_Shipment_Statement.pdf" TargetMode="External"/><Relationship Id="rId2002" Type="http://schemas.openxmlformats.org/officeDocument/2006/relationships/hyperlink" Target="..\01_DOCUMENT_SETS\ST-087-STD-04\01_Technical_File.pdf" TargetMode="External"/><Relationship Id="rId833" Type="http://schemas.openxmlformats.org/officeDocument/2006/relationships/hyperlink" Target="..\01_DOCUMENT_SETS\ST-048-EUR-10\01_Technical_File.docx" TargetMode="External"/><Relationship Id="rId1116" Type="http://schemas.openxmlformats.org/officeDocument/2006/relationships/hyperlink" Target="..\01_DOCUMENT_SETS\ST-054-STD-08\02_EU_DoC.pdf" TargetMode="External"/><Relationship Id="rId1463" Type="http://schemas.openxmlformats.org/officeDocument/2006/relationships/hyperlink" Target="..\01_DOCUMENT_SETS\ST-063-STD-14\04_Shipment_Statement.docx" TargetMode="External"/><Relationship Id="rId1670" Type="http://schemas.openxmlformats.org/officeDocument/2006/relationships/hyperlink" Target="..\01_DOCUMENT_SETS\ST-072-STD-02\03_Label.pdf" TargetMode="External"/><Relationship Id="rId1768" Type="http://schemas.openxmlformats.org/officeDocument/2006/relationships/hyperlink" Target="..\01_DOCUMENT_SETS\ST-072-STD-14\04_Shipment_Statement.pdf" TargetMode="External"/><Relationship Id="rId900" Type="http://schemas.openxmlformats.org/officeDocument/2006/relationships/hyperlink" Target="..\01_DOCUMENT_SETS\ST-048-STD-06\02_EU_DoC.pdf" TargetMode="External"/><Relationship Id="rId1323" Type="http://schemas.openxmlformats.org/officeDocument/2006/relationships/hyperlink" Target="..\01_DOCUMENT_SETS\ST-060-STD-04\02_EU_DoC.docx" TargetMode="External"/><Relationship Id="rId1530" Type="http://schemas.openxmlformats.org/officeDocument/2006/relationships/hyperlink" Target="..\01_DOCUMENT_SETS\ST-068-EUR-03\01_Technical_File.pdf" TargetMode="External"/><Relationship Id="rId1628" Type="http://schemas.openxmlformats.org/officeDocument/2006/relationships/hyperlink" Target="..\01_DOCUMENT_SETS\ST-072-EUR-03\02_EU_DoC.pdf" TargetMode="External"/><Relationship Id="rId1975" Type="http://schemas.openxmlformats.org/officeDocument/2006/relationships/hyperlink" Target="..\01_DOCUMENT_SETS\ST-087-EUR-01\04_Shipment_Statement.docx" TargetMode="External"/><Relationship Id="rId1835" Type="http://schemas.openxmlformats.org/officeDocument/2006/relationships/hyperlink" Target="..\01_DOCUMENT_SETS\ST-072-STD-23\02_EU_DoC.docx" TargetMode="External"/><Relationship Id="rId1902" Type="http://schemas.openxmlformats.org/officeDocument/2006/relationships/hyperlink" Target="..\01_DOCUMENT_SETS\ST-076-EUR-03\03_Label.pdf" TargetMode="External"/><Relationship Id="rId2097" Type="http://schemas.openxmlformats.org/officeDocument/2006/relationships/hyperlink" Target="..\01_DOCUMENT_SETS\ST-090-STD-01\01_Technical_File.docx" TargetMode="External"/><Relationship Id="rId276" Type="http://schemas.openxmlformats.org/officeDocument/2006/relationships/hyperlink" Target="..\01_DOCUMENT_SETS\ST-030-STD-01\02_EU_DoC.pdf" TargetMode="External"/><Relationship Id="rId483" Type="http://schemas.openxmlformats.org/officeDocument/2006/relationships/hyperlink" Target="..\01_DOCUMENT_SETS\ST-036-STD-05\02_EU_DoC.docx" TargetMode="External"/><Relationship Id="rId690" Type="http://schemas.openxmlformats.org/officeDocument/2006/relationships/hyperlink" Target="..\01_DOCUMENT_SETS\ST-045-STD-06\01_Technical_File.pdf" TargetMode="External"/><Relationship Id="rId2164" Type="http://schemas.openxmlformats.org/officeDocument/2006/relationships/hyperlink" Target="..\01_DOCUMENT_SETS\ST-096-EUR-07\02_EU_DoC.pdf" TargetMode="External"/><Relationship Id="rId136" Type="http://schemas.openxmlformats.org/officeDocument/2006/relationships/hyperlink" Target="..\01_DOCUMENT_SETS\ST-021-STD-02\04_Shipment_Statement.pdf" TargetMode="External"/><Relationship Id="rId343" Type="http://schemas.openxmlformats.org/officeDocument/2006/relationships/hyperlink" Target="..\01_DOCUMENT_SETS\ST-030-STD-09\04_Shipment_Statement.docx" TargetMode="External"/><Relationship Id="rId550" Type="http://schemas.openxmlformats.org/officeDocument/2006/relationships/hyperlink" Target="..\01_DOCUMENT_SETS\ST-042-EUR-03\03_Label.pdf" TargetMode="External"/><Relationship Id="rId788" Type="http://schemas.openxmlformats.org/officeDocument/2006/relationships/hyperlink" Target="..\01_DOCUMENT_SETS\ST-048-EUR-04\02_EU_DoC.pdf" TargetMode="External"/><Relationship Id="rId995" Type="http://schemas.openxmlformats.org/officeDocument/2006/relationships/hyperlink" Target="..\01_DOCUMENT_SETS\ST-051-STD-05\02_EU_DoC.docx" TargetMode="External"/><Relationship Id="rId1180" Type="http://schemas.openxmlformats.org/officeDocument/2006/relationships/hyperlink" Target="..\01_DOCUMENT_SETS\ST-056-EUR-04\02_EU_DoC.pdf" TargetMode="External"/><Relationship Id="rId2024" Type="http://schemas.openxmlformats.org/officeDocument/2006/relationships/hyperlink" Target="..\01_DOCUMENT_SETS\ST-087-STD-06\04_Shipment_Statement.pdf" TargetMode="External"/><Relationship Id="rId2231" Type="http://schemas.openxmlformats.org/officeDocument/2006/relationships/hyperlink" Target="..\01_DOCUMENT_SETS\ST-096-STD-05\04_Shipment_Statement.docx" TargetMode="External"/><Relationship Id="rId203" Type="http://schemas.openxmlformats.org/officeDocument/2006/relationships/hyperlink" Target="..\01_DOCUMENT_SETS\ST-024-EUR-03\02_EU_DoC.docx" TargetMode="External"/><Relationship Id="rId648" Type="http://schemas.openxmlformats.org/officeDocument/2006/relationships/hyperlink" Target="..\01_DOCUMENT_SETS\ST-045-EUR-01\04_Shipment_Statement.pdf" TargetMode="External"/><Relationship Id="rId855" Type="http://schemas.openxmlformats.org/officeDocument/2006/relationships/hyperlink" Target="..\01_DOCUMENT_SETS\ST-048-EUR-12\04_Shipment_Statement.docx" TargetMode="External"/><Relationship Id="rId1040" Type="http://schemas.openxmlformats.org/officeDocument/2006/relationships/hyperlink" Target="..\01_DOCUMENT_SETS\ST-051-STD-10\04_Shipment_Statement.pdf" TargetMode="External"/><Relationship Id="rId1278" Type="http://schemas.openxmlformats.org/officeDocument/2006/relationships/hyperlink" Target="..\01_DOCUMENT_SETS\ST-057-STD-05\03_Label.pdf" TargetMode="External"/><Relationship Id="rId1485" Type="http://schemas.openxmlformats.org/officeDocument/2006/relationships/hyperlink" Target="..\01_DOCUMENT_SETS\ST-064-EUR-01\03_Label.docx" TargetMode="External"/><Relationship Id="rId1692" Type="http://schemas.openxmlformats.org/officeDocument/2006/relationships/hyperlink" Target="..\01_DOCUMENT_SETS\ST-072-STD-05\02_EU_DoC.pdf" TargetMode="External"/><Relationship Id="rId410" Type="http://schemas.openxmlformats.org/officeDocument/2006/relationships/hyperlink" Target="..\01_DOCUMENT_SETS\ST-036-EUR-03\01_Technical_File.pdf" TargetMode="External"/><Relationship Id="rId508" Type="http://schemas.openxmlformats.org/officeDocument/2006/relationships/hyperlink" Target="..\01_DOCUMENT_SETS\ST-036-STD-08\02_EU_DoC.pdf" TargetMode="External"/><Relationship Id="rId715" Type="http://schemas.openxmlformats.org/officeDocument/2006/relationships/hyperlink" Target="..\01_DOCUMENT_SETS\ST-045-STD-09\02_EU_DoC.docx" TargetMode="External"/><Relationship Id="rId922" Type="http://schemas.openxmlformats.org/officeDocument/2006/relationships/hyperlink" Target="..\01_DOCUMENT_SETS\ST-048-STD-09\01_Technical_File.pdf" TargetMode="External"/><Relationship Id="rId1138" Type="http://schemas.openxmlformats.org/officeDocument/2006/relationships/hyperlink" Target="..\01_DOCUMENT_SETS\ST-054-STD-11\01_Technical_File.pdf" TargetMode="External"/><Relationship Id="rId1345" Type="http://schemas.openxmlformats.org/officeDocument/2006/relationships/hyperlink" Target="..\01_DOCUMENT_SETS\ST-063-EUR-02\01_Technical_File.docx" TargetMode="External"/><Relationship Id="rId1552" Type="http://schemas.openxmlformats.org/officeDocument/2006/relationships/hyperlink" Target="..\01_DOCUMENT_SETS\ST-068-STD-01\04_Shipment_Statement.pdf" TargetMode="External"/><Relationship Id="rId1997" Type="http://schemas.openxmlformats.org/officeDocument/2006/relationships/hyperlink" Target="..\01_DOCUMENT_SETS\ST-087-STD-03\03_Label.docx" TargetMode="External"/><Relationship Id="rId1205" Type="http://schemas.openxmlformats.org/officeDocument/2006/relationships/hyperlink" Target="..\01_DOCUMENT_SETS\ST-057-EUR-01\03_Label.docx" TargetMode="External"/><Relationship Id="rId1857" Type="http://schemas.openxmlformats.org/officeDocument/2006/relationships/hyperlink" Target="..\01_DOCUMENT_SETS\ST-072-STD-26\01_Technical_File.docx" TargetMode="External"/><Relationship Id="rId51" Type="http://schemas.openxmlformats.org/officeDocument/2006/relationships/hyperlink" Target="..\01_DOCUMENT_SETS\ST-018-EUR-04\02_EU_DoC.docx" TargetMode="External"/><Relationship Id="rId1412" Type="http://schemas.openxmlformats.org/officeDocument/2006/relationships/hyperlink" Target="..\01_DOCUMENT_SETS\ST-063-STD-08\02_EU_DoC.pdf" TargetMode="External"/><Relationship Id="rId1717" Type="http://schemas.openxmlformats.org/officeDocument/2006/relationships/hyperlink" Target="..\01_DOCUMENT_SETS\ST-072-STD-08\03_Label.docx" TargetMode="External"/><Relationship Id="rId1924" Type="http://schemas.openxmlformats.org/officeDocument/2006/relationships/hyperlink" Target="..\01_DOCUMENT_SETS\ST-076-STD-02\02_EU_DoC.pdf" TargetMode="External"/><Relationship Id="rId298" Type="http://schemas.openxmlformats.org/officeDocument/2006/relationships/hyperlink" Target="..\01_DOCUMENT_SETS\ST-030-STD-04\01_Technical_File.pdf" TargetMode="External"/><Relationship Id="rId158" Type="http://schemas.openxmlformats.org/officeDocument/2006/relationships/hyperlink" Target="..\01_DOCUMENT_SETS\ST-021-STD-05\03_Label.pdf" TargetMode="External"/><Relationship Id="rId2186" Type="http://schemas.openxmlformats.org/officeDocument/2006/relationships/hyperlink" Target="..\01_DOCUMENT_SETS\ST-096-EUR-10\01_Technical_File.pdf" TargetMode="External"/><Relationship Id="rId365" Type="http://schemas.openxmlformats.org/officeDocument/2006/relationships/hyperlink" Target="..\01_DOCUMENT_SETS\ST-030-STD-12\03_Label.docx" TargetMode="External"/><Relationship Id="rId572" Type="http://schemas.openxmlformats.org/officeDocument/2006/relationships/hyperlink" Target="..\01_DOCUMENT_SETS\ST-042-STD-02\02_EU_DoC.pdf" TargetMode="External"/><Relationship Id="rId2046" Type="http://schemas.openxmlformats.org/officeDocument/2006/relationships/hyperlink" Target="..\01_DOCUMENT_SETS\ST-088-STD-02\03_Label.pdf" TargetMode="External"/><Relationship Id="rId2253" Type="http://schemas.openxmlformats.org/officeDocument/2006/relationships/hyperlink" Target="..\01_DOCUMENT_SETS\ST-096-STD-08\03_Label.docx" TargetMode="External"/><Relationship Id="rId225" Type="http://schemas.openxmlformats.org/officeDocument/2006/relationships/hyperlink" Target="..\01_DOCUMENT_SETS\ST-024-STD-02\01_Technical_File.docx" TargetMode="External"/><Relationship Id="rId432" Type="http://schemas.openxmlformats.org/officeDocument/2006/relationships/hyperlink" Target="..\01_DOCUMENT_SETS\ST-036-EUR-05\04_Shipment_Statement.pdf" TargetMode="External"/><Relationship Id="rId877" Type="http://schemas.openxmlformats.org/officeDocument/2006/relationships/hyperlink" Target="..\01_DOCUMENT_SETS\ST-048-STD-03\03_Label.docx" TargetMode="External"/><Relationship Id="rId1062" Type="http://schemas.openxmlformats.org/officeDocument/2006/relationships/hyperlink" Target="..\01_DOCUMENT_SETS\ST-054-STD-01\03_Label.pdf" TargetMode="External"/><Relationship Id="rId2113" Type="http://schemas.openxmlformats.org/officeDocument/2006/relationships/hyperlink" Target="..\01_DOCUMENT_SETS\ST-096-EUR-01\01_Technical_File.docx" TargetMode="External"/><Relationship Id="rId737" Type="http://schemas.openxmlformats.org/officeDocument/2006/relationships/hyperlink" Target="..\01_DOCUMENT_SETS\ST-045-STD-12\01_Technical_File.docx" TargetMode="External"/><Relationship Id="rId944" Type="http://schemas.openxmlformats.org/officeDocument/2006/relationships/hyperlink" Target="..\01_DOCUMENT_SETS\ST-051-EUR-02\04_Shipment_Statement.pdf" TargetMode="External"/><Relationship Id="rId1367" Type="http://schemas.openxmlformats.org/officeDocument/2006/relationships/hyperlink" Target="..\01_DOCUMENT_SETS\ST-063-STD-02\04_Shipment_Statement.docx" TargetMode="External"/><Relationship Id="rId1574" Type="http://schemas.openxmlformats.org/officeDocument/2006/relationships/hyperlink" Target="..\01_DOCUMENT_SETS\ST-068-STD-04\03_Label.pdf" TargetMode="External"/><Relationship Id="rId1781" Type="http://schemas.openxmlformats.org/officeDocument/2006/relationships/hyperlink" Target="..\01_DOCUMENT_SETS\ST-072-STD-16\03_Label.docx" TargetMode="External"/><Relationship Id="rId73" Type="http://schemas.openxmlformats.org/officeDocument/2006/relationships/hyperlink" Target="..\01_DOCUMENT_SETS\ST-018-STD-02\01_Technical_File.docx" TargetMode="External"/><Relationship Id="rId804" Type="http://schemas.openxmlformats.org/officeDocument/2006/relationships/hyperlink" Target="..\01_DOCUMENT_SETS\ST-048-EUR-06\02_EU_DoC.pdf" TargetMode="External"/><Relationship Id="rId1227" Type="http://schemas.openxmlformats.org/officeDocument/2006/relationships/hyperlink" Target="..\01_DOCUMENT_SETS\ST-057-EUR-04\02_EU_DoC.docx" TargetMode="External"/><Relationship Id="rId1434" Type="http://schemas.openxmlformats.org/officeDocument/2006/relationships/hyperlink" Target="..\01_DOCUMENT_SETS\ST-063-STD-11\01_Technical_File.pdf" TargetMode="External"/><Relationship Id="rId1641" Type="http://schemas.openxmlformats.org/officeDocument/2006/relationships/hyperlink" Target="..\01_DOCUMENT_SETS\ST-072-EUR-05\01_Technical_File.docx" TargetMode="External"/><Relationship Id="rId1879" Type="http://schemas.openxmlformats.org/officeDocument/2006/relationships/hyperlink" Target="..\01_DOCUMENT_SETS\ST-072-STD-28\04_Shipment_Statement.docx" TargetMode="External"/><Relationship Id="rId1501" Type="http://schemas.openxmlformats.org/officeDocument/2006/relationships/hyperlink" Target="..\01_DOCUMENT_SETS\ST-066-STD-02\03_Label.docx" TargetMode="External"/><Relationship Id="rId1739" Type="http://schemas.openxmlformats.org/officeDocument/2006/relationships/hyperlink" Target="..\01_DOCUMENT_SETS\ST-072-STD-11\02_EU_DoC.docx" TargetMode="External"/><Relationship Id="rId1946" Type="http://schemas.openxmlformats.org/officeDocument/2006/relationships/hyperlink" Target="..\01_DOCUMENT_SETS\ST-080-EUR-01\01_Technical_File.pdf" TargetMode="External"/><Relationship Id="rId1806" Type="http://schemas.openxmlformats.org/officeDocument/2006/relationships/hyperlink" Target="..\01_DOCUMENT_SETS\ST-072-STD-19\03_Label.pdf" TargetMode="External"/><Relationship Id="rId387" Type="http://schemas.openxmlformats.org/officeDocument/2006/relationships/hyperlink" Target="..\01_DOCUMENT_SETS\ST-034-STD-02\02_EU_DoC.docx" TargetMode="External"/><Relationship Id="rId594" Type="http://schemas.openxmlformats.org/officeDocument/2006/relationships/hyperlink" Target="..\01_DOCUMENT_SETS\ST-042-STD-05\01_Technical_File.pdf" TargetMode="External"/><Relationship Id="rId2068" Type="http://schemas.openxmlformats.org/officeDocument/2006/relationships/hyperlink" Target="..\01_DOCUMENT_SETS\ST-088-STD-05\02_EU_DoC.pdf" TargetMode="External"/><Relationship Id="rId2275" Type="http://schemas.openxmlformats.org/officeDocument/2006/relationships/hyperlink" Target="..\01_DOCUMENT_SETS\ST-120-STD-01\02_EU_DoC.docx" TargetMode="External"/><Relationship Id="rId247" Type="http://schemas.openxmlformats.org/officeDocument/2006/relationships/hyperlink" Target="..\01_DOCUMENT_SETS\ST-024-STD-04\04_Shipment_Statement.docx" TargetMode="External"/><Relationship Id="rId899" Type="http://schemas.openxmlformats.org/officeDocument/2006/relationships/hyperlink" Target="..\01_DOCUMENT_SETS\ST-048-STD-06\02_EU_DoC.docx" TargetMode="External"/><Relationship Id="rId1084" Type="http://schemas.openxmlformats.org/officeDocument/2006/relationships/hyperlink" Target="..\01_DOCUMENT_SETS\ST-054-STD-04\02_EU_DoC.pdf" TargetMode="External"/><Relationship Id="rId107" Type="http://schemas.openxmlformats.org/officeDocument/2006/relationships/hyperlink" Target="..\01_DOCUMENT_SETS\ST-021-EUR-04\02_EU_DoC.docx" TargetMode="External"/><Relationship Id="rId454" Type="http://schemas.openxmlformats.org/officeDocument/2006/relationships/hyperlink" Target="..\01_DOCUMENT_SETS\ST-036-STD-01\03_Label.pdf" TargetMode="External"/><Relationship Id="rId661" Type="http://schemas.openxmlformats.org/officeDocument/2006/relationships/hyperlink" Target="..\01_DOCUMENT_SETS\ST-045-STD-02\03_Label.docx" TargetMode="External"/><Relationship Id="rId759" Type="http://schemas.openxmlformats.org/officeDocument/2006/relationships/hyperlink" Target="..\01_DOCUMENT_SETS\ST-045-STD-14\04_Shipment_Statement.docx" TargetMode="External"/><Relationship Id="rId966" Type="http://schemas.openxmlformats.org/officeDocument/2006/relationships/hyperlink" Target="..\01_DOCUMENT_SETS\ST-051-STD-01\03_Label.pdf" TargetMode="External"/><Relationship Id="rId1291" Type="http://schemas.openxmlformats.org/officeDocument/2006/relationships/hyperlink" Target="..\01_DOCUMENT_SETS\ST-060-EUR-02\02_EU_DoC.docx" TargetMode="External"/><Relationship Id="rId1389" Type="http://schemas.openxmlformats.org/officeDocument/2006/relationships/hyperlink" Target="..\01_DOCUMENT_SETS\ST-063-STD-05\03_Label.docx" TargetMode="External"/><Relationship Id="rId1596" Type="http://schemas.openxmlformats.org/officeDocument/2006/relationships/hyperlink" Target="..\01_DOCUMENT_SETS\ST-068-STD-07\02_EU_DoC.pdf" TargetMode="External"/><Relationship Id="rId2135" Type="http://schemas.openxmlformats.org/officeDocument/2006/relationships/hyperlink" Target="..\01_DOCUMENT_SETS\ST-096-EUR-03\04_Shipment_Statement.docx" TargetMode="External"/><Relationship Id="rId314" Type="http://schemas.openxmlformats.org/officeDocument/2006/relationships/hyperlink" Target="..\01_DOCUMENT_SETS\ST-030-STD-06\01_Technical_File.pdf" TargetMode="External"/><Relationship Id="rId521" Type="http://schemas.openxmlformats.org/officeDocument/2006/relationships/hyperlink" Target="..\01_DOCUMENT_SETS\ST-036-STD-10\01_Technical_File.docx" TargetMode="External"/><Relationship Id="rId619" Type="http://schemas.openxmlformats.org/officeDocument/2006/relationships/hyperlink" Target="..\01_DOCUMENT_SETS\ST-042-STD-08\02_EU_DoC.docx" TargetMode="External"/><Relationship Id="rId1151" Type="http://schemas.openxmlformats.org/officeDocument/2006/relationships/hyperlink" Target="..\01_DOCUMENT_SETS\ST-054-STD-12\04_Shipment_Statement.docx" TargetMode="External"/><Relationship Id="rId1249" Type="http://schemas.openxmlformats.org/officeDocument/2006/relationships/hyperlink" Target="..\01_DOCUMENT_SETS\ST-057-STD-02\01_Technical_File.docx" TargetMode="External"/><Relationship Id="rId2202" Type="http://schemas.openxmlformats.org/officeDocument/2006/relationships/hyperlink" Target="..\01_DOCUMENT_SETS\ST-096-STD-02\01_Technical_File.pdf" TargetMode="External"/><Relationship Id="rId95" Type="http://schemas.openxmlformats.org/officeDocument/2006/relationships/hyperlink" Target="..\01_DOCUMENT_SETS\ST-021-EUR-02\04_Shipment_Statement.docx" TargetMode="External"/><Relationship Id="rId826" Type="http://schemas.openxmlformats.org/officeDocument/2006/relationships/hyperlink" Target="..\01_DOCUMENT_SETS\ST-048-EUR-09\01_Technical_File.pdf" TargetMode="External"/><Relationship Id="rId1011" Type="http://schemas.openxmlformats.org/officeDocument/2006/relationships/hyperlink" Target="..\01_DOCUMENT_SETS\ST-051-STD-07\02_EU_DoC.docx" TargetMode="External"/><Relationship Id="rId1109" Type="http://schemas.openxmlformats.org/officeDocument/2006/relationships/hyperlink" Target="..\01_DOCUMENT_SETS\ST-054-STD-07\03_Label.docx" TargetMode="External"/><Relationship Id="rId1456" Type="http://schemas.openxmlformats.org/officeDocument/2006/relationships/hyperlink" Target="..\01_DOCUMENT_SETS\ST-063-STD-13\04_Shipment_Statement.pdf" TargetMode="External"/><Relationship Id="rId1663" Type="http://schemas.openxmlformats.org/officeDocument/2006/relationships/hyperlink" Target="..\01_DOCUMENT_SETS\ST-072-STD-01\04_Shipment_Statement.docx" TargetMode="External"/><Relationship Id="rId1870" Type="http://schemas.openxmlformats.org/officeDocument/2006/relationships/hyperlink" Target="..\01_DOCUMENT_SETS\ST-072-STD-27\03_Label.pdf" TargetMode="External"/><Relationship Id="rId1968" Type="http://schemas.openxmlformats.org/officeDocument/2006/relationships/hyperlink" Target="..\01_DOCUMENT_SETS\ST-081-STD-01\04_Shipment_Statement.pdf" TargetMode="External"/><Relationship Id="rId1316" Type="http://schemas.openxmlformats.org/officeDocument/2006/relationships/hyperlink" Target="..\01_DOCUMENT_SETS\ST-060-STD-03\02_EU_DoC.pdf" TargetMode="External"/><Relationship Id="rId1523" Type="http://schemas.openxmlformats.org/officeDocument/2006/relationships/hyperlink" Target="..\01_DOCUMENT_SETS\ST-068-EUR-02\02_EU_DoC.docx" TargetMode="External"/><Relationship Id="rId1730" Type="http://schemas.openxmlformats.org/officeDocument/2006/relationships/hyperlink" Target="..\01_DOCUMENT_SETS\ST-072-STD-10\01_Technical_File.pdf" TargetMode="External"/><Relationship Id="rId22" Type="http://schemas.openxmlformats.org/officeDocument/2006/relationships/hyperlink" Target="..\01_DOCUMENT_SETS\ST-012-EUR-03\03_Label.pdf" TargetMode="External"/><Relationship Id="rId1828" Type="http://schemas.openxmlformats.org/officeDocument/2006/relationships/hyperlink" Target="..\01_DOCUMENT_SETS\ST-072-STD-22\02_EU_DoC.pdf" TargetMode="External"/><Relationship Id="rId171" Type="http://schemas.openxmlformats.org/officeDocument/2006/relationships/hyperlink" Target="..\01_DOCUMENT_SETS\ST-021-STD-07\02_EU_DoC.docx" TargetMode="External"/><Relationship Id="rId2297" Type="http://schemas.openxmlformats.org/officeDocument/2006/relationships/drawing" Target="../drawings/drawing8.xml"/><Relationship Id="rId269" Type="http://schemas.openxmlformats.org/officeDocument/2006/relationships/hyperlink" Target="..\01_DOCUMENT_SETS\ST-028-STD-01\03_Label.docx" TargetMode="External"/><Relationship Id="rId476" Type="http://schemas.openxmlformats.org/officeDocument/2006/relationships/hyperlink" Target="..\01_DOCUMENT_SETS\ST-036-STD-04\02_EU_DoC.pdf" TargetMode="External"/><Relationship Id="rId683" Type="http://schemas.openxmlformats.org/officeDocument/2006/relationships/hyperlink" Target="..\01_DOCUMENT_SETS\ST-045-STD-05\02_EU_DoC.docx" TargetMode="External"/><Relationship Id="rId890" Type="http://schemas.openxmlformats.org/officeDocument/2006/relationships/hyperlink" Target="..\01_DOCUMENT_SETS\ST-048-STD-05\01_Technical_File.pdf" TargetMode="External"/><Relationship Id="rId2157" Type="http://schemas.openxmlformats.org/officeDocument/2006/relationships/hyperlink" Target="..\01_DOCUMENT_SETS\ST-096-EUR-06\03_Label.docx" TargetMode="External"/><Relationship Id="rId129" Type="http://schemas.openxmlformats.org/officeDocument/2006/relationships/hyperlink" Target="..\01_DOCUMENT_SETS\ST-021-STD-02\01_Technical_File.docx" TargetMode="External"/><Relationship Id="rId336" Type="http://schemas.openxmlformats.org/officeDocument/2006/relationships/hyperlink" Target="..\01_DOCUMENT_SETS\ST-030-STD-08\04_Shipment_Statement.pdf" TargetMode="External"/><Relationship Id="rId543" Type="http://schemas.openxmlformats.org/officeDocument/2006/relationships/hyperlink" Target="..\01_DOCUMENT_SETS\ST-042-EUR-02\04_Shipment_Statement.docx" TargetMode="External"/><Relationship Id="rId988" Type="http://schemas.openxmlformats.org/officeDocument/2006/relationships/hyperlink" Target="..\01_DOCUMENT_SETS\ST-051-STD-04\02_EU_DoC.pdf" TargetMode="External"/><Relationship Id="rId1173" Type="http://schemas.openxmlformats.org/officeDocument/2006/relationships/hyperlink" Target="..\01_DOCUMENT_SETS\ST-056-EUR-03\03_Label.docx" TargetMode="External"/><Relationship Id="rId1380" Type="http://schemas.openxmlformats.org/officeDocument/2006/relationships/hyperlink" Target="..\01_DOCUMENT_SETS\ST-063-STD-04\02_EU_DoC.pdf" TargetMode="External"/><Relationship Id="rId2017" Type="http://schemas.openxmlformats.org/officeDocument/2006/relationships/hyperlink" Target="..\01_DOCUMENT_SETS\ST-087-STD-06\01_Technical_File.docx" TargetMode="External"/><Relationship Id="rId2224" Type="http://schemas.openxmlformats.org/officeDocument/2006/relationships/hyperlink" Target="..\01_DOCUMENT_SETS\ST-096-STD-04\04_Shipment_Statement.pdf" TargetMode="External"/><Relationship Id="rId403" Type="http://schemas.openxmlformats.org/officeDocument/2006/relationships/hyperlink" Target="..\01_DOCUMENT_SETS\ST-036-EUR-02\02_EU_DoC.docx" TargetMode="External"/><Relationship Id="rId750" Type="http://schemas.openxmlformats.org/officeDocument/2006/relationships/hyperlink" Target="..\01_DOCUMENT_SETS\ST-045-STD-13\03_Label.pdf" TargetMode="External"/><Relationship Id="rId848" Type="http://schemas.openxmlformats.org/officeDocument/2006/relationships/hyperlink" Target="..\01_DOCUMENT_SETS\ST-048-EUR-11\04_Shipment_Statement.pdf" TargetMode="External"/><Relationship Id="rId1033" Type="http://schemas.openxmlformats.org/officeDocument/2006/relationships/hyperlink" Target="..\01_DOCUMENT_SETS\ST-051-STD-10\01_Technical_File.docx" TargetMode="External"/><Relationship Id="rId1478" Type="http://schemas.openxmlformats.org/officeDocument/2006/relationships/hyperlink" Target="..\01_DOCUMENT_SETS\ST-063-STD-16\03_Label.pdf" TargetMode="External"/><Relationship Id="rId1685" Type="http://schemas.openxmlformats.org/officeDocument/2006/relationships/hyperlink" Target="..\01_DOCUMENT_SETS\ST-072-STD-04\03_Label.docx" TargetMode="External"/><Relationship Id="rId1892" Type="http://schemas.openxmlformats.org/officeDocument/2006/relationships/hyperlink" Target="..\01_DOCUMENT_SETS\ST-076-EUR-02\02_EU_DoC.pdf" TargetMode="External"/><Relationship Id="rId610" Type="http://schemas.openxmlformats.org/officeDocument/2006/relationships/hyperlink" Target="..\01_DOCUMENT_SETS\ST-042-STD-07\01_Technical_File.pdf" TargetMode="External"/><Relationship Id="rId708" Type="http://schemas.openxmlformats.org/officeDocument/2006/relationships/hyperlink" Target="..\01_DOCUMENT_SETS\ST-045-STD-08\02_EU_DoC.pdf" TargetMode="External"/><Relationship Id="rId915" Type="http://schemas.openxmlformats.org/officeDocument/2006/relationships/hyperlink" Target="..\01_DOCUMENT_SETS\ST-048-STD-08\02_EU_DoC.docx" TargetMode="External"/><Relationship Id="rId1240" Type="http://schemas.openxmlformats.org/officeDocument/2006/relationships/hyperlink" Target="..\01_DOCUMENT_SETS\ST-057-EUR-05\04_Shipment_Statement.pdf" TargetMode="External"/><Relationship Id="rId1338" Type="http://schemas.openxmlformats.org/officeDocument/2006/relationships/hyperlink" Target="..\01_DOCUMENT_SETS\ST-063-EUR-01\01_Technical_File.pdf" TargetMode="External"/><Relationship Id="rId1545" Type="http://schemas.openxmlformats.org/officeDocument/2006/relationships/hyperlink" Target="..\01_DOCUMENT_SETS\ST-068-STD-01\01_Technical_File.docx" TargetMode="External"/><Relationship Id="rId1100" Type="http://schemas.openxmlformats.org/officeDocument/2006/relationships/hyperlink" Target="..\01_DOCUMENT_SETS\ST-054-STD-06\02_EU_DoC.pdf" TargetMode="External"/><Relationship Id="rId1405" Type="http://schemas.openxmlformats.org/officeDocument/2006/relationships/hyperlink" Target="..\01_DOCUMENT_SETS\ST-063-STD-07\03_Label.docx" TargetMode="External"/><Relationship Id="rId1752" Type="http://schemas.openxmlformats.org/officeDocument/2006/relationships/hyperlink" Target="..\01_DOCUMENT_SETS\ST-072-STD-12\04_Shipment_Statement.pdf" TargetMode="External"/><Relationship Id="rId44" Type="http://schemas.openxmlformats.org/officeDocument/2006/relationships/hyperlink" Target="..\01_DOCUMENT_SETS\ST-018-EUR-03\02_EU_DoC.pdf" TargetMode="External"/><Relationship Id="rId1612" Type="http://schemas.openxmlformats.org/officeDocument/2006/relationships/hyperlink" Target="..\01_DOCUMENT_SETS\ST-072-EUR-01\02_EU_DoC.pdf" TargetMode="External"/><Relationship Id="rId1917" Type="http://schemas.openxmlformats.org/officeDocument/2006/relationships/hyperlink" Target="..\01_DOCUMENT_SETS\ST-076-STD-01\03_Label.docx" TargetMode="External"/><Relationship Id="rId193" Type="http://schemas.openxmlformats.org/officeDocument/2006/relationships/hyperlink" Target="..\01_DOCUMENT_SETS\ST-024-EUR-02\01_Technical_File.docx" TargetMode="External"/><Relationship Id="rId498" Type="http://schemas.openxmlformats.org/officeDocument/2006/relationships/hyperlink" Target="..\01_DOCUMENT_SETS\ST-036-STD-07\01_Technical_File.pdf" TargetMode="External"/><Relationship Id="rId2081" Type="http://schemas.openxmlformats.org/officeDocument/2006/relationships/hyperlink" Target="..\01_DOCUMENT_SETS\ST-088-STD-07\01_Technical_File.docx" TargetMode="External"/><Relationship Id="rId2179" Type="http://schemas.openxmlformats.org/officeDocument/2006/relationships/hyperlink" Target="..\01_DOCUMENT_SETS\ST-096-EUR-09\02_EU_DoC.docx" TargetMode="External"/><Relationship Id="rId260" Type="http://schemas.openxmlformats.org/officeDocument/2006/relationships/hyperlink" Target="..\01_DOCUMENT_SETS\ST-027-STD90-02\02_EU_DoC.pdf" TargetMode="External"/><Relationship Id="rId120" Type="http://schemas.openxmlformats.org/officeDocument/2006/relationships/hyperlink" Target="..\01_DOCUMENT_SETS\ST-021-EUR-05\04_Shipment_Statement.pdf" TargetMode="External"/><Relationship Id="rId358" Type="http://schemas.openxmlformats.org/officeDocument/2006/relationships/hyperlink" Target="..\01_DOCUMENT_SETS\ST-030-STD-11\03_Label.pdf" TargetMode="External"/><Relationship Id="rId565" Type="http://schemas.openxmlformats.org/officeDocument/2006/relationships/hyperlink" Target="..\01_DOCUMENT_SETS\ST-042-STD-01\03_Label.docx" TargetMode="External"/><Relationship Id="rId772" Type="http://schemas.openxmlformats.org/officeDocument/2006/relationships/hyperlink" Target="..\01_DOCUMENT_SETS\ST-048-EUR-02\02_EU_DoC.pdf" TargetMode="External"/><Relationship Id="rId1195" Type="http://schemas.openxmlformats.org/officeDocument/2006/relationships/hyperlink" Target="..\01_DOCUMENT_SETS\ST-056-STD-02\02_EU_DoC.docx" TargetMode="External"/><Relationship Id="rId2039" Type="http://schemas.openxmlformats.org/officeDocument/2006/relationships/hyperlink" Target="..\01_DOCUMENT_SETS\ST-088-STD-01\04_Shipment_Statement.docx" TargetMode="External"/><Relationship Id="rId2246" Type="http://schemas.openxmlformats.org/officeDocument/2006/relationships/hyperlink" Target="..\01_DOCUMENT_SETS\ST-096-STD-07\03_Label.pdf" TargetMode="External"/><Relationship Id="rId218" Type="http://schemas.openxmlformats.org/officeDocument/2006/relationships/hyperlink" Target="..\01_DOCUMENT_SETS\ST-024-STD-01\01_Technical_File.pdf" TargetMode="External"/><Relationship Id="rId425" Type="http://schemas.openxmlformats.org/officeDocument/2006/relationships/hyperlink" Target="..\01_DOCUMENT_SETS\ST-036-EUR-05\01_Technical_File.docx" TargetMode="External"/><Relationship Id="rId632" Type="http://schemas.openxmlformats.org/officeDocument/2006/relationships/hyperlink" Target="..\01_DOCUMENT_SETS\ST-042-STD-09\04_Shipment_Statement.pdf" TargetMode="External"/><Relationship Id="rId1055" Type="http://schemas.openxmlformats.org/officeDocument/2006/relationships/hyperlink" Target="..\01_DOCUMENT_SETS\ST-054-EUR-01\04_Shipment_Statement.docx" TargetMode="External"/><Relationship Id="rId1262" Type="http://schemas.openxmlformats.org/officeDocument/2006/relationships/hyperlink" Target="..\01_DOCUMENT_SETS\ST-057-STD-03\03_Label.pdf" TargetMode="External"/><Relationship Id="rId2106" Type="http://schemas.openxmlformats.org/officeDocument/2006/relationships/hyperlink" Target="..\01_DOCUMENT_SETS\ST-090-STD-02\01_Technical_File.pdf" TargetMode="External"/><Relationship Id="rId937" Type="http://schemas.openxmlformats.org/officeDocument/2006/relationships/hyperlink" Target="..\01_DOCUMENT_SETS\ST-051-EUR-02\01_Technical_File.docx" TargetMode="External"/><Relationship Id="rId1122" Type="http://schemas.openxmlformats.org/officeDocument/2006/relationships/hyperlink" Target="..\01_DOCUMENT_SETS\ST-054-STD-09\01_Technical_File.pdf" TargetMode="External"/><Relationship Id="rId1567" Type="http://schemas.openxmlformats.org/officeDocument/2006/relationships/hyperlink" Target="..\01_DOCUMENT_SETS\ST-068-STD-03\04_Shipment_Statement.docx" TargetMode="External"/><Relationship Id="rId1774" Type="http://schemas.openxmlformats.org/officeDocument/2006/relationships/hyperlink" Target="..\01_DOCUMENT_SETS\ST-072-STD-15\03_Label.pdf" TargetMode="External"/><Relationship Id="rId1981" Type="http://schemas.openxmlformats.org/officeDocument/2006/relationships/hyperlink" Target="..\01_DOCUMENT_SETS\ST-087-STD-01\03_Label.docx" TargetMode="External"/><Relationship Id="rId66" Type="http://schemas.openxmlformats.org/officeDocument/2006/relationships/hyperlink" Target="..\01_DOCUMENT_SETS\ST-018-STD-01\01_Technical_File.pdf" TargetMode="External"/><Relationship Id="rId1427" Type="http://schemas.openxmlformats.org/officeDocument/2006/relationships/hyperlink" Target="..\01_DOCUMENT_SETS\ST-063-STD-10\02_EU_DoC.docx" TargetMode="External"/><Relationship Id="rId1634" Type="http://schemas.openxmlformats.org/officeDocument/2006/relationships/hyperlink" Target="..\01_DOCUMENT_SETS\ST-072-EUR-04\01_Technical_File.pdf" TargetMode="External"/><Relationship Id="rId1841" Type="http://schemas.openxmlformats.org/officeDocument/2006/relationships/hyperlink" Target="..\01_DOCUMENT_SETS\ST-072-STD-24\01_Technical_File.docx" TargetMode="External"/><Relationship Id="rId1939" Type="http://schemas.openxmlformats.org/officeDocument/2006/relationships/hyperlink" Target="..\01_DOCUMENT_SETS\ST-076-STD-04\02_EU_DoC.docx" TargetMode="External"/><Relationship Id="rId1701" Type="http://schemas.openxmlformats.org/officeDocument/2006/relationships/hyperlink" Target="..\01_DOCUMENT_SETS\ST-072-STD-06\03_Label.docx" TargetMode="External"/><Relationship Id="rId282" Type="http://schemas.openxmlformats.org/officeDocument/2006/relationships/hyperlink" Target="..\01_DOCUMENT_SETS\ST-030-STD-02\01_Technical_File.pdf" TargetMode="External"/><Relationship Id="rId587" Type="http://schemas.openxmlformats.org/officeDocument/2006/relationships/hyperlink" Target="..\01_DOCUMENT_SETS\ST-042-STD-04\02_EU_DoC.docx" TargetMode="External"/><Relationship Id="rId2170" Type="http://schemas.openxmlformats.org/officeDocument/2006/relationships/hyperlink" Target="..\01_DOCUMENT_SETS\ST-096-EUR-08\01_Technical_File.pdf" TargetMode="External"/><Relationship Id="rId2268" Type="http://schemas.openxmlformats.org/officeDocument/2006/relationships/hyperlink" Target="..\01_DOCUMENT_SETS\ST-105-STD-02\02_EU_DoC.pdf" TargetMode="External"/><Relationship Id="rId8" Type="http://schemas.openxmlformats.org/officeDocument/2006/relationships/hyperlink" Target="..\01_DOCUMENT_SETS\ST-012-EUR-01\04_Shipment_Statement.pdf" TargetMode="External"/><Relationship Id="rId142" Type="http://schemas.openxmlformats.org/officeDocument/2006/relationships/hyperlink" Target="..\01_DOCUMENT_SETS\ST-021-STD-03\03_Label.pdf" TargetMode="External"/><Relationship Id="rId447" Type="http://schemas.openxmlformats.org/officeDocument/2006/relationships/hyperlink" Target="..\01_DOCUMENT_SETS\ST-036-EUR-07\04_Shipment_Statement.docx" TargetMode="External"/><Relationship Id="rId794" Type="http://schemas.openxmlformats.org/officeDocument/2006/relationships/hyperlink" Target="..\01_DOCUMENT_SETS\ST-048-EUR-05\01_Technical_File.pdf" TargetMode="External"/><Relationship Id="rId1077" Type="http://schemas.openxmlformats.org/officeDocument/2006/relationships/hyperlink" Target="..\01_DOCUMENT_SETS\ST-054-STD-03\03_Label.docx" TargetMode="External"/><Relationship Id="rId2030" Type="http://schemas.openxmlformats.org/officeDocument/2006/relationships/hyperlink" Target="..\01_DOCUMENT_SETS\ST-087-STD-07\03_Label.pdf" TargetMode="External"/><Relationship Id="rId2128" Type="http://schemas.openxmlformats.org/officeDocument/2006/relationships/hyperlink" Target="..\01_DOCUMENT_SETS\ST-096-EUR-02\04_Shipment_Statement.pdf" TargetMode="External"/><Relationship Id="rId654" Type="http://schemas.openxmlformats.org/officeDocument/2006/relationships/hyperlink" Target="..\01_DOCUMENT_SETS\ST-045-STD-01\03_Label.pdf" TargetMode="External"/><Relationship Id="rId861" Type="http://schemas.openxmlformats.org/officeDocument/2006/relationships/hyperlink" Target="..\01_DOCUMENT_SETS\ST-048-STD-01\03_Label.docx" TargetMode="External"/><Relationship Id="rId959" Type="http://schemas.openxmlformats.org/officeDocument/2006/relationships/hyperlink" Target="..\01_DOCUMENT_SETS\ST-051-EUR-04\04_Shipment_Statement.docx" TargetMode="External"/><Relationship Id="rId1284" Type="http://schemas.openxmlformats.org/officeDocument/2006/relationships/hyperlink" Target="..\01_DOCUMENT_SETS\ST-060-EUR-01\02_EU_DoC.pdf" TargetMode="External"/><Relationship Id="rId1491" Type="http://schemas.openxmlformats.org/officeDocument/2006/relationships/hyperlink" Target="..\01_DOCUMENT_SETS\ST-066-STD-01\02_EU_DoC.docx" TargetMode="External"/><Relationship Id="rId1589" Type="http://schemas.openxmlformats.org/officeDocument/2006/relationships/hyperlink" Target="..\01_DOCUMENT_SETS\ST-068-STD-06\03_Label.docx" TargetMode="External"/><Relationship Id="rId307" Type="http://schemas.openxmlformats.org/officeDocument/2006/relationships/hyperlink" Target="..\01_DOCUMENT_SETS\ST-030-STD-05\02_EU_DoC.docx" TargetMode="External"/><Relationship Id="rId514" Type="http://schemas.openxmlformats.org/officeDocument/2006/relationships/hyperlink" Target="..\01_DOCUMENT_SETS\ST-036-STD-09\01_Technical_File.pdf" TargetMode="External"/><Relationship Id="rId721" Type="http://schemas.openxmlformats.org/officeDocument/2006/relationships/hyperlink" Target="..\01_DOCUMENT_SETS\ST-045-STD-10\01_Technical_File.docx" TargetMode="External"/><Relationship Id="rId1144" Type="http://schemas.openxmlformats.org/officeDocument/2006/relationships/hyperlink" Target="..\01_DOCUMENT_SETS\ST-054-STD-11\04_Shipment_Statement.pdf" TargetMode="External"/><Relationship Id="rId1351" Type="http://schemas.openxmlformats.org/officeDocument/2006/relationships/hyperlink" Target="..\01_DOCUMENT_SETS\ST-063-EUR-02\04_Shipment_Statement.docx" TargetMode="External"/><Relationship Id="rId1449" Type="http://schemas.openxmlformats.org/officeDocument/2006/relationships/hyperlink" Target="..\01_DOCUMENT_SETS\ST-063-STD-13\01_Technical_File.docx" TargetMode="External"/><Relationship Id="rId1796" Type="http://schemas.openxmlformats.org/officeDocument/2006/relationships/hyperlink" Target="..\01_DOCUMENT_SETS\ST-072-STD-18\02_EU_DoC.pdf" TargetMode="External"/><Relationship Id="rId88" Type="http://schemas.openxmlformats.org/officeDocument/2006/relationships/hyperlink" Target="..\01_DOCUMENT_SETS\ST-021-EUR-01\04_Shipment_Statement.pdf" TargetMode="External"/><Relationship Id="rId819" Type="http://schemas.openxmlformats.org/officeDocument/2006/relationships/hyperlink" Target="..\01_DOCUMENT_SETS\ST-048-EUR-08\02_EU_DoC.docx" TargetMode="External"/><Relationship Id="rId1004" Type="http://schemas.openxmlformats.org/officeDocument/2006/relationships/hyperlink" Target="..\01_DOCUMENT_SETS\ST-051-STD-06\02_EU_DoC.pdf" TargetMode="External"/><Relationship Id="rId1211" Type="http://schemas.openxmlformats.org/officeDocument/2006/relationships/hyperlink" Target="..\01_DOCUMENT_SETS\ST-057-EUR-02\02_EU_DoC.docx" TargetMode="External"/><Relationship Id="rId1656" Type="http://schemas.openxmlformats.org/officeDocument/2006/relationships/hyperlink" Target="..\01_DOCUMENT_SETS\ST-072-EUR-06\04_Shipment_Statement.pdf" TargetMode="External"/><Relationship Id="rId1863" Type="http://schemas.openxmlformats.org/officeDocument/2006/relationships/hyperlink" Target="..\01_DOCUMENT_SETS\ST-072-STD-26\04_Shipment_Statement.docx" TargetMode="External"/><Relationship Id="rId1309" Type="http://schemas.openxmlformats.org/officeDocument/2006/relationships/hyperlink" Target="..\01_DOCUMENT_SETS\ST-060-STD-02\03_Label.docx" TargetMode="External"/><Relationship Id="rId1516" Type="http://schemas.openxmlformats.org/officeDocument/2006/relationships/hyperlink" Target="..\01_DOCUMENT_SETS\ST-068-EUR-01\02_EU_DoC.pdf" TargetMode="External"/><Relationship Id="rId1723" Type="http://schemas.openxmlformats.org/officeDocument/2006/relationships/hyperlink" Target="..\01_DOCUMENT_SETS\ST-072-STD-09\02_EU_DoC.docx" TargetMode="External"/><Relationship Id="rId1930" Type="http://schemas.openxmlformats.org/officeDocument/2006/relationships/hyperlink" Target="..\01_DOCUMENT_SETS\ST-076-STD-03\01_Technical_File.pdf" TargetMode="External"/><Relationship Id="rId15" Type="http://schemas.openxmlformats.org/officeDocument/2006/relationships/hyperlink" Target="..\01_DOCUMENT_SETS\ST-012-EUR-02\04_Shipment_Statement.docx" TargetMode="External"/><Relationship Id="rId2192" Type="http://schemas.openxmlformats.org/officeDocument/2006/relationships/hyperlink" Target="..\01_DOCUMENT_SETS\ST-096-EUR-10\04_Shipment_Statement.pdf" TargetMode="External"/><Relationship Id="rId164" Type="http://schemas.openxmlformats.org/officeDocument/2006/relationships/hyperlink" Target="..\01_DOCUMENT_SETS\ST-021-STD-06\02_EU_DoC.pdf" TargetMode="External"/><Relationship Id="rId371" Type="http://schemas.openxmlformats.org/officeDocument/2006/relationships/hyperlink" Target="..\01_DOCUMENT_SETS\ST-033-EUR-01\02_EU_DoC.docx" TargetMode="External"/><Relationship Id="rId2052" Type="http://schemas.openxmlformats.org/officeDocument/2006/relationships/hyperlink" Target="..\01_DOCUMENT_SETS\ST-088-STD-03\02_EU_DoC.pdf" TargetMode="External"/><Relationship Id="rId469" Type="http://schemas.openxmlformats.org/officeDocument/2006/relationships/hyperlink" Target="..\01_DOCUMENT_SETS\ST-036-STD-03\03_Label.docx" TargetMode="External"/><Relationship Id="rId676" Type="http://schemas.openxmlformats.org/officeDocument/2006/relationships/hyperlink" Target="..\01_DOCUMENT_SETS\ST-045-STD-04\02_EU_DoC.pdf" TargetMode="External"/><Relationship Id="rId883" Type="http://schemas.openxmlformats.org/officeDocument/2006/relationships/hyperlink" Target="..\01_DOCUMENT_SETS\ST-048-STD-04\02_EU_DoC.docx" TargetMode="External"/><Relationship Id="rId1099" Type="http://schemas.openxmlformats.org/officeDocument/2006/relationships/hyperlink" Target="..\01_DOCUMENT_SETS\ST-054-STD-06\02_EU_DoC.docx" TargetMode="External"/><Relationship Id="rId231" Type="http://schemas.openxmlformats.org/officeDocument/2006/relationships/hyperlink" Target="..\01_DOCUMENT_SETS\ST-024-STD-02\04_Shipment_Statement.docx" TargetMode="External"/><Relationship Id="rId329" Type="http://schemas.openxmlformats.org/officeDocument/2006/relationships/hyperlink" Target="..\01_DOCUMENT_SETS\ST-030-STD-08\01_Technical_File.docx" TargetMode="External"/><Relationship Id="rId536" Type="http://schemas.openxmlformats.org/officeDocument/2006/relationships/hyperlink" Target="..\01_DOCUMENT_SETS\ST-042-EUR-01\04_Shipment_Statement.pdf" TargetMode="External"/><Relationship Id="rId1166" Type="http://schemas.openxmlformats.org/officeDocument/2006/relationships/hyperlink" Target="..\01_DOCUMENT_SETS\ST-056-EUR-02\03_Label.pdf" TargetMode="External"/><Relationship Id="rId1373" Type="http://schemas.openxmlformats.org/officeDocument/2006/relationships/hyperlink" Target="..\01_DOCUMENT_SETS\ST-063-STD-03\03_Label.docx" TargetMode="External"/><Relationship Id="rId2217" Type="http://schemas.openxmlformats.org/officeDocument/2006/relationships/hyperlink" Target="..\01_DOCUMENT_SETS\ST-096-STD-04\01_Technical_File.docx" TargetMode="External"/><Relationship Id="rId743" Type="http://schemas.openxmlformats.org/officeDocument/2006/relationships/hyperlink" Target="..\01_DOCUMENT_SETS\ST-045-STD-12\04_Shipment_Statement.docx" TargetMode="External"/><Relationship Id="rId950" Type="http://schemas.openxmlformats.org/officeDocument/2006/relationships/hyperlink" Target="..\01_DOCUMENT_SETS\ST-051-EUR-03\03_Label.pdf" TargetMode="External"/><Relationship Id="rId1026" Type="http://schemas.openxmlformats.org/officeDocument/2006/relationships/hyperlink" Target="..\01_DOCUMENT_SETS\ST-051-STD-09\01_Technical_File.pdf" TargetMode="External"/><Relationship Id="rId1580" Type="http://schemas.openxmlformats.org/officeDocument/2006/relationships/hyperlink" Target="..\01_DOCUMENT_SETS\ST-068-STD-05\02_EU_DoC.pdf" TargetMode="External"/><Relationship Id="rId1678" Type="http://schemas.openxmlformats.org/officeDocument/2006/relationships/hyperlink" Target="..\01_DOCUMENT_SETS\ST-072-STD-03\03_Label.pdf" TargetMode="External"/><Relationship Id="rId1885" Type="http://schemas.openxmlformats.org/officeDocument/2006/relationships/hyperlink" Target="..\01_DOCUMENT_SETS\ST-076-EUR-01\03_Label.docx" TargetMode="External"/><Relationship Id="rId603" Type="http://schemas.openxmlformats.org/officeDocument/2006/relationships/hyperlink" Target="..\01_DOCUMENT_SETS\ST-042-STD-06\02_EU_DoC.docx" TargetMode="External"/><Relationship Id="rId810" Type="http://schemas.openxmlformats.org/officeDocument/2006/relationships/hyperlink" Target="..\01_DOCUMENT_SETS\ST-048-EUR-07\01_Technical_File.pdf" TargetMode="External"/><Relationship Id="rId908" Type="http://schemas.openxmlformats.org/officeDocument/2006/relationships/hyperlink" Target="..\01_DOCUMENT_SETS\ST-048-STD-07\02_EU_DoC.pdf" TargetMode="External"/><Relationship Id="rId1233" Type="http://schemas.openxmlformats.org/officeDocument/2006/relationships/hyperlink" Target="..\01_DOCUMENT_SETS\ST-057-EUR-05\01_Technical_File.docx" TargetMode="External"/><Relationship Id="rId1440" Type="http://schemas.openxmlformats.org/officeDocument/2006/relationships/hyperlink" Target="..\01_DOCUMENT_SETS\ST-063-STD-11\04_Shipment_Statement.pdf" TargetMode="External"/><Relationship Id="rId1538" Type="http://schemas.openxmlformats.org/officeDocument/2006/relationships/hyperlink" Target="..\01_DOCUMENT_SETS\ST-068-EUR-04\01_Technical_File.pdf" TargetMode="External"/><Relationship Id="rId1300" Type="http://schemas.openxmlformats.org/officeDocument/2006/relationships/hyperlink" Target="..\01_DOCUMENT_SETS\ST-060-STD-01\02_EU_DoC.pdf" TargetMode="External"/><Relationship Id="rId1745" Type="http://schemas.openxmlformats.org/officeDocument/2006/relationships/hyperlink" Target="..\01_DOCUMENT_SETS\ST-072-STD-12\01_Technical_File.docx" TargetMode="External"/><Relationship Id="rId1952" Type="http://schemas.openxmlformats.org/officeDocument/2006/relationships/hyperlink" Target="..\01_DOCUMENT_SETS\ST-080-EUR-01\04_Shipment_Statement.pdf" TargetMode="External"/><Relationship Id="rId37" Type="http://schemas.openxmlformats.org/officeDocument/2006/relationships/hyperlink" Target="..\01_DOCUMENT_SETS\ST-018-EUR-02\03_Label.docx" TargetMode="External"/><Relationship Id="rId1605" Type="http://schemas.openxmlformats.org/officeDocument/2006/relationships/hyperlink" Target="..\01_DOCUMENT_SETS\ST-068-STD-08\03_Label.docx" TargetMode="External"/><Relationship Id="rId1812" Type="http://schemas.openxmlformats.org/officeDocument/2006/relationships/hyperlink" Target="..\01_DOCUMENT_SETS\ST-072-STD-20\02_EU_DoC.pdf" TargetMode="External"/><Relationship Id="rId186" Type="http://schemas.openxmlformats.org/officeDocument/2006/relationships/hyperlink" Target="..\01_DOCUMENT_SETS\ST-024-EUR-01\01_Technical_File.pdf" TargetMode="External"/><Relationship Id="rId393" Type="http://schemas.openxmlformats.org/officeDocument/2006/relationships/hyperlink" Target="..\01_DOCUMENT_SETS\ST-036-EUR-01\01_Technical_File.docx" TargetMode="External"/><Relationship Id="rId2074" Type="http://schemas.openxmlformats.org/officeDocument/2006/relationships/hyperlink" Target="..\01_DOCUMENT_SETS\ST-088-STD-06\01_Technical_File.pdf" TargetMode="External"/><Relationship Id="rId2281" Type="http://schemas.openxmlformats.org/officeDocument/2006/relationships/hyperlink" Target="..\01_DOCUMENT_SETS\ST-120-STD-02\01_Technical_File.docx" TargetMode="External"/><Relationship Id="rId253" Type="http://schemas.openxmlformats.org/officeDocument/2006/relationships/hyperlink" Target="..\01_DOCUMENT_SETS\ST-027-STD90-01\03_Label.docx" TargetMode="External"/><Relationship Id="rId460" Type="http://schemas.openxmlformats.org/officeDocument/2006/relationships/hyperlink" Target="..\01_DOCUMENT_SETS\ST-036-STD-02\02_EU_DoC.pdf" TargetMode="External"/><Relationship Id="rId698" Type="http://schemas.openxmlformats.org/officeDocument/2006/relationships/hyperlink" Target="..\01_DOCUMENT_SETS\ST-045-STD-07\01_Technical_File.pdf" TargetMode="External"/><Relationship Id="rId1090" Type="http://schemas.openxmlformats.org/officeDocument/2006/relationships/hyperlink" Target="..\01_DOCUMENT_SETS\ST-054-STD-05\01_Technical_File.pdf" TargetMode="External"/><Relationship Id="rId2141" Type="http://schemas.openxmlformats.org/officeDocument/2006/relationships/hyperlink" Target="..\01_DOCUMENT_SETS\ST-096-EUR-04\03_Label.docx" TargetMode="External"/><Relationship Id="rId113" Type="http://schemas.openxmlformats.org/officeDocument/2006/relationships/hyperlink" Target="..\01_DOCUMENT_SETS\ST-021-EUR-05\01_Technical_File.docx" TargetMode="External"/><Relationship Id="rId320" Type="http://schemas.openxmlformats.org/officeDocument/2006/relationships/hyperlink" Target="..\01_DOCUMENT_SETS\ST-030-STD-06\04_Shipment_Statement.pdf" TargetMode="External"/><Relationship Id="rId558" Type="http://schemas.openxmlformats.org/officeDocument/2006/relationships/hyperlink" Target="..\01_DOCUMENT_SETS\ST-042-EUR-04\03_Label.pdf" TargetMode="External"/><Relationship Id="rId765" Type="http://schemas.openxmlformats.org/officeDocument/2006/relationships/hyperlink" Target="..\01_DOCUMENT_SETS\ST-048-EUR-01\03_Label.docx" TargetMode="External"/><Relationship Id="rId972" Type="http://schemas.openxmlformats.org/officeDocument/2006/relationships/hyperlink" Target="..\01_DOCUMENT_SETS\ST-051-STD-02\02_EU_DoC.pdf" TargetMode="External"/><Relationship Id="rId1188" Type="http://schemas.openxmlformats.org/officeDocument/2006/relationships/hyperlink" Target="..\01_DOCUMENT_SETS\ST-056-STD-01\02_EU_DoC.pdf" TargetMode="External"/><Relationship Id="rId1395" Type="http://schemas.openxmlformats.org/officeDocument/2006/relationships/hyperlink" Target="..\01_DOCUMENT_SETS\ST-063-STD-06\02_EU_DoC.docx" TargetMode="External"/><Relationship Id="rId2001" Type="http://schemas.openxmlformats.org/officeDocument/2006/relationships/hyperlink" Target="..\01_DOCUMENT_SETS\ST-087-STD-04\01_Technical_File.docx" TargetMode="External"/><Relationship Id="rId2239" Type="http://schemas.openxmlformats.org/officeDocument/2006/relationships/hyperlink" Target="..\01_DOCUMENT_SETS\ST-096-STD-06\04_Shipment_Statement.docx" TargetMode="External"/><Relationship Id="rId418" Type="http://schemas.openxmlformats.org/officeDocument/2006/relationships/hyperlink" Target="..\01_DOCUMENT_SETS\ST-036-EUR-04\01_Technical_File.pdf" TargetMode="External"/><Relationship Id="rId625" Type="http://schemas.openxmlformats.org/officeDocument/2006/relationships/hyperlink" Target="..\01_DOCUMENT_SETS\ST-042-STD-09\01_Technical_File.docx" TargetMode="External"/><Relationship Id="rId832" Type="http://schemas.openxmlformats.org/officeDocument/2006/relationships/hyperlink" Target="..\01_DOCUMENT_SETS\ST-048-EUR-09\04_Shipment_Statement.pdf" TargetMode="External"/><Relationship Id="rId1048" Type="http://schemas.openxmlformats.org/officeDocument/2006/relationships/hyperlink" Target="..\01_DOCUMENT_SETS\ST-051-STD-11\04_Shipment_Statement.pdf" TargetMode="External"/><Relationship Id="rId1255" Type="http://schemas.openxmlformats.org/officeDocument/2006/relationships/hyperlink" Target="..\01_DOCUMENT_SETS\ST-057-STD-02\04_Shipment_Statement.docx" TargetMode="External"/><Relationship Id="rId1462" Type="http://schemas.openxmlformats.org/officeDocument/2006/relationships/hyperlink" Target="..\01_DOCUMENT_SETS\ST-063-STD-14\03_Label.pdf" TargetMode="External"/><Relationship Id="rId1115" Type="http://schemas.openxmlformats.org/officeDocument/2006/relationships/hyperlink" Target="..\01_DOCUMENT_SETS\ST-054-STD-08\02_EU_DoC.docx" TargetMode="External"/><Relationship Id="rId1322" Type="http://schemas.openxmlformats.org/officeDocument/2006/relationships/hyperlink" Target="..\01_DOCUMENT_SETS\ST-060-STD-04\01_Technical_File.pdf" TargetMode="External"/><Relationship Id="rId1767" Type="http://schemas.openxmlformats.org/officeDocument/2006/relationships/hyperlink" Target="..\01_DOCUMENT_SETS\ST-072-STD-14\04_Shipment_Statement.docx" TargetMode="External"/><Relationship Id="rId1974" Type="http://schemas.openxmlformats.org/officeDocument/2006/relationships/hyperlink" Target="..\01_DOCUMENT_SETS\ST-087-EUR-01\03_Label.pdf" TargetMode="External"/><Relationship Id="rId59" Type="http://schemas.openxmlformats.org/officeDocument/2006/relationships/hyperlink" Target="..\01_DOCUMENT_SETS\ST-018-EUR-05\02_EU_DoC.docx" TargetMode="External"/><Relationship Id="rId1627" Type="http://schemas.openxmlformats.org/officeDocument/2006/relationships/hyperlink" Target="..\01_DOCUMENT_SETS\ST-072-EUR-03\02_EU_DoC.docx" TargetMode="External"/><Relationship Id="rId1834" Type="http://schemas.openxmlformats.org/officeDocument/2006/relationships/hyperlink" Target="..\01_DOCUMENT_SETS\ST-072-STD-23\01_Technical_File.pdf" TargetMode="External"/><Relationship Id="rId2096" Type="http://schemas.openxmlformats.org/officeDocument/2006/relationships/hyperlink" Target="..\01_DOCUMENT_SETS\ST-088-STD-08\04_Shipment_Statement.pdf" TargetMode="External"/><Relationship Id="rId1901" Type="http://schemas.openxmlformats.org/officeDocument/2006/relationships/hyperlink" Target="..\01_DOCUMENT_SETS\ST-076-EUR-03\03_Label.docx" TargetMode="External"/><Relationship Id="rId275" Type="http://schemas.openxmlformats.org/officeDocument/2006/relationships/hyperlink" Target="..\01_DOCUMENT_SETS\ST-030-STD-01\02_EU_DoC.docx" TargetMode="External"/><Relationship Id="rId482" Type="http://schemas.openxmlformats.org/officeDocument/2006/relationships/hyperlink" Target="..\01_DOCUMENT_SETS\ST-036-STD-05\01_Technical_File.pdf" TargetMode="External"/><Relationship Id="rId2163" Type="http://schemas.openxmlformats.org/officeDocument/2006/relationships/hyperlink" Target="..\01_DOCUMENT_SETS\ST-096-EUR-07\02_EU_DoC.docx" TargetMode="External"/><Relationship Id="rId135" Type="http://schemas.openxmlformats.org/officeDocument/2006/relationships/hyperlink" Target="..\01_DOCUMENT_SETS\ST-021-STD-02\04_Shipment_Statement.docx" TargetMode="External"/><Relationship Id="rId342" Type="http://schemas.openxmlformats.org/officeDocument/2006/relationships/hyperlink" Target="..\01_DOCUMENT_SETS\ST-030-STD-09\03_Label.pdf" TargetMode="External"/><Relationship Id="rId787" Type="http://schemas.openxmlformats.org/officeDocument/2006/relationships/hyperlink" Target="..\01_DOCUMENT_SETS\ST-048-EUR-04\02_EU_DoC.docx" TargetMode="External"/><Relationship Id="rId994" Type="http://schemas.openxmlformats.org/officeDocument/2006/relationships/hyperlink" Target="..\01_DOCUMENT_SETS\ST-051-STD-05\01_Technical_File.pdf" TargetMode="External"/><Relationship Id="rId2023" Type="http://schemas.openxmlformats.org/officeDocument/2006/relationships/hyperlink" Target="..\01_DOCUMENT_SETS\ST-087-STD-06\04_Shipment_Statement.docx" TargetMode="External"/><Relationship Id="rId2230" Type="http://schemas.openxmlformats.org/officeDocument/2006/relationships/hyperlink" Target="..\01_DOCUMENT_SETS\ST-096-STD-05\03_Label.pdf" TargetMode="External"/><Relationship Id="rId202" Type="http://schemas.openxmlformats.org/officeDocument/2006/relationships/hyperlink" Target="..\01_DOCUMENT_SETS\ST-024-EUR-03\01_Technical_File.pdf" TargetMode="External"/><Relationship Id="rId647" Type="http://schemas.openxmlformats.org/officeDocument/2006/relationships/hyperlink" Target="..\01_DOCUMENT_SETS\ST-045-EUR-01\04_Shipment_Statement.docx" TargetMode="External"/><Relationship Id="rId854" Type="http://schemas.openxmlformats.org/officeDocument/2006/relationships/hyperlink" Target="..\01_DOCUMENT_SETS\ST-048-EUR-12\03_Label.pdf" TargetMode="External"/><Relationship Id="rId1277" Type="http://schemas.openxmlformats.org/officeDocument/2006/relationships/hyperlink" Target="..\01_DOCUMENT_SETS\ST-057-STD-05\03_Label.docx" TargetMode="External"/><Relationship Id="rId1484" Type="http://schemas.openxmlformats.org/officeDocument/2006/relationships/hyperlink" Target="..\01_DOCUMENT_SETS\ST-064-EUR-01\02_EU_DoC.pdf" TargetMode="External"/><Relationship Id="rId1691" Type="http://schemas.openxmlformats.org/officeDocument/2006/relationships/hyperlink" Target="..\01_DOCUMENT_SETS\ST-072-STD-05\02_EU_DoC.docx" TargetMode="External"/><Relationship Id="rId507" Type="http://schemas.openxmlformats.org/officeDocument/2006/relationships/hyperlink" Target="..\01_DOCUMENT_SETS\ST-036-STD-08\02_EU_DoC.docx" TargetMode="External"/><Relationship Id="rId714" Type="http://schemas.openxmlformats.org/officeDocument/2006/relationships/hyperlink" Target="..\01_DOCUMENT_SETS\ST-045-STD-09\01_Technical_File.pdf" TargetMode="External"/><Relationship Id="rId921" Type="http://schemas.openxmlformats.org/officeDocument/2006/relationships/hyperlink" Target="..\01_DOCUMENT_SETS\ST-048-STD-09\01_Technical_File.docx" TargetMode="External"/><Relationship Id="rId1137" Type="http://schemas.openxmlformats.org/officeDocument/2006/relationships/hyperlink" Target="..\01_DOCUMENT_SETS\ST-054-STD-11\01_Technical_File.docx" TargetMode="External"/><Relationship Id="rId1344" Type="http://schemas.openxmlformats.org/officeDocument/2006/relationships/hyperlink" Target="..\01_DOCUMENT_SETS\ST-063-EUR-01\04_Shipment_Statement.pdf" TargetMode="External"/><Relationship Id="rId1551" Type="http://schemas.openxmlformats.org/officeDocument/2006/relationships/hyperlink" Target="..\01_DOCUMENT_SETS\ST-068-STD-01\04_Shipment_Statement.docx" TargetMode="External"/><Relationship Id="rId1789" Type="http://schemas.openxmlformats.org/officeDocument/2006/relationships/hyperlink" Target="..\01_DOCUMENT_SETS\ST-072-STD-17\03_Label.docx" TargetMode="External"/><Relationship Id="rId1996" Type="http://schemas.openxmlformats.org/officeDocument/2006/relationships/hyperlink" Target="..\01_DOCUMENT_SETS\ST-087-STD-03\02_EU_DoC.pdf" TargetMode="External"/><Relationship Id="rId50" Type="http://schemas.openxmlformats.org/officeDocument/2006/relationships/hyperlink" Target="..\01_DOCUMENT_SETS\ST-018-EUR-04\01_Technical_File.pdf" TargetMode="External"/><Relationship Id="rId1204" Type="http://schemas.openxmlformats.org/officeDocument/2006/relationships/hyperlink" Target="..\01_DOCUMENT_SETS\ST-057-EUR-01\02_EU_DoC.pdf" TargetMode="External"/><Relationship Id="rId1411" Type="http://schemas.openxmlformats.org/officeDocument/2006/relationships/hyperlink" Target="..\01_DOCUMENT_SETS\ST-063-STD-08\02_EU_DoC.docx" TargetMode="External"/><Relationship Id="rId1649" Type="http://schemas.openxmlformats.org/officeDocument/2006/relationships/hyperlink" Target="..\01_DOCUMENT_SETS\ST-072-EUR-06\01_Technical_File.docx" TargetMode="External"/><Relationship Id="rId1856" Type="http://schemas.openxmlformats.org/officeDocument/2006/relationships/hyperlink" Target="..\01_DOCUMENT_SETS\ST-072-STD-25\04_Shipment_Statement.pdf" TargetMode="External"/><Relationship Id="rId1509" Type="http://schemas.openxmlformats.org/officeDocument/2006/relationships/hyperlink" Target="..\01_DOCUMENT_SETS\ST-066-STD-03\03_Label.docx" TargetMode="External"/><Relationship Id="rId1716" Type="http://schemas.openxmlformats.org/officeDocument/2006/relationships/hyperlink" Target="..\01_DOCUMENT_SETS\ST-072-STD-08\02_EU_DoC.pdf" TargetMode="External"/><Relationship Id="rId1923" Type="http://schemas.openxmlformats.org/officeDocument/2006/relationships/hyperlink" Target="..\01_DOCUMENT_SETS\ST-076-STD-02\02_EU_DoC.docx" TargetMode="External"/><Relationship Id="rId297" Type="http://schemas.openxmlformats.org/officeDocument/2006/relationships/hyperlink" Target="..\01_DOCUMENT_SETS\ST-030-STD-04\01_Technical_File.docx" TargetMode="External"/><Relationship Id="rId2185" Type="http://schemas.openxmlformats.org/officeDocument/2006/relationships/hyperlink" Target="..\01_DOCUMENT_SETS\ST-096-EUR-10\01_Technical_File.docx" TargetMode="External"/><Relationship Id="rId157" Type="http://schemas.openxmlformats.org/officeDocument/2006/relationships/hyperlink" Target="..\01_DOCUMENT_SETS\ST-021-STD-05\03_Label.docx" TargetMode="External"/><Relationship Id="rId364" Type="http://schemas.openxmlformats.org/officeDocument/2006/relationships/hyperlink" Target="..\01_DOCUMENT_SETS\ST-030-STD-12\02_EU_DoC.pdf" TargetMode="External"/><Relationship Id="rId2045" Type="http://schemas.openxmlformats.org/officeDocument/2006/relationships/hyperlink" Target="..\01_DOCUMENT_SETS\ST-088-STD-02\03_Label.docx" TargetMode="External"/><Relationship Id="rId571" Type="http://schemas.openxmlformats.org/officeDocument/2006/relationships/hyperlink" Target="..\01_DOCUMENT_SETS\ST-042-STD-02\02_EU_DoC.docx" TargetMode="External"/><Relationship Id="rId669" Type="http://schemas.openxmlformats.org/officeDocument/2006/relationships/hyperlink" Target="..\01_DOCUMENT_SETS\ST-045-STD-03\03_Label.docx" TargetMode="External"/><Relationship Id="rId876" Type="http://schemas.openxmlformats.org/officeDocument/2006/relationships/hyperlink" Target="..\01_DOCUMENT_SETS\ST-048-STD-03\02_EU_DoC.pdf" TargetMode="External"/><Relationship Id="rId1299" Type="http://schemas.openxmlformats.org/officeDocument/2006/relationships/hyperlink" Target="..\01_DOCUMENT_SETS\ST-060-STD-01\02_EU_DoC.docx" TargetMode="External"/><Relationship Id="rId2252" Type="http://schemas.openxmlformats.org/officeDocument/2006/relationships/hyperlink" Target="..\01_DOCUMENT_SETS\ST-096-STD-08\02_EU_DoC.pdf" TargetMode="External"/><Relationship Id="rId224" Type="http://schemas.openxmlformats.org/officeDocument/2006/relationships/hyperlink" Target="..\01_DOCUMENT_SETS\ST-024-STD-01\04_Shipment_Statement.pdf" TargetMode="External"/><Relationship Id="rId431" Type="http://schemas.openxmlformats.org/officeDocument/2006/relationships/hyperlink" Target="..\01_DOCUMENT_SETS\ST-036-EUR-05\04_Shipment_Statement.docx" TargetMode="External"/><Relationship Id="rId529" Type="http://schemas.openxmlformats.org/officeDocument/2006/relationships/hyperlink" Target="..\01_DOCUMENT_SETS\ST-042-EUR-01\01_Technical_File.docx" TargetMode="External"/><Relationship Id="rId736" Type="http://schemas.openxmlformats.org/officeDocument/2006/relationships/hyperlink" Target="..\01_DOCUMENT_SETS\ST-045-STD-11\04_Shipment_Statement.pdf" TargetMode="External"/><Relationship Id="rId1061" Type="http://schemas.openxmlformats.org/officeDocument/2006/relationships/hyperlink" Target="..\01_DOCUMENT_SETS\ST-054-STD-01\03_Label.docx" TargetMode="External"/><Relationship Id="rId1159" Type="http://schemas.openxmlformats.org/officeDocument/2006/relationships/hyperlink" Target="..\01_DOCUMENT_SETS\ST-056-EUR-01\04_Shipment_Statement.docx" TargetMode="External"/><Relationship Id="rId1366" Type="http://schemas.openxmlformats.org/officeDocument/2006/relationships/hyperlink" Target="..\01_DOCUMENT_SETS\ST-063-STD-02\03_Label.pdf" TargetMode="External"/><Relationship Id="rId2112" Type="http://schemas.openxmlformats.org/officeDocument/2006/relationships/hyperlink" Target="..\01_DOCUMENT_SETS\ST-090-STD-02\04_Shipment_Statement.pdf" TargetMode="External"/><Relationship Id="rId943" Type="http://schemas.openxmlformats.org/officeDocument/2006/relationships/hyperlink" Target="..\01_DOCUMENT_SETS\ST-051-EUR-02\04_Shipment_Statement.docx" TargetMode="External"/><Relationship Id="rId1019" Type="http://schemas.openxmlformats.org/officeDocument/2006/relationships/hyperlink" Target="..\01_DOCUMENT_SETS\ST-051-STD-08\02_EU_DoC.docx" TargetMode="External"/><Relationship Id="rId1573" Type="http://schemas.openxmlformats.org/officeDocument/2006/relationships/hyperlink" Target="..\01_DOCUMENT_SETS\ST-068-STD-04\03_Label.docx" TargetMode="External"/><Relationship Id="rId1780" Type="http://schemas.openxmlformats.org/officeDocument/2006/relationships/hyperlink" Target="..\01_DOCUMENT_SETS\ST-072-STD-16\02_EU_DoC.pdf" TargetMode="External"/><Relationship Id="rId1878" Type="http://schemas.openxmlformats.org/officeDocument/2006/relationships/hyperlink" Target="..\01_DOCUMENT_SETS\ST-072-STD-28\03_Label.pdf" TargetMode="External"/><Relationship Id="rId72" Type="http://schemas.openxmlformats.org/officeDocument/2006/relationships/hyperlink" Target="..\01_DOCUMENT_SETS\ST-018-STD-01\04_Shipment_Statement.pdf" TargetMode="External"/><Relationship Id="rId803" Type="http://schemas.openxmlformats.org/officeDocument/2006/relationships/hyperlink" Target="..\01_DOCUMENT_SETS\ST-048-EUR-06\02_EU_DoC.docx" TargetMode="External"/><Relationship Id="rId1226" Type="http://schemas.openxmlformats.org/officeDocument/2006/relationships/hyperlink" Target="..\01_DOCUMENT_SETS\ST-057-EUR-04\01_Technical_File.pdf" TargetMode="External"/><Relationship Id="rId1433" Type="http://schemas.openxmlformats.org/officeDocument/2006/relationships/hyperlink" Target="..\01_DOCUMENT_SETS\ST-063-STD-11\01_Technical_File.docx" TargetMode="External"/><Relationship Id="rId1640" Type="http://schemas.openxmlformats.org/officeDocument/2006/relationships/hyperlink" Target="..\01_DOCUMENT_SETS\ST-072-EUR-04\04_Shipment_Statement.pdf" TargetMode="External"/><Relationship Id="rId1738" Type="http://schemas.openxmlformats.org/officeDocument/2006/relationships/hyperlink" Target="..\01_DOCUMENT_SETS\ST-072-STD-11\01_Technical_File.pdf" TargetMode="External"/><Relationship Id="rId1500" Type="http://schemas.openxmlformats.org/officeDocument/2006/relationships/hyperlink" Target="..\01_DOCUMENT_SETS\ST-066-STD-02\02_EU_DoC.pdf" TargetMode="External"/><Relationship Id="rId1945" Type="http://schemas.openxmlformats.org/officeDocument/2006/relationships/hyperlink" Target="..\01_DOCUMENT_SETS\ST-080-EUR-01\01_Technical_File.docx" TargetMode="External"/><Relationship Id="rId1805" Type="http://schemas.openxmlformats.org/officeDocument/2006/relationships/hyperlink" Target="..\01_DOCUMENT_SETS\ST-072-STD-19\03_Label.docx" TargetMode="External"/><Relationship Id="rId179" Type="http://schemas.openxmlformats.org/officeDocument/2006/relationships/hyperlink" Target="..\01_DOCUMENT_SETS\ST-021-STD-08\02_EU_DoC.docx" TargetMode="External"/><Relationship Id="rId386" Type="http://schemas.openxmlformats.org/officeDocument/2006/relationships/hyperlink" Target="..\01_DOCUMENT_SETS\ST-034-STD-02\01_Technical_File.pdf" TargetMode="External"/><Relationship Id="rId593" Type="http://schemas.openxmlformats.org/officeDocument/2006/relationships/hyperlink" Target="..\01_DOCUMENT_SETS\ST-042-STD-05\01_Technical_File.docx" TargetMode="External"/><Relationship Id="rId2067" Type="http://schemas.openxmlformats.org/officeDocument/2006/relationships/hyperlink" Target="..\01_DOCUMENT_SETS\ST-088-STD-05\02_EU_DoC.docx" TargetMode="External"/><Relationship Id="rId2274" Type="http://schemas.openxmlformats.org/officeDocument/2006/relationships/hyperlink" Target="..\01_DOCUMENT_SETS\ST-120-STD-01\01_Technical_File.pdf" TargetMode="External"/><Relationship Id="rId246" Type="http://schemas.openxmlformats.org/officeDocument/2006/relationships/hyperlink" Target="..\01_DOCUMENT_SETS\ST-024-STD-04\03_Label.pdf" TargetMode="External"/><Relationship Id="rId453" Type="http://schemas.openxmlformats.org/officeDocument/2006/relationships/hyperlink" Target="..\01_DOCUMENT_SETS\ST-036-STD-01\03_Label.docx" TargetMode="External"/><Relationship Id="rId660" Type="http://schemas.openxmlformats.org/officeDocument/2006/relationships/hyperlink" Target="..\01_DOCUMENT_SETS\ST-045-STD-02\02_EU_DoC.pdf" TargetMode="External"/><Relationship Id="rId898" Type="http://schemas.openxmlformats.org/officeDocument/2006/relationships/hyperlink" Target="..\01_DOCUMENT_SETS\ST-048-STD-06\01_Technical_File.pdf" TargetMode="External"/><Relationship Id="rId1083" Type="http://schemas.openxmlformats.org/officeDocument/2006/relationships/hyperlink" Target="..\01_DOCUMENT_SETS\ST-054-STD-04\02_EU_DoC.docx" TargetMode="External"/><Relationship Id="rId1290" Type="http://schemas.openxmlformats.org/officeDocument/2006/relationships/hyperlink" Target="..\01_DOCUMENT_SETS\ST-060-EUR-02\01_Technical_File.pdf" TargetMode="External"/><Relationship Id="rId2134" Type="http://schemas.openxmlformats.org/officeDocument/2006/relationships/hyperlink" Target="..\01_DOCUMENT_SETS\ST-096-EUR-03\03_Label.pdf" TargetMode="External"/><Relationship Id="rId106" Type="http://schemas.openxmlformats.org/officeDocument/2006/relationships/hyperlink" Target="..\01_DOCUMENT_SETS\ST-021-EUR-04\01_Technical_File.pdf" TargetMode="External"/><Relationship Id="rId313" Type="http://schemas.openxmlformats.org/officeDocument/2006/relationships/hyperlink" Target="..\01_DOCUMENT_SETS\ST-030-STD-06\01_Technical_File.docx" TargetMode="External"/><Relationship Id="rId758" Type="http://schemas.openxmlformats.org/officeDocument/2006/relationships/hyperlink" Target="..\01_DOCUMENT_SETS\ST-045-STD-14\03_Label.pdf" TargetMode="External"/><Relationship Id="rId965" Type="http://schemas.openxmlformats.org/officeDocument/2006/relationships/hyperlink" Target="..\01_DOCUMENT_SETS\ST-051-STD-01\03_Label.docx" TargetMode="External"/><Relationship Id="rId1150" Type="http://schemas.openxmlformats.org/officeDocument/2006/relationships/hyperlink" Target="..\01_DOCUMENT_SETS\ST-054-STD-12\03_Label.pdf" TargetMode="External"/><Relationship Id="rId1388" Type="http://schemas.openxmlformats.org/officeDocument/2006/relationships/hyperlink" Target="..\01_DOCUMENT_SETS\ST-063-STD-05\02_EU_DoC.pdf" TargetMode="External"/><Relationship Id="rId1595" Type="http://schemas.openxmlformats.org/officeDocument/2006/relationships/hyperlink" Target="..\01_DOCUMENT_SETS\ST-068-STD-07\02_EU_DoC.docx" TargetMode="External"/><Relationship Id="rId94" Type="http://schemas.openxmlformats.org/officeDocument/2006/relationships/hyperlink" Target="..\01_DOCUMENT_SETS\ST-021-EUR-02\03_Label.pdf" TargetMode="External"/><Relationship Id="rId520" Type="http://schemas.openxmlformats.org/officeDocument/2006/relationships/hyperlink" Target="..\01_DOCUMENT_SETS\ST-036-STD-09\04_Shipment_Statement.pdf" TargetMode="External"/><Relationship Id="rId618" Type="http://schemas.openxmlformats.org/officeDocument/2006/relationships/hyperlink" Target="..\01_DOCUMENT_SETS\ST-042-STD-08\01_Technical_File.pdf" TargetMode="External"/><Relationship Id="rId825" Type="http://schemas.openxmlformats.org/officeDocument/2006/relationships/hyperlink" Target="..\01_DOCUMENT_SETS\ST-048-EUR-09\01_Technical_File.docx" TargetMode="External"/><Relationship Id="rId1248" Type="http://schemas.openxmlformats.org/officeDocument/2006/relationships/hyperlink" Target="..\01_DOCUMENT_SETS\ST-057-STD-01\04_Shipment_Statement.pdf" TargetMode="External"/><Relationship Id="rId1455" Type="http://schemas.openxmlformats.org/officeDocument/2006/relationships/hyperlink" Target="..\01_DOCUMENT_SETS\ST-063-STD-13\04_Shipment_Statement.docx" TargetMode="External"/><Relationship Id="rId1662" Type="http://schemas.openxmlformats.org/officeDocument/2006/relationships/hyperlink" Target="..\01_DOCUMENT_SETS\ST-072-STD-01\03_Label.pdf" TargetMode="External"/><Relationship Id="rId2201" Type="http://schemas.openxmlformats.org/officeDocument/2006/relationships/hyperlink" Target="..\01_DOCUMENT_SETS\ST-096-STD-02\01_Technical_File.docx" TargetMode="External"/><Relationship Id="rId1010" Type="http://schemas.openxmlformats.org/officeDocument/2006/relationships/hyperlink" Target="..\01_DOCUMENT_SETS\ST-051-STD-07\01_Technical_File.pdf" TargetMode="External"/><Relationship Id="rId1108" Type="http://schemas.openxmlformats.org/officeDocument/2006/relationships/hyperlink" Target="..\01_DOCUMENT_SETS\ST-054-STD-07\02_EU_DoC.pdf" TargetMode="External"/><Relationship Id="rId1315" Type="http://schemas.openxmlformats.org/officeDocument/2006/relationships/hyperlink" Target="..\01_DOCUMENT_SETS\ST-060-STD-03\02_EU_DoC.docx" TargetMode="External"/><Relationship Id="rId1967" Type="http://schemas.openxmlformats.org/officeDocument/2006/relationships/hyperlink" Target="..\01_DOCUMENT_SETS\ST-081-STD-01\04_Shipment_Statement.docx" TargetMode="External"/><Relationship Id="rId1522" Type="http://schemas.openxmlformats.org/officeDocument/2006/relationships/hyperlink" Target="..\01_DOCUMENT_SETS\ST-068-EUR-02\01_Technical_File.pdf" TargetMode="External"/><Relationship Id="rId21" Type="http://schemas.openxmlformats.org/officeDocument/2006/relationships/hyperlink" Target="..\01_DOCUMENT_SETS\ST-012-EUR-03\03_Label.docx" TargetMode="External"/><Relationship Id="rId2089" Type="http://schemas.openxmlformats.org/officeDocument/2006/relationships/hyperlink" Target="..\01_DOCUMENT_SETS\ST-088-STD-08\01_Technical_File.docx" TargetMode="External"/><Relationship Id="rId2296" Type="http://schemas.openxmlformats.org/officeDocument/2006/relationships/hyperlink" Target="..\01_DOCUMENT_SETS\ST-120-STD-03\04_Shipment_Statement.pdf" TargetMode="External"/><Relationship Id="rId268" Type="http://schemas.openxmlformats.org/officeDocument/2006/relationships/hyperlink" Target="..\01_DOCUMENT_SETS\ST-028-STD-01\02_EU_DoC.pdf" TargetMode="External"/><Relationship Id="rId475" Type="http://schemas.openxmlformats.org/officeDocument/2006/relationships/hyperlink" Target="..\01_DOCUMENT_SETS\ST-036-STD-04\02_EU_DoC.docx" TargetMode="External"/><Relationship Id="rId682" Type="http://schemas.openxmlformats.org/officeDocument/2006/relationships/hyperlink" Target="..\01_DOCUMENT_SETS\ST-045-STD-05\01_Technical_File.pdf" TargetMode="External"/><Relationship Id="rId2156" Type="http://schemas.openxmlformats.org/officeDocument/2006/relationships/hyperlink" Target="..\01_DOCUMENT_SETS\ST-096-EUR-06\02_EU_DoC.pdf" TargetMode="External"/><Relationship Id="rId128" Type="http://schemas.openxmlformats.org/officeDocument/2006/relationships/hyperlink" Target="..\01_DOCUMENT_SETS\ST-021-STD-01\04_Shipment_Statement.pdf" TargetMode="External"/><Relationship Id="rId335" Type="http://schemas.openxmlformats.org/officeDocument/2006/relationships/hyperlink" Target="..\01_DOCUMENT_SETS\ST-030-STD-08\04_Shipment_Statement.docx" TargetMode="External"/><Relationship Id="rId542" Type="http://schemas.openxmlformats.org/officeDocument/2006/relationships/hyperlink" Target="..\01_DOCUMENT_SETS\ST-042-EUR-02\03_Label.pdf" TargetMode="External"/><Relationship Id="rId1172" Type="http://schemas.openxmlformats.org/officeDocument/2006/relationships/hyperlink" Target="..\01_DOCUMENT_SETS\ST-056-EUR-03\02_EU_DoC.pdf" TargetMode="External"/><Relationship Id="rId2016" Type="http://schemas.openxmlformats.org/officeDocument/2006/relationships/hyperlink" Target="..\01_DOCUMENT_SETS\ST-087-STD-05\04_Shipment_Statement.pdf" TargetMode="External"/><Relationship Id="rId2223" Type="http://schemas.openxmlformats.org/officeDocument/2006/relationships/hyperlink" Target="..\01_DOCUMENT_SETS\ST-096-STD-04\04_Shipment_Statement.docx" TargetMode="External"/><Relationship Id="rId402" Type="http://schemas.openxmlformats.org/officeDocument/2006/relationships/hyperlink" Target="..\01_DOCUMENT_SETS\ST-036-EUR-02\01_Technical_File.pdf" TargetMode="External"/><Relationship Id="rId1032" Type="http://schemas.openxmlformats.org/officeDocument/2006/relationships/hyperlink" Target="..\01_DOCUMENT_SETS\ST-051-STD-09\04_Shipment_Statement.pdf" TargetMode="External"/><Relationship Id="rId1989" Type="http://schemas.openxmlformats.org/officeDocument/2006/relationships/hyperlink" Target="..\01_DOCUMENT_SETS\ST-087-STD-02\03_Label.docx" TargetMode="External"/><Relationship Id="rId1849" Type="http://schemas.openxmlformats.org/officeDocument/2006/relationships/hyperlink" Target="..\01_DOCUMENT_SETS\ST-072-STD-25\01_Technical_File.docx" TargetMode="External"/><Relationship Id="rId192" Type="http://schemas.openxmlformats.org/officeDocument/2006/relationships/hyperlink" Target="..\01_DOCUMENT_SETS\ST-024-EUR-01\04_Shipment_Statement.pdf" TargetMode="External"/><Relationship Id="rId1709" Type="http://schemas.openxmlformats.org/officeDocument/2006/relationships/hyperlink" Target="..\01_DOCUMENT_SETS\ST-072-STD-07\03_Label.docx" TargetMode="External"/><Relationship Id="rId1916" Type="http://schemas.openxmlformats.org/officeDocument/2006/relationships/hyperlink" Target="..\01_DOCUMENT_SETS\ST-076-STD-01\02_EU_DoC.pdf" TargetMode="External"/><Relationship Id="rId2080" Type="http://schemas.openxmlformats.org/officeDocument/2006/relationships/hyperlink" Target="..\01_DOCUMENT_SETS\ST-088-STD-06\04_Shipment_Statement.pdf" TargetMode="External"/><Relationship Id="rId869" Type="http://schemas.openxmlformats.org/officeDocument/2006/relationships/hyperlink" Target="..\01_DOCUMENT_SETS\ST-048-STD-02\03_Label.docx" TargetMode="External"/><Relationship Id="rId1499" Type="http://schemas.openxmlformats.org/officeDocument/2006/relationships/hyperlink" Target="..\01_DOCUMENT_SETS\ST-066-STD-02\02_EU_DoC.docx" TargetMode="External"/><Relationship Id="rId729" Type="http://schemas.openxmlformats.org/officeDocument/2006/relationships/hyperlink" Target="..\01_DOCUMENT_SETS\ST-045-STD-11\01_Technical_File.docx" TargetMode="External"/><Relationship Id="rId1359" Type="http://schemas.openxmlformats.org/officeDocument/2006/relationships/hyperlink" Target="..\01_DOCUMENT_SETS\ST-063-STD-01\04_Shipment_Statement.docx" TargetMode="External"/><Relationship Id="rId936" Type="http://schemas.openxmlformats.org/officeDocument/2006/relationships/hyperlink" Target="..\01_DOCUMENT_SETS\ST-051-EUR-01\04_Shipment_Statement.pdf" TargetMode="External"/><Relationship Id="rId1219" Type="http://schemas.openxmlformats.org/officeDocument/2006/relationships/hyperlink" Target="..\01_DOCUMENT_SETS\ST-057-EUR-03\02_EU_DoC.docx" TargetMode="External"/><Relationship Id="rId1566" Type="http://schemas.openxmlformats.org/officeDocument/2006/relationships/hyperlink" Target="..\01_DOCUMENT_SETS\ST-068-STD-03\03_Label.pdf" TargetMode="External"/><Relationship Id="rId1773" Type="http://schemas.openxmlformats.org/officeDocument/2006/relationships/hyperlink" Target="..\01_DOCUMENT_SETS\ST-072-STD-15\03_Label.docx" TargetMode="External"/><Relationship Id="rId1980" Type="http://schemas.openxmlformats.org/officeDocument/2006/relationships/hyperlink" Target="..\01_DOCUMENT_SETS\ST-087-STD-01\02_EU_DoC.pdf" TargetMode="External"/><Relationship Id="rId65" Type="http://schemas.openxmlformats.org/officeDocument/2006/relationships/hyperlink" Target="..\01_DOCUMENT_SETS\ST-018-STD-01\01_Technical_File.docx" TargetMode="External"/><Relationship Id="rId1426" Type="http://schemas.openxmlformats.org/officeDocument/2006/relationships/hyperlink" Target="..\01_DOCUMENT_SETS\ST-063-STD-10\01_Technical_File.pdf" TargetMode="External"/><Relationship Id="rId1633" Type="http://schemas.openxmlformats.org/officeDocument/2006/relationships/hyperlink" Target="..\01_DOCUMENT_SETS\ST-072-EUR-04\01_Technical_File.docx" TargetMode="External"/><Relationship Id="rId1840" Type="http://schemas.openxmlformats.org/officeDocument/2006/relationships/hyperlink" Target="..\01_DOCUMENT_SETS\ST-072-STD-23\04_Shipment_Statement.pdf" TargetMode="External"/><Relationship Id="rId1700" Type="http://schemas.openxmlformats.org/officeDocument/2006/relationships/hyperlink" Target="..\01_DOCUMENT_SETS\ST-072-STD-06\02_EU_DoC.pdf" TargetMode="External"/><Relationship Id="rId379" Type="http://schemas.openxmlformats.org/officeDocument/2006/relationships/hyperlink" Target="..\01_DOCUMENT_SETS\ST-034-STD-01\02_EU_DoC.docx" TargetMode="External"/><Relationship Id="rId586" Type="http://schemas.openxmlformats.org/officeDocument/2006/relationships/hyperlink" Target="..\01_DOCUMENT_SETS\ST-042-STD-04\01_Technical_File.pdf" TargetMode="External"/><Relationship Id="rId793" Type="http://schemas.openxmlformats.org/officeDocument/2006/relationships/hyperlink" Target="..\01_DOCUMENT_SETS\ST-048-EUR-05\01_Technical_File.docx" TargetMode="External"/><Relationship Id="rId2267" Type="http://schemas.openxmlformats.org/officeDocument/2006/relationships/hyperlink" Target="..\01_DOCUMENT_SETS\ST-105-STD-02\02_EU_DoC.docx" TargetMode="External"/><Relationship Id="rId239" Type="http://schemas.openxmlformats.org/officeDocument/2006/relationships/hyperlink" Target="..\01_DOCUMENT_SETS\ST-024-STD-03\04_Shipment_Statement.docx" TargetMode="External"/><Relationship Id="rId446" Type="http://schemas.openxmlformats.org/officeDocument/2006/relationships/hyperlink" Target="..\01_DOCUMENT_SETS\ST-036-EUR-07\03_Label.pdf" TargetMode="External"/><Relationship Id="rId653" Type="http://schemas.openxmlformats.org/officeDocument/2006/relationships/hyperlink" Target="..\01_DOCUMENT_SETS\ST-045-STD-01\03_Label.docx" TargetMode="External"/><Relationship Id="rId1076" Type="http://schemas.openxmlformats.org/officeDocument/2006/relationships/hyperlink" Target="..\01_DOCUMENT_SETS\ST-054-STD-03\02_EU_DoC.pdf" TargetMode="External"/><Relationship Id="rId1283" Type="http://schemas.openxmlformats.org/officeDocument/2006/relationships/hyperlink" Target="..\01_DOCUMENT_SETS\ST-060-EUR-01\02_EU_DoC.docx" TargetMode="External"/><Relationship Id="rId1490" Type="http://schemas.openxmlformats.org/officeDocument/2006/relationships/hyperlink" Target="..\01_DOCUMENT_SETS\ST-066-STD-01\01_Technical_File.pdf" TargetMode="External"/><Relationship Id="rId2127" Type="http://schemas.openxmlformats.org/officeDocument/2006/relationships/hyperlink" Target="..\01_DOCUMENT_SETS\ST-096-EUR-02\04_Shipment_Statement.docx" TargetMode="External"/><Relationship Id="rId306" Type="http://schemas.openxmlformats.org/officeDocument/2006/relationships/hyperlink" Target="..\01_DOCUMENT_SETS\ST-030-STD-05\01_Technical_File.pdf" TargetMode="External"/><Relationship Id="rId860" Type="http://schemas.openxmlformats.org/officeDocument/2006/relationships/hyperlink" Target="..\01_DOCUMENT_SETS\ST-048-STD-01\02_EU_DoC.pdf" TargetMode="External"/><Relationship Id="rId1143" Type="http://schemas.openxmlformats.org/officeDocument/2006/relationships/hyperlink" Target="..\01_DOCUMENT_SETS\ST-054-STD-11\04_Shipment_Statement.docx" TargetMode="External"/><Relationship Id="rId513" Type="http://schemas.openxmlformats.org/officeDocument/2006/relationships/hyperlink" Target="..\01_DOCUMENT_SETS\ST-036-STD-09\01_Technical_File.docx" TargetMode="External"/><Relationship Id="rId720" Type="http://schemas.openxmlformats.org/officeDocument/2006/relationships/hyperlink" Target="..\01_DOCUMENT_SETS\ST-045-STD-09\04_Shipment_Statement.pdf" TargetMode="External"/><Relationship Id="rId1350" Type="http://schemas.openxmlformats.org/officeDocument/2006/relationships/hyperlink" Target="..\01_DOCUMENT_SETS\ST-063-EUR-02\03_Label.pdf" TargetMode="External"/><Relationship Id="rId1003" Type="http://schemas.openxmlformats.org/officeDocument/2006/relationships/hyperlink" Target="..\01_DOCUMENT_SETS\ST-051-STD-06\02_EU_DoC.docx" TargetMode="External"/><Relationship Id="rId1210" Type="http://schemas.openxmlformats.org/officeDocument/2006/relationships/hyperlink" Target="..\01_DOCUMENT_SETS\ST-057-EUR-02\01_Technical_File.pdf" TargetMode="External"/><Relationship Id="rId2191" Type="http://schemas.openxmlformats.org/officeDocument/2006/relationships/hyperlink" Target="..\01_DOCUMENT_SETS\ST-096-EUR-10\04_Shipment_Statement.docx" TargetMode="External"/><Relationship Id="rId163" Type="http://schemas.openxmlformats.org/officeDocument/2006/relationships/hyperlink" Target="..\01_DOCUMENT_SETS\ST-021-STD-06\02_EU_DoC.docx" TargetMode="External"/><Relationship Id="rId370" Type="http://schemas.openxmlformats.org/officeDocument/2006/relationships/hyperlink" Target="..\01_DOCUMENT_SETS\ST-033-EUR-01\01_Technical_File.pdf" TargetMode="External"/><Relationship Id="rId2051" Type="http://schemas.openxmlformats.org/officeDocument/2006/relationships/hyperlink" Target="..\01_DOCUMENT_SETS\ST-088-STD-03\02_EU_DoC.docx" TargetMode="External"/><Relationship Id="rId230" Type="http://schemas.openxmlformats.org/officeDocument/2006/relationships/hyperlink" Target="..\01_DOCUMENT_SETS\ST-024-STD-02\03_Label.pdf" TargetMode="External"/><Relationship Id="rId1677" Type="http://schemas.openxmlformats.org/officeDocument/2006/relationships/hyperlink" Target="..\01_DOCUMENT_SETS\ST-072-STD-03\03_Label.docx" TargetMode="External"/><Relationship Id="rId1884" Type="http://schemas.openxmlformats.org/officeDocument/2006/relationships/hyperlink" Target="..\01_DOCUMENT_SETS\ST-076-EUR-01\02_EU_DoC.pdf" TargetMode="External"/><Relationship Id="rId907" Type="http://schemas.openxmlformats.org/officeDocument/2006/relationships/hyperlink" Target="..\01_DOCUMENT_SETS\ST-048-STD-07\02_EU_DoC.docx" TargetMode="External"/><Relationship Id="rId1537" Type="http://schemas.openxmlformats.org/officeDocument/2006/relationships/hyperlink" Target="..\01_DOCUMENT_SETS\ST-068-EUR-04\01_Technical_File.docx" TargetMode="External"/><Relationship Id="rId1744" Type="http://schemas.openxmlformats.org/officeDocument/2006/relationships/hyperlink" Target="..\01_DOCUMENT_SETS\ST-072-STD-11\04_Shipment_Statement.pdf" TargetMode="External"/><Relationship Id="rId1951" Type="http://schemas.openxmlformats.org/officeDocument/2006/relationships/hyperlink" Target="..\01_DOCUMENT_SETS\ST-080-EUR-01\04_Shipment_Statement.docx" TargetMode="External"/><Relationship Id="rId36" Type="http://schemas.openxmlformats.org/officeDocument/2006/relationships/hyperlink" Target="..\01_DOCUMENT_SETS\ST-018-EUR-02\02_EU_DoC.pdf" TargetMode="External"/><Relationship Id="rId1604" Type="http://schemas.openxmlformats.org/officeDocument/2006/relationships/hyperlink" Target="..\01_DOCUMENT_SETS\ST-068-STD-08\02_EU_DoC.pdf" TargetMode="External"/><Relationship Id="rId1811" Type="http://schemas.openxmlformats.org/officeDocument/2006/relationships/hyperlink" Target="..\01_DOCUMENT_SETS\ST-072-STD-20\02_EU_DoC.docx" TargetMode="External"/><Relationship Id="rId697" Type="http://schemas.openxmlformats.org/officeDocument/2006/relationships/hyperlink" Target="..\01_DOCUMENT_SETS\ST-045-STD-07\01_Technical_File.docx" TargetMode="External"/><Relationship Id="rId1187" Type="http://schemas.openxmlformats.org/officeDocument/2006/relationships/hyperlink" Target="..\01_DOCUMENT_SETS\ST-056-STD-01\02_EU_DoC.docx" TargetMode="External"/><Relationship Id="rId557" Type="http://schemas.openxmlformats.org/officeDocument/2006/relationships/hyperlink" Target="..\01_DOCUMENT_SETS\ST-042-EUR-04\03_Label.docx" TargetMode="External"/><Relationship Id="rId764" Type="http://schemas.openxmlformats.org/officeDocument/2006/relationships/hyperlink" Target="..\01_DOCUMENT_SETS\ST-048-EUR-01\02_EU_DoC.pdf" TargetMode="External"/><Relationship Id="rId971" Type="http://schemas.openxmlformats.org/officeDocument/2006/relationships/hyperlink" Target="..\01_DOCUMENT_SETS\ST-051-STD-02\02_EU_DoC.docx" TargetMode="External"/><Relationship Id="rId1394" Type="http://schemas.openxmlformats.org/officeDocument/2006/relationships/hyperlink" Target="..\01_DOCUMENT_SETS\ST-063-STD-06\01_Technical_File.pdf" TargetMode="External"/><Relationship Id="rId2238" Type="http://schemas.openxmlformats.org/officeDocument/2006/relationships/hyperlink" Target="..\01_DOCUMENT_SETS\ST-096-STD-06\03_Label.pdf" TargetMode="External"/><Relationship Id="rId417" Type="http://schemas.openxmlformats.org/officeDocument/2006/relationships/hyperlink" Target="..\01_DOCUMENT_SETS\ST-036-EUR-04\01_Technical_File.docx" TargetMode="External"/><Relationship Id="rId624" Type="http://schemas.openxmlformats.org/officeDocument/2006/relationships/hyperlink" Target="..\01_DOCUMENT_SETS\ST-042-STD-08\04_Shipment_Statement.pdf" TargetMode="External"/><Relationship Id="rId831" Type="http://schemas.openxmlformats.org/officeDocument/2006/relationships/hyperlink" Target="..\01_DOCUMENT_SETS\ST-048-EUR-09\04_Shipment_Statement.docx" TargetMode="External"/><Relationship Id="rId1047" Type="http://schemas.openxmlformats.org/officeDocument/2006/relationships/hyperlink" Target="..\01_DOCUMENT_SETS\ST-051-STD-11\04_Shipment_Statement.docx" TargetMode="External"/><Relationship Id="rId1254" Type="http://schemas.openxmlformats.org/officeDocument/2006/relationships/hyperlink" Target="..\01_DOCUMENT_SETS\ST-057-STD-02\03_Label.pdf" TargetMode="External"/><Relationship Id="rId1461" Type="http://schemas.openxmlformats.org/officeDocument/2006/relationships/hyperlink" Target="..\01_DOCUMENT_SETS\ST-063-STD-14\03_Label.docx" TargetMode="External"/><Relationship Id="rId1114" Type="http://schemas.openxmlformats.org/officeDocument/2006/relationships/hyperlink" Target="..\01_DOCUMENT_SETS\ST-054-STD-08\01_Technical_File.pdf" TargetMode="External"/><Relationship Id="rId1321" Type="http://schemas.openxmlformats.org/officeDocument/2006/relationships/hyperlink" Target="..\01_DOCUMENT_SETS\ST-060-STD-04\01_Technical_File.docx" TargetMode="External"/><Relationship Id="rId2095" Type="http://schemas.openxmlformats.org/officeDocument/2006/relationships/hyperlink" Target="..\01_DOCUMENT_SETS\ST-088-STD-08\04_Shipment_Statement.docx" TargetMode="External"/><Relationship Id="rId274" Type="http://schemas.openxmlformats.org/officeDocument/2006/relationships/hyperlink" Target="..\01_DOCUMENT_SETS\ST-030-STD-01\01_Technical_File.pdf" TargetMode="External"/><Relationship Id="rId481" Type="http://schemas.openxmlformats.org/officeDocument/2006/relationships/hyperlink" Target="..\01_DOCUMENT_SETS\ST-036-STD-05\01_Technical_File.docx" TargetMode="External"/><Relationship Id="rId2162" Type="http://schemas.openxmlformats.org/officeDocument/2006/relationships/hyperlink" Target="..\01_DOCUMENT_SETS\ST-096-EUR-07\01_Technical_File.pdf" TargetMode="External"/><Relationship Id="rId134" Type="http://schemas.openxmlformats.org/officeDocument/2006/relationships/hyperlink" Target="..\01_DOCUMENT_SETS\ST-021-STD-02\03_Label.pdf" TargetMode="External"/><Relationship Id="rId341" Type="http://schemas.openxmlformats.org/officeDocument/2006/relationships/hyperlink" Target="..\01_DOCUMENT_SETS\ST-030-STD-09\03_Label.docx" TargetMode="External"/><Relationship Id="rId2022" Type="http://schemas.openxmlformats.org/officeDocument/2006/relationships/hyperlink" Target="..\01_DOCUMENT_SETS\ST-087-STD-06\03_Label.pdf" TargetMode="External"/><Relationship Id="rId201" Type="http://schemas.openxmlformats.org/officeDocument/2006/relationships/hyperlink" Target="..\01_DOCUMENT_SETS\ST-024-EUR-03\01_Technical_File.docx" TargetMode="External"/><Relationship Id="rId1788" Type="http://schemas.openxmlformats.org/officeDocument/2006/relationships/hyperlink" Target="..\01_DOCUMENT_SETS\ST-072-STD-17\02_EU_DoC.pdf" TargetMode="External"/><Relationship Id="rId1995" Type="http://schemas.openxmlformats.org/officeDocument/2006/relationships/hyperlink" Target="..\01_DOCUMENT_SETS\ST-087-STD-03\02_EU_DoC.docx" TargetMode="External"/><Relationship Id="rId1648" Type="http://schemas.openxmlformats.org/officeDocument/2006/relationships/hyperlink" Target="..\01_DOCUMENT_SETS\ST-072-EUR-05\04_Shipment_Statement.pdf" TargetMode="External"/><Relationship Id="rId1508" Type="http://schemas.openxmlformats.org/officeDocument/2006/relationships/hyperlink" Target="..\01_DOCUMENT_SETS\ST-066-STD-03\02_EU_DoC.pdf" TargetMode="External"/><Relationship Id="rId1855" Type="http://schemas.openxmlformats.org/officeDocument/2006/relationships/hyperlink" Target="..\01_DOCUMENT_SETS\ST-072-STD-25\04_Shipment_Statement.docx" TargetMode="External"/><Relationship Id="rId1715" Type="http://schemas.openxmlformats.org/officeDocument/2006/relationships/hyperlink" Target="..\01_DOCUMENT_SETS\ST-072-STD-08\02_EU_DoC.docx" TargetMode="External"/><Relationship Id="rId1922" Type="http://schemas.openxmlformats.org/officeDocument/2006/relationships/hyperlink" Target="..\01_DOCUMENT_SETS\ST-076-STD-02\01_Technical_File.pdf" TargetMode="External"/><Relationship Id="rId668" Type="http://schemas.openxmlformats.org/officeDocument/2006/relationships/hyperlink" Target="..\01_DOCUMENT_SETS\ST-045-STD-03\02_EU_DoC.pdf" TargetMode="External"/><Relationship Id="rId875" Type="http://schemas.openxmlformats.org/officeDocument/2006/relationships/hyperlink" Target="..\01_DOCUMENT_SETS\ST-048-STD-03\02_EU_DoC.docx" TargetMode="External"/><Relationship Id="rId1298" Type="http://schemas.openxmlformats.org/officeDocument/2006/relationships/hyperlink" Target="..\01_DOCUMENT_SETS\ST-060-STD-01\01_Technical_File.pdf" TargetMode="External"/><Relationship Id="rId528" Type="http://schemas.openxmlformats.org/officeDocument/2006/relationships/hyperlink" Target="..\01_DOCUMENT_SETS\ST-036-STD-10\04_Shipment_Statement.pdf" TargetMode="External"/><Relationship Id="rId735" Type="http://schemas.openxmlformats.org/officeDocument/2006/relationships/hyperlink" Target="..\01_DOCUMENT_SETS\ST-045-STD-11\04_Shipment_Statement.docx" TargetMode="External"/><Relationship Id="rId942" Type="http://schemas.openxmlformats.org/officeDocument/2006/relationships/hyperlink" Target="..\01_DOCUMENT_SETS\ST-051-EUR-02\03_Label.pdf" TargetMode="External"/><Relationship Id="rId1158" Type="http://schemas.openxmlformats.org/officeDocument/2006/relationships/hyperlink" Target="..\01_DOCUMENT_SETS\ST-056-EUR-01\03_Label.pdf" TargetMode="External"/><Relationship Id="rId1365" Type="http://schemas.openxmlformats.org/officeDocument/2006/relationships/hyperlink" Target="..\01_DOCUMENT_SETS\ST-063-STD-02\03_Label.docx" TargetMode="External"/><Relationship Id="rId1572" Type="http://schemas.openxmlformats.org/officeDocument/2006/relationships/hyperlink" Target="..\01_DOCUMENT_SETS\ST-068-STD-04\02_EU_DoC.pdf" TargetMode="External"/><Relationship Id="rId2209" Type="http://schemas.openxmlformats.org/officeDocument/2006/relationships/hyperlink" Target="..\01_DOCUMENT_SETS\ST-096-STD-03\01_Technical_File.docx" TargetMode="External"/><Relationship Id="rId1018" Type="http://schemas.openxmlformats.org/officeDocument/2006/relationships/hyperlink" Target="..\01_DOCUMENT_SETS\ST-051-STD-08\01_Technical_File.pdf" TargetMode="External"/><Relationship Id="rId1225" Type="http://schemas.openxmlformats.org/officeDocument/2006/relationships/hyperlink" Target="..\01_DOCUMENT_SETS\ST-057-EUR-04\01_Technical_File.docx" TargetMode="External"/><Relationship Id="rId1432" Type="http://schemas.openxmlformats.org/officeDocument/2006/relationships/hyperlink" Target="..\01_DOCUMENT_SETS\ST-063-STD-10\04_Shipment_Statement.pdf" TargetMode="External"/><Relationship Id="rId71" Type="http://schemas.openxmlformats.org/officeDocument/2006/relationships/hyperlink" Target="..\01_DOCUMENT_SETS\ST-018-STD-01\04_Shipment_Statement.docx" TargetMode="External"/><Relationship Id="rId802" Type="http://schemas.openxmlformats.org/officeDocument/2006/relationships/hyperlink" Target="..\01_DOCUMENT_SETS\ST-048-EUR-06\01_Technical_File.pdf" TargetMode="External"/><Relationship Id="rId178" Type="http://schemas.openxmlformats.org/officeDocument/2006/relationships/hyperlink" Target="..\01_DOCUMENT_SETS\ST-021-STD-08\01_Technical_File.pdf" TargetMode="External"/><Relationship Id="rId385" Type="http://schemas.openxmlformats.org/officeDocument/2006/relationships/hyperlink" Target="..\01_DOCUMENT_SETS\ST-034-STD-02\01_Technical_File.docx" TargetMode="External"/><Relationship Id="rId592" Type="http://schemas.openxmlformats.org/officeDocument/2006/relationships/hyperlink" Target="..\01_DOCUMENT_SETS\ST-042-STD-04\04_Shipment_Statement.pdf" TargetMode="External"/><Relationship Id="rId2066" Type="http://schemas.openxmlformats.org/officeDocument/2006/relationships/hyperlink" Target="..\01_DOCUMENT_SETS\ST-088-STD-05\01_Technical_File.pdf" TargetMode="External"/><Relationship Id="rId2273" Type="http://schemas.openxmlformats.org/officeDocument/2006/relationships/hyperlink" Target="..\01_DOCUMENT_SETS\ST-120-STD-01\01_Technical_File.docx" TargetMode="External"/><Relationship Id="rId245" Type="http://schemas.openxmlformats.org/officeDocument/2006/relationships/hyperlink" Target="..\01_DOCUMENT_SETS\ST-024-STD-04\03_Label.docx" TargetMode="External"/><Relationship Id="rId452" Type="http://schemas.openxmlformats.org/officeDocument/2006/relationships/hyperlink" Target="..\01_DOCUMENT_SETS\ST-036-STD-01\02_EU_DoC.pdf" TargetMode="External"/><Relationship Id="rId1082" Type="http://schemas.openxmlformats.org/officeDocument/2006/relationships/hyperlink" Target="..\01_DOCUMENT_SETS\ST-054-STD-04\01_Technical_File.pdf" TargetMode="External"/><Relationship Id="rId2133" Type="http://schemas.openxmlformats.org/officeDocument/2006/relationships/hyperlink" Target="..\01_DOCUMENT_SETS\ST-096-EUR-03\03_Label.docx" TargetMode="External"/><Relationship Id="rId105" Type="http://schemas.openxmlformats.org/officeDocument/2006/relationships/hyperlink" Target="..\01_DOCUMENT_SETS\ST-021-EUR-04\01_Technical_File.docx" TargetMode="External"/><Relationship Id="rId312" Type="http://schemas.openxmlformats.org/officeDocument/2006/relationships/hyperlink" Target="..\01_DOCUMENT_SETS\ST-030-STD-05\04_Shipment_Statement.pdf" TargetMode="External"/><Relationship Id="rId2200" Type="http://schemas.openxmlformats.org/officeDocument/2006/relationships/hyperlink" Target="..\01_DOCUMENT_SETS\ST-096-STD-01\04_Shipment_Statement.pdf" TargetMode="External"/><Relationship Id="rId1899" Type="http://schemas.openxmlformats.org/officeDocument/2006/relationships/hyperlink" Target="..\01_DOCUMENT_SETS\ST-076-EUR-03\02_EU_DoC.docx" TargetMode="External"/><Relationship Id="rId1759" Type="http://schemas.openxmlformats.org/officeDocument/2006/relationships/hyperlink" Target="..\01_DOCUMENT_SETS\ST-072-STD-13\04_Shipment_Statement.docx" TargetMode="External"/><Relationship Id="rId1966" Type="http://schemas.openxmlformats.org/officeDocument/2006/relationships/hyperlink" Target="..\01_DOCUMENT_SETS\ST-081-STD-01\03_Label.pdf" TargetMode="External"/><Relationship Id="rId1619" Type="http://schemas.openxmlformats.org/officeDocument/2006/relationships/hyperlink" Target="..\01_DOCUMENT_SETS\ST-072-EUR-02\02_EU_DoC.docx" TargetMode="External"/><Relationship Id="rId1826" Type="http://schemas.openxmlformats.org/officeDocument/2006/relationships/hyperlink" Target="..\01_DOCUMENT_SETS\ST-072-STD-22\01_Technical_File.pdf" TargetMode="External"/><Relationship Id="rId779" Type="http://schemas.openxmlformats.org/officeDocument/2006/relationships/hyperlink" Target="..\01_DOCUMENT_SETS\ST-048-EUR-03\02_EU_DoC.docx" TargetMode="External"/><Relationship Id="rId986" Type="http://schemas.openxmlformats.org/officeDocument/2006/relationships/hyperlink" Target="..\01_DOCUMENT_SETS\ST-051-STD-04\01_Technical_File.pdf" TargetMode="External"/><Relationship Id="rId639" Type="http://schemas.openxmlformats.org/officeDocument/2006/relationships/hyperlink" Target="..\01_DOCUMENT_SETS\ST-044-STD-01\04_Shipment_Statement.docx" TargetMode="External"/><Relationship Id="rId1269" Type="http://schemas.openxmlformats.org/officeDocument/2006/relationships/hyperlink" Target="..\01_DOCUMENT_SETS\ST-057-STD-04\03_Label.docx" TargetMode="External"/><Relationship Id="rId1476" Type="http://schemas.openxmlformats.org/officeDocument/2006/relationships/hyperlink" Target="..\01_DOCUMENT_SETS\ST-063-STD-16\02_EU_Do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5"/>
  <sheetViews>
    <sheetView showGridLines="0" showRowColHeaders="0" tabSelected="1" workbookViewId="0"/>
  </sheetViews>
  <sheetFormatPr defaultRowHeight="15" x14ac:dyDescent="0.25"/>
  <cols>
    <col min="1" max="13" width="13" customWidth="1"/>
  </cols>
  <sheetData>
    <row r="1" spans="2:13" ht="9.9499999999999993" customHeight="1" x14ac:dyDescent="0.25"/>
    <row r="2" spans="2:13" ht="21.95" customHeight="1" x14ac:dyDescent="0.35">
      <c r="E2" s="27" t="s">
        <v>0</v>
      </c>
      <c r="F2" s="26"/>
      <c r="G2" s="26"/>
      <c r="H2" s="26"/>
      <c r="I2" s="26"/>
      <c r="J2" s="26"/>
      <c r="K2" s="25" t="s">
        <v>1</v>
      </c>
      <c r="L2" s="26"/>
      <c r="M2" s="26"/>
    </row>
    <row r="3" spans="2:13" ht="18" customHeight="1" x14ac:dyDescent="0.25">
      <c r="E3" s="42" t="s">
        <v>2</v>
      </c>
      <c r="F3" s="26"/>
      <c r="G3" s="26"/>
      <c r="H3" s="26"/>
      <c r="I3" s="26"/>
      <c r="J3" s="26"/>
      <c r="K3" s="41" t="s">
        <v>3</v>
      </c>
      <c r="L3" s="26"/>
      <c r="M3" s="26"/>
    </row>
    <row r="4" spans="2:13" ht="15.95" customHeight="1" x14ac:dyDescent="0.25">
      <c r="K4" s="31" t="s">
        <v>4</v>
      </c>
      <c r="L4" s="26"/>
      <c r="M4" s="26"/>
    </row>
    <row r="5" spans="2:13" ht="9.9499999999999993" customHeight="1" x14ac:dyDescent="0.25"/>
    <row r="7" spans="2:13" ht="68.099999999999994" customHeight="1" x14ac:dyDescent="0.25">
      <c r="B7" s="21" t="s">
        <v>5</v>
      </c>
      <c r="C7" s="22"/>
      <c r="D7" s="30" t="s">
        <v>6</v>
      </c>
      <c r="E7" s="22"/>
      <c r="F7" s="21" t="s">
        <v>7</v>
      </c>
      <c r="G7" s="22"/>
      <c r="H7" s="32" t="s">
        <v>8</v>
      </c>
      <c r="I7" s="22"/>
    </row>
    <row r="9" spans="2:13" ht="68.099999999999994" customHeight="1" x14ac:dyDescent="0.25">
      <c r="B9" s="30" t="s">
        <v>9</v>
      </c>
      <c r="C9" s="22"/>
      <c r="D9" s="30" t="s">
        <v>10</v>
      </c>
      <c r="E9" s="22"/>
      <c r="F9" s="21" t="s">
        <v>11</v>
      </c>
      <c r="G9" s="22"/>
      <c r="H9" s="24" t="s">
        <v>12</v>
      </c>
      <c r="I9" s="22"/>
    </row>
    <row r="11" spans="2:13" ht="16.5" customHeight="1" x14ac:dyDescent="0.25">
      <c r="B11" s="29" t="s">
        <v>13</v>
      </c>
      <c r="C11" s="26"/>
      <c r="D11" s="26"/>
      <c r="E11" s="26"/>
      <c r="G11" s="29" t="s">
        <v>14</v>
      </c>
      <c r="H11" s="26"/>
      <c r="I11" s="26"/>
      <c r="J11" s="26"/>
      <c r="K11" s="26"/>
      <c r="L11" s="26"/>
      <c r="M11" s="26"/>
    </row>
    <row r="12" spans="2:13" x14ac:dyDescent="0.25">
      <c r="B12" s="19" t="s">
        <v>15</v>
      </c>
      <c r="C12" s="20"/>
      <c r="D12" s="28" t="s">
        <v>16</v>
      </c>
      <c r="E12" s="20"/>
      <c r="G12" s="33" t="s">
        <v>17</v>
      </c>
      <c r="H12" s="34"/>
      <c r="I12" s="34"/>
      <c r="J12" s="34"/>
      <c r="K12" s="34"/>
      <c r="L12" s="34"/>
      <c r="M12" s="35"/>
    </row>
    <row r="13" spans="2:13" x14ac:dyDescent="0.25">
      <c r="B13" s="19" t="s">
        <v>18</v>
      </c>
      <c r="C13" s="20"/>
      <c r="D13" s="28" t="s">
        <v>19</v>
      </c>
      <c r="E13" s="20"/>
      <c r="G13" s="36"/>
      <c r="H13" s="26"/>
      <c r="I13" s="26"/>
      <c r="J13" s="26"/>
      <c r="K13" s="26"/>
      <c r="L13" s="26"/>
      <c r="M13" s="37"/>
    </row>
    <row r="14" spans="2:13" x14ac:dyDescent="0.25">
      <c r="B14" s="19" t="s">
        <v>20</v>
      </c>
      <c r="C14" s="20"/>
      <c r="D14" s="28" t="s">
        <v>21</v>
      </c>
      <c r="E14" s="20"/>
      <c r="G14" s="36"/>
      <c r="H14" s="26"/>
      <c r="I14" s="26"/>
      <c r="J14" s="26"/>
      <c r="K14" s="26"/>
      <c r="L14" s="26"/>
      <c r="M14" s="37"/>
    </row>
    <row r="15" spans="2:13" x14ac:dyDescent="0.25">
      <c r="B15" s="19" t="s">
        <v>22</v>
      </c>
      <c r="C15" s="20"/>
      <c r="D15" s="28" t="s">
        <v>19</v>
      </c>
      <c r="E15" s="20"/>
      <c r="G15" s="36"/>
      <c r="H15" s="26"/>
      <c r="I15" s="26"/>
      <c r="J15" s="26"/>
      <c r="K15" s="26"/>
      <c r="L15" s="26"/>
      <c r="M15" s="37"/>
    </row>
    <row r="16" spans="2:13" x14ac:dyDescent="0.25">
      <c r="B16" s="19" t="s">
        <v>23</v>
      </c>
      <c r="C16" s="20"/>
      <c r="D16" s="28" t="s">
        <v>24</v>
      </c>
      <c r="E16" s="20"/>
      <c r="G16" s="36"/>
      <c r="H16" s="26"/>
      <c r="I16" s="26"/>
      <c r="J16" s="26"/>
      <c r="K16" s="26"/>
      <c r="L16" s="26"/>
      <c r="M16" s="37"/>
    </row>
    <row r="17" spans="2:13" x14ac:dyDescent="0.25">
      <c r="B17" s="19" t="s">
        <v>25</v>
      </c>
      <c r="C17" s="20"/>
      <c r="D17" s="28" t="s">
        <v>24</v>
      </c>
      <c r="E17" s="20"/>
      <c r="G17" s="36"/>
      <c r="H17" s="26"/>
      <c r="I17" s="26"/>
      <c r="J17" s="26"/>
      <c r="K17" s="26"/>
      <c r="L17" s="26"/>
      <c r="M17" s="37"/>
    </row>
    <row r="18" spans="2:13" x14ac:dyDescent="0.25">
      <c r="B18" s="19" t="s">
        <v>26</v>
      </c>
      <c r="C18" s="20"/>
      <c r="D18" s="28" t="s">
        <v>24</v>
      </c>
      <c r="E18" s="20"/>
      <c r="G18" s="38"/>
      <c r="H18" s="39"/>
      <c r="I18" s="39"/>
      <c r="J18" s="39"/>
      <c r="K18" s="39"/>
      <c r="L18" s="39"/>
      <c r="M18" s="40"/>
    </row>
    <row r="20" spans="2:13" ht="16.5" customHeight="1" x14ac:dyDescent="0.25">
      <c r="B20" s="5" t="s">
        <v>27</v>
      </c>
    </row>
    <row r="21" spans="2:13" ht="44.1" customHeight="1" x14ac:dyDescent="0.25">
      <c r="B21" s="23" t="s">
        <v>28</v>
      </c>
      <c r="C21" s="22"/>
      <c r="D21" s="23" t="s">
        <v>29</v>
      </c>
      <c r="E21" s="22"/>
      <c r="F21" s="23" t="s">
        <v>30</v>
      </c>
      <c r="G21" s="22"/>
      <c r="H21" s="23" t="s">
        <v>31</v>
      </c>
      <c r="I21" s="22"/>
    </row>
    <row r="23" spans="2:13" ht="44.1" customHeight="1" x14ac:dyDescent="0.25">
      <c r="B23" s="23" t="s">
        <v>32</v>
      </c>
      <c r="C23" s="22"/>
      <c r="D23" s="23" t="s">
        <v>33</v>
      </c>
      <c r="E23" s="22"/>
      <c r="F23" s="23" t="s">
        <v>34</v>
      </c>
      <c r="G23" s="22"/>
      <c r="H23" s="23" t="s">
        <v>35</v>
      </c>
      <c r="I23" s="22"/>
    </row>
    <row r="25" spans="2:13" ht="44.1" customHeight="1" x14ac:dyDescent="0.25">
      <c r="B25" s="23" t="s">
        <v>36</v>
      </c>
      <c r="C25" s="22"/>
    </row>
  </sheetData>
  <mergeCells count="39">
    <mergeCell ref="K3:M3"/>
    <mergeCell ref="D18:E18"/>
    <mergeCell ref="B9:C9"/>
    <mergeCell ref="D9:E9"/>
    <mergeCell ref="E3:J3"/>
    <mergeCell ref="F9:G9"/>
    <mergeCell ref="D12:E12"/>
    <mergeCell ref="B15:C15"/>
    <mergeCell ref="D15:E15"/>
    <mergeCell ref="D14:E14"/>
    <mergeCell ref="K2:M2"/>
    <mergeCell ref="H21:I21"/>
    <mergeCell ref="E2:J2"/>
    <mergeCell ref="D13:E13"/>
    <mergeCell ref="B23:C23"/>
    <mergeCell ref="B14:C14"/>
    <mergeCell ref="B17:C17"/>
    <mergeCell ref="D17:E17"/>
    <mergeCell ref="G11:M11"/>
    <mergeCell ref="B13:C13"/>
    <mergeCell ref="D16:E16"/>
    <mergeCell ref="D7:E7"/>
    <mergeCell ref="K4:M4"/>
    <mergeCell ref="H7:I7"/>
    <mergeCell ref="F23:G23"/>
    <mergeCell ref="B11:E11"/>
    <mergeCell ref="B16:C16"/>
    <mergeCell ref="B7:C7"/>
    <mergeCell ref="B25:C25"/>
    <mergeCell ref="B18:C18"/>
    <mergeCell ref="H9:I9"/>
    <mergeCell ref="F7:G7"/>
    <mergeCell ref="D21:E21"/>
    <mergeCell ref="B12:C12"/>
    <mergeCell ref="F21:G21"/>
    <mergeCell ref="B21:C21"/>
    <mergeCell ref="G12:M18"/>
    <mergeCell ref="D23:E23"/>
    <mergeCell ref="H23:I23"/>
  </mergeCells>
  <hyperlinks>
    <hyperlink ref="B21" location="'SEARCH'!A1" display="SEARCH PRODUCT_x000a_Ürün kodu ile ara" xr:uid="{00000000-0004-0000-0000-000000000000}"/>
    <hyperlink ref="D21" location="'PRODUCT_MASTER'!A1" display="PRODUCT MASTER_x000a_2046 Starter ürün" xr:uid="{00000000-0004-0000-0000-000001000000}"/>
    <hyperlink ref="F21" location="'CONFIG_MASTER'!A1" display="PACKAGING CONFIGS_x000a_287 kontrollü set" xr:uid="{00000000-0004-0000-0000-000002000000}"/>
    <hyperlink ref="H21" location="'BOM_MASTER'!A1" display="BOM MASTER_x000a_Sabit fiziksel BOM" xr:uid="{00000000-0004-0000-0000-000003000000}"/>
    <hyperlink ref="B23" location="'DOCUMENT_CENTER'!A1" display="DOCUMENT CENTER_x000a_OPEN WORD / PDF" xr:uid="{00000000-0004-0000-0000-000004000000}"/>
    <hyperlink ref="D23" location="'DOMESTIC_DATA_GAP'!A1" display="DOMESTIC 42 DATA GAP_x000a_Belgeler yok" xr:uid="{00000000-0004-0000-0000-000005000000}"/>
    <hyperlink ref="F23" location="'CHANGE_CONTROL'!A1" display="CHANGE CONTROL_x000a_Revizyon kuralları" xr:uid="{00000000-0004-0000-0000-000006000000}"/>
    <hyperlink ref="H23" location="'GENERATION_QUEUE'!A1" display="GENERATE DOCUMENTS_x000a_Üretim kuyruğu" xr:uid="{00000000-0004-0000-0000-000007000000}"/>
    <hyperlink ref="B25" location="'QA_DASHBOARD'!A1" display="QA DASHBOARD_x000a_Canlı metrikler" xr:uid="{00000000-0004-0000-0000-000008000000}"/>
  </hyperlink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"/>
  <sheetViews>
    <sheetView showGridLines="0" workbookViewId="0"/>
  </sheetViews>
  <sheetFormatPr defaultRowHeight="15" x14ac:dyDescent="0.25"/>
  <cols>
    <col min="1" max="1" width="28" customWidth="1"/>
    <col min="2" max="2" width="22" customWidth="1"/>
    <col min="3" max="3" width="48" customWidth="1"/>
    <col min="4" max="4" width="22" customWidth="1"/>
    <col min="5" max="5" width="14" customWidth="1"/>
    <col min="6" max="6" width="10" customWidth="1"/>
    <col min="7" max="7" width="36" customWidth="1"/>
    <col min="26" max="27" width="13" hidden="1" customWidth="1"/>
  </cols>
  <sheetData>
    <row r="1" spans="1:27" ht="22.5" customHeight="1" x14ac:dyDescent="0.3">
      <c r="A1" s="44" t="s">
        <v>37</v>
      </c>
      <c r="B1" s="26"/>
      <c r="C1" s="26"/>
      <c r="D1" s="26"/>
      <c r="E1" s="26"/>
      <c r="F1" s="26"/>
      <c r="G1" s="26"/>
      <c r="Z1" s="6" t="str">
        <f>IF($B$4="","",TRIM($B$4&amp;""))</f>
        <v/>
      </c>
      <c r="AA1" t="str">
        <f>IF($Z$1="","",IFERROR(MATCH($Z$1,SEARCH_DATA!H:H,0),IFERROR(MATCH($Z$1,SEARCH_DATA!A:A,0),IFERROR(MATCH(VALUE($Z$1),SEARCH_DATA!A:A,0),"NOT FOUND"))))</f>
        <v/>
      </c>
    </row>
    <row r="2" spans="1:27" x14ac:dyDescent="0.25">
      <c r="A2" s="49" t="s">
        <v>38</v>
      </c>
      <c r="B2" s="26"/>
      <c r="C2" s="26"/>
      <c r="D2" s="26"/>
      <c r="E2" s="26"/>
      <c r="F2" s="26"/>
      <c r="G2" s="26"/>
    </row>
    <row r="4" spans="1:27" ht="32.1" customHeight="1" x14ac:dyDescent="0.25">
      <c r="A4" s="7" t="s">
        <v>39</v>
      </c>
      <c r="B4" s="47"/>
      <c r="C4" s="48"/>
      <c r="D4" s="22"/>
      <c r="E4" s="8" t="s">
        <v>40</v>
      </c>
    </row>
    <row r="6" spans="1:27" ht="15.75" customHeight="1" x14ac:dyDescent="0.25">
      <c r="A6" s="9" t="s">
        <v>41</v>
      </c>
    </row>
    <row r="7" spans="1:27" x14ac:dyDescent="0.25">
      <c r="A7" s="10" t="s">
        <v>42</v>
      </c>
      <c r="B7" s="10" t="s">
        <v>43</v>
      </c>
      <c r="C7" s="10" t="s">
        <v>44</v>
      </c>
      <c r="D7" s="10" t="s">
        <v>45</v>
      </c>
      <c r="E7" s="10" t="s">
        <v>46</v>
      </c>
      <c r="F7" s="10" t="s">
        <v>47</v>
      </c>
      <c r="G7" s="10" t="s">
        <v>48</v>
      </c>
    </row>
    <row r="8" spans="1:27" ht="36" customHeight="1" x14ac:dyDescent="0.25">
      <c r="A8" s="11" t="str">
        <f>IF($B$4="","",IF($AA$1="NOT FOUND","NOT FOUND",IFERROR(INDEX(SEARCH_DATA!A:A,$AA$1),"")))</f>
        <v/>
      </c>
      <c r="B8" s="11" t="str">
        <f>IF(OR($A$8="",$A$8="NOT FOUND"),"",IFERROR(INDEX(SEARCH_DATA!B:B,$AA$1),""))</f>
        <v/>
      </c>
      <c r="C8" s="11" t="str">
        <f>IF(OR($A$8="",$A$8="NOT FOUND"),"",IFERROR(INDEX(SEARCH_DATA!C:C,$AA$1),""))</f>
        <v/>
      </c>
      <c r="D8" s="11" t="str">
        <f>IF(OR($A$8="",$A$8="NOT FOUND"),"",IFERROR(INDEX(SEARCH_DATA!D:D,$AA$1),""))</f>
        <v/>
      </c>
      <c r="E8" s="11" t="str">
        <f>IF(OR($A$8="",$A$8="NOT FOUND"),"",IFERROR(INDEX(SEARCH_DATA!E:E,$AA$1),""))</f>
        <v/>
      </c>
      <c r="F8" s="11" t="str">
        <f>IF(OR($A$8="",$A$8="NOT FOUND"),"",IFERROR(INDEX(SEARCH_DATA!F:F,$AA$1),""))</f>
        <v/>
      </c>
      <c r="G8" s="11" t="str">
        <f>IF(OR($A$8="",$A$8="NOT FOUND"),"",IFERROR(INDEX(SEARCH_DATA!G:G,$AA$1),""))</f>
        <v/>
      </c>
    </row>
    <row r="9" spans="1:27" x14ac:dyDescent="0.25">
      <c r="A9" s="45" t="str">
        <f>IF(OR($A$8="",$A$8="NOT FOUND"),"",IF(ISNUMBER(SEARCH("YURT"," "&amp;$G$8)),"COMPLETE PACKAGING COMPONENT / PALLET DATA NOT AVAILABLE",IF(ISNUMBER(SEARCH("DATA REQUIRED"," "&amp;$G$8)),"COMPLETE PACKAGING COMPONENT / PALLET DATA NOT AVAILABLE","")))</f>
        <v/>
      </c>
      <c r="B9" s="26"/>
      <c r="C9" s="26"/>
      <c r="D9" s="26"/>
      <c r="E9" s="26"/>
      <c r="F9" s="26"/>
      <c r="G9" s="26"/>
    </row>
    <row r="11" spans="1:27" ht="15.75" customHeight="1" x14ac:dyDescent="0.25">
      <c r="A11" s="9" t="s">
        <v>49</v>
      </c>
    </row>
    <row r="12" spans="1:27" x14ac:dyDescent="0.25">
      <c r="A12" s="43" t="s">
        <v>50</v>
      </c>
      <c r="B12" s="26"/>
    </row>
    <row r="13" spans="1:27" x14ac:dyDescent="0.25">
      <c r="A13" s="15" t="str">
        <f>IF(AND($B$8&lt;&gt;"",$A$8&lt;&gt;"NOT FOUND",ISNUMBER(SEARCH("ISSUED",$G$8)),NOT(ISNUMBER(SEARCH("NOT ISSUED",$G$8))),NOT(ISNUMBER(SEARCH("YURT",$G$8)))),HYPERLINK("..\01_DOCUMENT_SETS\"&amp;$B$8&amp;"\01_Technical_File.docx","OPEN WORD"),IF(OR($A$8="",$A$8="NOT FOUND"),"",IF(OR(ISNUMBER(SEARCH("YURT",$G$8)),ISNUMBER(SEARCH("NOT ISSUED",$G$8))),"DOCUMENTS NOT ISSUED","")))</f>
        <v/>
      </c>
      <c r="B13" s="15" t="str">
        <f>IF(AND($B$8&lt;&gt;"",$A$8&lt;&gt;"NOT FOUND",ISNUMBER(SEARCH("ISSUED",$G$8)),NOT(ISNUMBER(SEARCH("NOT ISSUED",$G$8))),NOT(ISNUMBER(SEARCH("YURT",$G$8)))),HYPERLINK("..\01_DOCUMENT_SETS\"&amp;$B$8&amp;"\01_Technical_File.pdf","OPEN PDF"),IF(OR($A$8="",$A$8="NOT FOUND"),"","—"))</f>
        <v/>
      </c>
    </row>
    <row r="14" spans="1:27" x14ac:dyDescent="0.25">
      <c r="A14" s="43" t="s">
        <v>51</v>
      </c>
      <c r="B14" s="26"/>
    </row>
    <row r="15" spans="1:27" x14ac:dyDescent="0.25">
      <c r="A15" s="15" t="str">
        <f>IF(AND($B$8&lt;&gt;"",$A$8&lt;&gt;"NOT FOUND",ISNUMBER(SEARCH("ISSUED",$G$8)),NOT(ISNUMBER(SEARCH("NOT ISSUED",$G$8))),NOT(ISNUMBER(SEARCH("YURT",$G$8)))),HYPERLINK("..\01_DOCUMENT_SETS\"&amp;$B$8&amp;"\02_EU_DoC.docx","OPEN WORD"),IF(OR($A$8="",$A$8="NOT FOUND"),"",IF(OR(ISNUMBER(SEARCH("YURT",$G$8)),ISNUMBER(SEARCH("NOT ISSUED",$G$8))),"DOCUMENTS NOT ISSUED","")))</f>
        <v/>
      </c>
      <c r="B15" s="15" t="str">
        <f>IF(AND($B$8&lt;&gt;"",$A$8&lt;&gt;"NOT FOUND",ISNUMBER(SEARCH("ISSUED",$G$8)),NOT(ISNUMBER(SEARCH("NOT ISSUED",$G$8))),NOT(ISNUMBER(SEARCH("YURT",$G$8)))),HYPERLINK("..\01_DOCUMENT_SETS\"&amp;$B$8&amp;"\02_EU_DoC.pdf","OPEN PDF"),IF(OR($A$8="",$A$8="NOT FOUND"),"","—"))</f>
        <v/>
      </c>
    </row>
    <row r="16" spans="1:27" x14ac:dyDescent="0.25">
      <c r="A16" s="43" t="s">
        <v>52</v>
      </c>
      <c r="B16" s="26"/>
    </row>
    <row r="17" spans="1:7" x14ac:dyDescent="0.25">
      <c r="A17" s="15" t="str">
        <f>IF(AND($B$8&lt;&gt;"",$A$8&lt;&gt;"NOT FOUND",ISNUMBER(SEARCH("ISSUED",$G$8)),NOT(ISNUMBER(SEARCH("NOT ISSUED",$G$8))),NOT(ISNUMBER(SEARCH("YURT",$G$8)))),HYPERLINK("..\01_DOCUMENT_SETS\"&amp;$B$8&amp;"\03_Label.docx","OPEN WORD"),IF(OR($A$8="",$A$8="NOT FOUND"),"",IF(OR(ISNUMBER(SEARCH("YURT",$G$8)),ISNUMBER(SEARCH("NOT ISSUED",$G$8))),"DOCUMENTS NOT ISSUED","")))</f>
        <v/>
      </c>
      <c r="B17" s="15" t="str">
        <f>IF(AND($B$8&lt;&gt;"",$A$8&lt;&gt;"NOT FOUND",ISNUMBER(SEARCH("ISSUED",$G$8)),NOT(ISNUMBER(SEARCH("NOT ISSUED",$G$8))),NOT(ISNUMBER(SEARCH("YURT",$G$8)))),HYPERLINK("..\01_DOCUMENT_SETS\"&amp;$B$8&amp;"\03_Label.pdf","OPEN PDF"),IF(OR($A$8="",$A$8="NOT FOUND"),"","—"))</f>
        <v/>
      </c>
    </row>
    <row r="18" spans="1:7" x14ac:dyDescent="0.25">
      <c r="A18" s="43" t="s">
        <v>53</v>
      </c>
      <c r="B18" s="26"/>
    </row>
    <row r="19" spans="1:7" x14ac:dyDescent="0.25">
      <c r="A19" s="15" t="str">
        <f>IF(AND($B$8&lt;&gt;"",$A$8&lt;&gt;"NOT FOUND",ISNUMBER(SEARCH("ISSUED",$G$8)),NOT(ISNUMBER(SEARCH("NOT ISSUED",$G$8))),NOT(ISNUMBER(SEARCH("YURT",$G$8)))),HYPERLINK("..\01_DOCUMENT_SETS\"&amp;$B$8&amp;"\04_Shipment_Statement.docx","OPEN WORD"),IF(OR($A$8="",$A$8="NOT FOUND"),"",IF(OR(ISNUMBER(SEARCH("YURT",$G$8)),ISNUMBER(SEARCH("NOT ISSUED",$G$8))),"DOCUMENTS NOT ISSUED","")))</f>
        <v/>
      </c>
      <c r="B19" s="15" t="str">
        <f>IF(AND($B$8&lt;&gt;"",$A$8&lt;&gt;"NOT FOUND",ISNUMBER(SEARCH("ISSUED",$G$8)),NOT(ISNUMBER(SEARCH("NOT ISSUED",$G$8))),NOT(ISNUMBER(SEARCH("YURT",$G$8)))),HYPERLINK("..\01_DOCUMENT_SETS\"&amp;$B$8&amp;"\04_Shipment_Statement.pdf","OPEN PDF"),IF(OR($A$8="",$A$8="NOT FOUND"),"","—"))</f>
        <v/>
      </c>
    </row>
    <row r="21" spans="1:7" x14ac:dyDescent="0.25">
      <c r="A21" s="46" t="s">
        <v>54</v>
      </c>
      <c r="B21" s="26"/>
      <c r="C21" s="26"/>
      <c r="D21" s="26"/>
      <c r="E21" s="26"/>
      <c r="F21" s="26"/>
      <c r="G21" s="26"/>
    </row>
  </sheetData>
  <mergeCells count="9">
    <mergeCell ref="A16:B16"/>
    <mergeCell ref="A1:G1"/>
    <mergeCell ref="A9:G9"/>
    <mergeCell ref="A21:G21"/>
    <mergeCell ref="B4:D4"/>
    <mergeCell ref="A2:G2"/>
    <mergeCell ref="A14:B14"/>
    <mergeCell ref="A18:B18"/>
    <mergeCell ref="A12:B1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0" customWidth="1"/>
    <col min="3" max="3" width="21" customWidth="1"/>
    <col min="4" max="4" width="18" customWidth="1"/>
    <col min="5" max="5" width="16" customWidth="1"/>
    <col min="6" max="7" width="12" customWidth="1"/>
    <col min="8" max="8" width="13" hidden="1" customWidth="1"/>
  </cols>
  <sheetData>
    <row r="1" spans="1:8" ht="21.95" customHeight="1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2" t="s">
        <v>55</v>
      </c>
    </row>
    <row r="2" spans="1:8" ht="33.75" customHeight="1" x14ac:dyDescent="0.25">
      <c r="A2" s="13" t="s">
        <v>56</v>
      </c>
      <c r="B2" s="2" t="s">
        <v>57</v>
      </c>
      <c r="C2" s="2" t="s">
        <v>58</v>
      </c>
      <c r="D2" s="2" t="s">
        <v>59</v>
      </c>
      <c r="E2" s="2">
        <v>31.825199999999999</v>
      </c>
      <c r="F2" s="2" t="s">
        <v>60</v>
      </c>
      <c r="G2" s="2" t="s">
        <v>61</v>
      </c>
      <c r="H2" s="6" t="s">
        <v>56</v>
      </c>
    </row>
    <row r="3" spans="1:8" ht="33.75" customHeight="1" x14ac:dyDescent="0.25">
      <c r="A3" s="14" t="s">
        <v>62</v>
      </c>
      <c r="B3" s="3" t="s">
        <v>63</v>
      </c>
      <c r="C3" s="3" t="s">
        <v>64</v>
      </c>
      <c r="D3" s="3" t="s">
        <v>65</v>
      </c>
      <c r="E3" s="3">
        <v>31.412400000000002</v>
      </c>
      <c r="F3" s="3" t="s">
        <v>60</v>
      </c>
      <c r="G3" s="3" t="s">
        <v>61</v>
      </c>
      <c r="H3" s="6" t="s">
        <v>62</v>
      </c>
    </row>
    <row r="4" spans="1:8" ht="33.75" customHeight="1" x14ac:dyDescent="0.25">
      <c r="A4" s="13" t="s">
        <v>66</v>
      </c>
      <c r="B4" s="2" t="s">
        <v>63</v>
      </c>
      <c r="C4" s="2" t="s">
        <v>67</v>
      </c>
      <c r="D4" s="2" t="s">
        <v>65</v>
      </c>
      <c r="E4" s="2">
        <v>31.412400000000002</v>
      </c>
      <c r="F4" s="2" t="s">
        <v>60</v>
      </c>
      <c r="G4" s="2" t="s">
        <v>61</v>
      </c>
      <c r="H4" s="6" t="s">
        <v>66</v>
      </c>
    </row>
    <row r="5" spans="1:8" ht="33.75" customHeight="1" x14ac:dyDescent="0.25">
      <c r="A5" s="14" t="s">
        <v>68</v>
      </c>
      <c r="B5" s="3" t="s">
        <v>69</v>
      </c>
      <c r="C5" s="3" t="s">
        <v>70</v>
      </c>
      <c r="D5" s="3" t="s">
        <v>71</v>
      </c>
      <c r="E5" s="3">
        <v>32.102400000000003</v>
      </c>
      <c r="F5" s="3" t="s">
        <v>60</v>
      </c>
      <c r="G5" s="3" t="s">
        <v>61</v>
      </c>
      <c r="H5" s="6" t="s">
        <v>68</v>
      </c>
    </row>
    <row r="6" spans="1:8" ht="33.75" customHeight="1" x14ac:dyDescent="0.25">
      <c r="A6" s="13" t="s">
        <v>72</v>
      </c>
      <c r="B6" s="2" t="s">
        <v>73</v>
      </c>
      <c r="C6" s="2" t="s">
        <v>74</v>
      </c>
      <c r="D6" s="2" t="s">
        <v>75</v>
      </c>
      <c r="E6" s="2">
        <v>31.538399999999999</v>
      </c>
      <c r="F6" s="2" t="s">
        <v>60</v>
      </c>
      <c r="G6" s="2" t="s">
        <v>61</v>
      </c>
      <c r="H6" s="6" t="s">
        <v>72</v>
      </c>
    </row>
    <row r="7" spans="1:8" ht="33.75" customHeight="1" x14ac:dyDescent="0.25">
      <c r="A7" s="14" t="s">
        <v>76</v>
      </c>
      <c r="B7" s="3" t="s">
        <v>77</v>
      </c>
      <c r="C7" s="3" t="s">
        <v>78</v>
      </c>
      <c r="D7" s="3" t="s">
        <v>79</v>
      </c>
      <c r="E7" s="3">
        <v>31.699200000000001</v>
      </c>
      <c r="F7" s="3" t="s">
        <v>60</v>
      </c>
      <c r="G7" s="3" t="s">
        <v>61</v>
      </c>
      <c r="H7" s="6" t="s">
        <v>76</v>
      </c>
    </row>
    <row r="8" spans="1:8" ht="33.75" customHeight="1" x14ac:dyDescent="0.25">
      <c r="A8" s="13" t="s">
        <v>80</v>
      </c>
      <c r="B8" s="2" t="s">
        <v>73</v>
      </c>
      <c r="C8" s="2" t="s">
        <v>81</v>
      </c>
      <c r="D8" s="2" t="s">
        <v>75</v>
      </c>
      <c r="E8" s="2">
        <v>31.538399999999999</v>
      </c>
      <c r="F8" s="2" t="s">
        <v>60</v>
      </c>
      <c r="G8" s="2" t="s">
        <v>61</v>
      </c>
      <c r="H8" s="6" t="s">
        <v>80</v>
      </c>
    </row>
    <row r="9" spans="1:8" ht="22.5" customHeight="1" x14ac:dyDescent="0.25">
      <c r="A9" s="14" t="s">
        <v>82</v>
      </c>
      <c r="B9" s="3" t="s">
        <v>83</v>
      </c>
      <c r="C9" s="3" t="s">
        <v>84</v>
      </c>
      <c r="D9" s="3" t="s">
        <v>85</v>
      </c>
      <c r="E9" s="3">
        <v>33.063000000000002</v>
      </c>
      <c r="F9" s="3" t="s">
        <v>60</v>
      </c>
      <c r="G9" s="3" t="s">
        <v>61</v>
      </c>
      <c r="H9" s="6" t="s">
        <v>82</v>
      </c>
    </row>
    <row r="10" spans="1:8" ht="22.5" customHeight="1" x14ac:dyDescent="0.25">
      <c r="A10" s="13" t="s">
        <v>86</v>
      </c>
      <c r="B10" s="2" t="s">
        <v>83</v>
      </c>
      <c r="C10" s="2" t="s">
        <v>87</v>
      </c>
      <c r="D10" s="2" t="s">
        <v>85</v>
      </c>
      <c r="E10" s="2">
        <v>33.063000000000002</v>
      </c>
      <c r="F10" s="2" t="s">
        <v>60</v>
      </c>
      <c r="G10" s="2" t="s">
        <v>61</v>
      </c>
      <c r="H10" s="6" t="s">
        <v>86</v>
      </c>
    </row>
    <row r="11" spans="1:8" ht="33.75" customHeight="1" x14ac:dyDescent="0.25">
      <c r="A11" s="14" t="s">
        <v>88</v>
      </c>
      <c r="B11" s="3" t="s">
        <v>89</v>
      </c>
      <c r="C11" s="3" t="s">
        <v>90</v>
      </c>
      <c r="D11" s="3" t="s">
        <v>91</v>
      </c>
      <c r="E11" s="3">
        <v>32.389200000000002</v>
      </c>
      <c r="F11" s="3" t="s">
        <v>60</v>
      </c>
      <c r="G11" s="3" t="s">
        <v>61</v>
      </c>
      <c r="H11" s="6" t="s">
        <v>88</v>
      </c>
    </row>
    <row r="12" spans="1:8" ht="33.75" customHeight="1" x14ac:dyDescent="0.25">
      <c r="A12" s="13" t="s">
        <v>92</v>
      </c>
      <c r="B12" s="2" t="s">
        <v>89</v>
      </c>
      <c r="C12" s="2" t="s">
        <v>93</v>
      </c>
      <c r="D12" s="2" t="s">
        <v>91</v>
      </c>
      <c r="E12" s="2">
        <v>32.389200000000002</v>
      </c>
      <c r="F12" s="2" t="s">
        <v>60</v>
      </c>
      <c r="G12" s="2" t="s">
        <v>61</v>
      </c>
      <c r="H12" s="6" t="s">
        <v>92</v>
      </c>
    </row>
    <row r="13" spans="1:8" ht="33.75" customHeight="1" x14ac:dyDescent="0.25">
      <c r="A13" s="14" t="s">
        <v>94</v>
      </c>
      <c r="B13" s="3" t="s">
        <v>77</v>
      </c>
      <c r="C13" s="3" t="s">
        <v>95</v>
      </c>
      <c r="D13" s="3" t="s">
        <v>79</v>
      </c>
      <c r="E13" s="3">
        <v>31.699200000000001</v>
      </c>
      <c r="F13" s="3" t="s">
        <v>60</v>
      </c>
      <c r="G13" s="3" t="s">
        <v>61</v>
      </c>
      <c r="H13" s="6" t="s">
        <v>94</v>
      </c>
    </row>
    <row r="14" spans="1:8" ht="33.75" customHeight="1" x14ac:dyDescent="0.25">
      <c r="A14" s="13" t="s">
        <v>96</v>
      </c>
      <c r="B14" s="2" t="s">
        <v>77</v>
      </c>
      <c r="C14" s="2" t="s">
        <v>97</v>
      </c>
      <c r="D14" s="2" t="s">
        <v>79</v>
      </c>
      <c r="E14" s="2">
        <v>31.699200000000001</v>
      </c>
      <c r="F14" s="2" t="s">
        <v>60</v>
      </c>
      <c r="G14" s="2" t="s">
        <v>61</v>
      </c>
      <c r="H14" s="6" t="s">
        <v>96</v>
      </c>
    </row>
    <row r="15" spans="1:8" ht="33.75" customHeight="1" x14ac:dyDescent="0.25">
      <c r="A15" s="14" t="s">
        <v>98</v>
      </c>
      <c r="B15" s="3" t="s">
        <v>57</v>
      </c>
      <c r="C15" s="3" t="s">
        <v>99</v>
      </c>
      <c r="D15" s="3" t="s">
        <v>59</v>
      </c>
      <c r="E15" s="3">
        <v>31.825199999999999</v>
      </c>
      <c r="F15" s="3" t="s">
        <v>60</v>
      </c>
      <c r="G15" s="3" t="s">
        <v>61</v>
      </c>
      <c r="H15" s="6" t="s">
        <v>98</v>
      </c>
    </row>
    <row r="16" spans="1:8" ht="33.75" customHeight="1" x14ac:dyDescent="0.25">
      <c r="A16" s="13" t="s">
        <v>100</v>
      </c>
      <c r="B16" s="2" t="s">
        <v>89</v>
      </c>
      <c r="C16" s="2" t="s">
        <v>101</v>
      </c>
      <c r="D16" s="2" t="s">
        <v>91</v>
      </c>
      <c r="E16" s="2">
        <v>32.389200000000002</v>
      </c>
      <c r="F16" s="2" t="s">
        <v>60</v>
      </c>
      <c r="G16" s="2" t="s">
        <v>61</v>
      </c>
      <c r="H16" s="6" t="s">
        <v>100</v>
      </c>
    </row>
    <row r="17" spans="1:8" ht="33.75" customHeight="1" x14ac:dyDescent="0.25">
      <c r="A17" s="14" t="s">
        <v>102</v>
      </c>
      <c r="B17" s="3" t="s">
        <v>89</v>
      </c>
      <c r="C17" s="3" t="s">
        <v>101</v>
      </c>
      <c r="D17" s="3" t="s">
        <v>91</v>
      </c>
      <c r="E17" s="3">
        <v>32.389200000000002</v>
      </c>
      <c r="F17" s="3" t="s">
        <v>60</v>
      </c>
      <c r="G17" s="3" t="s">
        <v>61</v>
      </c>
      <c r="H17" s="6" t="s">
        <v>102</v>
      </c>
    </row>
    <row r="18" spans="1:8" ht="33.75" customHeight="1" x14ac:dyDescent="0.25">
      <c r="A18" s="13" t="s">
        <v>103</v>
      </c>
      <c r="B18" s="2" t="s">
        <v>77</v>
      </c>
      <c r="C18" s="2" t="s">
        <v>104</v>
      </c>
      <c r="D18" s="2" t="s">
        <v>79</v>
      </c>
      <c r="E18" s="2">
        <v>31.699200000000001</v>
      </c>
      <c r="F18" s="2" t="s">
        <v>60</v>
      </c>
      <c r="G18" s="2" t="s">
        <v>61</v>
      </c>
      <c r="H18" s="6" t="s">
        <v>103</v>
      </c>
    </row>
    <row r="19" spans="1:8" ht="33.75" customHeight="1" x14ac:dyDescent="0.25">
      <c r="A19" s="14" t="s">
        <v>105</v>
      </c>
      <c r="B19" s="3" t="s">
        <v>57</v>
      </c>
      <c r="C19" s="3" t="s">
        <v>106</v>
      </c>
      <c r="D19" s="3" t="s">
        <v>59</v>
      </c>
      <c r="E19" s="3">
        <v>31.825199999999999</v>
      </c>
      <c r="F19" s="3" t="s">
        <v>60</v>
      </c>
      <c r="G19" s="3" t="s">
        <v>61</v>
      </c>
      <c r="H19" s="6" t="s">
        <v>105</v>
      </c>
    </row>
    <row r="20" spans="1:8" ht="33.75" customHeight="1" x14ac:dyDescent="0.25">
      <c r="A20" s="13" t="s">
        <v>107</v>
      </c>
      <c r="B20" s="2" t="s">
        <v>73</v>
      </c>
      <c r="C20" s="2" t="s">
        <v>108</v>
      </c>
      <c r="D20" s="2" t="s">
        <v>75</v>
      </c>
      <c r="E20" s="2">
        <v>31.538399999999999</v>
      </c>
      <c r="F20" s="2" t="s">
        <v>60</v>
      </c>
      <c r="G20" s="2" t="s">
        <v>61</v>
      </c>
      <c r="H20" s="6" t="s">
        <v>107</v>
      </c>
    </row>
    <row r="21" spans="1:8" ht="33.75" customHeight="1" x14ac:dyDescent="0.25">
      <c r="A21" s="14" t="s">
        <v>109</v>
      </c>
      <c r="B21" s="3" t="s">
        <v>89</v>
      </c>
      <c r="C21" s="3" t="s">
        <v>110</v>
      </c>
      <c r="D21" s="3" t="s">
        <v>91</v>
      </c>
      <c r="E21" s="3">
        <v>32.389200000000002</v>
      </c>
      <c r="F21" s="3" t="s">
        <v>60</v>
      </c>
      <c r="G21" s="3" t="s">
        <v>61</v>
      </c>
      <c r="H21" s="6" t="s">
        <v>109</v>
      </c>
    </row>
    <row r="22" spans="1:8" ht="33.75" customHeight="1" x14ac:dyDescent="0.25">
      <c r="A22" s="13" t="s">
        <v>111</v>
      </c>
      <c r="B22" s="2" t="s">
        <v>112</v>
      </c>
      <c r="C22" s="2" t="s">
        <v>113</v>
      </c>
      <c r="D22" s="2" t="s">
        <v>114</v>
      </c>
      <c r="E22" s="2">
        <v>30.7682</v>
      </c>
      <c r="F22" s="2" t="s">
        <v>60</v>
      </c>
      <c r="G22" s="2" t="s">
        <v>61</v>
      </c>
      <c r="H22" s="6" t="s">
        <v>111</v>
      </c>
    </row>
    <row r="23" spans="1:8" ht="33.75" customHeight="1" x14ac:dyDescent="0.25">
      <c r="A23" s="14" t="s">
        <v>115</v>
      </c>
      <c r="B23" s="3" t="s">
        <v>89</v>
      </c>
      <c r="C23" s="3" t="s">
        <v>116</v>
      </c>
      <c r="D23" s="3" t="s">
        <v>91</v>
      </c>
      <c r="E23" s="3">
        <v>32.389200000000002</v>
      </c>
      <c r="F23" s="3" t="s">
        <v>60</v>
      </c>
      <c r="G23" s="3" t="s">
        <v>61</v>
      </c>
      <c r="H23" s="6" t="s">
        <v>115</v>
      </c>
    </row>
    <row r="24" spans="1:8" ht="22.5" customHeight="1" x14ac:dyDescent="0.25">
      <c r="A24" s="13" t="s">
        <v>117</v>
      </c>
      <c r="B24" s="2" t="s">
        <v>83</v>
      </c>
      <c r="C24" s="2" t="s">
        <v>118</v>
      </c>
      <c r="D24" s="2" t="s">
        <v>85</v>
      </c>
      <c r="E24" s="2">
        <v>33.063000000000002</v>
      </c>
      <c r="F24" s="2" t="s">
        <v>60</v>
      </c>
      <c r="G24" s="2" t="s">
        <v>61</v>
      </c>
      <c r="H24" s="6" t="s">
        <v>117</v>
      </c>
    </row>
    <row r="25" spans="1:8" ht="33.75" customHeight="1" x14ac:dyDescent="0.25">
      <c r="A25" s="14" t="s">
        <v>119</v>
      </c>
      <c r="B25" s="3" t="s">
        <v>120</v>
      </c>
      <c r="C25" s="3" t="s">
        <v>121</v>
      </c>
      <c r="D25" s="3" t="s">
        <v>122</v>
      </c>
      <c r="E25" s="3">
        <v>33.349800000000002</v>
      </c>
      <c r="F25" s="3" t="s">
        <v>60</v>
      </c>
      <c r="G25" s="3" t="s">
        <v>61</v>
      </c>
      <c r="H25" s="6" t="s">
        <v>119</v>
      </c>
    </row>
    <row r="26" spans="1:8" ht="22.5" customHeight="1" x14ac:dyDescent="0.25">
      <c r="A26" s="13" t="s">
        <v>123</v>
      </c>
      <c r="B26" s="2" t="s">
        <v>120</v>
      </c>
      <c r="C26" s="2" t="s">
        <v>124</v>
      </c>
      <c r="D26" s="2" t="s">
        <v>122</v>
      </c>
      <c r="E26" s="2">
        <v>33.349800000000002</v>
      </c>
      <c r="F26" s="2" t="s">
        <v>60</v>
      </c>
      <c r="G26" s="2" t="s">
        <v>61</v>
      </c>
      <c r="H26" s="6" t="s">
        <v>123</v>
      </c>
    </row>
    <row r="27" spans="1:8" ht="33.75" customHeight="1" x14ac:dyDescent="0.25">
      <c r="A27" s="14" t="s">
        <v>125</v>
      </c>
      <c r="B27" s="3" t="s">
        <v>69</v>
      </c>
      <c r="C27" s="3" t="s">
        <v>126</v>
      </c>
      <c r="D27" s="3" t="s">
        <v>71</v>
      </c>
      <c r="E27" s="3">
        <v>32.102400000000003</v>
      </c>
      <c r="F27" s="3" t="s">
        <v>60</v>
      </c>
      <c r="G27" s="3" t="s">
        <v>61</v>
      </c>
      <c r="H27" s="6" t="s">
        <v>125</v>
      </c>
    </row>
    <row r="28" spans="1:8" ht="22.5" customHeight="1" x14ac:dyDescent="0.25">
      <c r="A28" s="13" t="s">
        <v>127</v>
      </c>
      <c r="B28" s="2" t="s">
        <v>89</v>
      </c>
      <c r="C28" s="2" t="s">
        <v>128</v>
      </c>
      <c r="D28" s="2" t="s">
        <v>91</v>
      </c>
      <c r="E28" s="2">
        <v>32.389200000000002</v>
      </c>
      <c r="F28" s="2" t="s">
        <v>60</v>
      </c>
      <c r="G28" s="2" t="s">
        <v>61</v>
      </c>
      <c r="H28" s="6" t="s">
        <v>127</v>
      </c>
    </row>
    <row r="29" spans="1:8" ht="33.75" customHeight="1" x14ac:dyDescent="0.25">
      <c r="A29" s="14" t="s">
        <v>129</v>
      </c>
      <c r="B29" s="3" t="s">
        <v>89</v>
      </c>
      <c r="C29" s="3" t="s">
        <v>130</v>
      </c>
      <c r="D29" s="3" t="s">
        <v>91</v>
      </c>
      <c r="E29" s="3">
        <v>32.389200000000002</v>
      </c>
      <c r="F29" s="3" t="s">
        <v>60</v>
      </c>
      <c r="G29" s="3" t="s">
        <v>61</v>
      </c>
      <c r="H29" s="6" t="s">
        <v>129</v>
      </c>
    </row>
    <row r="30" spans="1:8" ht="22.5" customHeight="1" x14ac:dyDescent="0.25">
      <c r="A30" s="13" t="s">
        <v>131</v>
      </c>
      <c r="B30" s="2" t="s">
        <v>69</v>
      </c>
      <c r="C30" s="2" t="s">
        <v>132</v>
      </c>
      <c r="D30" s="2" t="s">
        <v>71</v>
      </c>
      <c r="E30" s="2">
        <v>32.102400000000003</v>
      </c>
      <c r="F30" s="2" t="s">
        <v>60</v>
      </c>
      <c r="G30" s="2" t="s">
        <v>61</v>
      </c>
      <c r="H30" s="6" t="s">
        <v>131</v>
      </c>
    </row>
    <row r="31" spans="1:8" ht="33.75" customHeight="1" x14ac:dyDescent="0.25">
      <c r="A31" s="14" t="s">
        <v>133</v>
      </c>
      <c r="B31" s="3" t="s">
        <v>63</v>
      </c>
      <c r="C31" s="3" t="s">
        <v>134</v>
      </c>
      <c r="D31" s="3" t="s">
        <v>65</v>
      </c>
      <c r="E31" s="3">
        <v>31.412400000000002</v>
      </c>
      <c r="F31" s="3" t="s">
        <v>60</v>
      </c>
      <c r="G31" s="3" t="s">
        <v>61</v>
      </c>
      <c r="H31" s="6" t="s">
        <v>133</v>
      </c>
    </row>
    <row r="32" spans="1:8" ht="33.75" customHeight="1" x14ac:dyDescent="0.25">
      <c r="A32" s="13" t="s">
        <v>135</v>
      </c>
      <c r="B32" s="2" t="s">
        <v>69</v>
      </c>
      <c r="C32" s="2" t="s">
        <v>136</v>
      </c>
      <c r="D32" s="2" t="s">
        <v>71</v>
      </c>
      <c r="E32" s="2">
        <v>32.102400000000003</v>
      </c>
      <c r="F32" s="2" t="s">
        <v>60</v>
      </c>
      <c r="G32" s="2" t="s">
        <v>61</v>
      </c>
      <c r="H32" s="6" t="s">
        <v>135</v>
      </c>
    </row>
    <row r="33" spans="1:8" ht="33.75" customHeight="1" x14ac:dyDescent="0.25">
      <c r="A33" s="14" t="s">
        <v>137</v>
      </c>
      <c r="B33" s="3" t="s">
        <v>73</v>
      </c>
      <c r="C33" s="3" t="s">
        <v>138</v>
      </c>
      <c r="D33" s="3" t="s">
        <v>75</v>
      </c>
      <c r="E33" s="3">
        <v>31.538399999999999</v>
      </c>
      <c r="F33" s="3" t="s">
        <v>60</v>
      </c>
      <c r="G33" s="3" t="s">
        <v>61</v>
      </c>
      <c r="H33" s="6" t="s">
        <v>137</v>
      </c>
    </row>
    <row r="34" spans="1:8" ht="33.75" customHeight="1" x14ac:dyDescent="0.25">
      <c r="A34" s="13" t="s">
        <v>139</v>
      </c>
      <c r="B34" s="2" t="s">
        <v>77</v>
      </c>
      <c r="C34" s="2" t="s">
        <v>140</v>
      </c>
      <c r="D34" s="2" t="s">
        <v>79</v>
      </c>
      <c r="E34" s="2">
        <v>31.699200000000001</v>
      </c>
      <c r="F34" s="2" t="s">
        <v>60</v>
      </c>
      <c r="G34" s="2" t="s">
        <v>61</v>
      </c>
      <c r="H34" s="6" t="s">
        <v>139</v>
      </c>
    </row>
    <row r="35" spans="1:8" ht="45" customHeight="1" x14ac:dyDescent="0.25">
      <c r="A35" s="14" t="s">
        <v>141</v>
      </c>
      <c r="B35" s="3" t="s">
        <v>142</v>
      </c>
      <c r="C35" s="3" t="s">
        <v>143</v>
      </c>
      <c r="D35" s="3" t="s">
        <v>144</v>
      </c>
      <c r="E35" s="3"/>
      <c r="F35" s="3" t="s">
        <v>145</v>
      </c>
      <c r="G35" s="3" t="s">
        <v>146</v>
      </c>
      <c r="H35" s="6" t="s">
        <v>141</v>
      </c>
    </row>
    <row r="36" spans="1:8" ht="45" customHeight="1" x14ac:dyDescent="0.25">
      <c r="A36" s="13" t="s">
        <v>147</v>
      </c>
      <c r="B36" s="2" t="s">
        <v>142</v>
      </c>
      <c r="C36" s="2" t="s">
        <v>148</v>
      </c>
      <c r="D36" s="2" t="s">
        <v>144</v>
      </c>
      <c r="E36" s="2"/>
      <c r="F36" s="2" t="s">
        <v>145</v>
      </c>
      <c r="G36" s="2" t="s">
        <v>146</v>
      </c>
      <c r="H36" s="6" t="s">
        <v>147</v>
      </c>
    </row>
    <row r="37" spans="1:8" ht="45" customHeight="1" x14ac:dyDescent="0.25">
      <c r="A37" s="14" t="s">
        <v>149</v>
      </c>
      <c r="B37" s="3" t="s">
        <v>142</v>
      </c>
      <c r="C37" s="3" t="s">
        <v>150</v>
      </c>
      <c r="D37" s="3" t="s">
        <v>144</v>
      </c>
      <c r="E37" s="3"/>
      <c r="F37" s="3" t="s">
        <v>145</v>
      </c>
      <c r="G37" s="3" t="s">
        <v>146</v>
      </c>
      <c r="H37" s="6" t="s">
        <v>149</v>
      </c>
    </row>
    <row r="38" spans="1:8" ht="45" customHeight="1" x14ac:dyDescent="0.25">
      <c r="A38" s="13" t="s">
        <v>151</v>
      </c>
      <c r="B38" s="2" t="s">
        <v>142</v>
      </c>
      <c r="C38" s="2" t="s">
        <v>152</v>
      </c>
      <c r="D38" s="2" t="s">
        <v>144</v>
      </c>
      <c r="E38" s="2"/>
      <c r="F38" s="2" t="s">
        <v>145</v>
      </c>
      <c r="G38" s="2" t="s">
        <v>146</v>
      </c>
      <c r="H38" s="6" t="s">
        <v>151</v>
      </c>
    </row>
    <row r="39" spans="1:8" ht="33.75" customHeight="1" x14ac:dyDescent="0.25">
      <c r="A39" s="14" t="s">
        <v>153</v>
      </c>
      <c r="B39" s="3" t="s">
        <v>112</v>
      </c>
      <c r="C39" s="3" t="s">
        <v>154</v>
      </c>
      <c r="D39" s="3" t="s">
        <v>114</v>
      </c>
      <c r="E39" s="3">
        <v>30.7682</v>
      </c>
      <c r="F39" s="3" t="s">
        <v>60</v>
      </c>
      <c r="G39" s="3" t="s">
        <v>61</v>
      </c>
      <c r="H39" s="6" t="s">
        <v>153</v>
      </c>
    </row>
    <row r="40" spans="1:8" ht="33.75" customHeight="1" x14ac:dyDescent="0.25">
      <c r="A40" s="13" t="s">
        <v>155</v>
      </c>
      <c r="B40" s="2" t="s">
        <v>156</v>
      </c>
      <c r="C40" s="2" t="s">
        <v>157</v>
      </c>
      <c r="D40" s="2" t="s">
        <v>158</v>
      </c>
      <c r="E40" s="2">
        <v>30.987200000000001</v>
      </c>
      <c r="F40" s="2" t="s">
        <v>60</v>
      </c>
      <c r="G40" s="2" t="s">
        <v>61</v>
      </c>
      <c r="H40" s="6" t="s">
        <v>155</v>
      </c>
    </row>
    <row r="41" spans="1:8" ht="22.5" customHeight="1" x14ac:dyDescent="0.25">
      <c r="A41" s="14" t="s">
        <v>159</v>
      </c>
      <c r="B41" s="3" t="s">
        <v>160</v>
      </c>
      <c r="C41" s="3" t="s">
        <v>161</v>
      </c>
      <c r="D41" s="3" t="s">
        <v>162</v>
      </c>
      <c r="E41" s="3">
        <v>30.14864</v>
      </c>
      <c r="F41" s="3" t="s">
        <v>60</v>
      </c>
      <c r="G41" s="3" t="s">
        <v>61</v>
      </c>
      <c r="H41" s="6" t="s">
        <v>159</v>
      </c>
    </row>
    <row r="42" spans="1:8" ht="45" customHeight="1" x14ac:dyDescent="0.25">
      <c r="A42" s="13" t="s">
        <v>163</v>
      </c>
      <c r="B42" s="2" t="s">
        <v>142</v>
      </c>
      <c r="C42" s="2" t="s">
        <v>164</v>
      </c>
      <c r="D42" s="2" t="s">
        <v>144</v>
      </c>
      <c r="E42" s="2"/>
      <c r="F42" s="2" t="s">
        <v>145</v>
      </c>
      <c r="G42" s="2" t="s">
        <v>146</v>
      </c>
      <c r="H42" s="6" t="s">
        <v>163</v>
      </c>
    </row>
    <row r="43" spans="1:8" ht="45" customHeight="1" x14ac:dyDescent="0.25">
      <c r="A43" s="14" t="s">
        <v>165</v>
      </c>
      <c r="B43" s="3" t="s">
        <v>142</v>
      </c>
      <c r="C43" s="3" t="s">
        <v>166</v>
      </c>
      <c r="D43" s="3" t="s">
        <v>144</v>
      </c>
      <c r="E43" s="3"/>
      <c r="F43" s="3" t="s">
        <v>145</v>
      </c>
      <c r="G43" s="3" t="s">
        <v>146</v>
      </c>
      <c r="H43" s="6" t="s">
        <v>165</v>
      </c>
    </row>
    <row r="44" spans="1:8" ht="45" customHeight="1" x14ac:dyDescent="0.25">
      <c r="A44" s="13" t="s">
        <v>167</v>
      </c>
      <c r="B44" s="2" t="s">
        <v>142</v>
      </c>
      <c r="C44" s="2" t="s">
        <v>168</v>
      </c>
      <c r="D44" s="2" t="s">
        <v>144</v>
      </c>
      <c r="E44" s="2"/>
      <c r="F44" s="2" t="s">
        <v>145</v>
      </c>
      <c r="G44" s="2" t="s">
        <v>146</v>
      </c>
      <c r="H44" s="6" t="s">
        <v>167</v>
      </c>
    </row>
    <row r="45" spans="1:8" ht="45" customHeight="1" x14ac:dyDescent="0.25">
      <c r="A45" s="14" t="s">
        <v>169</v>
      </c>
      <c r="B45" s="3" t="s">
        <v>142</v>
      </c>
      <c r="C45" s="3" t="s">
        <v>170</v>
      </c>
      <c r="D45" s="3" t="s">
        <v>144</v>
      </c>
      <c r="E45" s="3"/>
      <c r="F45" s="3" t="s">
        <v>145</v>
      </c>
      <c r="G45" s="3" t="s">
        <v>146</v>
      </c>
      <c r="H45" s="6" t="s">
        <v>169</v>
      </c>
    </row>
    <row r="46" spans="1:8" ht="45" customHeight="1" x14ac:dyDescent="0.25">
      <c r="A46" s="13" t="s">
        <v>171</v>
      </c>
      <c r="B46" s="2" t="s">
        <v>142</v>
      </c>
      <c r="C46" s="2" t="s">
        <v>172</v>
      </c>
      <c r="D46" s="2" t="s">
        <v>144</v>
      </c>
      <c r="E46" s="2"/>
      <c r="F46" s="2" t="s">
        <v>145</v>
      </c>
      <c r="G46" s="2" t="s">
        <v>146</v>
      </c>
      <c r="H46" s="6" t="s">
        <v>171</v>
      </c>
    </row>
    <row r="47" spans="1:8" ht="45" customHeight="1" x14ac:dyDescent="0.25">
      <c r="A47" s="14" t="s">
        <v>173</v>
      </c>
      <c r="B47" s="3" t="s">
        <v>142</v>
      </c>
      <c r="C47" s="3" t="s">
        <v>174</v>
      </c>
      <c r="D47" s="3" t="s">
        <v>144</v>
      </c>
      <c r="E47" s="3"/>
      <c r="F47" s="3" t="s">
        <v>145</v>
      </c>
      <c r="G47" s="3" t="s">
        <v>146</v>
      </c>
      <c r="H47" s="6" t="s">
        <v>173</v>
      </c>
    </row>
    <row r="48" spans="1:8" ht="45" customHeight="1" x14ac:dyDescent="0.25">
      <c r="A48" s="13" t="s">
        <v>175</v>
      </c>
      <c r="B48" s="2" t="s">
        <v>142</v>
      </c>
      <c r="C48" s="2" t="s">
        <v>176</v>
      </c>
      <c r="D48" s="2" t="s">
        <v>144</v>
      </c>
      <c r="E48" s="2"/>
      <c r="F48" s="2" t="s">
        <v>145</v>
      </c>
      <c r="G48" s="2" t="s">
        <v>146</v>
      </c>
      <c r="H48" s="6" t="s">
        <v>175</v>
      </c>
    </row>
    <row r="49" spans="1:8" ht="33.75" customHeight="1" x14ac:dyDescent="0.25">
      <c r="A49" s="14" t="s">
        <v>177</v>
      </c>
      <c r="B49" s="3" t="s">
        <v>178</v>
      </c>
      <c r="C49" s="3" t="s">
        <v>179</v>
      </c>
      <c r="D49" s="3" t="s">
        <v>180</v>
      </c>
      <c r="E49" s="3">
        <v>28.922239999999999</v>
      </c>
      <c r="F49" s="3" t="s">
        <v>60</v>
      </c>
      <c r="G49" s="3" t="s">
        <v>61</v>
      </c>
      <c r="H49" s="6" t="s">
        <v>177</v>
      </c>
    </row>
    <row r="50" spans="1:8" ht="33.75" customHeight="1" x14ac:dyDescent="0.25">
      <c r="A50" s="13" t="s">
        <v>181</v>
      </c>
      <c r="B50" s="2" t="s">
        <v>182</v>
      </c>
      <c r="C50" s="2" t="s">
        <v>183</v>
      </c>
      <c r="D50" s="2" t="s">
        <v>184</v>
      </c>
      <c r="E50" s="2">
        <v>29.185759999999998</v>
      </c>
      <c r="F50" s="2" t="s">
        <v>60</v>
      </c>
      <c r="G50" s="2" t="s">
        <v>61</v>
      </c>
      <c r="H50" s="6" t="s">
        <v>181</v>
      </c>
    </row>
    <row r="51" spans="1:8" ht="33.75" customHeight="1" x14ac:dyDescent="0.25">
      <c r="A51" s="14" t="s">
        <v>185</v>
      </c>
      <c r="B51" s="3" t="s">
        <v>182</v>
      </c>
      <c r="C51" s="3" t="s">
        <v>186</v>
      </c>
      <c r="D51" s="3" t="s">
        <v>184</v>
      </c>
      <c r="E51" s="3">
        <v>29.185759999999998</v>
      </c>
      <c r="F51" s="3" t="s">
        <v>60</v>
      </c>
      <c r="G51" s="3" t="s">
        <v>61</v>
      </c>
      <c r="H51" s="6" t="s">
        <v>185</v>
      </c>
    </row>
    <row r="52" spans="1:8" ht="33.75" customHeight="1" x14ac:dyDescent="0.25">
      <c r="A52" s="13" t="s">
        <v>187</v>
      </c>
      <c r="B52" s="2" t="s">
        <v>188</v>
      </c>
      <c r="C52" s="2" t="s">
        <v>189</v>
      </c>
      <c r="D52" s="2" t="s">
        <v>190</v>
      </c>
      <c r="E52" s="2">
        <v>30.700399999999998</v>
      </c>
      <c r="F52" s="2" t="s">
        <v>60</v>
      </c>
      <c r="G52" s="2" t="s">
        <v>61</v>
      </c>
      <c r="H52" s="6" t="s">
        <v>187</v>
      </c>
    </row>
    <row r="53" spans="1:8" ht="33.75" customHeight="1" x14ac:dyDescent="0.25">
      <c r="A53" s="14" t="s">
        <v>191</v>
      </c>
      <c r="B53" s="3" t="s">
        <v>188</v>
      </c>
      <c r="C53" s="3" t="s">
        <v>192</v>
      </c>
      <c r="D53" s="3" t="s">
        <v>190</v>
      </c>
      <c r="E53" s="3">
        <v>30.700399999999998</v>
      </c>
      <c r="F53" s="3" t="s">
        <v>60</v>
      </c>
      <c r="G53" s="3" t="s">
        <v>61</v>
      </c>
      <c r="H53" s="6" t="s">
        <v>191</v>
      </c>
    </row>
    <row r="54" spans="1:8" ht="45" customHeight="1" x14ac:dyDescent="0.25">
      <c r="A54" s="13" t="s">
        <v>193</v>
      </c>
      <c r="B54" s="2" t="s">
        <v>142</v>
      </c>
      <c r="C54" s="2" t="s">
        <v>194</v>
      </c>
      <c r="D54" s="2" t="s">
        <v>144</v>
      </c>
      <c r="E54" s="2"/>
      <c r="F54" s="2" t="s">
        <v>145</v>
      </c>
      <c r="G54" s="2" t="s">
        <v>146</v>
      </c>
      <c r="H54" s="6" t="s">
        <v>193</v>
      </c>
    </row>
    <row r="55" spans="1:8" ht="33.75" customHeight="1" x14ac:dyDescent="0.25">
      <c r="A55" s="14" t="s">
        <v>195</v>
      </c>
      <c r="B55" s="3" t="s">
        <v>77</v>
      </c>
      <c r="C55" s="3" t="s">
        <v>196</v>
      </c>
      <c r="D55" s="3" t="s">
        <v>79</v>
      </c>
      <c r="E55" s="3">
        <v>31.699200000000001</v>
      </c>
      <c r="F55" s="3" t="s">
        <v>60</v>
      </c>
      <c r="G55" s="3" t="s">
        <v>61</v>
      </c>
      <c r="H55" s="6" t="s">
        <v>195</v>
      </c>
    </row>
    <row r="56" spans="1:8" ht="33.75" customHeight="1" x14ac:dyDescent="0.25">
      <c r="A56" s="13" t="s">
        <v>197</v>
      </c>
      <c r="B56" s="2" t="s">
        <v>77</v>
      </c>
      <c r="C56" s="2" t="s">
        <v>198</v>
      </c>
      <c r="D56" s="2" t="s">
        <v>79</v>
      </c>
      <c r="E56" s="2">
        <v>31.699200000000001</v>
      </c>
      <c r="F56" s="2" t="s">
        <v>60</v>
      </c>
      <c r="G56" s="2" t="s">
        <v>61</v>
      </c>
      <c r="H56" s="6" t="s">
        <v>197</v>
      </c>
    </row>
    <row r="57" spans="1:8" ht="33.75" customHeight="1" x14ac:dyDescent="0.25">
      <c r="A57" s="14" t="s">
        <v>199</v>
      </c>
      <c r="B57" s="3" t="s">
        <v>77</v>
      </c>
      <c r="C57" s="3" t="s">
        <v>200</v>
      </c>
      <c r="D57" s="3" t="s">
        <v>79</v>
      </c>
      <c r="E57" s="3">
        <v>31.699200000000001</v>
      </c>
      <c r="F57" s="3" t="s">
        <v>60</v>
      </c>
      <c r="G57" s="3" t="s">
        <v>61</v>
      </c>
      <c r="H57" s="6" t="s">
        <v>199</v>
      </c>
    </row>
    <row r="58" spans="1:8" ht="33.75" customHeight="1" x14ac:dyDescent="0.25">
      <c r="A58" s="13" t="s">
        <v>201</v>
      </c>
      <c r="B58" s="2" t="s">
        <v>89</v>
      </c>
      <c r="C58" s="2" t="s">
        <v>202</v>
      </c>
      <c r="D58" s="2" t="s">
        <v>91</v>
      </c>
      <c r="E58" s="2">
        <v>32.389200000000002</v>
      </c>
      <c r="F58" s="2" t="s">
        <v>60</v>
      </c>
      <c r="G58" s="2" t="s">
        <v>61</v>
      </c>
      <c r="H58" s="6" t="s">
        <v>201</v>
      </c>
    </row>
    <row r="59" spans="1:8" ht="33.75" customHeight="1" x14ac:dyDescent="0.25">
      <c r="A59" s="14" t="s">
        <v>203</v>
      </c>
      <c r="B59" s="3" t="s">
        <v>89</v>
      </c>
      <c r="C59" s="3" t="s">
        <v>204</v>
      </c>
      <c r="D59" s="3" t="s">
        <v>91</v>
      </c>
      <c r="E59" s="3">
        <v>32.389200000000002</v>
      </c>
      <c r="F59" s="3" t="s">
        <v>60</v>
      </c>
      <c r="G59" s="3" t="s">
        <v>61</v>
      </c>
      <c r="H59" s="6" t="s">
        <v>203</v>
      </c>
    </row>
    <row r="60" spans="1:8" ht="33.75" customHeight="1" x14ac:dyDescent="0.25">
      <c r="A60" s="13" t="s">
        <v>205</v>
      </c>
      <c r="B60" s="2" t="s">
        <v>89</v>
      </c>
      <c r="C60" s="2" t="s">
        <v>206</v>
      </c>
      <c r="D60" s="2" t="s">
        <v>91</v>
      </c>
      <c r="E60" s="2">
        <v>32.389200000000002</v>
      </c>
      <c r="F60" s="2" t="s">
        <v>60</v>
      </c>
      <c r="G60" s="2" t="s">
        <v>61</v>
      </c>
      <c r="H60" s="6" t="s">
        <v>205</v>
      </c>
    </row>
    <row r="61" spans="1:8" ht="33.75" customHeight="1" x14ac:dyDescent="0.25">
      <c r="A61" s="14" t="s">
        <v>207</v>
      </c>
      <c r="B61" s="3" t="s">
        <v>57</v>
      </c>
      <c r="C61" s="3" t="s">
        <v>208</v>
      </c>
      <c r="D61" s="3" t="s">
        <v>59</v>
      </c>
      <c r="E61" s="3">
        <v>31.825199999999999</v>
      </c>
      <c r="F61" s="3" t="s">
        <v>60</v>
      </c>
      <c r="G61" s="3" t="s">
        <v>61</v>
      </c>
      <c r="H61" s="6" t="s">
        <v>207</v>
      </c>
    </row>
    <row r="62" spans="1:8" ht="33.75" customHeight="1" x14ac:dyDescent="0.25">
      <c r="A62" s="13" t="s">
        <v>209</v>
      </c>
      <c r="B62" s="2" t="s">
        <v>57</v>
      </c>
      <c r="C62" s="2" t="s">
        <v>210</v>
      </c>
      <c r="D62" s="2" t="s">
        <v>59</v>
      </c>
      <c r="E62" s="2">
        <v>31.825199999999999</v>
      </c>
      <c r="F62" s="2" t="s">
        <v>60</v>
      </c>
      <c r="G62" s="2" t="s">
        <v>61</v>
      </c>
      <c r="H62" s="6" t="s">
        <v>209</v>
      </c>
    </row>
    <row r="63" spans="1:8" ht="33.75" customHeight="1" x14ac:dyDescent="0.25">
      <c r="A63" s="14" t="s">
        <v>211</v>
      </c>
      <c r="B63" s="3" t="s">
        <v>77</v>
      </c>
      <c r="C63" s="3" t="s">
        <v>212</v>
      </c>
      <c r="D63" s="3" t="s">
        <v>79</v>
      </c>
      <c r="E63" s="3">
        <v>31.699200000000001</v>
      </c>
      <c r="F63" s="3" t="s">
        <v>60</v>
      </c>
      <c r="G63" s="3" t="s">
        <v>61</v>
      </c>
      <c r="H63" s="6" t="s">
        <v>211</v>
      </c>
    </row>
    <row r="64" spans="1:8" ht="22.5" customHeight="1" x14ac:dyDescent="0.25">
      <c r="A64" s="13" t="s">
        <v>213</v>
      </c>
      <c r="B64" s="2" t="s">
        <v>214</v>
      </c>
      <c r="C64" s="2" t="s">
        <v>215</v>
      </c>
      <c r="D64" s="2" t="s">
        <v>216</v>
      </c>
      <c r="E64" s="2">
        <v>27.839200000000002</v>
      </c>
      <c r="F64" s="2" t="s">
        <v>60</v>
      </c>
      <c r="G64" s="2" t="s">
        <v>61</v>
      </c>
      <c r="H64" s="6" t="s">
        <v>213</v>
      </c>
    </row>
    <row r="65" spans="1:8" ht="22.5" customHeight="1" x14ac:dyDescent="0.25">
      <c r="A65" s="14" t="s">
        <v>217</v>
      </c>
      <c r="B65" s="3" t="s">
        <v>218</v>
      </c>
      <c r="C65" s="3" t="s">
        <v>219</v>
      </c>
      <c r="D65" s="3" t="s">
        <v>220</v>
      </c>
      <c r="E65" s="3">
        <v>27.839200000000002</v>
      </c>
      <c r="F65" s="3" t="s">
        <v>60</v>
      </c>
      <c r="G65" s="3" t="s">
        <v>61</v>
      </c>
      <c r="H65" s="6" t="s">
        <v>217</v>
      </c>
    </row>
    <row r="66" spans="1:8" ht="22.5" customHeight="1" x14ac:dyDescent="0.25">
      <c r="A66" s="13" t="s">
        <v>221</v>
      </c>
      <c r="B66" s="2" t="s">
        <v>222</v>
      </c>
      <c r="C66" s="2" t="s">
        <v>223</v>
      </c>
      <c r="D66" s="2" t="s">
        <v>224</v>
      </c>
      <c r="E66" s="2">
        <v>27.839200000000002</v>
      </c>
      <c r="F66" s="2" t="s">
        <v>60</v>
      </c>
      <c r="G66" s="2" t="s">
        <v>61</v>
      </c>
      <c r="H66" s="6" t="s">
        <v>221</v>
      </c>
    </row>
    <row r="67" spans="1:8" ht="33.75" customHeight="1" x14ac:dyDescent="0.25">
      <c r="A67" s="14" t="s">
        <v>225</v>
      </c>
      <c r="B67" s="3" t="s">
        <v>226</v>
      </c>
      <c r="C67" s="3" t="s">
        <v>227</v>
      </c>
      <c r="D67" s="3" t="s">
        <v>228</v>
      </c>
      <c r="E67" s="3">
        <v>30.6632</v>
      </c>
      <c r="F67" s="3" t="s">
        <v>60</v>
      </c>
      <c r="G67" s="3" t="s">
        <v>61</v>
      </c>
      <c r="H67" s="6" t="s">
        <v>225</v>
      </c>
    </row>
    <row r="68" spans="1:8" ht="33.75" customHeight="1" x14ac:dyDescent="0.25">
      <c r="A68" s="13" t="s">
        <v>229</v>
      </c>
      <c r="B68" s="2" t="s">
        <v>112</v>
      </c>
      <c r="C68" s="2" t="s">
        <v>230</v>
      </c>
      <c r="D68" s="2" t="s">
        <v>114</v>
      </c>
      <c r="E68" s="2">
        <v>30.7682</v>
      </c>
      <c r="F68" s="2" t="s">
        <v>60</v>
      </c>
      <c r="G68" s="2" t="s">
        <v>61</v>
      </c>
      <c r="H68" s="6" t="s">
        <v>229</v>
      </c>
    </row>
    <row r="69" spans="1:8" ht="33.75" customHeight="1" x14ac:dyDescent="0.25">
      <c r="A69" s="14" t="s">
        <v>231</v>
      </c>
      <c r="B69" s="3" t="s">
        <v>57</v>
      </c>
      <c r="C69" s="3" t="s">
        <v>208</v>
      </c>
      <c r="D69" s="3" t="s">
        <v>59</v>
      </c>
      <c r="E69" s="3">
        <v>31.825199999999999</v>
      </c>
      <c r="F69" s="3" t="s">
        <v>60</v>
      </c>
      <c r="G69" s="3" t="s">
        <v>61</v>
      </c>
      <c r="H69" s="6" t="s">
        <v>231</v>
      </c>
    </row>
    <row r="70" spans="1:8" ht="33.75" customHeight="1" x14ac:dyDescent="0.25">
      <c r="A70" s="13" t="s">
        <v>232</v>
      </c>
      <c r="B70" s="2" t="s">
        <v>77</v>
      </c>
      <c r="C70" s="2" t="s">
        <v>233</v>
      </c>
      <c r="D70" s="2" t="s">
        <v>79</v>
      </c>
      <c r="E70" s="2">
        <v>31.699200000000001</v>
      </c>
      <c r="F70" s="2" t="s">
        <v>60</v>
      </c>
      <c r="G70" s="2" t="s">
        <v>61</v>
      </c>
      <c r="H70" s="6" t="s">
        <v>232</v>
      </c>
    </row>
    <row r="71" spans="1:8" ht="33.75" customHeight="1" x14ac:dyDescent="0.25">
      <c r="A71" s="14" t="s">
        <v>234</v>
      </c>
      <c r="B71" s="3" t="s">
        <v>120</v>
      </c>
      <c r="C71" s="3" t="s">
        <v>235</v>
      </c>
      <c r="D71" s="3" t="s">
        <v>122</v>
      </c>
      <c r="E71" s="3">
        <v>33.349800000000002</v>
      </c>
      <c r="F71" s="3" t="s">
        <v>60</v>
      </c>
      <c r="G71" s="3" t="s">
        <v>61</v>
      </c>
      <c r="H71" s="6" t="s">
        <v>234</v>
      </c>
    </row>
    <row r="72" spans="1:8" ht="33.75" customHeight="1" x14ac:dyDescent="0.25">
      <c r="A72" s="13" t="s">
        <v>236</v>
      </c>
      <c r="B72" s="2" t="s">
        <v>77</v>
      </c>
      <c r="C72" s="2" t="s">
        <v>237</v>
      </c>
      <c r="D72" s="2" t="s">
        <v>79</v>
      </c>
      <c r="E72" s="2">
        <v>31.699200000000001</v>
      </c>
      <c r="F72" s="2" t="s">
        <v>60</v>
      </c>
      <c r="G72" s="2" t="s">
        <v>61</v>
      </c>
      <c r="H72" s="6" t="s">
        <v>236</v>
      </c>
    </row>
    <row r="73" spans="1:8" ht="33.75" customHeight="1" x14ac:dyDescent="0.25">
      <c r="A73" s="14" t="s">
        <v>238</v>
      </c>
      <c r="B73" s="3" t="s">
        <v>77</v>
      </c>
      <c r="C73" s="3" t="s">
        <v>239</v>
      </c>
      <c r="D73" s="3" t="s">
        <v>79</v>
      </c>
      <c r="E73" s="3">
        <v>31.699200000000001</v>
      </c>
      <c r="F73" s="3" t="s">
        <v>60</v>
      </c>
      <c r="G73" s="3" t="s">
        <v>61</v>
      </c>
      <c r="H73" s="6" t="s">
        <v>238</v>
      </c>
    </row>
    <row r="74" spans="1:8" ht="33.75" customHeight="1" x14ac:dyDescent="0.25">
      <c r="A74" s="13" t="s">
        <v>240</v>
      </c>
      <c r="B74" s="2" t="s">
        <v>89</v>
      </c>
      <c r="C74" s="2" t="s">
        <v>241</v>
      </c>
      <c r="D74" s="2" t="s">
        <v>91</v>
      </c>
      <c r="E74" s="2">
        <v>32.389200000000002</v>
      </c>
      <c r="F74" s="2" t="s">
        <v>60</v>
      </c>
      <c r="G74" s="2" t="s">
        <v>61</v>
      </c>
      <c r="H74" s="6" t="s">
        <v>240</v>
      </c>
    </row>
    <row r="75" spans="1:8" ht="33.75" customHeight="1" x14ac:dyDescent="0.25">
      <c r="A75" s="14" t="s">
        <v>242</v>
      </c>
      <c r="B75" s="3" t="s">
        <v>77</v>
      </c>
      <c r="C75" s="3" t="s">
        <v>243</v>
      </c>
      <c r="D75" s="3" t="s">
        <v>79</v>
      </c>
      <c r="E75" s="3">
        <v>31.699200000000001</v>
      </c>
      <c r="F75" s="3" t="s">
        <v>60</v>
      </c>
      <c r="G75" s="3" t="s">
        <v>61</v>
      </c>
      <c r="H75" s="6" t="s">
        <v>242</v>
      </c>
    </row>
    <row r="76" spans="1:8" ht="33.75" customHeight="1" x14ac:dyDescent="0.25">
      <c r="A76" s="13" t="s">
        <v>244</v>
      </c>
      <c r="B76" s="2" t="s">
        <v>120</v>
      </c>
      <c r="C76" s="2" t="s">
        <v>245</v>
      </c>
      <c r="D76" s="2" t="s">
        <v>122</v>
      </c>
      <c r="E76" s="2">
        <v>33.349800000000002</v>
      </c>
      <c r="F76" s="2" t="s">
        <v>60</v>
      </c>
      <c r="G76" s="2" t="s">
        <v>61</v>
      </c>
      <c r="H76" s="6" t="s">
        <v>244</v>
      </c>
    </row>
    <row r="77" spans="1:8" ht="33.75" customHeight="1" x14ac:dyDescent="0.25">
      <c r="A77" s="14" t="s">
        <v>246</v>
      </c>
      <c r="B77" s="3" t="s">
        <v>89</v>
      </c>
      <c r="C77" s="3" t="s">
        <v>247</v>
      </c>
      <c r="D77" s="3" t="s">
        <v>91</v>
      </c>
      <c r="E77" s="3">
        <v>32.389200000000002</v>
      </c>
      <c r="F77" s="3" t="s">
        <v>60</v>
      </c>
      <c r="G77" s="3" t="s">
        <v>61</v>
      </c>
      <c r="H77" s="6" t="s">
        <v>246</v>
      </c>
    </row>
    <row r="78" spans="1:8" ht="33.75" customHeight="1" x14ac:dyDescent="0.25">
      <c r="A78" s="13" t="s">
        <v>248</v>
      </c>
      <c r="B78" s="2" t="s">
        <v>120</v>
      </c>
      <c r="C78" s="2" t="s">
        <v>249</v>
      </c>
      <c r="D78" s="2" t="s">
        <v>122</v>
      </c>
      <c r="E78" s="2">
        <v>33.349800000000002</v>
      </c>
      <c r="F78" s="2" t="s">
        <v>60</v>
      </c>
      <c r="G78" s="2" t="s">
        <v>61</v>
      </c>
      <c r="H78" s="6" t="s">
        <v>248</v>
      </c>
    </row>
    <row r="79" spans="1:8" ht="33.75" customHeight="1" x14ac:dyDescent="0.25">
      <c r="A79" s="14" t="s">
        <v>250</v>
      </c>
      <c r="B79" s="3" t="s">
        <v>57</v>
      </c>
      <c r="C79" s="3" t="s">
        <v>251</v>
      </c>
      <c r="D79" s="3" t="s">
        <v>59</v>
      </c>
      <c r="E79" s="3">
        <v>31.825199999999999</v>
      </c>
      <c r="F79" s="3" t="s">
        <v>60</v>
      </c>
      <c r="G79" s="3" t="s">
        <v>61</v>
      </c>
      <c r="H79" s="6" t="s">
        <v>250</v>
      </c>
    </row>
    <row r="80" spans="1:8" ht="33.75" customHeight="1" x14ac:dyDescent="0.25">
      <c r="A80" s="13" t="s">
        <v>252</v>
      </c>
      <c r="B80" s="2" t="s">
        <v>156</v>
      </c>
      <c r="C80" s="2" t="s">
        <v>253</v>
      </c>
      <c r="D80" s="2" t="s">
        <v>158</v>
      </c>
      <c r="E80" s="2">
        <v>30.987200000000001</v>
      </c>
      <c r="F80" s="2" t="s">
        <v>60</v>
      </c>
      <c r="G80" s="2" t="s">
        <v>61</v>
      </c>
      <c r="H80" s="6" t="s">
        <v>252</v>
      </c>
    </row>
    <row r="81" spans="1:8" ht="33.75" customHeight="1" x14ac:dyDescent="0.25">
      <c r="A81" s="14" t="s">
        <v>254</v>
      </c>
      <c r="B81" s="3" t="s">
        <v>226</v>
      </c>
      <c r="C81" s="3" t="s">
        <v>255</v>
      </c>
      <c r="D81" s="3" t="s">
        <v>228</v>
      </c>
      <c r="E81" s="3">
        <v>30.6632</v>
      </c>
      <c r="F81" s="3" t="s">
        <v>60</v>
      </c>
      <c r="G81" s="3" t="s">
        <v>61</v>
      </c>
      <c r="H81" s="6" t="s">
        <v>254</v>
      </c>
    </row>
    <row r="82" spans="1:8" ht="45" customHeight="1" x14ac:dyDescent="0.25">
      <c r="A82" s="13" t="s">
        <v>256</v>
      </c>
      <c r="B82" s="2" t="s">
        <v>142</v>
      </c>
      <c r="C82" s="2" t="s">
        <v>257</v>
      </c>
      <c r="D82" s="2" t="s">
        <v>144</v>
      </c>
      <c r="E82" s="2"/>
      <c r="F82" s="2" t="s">
        <v>145</v>
      </c>
      <c r="G82" s="2" t="s">
        <v>146</v>
      </c>
      <c r="H82" s="6" t="s">
        <v>256</v>
      </c>
    </row>
    <row r="83" spans="1:8" ht="22.5" customHeight="1" x14ac:dyDescent="0.25">
      <c r="A83" s="14" t="s">
        <v>258</v>
      </c>
      <c r="B83" s="3" t="s">
        <v>259</v>
      </c>
      <c r="C83" s="3" t="s">
        <v>260</v>
      </c>
      <c r="D83" s="3" t="s">
        <v>261</v>
      </c>
      <c r="E83" s="3">
        <v>27.018239999999999</v>
      </c>
      <c r="F83" s="3" t="s">
        <v>60</v>
      </c>
      <c r="G83" s="3" t="s">
        <v>61</v>
      </c>
      <c r="H83" s="6" t="s">
        <v>258</v>
      </c>
    </row>
    <row r="84" spans="1:8" ht="45" customHeight="1" x14ac:dyDescent="0.25">
      <c r="A84" s="13" t="s">
        <v>262</v>
      </c>
      <c r="B84" s="2" t="s">
        <v>142</v>
      </c>
      <c r="C84" s="2" t="s">
        <v>263</v>
      </c>
      <c r="D84" s="2" t="s">
        <v>144</v>
      </c>
      <c r="E84" s="2"/>
      <c r="F84" s="2" t="s">
        <v>145</v>
      </c>
      <c r="G84" s="2" t="s">
        <v>146</v>
      </c>
      <c r="H84" s="6" t="s">
        <v>262</v>
      </c>
    </row>
    <row r="85" spans="1:8" ht="22.5" customHeight="1" x14ac:dyDescent="0.25">
      <c r="A85" s="14" t="s">
        <v>264</v>
      </c>
      <c r="B85" s="3" t="s">
        <v>265</v>
      </c>
      <c r="C85" s="3" t="s">
        <v>266</v>
      </c>
      <c r="D85" s="3" t="s">
        <v>267</v>
      </c>
      <c r="E85" s="3">
        <v>27.839200000000002</v>
      </c>
      <c r="F85" s="3" t="s">
        <v>60</v>
      </c>
      <c r="G85" s="3" t="s">
        <v>61</v>
      </c>
      <c r="H85" s="6" t="s">
        <v>264</v>
      </c>
    </row>
    <row r="86" spans="1:8" ht="45" customHeight="1" x14ac:dyDescent="0.25">
      <c r="A86" s="13" t="s">
        <v>268</v>
      </c>
      <c r="B86" s="2" t="s">
        <v>142</v>
      </c>
      <c r="C86" s="2" t="s">
        <v>269</v>
      </c>
      <c r="D86" s="2" t="s">
        <v>144</v>
      </c>
      <c r="E86" s="2"/>
      <c r="F86" s="2" t="s">
        <v>145</v>
      </c>
      <c r="G86" s="2" t="s">
        <v>146</v>
      </c>
      <c r="H86" s="6" t="s">
        <v>268</v>
      </c>
    </row>
    <row r="87" spans="1:8" ht="45" customHeight="1" x14ac:dyDescent="0.25">
      <c r="A87" s="14" t="s">
        <v>270</v>
      </c>
      <c r="B87" s="3" t="s">
        <v>142</v>
      </c>
      <c r="C87" s="3" t="s">
        <v>271</v>
      </c>
      <c r="D87" s="3" t="s">
        <v>144</v>
      </c>
      <c r="E87" s="3"/>
      <c r="F87" s="3" t="s">
        <v>145</v>
      </c>
      <c r="G87" s="3" t="s">
        <v>146</v>
      </c>
      <c r="H87" s="6" t="s">
        <v>270</v>
      </c>
    </row>
    <row r="88" spans="1:8" ht="33.75" customHeight="1" x14ac:dyDescent="0.25">
      <c r="A88" s="13" t="s">
        <v>272</v>
      </c>
      <c r="B88" s="2" t="s">
        <v>273</v>
      </c>
      <c r="C88" s="2" t="s">
        <v>274</v>
      </c>
      <c r="D88" s="2" t="s">
        <v>275</v>
      </c>
      <c r="E88" s="2">
        <v>30.084199999999999</v>
      </c>
      <c r="F88" s="2" t="s">
        <v>60</v>
      </c>
      <c r="G88" s="2" t="s">
        <v>61</v>
      </c>
      <c r="H88" s="6" t="s">
        <v>272</v>
      </c>
    </row>
    <row r="89" spans="1:8" ht="33.75" customHeight="1" x14ac:dyDescent="0.25">
      <c r="A89" s="14" t="s">
        <v>276</v>
      </c>
      <c r="B89" s="3" t="s">
        <v>277</v>
      </c>
      <c r="C89" s="3" t="s">
        <v>278</v>
      </c>
      <c r="D89" s="3" t="s">
        <v>279</v>
      </c>
      <c r="E89" s="3">
        <v>29.7592</v>
      </c>
      <c r="F89" s="3" t="s">
        <v>60</v>
      </c>
      <c r="G89" s="3" t="s">
        <v>61</v>
      </c>
      <c r="H89" s="6" t="s">
        <v>276</v>
      </c>
    </row>
    <row r="90" spans="1:8" ht="33.75" customHeight="1" x14ac:dyDescent="0.25">
      <c r="A90" s="13" t="s">
        <v>280</v>
      </c>
      <c r="B90" s="2" t="s">
        <v>57</v>
      </c>
      <c r="C90" s="2" t="s">
        <v>281</v>
      </c>
      <c r="D90" s="2" t="s">
        <v>59</v>
      </c>
      <c r="E90" s="2">
        <v>31.825199999999999</v>
      </c>
      <c r="F90" s="2" t="s">
        <v>60</v>
      </c>
      <c r="G90" s="2" t="s">
        <v>61</v>
      </c>
      <c r="H90" s="6" t="s">
        <v>280</v>
      </c>
    </row>
    <row r="91" spans="1:8" ht="45" customHeight="1" x14ac:dyDescent="0.25">
      <c r="A91" s="14" t="s">
        <v>282</v>
      </c>
      <c r="B91" s="3" t="s">
        <v>142</v>
      </c>
      <c r="C91" s="3" t="s">
        <v>283</v>
      </c>
      <c r="D91" s="3" t="s">
        <v>144</v>
      </c>
      <c r="E91" s="3"/>
      <c r="F91" s="3" t="s">
        <v>145</v>
      </c>
      <c r="G91" s="3" t="s">
        <v>146</v>
      </c>
      <c r="H91" s="6" t="s">
        <v>282</v>
      </c>
    </row>
    <row r="92" spans="1:8" ht="22.5" customHeight="1" x14ac:dyDescent="0.25">
      <c r="A92" s="13" t="s">
        <v>284</v>
      </c>
      <c r="B92" s="2" t="s">
        <v>83</v>
      </c>
      <c r="C92" s="2" t="s">
        <v>84</v>
      </c>
      <c r="D92" s="2" t="s">
        <v>85</v>
      </c>
      <c r="E92" s="2">
        <v>33.063000000000002</v>
      </c>
      <c r="F92" s="2" t="s">
        <v>60</v>
      </c>
      <c r="G92" s="2" t="s">
        <v>61</v>
      </c>
      <c r="H92" s="6" t="s">
        <v>284</v>
      </c>
    </row>
    <row r="93" spans="1:8" ht="33.75" customHeight="1" x14ac:dyDescent="0.25">
      <c r="A93" s="14" t="s">
        <v>285</v>
      </c>
      <c r="B93" s="3" t="s">
        <v>89</v>
      </c>
      <c r="C93" s="3" t="s">
        <v>286</v>
      </c>
      <c r="D93" s="3" t="s">
        <v>91</v>
      </c>
      <c r="E93" s="3">
        <v>32.389200000000002</v>
      </c>
      <c r="F93" s="3" t="s">
        <v>60</v>
      </c>
      <c r="G93" s="3" t="s">
        <v>61</v>
      </c>
      <c r="H93" s="6" t="s">
        <v>285</v>
      </c>
    </row>
    <row r="94" spans="1:8" ht="33.75" customHeight="1" x14ac:dyDescent="0.25">
      <c r="A94" s="13" t="s">
        <v>287</v>
      </c>
      <c r="B94" s="2" t="s">
        <v>57</v>
      </c>
      <c r="C94" s="2" t="s">
        <v>288</v>
      </c>
      <c r="D94" s="2" t="s">
        <v>59</v>
      </c>
      <c r="E94" s="2">
        <v>31.825199999999999</v>
      </c>
      <c r="F94" s="2" t="s">
        <v>60</v>
      </c>
      <c r="G94" s="2" t="s">
        <v>61</v>
      </c>
      <c r="H94" s="6" t="s">
        <v>287</v>
      </c>
    </row>
    <row r="95" spans="1:8" ht="33.75" customHeight="1" x14ac:dyDescent="0.25">
      <c r="A95" s="14" t="s">
        <v>289</v>
      </c>
      <c r="B95" s="3" t="s">
        <v>77</v>
      </c>
      <c r="C95" s="3" t="s">
        <v>290</v>
      </c>
      <c r="D95" s="3" t="s">
        <v>79</v>
      </c>
      <c r="E95" s="3">
        <v>31.699200000000001</v>
      </c>
      <c r="F95" s="3" t="s">
        <v>60</v>
      </c>
      <c r="G95" s="3" t="s">
        <v>61</v>
      </c>
      <c r="H95" s="6" t="s">
        <v>289</v>
      </c>
    </row>
    <row r="96" spans="1:8" ht="33.75" customHeight="1" x14ac:dyDescent="0.25">
      <c r="A96" s="13" t="s">
        <v>291</v>
      </c>
      <c r="B96" s="2" t="s">
        <v>292</v>
      </c>
      <c r="C96" s="2" t="s">
        <v>293</v>
      </c>
      <c r="D96" s="2" t="s">
        <v>294</v>
      </c>
      <c r="E96" s="2">
        <v>27.526</v>
      </c>
      <c r="F96" s="2" t="s">
        <v>60</v>
      </c>
      <c r="G96" s="2" t="s">
        <v>61</v>
      </c>
      <c r="H96" s="6" t="s">
        <v>291</v>
      </c>
    </row>
    <row r="97" spans="1:8" ht="33.75" customHeight="1" x14ac:dyDescent="0.25">
      <c r="A97" s="14" t="s">
        <v>295</v>
      </c>
      <c r="B97" s="3" t="s">
        <v>83</v>
      </c>
      <c r="C97" s="3" t="s">
        <v>296</v>
      </c>
      <c r="D97" s="3" t="s">
        <v>85</v>
      </c>
      <c r="E97" s="3">
        <v>33.063000000000002</v>
      </c>
      <c r="F97" s="3" t="s">
        <v>60</v>
      </c>
      <c r="G97" s="3" t="s">
        <v>61</v>
      </c>
      <c r="H97" s="6" t="s">
        <v>295</v>
      </c>
    </row>
    <row r="98" spans="1:8" ht="33.75" customHeight="1" x14ac:dyDescent="0.25">
      <c r="A98" s="13" t="s">
        <v>297</v>
      </c>
      <c r="B98" s="2" t="s">
        <v>120</v>
      </c>
      <c r="C98" s="2" t="s">
        <v>298</v>
      </c>
      <c r="D98" s="2" t="s">
        <v>122</v>
      </c>
      <c r="E98" s="2">
        <v>33.349800000000002</v>
      </c>
      <c r="F98" s="2" t="s">
        <v>60</v>
      </c>
      <c r="G98" s="2" t="s">
        <v>61</v>
      </c>
      <c r="H98" s="6" t="s">
        <v>297</v>
      </c>
    </row>
    <row r="99" spans="1:8" ht="45" customHeight="1" x14ac:dyDescent="0.25">
      <c r="A99" s="14" t="s">
        <v>299</v>
      </c>
      <c r="B99" s="3" t="s">
        <v>142</v>
      </c>
      <c r="C99" s="3" t="s">
        <v>300</v>
      </c>
      <c r="D99" s="3" t="s">
        <v>144</v>
      </c>
      <c r="E99" s="3"/>
      <c r="F99" s="3" t="s">
        <v>145</v>
      </c>
      <c r="G99" s="3" t="s">
        <v>146</v>
      </c>
      <c r="H99" s="6" t="s">
        <v>299</v>
      </c>
    </row>
    <row r="100" spans="1:8" ht="45" customHeight="1" x14ac:dyDescent="0.25">
      <c r="A100" s="13" t="s">
        <v>301</v>
      </c>
      <c r="B100" s="2" t="s">
        <v>142</v>
      </c>
      <c r="C100" s="2" t="s">
        <v>302</v>
      </c>
      <c r="D100" s="2" t="s">
        <v>144</v>
      </c>
      <c r="E100" s="2"/>
      <c r="F100" s="2" t="s">
        <v>145</v>
      </c>
      <c r="G100" s="2" t="s">
        <v>146</v>
      </c>
      <c r="H100" s="6" t="s">
        <v>301</v>
      </c>
    </row>
    <row r="101" spans="1:8" ht="33.75" customHeight="1" x14ac:dyDescent="0.25">
      <c r="A101" s="14" t="s">
        <v>303</v>
      </c>
      <c r="B101" s="3" t="s">
        <v>112</v>
      </c>
      <c r="C101" s="3" t="s">
        <v>304</v>
      </c>
      <c r="D101" s="3" t="s">
        <v>114</v>
      </c>
      <c r="E101" s="3">
        <v>30.7682</v>
      </c>
      <c r="F101" s="3" t="s">
        <v>60</v>
      </c>
      <c r="G101" s="3" t="s">
        <v>61</v>
      </c>
      <c r="H101" s="6" t="s">
        <v>303</v>
      </c>
    </row>
    <row r="102" spans="1:8" ht="33.75" customHeight="1" x14ac:dyDescent="0.25">
      <c r="A102" s="13" t="s">
        <v>305</v>
      </c>
      <c r="B102" s="2" t="s">
        <v>57</v>
      </c>
      <c r="C102" s="2" t="s">
        <v>306</v>
      </c>
      <c r="D102" s="2" t="s">
        <v>59</v>
      </c>
      <c r="E102" s="2">
        <v>31.825199999999999</v>
      </c>
      <c r="F102" s="2" t="s">
        <v>60</v>
      </c>
      <c r="G102" s="2" t="s">
        <v>61</v>
      </c>
      <c r="H102" s="6" t="s">
        <v>305</v>
      </c>
    </row>
    <row r="103" spans="1:8" ht="33.75" customHeight="1" x14ac:dyDescent="0.25">
      <c r="A103" s="14" t="s">
        <v>307</v>
      </c>
      <c r="B103" s="3" t="s">
        <v>57</v>
      </c>
      <c r="C103" s="3" t="s">
        <v>308</v>
      </c>
      <c r="D103" s="3" t="s">
        <v>59</v>
      </c>
      <c r="E103" s="3">
        <v>31.825199999999999</v>
      </c>
      <c r="F103" s="3" t="s">
        <v>60</v>
      </c>
      <c r="G103" s="3" t="s">
        <v>61</v>
      </c>
      <c r="H103" s="6" t="s">
        <v>307</v>
      </c>
    </row>
    <row r="104" spans="1:8" ht="33.75" customHeight="1" x14ac:dyDescent="0.25">
      <c r="A104" s="13" t="s">
        <v>309</v>
      </c>
      <c r="B104" s="2" t="s">
        <v>57</v>
      </c>
      <c r="C104" s="2" t="s">
        <v>310</v>
      </c>
      <c r="D104" s="2" t="s">
        <v>59</v>
      </c>
      <c r="E104" s="2">
        <v>31.825199999999999</v>
      </c>
      <c r="F104" s="2" t="s">
        <v>60</v>
      </c>
      <c r="G104" s="2" t="s">
        <v>61</v>
      </c>
      <c r="H104" s="6" t="s">
        <v>309</v>
      </c>
    </row>
    <row r="105" spans="1:8" ht="33.75" customHeight="1" x14ac:dyDescent="0.25">
      <c r="A105" s="14" t="s">
        <v>311</v>
      </c>
      <c r="B105" s="3" t="s">
        <v>57</v>
      </c>
      <c r="C105" s="3" t="s">
        <v>312</v>
      </c>
      <c r="D105" s="3" t="s">
        <v>59</v>
      </c>
      <c r="E105" s="3">
        <v>31.825199999999999</v>
      </c>
      <c r="F105" s="3" t="s">
        <v>60</v>
      </c>
      <c r="G105" s="3" t="s">
        <v>61</v>
      </c>
      <c r="H105" s="6" t="s">
        <v>311</v>
      </c>
    </row>
    <row r="106" spans="1:8" ht="33.75" customHeight="1" x14ac:dyDescent="0.25">
      <c r="A106" s="13" t="s">
        <v>313</v>
      </c>
      <c r="B106" s="2" t="s">
        <v>89</v>
      </c>
      <c r="C106" s="2" t="s">
        <v>314</v>
      </c>
      <c r="D106" s="2" t="s">
        <v>91</v>
      </c>
      <c r="E106" s="2">
        <v>32.389200000000002</v>
      </c>
      <c r="F106" s="2" t="s">
        <v>60</v>
      </c>
      <c r="G106" s="2" t="s">
        <v>61</v>
      </c>
      <c r="H106" s="6" t="s">
        <v>313</v>
      </c>
    </row>
    <row r="107" spans="1:8" ht="33.75" customHeight="1" x14ac:dyDescent="0.25">
      <c r="A107" s="14" t="s">
        <v>315</v>
      </c>
      <c r="B107" s="3" t="s">
        <v>89</v>
      </c>
      <c r="C107" s="3" t="s">
        <v>316</v>
      </c>
      <c r="D107" s="3" t="s">
        <v>91</v>
      </c>
      <c r="E107" s="3">
        <v>32.389200000000002</v>
      </c>
      <c r="F107" s="3" t="s">
        <v>60</v>
      </c>
      <c r="G107" s="3" t="s">
        <v>61</v>
      </c>
      <c r="H107" s="6" t="s">
        <v>315</v>
      </c>
    </row>
    <row r="108" spans="1:8" ht="33.75" customHeight="1" x14ac:dyDescent="0.25">
      <c r="A108" s="13" t="s">
        <v>317</v>
      </c>
      <c r="B108" s="2" t="s">
        <v>69</v>
      </c>
      <c r="C108" s="2" t="s">
        <v>318</v>
      </c>
      <c r="D108" s="2" t="s">
        <v>71</v>
      </c>
      <c r="E108" s="2">
        <v>32.102400000000003</v>
      </c>
      <c r="F108" s="2" t="s">
        <v>60</v>
      </c>
      <c r="G108" s="2" t="s">
        <v>61</v>
      </c>
      <c r="H108" s="6" t="s">
        <v>317</v>
      </c>
    </row>
    <row r="109" spans="1:8" ht="33.75" customHeight="1" x14ac:dyDescent="0.25">
      <c r="A109" s="14" t="s">
        <v>319</v>
      </c>
      <c r="B109" s="3" t="s">
        <v>69</v>
      </c>
      <c r="C109" s="3" t="s">
        <v>320</v>
      </c>
      <c r="D109" s="3" t="s">
        <v>71</v>
      </c>
      <c r="E109" s="3">
        <v>32.102400000000003</v>
      </c>
      <c r="F109" s="3" t="s">
        <v>60</v>
      </c>
      <c r="G109" s="3" t="s">
        <v>61</v>
      </c>
      <c r="H109" s="6" t="s">
        <v>319</v>
      </c>
    </row>
    <row r="110" spans="1:8" ht="33.75" customHeight="1" x14ac:dyDescent="0.25">
      <c r="A110" s="13" t="s">
        <v>321</v>
      </c>
      <c r="B110" s="2" t="s">
        <v>73</v>
      </c>
      <c r="C110" s="2" t="s">
        <v>322</v>
      </c>
      <c r="D110" s="2" t="s">
        <v>75</v>
      </c>
      <c r="E110" s="2">
        <v>31.538399999999999</v>
      </c>
      <c r="F110" s="2" t="s">
        <v>60</v>
      </c>
      <c r="G110" s="2" t="s">
        <v>61</v>
      </c>
      <c r="H110" s="6" t="s">
        <v>321</v>
      </c>
    </row>
    <row r="111" spans="1:8" ht="33.75" customHeight="1" x14ac:dyDescent="0.25">
      <c r="A111" s="14" t="s">
        <v>323</v>
      </c>
      <c r="B111" s="3" t="s">
        <v>324</v>
      </c>
      <c r="C111" s="3" t="s">
        <v>325</v>
      </c>
      <c r="D111" s="3" t="s">
        <v>326</v>
      </c>
      <c r="E111" s="3">
        <v>29.719200000000001</v>
      </c>
      <c r="F111" s="3" t="s">
        <v>60</v>
      </c>
      <c r="G111" s="3" t="s">
        <v>61</v>
      </c>
      <c r="H111" s="6" t="s">
        <v>323</v>
      </c>
    </row>
    <row r="112" spans="1:8" ht="33.75" customHeight="1" x14ac:dyDescent="0.25">
      <c r="A112" s="13" t="s">
        <v>327</v>
      </c>
      <c r="B112" s="2" t="s">
        <v>89</v>
      </c>
      <c r="C112" s="2" t="s">
        <v>328</v>
      </c>
      <c r="D112" s="2" t="s">
        <v>91</v>
      </c>
      <c r="E112" s="2">
        <v>32.389200000000002</v>
      </c>
      <c r="F112" s="2" t="s">
        <v>60</v>
      </c>
      <c r="G112" s="2" t="s">
        <v>61</v>
      </c>
      <c r="H112" s="6" t="s">
        <v>327</v>
      </c>
    </row>
    <row r="113" spans="1:8" ht="33.75" customHeight="1" x14ac:dyDescent="0.25">
      <c r="A113" s="14" t="s">
        <v>329</v>
      </c>
      <c r="B113" s="3" t="s">
        <v>57</v>
      </c>
      <c r="C113" s="3" t="s">
        <v>330</v>
      </c>
      <c r="D113" s="3" t="s">
        <v>59</v>
      </c>
      <c r="E113" s="3">
        <v>31.825199999999999</v>
      </c>
      <c r="F113" s="3" t="s">
        <v>60</v>
      </c>
      <c r="G113" s="3" t="s">
        <v>61</v>
      </c>
      <c r="H113" s="6" t="s">
        <v>329</v>
      </c>
    </row>
    <row r="114" spans="1:8" ht="33.75" customHeight="1" x14ac:dyDescent="0.25">
      <c r="A114" s="13" t="s">
        <v>331</v>
      </c>
      <c r="B114" s="2" t="s">
        <v>89</v>
      </c>
      <c r="C114" s="2" t="s">
        <v>332</v>
      </c>
      <c r="D114" s="2" t="s">
        <v>91</v>
      </c>
      <c r="E114" s="2">
        <v>32.389200000000002</v>
      </c>
      <c r="F114" s="2" t="s">
        <v>60</v>
      </c>
      <c r="G114" s="2" t="s">
        <v>61</v>
      </c>
      <c r="H114" s="6" t="s">
        <v>331</v>
      </c>
    </row>
    <row r="115" spans="1:8" ht="33.75" customHeight="1" x14ac:dyDescent="0.25">
      <c r="A115" s="14" t="s">
        <v>333</v>
      </c>
      <c r="B115" s="3" t="s">
        <v>334</v>
      </c>
      <c r="C115" s="3" t="s">
        <v>335</v>
      </c>
      <c r="D115" s="3" t="s">
        <v>336</v>
      </c>
      <c r="E115" s="3">
        <v>27.925999999999998</v>
      </c>
      <c r="F115" s="3" t="s">
        <v>60</v>
      </c>
      <c r="G115" s="3" t="s">
        <v>61</v>
      </c>
      <c r="H115" s="6" t="s">
        <v>333</v>
      </c>
    </row>
    <row r="116" spans="1:8" ht="33.75" customHeight="1" x14ac:dyDescent="0.25">
      <c r="A116" s="13" t="s">
        <v>337</v>
      </c>
      <c r="B116" s="2" t="s">
        <v>57</v>
      </c>
      <c r="C116" s="2" t="s">
        <v>338</v>
      </c>
      <c r="D116" s="2" t="s">
        <v>59</v>
      </c>
      <c r="E116" s="2">
        <v>31.825199999999999</v>
      </c>
      <c r="F116" s="2" t="s">
        <v>60</v>
      </c>
      <c r="G116" s="2" t="s">
        <v>61</v>
      </c>
      <c r="H116" s="6" t="s">
        <v>337</v>
      </c>
    </row>
    <row r="117" spans="1:8" ht="22.5" customHeight="1" x14ac:dyDescent="0.25">
      <c r="A117" s="14" t="s">
        <v>339</v>
      </c>
      <c r="B117" s="3" t="s">
        <v>340</v>
      </c>
      <c r="C117" s="3" t="s">
        <v>341</v>
      </c>
      <c r="D117" s="3" t="s">
        <v>342</v>
      </c>
      <c r="E117" s="3">
        <v>28.059200000000001</v>
      </c>
      <c r="F117" s="3" t="s">
        <v>60</v>
      </c>
      <c r="G117" s="3" t="s">
        <v>61</v>
      </c>
      <c r="H117" s="6" t="s">
        <v>339</v>
      </c>
    </row>
    <row r="118" spans="1:8" ht="33.75" customHeight="1" x14ac:dyDescent="0.25">
      <c r="A118" s="13" t="s">
        <v>343</v>
      </c>
      <c r="B118" s="2" t="s">
        <v>344</v>
      </c>
      <c r="C118" s="2" t="s">
        <v>345</v>
      </c>
      <c r="D118" s="2" t="s">
        <v>346</v>
      </c>
      <c r="E118" s="2">
        <v>30.781500000000001</v>
      </c>
      <c r="F118" s="2" t="s">
        <v>60</v>
      </c>
      <c r="G118" s="2" t="s">
        <v>61</v>
      </c>
      <c r="H118" s="6" t="s">
        <v>343</v>
      </c>
    </row>
    <row r="119" spans="1:8" ht="33.75" customHeight="1" x14ac:dyDescent="0.25">
      <c r="A119" s="14" t="s">
        <v>347</v>
      </c>
      <c r="B119" s="3" t="s">
        <v>348</v>
      </c>
      <c r="C119" s="3" t="s">
        <v>349</v>
      </c>
      <c r="D119" s="3" t="s">
        <v>350</v>
      </c>
      <c r="E119" s="3">
        <v>31.77318</v>
      </c>
      <c r="F119" s="3" t="s">
        <v>60</v>
      </c>
      <c r="G119" s="3" t="s">
        <v>61</v>
      </c>
      <c r="H119" s="6" t="s">
        <v>347</v>
      </c>
    </row>
    <row r="120" spans="1:8" ht="22.5" customHeight="1" x14ac:dyDescent="0.25">
      <c r="A120" s="13" t="s">
        <v>351</v>
      </c>
      <c r="B120" s="2" t="s">
        <v>273</v>
      </c>
      <c r="C120" s="2" t="s">
        <v>352</v>
      </c>
      <c r="D120" s="2" t="s">
        <v>275</v>
      </c>
      <c r="E120" s="2">
        <v>30.084199999999999</v>
      </c>
      <c r="F120" s="2" t="s">
        <v>60</v>
      </c>
      <c r="G120" s="2" t="s">
        <v>61</v>
      </c>
      <c r="H120" s="6" t="s">
        <v>351</v>
      </c>
    </row>
    <row r="121" spans="1:8" ht="45" customHeight="1" x14ac:dyDescent="0.25">
      <c r="A121" s="14" t="s">
        <v>353</v>
      </c>
      <c r="B121" s="3" t="s">
        <v>142</v>
      </c>
      <c r="C121" s="3" t="s">
        <v>354</v>
      </c>
      <c r="D121" s="3" t="s">
        <v>144</v>
      </c>
      <c r="E121" s="3"/>
      <c r="F121" s="3" t="s">
        <v>145</v>
      </c>
      <c r="G121" s="3" t="s">
        <v>146</v>
      </c>
      <c r="H121" s="6" t="s">
        <v>353</v>
      </c>
    </row>
    <row r="122" spans="1:8" ht="33.75" customHeight="1" x14ac:dyDescent="0.25">
      <c r="A122" s="13" t="s">
        <v>355</v>
      </c>
      <c r="B122" s="2" t="s">
        <v>356</v>
      </c>
      <c r="C122" s="2" t="s">
        <v>357</v>
      </c>
      <c r="D122" s="2" t="s">
        <v>358</v>
      </c>
      <c r="E122" s="2">
        <v>29.5992</v>
      </c>
      <c r="F122" s="2" t="s">
        <v>60</v>
      </c>
      <c r="G122" s="2" t="s">
        <v>61</v>
      </c>
      <c r="H122" s="6" t="s">
        <v>355</v>
      </c>
    </row>
    <row r="123" spans="1:8" ht="22.5" customHeight="1" x14ac:dyDescent="0.25">
      <c r="A123" s="14" t="s">
        <v>359</v>
      </c>
      <c r="B123" s="3" t="s">
        <v>83</v>
      </c>
      <c r="C123" s="3" t="s">
        <v>360</v>
      </c>
      <c r="D123" s="3" t="s">
        <v>85</v>
      </c>
      <c r="E123" s="3">
        <v>33.063000000000002</v>
      </c>
      <c r="F123" s="3" t="s">
        <v>60</v>
      </c>
      <c r="G123" s="3" t="s">
        <v>61</v>
      </c>
      <c r="H123" s="6" t="s">
        <v>359</v>
      </c>
    </row>
    <row r="124" spans="1:8" ht="22.5" customHeight="1" x14ac:dyDescent="0.25">
      <c r="A124" s="13" t="s">
        <v>361</v>
      </c>
      <c r="B124" s="2" t="s">
        <v>120</v>
      </c>
      <c r="C124" s="2" t="s">
        <v>362</v>
      </c>
      <c r="D124" s="2" t="s">
        <v>122</v>
      </c>
      <c r="E124" s="2">
        <v>33.349800000000002</v>
      </c>
      <c r="F124" s="2" t="s">
        <v>60</v>
      </c>
      <c r="G124" s="2" t="s">
        <v>61</v>
      </c>
      <c r="H124" s="6" t="s">
        <v>361</v>
      </c>
    </row>
    <row r="125" spans="1:8" ht="22.5" customHeight="1" x14ac:dyDescent="0.25">
      <c r="A125" s="14" t="s">
        <v>363</v>
      </c>
      <c r="B125" s="3" t="s">
        <v>120</v>
      </c>
      <c r="C125" s="3" t="s">
        <v>364</v>
      </c>
      <c r="D125" s="3" t="s">
        <v>122</v>
      </c>
      <c r="E125" s="3">
        <v>33.349800000000002</v>
      </c>
      <c r="F125" s="3" t="s">
        <v>60</v>
      </c>
      <c r="G125" s="3" t="s">
        <v>61</v>
      </c>
      <c r="H125" s="6" t="s">
        <v>363</v>
      </c>
    </row>
    <row r="126" spans="1:8" ht="22.5" customHeight="1" x14ac:dyDescent="0.25">
      <c r="A126" s="13" t="s">
        <v>365</v>
      </c>
      <c r="B126" s="2" t="s">
        <v>366</v>
      </c>
      <c r="C126" s="2" t="s">
        <v>367</v>
      </c>
      <c r="D126" s="2" t="s">
        <v>368</v>
      </c>
      <c r="E126" s="2">
        <v>32.983400000000003</v>
      </c>
      <c r="F126" s="2" t="s">
        <v>60</v>
      </c>
      <c r="G126" s="2" t="s">
        <v>61</v>
      </c>
      <c r="H126" s="6" t="s">
        <v>365</v>
      </c>
    </row>
    <row r="127" spans="1:8" ht="33.75" customHeight="1" x14ac:dyDescent="0.25">
      <c r="A127" s="14" t="s">
        <v>369</v>
      </c>
      <c r="B127" s="3" t="s">
        <v>277</v>
      </c>
      <c r="C127" s="3" t="s">
        <v>370</v>
      </c>
      <c r="D127" s="3" t="s">
        <v>279</v>
      </c>
      <c r="E127" s="3">
        <v>29.7592</v>
      </c>
      <c r="F127" s="3" t="s">
        <v>60</v>
      </c>
      <c r="G127" s="3" t="s">
        <v>61</v>
      </c>
      <c r="H127" s="6" t="s">
        <v>369</v>
      </c>
    </row>
    <row r="128" spans="1:8" ht="33.75" customHeight="1" x14ac:dyDescent="0.25">
      <c r="A128" s="13" t="s">
        <v>371</v>
      </c>
      <c r="B128" s="2" t="s">
        <v>372</v>
      </c>
      <c r="C128" s="2" t="s">
        <v>373</v>
      </c>
      <c r="D128" s="2" t="s">
        <v>374</v>
      </c>
      <c r="E128" s="2">
        <v>32.852400000000003</v>
      </c>
      <c r="F128" s="2" t="s">
        <v>60</v>
      </c>
      <c r="G128" s="2" t="s">
        <v>61</v>
      </c>
      <c r="H128" s="6" t="s">
        <v>371</v>
      </c>
    </row>
    <row r="129" spans="1:8" ht="33.75" customHeight="1" x14ac:dyDescent="0.25">
      <c r="A129" s="14" t="s">
        <v>375</v>
      </c>
      <c r="B129" s="3" t="s">
        <v>372</v>
      </c>
      <c r="C129" s="3" t="s">
        <v>376</v>
      </c>
      <c r="D129" s="3" t="s">
        <v>374</v>
      </c>
      <c r="E129" s="3">
        <v>32.852400000000003</v>
      </c>
      <c r="F129" s="3" t="s">
        <v>60</v>
      </c>
      <c r="G129" s="3" t="s">
        <v>61</v>
      </c>
      <c r="H129" s="6" t="s">
        <v>375</v>
      </c>
    </row>
    <row r="130" spans="1:8" ht="22.5" customHeight="1" x14ac:dyDescent="0.25">
      <c r="A130" s="13" t="s">
        <v>377</v>
      </c>
      <c r="B130" s="2" t="s">
        <v>378</v>
      </c>
      <c r="C130" s="2" t="s">
        <v>379</v>
      </c>
      <c r="D130" s="2" t="s">
        <v>380</v>
      </c>
      <c r="E130" s="2">
        <v>29.743200000000002</v>
      </c>
      <c r="F130" s="2" t="s">
        <v>60</v>
      </c>
      <c r="G130" s="2" t="s">
        <v>61</v>
      </c>
      <c r="H130" s="6" t="s">
        <v>377</v>
      </c>
    </row>
    <row r="131" spans="1:8" ht="22.5" customHeight="1" x14ac:dyDescent="0.25">
      <c r="A131" s="14" t="s">
        <v>381</v>
      </c>
      <c r="B131" s="3" t="s">
        <v>382</v>
      </c>
      <c r="C131" s="3" t="s">
        <v>383</v>
      </c>
      <c r="D131" s="3" t="s">
        <v>384</v>
      </c>
      <c r="E131" s="3">
        <v>35.3172</v>
      </c>
      <c r="F131" s="3" t="s">
        <v>60</v>
      </c>
      <c r="G131" s="3" t="s">
        <v>61</v>
      </c>
      <c r="H131" s="6" t="s">
        <v>381</v>
      </c>
    </row>
    <row r="132" spans="1:8" ht="22.5" customHeight="1" x14ac:dyDescent="0.25">
      <c r="A132" s="13" t="s">
        <v>385</v>
      </c>
      <c r="B132" s="2" t="s">
        <v>386</v>
      </c>
      <c r="C132" s="2" t="s">
        <v>387</v>
      </c>
      <c r="D132" s="2" t="s">
        <v>388</v>
      </c>
      <c r="E132" s="2">
        <v>33.783799999999999</v>
      </c>
      <c r="F132" s="2" t="s">
        <v>60</v>
      </c>
      <c r="G132" s="2" t="s">
        <v>61</v>
      </c>
      <c r="H132" s="6" t="s">
        <v>385</v>
      </c>
    </row>
    <row r="133" spans="1:8" ht="22.5" customHeight="1" x14ac:dyDescent="0.25">
      <c r="A133" s="14" t="s">
        <v>389</v>
      </c>
      <c r="B133" s="3" t="s">
        <v>390</v>
      </c>
      <c r="C133" s="3" t="s">
        <v>391</v>
      </c>
      <c r="D133" s="3" t="s">
        <v>392</v>
      </c>
      <c r="E133" s="3">
        <v>35.367600000000003</v>
      </c>
      <c r="F133" s="3" t="s">
        <v>60</v>
      </c>
      <c r="G133" s="3" t="s">
        <v>61</v>
      </c>
      <c r="H133" s="6" t="s">
        <v>389</v>
      </c>
    </row>
    <row r="134" spans="1:8" ht="22.5" customHeight="1" x14ac:dyDescent="0.25">
      <c r="A134" s="13" t="s">
        <v>393</v>
      </c>
      <c r="B134" s="2" t="s">
        <v>386</v>
      </c>
      <c r="C134" s="2" t="s">
        <v>394</v>
      </c>
      <c r="D134" s="2" t="s">
        <v>388</v>
      </c>
      <c r="E134" s="2">
        <v>33.783799999999999</v>
      </c>
      <c r="F134" s="2" t="s">
        <v>60</v>
      </c>
      <c r="G134" s="2" t="s">
        <v>61</v>
      </c>
      <c r="H134" s="6" t="s">
        <v>393</v>
      </c>
    </row>
    <row r="135" spans="1:8" ht="22.5" customHeight="1" x14ac:dyDescent="0.25">
      <c r="A135" s="14" t="s">
        <v>395</v>
      </c>
      <c r="B135" s="3" t="s">
        <v>386</v>
      </c>
      <c r="C135" s="3" t="s">
        <v>396</v>
      </c>
      <c r="D135" s="3" t="s">
        <v>388</v>
      </c>
      <c r="E135" s="3">
        <v>33.783799999999999</v>
      </c>
      <c r="F135" s="3" t="s">
        <v>60</v>
      </c>
      <c r="G135" s="3" t="s">
        <v>61</v>
      </c>
      <c r="H135" s="6" t="s">
        <v>395</v>
      </c>
    </row>
    <row r="136" spans="1:8" ht="22.5" customHeight="1" x14ac:dyDescent="0.25">
      <c r="A136" s="13" t="s">
        <v>397</v>
      </c>
      <c r="B136" s="2" t="s">
        <v>324</v>
      </c>
      <c r="C136" s="2" t="s">
        <v>398</v>
      </c>
      <c r="D136" s="2" t="s">
        <v>326</v>
      </c>
      <c r="E136" s="2">
        <v>29.719200000000001</v>
      </c>
      <c r="F136" s="2" t="s">
        <v>60</v>
      </c>
      <c r="G136" s="2" t="s">
        <v>61</v>
      </c>
      <c r="H136" s="6" t="s">
        <v>397</v>
      </c>
    </row>
    <row r="137" spans="1:8" ht="22.5" customHeight="1" x14ac:dyDescent="0.25">
      <c r="A137" s="14" t="s">
        <v>399</v>
      </c>
      <c r="B137" s="3" t="s">
        <v>400</v>
      </c>
      <c r="C137" s="3" t="s">
        <v>401</v>
      </c>
      <c r="D137" s="3" t="s">
        <v>402</v>
      </c>
      <c r="E137" s="3">
        <v>34.332239999999999</v>
      </c>
      <c r="F137" s="3" t="s">
        <v>60</v>
      </c>
      <c r="G137" s="3" t="s">
        <v>61</v>
      </c>
      <c r="H137" s="6" t="s">
        <v>399</v>
      </c>
    </row>
    <row r="138" spans="1:8" ht="22.5" customHeight="1" x14ac:dyDescent="0.25">
      <c r="A138" s="13" t="s">
        <v>403</v>
      </c>
      <c r="B138" s="2" t="s">
        <v>404</v>
      </c>
      <c r="C138" s="2" t="s">
        <v>405</v>
      </c>
      <c r="D138" s="2" t="s">
        <v>406</v>
      </c>
      <c r="E138" s="2">
        <v>29.999199999999998</v>
      </c>
      <c r="F138" s="2" t="s">
        <v>60</v>
      </c>
      <c r="G138" s="2" t="s">
        <v>61</v>
      </c>
      <c r="H138" s="6" t="s">
        <v>403</v>
      </c>
    </row>
    <row r="139" spans="1:8" ht="33.75" customHeight="1" x14ac:dyDescent="0.25">
      <c r="A139" s="14" t="s">
        <v>407</v>
      </c>
      <c r="B139" s="3" t="s">
        <v>89</v>
      </c>
      <c r="C139" s="3" t="s">
        <v>408</v>
      </c>
      <c r="D139" s="3" t="s">
        <v>91</v>
      </c>
      <c r="E139" s="3">
        <v>32.389200000000002</v>
      </c>
      <c r="F139" s="3" t="s">
        <v>60</v>
      </c>
      <c r="G139" s="3" t="s">
        <v>61</v>
      </c>
      <c r="H139" s="6" t="s">
        <v>407</v>
      </c>
    </row>
    <row r="140" spans="1:8" ht="33.75" customHeight="1" x14ac:dyDescent="0.25">
      <c r="A140" s="13" t="s">
        <v>409</v>
      </c>
      <c r="B140" s="2" t="s">
        <v>77</v>
      </c>
      <c r="C140" s="2" t="s">
        <v>410</v>
      </c>
      <c r="D140" s="2" t="s">
        <v>79</v>
      </c>
      <c r="E140" s="2">
        <v>31.699200000000001</v>
      </c>
      <c r="F140" s="2" t="s">
        <v>60</v>
      </c>
      <c r="G140" s="2" t="s">
        <v>61</v>
      </c>
      <c r="H140" s="6" t="s">
        <v>409</v>
      </c>
    </row>
    <row r="141" spans="1:8" ht="33.75" customHeight="1" x14ac:dyDescent="0.25">
      <c r="A141" s="14" t="s">
        <v>411</v>
      </c>
      <c r="B141" s="3" t="s">
        <v>57</v>
      </c>
      <c r="C141" s="3" t="s">
        <v>412</v>
      </c>
      <c r="D141" s="3" t="s">
        <v>59</v>
      </c>
      <c r="E141" s="3">
        <v>31.825199999999999</v>
      </c>
      <c r="F141" s="3" t="s">
        <v>60</v>
      </c>
      <c r="G141" s="3" t="s">
        <v>61</v>
      </c>
      <c r="H141" s="6" t="s">
        <v>411</v>
      </c>
    </row>
    <row r="142" spans="1:8" ht="22.5" customHeight="1" x14ac:dyDescent="0.25">
      <c r="A142" s="13" t="s">
        <v>413</v>
      </c>
      <c r="B142" s="2" t="s">
        <v>414</v>
      </c>
      <c r="C142" s="2" t="s">
        <v>415</v>
      </c>
      <c r="D142" s="2" t="s">
        <v>416</v>
      </c>
      <c r="E142" s="2">
        <v>31.0092</v>
      </c>
      <c r="F142" s="2" t="s">
        <v>60</v>
      </c>
      <c r="G142" s="2" t="s">
        <v>61</v>
      </c>
      <c r="H142" s="6" t="s">
        <v>413</v>
      </c>
    </row>
    <row r="143" spans="1:8" ht="22.5" customHeight="1" x14ac:dyDescent="0.25">
      <c r="A143" s="14" t="s">
        <v>417</v>
      </c>
      <c r="B143" s="3" t="s">
        <v>418</v>
      </c>
      <c r="C143" s="3" t="s">
        <v>419</v>
      </c>
      <c r="D143" s="3" t="s">
        <v>420</v>
      </c>
      <c r="E143" s="3">
        <v>30.655200000000001</v>
      </c>
      <c r="F143" s="3" t="s">
        <v>60</v>
      </c>
      <c r="G143" s="3" t="s">
        <v>61</v>
      </c>
      <c r="H143" s="6" t="s">
        <v>417</v>
      </c>
    </row>
    <row r="144" spans="1:8" ht="33.75" customHeight="1" x14ac:dyDescent="0.25">
      <c r="A144" s="13" t="s">
        <v>421</v>
      </c>
      <c r="B144" s="2" t="s">
        <v>422</v>
      </c>
      <c r="C144" s="2" t="s">
        <v>423</v>
      </c>
      <c r="D144" s="2" t="s">
        <v>424</v>
      </c>
      <c r="E144" s="2">
        <v>30.7272</v>
      </c>
      <c r="F144" s="2" t="s">
        <v>60</v>
      </c>
      <c r="G144" s="2" t="s">
        <v>61</v>
      </c>
      <c r="H144" s="6" t="s">
        <v>421</v>
      </c>
    </row>
    <row r="145" spans="1:8" ht="33.75" customHeight="1" x14ac:dyDescent="0.25">
      <c r="A145" s="14" t="s">
        <v>425</v>
      </c>
      <c r="B145" s="3" t="s">
        <v>426</v>
      </c>
      <c r="C145" s="3" t="s">
        <v>427</v>
      </c>
      <c r="D145" s="3" t="s">
        <v>428</v>
      </c>
      <c r="E145" s="3">
        <v>31.157</v>
      </c>
      <c r="F145" s="3" t="s">
        <v>60</v>
      </c>
      <c r="G145" s="3" t="s">
        <v>61</v>
      </c>
      <c r="H145" s="6" t="s">
        <v>425</v>
      </c>
    </row>
    <row r="146" spans="1:8" ht="33.75" customHeight="1" x14ac:dyDescent="0.25">
      <c r="A146" s="13" t="s">
        <v>429</v>
      </c>
      <c r="B146" s="2" t="s">
        <v>430</v>
      </c>
      <c r="C146" s="2" t="s">
        <v>431</v>
      </c>
      <c r="D146" s="2" t="s">
        <v>432</v>
      </c>
      <c r="E146" s="2">
        <v>30.983000000000001</v>
      </c>
      <c r="F146" s="2" t="s">
        <v>60</v>
      </c>
      <c r="G146" s="2" t="s">
        <v>61</v>
      </c>
      <c r="H146" s="6" t="s">
        <v>429</v>
      </c>
    </row>
    <row r="147" spans="1:8" ht="33.75" customHeight="1" x14ac:dyDescent="0.25">
      <c r="A147" s="14" t="s">
        <v>433</v>
      </c>
      <c r="B147" s="3" t="s">
        <v>426</v>
      </c>
      <c r="C147" s="3" t="s">
        <v>434</v>
      </c>
      <c r="D147" s="3" t="s">
        <v>428</v>
      </c>
      <c r="E147" s="3">
        <v>31.157</v>
      </c>
      <c r="F147" s="3" t="s">
        <v>60</v>
      </c>
      <c r="G147" s="3" t="s">
        <v>61</v>
      </c>
      <c r="H147" s="6" t="s">
        <v>433</v>
      </c>
    </row>
    <row r="148" spans="1:8" ht="33.75" customHeight="1" x14ac:dyDescent="0.25">
      <c r="A148" s="13" t="s">
        <v>435</v>
      </c>
      <c r="B148" s="2" t="s">
        <v>436</v>
      </c>
      <c r="C148" s="2" t="s">
        <v>437</v>
      </c>
      <c r="D148" s="2" t="s">
        <v>438</v>
      </c>
      <c r="E148" s="2">
        <v>30.466999999999999</v>
      </c>
      <c r="F148" s="2" t="s">
        <v>60</v>
      </c>
      <c r="G148" s="2" t="s">
        <v>61</v>
      </c>
      <c r="H148" s="6" t="s">
        <v>435</v>
      </c>
    </row>
    <row r="149" spans="1:8" ht="22.5" customHeight="1" x14ac:dyDescent="0.25">
      <c r="A149" s="14" t="s">
        <v>439</v>
      </c>
      <c r="B149" s="3" t="s">
        <v>324</v>
      </c>
      <c r="C149" s="3" t="s">
        <v>440</v>
      </c>
      <c r="D149" s="3" t="s">
        <v>326</v>
      </c>
      <c r="E149" s="3">
        <v>29.719200000000001</v>
      </c>
      <c r="F149" s="3" t="s">
        <v>60</v>
      </c>
      <c r="G149" s="3" t="s">
        <v>61</v>
      </c>
      <c r="H149" s="6" t="s">
        <v>439</v>
      </c>
    </row>
    <row r="150" spans="1:8" ht="22.5" customHeight="1" x14ac:dyDescent="0.25">
      <c r="A150" s="13" t="s">
        <v>441</v>
      </c>
      <c r="B150" s="2" t="s">
        <v>404</v>
      </c>
      <c r="C150" s="2" t="s">
        <v>442</v>
      </c>
      <c r="D150" s="2" t="s">
        <v>406</v>
      </c>
      <c r="E150" s="2">
        <v>29.999199999999998</v>
      </c>
      <c r="F150" s="2" t="s">
        <v>60</v>
      </c>
      <c r="G150" s="2" t="s">
        <v>61</v>
      </c>
      <c r="H150" s="6" t="s">
        <v>441</v>
      </c>
    </row>
    <row r="151" spans="1:8" ht="22.5" customHeight="1" x14ac:dyDescent="0.25">
      <c r="A151" s="14" t="s">
        <v>443</v>
      </c>
      <c r="B151" s="3" t="s">
        <v>386</v>
      </c>
      <c r="C151" s="3" t="s">
        <v>444</v>
      </c>
      <c r="D151" s="3" t="s">
        <v>388</v>
      </c>
      <c r="E151" s="3">
        <v>33.783799999999999</v>
      </c>
      <c r="F151" s="3" t="s">
        <v>60</v>
      </c>
      <c r="G151" s="3" t="s">
        <v>61</v>
      </c>
      <c r="H151" s="6" t="s">
        <v>443</v>
      </c>
    </row>
    <row r="152" spans="1:8" ht="33.75" customHeight="1" x14ac:dyDescent="0.25">
      <c r="A152" s="13" t="s">
        <v>445</v>
      </c>
      <c r="B152" s="2" t="s">
        <v>77</v>
      </c>
      <c r="C152" s="2" t="s">
        <v>446</v>
      </c>
      <c r="D152" s="2" t="s">
        <v>79</v>
      </c>
      <c r="E152" s="2">
        <v>31.699200000000001</v>
      </c>
      <c r="F152" s="2" t="s">
        <v>60</v>
      </c>
      <c r="G152" s="2" t="s">
        <v>61</v>
      </c>
      <c r="H152" s="6" t="s">
        <v>445</v>
      </c>
    </row>
    <row r="153" spans="1:8" ht="33.75" customHeight="1" x14ac:dyDescent="0.25">
      <c r="A153" s="14" t="s">
        <v>447</v>
      </c>
      <c r="B153" s="3" t="s">
        <v>89</v>
      </c>
      <c r="C153" s="3" t="s">
        <v>448</v>
      </c>
      <c r="D153" s="3" t="s">
        <v>91</v>
      </c>
      <c r="E153" s="3">
        <v>32.389200000000002</v>
      </c>
      <c r="F153" s="3" t="s">
        <v>60</v>
      </c>
      <c r="G153" s="3" t="s">
        <v>61</v>
      </c>
      <c r="H153" s="6" t="s">
        <v>447</v>
      </c>
    </row>
    <row r="154" spans="1:8" ht="22.5" customHeight="1" x14ac:dyDescent="0.25">
      <c r="A154" s="13" t="s">
        <v>449</v>
      </c>
      <c r="B154" s="2" t="s">
        <v>386</v>
      </c>
      <c r="C154" s="2" t="s">
        <v>450</v>
      </c>
      <c r="D154" s="2" t="s">
        <v>388</v>
      </c>
      <c r="E154" s="2">
        <v>33.783799999999999</v>
      </c>
      <c r="F154" s="2" t="s">
        <v>60</v>
      </c>
      <c r="G154" s="2" t="s">
        <v>61</v>
      </c>
      <c r="H154" s="6" t="s">
        <v>449</v>
      </c>
    </row>
    <row r="155" spans="1:8" ht="33.75" customHeight="1" x14ac:dyDescent="0.25">
      <c r="A155" s="14" t="s">
        <v>451</v>
      </c>
      <c r="B155" s="3" t="s">
        <v>452</v>
      </c>
      <c r="C155" s="3" t="s">
        <v>453</v>
      </c>
      <c r="D155" s="3" t="s">
        <v>454</v>
      </c>
      <c r="E155" s="3">
        <v>36.725999999999999</v>
      </c>
      <c r="F155" s="3" t="s">
        <v>60</v>
      </c>
      <c r="G155" s="3" t="s">
        <v>61</v>
      </c>
      <c r="H155" s="6" t="s">
        <v>451</v>
      </c>
    </row>
    <row r="156" spans="1:8" ht="22.5" customHeight="1" x14ac:dyDescent="0.25">
      <c r="A156" s="13" t="s">
        <v>455</v>
      </c>
      <c r="B156" s="2" t="s">
        <v>83</v>
      </c>
      <c r="C156" s="2" t="s">
        <v>456</v>
      </c>
      <c r="D156" s="2" t="s">
        <v>85</v>
      </c>
      <c r="E156" s="2">
        <v>33.063000000000002</v>
      </c>
      <c r="F156" s="2" t="s">
        <v>60</v>
      </c>
      <c r="G156" s="2" t="s">
        <v>61</v>
      </c>
      <c r="H156" s="6" t="s">
        <v>455</v>
      </c>
    </row>
    <row r="157" spans="1:8" ht="33.75" customHeight="1" x14ac:dyDescent="0.25">
      <c r="A157" s="14" t="s">
        <v>457</v>
      </c>
      <c r="B157" s="3" t="s">
        <v>73</v>
      </c>
      <c r="C157" s="3" t="s">
        <v>458</v>
      </c>
      <c r="D157" s="3" t="s">
        <v>75</v>
      </c>
      <c r="E157" s="3">
        <v>31.538399999999999</v>
      </c>
      <c r="F157" s="3" t="s">
        <v>60</v>
      </c>
      <c r="G157" s="3" t="s">
        <v>61</v>
      </c>
      <c r="H157" s="6" t="s">
        <v>457</v>
      </c>
    </row>
    <row r="158" spans="1:8" ht="33.75" customHeight="1" x14ac:dyDescent="0.25">
      <c r="A158" s="13" t="s">
        <v>459</v>
      </c>
      <c r="B158" s="2" t="s">
        <v>77</v>
      </c>
      <c r="C158" s="2" t="s">
        <v>460</v>
      </c>
      <c r="D158" s="2" t="s">
        <v>79</v>
      </c>
      <c r="E158" s="2">
        <v>31.699200000000001</v>
      </c>
      <c r="F158" s="2" t="s">
        <v>60</v>
      </c>
      <c r="G158" s="2" t="s">
        <v>61</v>
      </c>
      <c r="H158" s="6" t="s">
        <v>459</v>
      </c>
    </row>
    <row r="159" spans="1:8" ht="33.75" customHeight="1" x14ac:dyDescent="0.25">
      <c r="A159" s="14" t="s">
        <v>461</v>
      </c>
      <c r="B159" s="3" t="s">
        <v>89</v>
      </c>
      <c r="C159" s="3" t="s">
        <v>462</v>
      </c>
      <c r="D159" s="3" t="s">
        <v>91</v>
      </c>
      <c r="E159" s="3">
        <v>32.389200000000002</v>
      </c>
      <c r="F159" s="3" t="s">
        <v>60</v>
      </c>
      <c r="G159" s="3" t="s">
        <v>61</v>
      </c>
      <c r="H159" s="6" t="s">
        <v>461</v>
      </c>
    </row>
    <row r="160" spans="1:8" ht="33.75" customHeight="1" x14ac:dyDescent="0.25">
      <c r="A160" s="13" t="s">
        <v>463</v>
      </c>
      <c r="B160" s="2" t="s">
        <v>57</v>
      </c>
      <c r="C160" s="2" t="s">
        <v>464</v>
      </c>
      <c r="D160" s="2" t="s">
        <v>59</v>
      </c>
      <c r="E160" s="2">
        <v>31.825199999999999</v>
      </c>
      <c r="F160" s="2" t="s">
        <v>60</v>
      </c>
      <c r="G160" s="2" t="s">
        <v>61</v>
      </c>
      <c r="H160" s="6" t="s">
        <v>463</v>
      </c>
    </row>
    <row r="161" spans="1:8" ht="33.75" customHeight="1" x14ac:dyDescent="0.25">
      <c r="A161" s="14" t="s">
        <v>465</v>
      </c>
      <c r="B161" s="3" t="s">
        <v>404</v>
      </c>
      <c r="C161" s="3" t="s">
        <v>466</v>
      </c>
      <c r="D161" s="3" t="s">
        <v>406</v>
      </c>
      <c r="E161" s="3">
        <v>29.999199999999998</v>
      </c>
      <c r="F161" s="3" t="s">
        <v>60</v>
      </c>
      <c r="G161" s="3" t="s">
        <v>61</v>
      </c>
      <c r="H161" s="6" t="s">
        <v>465</v>
      </c>
    </row>
    <row r="162" spans="1:8" ht="33.75" customHeight="1" x14ac:dyDescent="0.25">
      <c r="A162" s="13" t="s">
        <v>467</v>
      </c>
      <c r="B162" s="2" t="s">
        <v>324</v>
      </c>
      <c r="C162" s="2" t="s">
        <v>468</v>
      </c>
      <c r="D162" s="2" t="s">
        <v>326</v>
      </c>
      <c r="E162" s="2">
        <v>29.719200000000001</v>
      </c>
      <c r="F162" s="2" t="s">
        <v>60</v>
      </c>
      <c r="G162" s="2" t="s">
        <v>61</v>
      </c>
      <c r="H162" s="6" t="s">
        <v>467</v>
      </c>
    </row>
    <row r="163" spans="1:8" ht="33.75" customHeight="1" x14ac:dyDescent="0.25">
      <c r="A163" s="14" t="s">
        <v>469</v>
      </c>
      <c r="B163" s="3" t="s">
        <v>470</v>
      </c>
      <c r="C163" s="3" t="s">
        <v>471</v>
      </c>
      <c r="D163" s="3" t="s">
        <v>472</v>
      </c>
      <c r="E163" s="3">
        <v>30.052320000000002</v>
      </c>
      <c r="F163" s="3" t="s">
        <v>60</v>
      </c>
      <c r="G163" s="3" t="s">
        <v>61</v>
      </c>
      <c r="H163" s="6" t="s">
        <v>469</v>
      </c>
    </row>
    <row r="164" spans="1:8" ht="33.75" customHeight="1" x14ac:dyDescent="0.25">
      <c r="A164" s="13" t="s">
        <v>473</v>
      </c>
      <c r="B164" s="2" t="s">
        <v>470</v>
      </c>
      <c r="C164" s="2" t="s">
        <v>474</v>
      </c>
      <c r="D164" s="2" t="s">
        <v>472</v>
      </c>
      <c r="E164" s="2">
        <v>30.052320000000002</v>
      </c>
      <c r="F164" s="2" t="s">
        <v>60</v>
      </c>
      <c r="G164" s="2" t="s">
        <v>61</v>
      </c>
      <c r="H164" s="6" t="s">
        <v>473</v>
      </c>
    </row>
    <row r="165" spans="1:8" ht="33.75" customHeight="1" x14ac:dyDescent="0.25">
      <c r="A165" s="14" t="s">
        <v>475</v>
      </c>
      <c r="B165" s="3" t="s">
        <v>73</v>
      </c>
      <c r="C165" s="3" t="s">
        <v>476</v>
      </c>
      <c r="D165" s="3" t="s">
        <v>75</v>
      </c>
      <c r="E165" s="3">
        <v>31.538399999999999</v>
      </c>
      <c r="F165" s="3" t="s">
        <v>60</v>
      </c>
      <c r="G165" s="3" t="s">
        <v>61</v>
      </c>
      <c r="H165" s="6" t="s">
        <v>475</v>
      </c>
    </row>
    <row r="166" spans="1:8" ht="33.75" customHeight="1" x14ac:dyDescent="0.25">
      <c r="A166" s="13" t="s">
        <v>477</v>
      </c>
      <c r="B166" s="2" t="s">
        <v>478</v>
      </c>
      <c r="C166" s="2" t="s">
        <v>479</v>
      </c>
      <c r="D166" s="2" t="s">
        <v>480</v>
      </c>
      <c r="E166" s="2">
        <v>25.503160000000001</v>
      </c>
      <c r="F166" s="2" t="s">
        <v>60</v>
      </c>
      <c r="G166" s="2" t="s">
        <v>61</v>
      </c>
      <c r="H166" s="6" t="s">
        <v>477</v>
      </c>
    </row>
    <row r="167" spans="1:8" ht="33.75" customHeight="1" x14ac:dyDescent="0.25">
      <c r="A167" s="14" t="s">
        <v>481</v>
      </c>
      <c r="B167" s="3" t="s">
        <v>83</v>
      </c>
      <c r="C167" s="3" t="s">
        <v>482</v>
      </c>
      <c r="D167" s="3" t="s">
        <v>85</v>
      </c>
      <c r="E167" s="3">
        <v>33.063000000000002</v>
      </c>
      <c r="F167" s="3" t="s">
        <v>60</v>
      </c>
      <c r="G167" s="3" t="s">
        <v>61</v>
      </c>
      <c r="H167" s="6" t="s">
        <v>481</v>
      </c>
    </row>
    <row r="168" spans="1:8" ht="22.5" customHeight="1" x14ac:dyDescent="0.25">
      <c r="A168" s="13" t="s">
        <v>483</v>
      </c>
      <c r="B168" s="2" t="s">
        <v>83</v>
      </c>
      <c r="C168" s="2" t="s">
        <v>484</v>
      </c>
      <c r="D168" s="2" t="s">
        <v>85</v>
      </c>
      <c r="E168" s="2">
        <v>33.063000000000002</v>
      </c>
      <c r="F168" s="2" t="s">
        <v>60</v>
      </c>
      <c r="G168" s="2" t="s">
        <v>61</v>
      </c>
      <c r="H168" s="6" t="s">
        <v>483</v>
      </c>
    </row>
    <row r="169" spans="1:8" ht="33.75" customHeight="1" x14ac:dyDescent="0.25">
      <c r="A169" s="14" t="s">
        <v>485</v>
      </c>
      <c r="B169" s="3" t="s">
        <v>486</v>
      </c>
      <c r="C169" s="3" t="s">
        <v>487</v>
      </c>
      <c r="D169" s="3" t="s">
        <v>488</v>
      </c>
      <c r="E169" s="3">
        <v>44.812399999999997</v>
      </c>
      <c r="F169" s="3" t="s">
        <v>60</v>
      </c>
      <c r="G169" s="3" t="s">
        <v>61</v>
      </c>
      <c r="H169" s="6" t="s">
        <v>485</v>
      </c>
    </row>
    <row r="170" spans="1:8" ht="33.75" customHeight="1" x14ac:dyDescent="0.25">
      <c r="A170" s="13" t="s">
        <v>489</v>
      </c>
      <c r="B170" s="2" t="s">
        <v>490</v>
      </c>
      <c r="C170" s="2" t="s">
        <v>491</v>
      </c>
      <c r="D170" s="2" t="s">
        <v>492</v>
      </c>
      <c r="E170" s="2">
        <v>44.6524</v>
      </c>
      <c r="F170" s="2" t="s">
        <v>60</v>
      </c>
      <c r="G170" s="2" t="s">
        <v>61</v>
      </c>
      <c r="H170" s="6" t="s">
        <v>489</v>
      </c>
    </row>
    <row r="171" spans="1:8" ht="33.75" customHeight="1" x14ac:dyDescent="0.25">
      <c r="A171" s="14" t="s">
        <v>493</v>
      </c>
      <c r="B171" s="3" t="s">
        <v>69</v>
      </c>
      <c r="C171" s="3" t="s">
        <v>494</v>
      </c>
      <c r="D171" s="3" t="s">
        <v>71</v>
      </c>
      <c r="E171" s="3">
        <v>32.102400000000003</v>
      </c>
      <c r="F171" s="3" t="s">
        <v>60</v>
      </c>
      <c r="G171" s="3" t="s">
        <v>61</v>
      </c>
      <c r="H171" s="6" t="s">
        <v>493</v>
      </c>
    </row>
    <row r="172" spans="1:8" ht="33.75" customHeight="1" x14ac:dyDescent="0.25">
      <c r="A172" s="13" t="s">
        <v>495</v>
      </c>
      <c r="B172" s="2" t="s">
        <v>63</v>
      </c>
      <c r="C172" s="2" t="s">
        <v>496</v>
      </c>
      <c r="D172" s="2" t="s">
        <v>65</v>
      </c>
      <c r="E172" s="2">
        <v>31.412400000000002</v>
      </c>
      <c r="F172" s="2" t="s">
        <v>60</v>
      </c>
      <c r="G172" s="2" t="s">
        <v>61</v>
      </c>
      <c r="H172" s="6" t="s">
        <v>495</v>
      </c>
    </row>
    <row r="173" spans="1:8" ht="33.75" customHeight="1" x14ac:dyDescent="0.25">
      <c r="A173" s="14" t="s">
        <v>497</v>
      </c>
      <c r="B173" s="3" t="s">
        <v>69</v>
      </c>
      <c r="C173" s="3" t="s">
        <v>498</v>
      </c>
      <c r="D173" s="3" t="s">
        <v>71</v>
      </c>
      <c r="E173" s="3">
        <v>32.102400000000003</v>
      </c>
      <c r="F173" s="3" t="s">
        <v>60</v>
      </c>
      <c r="G173" s="3" t="s">
        <v>61</v>
      </c>
      <c r="H173" s="6" t="s">
        <v>497</v>
      </c>
    </row>
    <row r="174" spans="1:8" ht="33.75" customHeight="1" x14ac:dyDescent="0.25">
      <c r="A174" s="13" t="s">
        <v>499</v>
      </c>
      <c r="B174" s="2" t="s">
        <v>69</v>
      </c>
      <c r="C174" s="2" t="s">
        <v>500</v>
      </c>
      <c r="D174" s="2" t="s">
        <v>71</v>
      </c>
      <c r="E174" s="2">
        <v>32.102400000000003</v>
      </c>
      <c r="F174" s="2" t="s">
        <v>60</v>
      </c>
      <c r="G174" s="2" t="s">
        <v>61</v>
      </c>
      <c r="H174" s="6" t="s">
        <v>499</v>
      </c>
    </row>
    <row r="175" spans="1:8" ht="33.75" customHeight="1" x14ac:dyDescent="0.25">
      <c r="A175" s="14" t="s">
        <v>501</v>
      </c>
      <c r="B175" s="3" t="s">
        <v>73</v>
      </c>
      <c r="C175" s="3" t="s">
        <v>502</v>
      </c>
      <c r="D175" s="3" t="s">
        <v>75</v>
      </c>
      <c r="E175" s="3">
        <v>31.538399999999999</v>
      </c>
      <c r="F175" s="3" t="s">
        <v>60</v>
      </c>
      <c r="G175" s="3" t="s">
        <v>61</v>
      </c>
      <c r="H175" s="6" t="s">
        <v>501</v>
      </c>
    </row>
    <row r="176" spans="1:8" ht="33.75" customHeight="1" x14ac:dyDescent="0.25">
      <c r="A176" s="13" t="s">
        <v>503</v>
      </c>
      <c r="B176" s="2" t="s">
        <v>73</v>
      </c>
      <c r="C176" s="2" t="s">
        <v>504</v>
      </c>
      <c r="D176" s="2" t="s">
        <v>75</v>
      </c>
      <c r="E176" s="2">
        <v>31.538399999999999</v>
      </c>
      <c r="F176" s="2" t="s">
        <v>60</v>
      </c>
      <c r="G176" s="2" t="s">
        <v>61</v>
      </c>
      <c r="H176" s="6" t="s">
        <v>503</v>
      </c>
    </row>
    <row r="177" spans="1:8" ht="33.75" customHeight="1" x14ac:dyDescent="0.25">
      <c r="A177" s="14" t="s">
        <v>505</v>
      </c>
      <c r="B177" s="3" t="s">
        <v>73</v>
      </c>
      <c r="C177" s="3" t="s">
        <v>506</v>
      </c>
      <c r="D177" s="3" t="s">
        <v>75</v>
      </c>
      <c r="E177" s="3">
        <v>31.538399999999999</v>
      </c>
      <c r="F177" s="3" t="s">
        <v>60</v>
      </c>
      <c r="G177" s="3" t="s">
        <v>61</v>
      </c>
      <c r="H177" s="6" t="s">
        <v>505</v>
      </c>
    </row>
    <row r="178" spans="1:8" ht="33.75" customHeight="1" x14ac:dyDescent="0.25">
      <c r="A178" s="13" t="s">
        <v>507</v>
      </c>
      <c r="B178" s="2" t="s">
        <v>83</v>
      </c>
      <c r="C178" s="2" t="s">
        <v>508</v>
      </c>
      <c r="D178" s="2" t="s">
        <v>85</v>
      </c>
      <c r="E178" s="2">
        <v>33.063000000000002</v>
      </c>
      <c r="F178" s="2" t="s">
        <v>60</v>
      </c>
      <c r="G178" s="2" t="s">
        <v>61</v>
      </c>
      <c r="H178" s="6" t="s">
        <v>507</v>
      </c>
    </row>
    <row r="179" spans="1:8" ht="33.75" customHeight="1" x14ac:dyDescent="0.25">
      <c r="A179" s="14" t="s">
        <v>509</v>
      </c>
      <c r="B179" s="3" t="s">
        <v>63</v>
      </c>
      <c r="C179" s="3" t="s">
        <v>510</v>
      </c>
      <c r="D179" s="3" t="s">
        <v>65</v>
      </c>
      <c r="E179" s="3">
        <v>31.412400000000002</v>
      </c>
      <c r="F179" s="3" t="s">
        <v>60</v>
      </c>
      <c r="G179" s="3" t="s">
        <v>61</v>
      </c>
      <c r="H179" s="6" t="s">
        <v>509</v>
      </c>
    </row>
    <row r="180" spans="1:8" ht="33.75" customHeight="1" x14ac:dyDescent="0.25">
      <c r="A180" s="13" t="s">
        <v>511</v>
      </c>
      <c r="B180" s="2" t="s">
        <v>83</v>
      </c>
      <c r="C180" s="2" t="s">
        <v>512</v>
      </c>
      <c r="D180" s="2" t="s">
        <v>85</v>
      </c>
      <c r="E180" s="2">
        <v>33.063000000000002</v>
      </c>
      <c r="F180" s="2" t="s">
        <v>60</v>
      </c>
      <c r="G180" s="2" t="s">
        <v>61</v>
      </c>
      <c r="H180" s="6" t="s">
        <v>511</v>
      </c>
    </row>
    <row r="181" spans="1:8" ht="33.75" customHeight="1" x14ac:dyDescent="0.25">
      <c r="A181" s="14" t="s">
        <v>513</v>
      </c>
      <c r="B181" s="3" t="s">
        <v>83</v>
      </c>
      <c r="C181" s="3" t="s">
        <v>508</v>
      </c>
      <c r="D181" s="3" t="s">
        <v>85</v>
      </c>
      <c r="E181" s="3">
        <v>33.063000000000002</v>
      </c>
      <c r="F181" s="3" t="s">
        <v>60</v>
      </c>
      <c r="G181" s="3" t="s">
        <v>61</v>
      </c>
      <c r="H181" s="6" t="s">
        <v>513</v>
      </c>
    </row>
    <row r="182" spans="1:8" ht="22.5" customHeight="1" x14ac:dyDescent="0.25">
      <c r="A182" s="13" t="s">
        <v>514</v>
      </c>
      <c r="B182" s="2" t="s">
        <v>515</v>
      </c>
      <c r="C182" s="2" t="s">
        <v>516</v>
      </c>
      <c r="D182" s="2" t="s">
        <v>517</v>
      </c>
      <c r="E182" s="2">
        <v>29.3124</v>
      </c>
      <c r="F182" s="2" t="s">
        <v>60</v>
      </c>
      <c r="G182" s="2" t="s">
        <v>61</v>
      </c>
      <c r="H182" s="6" t="s">
        <v>514</v>
      </c>
    </row>
    <row r="183" spans="1:8" ht="22.5" customHeight="1" x14ac:dyDescent="0.25">
      <c r="A183" s="14" t="s">
        <v>518</v>
      </c>
      <c r="B183" s="3" t="s">
        <v>519</v>
      </c>
      <c r="C183" s="3" t="s">
        <v>520</v>
      </c>
      <c r="D183" s="3" t="s">
        <v>521</v>
      </c>
      <c r="E183" s="3">
        <v>30.339120000000001</v>
      </c>
      <c r="F183" s="3" t="s">
        <v>60</v>
      </c>
      <c r="G183" s="3" t="s">
        <v>61</v>
      </c>
      <c r="H183" s="6" t="s">
        <v>518</v>
      </c>
    </row>
    <row r="184" spans="1:8" ht="33.75" customHeight="1" x14ac:dyDescent="0.25">
      <c r="A184" s="13" t="s">
        <v>522</v>
      </c>
      <c r="B184" s="2" t="s">
        <v>436</v>
      </c>
      <c r="C184" s="2" t="s">
        <v>523</v>
      </c>
      <c r="D184" s="2" t="s">
        <v>438</v>
      </c>
      <c r="E184" s="2">
        <v>30.466999999999999</v>
      </c>
      <c r="F184" s="2" t="s">
        <v>60</v>
      </c>
      <c r="G184" s="2" t="s">
        <v>61</v>
      </c>
      <c r="H184" s="6" t="s">
        <v>522</v>
      </c>
    </row>
    <row r="185" spans="1:8" ht="33.75" customHeight="1" x14ac:dyDescent="0.25">
      <c r="A185" s="14" t="s">
        <v>524</v>
      </c>
      <c r="B185" s="3" t="s">
        <v>426</v>
      </c>
      <c r="C185" s="3" t="s">
        <v>525</v>
      </c>
      <c r="D185" s="3" t="s">
        <v>428</v>
      </c>
      <c r="E185" s="3">
        <v>31.157</v>
      </c>
      <c r="F185" s="3" t="s">
        <v>60</v>
      </c>
      <c r="G185" s="3" t="s">
        <v>61</v>
      </c>
      <c r="H185" s="6" t="s">
        <v>524</v>
      </c>
    </row>
    <row r="186" spans="1:8" ht="45" customHeight="1" x14ac:dyDescent="0.25">
      <c r="A186" s="13" t="s">
        <v>526</v>
      </c>
      <c r="B186" s="2" t="s">
        <v>142</v>
      </c>
      <c r="C186" s="2" t="s">
        <v>527</v>
      </c>
      <c r="D186" s="2" t="s">
        <v>144</v>
      </c>
      <c r="E186" s="2"/>
      <c r="F186" s="2" t="s">
        <v>145</v>
      </c>
      <c r="G186" s="2" t="s">
        <v>146</v>
      </c>
      <c r="H186" s="6" t="s">
        <v>526</v>
      </c>
    </row>
    <row r="187" spans="1:8" ht="33.75" customHeight="1" x14ac:dyDescent="0.25">
      <c r="A187" s="14" t="s">
        <v>528</v>
      </c>
      <c r="B187" s="3" t="s">
        <v>57</v>
      </c>
      <c r="C187" s="3" t="s">
        <v>529</v>
      </c>
      <c r="D187" s="3" t="s">
        <v>59</v>
      </c>
      <c r="E187" s="3">
        <v>31.825199999999999</v>
      </c>
      <c r="F187" s="3" t="s">
        <v>60</v>
      </c>
      <c r="G187" s="3" t="s">
        <v>61</v>
      </c>
      <c r="H187" s="6" t="s">
        <v>528</v>
      </c>
    </row>
    <row r="188" spans="1:8" ht="33.75" customHeight="1" x14ac:dyDescent="0.25">
      <c r="A188" s="13" t="s">
        <v>530</v>
      </c>
      <c r="B188" s="2" t="s">
        <v>57</v>
      </c>
      <c r="C188" s="2" t="s">
        <v>531</v>
      </c>
      <c r="D188" s="2" t="s">
        <v>59</v>
      </c>
      <c r="E188" s="2">
        <v>31.825199999999999</v>
      </c>
      <c r="F188" s="2" t="s">
        <v>60</v>
      </c>
      <c r="G188" s="2" t="s">
        <v>61</v>
      </c>
      <c r="H188" s="6" t="s">
        <v>530</v>
      </c>
    </row>
    <row r="189" spans="1:8" ht="33.75" customHeight="1" x14ac:dyDescent="0.25">
      <c r="A189" s="14" t="s">
        <v>532</v>
      </c>
      <c r="B189" s="3" t="s">
        <v>57</v>
      </c>
      <c r="C189" s="3" t="s">
        <v>533</v>
      </c>
      <c r="D189" s="3" t="s">
        <v>59</v>
      </c>
      <c r="E189" s="3">
        <v>31.825199999999999</v>
      </c>
      <c r="F189" s="3" t="s">
        <v>60</v>
      </c>
      <c r="G189" s="3" t="s">
        <v>61</v>
      </c>
      <c r="H189" s="6" t="s">
        <v>532</v>
      </c>
    </row>
    <row r="190" spans="1:8" ht="33.75" customHeight="1" x14ac:dyDescent="0.25">
      <c r="A190" s="13" t="s">
        <v>534</v>
      </c>
      <c r="B190" s="2" t="s">
        <v>277</v>
      </c>
      <c r="C190" s="2" t="s">
        <v>535</v>
      </c>
      <c r="D190" s="2" t="s">
        <v>279</v>
      </c>
      <c r="E190" s="2">
        <v>29.7592</v>
      </c>
      <c r="F190" s="2" t="s">
        <v>60</v>
      </c>
      <c r="G190" s="2" t="s">
        <v>61</v>
      </c>
      <c r="H190" s="6" t="s">
        <v>534</v>
      </c>
    </row>
    <row r="191" spans="1:8" ht="33.75" customHeight="1" x14ac:dyDescent="0.25">
      <c r="A191" s="14" t="s">
        <v>536</v>
      </c>
      <c r="B191" s="3" t="s">
        <v>89</v>
      </c>
      <c r="C191" s="3" t="s">
        <v>537</v>
      </c>
      <c r="D191" s="3" t="s">
        <v>91</v>
      </c>
      <c r="E191" s="3">
        <v>32.389200000000002</v>
      </c>
      <c r="F191" s="3" t="s">
        <v>60</v>
      </c>
      <c r="G191" s="3" t="s">
        <v>61</v>
      </c>
      <c r="H191" s="6" t="s">
        <v>536</v>
      </c>
    </row>
    <row r="192" spans="1:8" ht="33.75" customHeight="1" x14ac:dyDescent="0.25">
      <c r="A192" s="13" t="s">
        <v>538</v>
      </c>
      <c r="B192" s="2" t="s">
        <v>89</v>
      </c>
      <c r="C192" s="2" t="s">
        <v>539</v>
      </c>
      <c r="D192" s="2" t="s">
        <v>91</v>
      </c>
      <c r="E192" s="2">
        <v>32.389200000000002</v>
      </c>
      <c r="F192" s="2" t="s">
        <v>60</v>
      </c>
      <c r="G192" s="2" t="s">
        <v>61</v>
      </c>
      <c r="H192" s="6" t="s">
        <v>538</v>
      </c>
    </row>
    <row r="193" spans="1:8" ht="33.75" customHeight="1" x14ac:dyDescent="0.25">
      <c r="A193" s="14" t="s">
        <v>540</v>
      </c>
      <c r="B193" s="3" t="s">
        <v>77</v>
      </c>
      <c r="C193" s="3" t="s">
        <v>196</v>
      </c>
      <c r="D193" s="3" t="s">
        <v>79</v>
      </c>
      <c r="E193" s="3">
        <v>31.699200000000001</v>
      </c>
      <c r="F193" s="3" t="s">
        <v>60</v>
      </c>
      <c r="G193" s="3" t="s">
        <v>61</v>
      </c>
      <c r="H193" s="6" t="s">
        <v>540</v>
      </c>
    </row>
    <row r="194" spans="1:8" ht="33.75" customHeight="1" x14ac:dyDescent="0.25">
      <c r="A194" s="13" t="s">
        <v>541</v>
      </c>
      <c r="B194" s="2" t="s">
        <v>57</v>
      </c>
      <c r="C194" s="2" t="s">
        <v>533</v>
      </c>
      <c r="D194" s="2" t="s">
        <v>59</v>
      </c>
      <c r="E194" s="2">
        <v>31.825199999999999</v>
      </c>
      <c r="F194" s="2" t="s">
        <v>60</v>
      </c>
      <c r="G194" s="2" t="s">
        <v>61</v>
      </c>
      <c r="H194" s="6" t="s">
        <v>541</v>
      </c>
    </row>
    <row r="195" spans="1:8" ht="33.75" customHeight="1" x14ac:dyDescent="0.25">
      <c r="A195" s="14" t="s">
        <v>542</v>
      </c>
      <c r="B195" s="3" t="s">
        <v>57</v>
      </c>
      <c r="C195" s="3" t="s">
        <v>531</v>
      </c>
      <c r="D195" s="3" t="s">
        <v>59</v>
      </c>
      <c r="E195" s="3">
        <v>31.825199999999999</v>
      </c>
      <c r="F195" s="3" t="s">
        <v>60</v>
      </c>
      <c r="G195" s="3" t="s">
        <v>61</v>
      </c>
      <c r="H195" s="6" t="s">
        <v>542</v>
      </c>
    </row>
    <row r="196" spans="1:8" ht="33.75" customHeight="1" x14ac:dyDescent="0.25">
      <c r="A196" s="13" t="s">
        <v>543</v>
      </c>
      <c r="B196" s="2" t="s">
        <v>89</v>
      </c>
      <c r="C196" s="2" t="s">
        <v>544</v>
      </c>
      <c r="D196" s="2" t="s">
        <v>91</v>
      </c>
      <c r="E196" s="2">
        <v>32.389200000000002</v>
      </c>
      <c r="F196" s="2" t="s">
        <v>60</v>
      </c>
      <c r="G196" s="2" t="s">
        <v>61</v>
      </c>
      <c r="H196" s="6" t="s">
        <v>543</v>
      </c>
    </row>
    <row r="197" spans="1:8" ht="22.5" customHeight="1" x14ac:dyDescent="0.25">
      <c r="A197" s="14" t="s">
        <v>545</v>
      </c>
      <c r="B197" s="3" t="s">
        <v>120</v>
      </c>
      <c r="C197" s="3" t="s">
        <v>546</v>
      </c>
      <c r="D197" s="3" t="s">
        <v>122</v>
      </c>
      <c r="E197" s="3">
        <v>33.349800000000002</v>
      </c>
      <c r="F197" s="3" t="s">
        <v>60</v>
      </c>
      <c r="G197" s="3" t="s">
        <v>61</v>
      </c>
      <c r="H197" s="6" t="s">
        <v>545</v>
      </c>
    </row>
    <row r="198" spans="1:8" ht="33.75" customHeight="1" x14ac:dyDescent="0.25">
      <c r="A198" s="13" t="s">
        <v>547</v>
      </c>
      <c r="B198" s="2" t="s">
        <v>120</v>
      </c>
      <c r="C198" s="2" t="s">
        <v>548</v>
      </c>
      <c r="D198" s="2" t="s">
        <v>122</v>
      </c>
      <c r="E198" s="2">
        <v>33.349800000000002</v>
      </c>
      <c r="F198" s="2" t="s">
        <v>60</v>
      </c>
      <c r="G198" s="2" t="s">
        <v>61</v>
      </c>
      <c r="H198" s="6" t="s">
        <v>547</v>
      </c>
    </row>
    <row r="199" spans="1:8" ht="33.75" customHeight="1" x14ac:dyDescent="0.25">
      <c r="A199" s="14" t="s">
        <v>549</v>
      </c>
      <c r="B199" s="3" t="s">
        <v>89</v>
      </c>
      <c r="C199" s="3" t="s">
        <v>550</v>
      </c>
      <c r="D199" s="3" t="s">
        <v>91</v>
      </c>
      <c r="E199" s="3">
        <v>32.389200000000002</v>
      </c>
      <c r="F199" s="3" t="s">
        <v>60</v>
      </c>
      <c r="G199" s="3" t="s">
        <v>61</v>
      </c>
      <c r="H199" s="6" t="s">
        <v>549</v>
      </c>
    </row>
    <row r="200" spans="1:8" ht="33.75" customHeight="1" x14ac:dyDescent="0.25">
      <c r="A200" s="13" t="s">
        <v>551</v>
      </c>
      <c r="B200" s="2" t="s">
        <v>89</v>
      </c>
      <c r="C200" s="2" t="s">
        <v>552</v>
      </c>
      <c r="D200" s="2" t="s">
        <v>91</v>
      </c>
      <c r="E200" s="2">
        <v>32.389200000000002</v>
      </c>
      <c r="F200" s="2" t="s">
        <v>60</v>
      </c>
      <c r="G200" s="2" t="s">
        <v>61</v>
      </c>
      <c r="H200" s="6" t="s">
        <v>551</v>
      </c>
    </row>
    <row r="201" spans="1:8" ht="33.75" customHeight="1" x14ac:dyDescent="0.25">
      <c r="A201" s="14" t="s">
        <v>553</v>
      </c>
      <c r="B201" s="3" t="s">
        <v>77</v>
      </c>
      <c r="C201" s="3" t="s">
        <v>554</v>
      </c>
      <c r="D201" s="3" t="s">
        <v>79</v>
      </c>
      <c r="E201" s="3">
        <v>31.699200000000001</v>
      </c>
      <c r="F201" s="3" t="s">
        <v>60</v>
      </c>
      <c r="G201" s="3" t="s">
        <v>61</v>
      </c>
      <c r="H201" s="6" t="s">
        <v>553</v>
      </c>
    </row>
    <row r="202" spans="1:8" ht="33.75" customHeight="1" x14ac:dyDescent="0.25">
      <c r="A202" s="13" t="s">
        <v>555</v>
      </c>
      <c r="B202" s="2" t="s">
        <v>89</v>
      </c>
      <c r="C202" s="2" t="s">
        <v>556</v>
      </c>
      <c r="D202" s="2" t="s">
        <v>91</v>
      </c>
      <c r="E202" s="2">
        <v>32.389200000000002</v>
      </c>
      <c r="F202" s="2" t="s">
        <v>60</v>
      </c>
      <c r="G202" s="2" t="s">
        <v>61</v>
      </c>
      <c r="H202" s="6" t="s">
        <v>555</v>
      </c>
    </row>
    <row r="203" spans="1:8" ht="33.75" customHeight="1" x14ac:dyDescent="0.25">
      <c r="A203" s="14" t="s">
        <v>557</v>
      </c>
      <c r="B203" s="3" t="s">
        <v>57</v>
      </c>
      <c r="C203" s="3" t="s">
        <v>558</v>
      </c>
      <c r="D203" s="3" t="s">
        <v>59</v>
      </c>
      <c r="E203" s="3">
        <v>31.825199999999999</v>
      </c>
      <c r="F203" s="3" t="s">
        <v>60</v>
      </c>
      <c r="G203" s="3" t="s">
        <v>61</v>
      </c>
      <c r="H203" s="6" t="s">
        <v>557</v>
      </c>
    </row>
    <row r="204" spans="1:8" ht="33.75" customHeight="1" x14ac:dyDescent="0.25">
      <c r="A204" s="13" t="s">
        <v>559</v>
      </c>
      <c r="B204" s="2" t="s">
        <v>89</v>
      </c>
      <c r="C204" s="2" t="s">
        <v>560</v>
      </c>
      <c r="D204" s="2" t="s">
        <v>91</v>
      </c>
      <c r="E204" s="2">
        <v>32.389200000000002</v>
      </c>
      <c r="F204" s="2" t="s">
        <v>60</v>
      </c>
      <c r="G204" s="2" t="s">
        <v>61</v>
      </c>
      <c r="H204" s="6" t="s">
        <v>559</v>
      </c>
    </row>
    <row r="205" spans="1:8" ht="33.75" customHeight="1" x14ac:dyDescent="0.25">
      <c r="A205" s="14" t="s">
        <v>561</v>
      </c>
      <c r="B205" s="3" t="s">
        <v>562</v>
      </c>
      <c r="C205" s="3" t="s">
        <v>563</v>
      </c>
      <c r="D205" s="3" t="s">
        <v>564</v>
      </c>
      <c r="E205" s="3">
        <v>28.649000000000001</v>
      </c>
      <c r="F205" s="3" t="s">
        <v>60</v>
      </c>
      <c r="G205" s="3" t="s">
        <v>61</v>
      </c>
      <c r="H205" s="6" t="s">
        <v>561</v>
      </c>
    </row>
    <row r="206" spans="1:8" ht="33.75" customHeight="1" x14ac:dyDescent="0.25">
      <c r="A206" s="13" t="s">
        <v>565</v>
      </c>
      <c r="B206" s="2" t="s">
        <v>566</v>
      </c>
      <c r="C206" s="2" t="s">
        <v>567</v>
      </c>
      <c r="D206" s="2" t="s">
        <v>568</v>
      </c>
      <c r="E206" s="2">
        <v>32.401719999999997</v>
      </c>
      <c r="F206" s="2" t="s">
        <v>60</v>
      </c>
      <c r="G206" s="2" t="s">
        <v>61</v>
      </c>
      <c r="H206" s="6" t="s">
        <v>565</v>
      </c>
    </row>
    <row r="207" spans="1:8" ht="33.75" customHeight="1" x14ac:dyDescent="0.25">
      <c r="A207" s="14" t="s">
        <v>569</v>
      </c>
      <c r="B207" s="3" t="s">
        <v>570</v>
      </c>
      <c r="C207" s="3" t="s">
        <v>571</v>
      </c>
      <c r="D207" s="3" t="s">
        <v>572</v>
      </c>
      <c r="E207" s="3">
        <v>28.4544</v>
      </c>
      <c r="F207" s="3" t="s">
        <v>60</v>
      </c>
      <c r="G207" s="3" t="s">
        <v>61</v>
      </c>
      <c r="H207" s="6" t="s">
        <v>569</v>
      </c>
    </row>
    <row r="208" spans="1:8" ht="33.75" customHeight="1" x14ac:dyDescent="0.25">
      <c r="A208" s="13" t="s">
        <v>573</v>
      </c>
      <c r="B208" s="2" t="s">
        <v>574</v>
      </c>
      <c r="C208" s="2" t="s">
        <v>575</v>
      </c>
      <c r="D208" s="2" t="s">
        <v>576</v>
      </c>
      <c r="E208" s="2">
        <v>28.134399999999999</v>
      </c>
      <c r="F208" s="2" t="s">
        <v>60</v>
      </c>
      <c r="G208" s="2" t="s">
        <v>61</v>
      </c>
      <c r="H208" s="6" t="s">
        <v>573</v>
      </c>
    </row>
    <row r="209" spans="1:8" ht="33.75" customHeight="1" x14ac:dyDescent="0.25">
      <c r="A209" s="14" t="s">
        <v>577</v>
      </c>
      <c r="B209" s="3" t="s">
        <v>578</v>
      </c>
      <c r="C209" s="3" t="s">
        <v>579</v>
      </c>
      <c r="D209" s="3" t="s">
        <v>580</v>
      </c>
      <c r="E209" s="3">
        <v>32.374809999999997</v>
      </c>
      <c r="F209" s="3" t="s">
        <v>60</v>
      </c>
      <c r="G209" s="3" t="s">
        <v>61</v>
      </c>
      <c r="H209" s="6" t="s">
        <v>577</v>
      </c>
    </row>
    <row r="210" spans="1:8" ht="33.75" customHeight="1" x14ac:dyDescent="0.25">
      <c r="A210" s="13" t="s">
        <v>581</v>
      </c>
      <c r="B210" s="2" t="s">
        <v>582</v>
      </c>
      <c r="C210" s="2" t="s">
        <v>583</v>
      </c>
      <c r="D210" s="2" t="s">
        <v>584</v>
      </c>
      <c r="E210" s="2">
        <v>32.844639999999998</v>
      </c>
      <c r="F210" s="2" t="s">
        <v>60</v>
      </c>
      <c r="G210" s="2" t="s">
        <v>61</v>
      </c>
      <c r="H210" s="6" t="s">
        <v>581</v>
      </c>
    </row>
    <row r="211" spans="1:8" ht="33.75" customHeight="1" x14ac:dyDescent="0.25">
      <c r="A211" s="14" t="s">
        <v>585</v>
      </c>
      <c r="B211" s="3" t="s">
        <v>77</v>
      </c>
      <c r="C211" s="3" t="s">
        <v>586</v>
      </c>
      <c r="D211" s="3" t="s">
        <v>79</v>
      </c>
      <c r="E211" s="3">
        <v>31.699200000000001</v>
      </c>
      <c r="F211" s="3" t="s">
        <v>60</v>
      </c>
      <c r="G211" s="3" t="s">
        <v>61</v>
      </c>
      <c r="H211" s="6" t="s">
        <v>585</v>
      </c>
    </row>
    <row r="212" spans="1:8" ht="22.5" customHeight="1" x14ac:dyDescent="0.25">
      <c r="A212" s="13" t="s">
        <v>587</v>
      </c>
      <c r="B212" s="2" t="s">
        <v>588</v>
      </c>
      <c r="C212" s="2" t="s">
        <v>589</v>
      </c>
      <c r="D212" s="2" t="s">
        <v>590</v>
      </c>
      <c r="E212" s="2">
        <v>29.869199999999999</v>
      </c>
      <c r="F212" s="2" t="s">
        <v>60</v>
      </c>
      <c r="G212" s="2" t="s">
        <v>61</v>
      </c>
      <c r="H212" s="6" t="s">
        <v>587</v>
      </c>
    </row>
    <row r="213" spans="1:8" ht="33.75" customHeight="1" x14ac:dyDescent="0.25">
      <c r="A213" s="14" t="s">
        <v>591</v>
      </c>
      <c r="B213" s="3" t="s">
        <v>386</v>
      </c>
      <c r="C213" s="3" t="s">
        <v>592</v>
      </c>
      <c r="D213" s="3" t="s">
        <v>388</v>
      </c>
      <c r="E213" s="3">
        <v>33.783799999999999</v>
      </c>
      <c r="F213" s="3" t="s">
        <v>60</v>
      </c>
      <c r="G213" s="3" t="s">
        <v>61</v>
      </c>
      <c r="H213" s="6" t="s">
        <v>591</v>
      </c>
    </row>
    <row r="214" spans="1:8" ht="33.75" customHeight="1" x14ac:dyDescent="0.25">
      <c r="A214" s="13" t="s">
        <v>593</v>
      </c>
      <c r="B214" s="2" t="s">
        <v>386</v>
      </c>
      <c r="C214" s="2" t="s">
        <v>594</v>
      </c>
      <c r="D214" s="2" t="s">
        <v>388</v>
      </c>
      <c r="E214" s="2">
        <v>33.783799999999999</v>
      </c>
      <c r="F214" s="2" t="s">
        <v>60</v>
      </c>
      <c r="G214" s="2" t="s">
        <v>61</v>
      </c>
      <c r="H214" s="6" t="s">
        <v>593</v>
      </c>
    </row>
    <row r="215" spans="1:8" ht="22.5" customHeight="1" x14ac:dyDescent="0.25">
      <c r="A215" s="14" t="s">
        <v>595</v>
      </c>
      <c r="B215" s="3" t="s">
        <v>324</v>
      </c>
      <c r="C215" s="3" t="s">
        <v>596</v>
      </c>
      <c r="D215" s="3" t="s">
        <v>326</v>
      </c>
      <c r="E215" s="3">
        <v>29.719200000000001</v>
      </c>
      <c r="F215" s="3" t="s">
        <v>60</v>
      </c>
      <c r="G215" s="3" t="s">
        <v>61</v>
      </c>
      <c r="H215" s="6" t="s">
        <v>595</v>
      </c>
    </row>
    <row r="216" spans="1:8" ht="33.75" customHeight="1" x14ac:dyDescent="0.25">
      <c r="A216" s="13" t="s">
        <v>597</v>
      </c>
      <c r="B216" s="2" t="s">
        <v>89</v>
      </c>
      <c r="C216" s="2" t="s">
        <v>598</v>
      </c>
      <c r="D216" s="2" t="s">
        <v>91</v>
      </c>
      <c r="E216" s="2">
        <v>32.389200000000002</v>
      </c>
      <c r="F216" s="2" t="s">
        <v>60</v>
      </c>
      <c r="G216" s="2" t="s">
        <v>61</v>
      </c>
      <c r="H216" s="6" t="s">
        <v>597</v>
      </c>
    </row>
    <row r="217" spans="1:8" ht="33.75" customHeight="1" x14ac:dyDescent="0.25">
      <c r="A217" s="14" t="s">
        <v>599</v>
      </c>
      <c r="B217" s="3" t="s">
        <v>600</v>
      </c>
      <c r="C217" s="3" t="s">
        <v>601</v>
      </c>
      <c r="D217" s="3" t="s">
        <v>602</v>
      </c>
      <c r="E217" s="3">
        <v>30.269200000000001</v>
      </c>
      <c r="F217" s="3" t="s">
        <v>60</v>
      </c>
      <c r="G217" s="3" t="s">
        <v>61</v>
      </c>
      <c r="H217" s="6" t="s">
        <v>599</v>
      </c>
    </row>
    <row r="218" spans="1:8" ht="33.75" customHeight="1" x14ac:dyDescent="0.25">
      <c r="A218" s="13" t="s">
        <v>603</v>
      </c>
      <c r="B218" s="2" t="s">
        <v>604</v>
      </c>
      <c r="C218" s="2" t="s">
        <v>605</v>
      </c>
      <c r="D218" s="2" t="s">
        <v>606</v>
      </c>
      <c r="E218" s="2">
        <v>31.8142</v>
      </c>
      <c r="F218" s="2" t="s">
        <v>60</v>
      </c>
      <c r="G218" s="2" t="s">
        <v>61</v>
      </c>
      <c r="H218" s="6" t="s">
        <v>603</v>
      </c>
    </row>
    <row r="219" spans="1:8" ht="22.5" customHeight="1" x14ac:dyDescent="0.25">
      <c r="A219" s="14" t="s">
        <v>607</v>
      </c>
      <c r="B219" s="3" t="s">
        <v>608</v>
      </c>
      <c r="C219" s="3" t="s">
        <v>609</v>
      </c>
      <c r="D219" s="3" t="s">
        <v>610</v>
      </c>
      <c r="E219" s="3">
        <v>50.456000000000003</v>
      </c>
      <c r="F219" s="3" t="s">
        <v>60</v>
      </c>
      <c r="G219" s="3" t="s">
        <v>61</v>
      </c>
      <c r="H219" s="6" t="s">
        <v>607</v>
      </c>
    </row>
    <row r="220" spans="1:8" ht="22.5" customHeight="1" x14ac:dyDescent="0.25">
      <c r="A220" s="13" t="s">
        <v>611</v>
      </c>
      <c r="B220" s="2" t="s">
        <v>612</v>
      </c>
      <c r="C220" s="2" t="s">
        <v>613</v>
      </c>
      <c r="D220" s="2" t="s">
        <v>614</v>
      </c>
      <c r="E220" s="2">
        <v>29.712399999999999</v>
      </c>
      <c r="F220" s="2" t="s">
        <v>60</v>
      </c>
      <c r="G220" s="2" t="s">
        <v>61</v>
      </c>
      <c r="H220" s="6" t="s">
        <v>611</v>
      </c>
    </row>
    <row r="221" spans="1:8" ht="22.5" customHeight="1" x14ac:dyDescent="0.25">
      <c r="A221" s="14" t="s">
        <v>615</v>
      </c>
      <c r="B221" s="3" t="s">
        <v>616</v>
      </c>
      <c r="C221" s="3" t="s">
        <v>617</v>
      </c>
      <c r="D221" s="3" t="s">
        <v>618</v>
      </c>
      <c r="E221" s="3">
        <v>49.136000000000003</v>
      </c>
      <c r="F221" s="3" t="s">
        <v>60</v>
      </c>
      <c r="G221" s="3" t="s">
        <v>61</v>
      </c>
      <c r="H221" s="6" t="s">
        <v>615</v>
      </c>
    </row>
    <row r="222" spans="1:8" ht="22.5" customHeight="1" x14ac:dyDescent="0.25">
      <c r="A222" s="13" t="s">
        <v>619</v>
      </c>
      <c r="B222" s="2" t="s">
        <v>620</v>
      </c>
      <c r="C222" s="2" t="s">
        <v>621</v>
      </c>
      <c r="D222" s="2" t="s">
        <v>622</v>
      </c>
      <c r="E222" s="2">
        <v>47.695999999999998</v>
      </c>
      <c r="F222" s="2" t="s">
        <v>60</v>
      </c>
      <c r="G222" s="2" t="s">
        <v>61</v>
      </c>
      <c r="H222" s="6" t="s">
        <v>619</v>
      </c>
    </row>
    <row r="223" spans="1:8" ht="22.5" customHeight="1" x14ac:dyDescent="0.25">
      <c r="A223" s="14" t="s">
        <v>623</v>
      </c>
      <c r="B223" s="3" t="s">
        <v>624</v>
      </c>
      <c r="C223" s="3" t="s">
        <v>625</v>
      </c>
      <c r="D223" s="3" t="s">
        <v>626</v>
      </c>
      <c r="E223" s="3">
        <v>47.403410000000001</v>
      </c>
      <c r="F223" s="3" t="s">
        <v>60</v>
      </c>
      <c r="G223" s="3" t="s">
        <v>61</v>
      </c>
      <c r="H223" s="6" t="s">
        <v>623</v>
      </c>
    </row>
    <row r="224" spans="1:8" ht="22.5" customHeight="1" x14ac:dyDescent="0.25">
      <c r="A224" s="13" t="s">
        <v>627</v>
      </c>
      <c r="B224" s="2" t="s">
        <v>628</v>
      </c>
      <c r="C224" s="2" t="s">
        <v>629</v>
      </c>
      <c r="D224" s="2" t="s">
        <v>630</v>
      </c>
      <c r="E224" s="2">
        <v>50.954000000000001</v>
      </c>
      <c r="F224" s="2" t="s">
        <v>60</v>
      </c>
      <c r="G224" s="2" t="s">
        <v>61</v>
      </c>
      <c r="H224" s="6" t="s">
        <v>627</v>
      </c>
    </row>
    <row r="225" spans="1:8" ht="22.5" customHeight="1" x14ac:dyDescent="0.25">
      <c r="A225" s="14" t="s">
        <v>631</v>
      </c>
      <c r="B225" s="3" t="s">
        <v>632</v>
      </c>
      <c r="C225" s="3" t="s">
        <v>633</v>
      </c>
      <c r="D225" s="3" t="s">
        <v>634</v>
      </c>
      <c r="E225" s="3">
        <v>27.795079999999999</v>
      </c>
      <c r="F225" s="3" t="s">
        <v>60</v>
      </c>
      <c r="G225" s="3" t="s">
        <v>61</v>
      </c>
      <c r="H225" s="6" t="s">
        <v>631</v>
      </c>
    </row>
    <row r="226" spans="1:8" ht="33.75" customHeight="1" x14ac:dyDescent="0.25">
      <c r="A226" s="13" t="s">
        <v>635</v>
      </c>
      <c r="B226" s="2" t="s">
        <v>120</v>
      </c>
      <c r="C226" s="2" t="s">
        <v>636</v>
      </c>
      <c r="D226" s="2" t="s">
        <v>122</v>
      </c>
      <c r="E226" s="2">
        <v>33.349800000000002</v>
      </c>
      <c r="F226" s="2" t="s">
        <v>60</v>
      </c>
      <c r="G226" s="2" t="s">
        <v>61</v>
      </c>
      <c r="H226" s="6" t="s">
        <v>635</v>
      </c>
    </row>
    <row r="227" spans="1:8" ht="22.5" customHeight="1" x14ac:dyDescent="0.25">
      <c r="A227" s="14" t="s">
        <v>637</v>
      </c>
      <c r="B227" s="3" t="s">
        <v>612</v>
      </c>
      <c r="C227" s="3" t="s">
        <v>638</v>
      </c>
      <c r="D227" s="3" t="s">
        <v>614</v>
      </c>
      <c r="E227" s="3">
        <v>29.712399999999999</v>
      </c>
      <c r="F227" s="3" t="s">
        <v>60</v>
      </c>
      <c r="G227" s="3" t="s">
        <v>61</v>
      </c>
      <c r="H227" s="6" t="s">
        <v>637</v>
      </c>
    </row>
    <row r="228" spans="1:8" ht="22.5" customHeight="1" x14ac:dyDescent="0.25">
      <c r="A228" s="13" t="s">
        <v>639</v>
      </c>
      <c r="B228" s="2" t="s">
        <v>404</v>
      </c>
      <c r="C228" s="2" t="s">
        <v>640</v>
      </c>
      <c r="D228" s="2" t="s">
        <v>406</v>
      </c>
      <c r="E228" s="2">
        <v>29.999199999999998</v>
      </c>
      <c r="F228" s="2" t="s">
        <v>60</v>
      </c>
      <c r="G228" s="2" t="s">
        <v>61</v>
      </c>
      <c r="H228" s="6" t="s">
        <v>639</v>
      </c>
    </row>
    <row r="229" spans="1:8" ht="33.75" customHeight="1" x14ac:dyDescent="0.25">
      <c r="A229" s="14" t="s">
        <v>641</v>
      </c>
      <c r="B229" s="3" t="s">
        <v>89</v>
      </c>
      <c r="C229" s="3" t="s">
        <v>642</v>
      </c>
      <c r="D229" s="3" t="s">
        <v>91</v>
      </c>
      <c r="E229" s="3">
        <v>32.389200000000002</v>
      </c>
      <c r="F229" s="3" t="s">
        <v>60</v>
      </c>
      <c r="G229" s="3" t="s">
        <v>61</v>
      </c>
      <c r="H229" s="6" t="s">
        <v>641</v>
      </c>
    </row>
    <row r="230" spans="1:8" ht="22.5" customHeight="1" x14ac:dyDescent="0.25">
      <c r="A230" s="13" t="s">
        <v>643</v>
      </c>
      <c r="B230" s="2" t="s">
        <v>644</v>
      </c>
      <c r="C230" s="2" t="s">
        <v>645</v>
      </c>
      <c r="D230" s="2" t="s">
        <v>646</v>
      </c>
      <c r="E230" s="2">
        <v>33.864400000000003</v>
      </c>
      <c r="F230" s="2" t="s">
        <v>60</v>
      </c>
      <c r="G230" s="2" t="s">
        <v>61</v>
      </c>
      <c r="H230" s="6" t="s">
        <v>643</v>
      </c>
    </row>
    <row r="231" spans="1:8" ht="22.5" customHeight="1" x14ac:dyDescent="0.25">
      <c r="A231" s="14" t="s">
        <v>647</v>
      </c>
      <c r="B231" s="3" t="s">
        <v>644</v>
      </c>
      <c r="C231" s="3" t="s">
        <v>648</v>
      </c>
      <c r="D231" s="3" t="s">
        <v>646</v>
      </c>
      <c r="E231" s="3">
        <v>33.864400000000003</v>
      </c>
      <c r="F231" s="3" t="s">
        <v>60</v>
      </c>
      <c r="G231" s="3" t="s">
        <v>61</v>
      </c>
      <c r="H231" s="6" t="s">
        <v>647</v>
      </c>
    </row>
    <row r="232" spans="1:8" ht="22.5" customHeight="1" x14ac:dyDescent="0.25">
      <c r="A232" s="13" t="s">
        <v>649</v>
      </c>
      <c r="B232" s="2" t="s">
        <v>650</v>
      </c>
      <c r="C232" s="2" t="s">
        <v>651</v>
      </c>
      <c r="D232" s="2" t="s">
        <v>652</v>
      </c>
      <c r="E232" s="2">
        <v>33.497</v>
      </c>
      <c r="F232" s="2" t="s">
        <v>60</v>
      </c>
      <c r="G232" s="2" t="s">
        <v>61</v>
      </c>
      <c r="H232" s="6" t="s">
        <v>649</v>
      </c>
    </row>
    <row r="233" spans="1:8" ht="22.5" customHeight="1" x14ac:dyDescent="0.25">
      <c r="A233" s="14" t="s">
        <v>653</v>
      </c>
      <c r="B233" s="3" t="s">
        <v>650</v>
      </c>
      <c r="C233" s="3" t="s">
        <v>654</v>
      </c>
      <c r="D233" s="3" t="s">
        <v>652</v>
      </c>
      <c r="E233" s="3">
        <v>33.497</v>
      </c>
      <c r="F233" s="3" t="s">
        <v>60</v>
      </c>
      <c r="G233" s="3" t="s">
        <v>61</v>
      </c>
      <c r="H233" s="6" t="s">
        <v>653</v>
      </c>
    </row>
    <row r="234" spans="1:8" ht="22.5" customHeight="1" x14ac:dyDescent="0.25">
      <c r="A234" s="13" t="s">
        <v>655</v>
      </c>
      <c r="B234" s="2" t="s">
        <v>656</v>
      </c>
      <c r="C234" s="2" t="s">
        <v>657</v>
      </c>
      <c r="D234" s="2" t="s">
        <v>658</v>
      </c>
      <c r="E234" s="2">
        <v>30.368400000000001</v>
      </c>
      <c r="F234" s="2" t="s">
        <v>60</v>
      </c>
      <c r="G234" s="2" t="s">
        <v>61</v>
      </c>
      <c r="H234" s="6" t="s">
        <v>655</v>
      </c>
    </row>
    <row r="235" spans="1:8" ht="22.5" customHeight="1" x14ac:dyDescent="0.25">
      <c r="A235" s="14" t="s">
        <v>659</v>
      </c>
      <c r="B235" s="3" t="s">
        <v>612</v>
      </c>
      <c r="C235" s="3" t="s">
        <v>660</v>
      </c>
      <c r="D235" s="3" t="s">
        <v>614</v>
      </c>
      <c r="E235" s="3">
        <v>29.712399999999999</v>
      </c>
      <c r="F235" s="3" t="s">
        <v>60</v>
      </c>
      <c r="G235" s="3" t="s">
        <v>61</v>
      </c>
      <c r="H235" s="6" t="s">
        <v>659</v>
      </c>
    </row>
    <row r="236" spans="1:8" ht="22.5" customHeight="1" x14ac:dyDescent="0.25">
      <c r="A236" s="13" t="s">
        <v>661</v>
      </c>
      <c r="B236" s="2" t="s">
        <v>612</v>
      </c>
      <c r="C236" s="2" t="s">
        <v>660</v>
      </c>
      <c r="D236" s="2" t="s">
        <v>614</v>
      </c>
      <c r="E236" s="2">
        <v>29.712399999999999</v>
      </c>
      <c r="F236" s="2" t="s">
        <v>60</v>
      </c>
      <c r="G236" s="2" t="s">
        <v>61</v>
      </c>
      <c r="H236" s="6" t="s">
        <v>661</v>
      </c>
    </row>
    <row r="237" spans="1:8" ht="22.5" customHeight="1" x14ac:dyDescent="0.25">
      <c r="A237" s="14" t="s">
        <v>662</v>
      </c>
      <c r="B237" s="3" t="s">
        <v>612</v>
      </c>
      <c r="C237" s="3" t="s">
        <v>663</v>
      </c>
      <c r="D237" s="3" t="s">
        <v>614</v>
      </c>
      <c r="E237" s="3">
        <v>29.712399999999999</v>
      </c>
      <c r="F237" s="3" t="s">
        <v>60</v>
      </c>
      <c r="G237" s="3" t="s">
        <v>61</v>
      </c>
      <c r="H237" s="6" t="s">
        <v>662</v>
      </c>
    </row>
    <row r="238" spans="1:8" ht="22.5" customHeight="1" x14ac:dyDescent="0.25">
      <c r="A238" s="13" t="s">
        <v>664</v>
      </c>
      <c r="B238" s="2" t="s">
        <v>665</v>
      </c>
      <c r="C238" s="2" t="s">
        <v>666</v>
      </c>
      <c r="D238" s="2" t="s">
        <v>667</v>
      </c>
      <c r="E238" s="2">
        <v>29.432400000000001</v>
      </c>
      <c r="F238" s="2" t="s">
        <v>60</v>
      </c>
      <c r="G238" s="2" t="s">
        <v>61</v>
      </c>
      <c r="H238" s="6" t="s">
        <v>664</v>
      </c>
    </row>
    <row r="239" spans="1:8" ht="22.5" customHeight="1" x14ac:dyDescent="0.25">
      <c r="A239" s="14" t="s">
        <v>668</v>
      </c>
      <c r="B239" s="3" t="s">
        <v>669</v>
      </c>
      <c r="C239" s="3" t="s">
        <v>670</v>
      </c>
      <c r="D239" s="3" t="s">
        <v>671</v>
      </c>
      <c r="E239" s="3">
        <v>29.982399999999998</v>
      </c>
      <c r="F239" s="3" t="s">
        <v>60</v>
      </c>
      <c r="G239" s="3" t="s">
        <v>61</v>
      </c>
      <c r="H239" s="6" t="s">
        <v>668</v>
      </c>
    </row>
    <row r="240" spans="1:8" ht="22.5" customHeight="1" x14ac:dyDescent="0.25">
      <c r="A240" s="13" t="s">
        <v>672</v>
      </c>
      <c r="B240" s="2" t="s">
        <v>673</v>
      </c>
      <c r="C240" s="2" t="s">
        <v>674</v>
      </c>
      <c r="D240" s="2" t="s">
        <v>675</v>
      </c>
      <c r="E240" s="2">
        <v>29.5824</v>
      </c>
      <c r="F240" s="2" t="s">
        <v>60</v>
      </c>
      <c r="G240" s="2" t="s">
        <v>61</v>
      </c>
      <c r="H240" s="6" t="s">
        <v>672</v>
      </c>
    </row>
    <row r="241" spans="1:8" ht="22.5" customHeight="1" x14ac:dyDescent="0.25">
      <c r="A241" s="14" t="s">
        <v>676</v>
      </c>
      <c r="B241" s="3" t="s">
        <v>677</v>
      </c>
      <c r="C241" s="3" t="s">
        <v>678</v>
      </c>
      <c r="D241" s="3" t="s">
        <v>679</v>
      </c>
      <c r="E241" s="3">
        <v>30.3504</v>
      </c>
      <c r="F241" s="3" t="s">
        <v>60</v>
      </c>
      <c r="G241" s="3" t="s">
        <v>61</v>
      </c>
      <c r="H241" s="6" t="s">
        <v>676</v>
      </c>
    </row>
    <row r="242" spans="1:8" ht="22.5" customHeight="1" x14ac:dyDescent="0.25">
      <c r="A242" s="13" t="s">
        <v>680</v>
      </c>
      <c r="B242" s="2" t="s">
        <v>681</v>
      </c>
      <c r="C242" s="2" t="s">
        <v>682</v>
      </c>
      <c r="D242" s="2" t="s">
        <v>683</v>
      </c>
      <c r="E242" s="2">
        <v>34.743600000000001</v>
      </c>
      <c r="F242" s="2" t="s">
        <v>60</v>
      </c>
      <c r="G242" s="2" t="s">
        <v>61</v>
      </c>
      <c r="H242" s="6" t="s">
        <v>680</v>
      </c>
    </row>
    <row r="243" spans="1:8" ht="22.5" customHeight="1" x14ac:dyDescent="0.25">
      <c r="A243" s="14" t="s">
        <v>684</v>
      </c>
      <c r="B243" s="3" t="s">
        <v>681</v>
      </c>
      <c r="C243" s="3" t="s">
        <v>685</v>
      </c>
      <c r="D243" s="3" t="s">
        <v>683</v>
      </c>
      <c r="E243" s="3">
        <v>34.743600000000001</v>
      </c>
      <c r="F243" s="3" t="s">
        <v>60</v>
      </c>
      <c r="G243" s="3" t="s">
        <v>61</v>
      </c>
      <c r="H243" s="6" t="s">
        <v>684</v>
      </c>
    </row>
    <row r="244" spans="1:8" ht="22.5" customHeight="1" x14ac:dyDescent="0.25">
      <c r="A244" s="13" t="s">
        <v>686</v>
      </c>
      <c r="B244" s="2" t="s">
        <v>687</v>
      </c>
      <c r="C244" s="2" t="s">
        <v>688</v>
      </c>
      <c r="D244" s="2" t="s">
        <v>689</v>
      </c>
      <c r="E244" s="2">
        <v>34.045439999999999</v>
      </c>
      <c r="F244" s="2" t="s">
        <v>60</v>
      </c>
      <c r="G244" s="2" t="s">
        <v>61</v>
      </c>
      <c r="H244" s="6" t="s">
        <v>686</v>
      </c>
    </row>
    <row r="245" spans="1:8" ht="22.5" customHeight="1" x14ac:dyDescent="0.25">
      <c r="A245" s="14" t="s">
        <v>690</v>
      </c>
      <c r="B245" s="3" t="s">
        <v>644</v>
      </c>
      <c r="C245" s="3" t="s">
        <v>691</v>
      </c>
      <c r="D245" s="3" t="s">
        <v>646</v>
      </c>
      <c r="E245" s="3">
        <v>33.864400000000003</v>
      </c>
      <c r="F245" s="3" t="s">
        <v>60</v>
      </c>
      <c r="G245" s="3" t="s">
        <v>61</v>
      </c>
      <c r="H245" s="6" t="s">
        <v>690</v>
      </c>
    </row>
    <row r="246" spans="1:8" ht="22.5" customHeight="1" x14ac:dyDescent="0.25">
      <c r="A246" s="13" t="s">
        <v>692</v>
      </c>
      <c r="B246" s="2" t="s">
        <v>650</v>
      </c>
      <c r="C246" s="2" t="s">
        <v>693</v>
      </c>
      <c r="D246" s="2" t="s">
        <v>652</v>
      </c>
      <c r="E246" s="2">
        <v>33.497</v>
      </c>
      <c r="F246" s="2" t="s">
        <v>60</v>
      </c>
      <c r="G246" s="2" t="s">
        <v>61</v>
      </c>
      <c r="H246" s="6" t="s">
        <v>692</v>
      </c>
    </row>
    <row r="247" spans="1:8" ht="22.5" customHeight="1" x14ac:dyDescent="0.25">
      <c r="A247" s="14" t="s">
        <v>694</v>
      </c>
      <c r="B247" s="3" t="s">
        <v>695</v>
      </c>
      <c r="C247" s="3" t="s">
        <v>696</v>
      </c>
      <c r="D247" s="3" t="s">
        <v>697</v>
      </c>
      <c r="E247" s="3">
        <v>30.502400000000002</v>
      </c>
      <c r="F247" s="3" t="s">
        <v>60</v>
      </c>
      <c r="G247" s="3" t="s">
        <v>61</v>
      </c>
      <c r="H247" s="6" t="s">
        <v>694</v>
      </c>
    </row>
    <row r="248" spans="1:8" ht="22.5" customHeight="1" x14ac:dyDescent="0.25">
      <c r="A248" s="13" t="s">
        <v>698</v>
      </c>
      <c r="B248" s="2" t="s">
        <v>695</v>
      </c>
      <c r="C248" s="2" t="s">
        <v>699</v>
      </c>
      <c r="D248" s="2" t="s">
        <v>697</v>
      </c>
      <c r="E248" s="2">
        <v>30.502400000000002</v>
      </c>
      <c r="F248" s="2" t="s">
        <v>60</v>
      </c>
      <c r="G248" s="2" t="s">
        <v>61</v>
      </c>
      <c r="H248" s="6" t="s">
        <v>698</v>
      </c>
    </row>
    <row r="249" spans="1:8" ht="22.5" customHeight="1" x14ac:dyDescent="0.25">
      <c r="A249" s="14" t="s">
        <v>700</v>
      </c>
      <c r="B249" s="3" t="s">
        <v>656</v>
      </c>
      <c r="C249" s="3" t="s">
        <v>701</v>
      </c>
      <c r="D249" s="3" t="s">
        <v>658</v>
      </c>
      <c r="E249" s="3">
        <v>30.368400000000001</v>
      </c>
      <c r="F249" s="3" t="s">
        <v>60</v>
      </c>
      <c r="G249" s="3" t="s">
        <v>61</v>
      </c>
      <c r="H249" s="6" t="s">
        <v>700</v>
      </c>
    </row>
    <row r="250" spans="1:8" ht="22.5" customHeight="1" x14ac:dyDescent="0.25">
      <c r="A250" s="13" t="s">
        <v>702</v>
      </c>
      <c r="B250" s="2" t="s">
        <v>656</v>
      </c>
      <c r="C250" s="2" t="s">
        <v>703</v>
      </c>
      <c r="D250" s="2" t="s">
        <v>658</v>
      </c>
      <c r="E250" s="2">
        <v>30.368400000000001</v>
      </c>
      <c r="F250" s="2" t="s">
        <v>60</v>
      </c>
      <c r="G250" s="2" t="s">
        <v>61</v>
      </c>
      <c r="H250" s="6" t="s">
        <v>702</v>
      </c>
    </row>
    <row r="251" spans="1:8" ht="22.5" customHeight="1" x14ac:dyDescent="0.25">
      <c r="A251" s="14" t="s">
        <v>704</v>
      </c>
      <c r="B251" s="3" t="s">
        <v>612</v>
      </c>
      <c r="C251" s="3" t="s">
        <v>705</v>
      </c>
      <c r="D251" s="3" t="s">
        <v>614</v>
      </c>
      <c r="E251" s="3">
        <v>29.712399999999999</v>
      </c>
      <c r="F251" s="3" t="s">
        <v>60</v>
      </c>
      <c r="G251" s="3" t="s">
        <v>61</v>
      </c>
      <c r="H251" s="6" t="s">
        <v>704</v>
      </c>
    </row>
    <row r="252" spans="1:8" ht="22.5" customHeight="1" x14ac:dyDescent="0.25">
      <c r="A252" s="13" t="s">
        <v>706</v>
      </c>
      <c r="B252" s="2" t="s">
        <v>612</v>
      </c>
      <c r="C252" s="2" t="s">
        <v>705</v>
      </c>
      <c r="D252" s="2" t="s">
        <v>614</v>
      </c>
      <c r="E252" s="2">
        <v>29.712399999999999</v>
      </c>
      <c r="F252" s="2" t="s">
        <v>60</v>
      </c>
      <c r="G252" s="2" t="s">
        <v>61</v>
      </c>
      <c r="H252" s="6" t="s">
        <v>706</v>
      </c>
    </row>
    <row r="253" spans="1:8" ht="22.5" customHeight="1" x14ac:dyDescent="0.25">
      <c r="A253" s="14" t="s">
        <v>707</v>
      </c>
      <c r="B253" s="3" t="s">
        <v>673</v>
      </c>
      <c r="C253" s="3" t="s">
        <v>708</v>
      </c>
      <c r="D253" s="3" t="s">
        <v>675</v>
      </c>
      <c r="E253" s="3">
        <v>29.5824</v>
      </c>
      <c r="F253" s="3" t="s">
        <v>60</v>
      </c>
      <c r="G253" s="3" t="s">
        <v>61</v>
      </c>
      <c r="H253" s="6" t="s">
        <v>707</v>
      </c>
    </row>
    <row r="254" spans="1:8" ht="22.5" customHeight="1" x14ac:dyDescent="0.25">
      <c r="A254" s="13" t="s">
        <v>709</v>
      </c>
      <c r="B254" s="2" t="s">
        <v>677</v>
      </c>
      <c r="C254" s="2" t="s">
        <v>710</v>
      </c>
      <c r="D254" s="2" t="s">
        <v>679</v>
      </c>
      <c r="E254" s="2">
        <v>30.3504</v>
      </c>
      <c r="F254" s="2" t="s">
        <v>60</v>
      </c>
      <c r="G254" s="2" t="s">
        <v>61</v>
      </c>
      <c r="H254" s="6" t="s">
        <v>709</v>
      </c>
    </row>
    <row r="255" spans="1:8" ht="22.5" customHeight="1" x14ac:dyDescent="0.25">
      <c r="A255" s="14" t="s">
        <v>711</v>
      </c>
      <c r="B255" s="3" t="s">
        <v>677</v>
      </c>
      <c r="C255" s="3" t="s">
        <v>712</v>
      </c>
      <c r="D255" s="3" t="s">
        <v>679</v>
      </c>
      <c r="E255" s="3">
        <v>30.3504</v>
      </c>
      <c r="F255" s="3" t="s">
        <v>60</v>
      </c>
      <c r="G255" s="3" t="s">
        <v>61</v>
      </c>
      <c r="H255" s="6" t="s">
        <v>711</v>
      </c>
    </row>
    <row r="256" spans="1:8" ht="22.5" customHeight="1" x14ac:dyDescent="0.25">
      <c r="A256" s="13" t="s">
        <v>713</v>
      </c>
      <c r="B256" s="2" t="s">
        <v>714</v>
      </c>
      <c r="C256" s="2" t="s">
        <v>715</v>
      </c>
      <c r="D256" s="2" t="s">
        <v>716</v>
      </c>
      <c r="E256" s="2">
        <v>34.793999999999997</v>
      </c>
      <c r="F256" s="2" t="s">
        <v>60</v>
      </c>
      <c r="G256" s="2" t="s">
        <v>61</v>
      </c>
      <c r="H256" s="6" t="s">
        <v>713</v>
      </c>
    </row>
    <row r="257" spans="1:8" ht="22.5" customHeight="1" x14ac:dyDescent="0.25">
      <c r="A257" s="14" t="s">
        <v>717</v>
      </c>
      <c r="B257" s="3" t="s">
        <v>681</v>
      </c>
      <c r="C257" s="3" t="s">
        <v>718</v>
      </c>
      <c r="D257" s="3" t="s">
        <v>683</v>
      </c>
      <c r="E257" s="3">
        <v>34.743600000000001</v>
      </c>
      <c r="F257" s="3" t="s">
        <v>60</v>
      </c>
      <c r="G257" s="3" t="s">
        <v>61</v>
      </c>
      <c r="H257" s="6" t="s">
        <v>717</v>
      </c>
    </row>
    <row r="258" spans="1:8" ht="22.5" customHeight="1" x14ac:dyDescent="0.25">
      <c r="A258" s="13" t="s">
        <v>719</v>
      </c>
      <c r="B258" s="2" t="s">
        <v>720</v>
      </c>
      <c r="C258" s="2" t="s">
        <v>721</v>
      </c>
      <c r="D258" s="2" t="s">
        <v>722</v>
      </c>
      <c r="E258" s="2">
        <v>50.456000000000003</v>
      </c>
      <c r="F258" s="2" t="s">
        <v>60</v>
      </c>
      <c r="G258" s="2" t="s">
        <v>61</v>
      </c>
      <c r="H258" s="6" t="s">
        <v>719</v>
      </c>
    </row>
    <row r="259" spans="1:8" ht="22.5" customHeight="1" x14ac:dyDescent="0.25">
      <c r="A259" s="14" t="s">
        <v>723</v>
      </c>
      <c r="B259" s="3" t="s">
        <v>724</v>
      </c>
      <c r="C259" s="3" t="s">
        <v>725</v>
      </c>
      <c r="D259" s="3" t="s">
        <v>726</v>
      </c>
      <c r="E259" s="3">
        <v>50.936</v>
      </c>
      <c r="F259" s="3" t="s">
        <v>60</v>
      </c>
      <c r="G259" s="3" t="s">
        <v>61</v>
      </c>
      <c r="H259" s="6" t="s">
        <v>723</v>
      </c>
    </row>
    <row r="260" spans="1:8" ht="22.5" customHeight="1" x14ac:dyDescent="0.25">
      <c r="A260" s="13" t="s">
        <v>727</v>
      </c>
      <c r="B260" s="2" t="s">
        <v>728</v>
      </c>
      <c r="C260" s="2" t="s">
        <v>729</v>
      </c>
      <c r="D260" s="2" t="s">
        <v>730</v>
      </c>
      <c r="E260" s="2">
        <v>47.335999999999999</v>
      </c>
      <c r="F260" s="2" t="s">
        <v>60</v>
      </c>
      <c r="G260" s="2" t="s">
        <v>61</v>
      </c>
      <c r="H260" s="6" t="s">
        <v>727</v>
      </c>
    </row>
    <row r="261" spans="1:8" ht="22.5" customHeight="1" x14ac:dyDescent="0.25">
      <c r="A261" s="14" t="s">
        <v>731</v>
      </c>
      <c r="B261" s="3" t="s">
        <v>732</v>
      </c>
      <c r="C261" s="3" t="s">
        <v>733</v>
      </c>
      <c r="D261" s="3" t="s">
        <v>734</v>
      </c>
      <c r="E261" s="3">
        <v>47.695999999999998</v>
      </c>
      <c r="F261" s="3" t="s">
        <v>60</v>
      </c>
      <c r="G261" s="3" t="s">
        <v>61</v>
      </c>
      <c r="H261" s="6" t="s">
        <v>731</v>
      </c>
    </row>
    <row r="262" spans="1:8" ht="22.5" customHeight="1" x14ac:dyDescent="0.25">
      <c r="A262" s="13" t="s">
        <v>735</v>
      </c>
      <c r="B262" s="2" t="s">
        <v>736</v>
      </c>
      <c r="C262" s="2" t="s">
        <v>737</v>
      </c>
      <c r="D262" s="2" t="s">
        <v>738</v>
      </c>
      <c r="E262" s="2">
        <v>47.695999999999998</v>
      </c>
      <c r="F262" s="2" t="s">
        <v>60</v>
      </c>
      <c r="G262" s="2" t="s">
        <v>61</v>
      </c>
      <c r="H262" s="6" t="s">
        <v>735</v>
      </c>
    </row>
    <row r="263" spans="1:8" ht="22.5" customHeight="1" x14ac:dyDescent="0.25">
      <c r="A263" s="14" t="s">
        <v>739</v>
      </c>
      <c r="B263" s="3" t="s">
        <v>740</v>
      </c>
      <c r="C263" s="3" t="s">
        <v>741</v>
      </c>
      <c r="D263" s="3" t="s">
        <v>742</v>
      </c>
      <c r="E263" s="3">
        <v>49.136000000000003</v>
      </c>
      <c r="F263" s="3" t="s">
        <v>60</v>
      </c>
      <c r="G263" s="3" t="s">
        <v>61</v>
      </c>
      <c r="H263" s="6" t="s">
        <v>739</v>
      </c>
    </row>
    <row r="264" spans="1:8" ht="22.5" customHeight="1" x14ac:dyDescent="0.25">
      <c r="A264" s="13" t="s">
        <v>743</v>
      </c>
      <c r="B264" s="2" t="s">
        <v>665</v>
      </c>
      <c r="C264" s="2" t="s">
        <v>744</v>
      </c>
      <c r="D264" s="2" t="s">
        <v>667</v>
      </c>
      <c r="E264" s="2">
        <v>29.432400000000001</v>
      </c>
      <c r="F264" s="2" t="s">
        <v>60</v>
      </c>
      <c r="G264" s="2" t="s">
        <v>61</v>
      </c>
      <c r="H264" s="6" t="s">
        <v>743</v>
      </c>
    </row>
    <row r="265" spans="1:8" ht="22.5" customHeight="1" x14ac:dyDescent="0.25">
      <c r="A265" s="14" t="s">
        <v>745</v>
      </c>
      <c r="B265" s="3" t="s">
        <v>656</v>
      </c>
      <c r="C265" s="3" t="s">
        <v>746</v>
      </c>
      <c r="D265" s="3" t="s">
        <v>658</v>
      </c>
      <c r="E265" s="3">
        <v>30.368400000000001</v>
      </c>
      <c r="F265" s="3" t="s">
        <v>60</v>
      </c>
      <c r="G265" s="3" t="s">
        <v>61</v>
      </c>
      <c r="H265" s="6" t="s">
        <v>745</v>
      </c>
    </row>
    <row r="266" spans="1:8" ht="22.5" customHeight="1" x14ac:dyDescent="0.25">
      <c r="A266" s="13" t="s">
        <v>747</v>
      </c>
      <c r="B266" s="2" t="s">
        <v>612</v>
      </c>
      <c r="C266" s="2" t="s">
        <v>748</v>
      </c>
      <c r="D266" s="2" t="s">
        <v>614</v>
      </c>
      <c r="E266" s="2">
        <v>29.712399999999999</v>
      </c>
      <c r="F266" s="2" t="s">
        <v>60</v>
      </c>
      <c r="G266" s="2" t="s">
        <v>61</v>
      </c>
      <c r="H266" s="6" t="s">
        <v>747</v>
      </c>
    </row>
    <row r="267" spans="1:8" ht="22.5" customHeight="1" x14ac:dyDescent="0.25">
      <c r="A267" s="14" t="s">
        <v>749</v>
      </c>
      <c r="B267" s="3" t="s">
        <v>644</v>
      </c>
      <c r="C267" s="3" t="s">
        <v>750</v>
      </c>
      <c r="D267" s="3" t="s">
        <v>646</v>
      </c>
      <c r="E267" s="3">
        <v>33.864400000000003</v>
      </c>
      <c r="F267" s="3" t="s">
        <v>60</v>
      </c>
      <c r="G267" s="3" t="s">
        <v>61</v>
      </c>
      <c r="H267" s="6" t="s">
        <v>749</v>
      </c>
    </row>
    <row r="268" spans="1:8" ht="22.5" customHeight="1" x14ac:dyDescent="0.25">
      <c r="A268" s="13" t="s">
        <v>751</v>
      </c>
      <c r="B268" s="2" t="s">
        <v>650</v>
      </c>
      <c r="C268" s="2" t="s">
        <v>752</v>
      </c>
      <c r="D268" s="2" t="s">
        <v>652</v>
      </c>
      <c r="E268" s="2">
        <v>33.497</v>
      </c>
      <c r="F268" s="2" t="s">
        <v>60</v>
      </c>
      <c r="G268" s="2" t="s">
        <v>61</v>
      </c>
      <c r="H268" s="6" t="s">
        <v>751</v>
      </c>
    </row>
    <row r="269" spans="1:8" ht="22.5" customHeight="1" x14ac:dyDescent="0.25">
      <c r="A269" s="14" t="s">
        <v>753</v>
      </c>
      <c r="B269" s="3" t="s">
        <v>650</v>
      </c>
      <c r="C269" s="3" t="s">
        <v>754</v>
      </c>
      <c r="D269" s="3" t="s">
        <v>652</v>
      </c>
      <c r="E269" s="3">
        <v>33.497</v>
      </c>
      <c r="F269" s="3" t="s">
        <v>60</v>
      </c>
      <c r="G269" s="3" t="s">
        <v>61</v>
      </c>
      <c r="H269" s="6" t="s">
        <v>753</v>
      </c>
    </row>
    <row r="270" spans="1:8" ht="22.5" customHeight="1" x14ac:dyDescent="0.25">
      <c r="A270" s="13" t="s">
        <v>755</v>
      </c>
      <c r="B270" s="2" t="s">
        <v>669</v>
      </c>
      <c r="C270" s="2" t="s">
        <v>756</v>
      </c>
      <c r="D270" s="2" t="s">
        <v>671</v>
      </c>
      <c r="E270" s="2">
        <v>29.982399999999998</v>
      </c>
      <c r="F270" s="2" t="s">
        <v>60</v>
      </c>
      <c r="G270" s="2" t="s">
        <v>61</v>
      </c>
      <c r="H270" s="6" t="s">
        <v>755</v>
      </c>
    </row>
    <row r="271" spans="1:8" ht="22.5" customHeight="1" x14ac:dyDescent="0.25">
      <c r="A271" s="14" t="s">
        <v>757</v>
      </c>
      <c r="B271" s="3" t="s">
        <v>656</v>
      </c>
      <c r="C271" s="3" t="s">
        <v>758</v>
      </c>
      <c r="D271" s="3" t="s">
        <v>658</v>
      </c>
      <c r="E271" s="3">
        <v>30.368400000000001</v>
      </c>
      <c r="F271" s="3" t="s">
        <v>60</v>
      </c>
      <c r="G271" s="3" t="s">
        <v>61</v>
      </c>
      <c r="H271" s="6" t="s">
        <v>757</v>
      </c>
    </row>
    <row r="272" spans="1:8" ht="22.5" customHeight="1" x14ac:dyDescent="0.25">
      <c r="A272" s="13" t="s">
        <v>759</v>
      </c>
      <c r="B272" s="2" t="s">
        <v>673</v>
      </c>
      <c r="C272" s="2" t="s">
        <v>760</v>
      </c>
      <c r="D272" s="2" t="s">
        <v>675</v>
      </c>
      <c r="E272" s="2">
        <v>29.5824</v>
      </c>
      <c r="F272" s="2" t="s">
        <v>60</v>
      </c>
      <c r="G272" s="2" t="s">
        <v>61</v>
      </c>
      <c r="H272" s="6" t="s">
        <v>759</v>
      </c>
    </row>
    <row r="273" spans="1:8" ht="22.5" customHeight="1" x14ac:dyDescent="0.25">
      <c r="A273" s="14" t="s">
        <v>761</v>
      </c>
      <c r="B273" s="3" t="s">
        <v>612</v>
      </c>
      <c r="C273" s="3" t="s">
        <v>762</v>
      </c>
      <c r="D273" s="3" t="s">
        <v>614</v>
      </c>
      <c r="E273" s="3">
        <v>29.712399999999999</v>
      </c>
      <c r="F273" s="3" t="s">
        <v>60</v>
      </c>
      <c r="G273" s="3" t="s">
        <v>61</v>
      </c>
      <c r="H273" s="6" t="s">
        <v>761</v>
      </c>
    </row>
    <row r="274" spans="1:8" ht="22.5" customHeight="1" x14ac:dyDescent="0.25">
      <c r="A274" s="13" t="s">
        <v>763</v>
      </c>
      <c r="B274" s="2" t="s">
        <v>612</v>
      </c>
      <c r="C274" s="2" t="s">
        <v>764</v>
      </c>
      <c r="D274" s="2" t="s">
        <v>614</v>
      </c>
      <c r="E274" s="2">
        <v>29.712399999999999</v>
      </c>
      <c r="F274" s="2" t="s">
        <v>60</v>
      </c>
      <c r="G274" s="2" t="s">
        <v>61</v>
      </c>
      <c r="H274" s="6" t="s">
        <v>763</v>
      </c>
    </row>
    <row r="275" spans="1:8" ht="22.5" customHeight="1" x14ac:dyDescent="0.25">
      <c r="A275" s="14" t="s">
        <v>765</v>
      </c>
      <c r="B275" s="3" t="s">
        <v>665</v>
      </c>
      <c r="C275" s="3" t="s">
        <v>766</v>
      </c>
      <c r="D275" s="3" t="s">
        <v>667</v>
      </c>
      <c r="E275" s="3">
        <v>29.432400000000001</v>
      </c>
      <c r="F275" s="3" t="s">
        <v>60</v>
      </c>
      <c r="G275" s="3" t="s">
        <v>61</v>
      </c>
      <c r="H275" s="6" t="s">
        <v>765</v>
      </c>
    </row>
    <row r="276" spans="1:8" ht="22.5" customHeight="1" x14ac:dyDescent="0.25">
      <c r="A276" s="13" t="s">
        <v>767</v>
      </c>
      <c r="B276" s="2" t="s">
        <v>677</v>
      </c>
      <c r="C276" s="2" t="s">
        <v>768</v>
      </c>
      <c r="D276" s="2" t="s">
        <v>679</v>
      </c>
      <c r="E276" s="2">
        <v>30.3504</v>
      </c>
      <c r="F276" s="2" t="s">
        <v>60</v>
      </c>
      <c r="G276" s="2" t="s">
        <v>61</v>
      </c>
      <c r="H276" s="6" t="s">
        <v>767</v>
      </c>
    </row>
    <row r="277" spans="1:8" ht="22.5" customHeight="1" x14ac:dyDescent="0.25">
      <c r="A277" s="14" t="s">
        <v>769</v>
      </c>
      <c r="B277" s="3" t="s">
        <v>681</v>
      </c>
      <c r="C277" s="3" t="s">
        <v>770</v>
      </c>
      <c r="D277" s="3" t="s">
        <v>683</v>
      </c>
      <c r="E277" s="3">
        <v>34.743600000000001</v>
      </c>
      <c r="F277" s="3" t="s">
        <v>60</v>
      </c>
      <c r="G277" s="3" t="s">
        <v>61</v>
      </c>
      <c r="H277" s="6" t="s">
        <v>769</v>
      </c>
    </row>
    <row r="278" spans="1:8" ht="22.5" customHeight="1" x14ac:dyDescent="0.25">
      <c r="A278" s="13" t="s">
        <v>771</v>
      </c>
      <c r="B278" s="2" t="s">
        <v>681</v>
      </c>
      <c r="C278" s="2" t="s">
        <v>772</v>
      </c>
      <c r="D278" s="2" t="s">
        <v>683</v>
      </c>
      <c r="E278" s="2">
        <v>34.743600000000001</v>
      </c>
      <c r="F278" s="2" t="s">
        <v>60</v>
      </c>
      <c r="G278" s="2" t="s">
        <v>61</v>
      </c>
      <c r="H278" s="6" t="s">
        <v>771</v>
      </c>
    </row>
    <row r="279" spans="1:8" ht="22.5" customHeight="1" x14ac:dyDescent="0.25">
      <c r="A279" s="14" t="s">
        <v>773</v>
      </c>
      <c r="B279" s="3" t="s">
        <v>656</v>
      </c>
      <c r="C279" s="3" t="s">
        <v>774</v>
      </c>
      <c r="D279" s="3" t="s">
        <v>658</v>
      </c>
      <c r="E279" s="3">
        <v>30.368400000000001</v>
      </c>
      <c r="F279" s="3" t="s">
        <v>60</v>
      </c>
      <c r="G279" s="3" t="s">
        <v>61</v>
      </c>
      <c r="H279" s="6" t="s">
        <v>773</v>
      </c>
    </row>
    <row r="280" spans="1:8" ht="22.5" customHeight="1" x14ac:dyDescent="0.25">
      <c r="A280" s="13" t="s">
        <v>775</v>
      </c>
      <c r="B280" s="2" t="s">
        <v>612</v>
      </c>
      <c r="C280" s="2" t="s">
        <v>776</v>
      </c>
      <c r="D280" s="2" t="s">
        <v>614</v>
      </c>
      <c r="E280" s="2">
        <v>29.712399999999999</v>
      </c>
      <c r="F280" s="2" t="s">
        <v>60</v>
      </c>
      <c r="G280" s="2" t="s">
        <v>61</v>
      </c>
      <c r="H280" s="6" t="s">
        <v>775</v>
      </c>
    </row>
    <row r="281" spans="1:8" ht="22.5" customHeight="1" x14ac:dyDescent="0.25">
      <c r="A281" s="14" t="s">
        <v>777</v>
      </c>
      <c r="B281" s="3" t="s">
        <v>650</v>
      </c>
      <c r="C281" s="3" t="s">
        <v>778</v>
      </c>
      <c r="D281" s="3" t="s">
        <v>652</v>
      </c>
      <c r="E281" s="3">
        <v>33.497</v>
      </c>
      <c r="F281" s="3" t="s">
        <v>60</v>
      </c>
      <c r="G281" s="3" t="s">
        <v>61</v>
      </c>
      <c r="H281" s="6" t="s">
        <v>777</v>
      </c>
    </row>
    <row r="282" spans="1:8" ht="22.5" customHeight="1" x14ac:dyDescent="0.25">
      <c r="A282" s="13" t="s">
        <v>779</v>
      </c>
      <c r="B282" s="2" t="s">
        <v>656</v>
      </c>
      <c r="C282" s="2" t="s">
        <v>780</v>
      </c>
      <c r="D282" s="2" t="s">
        <v>658</v>
      </c>
      <c r="E282" s="2">
        <v>30.368400000000001</v>
      </c>
      <c r="F282" s="2" t="s">
        <v>60</v>
      </c>
      <c r="G282" s="2" t="s">
        <v>61</v>
      </c>
      <c r="H282" s="6" t="s">
        <v>779</v>
      </c>
    </row>
    <row r="283" spans="1:8" ht="22.5" customHeight="1" x14ac:dyDescent="0.25">
      <c r="A283" s="14" t="s">
        <v>781</v>
      </c>
      <c r="B283" s="3" t="s">
        <v>656</v>
      </c>
      <c r="C283" s="3" t="s">
        <v>782</v>
      </c>
      <c r="D283" s="3" t="s">
        <v>658</v>
      </c>
      <c r="E283" s="3">
        <v>30.368400000000001</v>
      </c>
      <c r="F283" s="3" t="s">
        <v>60</v>
      </c>
      <c r="G283" s="3" t="s">
        <v>61</v>
      </c>
      <c r="H283" s="6" t="s">
        <v>781</v>
      </c>
    </row>
    <row r="284" spans="1:8" ht="22.5" customHeight="1" x14ac:dyDescent="0.25">
      <c r="A284" s="13" t="s">
        <v>783</v>
      </c>
      <c r="B284" s="2" t="s">
        <v>612</v>
      </c>
      <c r="C284" s="2" t="s">
        <v>784</v>
      </c>
      <c r="D284" s="2" t="s">
        <v>614</v>
      </c>
      <c r="E284" s="2">
        <v>29.712399999999999</v>
      </c>
      <c r="F284" s="2" t="s">
        <v>60</v>
      </c>
      <c r="G284" s="2" t="s">
        <v>61</v>
      </c>
      <c r="H284" s="6" t="s">
        <v>783</v>
      </c>
    </row>
    <row r="285" spans="1:8" ht="22.5" customHeight="1" x14ac:dyDescent="0.25">
      <c r="A285" s="14" t="s">
        <v>785</v>
      </c>
      <c r="B285" s="3" t="s">
        <v>665</v>
      </c>
      <c r="C285" s="3" t="s">
        <v>786</v>
      </c>
      <c r="D285" s="3" t="s">
        <v>667</v>
      </c>
      <c r="E285" s="3">
        <v>29.432400000000001</v>
      </c>
      <c r="F285" s="3" t="s">
        <v>60</v>
      </c>
      <c r="G285" s="3" t="s">
        <v>61</v>
      </c>
      <c r="H285" s="6" t="s">
        <v>785</v>
      </c>
    </row>
    <row r="286" spans="1:8" ht="22.5" customHeight="1" x14ac:dyDescent="0.25">
      <c r="A286" s="13" t="s">
        <v>787</v>
      </c>
      <c r="B286" s="2" t="s">
        <v>656</v>
      </c>
      <c r="C286" s="2" t="s">
        <v>788</v>
      </c>
      <c r="D286" s="2" t="s">
        <v>658</v>
      </c>
      <c r="E286" s="2">
        <v>30.368400000000001</v>
      </c>
      <c r="F286" s="2" t="s">
        <v>60</v>
      </c>
      <c r="G286" s="2" t="s">
        <v>61</v>
      </c>
      <c r="H286" s="6" t="s">
        <v>787</v>
      </c>
    </row>
    <row r="287" spans="1:8" ht="22.5" customHeight="1" x14ac:dyDescent="0.25">
      <c r="A287" s="14" t="s">
        <v>789</v>
      </c>
      <c r="B287" s="3" t="s">
        <v>612</v>
      </c>
      <c r="C287" s="3" t="s">
        <v>790</v>
      </c>
      <c r="D287" s="3" t="s">
        <v>614</v>
      </c>
      <c r="E287" s="3">
        <v>29.712399999999999</v>
      </c>
      <c r="F287" s="3" t="s">
        <v>60</v>
      </c>
      <c r="G287" s="3" t="s">
        <v>61</v>
      </c>
      <c r="H287" s="6" t="s">
        <v>789</v>
      </c>
    </row>
    <row r="288" spans="1:8" ht="22.5" customHeight="1" x14ac:dyDescent="0.25">
      <c r="A288" s="13" t="s">
        <v>791</v>
      </c>
      <c r="B288" s="2" t="s">
        <v>650</v>
      </c>
      <c r="C288" s="2" t="s">
        <v>792</v>
      </c>
      <c r="D288" s="2" t="s">
        <v>652</v>
      </c>
      <c r="E288" s="2">
        <v>33.497</v>
      </c>
      <c r="F288" s="2" t="s">
        <v>60</v>
      </c>
      <c r="G288" s="2" t="s">
        <v>61</v>
      </c>
      <c r="H288" s="6" t="s">
        <v>791</v>
      </c>
    </row>
    <row r="289" spans="1:8" ht="33.75" customHeight="1" x14ac:dyDescent="0.25">
      <c r="A289" s="14" t="s">
        <v>793</v>
      </c>
      <c r="B289" s="3" t="s">
        <v>794</v>
      </c>
      <c r="C289" s="3" t="s">
        <v>795</v>
      </c>
      <c r="D289" s="3" t="s">
        <v>796</v>
      </c>
      <c r="E289" s="3">
        <v>34.151200000000003</v>
      </c>
      <c r="F289" s="3" t="s">
        <v>60</v>
      </c>
      <c r="G289" s="3" t="s">
        <v>61</v>
      </c>
      <c r="H289" s="6" t="s">
        <v>793</v>
      </c>
    </row>
    <row r="290" spans="1:8" ht="22.5" customHeight="1" x14ac:dyDescent="0.25">
      <c r="A290" s="13" t="s">
        <v>797</v>
      </c>
      <c r="B290" s="2" t="s">
        <v>794</v>
      </c>
      <c r="C290" s="2" t="s">
        <v>798</v>
      </c>
      <c r="D290" s="2" t="s">
        <v>796</v>
      </c>
      <c r="E290" s="2">
        <v>34.151200000000003</v>
      </c>
      <c r="F290" s="2" t="s">
        <v>60</v>
      </c>
      <c r="G290" s="2" t="s">
        <v>61</v>
      </c>
      <c r="H290" s="6" t="s">
        <v>797</v>
      </c>
    </row>
    <row r="291" spans="1:8" ht="22.5" customHeight="1" x14ac:dyDescent="0.25">
      <c r="A291" s="14" t="s">
        <v>799</v>
      </c>
      <c r="B291" s="3" t="s">
        <v>794</v>
      </c>
      <c r="C291" s="3" t="s">
        <v>800</v>
      </c>
      <c r="D291" s="3" t="s">
        <v>796</v>
      </c>
      <c r="E291" s="3">
        <v>34.151200000000003</v>
      </c>
      <c r="F291" s="3" t="s">
        <v>60</v>
      </c>
      <c r="G291" s="3" t="s">
        <v>61</v>
      </c>
      <c r="H291" s="6" t="s">
        <v>799</v>
      </c>
    </row>
    <row r="292" spans="1:8" ht="33.75" customHeight="1" x14ac:dyDescent="0.25">
      <c r="A292" s="13" t="s">
        <v>801</v>
      </c>
      <c r="B292" s="2" t="s">
        <v>77</v>
      </c>
      <c r="C292" s="2" t="s">
        <v>802</v>
      </c>
      <c r="D292" s="2" t="s">
        <v>79</v>
      </c>
      <c r="E292" s="2">
        <v>31.699200000000001</v>
      </c>
      <c r="F292" s="2" t="s">
        <v>60</v>
      </c>
      <c r="G292" s="2" t="s">
        <v>61</v>
      </c>
      <c r="H292" s="6" t="s">
        <v>801</v>
      </c>
    </row>
    <row r="293" spans="1:8" ht="33.75" customHeight="1" x14ac:dyDescent="0.25">
      <c r="A293" s="14" t="s">
        <v>803</v>
      </c>
      <c r="B293" s="3" t="s">
        <v>404</v>
      </c>
      <c r="C293" s="3" t="s">
        <v>804</v>
      </c>
      <c r="D293" s="3" t="s">
        <v>406</v>
      </c>
      <c r="E293" s="3">
        <v>29.999199999999998</v>
      </c>
      <c r="F293" s="3" t="s">
        <v>60</v>
      </c>
      <c r="G293" s="3" t="s">
        <v>61</v>
      </c>
      <c r="H293" s="6" t="s">
        <v>803</v>
      </c>
    </row>
    <row r="294" spans="1:8" ht="33.75" customHeight="1" x14ac:dyDescent="0.25">
      <c r="A294" s="13" t="s">
        <v>805</v>
      </c>
      <c r="B294" s="2" t="s">
        <v>324</v>
      </c>
      <c r="C294" s="2" t="s">
        <v>806</v>
      </c>
      <c r="D294" s="2" t="s">
        <v>326</v>
      </c>
      <c r="E294" s="2">
        <v>29.719200000000001</v>
      </c>
      <c r="F294" s="2" t="s">
        <v>60</v>
      </c>
      <c r="G294" s="2" t="s">
        <v>61</v>
      </c>
      <c r="H294" s="6" t="s">
        <v>805</v>
      </c>
    </row>
    <row r="295" spans="1:8" ht="33.75" customHeight="1" x14ac:dyDescent="0.25">
      <c r="A295" s="14" t="s">
        <v>807</v>
      </c>
      <c r="B295" s="3" t="s">
        <v>226</v>
      </c>
      <c r="C295" s="3" t="s">
        <v>808</v>
      </c>
      <c r="D295" s="3" t="s">
        <v>228</v>
      </c>
      <c r="E295" s="3">
        <v>30.6632</v>
      </c>
      <c r="F295" s="3" t="s">
        <v>60</v>
      </c>
      <c r="G295" s="3" t="s">
        <v>61</v>
      </c>
      <c r="H295" s="6" t="s">
        <v>807</v>
      </c>
    </row>
    <row r="296" spans="1:8" ht="33.75" customHeight="1" x14ac:dyDescent="0.25">
      <c r="A296" s="13" t="s">
        <v>809</v>
      </c>
      <c r="B296" s="2" t="s">
        <v>324</v>
      </c>
      <c r="C296" s="2" t="s">
        <v>810</v>
      </c>
      <c r="D296" s="2" t="s">
        <v>326</v>
      </c>
      <c r="E296" s="2">
        <v>29.719200000000001</v>
      </c>
      <c r="F296" s="2" t="s">
        <v>60</v>
      </c>
      <c r="G296" s="2" t="s">
        <v>61</v>
      </c>
      <c r="H296" s="6" t="s">
        <v>809</v>
      </c>
    </row>
    <row r="297" spans="1:8" ht="22.5" customHeight="1" x14ac:dyDescent="0.25">
      <c r="A297" s="14" t="s">
        <v>811</v>
      </c>
      <c r="B297" s="3" t="s">
        <v>372</v>
      </c>
      <c r="C297" s="3" t="s">
        <v>812</v>
      </c>
      <c r="D297" s="3" t="s">
        <v>374</v>
      </c>
      <c r="E297" s="3">
        <v>32.852400000000003</v>
      </c>
      <c r="F297" s="3" t="s">
        <v>60</v>
      </c>
      <c r="G297" s="3" t="s">
        <v>61</v>
      </c>
      <c r="H297" s="6" t="s">
        <v>811</v>
      </c>
    </row>
    <row r="298" spans="1:8" ht="22.5" customHeight="1" x14ac:dyDescent="0.25">
      <c r="A298" s="13" t="s">
        <v>813</v>
      </c>
      <c r="B298" s="2" t="s">
        <v>372</v>
      </c>
      <c r="C298" s="2" t="s">
        <v>814</v>
      </c>
      <c r="D298" s="2" t="s">
        <v>374</v>
      </c>
      <c r="E298" s="2">
        <v>32.852400000000003</v>
      </c>
      <c r="F298" s="2" t="s">
        <v>60</v>
      </c>
      <c r="G298" s="2" t="s">
        <v>61</v>
      </c>
      <c r="H298" s="6" t="s">
        <v>813</v>
      </c>
    </row>
    <row r="299" spans="1:8" ht="33.75" customHeight="1" x14ac:dyDescent="0.25">
      <c r="A299" s="14" t="s">
        <v>815</v>
      </c>
      <c r="B299" s="3" t="s">
        <v>89</v>
      </c>
      <c r="C299" s="3" t="s">
        <v>816</v>
      </c>
      <c r="D299" s="3" t="s">
        <v>91</v>
      </c>
      <c r="E299" s="3">
        <v>32.389200000000002</v>
      </c>
      <c r="F299" s="3" t="s">
        <v>60</v>
      </c>
      <c r="G299" s="3" t="s">
        <v>61</v>
      </c>
      <c r="H299" s="6" t="s">
        <v>815</v>
      </c>
    </row>
    <row r="300" spans="1:8" ht="33.75" customHeight="1" x14ac:dyDescent="0.25">
      <c r="A300" s="13" t="s">
        <v>817</v>
      </c>
      <c r="B300" s="2" t="s">
        <v>324</v>
      </c>
      <c r="C300" s="2" t="s">
        <v>818</v>
      </c>
      <c r="D300" s="2" t="s">
        <v>326</v>
      </c>
      <c r="E300" s="2">
        <v>29.719200000000001</v>
      </c>
      <c r="F300" s="2" t="s">
        <v>60</v>
      </c>
      <c r="G300" s="2" t="s">
        <v>61</v>
      </c>
      <c r="H300" s="6" t="s">
        <v>817</v>
      </c>
    </row>
    <row r="301" spans="1:8" ht="22.5" customHeight="1" x14ac:dyDescent="0.25">
      <c r="A301" s="14" t="s">
        <v>819</v>
      </c>
      <c r="B301" s="3" t="s">
        <v>820</v>
      </c>
      <c r="C301" s="3" t="s">
        <v>821</v>
      </c>
      <c r="D301" s="3" t="s">
        <v>822</v>
      </c>
      <c r="E301" s="3">
        <v>27.639199999999999</v>
      </c>
      <c r="F301" s="3" t="s">
        <v>60</v>
      </c>
      <c r="G301" s="3" t="s">
        <v>61</v>
      </c>
      <c r="H301" s="6" t="s">
        <v>819</v>
      </c>
    </row>
    <row r="302" spans="1:8" ht="45" customHeight="1" x14ac:dyDescent="0.25">
      <c r="A302" s="13" t="s">
        <v>823</v>
      </c>
      <c r="B302" s="2" t="s">
        <v>142</v>
      </c>
      <c r="C302" s="2" t="s">
        <v>824</v>
      </c>
      <c r="D302" s="2" t="s">
        <v>144</v>
      </c>
      <c r="E302" s="2"/>
      <c r="F302" s="2" t="s">
        <v>145</v>
      </c>
      <c r="G302" s="2" t="s">
        <v>146</v>
      </c>
      <c r="H302" s="6" t="s">
        <v>823</v>
      </c>
    </row>
    <row r="303" spans="1:8" ht="22.5" customHeight="1" x14ac:dyDescent="0.25">
      <c r="A303" s="14" t="s">
        <v>825</v>
      </c>
      <c r="B303" s="3" t="s">
        <v>826</v>
      </c>
      <c r="C303" s="3" t="s">
        <v>827</v>
      </c>
      <c r="D303" s="3" t="s">
        <v>828</v>
      </c>
      <c r="E303" s="3">
        <v>28.366</v>
      </c>
      <c r="F303" s="3" t="s">
        <v>60</v>
      </c>
      <c r="G303" s="3" t="s">
        <v>61</v>
      </c>
      <c r="H303" s="6" t="s">
        <v>825</v>
      </c>
    </row>
    <row r="304" spans="1:8" ht="22.5" customHeight="1" x14ac:dyDescent="0.25">
      <c r="A304" s="13" t="s">
        <v>829</v>
      </c>
      <c r="B304" s="2" t="s">
        <v>830</v>
      </c>
      <c r="C304" s="2" t="s">
        <v>831</v>
      </c>
      <c r="D304" s="2" t="s">
        <v>832</v>
      </c>
      <c r="E304" s="2">
        <v>27.925999999999998</v>
      </c>
      <c r="F304" s="2" t="s">
        <v>60</v>
      </c>
      <c r="G304" s="2" t="s">
        <v>61</v>
      </c>
      <c r="H304" s="6" t="s">
        <v>829</v>
      </c>
    </row>
    <row r="305" spans="1:8" ht="33.75" customHeight="1" x14ac:dyDescent="0.25">
      <c r="A305" s="14" t="s">
        <v>833</v>
      </c>
      <c r="B305" s="3" t="s">
        <v>89</v>
      </c>
      <c r="C305" s="3" t="s">
        <v>834</v>
      </c>
      <c r="D305" s="3" t="s">
        <v>91</v>
      </c>
      <c r="E305" s="3">
        <v>32.389200000000002</v>
      </c>
      <c r="F305" s="3" t="s">
        <v>60</v>
      </c>
      <c r="G305" s="3" t="s">
        <v>61</v>
      </c>
      <c r="H305" s="6" t="s">
        <v>833</v>
      </c>
    </row>
    <row r="306" spans="1:8" ht="45" customHeight="1" x14ac:dyDescent="0.25">
      <c r="A306" s="13" t="s">
        <v>835</v>
      </c>
      <c r="B306" s="2" t="s">
        <v>142</v>
      </c>
      <c r="C306" s="2" t="s">
        <v>836</v>
      </c>
      <c r="D306" s="2" t="s">
        <v>144</v>
      </c>
      <c r="E306" s="2"/>
      <c r="F306" s="2" t="s">
        <v>145</v>
      </c>
      <c r="G306" s="2" t="s">
        <v>146</v>
      </c>
      <c r="H306" s="6" t="s">
        <v>835</v>
      </c>
    </row>
    <row r="307" spans="1:8" ht="22.5" customHeight="1" x14ac:dyDescent="0.25">
      <c r="A307" s="14" t="s">
        <v>837</v>
      </c>
      <c r="B307" s="3" t="s">
        <v>400</v>
      </c>
      <c r="C307" s="3" t="s">
        <v>838</v>
      </c>
      <c r="D307" s="3" t="s">
        <v>402</v>
      </c>
      <c r="E307" s="3">
        <v>34.332239999999999</v>
      </c>
      <c r="F307" s="3" t="s">
        <v>60</v>
      </c>
      <c r="G307" s="3" t="s">
        <v>61</v>
      </c>
      <c r="H307" s="6" t="s">
        <v>837</v>
      </c>
    </row>
    <row r="308" spans="1:8" ht="22.5" customHeight="1" x14ac:dyDescent="0.25">
      <c r="A308" s="13" t="s">
        <v>839</v>
      </c>
      <c r="B308" s="2" t="s">
        <v>794</v>
      </c>
      <c r="C308" s="2" t="s">
        <v>840</v>
      </c>
      <c r="D308" s="2" t="s">
        <v>796</v>
      </c>
      <c r="E308" s="2">
        <v>34.151200000000003</v>
      </c>
      <c r="F308" s="2" t="s">
        <v>60</v>
      </c>
      <c r="G308" s="2" t="s">
        <v>61</v>
      </c>
      <c r="H308" s="6" t="s">
        <v>839</v>
      </c>
    </row>
    <row r="309" spans="1:8" ht="22.5" customHeight="1" x14ac:dyDescent="0.25">
      <c r="A309" s="14" t="s">
        <v>841</v>
      </c>
      <c r="B309" s="3" t="s">
        <v>422</v>
      </c>
      <c r="C309" s="3" t="s">
        <v>842</v>
      </c>
      <c r="D309" s="3" t="s">
        <v>424</v>
      </c>
      <c r="E309" s="3">
        <v>30.7272</v>
      </c>
      <c r="F309" s="3" t="s">
        <v>60</v>
      </c>
      <c r="G309" s="3" t="s">
        <v>61</v>
      </c>
      <c r="H309" s="6" t="s">
        <v>841</v>
      </c>
    </row>
    <row r="310" spans="1:8" ht="22.5" customHeight="1" x14ac:dyDescent="0.25">
      <c r="A310" s="13" t="s">
        <v>843</v>
      </c>
      <c r="B310" s="2" t="s">
        <v>422</v>
      </c>
      <c r="C310" s="2" t="s">
        <v>844</v>
      </c>
      <c r="D310" s="2" t="s">
        <v>424</v>
      </c>
      <c r="E310" s="2">
        <v>30.7272</v>
      </c>
      <c r="F310" s="2" t="s">
        <v>60</v>
      </c>
      <c r="G310" s="2" t="s">
        <v>61</v>
      </c>
      <c r="H310" s="6" t="s">
        <v>843</v>
      </c>
    </row>
    <row r="311" spans="1:8" ht="22.5" customHeight="1" x14ac:dyDescent="0.25">
      <c r="A311" s="14" t="s">
        <v>845</v>
      </c>
      <c r="B311" s="3" t="s">
        <v>846</v>
      </c>
      <c r="C311" s="3" t="s">
        <v>847</v>
      </c>
      <c r="D311" s="3" t="s">
        <v>848</v>
      </c>
      <c r="E311" s="3">
        <v>29.944199999999999</v>
      </c>
      <c r="F311" s="3" t="s">
        <v>60</v>
      </c>
      <c r="G311" s="3" t="s">
        <v>61</v>
      </c>
      <c r="H311" s="6" t="s">
        <v>845</v>
      </c>
    </row>
    <row r="312" spans="1:8" ht="22.5" customHeight="1" x14ac:dyDescent="0.25">
      <c r="A312" s="13" t="s">
        <v>849</v>
      </c>
      <c r="B312" s="2" t="s">
        <v>273</v>
      </c>
      <c r="C312" s="2" t="s">
        <v>850</v>
      </c>
      <c r="D312" s="2" t="s">
        <v>275</v>
      </c>
      <c r="E312" s="2">
        <v>30.084199999999999</v>
      </c>
      <c r="F312" s="2" t="s">
        <v>60</v>
      </c>
      <c r="G312" s="2" t="s">
        <v>61</v>
      </c>
      <c r="H312" s="6" t="s">
        <v>849</v>
      </c>
    </row>
    <row r="313" spans="1:8" ht="22.5" customHeight="1" x14ac:dyDescent="0.25">
      <c r="A313" s="14" t="s">
        <v>851</v>
      </c>
      <c r="B313" s="3" t="s">
        <v>422</v>
      </c>
      <c r="C313" s="3" t="s">
        <v>852</v>
      </c>
      <c r="D313" s="3" t="s">
        <v>424</v>
      </c>
      <c r="E313" s="3">
        <v>30.7272</v>
      </c>
      <c r="F313" s="3" t="s">
        <v>60</v>
      </c>
      <c r="G313" s="3" t="s">
        <v>61</v>
      </c>
      <c r="H313" s="6" t="s">
        <v>851</v>
      </c>
    </row>
    <row r="314" spans="1:8" ht="22.5" customHeight="1" x14ac:dyDescent="0.25">
      <c r="A314" s="13" t="s">
        <v>853</v>
      </c>
      <c r="B314" s="2" t="s">
        <v>422</v>
      </c>
      <c r="C314" s="2" t="s">
        <v>854</v>
      </c>
      <c r="D314" s="2" t="s">
        <v>424</v>
      </c>
      <c r="E314" s="2">
        <v>30.7272</v>
      </c>
      <c r="F314" s="2" t="s">
        <v>60</v>
      </c>
      <c r="G314" s="2" t="s">
        <v>61</v>
      </c>
      <c r="H314" s="6" t="s">
        <v>853</v>
      </c>
    </row>
    <row r="315" spans="1:8" ht="22.5" customHeight="1" x14ac:dyDescent="0.25">
      <c r="A315" s="14" t="s">
        <v>855</v>
      </c>
      <c r="B315" s="3" t="s">
        <v>846</v>
      </c>
      <c r="C315" s="3" t="s">
        <v>856</v>
      </c>
      <c r="D315" s="3" t="s">
        <v>848</v>
      </c>
      <c r="E315" s="3">
        <v>29.944199999999999</v>
      </c>
      <c r="F315" s="3" t="s">
        <v>60</v>
      </c>
      <c r="G315" s="3" t="s">
        <v>61</v>
      </c>
      <c r="H315" s="6" t="s">
        <v>855</v>
      </c>
    </row>
    <row r="316" spans="1:8" ht="22.5" customHeight="1" x14ac:dyDescent="0.25">
      <c r="A316" s="13" t="s">
        <v>857</v>
      </c>
      <c r="B316" s="2" t="s">
        <v>273</v>
      </c>
      <c r="C316" s="2" t="s">
        <v>858</v>
      </c>
      <c r="D316" s="2" t="s">
        <v>275</v>
      </c>
      <c r="E316" s="2">
        <v>30.084199999999999</v>
      </c>
      <c r="F316" s="2" t="s">
        <v>60</v>
      </c>
      <c r="G316" s="2" t="s">
        <v>61</v>
      </c>
      <c r="H316" s="6" t="s">
        <v>857</v>
      </c>
    </row>
    <row r="317" spans="1:8" ht="22.5" customHeight="1" x14ac:dyDescent="0.25">
      <c r="A317" s="14" t="s">
        <v>859</v>
      </c>
      <c r="B317" s="3" t="s">
        <v>273</v>
      </c>
      <c r="C317" s="3" t="s">
        <v>860</v>
      </c>
      <c r="D317" s="3" t="s">
        <v>275</v>
      </c>
      <c r="E317" s="3">
        <v>30.084199999999999</v>
      </c>
      <c r="F317" s="3" t="s">
        <v>60</v>
      </c>
      <c r="G317" s="3" t="s">
        <v>61</v>
      </c>
      <c r="H317" s="6" t="s">
        <v>859</v>
      </c>
    </row>
    <row r="318" spans="1:8" ht="22.5" customHeight="1" x14ac:dyDescent="0.25">
      <c r="A318" s="13" t="s">
        <v>861</v>
      </c>
      <c r="B318" s="2" t="s">
        <v>277</v>
      </c>
      <c r="C318" s="2" t="s">
        <v>862</v>
      </c>
      <c r="D318" s="2" t="s">
        <v>279</v>
      </c>
      <c r="E318" s="2">
        <v>29.7592</v>
      </c>
      <c r="F318" s="2" t="s">
        <v>60</v>
      </c>
      <c r="G318" s="2" t="s">
        <v>61</v>
      </c>
      <c r="H318" s="6" t="s">
        <v>861</v>
      </c>
    </row>
    <row r="319" spans="1:8" ht="22.5" customHeight="1" x14ac:dyDescent="0.25">
      <c r="A319" s="14" t="s">
        <v>863</v>
      </c>
      <c r="B319" s="3" t="s">
        <v>864</v>
      </c>
      <c r="C319" s="3" t="s">
        <v>865</v>
      </c>
      <c r="D319" s="3" t="s">
        <v>866</v>
      </c>
      <c r="E319" s="3">
        <v>30.653199999999998</v>
      </c>
      <c r="F319" s="3" t="s">
        <v>60</v>
      </c>
      <c r="G319" s="3" t="s">
        <v>61</v>
      </c>
      <c r="H319" s="6" t="s">
        <v>863</v>
      </c>
    </row>
    <row r="320" spans="1:8" ht="22.5" customHeight="1" x14ac:dyDescent="0.25">
      <c r="A320" s="13" t="s">
        <v>867</v>
      </c>
      <c r="B320" s="2" t="s">
        <v>846</v>
      </c>
      <c r="C320" s="2" t="s">
        <v>868</v>
      </c>
      <c r="D320" s="2" t="s">
        <v>848</v>
      </c>
      <c r="E320" s="2">
        <v>29.944199999999999</v>
      </c>
      <c r="F320" s="2" t="s">
        <v>60</v>
      </c>
      <c r="G320" s="2" t="s">
        <v>61</v>
      </c>
      <c r="H320" s="6" t="s">
        <v>867</v>
      </c>
    </row>
    <row r="321" spans="1:8" ht="22.5" customHeight="1" x14ac:dyDescent="0.25">
      <c r="A321" s="14" t="s">
        <v>869</v>
      </c>
      <c r="B321" s="3" t="s">
        <v>277</v>
      </c>
      <c r="C321" s="3" t="s">
        <v>870</v>
      </c>
      <c r="D321" s="3" t="s">
        <v>279</v>
      </c>
      <c r="E321" s="3">
        <v>29.7592</v>
      </c>
      <c r="F321" s="3" t="s">
        <v>60</v>
      </c>
      <c r="G321" s="3" t="s">
        <v>61</v>
      </c>
      <c r="H321" s="6" t="s">
        <v>869</v>
      </c>
    </row>
    <row r="322" spans="1:8" ht="22.5" customHeight="1" x14ac:dyDescent="0.25">
      <c r="A322" s="13" t="s">
        <v>871</v>
      </c>
      <c r="B322" s="2" t="s">
        <v>372</v>
      </c>
      <c r="C322" s="2" t="s">
        <v>872</v>
      </c>
      <c r="D322" s="2" t="s">
        <v>374</v>
      </c>
      <c r="E322" s="2">
        <v>32.852400000000003</v>
      </c>
      <c r="F322" s="2" t="s">
        <v>60</v>
      </c>
      <c r="G322" s="2" t="s">
        <v>61</v>
      </c>
      <c r="H322" s="6" t="s">
        <v>871</v>
      </c>
    </row>
    <row r="323" spans="1:8" ht="22.5" customHeight="1" x14ac:dyDescent="0.25">
      <c r="A323" s="14" t="s">
        <v>873</v>
      </c>
      <c r="B323" s="3" t="s">
        <v>372</v>
      </c>
      <c r="C323" s="3" t="s">
        <v>874</v>
      </c>
      <c r="D323" s="3" t="s">
        <v>374</v>
      </c>
      <c r="E323" s="3">
        <v>32.852400000000003</v>
      </c>
      <c r="F323" s="3" t="s">
        <v>60</v>
      </c>
      <c r="G323" s="3" t="s">
        <v>61</v>
      </c>
      <c r="H323" s="6" t="s">
        <v>873</v>
      </c>
    </row>
    <row r="324" spans="1:8" ht="33.75" customHeight="1" x14ac:dyDescent="0.25">
      <c r="A324" s="13" t="s">
        <v>875</v>
      </c>
      <c r="B324" s="2" t="s">
        <v>226</v>
      </c>
      <c r="C324" s="2" t="s">
        <v>876</v>
      </c>
      <c r="D324" s="2" t="s">
        <v>228</v>
      </c>
      <c r="E324" s="2">
        <v>30.6632</v>
      </c>
      <c r="F324" s="2" t="s">
        <v>60</v>
      </c>
      <c r="G324" s="2" t="s">
        <v>61</v>
      </c>
      <c r="H324" s="6" t="s">
        <v>875</v>
      </c>
    </row>
    <row r="325" spans="1:8" ht="33.75" customHeight="1" x14ac:dyDescent="0.25">
      <c r="A325" s="14" t="s">
        <v>877</v>
      </c>
      <c r="B325" s="3" t="s">
        <v>878</v>
      </c>
      <c r="C325" s="3" t="s">
        <v>879</v>
      </c>
      <c r="D325" s="3" t="s">
        <v>880</v>
      </c>
      <c r="E325" s="3">
        <v>27.925999999999998</v>
      </c>
      <c r="F325" s="3" t="s">
        <v>60</v>
      </c>
      <c r="G325" s="3" t="s">
        <v>61</v>
      </c>
      <c r="H325" s="6" t="s">
        <v>877</v>
      </c>
    </row>
    <row r="326" spans="1:8" ht="33.75" customHeight="1" x14ac:dyDescent="0.25">
      <c r="A326" s="13" t="s">
        <v>881</v>
      </c>
      <c r="B326" s="2" t="s">
        <v>830</v>
      </c>
      <c r="C326" s="2" t="s">
        <v>882</v>
      </c>
      <c r="D326" s="2" t="s">
        <v>832</v>
      </c>
      <c r="E326" s="2">
        <v>27.925999999999998</v>
      </c>
      <c r="F326" s="2" t="s">
        <v>60</v>
      </c>
      <c r="G326" s="2" t="s">
        <v>61</v>
      </c>
      <c r="H326" s="6" t="s">
        <v>881</v>
      </c>
    </row>
    <row r="327" spans="1:8" ht="22.5" customHeight="1" x14ac:dyDescent="0.25">
      <c r="A327" s="14" t="s">
        <v>883</v>
      </c>
      <c r="B327" s="3" t="s">
        <v>400</v>
      </c>
      <c r="C327" s="3" t="s">
        <v>884</v>
      </c>
      <c r="D327" s="3" t="s">
        <v>402</v>
      </c>
      <c r="E327" s="3">
        <v>34.332239999999999</v>
      </c>
      <c r="F327" s="3" t="s">
        <v>60</v>
      </c>
      <c r="G327" s="3" t="s">
        <v>61</v>
      </c>
      <c r="H327" s="6" t="s">
        <v>883</v>
      </c>
    </row>
    <row r="328" spans="1:8" ht="22.5" customHeight="1" x14ac:dyDescent="0.25">
      <c r="A328" s="13" t="s">
        <v>885</v>
      </c>
      <c r="B328" s="2" t="s">
        <v>878</v>
      </c>
      <c r="C328" s="2" t="s">
        <v>886</v>
      </c>
      <c r="D328" s="2" t="s">
        <v>880</v>
      </c>
      <c r="E328" s="2">
        <v>27.925999999999998</v>
      </c>
      <c r="F328" s="2" t="s">
        <v>60</v>
      </c>
      <c r="G328" s="2" t="s">
        <v>61</v>
      </c>
      <c r="H328" s="6" t="s">
        <v>885</v>
      </c>
    </row>
    <row r="329" spans="1:8" ht="22.5" customHeight="1" x14ac:dyDescent="0.25">
      <c r="A329" s="14" t="s">
        <v>887</v>
      </c>
      <c r="B329" s="3" t="s">
        <v>830</v>
      </c>
      <c r="C329" s="3" t="s">
        <v>888</v>
      </c>
      <c r="D329" s="3" t="s">
        <v>832</v>
      </c>
      <c r="E329" s="3">
        <v>27.925999999999998</v>
      </c>
      <c r="F329" s="3" t="s">
        <v>60</v>
      </c>
      <c r="G329" s="3" t="s">
        <v>61</v>
      </c>
      <c r="H329" s="6" t="s">
        <v>887</v>
      </c>
    </row>
    <row r="330" spans="1:8" ht="33.75" customHeight="1" x14ac:dyDescent="0.25">
      <c r="A330" s="13" t="s">
        <v>889</v>
      </c>
      <c r="B330" s="2" t="s">
        <v>89</v>
      </c>
      <c r="C330" s="2" t="s">
        <v>890</v>
      </c>
      <c r="D330" s="2" t="s">
        <v>91</v>
      </c>
      <c r="E330" s="2">
        <v>32.389200000000002</v>
      </c>
      <c r="F330" s="2" t="s">
        <v>60</v>
      </c>
      <c r="G330" s="2" t="s">
        <v>61</v>
      </c>
      <c r="H330" s="6" t="s">
        <v>889</v>
      </c>
    </row>
    <row r="331" spans="1:8" ht="22.5" customHeight="1" x14ac:dyDescent="0.25">
      <c r="A331" s="14" t="s">
        <v>891</v>
      </c>
      <c r="B331" s="3" t="s">
        <v>612</v>
      </c>
      <c r="C331" s="3" t="s">
        <v>892</v>
      </c>
      <c r="D331" s="3" t="s">
        <v>614</v>
      </c>
      <c r="E331" s="3">
        <v>29.712399999999999</v>
      </c>
      <c r="F331" s="3" t="s">
        <v>60</v>
      </c>
      <c r="G331" s="3" t="s">
        <v>61</v>
      </c>
      <c r="H331" s="6" t="s">
        <v>891</v>
      </c>
    </row>
    <row r="332" spans="1:8" ht="33.75" customHeight="1" x14ac:dyDescent="0.25">
      <c r="A332" s="13" t="s">
        <v>893</v>
      </c>
      <c r="B332" s="2" t="s">
        <v>378</v>
      </c>
      <c r="C332" s="2" t="s">
        <v>894</v>
      </c>
      <c r="D332" s="2" t="s">
        <v>380</v>
      </c>
      <c r="E332" s="2">
        <v>29.743200000000002</v>
      </c>
      <c r="F332" s="2" t="s">
        <v>60</v>
      </c>
      <c r="G332" s="2" t="s">
        <v>61</v>
      </c>
      <c r="H332" s="6" t="s">
        <v>893</v>
      </c>
    </row>
    <row r="333" spans="1:8" ht="22.5" customHeight="1" x14ac:dyDescent="0.25">
      <c r="A333" s="14" t="s">
        <v>895</v>
      </c>
      <c r="B333" s="3" t="s">
        <v>665</v>
      </c>
      <c r="C333" s="3" t="s">
        <v>896</v>
      </c>
      <c r="D333" s="3" t="s">
        <v>667</v>
      </c>
      <c r="E333" s="3">
        <v>29.432400000000001</v>
      </c>
      <c r="F333" s="3" t="s">
        <v>60</v>
      </c>
      <c r="G333" s="3" t="s">
        <v>61</v>
      </c>
      <c r="H333" s="6" t="s">
        <v>895</v>
      </c>
    </row>
    <row r="334" spans="1:8" ht="33.75" customHeight="1" x14ac:dyDescent="0.25">
      <c r="A334" s="13" t="s">
        <v>897</v>
      </c>
      <c r="B334" s="2" t="s">
        <v>273</v>
      </c>
      <c r="C334" s="2" t="s">
        <v>898</v>
      </c>
      <c r="D334" s="2" t="s">
        <v>275</v>
      </c>
      <c r="E334" s="2">
        <v>30.084199999999999</v>
      </c>
      <c r="F334" s="2" t="s">
        <v>60</v>
      </c>
      <c r="G334" s="2" t="s">
        <v>61</v>
      </c>
      <c r="H334" s="6" t="s">
        <v>897</v>
      </c>
    </row>
    <row r="335" spans="1:8" ht="33.75" customHeight="1" x14ac:dyDescent="0.25">
      <c r="A335" s="14" t="s">
        <v>899</v>
      </c>
      <c r="B335" s="3" t="s">
        <v>89</v>
      </c>
      <c r="C335" s="3" t="s">
        <v>900</v>
      </c>
      <c r="D335" s="3" t="s">
        <v>91</v>
      </c>
      <c r="E335" s="3">
        <v>32.389200000000002</v>
      </c>
      <c r="F335" s="3" t="s">
        <v>60</v>
      </c>
      <c r="G335" s="3" t="s">
        <v>61</v>
      </c>
      <c r="H335" s="6" t="s">
        <v>899</v>
      </c>
    </row>
    <row r="336" spans="1:8" ht="22.5" customHeight="1" x14ac:dyDescent="0.25">
      <c r="A336" s="13" t="s">
        <v>901</v>
      </c>
      <c r="B336" s="2" t="s">
        <v>656</v>
      </c>
      <c r="C336" s="2" t="s">
        <v>902</v>
      </c>
      <c r="D336" s="2" t="s">
        <v>658</v>
      </c>
      <c r="E336" s="2">
        <v>30.368400000000001</v>
      </c>
      <c r="F336" s="2" t="s">
        <v>60</v>
      </c>
      <c r="G336" s="2" t="s">
        <v>61</v>
      </c>
      <c r="H336" s="6" t="s">
        <v>901</v>
      </c>
    </row>
    <row r="337" spans="1:8" ht="22.5" customHeight="1" x14ac:dyDescent="0.25">
      <c r="A337" s="14" t="s">
        <v>903</v>
      </c>
      <c r="B337" s="3" t="s">
        <v>612</v>
      </c>
      <c r="C337" s="3" t="s">
        <v>904</v>
      </c>
      <c r="D337" s="3" t="s">
        <v>614</v>
      </c>
      <c r="E337" s="3">
        <v>29.712399999999999</v>
      </c>
      <c r="F337" s="3" t="s">
        <v>60</v>
      </c>
      <c r="G337" s="3" t="s">
        <v>61</v>
      </c>
      <c r="H337" s="6" t="s">
        <v>903</v>
      </c>
    </row>
    <row r="338" spans="1:8" ht="22.5" customHeight="1" x14ac:dyDescent="0.25">
      <c r="A338" s="13" t="s">
        <v>905</v>
      </c>
      <c r="B338" s="2" t="s">
        <v>906</v>
      </c>
      <c r="C338" s="2" t="s">
        <v>907</v>
      </c>
      <c r="D338" s="2" t="s">
        <v>908</v>
      </c>
      <c r="E338" s="2">
        <v>29.468399999999999</v>
      </c>
      <c r="F338" s="2" t="s">
        <v>60</v>
      </c>
      <c r="G338" s="2" t="s">
        <v>61</v>
      </c>
      <c r="H338" s="6" t="s">
        <v>905</v>
      </c>
    </row>
    <row r="339" spans="1:8" ht="22.5" customHeight="1" x14ac:dyDescent="0.25">
      <c r="A339" s="14" t="s">
        <v>909</v>
      </c>
      <c r="B339" s="3" t="s">
        <v>673</v>
      </c>
      <c r="C339" s="3" t="s">
        <v>910</v>
      </c>
      <c r="D339" s="3" t="s">
        <v>675</v>
      </c>
      <c r="E339" s="3">
        <v>29.5824</v>
      </c>
      <c r="F339" s="3" t="s">
        <v>60</v>
      </c>
      <c r="G339" s="3" t="s">
        <v>61</v>
      </c>
      <c r="H339" s="6" t="s">
        <v>909</v>
      </c>
    </row>
    <row r="340" spans="1:8" ht="22.5" customHeight="1" x14ac:dyDescent="0.25">
      <c r="A340" s="13" t="s">
        <v>911</v>
      </c>
      <c r="B340" s="2" t="s">
        <v>906</v>
      </c>
      <c r="C340" s="2" t="s">
        <v>912</v>
      </c>
      <c r="D340" s="2" t="s">
        <v>908</v>
      </c>
      <c r="E340" s="2">
        <v>29.468399999999999</v>
      </c>
      <c r="F340" s="2" t="s">
        <v>60</v>
      </c>
      <c r="G340" s="2" t="s">
        <v>61</v>
      </c>
      <c r="H340" s="6" t="s">
        <v>911</v>
      </c>
    </row>
    <row r="341" spans="1:8" ht="22.5" customHeight="1" x14ac:dyDescent="0.25">
      <c r="A341" s="14" t="s">
        <v>913</v>
      </c>
      <c r="B341" s="3" t="s">
        <v>400</v>
      </c>
      <c r="C341" s="3" t="s">
        <v>914</v>
      </c>
      <c r="D341" s="3" t="s">
        <v>402</v>
      </c>
      <c r="E341" s="3">
        <v>34.332239999999999</v>
      </c>
      <c r="F341" s="3" t="s">
        <v>60</v>
      </c>
      <c r="G341" s="3" t="s">
        <v>61</v>
      </c>
      <c r="H341" s="6" t="s">
        <v>913</v>
      </c>
    </row>
    <row r="342" spans="1:8" ht="22.5" customHeight="1" x14ac:dyDescent="0.25">
      <c r="A342" s="13" t="s">
        <v>915</v>
      </c>
      <c r="B342" s="2" t="s">
        <v>400</v>
      </c>
      <c r="C342" s="2" t="s">
        <v>916</v>
      </c>
      <c r="D342" s="2" t="s">
        <v>402</v>
      </c>
      <c r="E342" s="2">
        <v>34.332239999999999</v>
      </c>
      <c r="F342" s="2" t="s">
        <v>60</v>
      </c>
      <c r="G342" s="2" t="s">
        <v>61</v>
      </c>
      <c r="H342" s="6" t="s">
        <v>915</v>
      </c>
    </row>
    <row r="343" spans="1:8" ht="22.5" customHeight="1" x14ac:dyDescent="0.25">
      <c r="A343" s="14" t="s">
        <v>917</v>
      </c>
      <c r="B343" s="3" t="s">
        <v>400</v>
      </c>
      <c r="C343" s="3" t="s">
        <v>918</v>
      </c>
      <c r="D343" s="3" t="s">
        <v>402</v>
      </c>
      <c r="E343" s="3">
        <v>34.332239999999999</v>
      </c>
      <c r="F343" s="3" t="s">
        <v>60</v>
      </c>
      <c r="G343" s="3" t="s">
        <v>61</v>
      </c>
      <c r="H343" s="6" t="s">
        <v>917</v>
      </c>
    </row>
    <row r="344" spans="1:8" ht="33.75" customHeight="1" x14ac:dyDescent="0.25">
      <c r="A344" s="13" t="s">
        <v>919</v>
      </c>
      <c r="B344" s="2" t="s">
        <v>400</v>
      </c>
      <c r="C344" s="2" t="s">
        <v>920</v>
      </c>
      <c r="D344" s="2" t="s">
        <v>402</v>
      </c>
      <c r="E344" s="2">
        <v>34.332239999999999</v>
      </c>
      <c r="F344" s="2" t="s">
        <v>60</v>
      </c>
      <c r="G344" s="2" t="s">
        <v>61</v>
      </c>
      <c r="H344" s="6" t="s">
        <v>919</v>
      </c>
    </row>
    <row r="345" spans="1:8" ht="22.5" customHeight="1" x14ac:dyDescent="0.25">
      <c r="A345" s="14" t="s">
        <v>921</v>
      </c>
      <c r="B345" s="3" t="s">
        <v>400</v>
      </c>
      <c r="C345" s="3" t="s">
        <v>922</v>
      </c>
      <c r="D345" s="3" t="s">
        <v>402</v>
      </c>
      <c r="E345" s="3">
        <v>34.332239999999999</v>
      </c>
      <c r="F345" s="3" t="s">
        <v>60</v>
      </c>
      <c r="G345" s="3" t="s">
        <v>61</v>
      </c>
      <c r="H345" s="6" t="s">
        <v>921</v>
      </c>
    </row>
    <row r="346" spans="1:8" ht="22.5" customHeight="1" x14ac:dyDescent="0.25">
      <c r="A346" s="13" t="s">
        <v>923</v>
      </c>
      <c r="B346" s="2" t="s">
        <v>400</v>
      </c>
      <c r="C346" s="2" t="s">
        <v>924</v>
      </c>
      <c r="D346" s="2" t="s">
        <v>402</v>
      </c>
      <c r="E346" s="2">
        <v>34.332239999999999</v>
      </c>
      <c r="F346" s="2" t="s">
        <v>60</v>
      </c>
      <c r="G346" s="2" t="s">
        <v>61</v>
      </c>
      <c r="H346" s="6" t="s">
        <v>923</v>
      </c>
    </row>
    <row r="347" spans="1:8" ht="22.5" customHeight="1" x14ac:dyDescent="0.25">
      <c r="A347" s="14" t="s">
        <v>925</v>
      </c>
      <c r="B347" s="3" t="s">
        <v>400</v>
      </c>
      <c r="C347" s="3" t="s">
        <v>926</v>
      </c>
      <c r="D347" s="3" t="s">
        <v>402</v>
      </c>
      <c r="E347" s="3">
        <v>34.332239999999999</v>
      </c>
      <c r="F347" s="3" t="s">
        <v>60</v>
      </c>
      <c r="G347" s="3" t="s">
        <v>61</v>
      </c>
      <c r="H347" s="6" t="s">
        <v>925</v>
      </c>
    </row>
    <row r="348" spans="1:8" ht="22.5" customHeight="1" x14ac:dyDescent="0.25">
      <c r="A348" s="13" t="s">
        <v>927</v>
      </c>
      <c r="B348" s="2" t="s">
        <v>400</v>
      </c>
      <c r="C348" s="2" t="s">
        <v>928</v>
      </c>
      <c r="D348" s="2" t="s">
        <v>402</v>
      </c>
      <c r="E348" s="2">
        <v>34.332239999999999</v>
      </c>
      <c r="F348" s="2" t="s">
        <v>60</v>
      </c>
      <c r="G348" s="2" t="s">
        <v>61</v>
      </c>
      <c r="H348" s="6" t="s">
        <v>927</v>
      </c>
    </row>
    <row r="349" spans="1:8" ht="22.5" customHeight="1" x14ac:dyDescent="0.25">
      <c r="A349" s="14" t="s">
        <v>929</v>
      </c>
      <c r="B349" s="3" t="s">
        <v>382</v>
      </c>
      <c r="C349" s="3" t="s">
        <v>930</v>
      </c>
      <c r="D349" s="3" t="s">
        <v>384</v>
      </c>
      <c r="E349" s="3">
        <v>35.3172</v>
      </c>
      <c r="F349" s="3" t="s">
        <v>60</v>
      </c>
      <c r="G349" s="3" t="s">
        <v>61</v>
      </c>
      <c r="H349" s="6" t="s">
        <v>929</v>
      </c>
    </row>
    <row r="350" spans="1:8" ht="22.5" customHeight="1" x14ac:dyDescent="0.25">
      <c r="A350" s="13" t="s">
        <v>931</v>
      </c>
      <c r="B350" s="2" t="s">
        <v>382</v>
      </c>
      <c r="C350" s="2" t="s">
        <v>932</v>
      </c>
      <c r="D350" s="2" t="s">
        <v>384</v>
      </c>
      <c r="E350" s="2">
        <v>35.3172</v>
      </c>
      <c r="F350" s="2" t="s">
        <v>60</v>
      </c>
      <c r="G350" s="2" t="s">
        <v>61</v>
      </c>
      <c r="H350" s="6" t="s">
        <v>931</v>
      </c>
    </row>
    <row r="351" spans="1:8" ht="22.5" customHeight="1" x14ac:dyDescent="0.25">
      <c r="A351" s="14" t="s">
        <v>933</v>
      </c>
      <c r="B351" s="3" t="s">
        <v>382</v>
      </c>
      <c r="C351" s="3" t="s">
        <v>934</v>
      </c>
      <c r="D351" s="3" t="s">
        <v>384</v>
      </c>
      <c r="E351" s="3">
        <v>35.3172</v>
      </c>
      <c r="F351" s="3" t="s">
        <v>60</v>
      </c>
      <c r="G351" s="3" t="s">
        <v>61</v>
      </c>
      <c r="H351" s="6" t="s">
        <v>933</v>
      </c>
    </row>
    <row r="352" spans="1:8" ht="22.5" customHeight="1" x14ac:dyDescent="0.25">
      <c r="A352" s="13" t="s">
        <v>935</v>
      </c>
      <c r="B352" s="2" t="s">
        <v>382</v>
      </c>
      <c r="C352" s="2" t="s">
        <v>936</v>
      </c>
      <c r="D352" s="2" t="s">
        <v>384</v>
      </c>
      <c r="E352" s="2">
        <v>35.3172</v>
      </c>
      <c r="F352" s="2" t="s">
        <v>60</v>
      </c>
      <c r="G352" s="2" t="s">
        <v>61</v>
      </c>
      <c r="H352" s="6" t="s">
        <v>935</v>
      </c>
    </row>
    <row r="353" spans="1:8" ht="22.5" customHeight="1" x14ac:dyDescent="0.25">
      <c r="A353" s="14" t="s">
        <v>937</v>
      </c>
      <c r="B353" s="3" t="s">
        <v>382</v>
      </c>
      <c r="C353" s="3" t="s">
        <v>938</v>
      </c>
      <c r="D353" s="3" t="s">
        <v>384</v>
      </c>
      <c r="E353" s="3">
        <v>35.3172</v>
      </c>
      <c r="F353" s="3" t="s">
        <v>60</v>
      </c>
      <c r="G353" s="3" t="s">
        <v>61</v>
      </c>
      <c r="H353" s="6" t="s">
        <v>937</v>
      </c>
    </row>
    <row r="354" spans="1:8" ht="33.75" customHeight="1" x14ac:dyDescent="0.25">
      <c r="A354" s="13" t="s">
        <v>939</v>
      </c>
      <c r="B354" s="2" t="s">
        <v>382</v>
      </c>
      <c r="C354" s="2" t="s">
        <v>940</v>
      </c>
      <c r="D354" s="2" t="s">
        <v>384</v>
      </c>
      <c r="E354" s="2">
        <v>35.3172</v>
      </c>
      <c r="F354" s="2" t="s">
        <v>60</v>
      </c>
      <c r="G354" s="2" t="s">
        <v>61</v>
      </c>
      <c r="H354" s="6" t="s">
        <v>939</v>
      </c>
    </row>
    <row r="355" spans="1:8" ht="22.5" customHeight="1" x14ac:dyDescent="0.25">
      <c r="A355" s="14" t="s">
        <v>941</v>
      </c>
      <c r="B355" s="3" t="s">
        <v>382</v>
      </c>
      <c r="C355" s="3" t="s">
        <v>942</v>
      </c>
      <c r="D355" s="3" t="s">
        <v>384</v>
      </c>
      <c r="E355" s="3">
        <v>35.3172</v>
      </c>
      <c r="F355" s="3" t="s">
        <v>60</v>
      </c>
      <c r="G355" s="3" t="s">
        <v>61</v>
      </c>
      <c r="H355" s="6" t="s">
        <v>941</v>
      </c>
    </row>
    <row r="356" spans="1:8" ht="22.5" customHeight="1" x14ac:dyDescent="0.25">
      <c r="A356" s="13" t="s">
        <v>943</v>
      </c>
      <c r="B356" s="2" t="s">
        <v>382</v>
      </c>
      <c r="C356" s="2" t="s">
        <v>944</v>
      </c>
      <c r="D356" s="2" t="s">
        <v>384</v>
      </c>
      <c r="E356" s="2">
        <v>35.3172</v>
      </c>
      <c r="F356" s="2" t="s">
        <v>60</v>
      </c>
      <c r="G356" s="2" t="s">
        <v>61</v>
      </c>
      <c r="H356" s="6" t="s">
        <v>943</v>
      </c>
    </row>
    <row r="357" spans="1:8" ht="22.5" customHeight="1" x14ac:dyDescent="0.25">
      <c r="A357" s="14" t="s">
        <v>945</v>
      </c>
      <c r="B357" s="3" t="s">
        <v>382</v>
      </c>
      <c r="C357" s="3" t="s">
        <v>946</v>
      </c>
      <c r="D357" s="3" t="s">
        <v>384</v>
      </c>
      <c r="E357" s="3">
        <v>35.3172</v>
      </c>
      <c r="F357" s="3" t="s">
        <v>60</v>
      </c>
      <c r="G357" s="3" t="s">
        <v>61</v>
      </c>
      <c r="H357" s="6" t="s">
        <v>945</v>
      </c>
    </row>
    <row r="358" spans="1:8" ht="33.75" customHeight="1" x14ac:dyDescent="0.25">
      <c r="A358" s="13" t="s">
        <v>947</v>
      </c>
      <c r="B358" s="2" t="s">
        <v>948</v>
      </c>
      <c r="C358" s="2" t="s">
        <v>949</v>
      </c>
      <c r="D358" s="2" t="s">
        <v>950</v>
      </c>
      <c r="E358" s="2">
        <v>49.658900000000003</v>
      </c>
      <c r="F358" s="2" t="s">
        <v>60</v>
      </c>
      <c r="G358" s="2" t="s">
        <v>61</v>
      </c>
      <c r="H358" s="6" t="s">
        <v>947</v>
      </c>
    </row>
    <row r="359" spans="1:8" ht="22.5" customHeight="1" x14ac:dyDescent="0.25">
      <c r="A359" s="14" t="s">
        <v>951</v>
      </c>
      <c r="B359" s="3" t="s">
        <v>382</v>
      </c>
      <c r="C359" s="3" t="s">
        <v>952</v>
      </c>
      <c r="D359" s="3" t="s">
        <v>384</v>
      </c>
      <c r="E359" s="3">
        <v>35.3172</v>
      </c>
      <c r="F359" s="3" t="s">
        <v>60</v>
      </c>
      <c r="G359" s="3" t="s">
        <v>61</v>
      </c>
      <c r="H359" s="6" t="s">
        <v>951</v>
      </c>
    </row>
    <row r="360" spans="1:8" ht="22.5" customHeight="1" x14ac:dyDescent="0.25">
      <c r="A360" s="13" t="s">
        <v>953</v>
      </c>
      <c r="B360" s="2" t="s">
        <v>382</v>
      </c>
      <c r="C360" s="2" t="s">
        <v>954</v>
      </c>
      <c r="D360" s="2" t="s">
        <v>384</v>
      </c>
      <c r="E360" s="2">
        <v>35.3172</v>
      </c>
      <c r="F360" s="2" t="s">
        <v>60</v>
      </c>
      <c r="G360" s="2" t="s">
        <v>61</v>
      </c>
      <c r="H360" s="6" t="s">
        <v>953</v>
      </c>
    </row>
    <row r="361" spans="1:8" ht="22.5" customHeight="1" x14ac:dyDescent="0.25">
      <c r="A361" s="14" t="s">
        <v>955</v>
      </c>
      <c r="B361" s="3" t="s">
        <v>382</v>
      </c>
      <c r="C361" s="3" t="s">
        <v>956</v>
      </c>
      <c r="D361" s="3" t="s">
        <v>384</v>
      </c>
      <c r="E361" s="3">
        <v>35.3172</v>
      </c>
      <c r="F361" s="3" t="s">
        <v>60</v>
      </c>
      <c r="G361" s="3" t="s">
        <v>61</v>
      </c>
      <c r="H361" s="6" t="s">
        <v>955</v>
      </c>
    </row>
    <row r="362" spans="1:8" ht="22.5" customHeight="1" x14ac:dyDescent="0.25">
      <c r="A362" s="13" t="s">
        <v>957</v>
      </c>
      <c r="B362" s="2" t="s">
        <v>382</v>
      </c>
      <c r="C362" s="2" t="s">
        <v>958</v>
      </c>
      <c r="D362" s="2" t="s">
        <v>384</v>
      </c>
      <c r="E362" s="2">
        <v>35.3172</v>
      </c>
      <c r="F362" s="2" t="s">
        <v>60</v>
      </c>
      <c r="G362" s="2" t="s">
        <v>61</v>
      </c>
      <c r="H362" s="6" t="s">
        <v>957</v>
      </c>
    </row>
    <row r="363" spans="1:8" ht="22.5" customHeight="1" x14ac:dyDescent="0.25">
      <c r="A363" s="14" t="s">
        <v>959</v>
      </c>
      <c r="B363" s="3" t="s">
        <v>390</v>
      </c>
      <c r="C363" s="3" t="s">
        <v>960</v>
      </c>
      <c r="D363" s="3" t="s">
        <v>392</v>
      </c>
      <c r="E363" s="3">
        <v>35.367600000000003</v>
      </c>
      <c r="F363" s="3" t="s">
        <v>60</v>
      </c>
      <c r="G363" s="3" t="s">
        <v>61</v>
      </c>
      <c r="H363" s="6" t="s">
        <v>959</v>
      </c>
    </row>
    <row r="364" spans="1:8" ht="22.5" customHeight="1" x14ac:dyDescent="0.25">
      <c r="A364" s="13" t="s">
        <v>961</v>
      </c>
      <c r="B364" s="2" t="s">
        <v>390</v>
      </c>
      <c r="C364" s="2" t="s">
        <v>962</v>
      </c>
      <c r="D364" s="2" t="s">
        <v>392</v>
      </c>
      <c r="E364" s="2">
        <v>35.367600000000003</v>
      </c>
      <c r="F364" s="2" t="s">
        <v>60</v>
      </c>
      <c r="G364" s="2" t="s">
        <v>61</v>
      </c>
      <c r="H364" s="6" t="s">
        <v>961</v>
      </c>
    </row>
    <row r="365" spans="1:8" ht="22.5" customHeight="1" x14ac:dyDescent="0.25">
      <c r="A365" s="14" t="s">
        <v>963</v>
      </c>
      <c r="B365" s="3" t="s">
        <v>390</v>
      </c>
      <c r="C365" s="3" t="s">
        <v>964</v>
      </c>
      <c r="D365" s="3" t="s">
        <v>392</v>
      </c>
      <c r="E365" s="3">
        <v>35.367600000000003</v>
      </c>
      <c r="F365" s="3" t="s">
        <v>60</v>
      </c>
      <c r="G365" s="3" t="s">
        <v>61</v>
      </c>
      <c r="H365" s="6" t="s">
        <v>963</v>
      </c>
    </row>
    <row r="366" spans="1:8" ht="22.5" customHeight="1" x14ac:dyDescent="0.25">
      <c r="A366" s="13" t="s">
        <v>965</v>
      </c>
      <c r="B366" s="2" t="s">
        <v>966</v>
      </c>
      <c r="C366" s="2" t="s">
        <v>967</v>
      </c>
      <c r="D366" s="2" t="s">
        <v>968</v>
      </c>
      <c r="E366" s="2">
        <v>54.972650000000002</v>
      </c>
      <c r="F366" s="2" t="s">
        <v>60</v>
      </c>
      <c r="G366" s="2" t="s">
        <v>61</v>
      </c>
      <c r="H366" s="6" t="s">
        <v>965</v>
      </c>
    </row>
    <row r="367" spans="1:8" ht="22.5" customHeight="1" x14ac:dyDescent="0.25">
      <c r="A367" s="14" t="s">
        <v>969</v>
      </c>
      <c r="B367" s="3" t="s">
        <v>390</v>
      </c>
      <c r="C367" s="3" t="s">
        <v>970</v>
      </c>
      <c r="D367" s="3" t="s">
        <v>392</v>
      </c>
      <c r="E367" s="3">
        <v>35.367600000000003</v>
      </c>
      <c r="F367" s="3" t="s">
        <v>60</v>
      </c>
      <c r="G367" s="3" t="s">
        <v>61</v>
      </c>
      <c r="H367" s="6" t="s">
        <v>969</v>
      </c>
    </row>
    <row r="368" spans="1:8" ht="22.5" customHeight="1" x14ac:dyDescent="0.25">
      <c r="A368" s="13" t="s">
        <v>971</v>
      </c>
      <c r="B368" s="2" t="s">
        <v>390</v>
      </c>
      <c r="C368" s="2" t="s">
        <v>972</v>
      </c>
      <c r="D368" s="2" t="s">
        <v>392</v>
      </c>
      <c r="E368" s="2">
        <v>35.367600000000003</v>
      </c>
      <c r="F368" s="2" t="s">
        <v>60</v>
      </c>
      <c r="G368" s="2" t="s">
        <v>61</v>
      </c>
      <c r="H368" s="6" t="s">
        <v>971</v>
      </c>
    </row>
    <row r="369" spans="1:8" ht="22.5" customHeight="1" x14ac:dyDescent="0.25">
      <c r="A369" s="14" t="s">
        <v>973</v>
      </c>
      <c r="B369" s="3" t="s">
        <v>390</v>
      </c>
      <c r="C369" s="3" t="s">
        <v>974</v>
      </c>
      <c r="D369" s="3" t="s">
        <v>392</v>
      </c>
      <c r="E369" s="3">
        <v>35.367600000000003</v>
      </c>
      <c r="F369" s="3" t="s">
        <v>60</v>
      </c>
      <c r="G369" s="3" t="s">
        <v>61</v>
      </c>
      <c r="H369" s="6" t="s">
        <v>973</v>
      </c>
    </row>
    <row r="370" spans="1:8" ht="22.5" customHeight="1" x14ac:dyDescent="0.25">
      <c r="A370" s="13" t="s">
        <v>975</v>
      </c>
      <c r="B370" s="2" t="s">
        <v>390</v>
      </c>
      <c r="C370" s="2" t="s">
        <v>976</v>
      </c>
      <c r="D370" s="2" t="s">
        <v>392</v>
      </c>
      <c r="E370" s="2">
        <v>35.367600000000003</v>
      </c>
      <c r="F370" s="2" t="s">
        <v>60</v>
      </c>
      <c r="G370" s="2" t="s">
        <v>61</v>
      </c>
      <c r="H370" s="6" t="s">
        <v>975</v>
      </c>
    </row>
    <row r="371" spans="1:8" ht="22.5" customHeight="1" x14ac:dyDescent="0.25">
      <c r="A371" s="14" t="s">
        <v>977</v>
      </c>
      <c r="B371" s="3" t="s">
        <v>390</v>
      </c>
      <c r="C371" s="3" t="s">
        <v>978</v>
      </c>
      <c r="D371" s="3" t="s">
        <v>392</v>
      </c>
      <c r="E371" s="3">
        <v>35.367600000000003</v>
      </c>
      <c r="F371" s="3" t="s">
        <v>60</v>
      </c>
      <c r="G371" s="3" t="s">
        <v>61</v>
      </c>
      <c r="H371" s="6" t="s">
        <v>977</v>
      </c>
    </row>
    <row r="372" spans="1:8" ht="22.5" customHeight="1" x14ac:dyDescent="0.25">
      <c r="A372" s="13" t="s">
        <v>979</v>
      </c>
      <c r="B372" s="2" t="s">
        <v>390</v>
      </c>
      <c r="C372" s="2" t="s">
        <v>980</v>
      </c>
      <c r="D372" s="2" t="s">
        <v>392</v>
      </c>
      <c r="E372" s="2">
        <v>35.367600000000003</v>
      </c>
      <c r="F372" s="2" t="s">
        <v>60</v>
      </c>
      <c r="G372" s="2" t="s">
        <v>61</v>
      </c>
      <c r="H372" s="6" t="s">
        <v>979</v>
      </c>
    </row>
    <row r="373" spans="1:8" ht="22.5" customHeight="1" x14ac:dyDescent="0.25">
      <c r="A373" s="14" t="s">
        <v>981</v>
      </c>
      <c r="B373" s="3" t="s">
        <v>400</v>
      </c>
      <c r="C373" s="3" t="s">
        <v>982</v>
      </c>
      <c r="D373" s="3" t="s">
        <v>402</v>
      </c>
      <c r="E373" s="3">
        <v>34.332239999999999</v>
      </c>
      <c r="F373" s="3" t="s">
        <v>60</v>
      </c>
      <c r="G373" s="3" t="s">
        <v>61</v>
      </c>
      <c r="H373" s="6" t="s">
        <v>981</v>
      </c>
    </row>
    <row r="374" spans="1:8" ht="22.5" customHeight="1" x14ac:dyDescent="0.25">
      <c r="A374" s="13" t="s">
        <v>983</v>
      </c>
      <c r="B374" s="2" t="s">
        <v>400</v>
      </c>
      <c r="C374" s="2" t="s">
        <v>984</v>
      </c>
      <c r="D374" s="2" t="s">
        <v>402</v>
      </c>
      <c r="E374" s="2">
        <v>34.332239999999999</v>
      </c>
      <c r="F374" s="2" t="s">
        <v>60</v>
      </c>
      <c r="G374" s="2" t="s">
        <v>61</v>
      </c>
      <c r="H374" s="6" t="s">
        <v>983</v>
      </c>
    </row>
    <row r="375" spans="1:8" ht="22.5" customHeight="1" x14ac:dyDescent="0.25">
      <c r="A375" s="14" t="s">
        <v>985</v>
      </c>
      <c r="B375" s="3" t="s">
        <v>400</v>
      </c>
      <c r="C375" s="3" t="s">
        <v>986</v>
      </c>
      <c r="D375" s="3" t="s">
        <v>402</v>
      </c>
      <c r="E375" s="3">
        <v>34.332239999999999</v>
      </c>
      <c r="F375" s="3" t="s">
        <v>60</v>
      </c>
      <c r="G375" s="3" t="s">
        <v>61</v>
      </c>
      <c r="H375" s="6" t="s">
        <v>985</v>
      </c>
    </row>
    <row r="376" spans="1:8" ht="22.5" customHeight="1" x14ac:dyDescent="0.25">
      <c r="A376" s="13" t="s">
        <v>987</v>
      </c>
      <c r="B376" s="2" t="s">
        <v>400</v>
      </c>
      <c r="C376" s="2" t="s">
        <v>988</v>
      </c>
      <c r="D376" s="2" t="s">
        <v>402</v>
      </c>
      <c r="E376" s="2">
        <v>34.332239999999999</v>
      </c>
      <c r="F376" s="2" t="s">
        <v>60</v>
      </c>
      <c r="G376" s="2" t="s">
        <v>61</v>
      </c>
      <c r="H376" s="6" t="s">
        <v>987</v>
      </c>
    </row>
    <row r="377" spans="1:8" ht="22.5" customHeight="1" x14ac:dyDescent="0.25">
      <c r="A377" s="14" t="s">
        <v>989</v>
      </c>
      <c r="B377" s="3" t="s">
        <v>990</v>
      </c>
      <c r="C377" s="3" t="s">
        <v>991</v>
      </c>
      <c r="D377" s="3" t="s">
        <v>992</v>
      </c>
      <c r="E377" s="3">
        <v>29.755199999999999</v>
      </c>
      <c r="F377" s="3" t="s">
        <v>60</v>
      </c>
      <c r="G377" s="3" t="s">
        <v>61</v>
      </c>
      <c r="H377" s="6" t="s">
        <v>989</v>
      </c>
    </row>
    <row r="378" spans="1:8" ht="33.75" customHeight="1" x14ac:dyDescent="0.25">
      <c r="A378" s="13" t="s">
        <v>993</v>
      </c>
      <c r="B378" s="2" t="s">
        <v>400</v>
      </c>
      <c r="C378" s="2" t="s">
        <v>994</v>
      </c>
      <c r="D378" s="2" t="s">
        <v>402</v>
      </c>
      <c r="E378" s="2">
        <v>34.332239999999999</v>
      </c>
      <c r="F378" s="2" t="s">
        <v>60</v>
      </c>
      <c r="G378" s="2" t="s">
        <v>61</v>
      </c>
      <c r="H378" s="6" t="s">
        <v>993</v>
      </c>
    </row>
    <row r="379" spans="1:8" ht="22.5" customHeight="1" x14ac:dyDescent="0.25">
      <c r="A379" s="14" t="s">
        <v>995</v>
      </c>
      <c r="B379" s="3" t="s">
        <v>588</v>
      </c>
      <c r="C379" s="3" t="s">
        <v>996</v>
      </c>
      <c r="D379" s="3" t="s">
        <v>590</v>
      </c>
      <c r="E379" s="3">
        <v>29.869199999999999</v>
      </c>
      <c r="F379" s="3" t="s">
        <v>60</v>
      </c>
      <c r="G379" s="3" t="s">
        <v>61</v>
      </c>
      <c r="H379" s="6" t="s">
        <v>995</v>
      </c>
    </row>
    <row r="380" spans="1:8" ht="33.75" customHeight="1" x14ac:dyDescent="0.25">
      <c r="A380" s="13" t="s">
        <v>997</v>
      </c>
      <c r="B380" s="2" t="s">
        <v>588</v>
      </c>
      <c r="C380" s="2" t="s">
        <v>998</v>
      </c>
      <c r="D380" s="2" t="s">
        <v>590</v>
      </c>
      <c r="E380" s="2">
        <v>29.869199999999999</v>
      </c>
      <c r="F380" s="2" t="s">
        <v>60</v>
      </c>
      <c r="G380" s="2" t="s">
        <v>61</v>
      </c>
      <c r="H380" s="6" t="s">
        <v>997</v>
      </c>
    </row>
    <row r="381" spans="1:8" ht="22.5" customHeight="1" x14ac:dyDescent="0.25">
      <c r="A381" s="14" t="s">
        <v>999</v>
      </c>
      <c r="B381" s="3" t="s">
        <v>588</v>
      </c>
      <c r="C381" s="3" t="s">
        <v>1000</v>
      </c>
      <c r="D381" s="3" t="s">
        <v>590</v>
      </c>
      <c r="E381" s="3">
        <v>29.869199999999999</v>
      </c>
      <c r="F381" s="3" t="s">
        <v>60</v>
      </c>
      <c r="G381" s="3" t="s">
        <v>61</v>
      </c>
      <c r="H381" s="6" t="s">
        <v>999</v>
      </c>
    </row>
    <row r="382" spans="1:8" ht="22.5" customHeight="1" x14ac:dyDescent="0.25">
      <c r="A382" s="13" t="s">
        <v>1001</v>
      </c>
      <c r="B382" s="2" t="s">
        <v>588</v>
      </c>
      <c r="C382" s="2" t="s">
        <v>1002</v>
      </c>
      <c r="D382" s="2" t="s">
        <v>590</v>
      </c>
      <c r="E382" s="2">
        <v>29.869199999999999</v>
      </c>
      <c r="F382" s="2" t="s">
        <v>60</v>
      </c>
      <c r="G382" s="2" t="s">
        <v>61</v>
      </c>
      <c r="H382" s="6" t="s">
        <v>1001</v>
      </c>
    </row>
    <row r="383" spans="1:8" ht="22.5" customHeight="1" x14ac:dyDescent="0.25">
      <c r="A383" s="14" t="s">
        <v>1003</v>
      </c>
      <c r="B383" s="3" t="s">
        <v>588</v>
      </c>
      <c r="C383" s="3" t="s">
        <v>1004</v>
      </c>
      <c r="D383" s="3" t="s">
        <v>590</v>
      </c>
      <c r="E383" s="3">
        <v>29.869199999999999</v>
      </c>
      <c r="F383" s="3" t="s">
        <v>60</v>
      </c>
      <c r="G383" s="3" t="s">
        <v>61</v>
      </c>
      <c r="H383" s="6" t="s">
        <v>1003</v>
      </c>
    </row>
    <row r="384" spans="1:8" ht="22.5" customHeight="1" x14ac:dyDescent="0.25">
      <c r="A384" s="13" t="s">
        <v>1005</v>
      </c>
      <c r="B384" s="2" t="s">
        <v>418</v>
      </c>
      <c r="C384" s="2" t="s">
        <v>1006</v>
      </c>
      <c r="D384" s="2" t="s">
        <v>420</v>
      </c>
      <c r="E384" s="2">
        <v>30.655200000000001</v>
      </c>
      <c r="F384" s="2" t="s">
        <v>60</v>
      </c>
      <c r="G384" s="2" t="s">
        <v>61</v>
      </c>
      <c r="H384" s="6" t="s">
        <v>1005</v>
      </c>
    </row>
    <row r="385" spans="1:8" ht="22.5" customHeight="1" x14ac:dyDescent="0.25">
      <c r="A385" s="14" t="s">
        <v>1007</v>
      </c>
      <c r="B385" s="3" t="s">
        <v>1008</v>
      </c>
      <c r="C385" s="3" t="s">
        <v>1009</v>
      </c>
      <c r="D385" s="3" t="s">
        <v>1010</v>
      </c>
      <c r="E385" s="3">
        <v>30.4892</v>
      </c>
      <c r="F385" s="3" t="s">
        <v>60</v>
      </c>
      <c r="G385" s="3" t="s">
        <v>61</v>
      </c>
      <c r="H385" s="6" t="s">
        <v>1007</v>
      </c>
    </row>
    <row r="386" spans="1:8" ht="22.5" customHeight="1" x14ac:dyDescent="0.25">
      <c r="A386" s="13" t="s">
        <v>1011</v>
      </c>
      <c r="B386" s="2" t="s">
        <v>1008</v>
      </c>
      <c r="C386" s="2" t="s">
        <v>1012</v>
      </c>
      <c r="D386" s="2" t="s">
        <v>1010</v>
      </c>
      <c r="E386" s="2">
        <v>30.4892</v>
      </c>
      <c r="F386" s="2" t="s">
        <v>60</v>
      </c>
      <c r="G386" s="2" t="s">
        <v>61</v>
      </c>
      <c r="H386" s="6" t="s">
        <v>1011</v>
      </c>
    </row>
    <row r="387" spans="1:8" ht="22.5" customHeight="1" x14ac:dyDescent="0.25">
      <c r="A387" s="14" t="s">
        <v>1013</v>
      </c>
      <c r="B387" s="3" t="s">
        <v>794</v>
      </c>
      <c r="C387" s="3" t="s">
        <v>1014</v>
      </c>
      <c r="D387" s="3" t="s">
        <v>796</v>
      </c>
      <c r="E387" s="3">
        <v>34.151200000000003</v>
      </c>
      <c r="F387" s="3" t="s">
        <v>60</v>
      </c>
      <c r="G387" s="3" t="s">
        <v>61</v>
      </c>
      <c r="H387" s="6" t="s">
        <v>1013</v>
      </c>
    </row>
    <row r="388" spans="1:8" ht="22.5" customHeight="1" x14ac:dyDescent="0.25">
      <c r="A388" s="13" t="s">
        <v>1015</v>
      </c>
      <c r="B388" s="2" t="s">
        <v>794</v>
      </c>
      <c r="C388" s="2" t="s">
        <v>1016</v>
      </c>
      <c r="D388" s="2" t="s">
        <v>796</v>
      </c>
      <c r="E388" s="2">
        <v>34.151200000000003</v>
      </c>
      <c r="F388" s="2" t="s">
        <v>60</v>
      </c>
      <c r="G388" s="2" t="s">
        <v>61</v>
      </c>
      <c r="H388" s="6" t="s">
        <v>1015</v>
      </c>
    </row>
    <row r="389" spans="1:8" ht="22.5" customHeight="1" x14ac:dyDescent="0.25">
      <c r="A389" s="14" t="s">
        <v>1017</v>
      </c>
      <c r="B389" s="3" t="s">
        <v>794</v>
      </c>
      <c r="C389" s="3" t="s">
        <v>1018</v>
      </c>
      <c r="D389" s="3" t="s">
        <v>796</v>
      </c>
      <c r="E389" s="3">
        <v>34.151200000000003</v>
      </c>
      <c r="F389" s="3" t="s">
        <v>60</v>
      </c>
      <c r="G389" s="3" t="s">
        <v>61</v>
      </c>
      <c r="H389" s="6" t="s">
        <v>1017</v>
      </c>
    </row>
    <row r="390" spans="1:8" ht="33.75" customHeight="1" x14ac:dyDescent="0.25">
      <c r="A390" s="13" t="s">
        <v>1019</v>
      </c>
      <c r="B390" s="2" t="s">
        <v>794</v>
      </c>
      <c r="C390" s="2" t="s">
        <v>1020</v>
      </c>
      <c r="D390" s="2" t="s">
        <v>796</v>
      </c>
      <c r="E390" s="2">
        <v>34.151200000000003</v>
      </c>
      <c r="F390" s="2" t="s">
        <v>60</v>
      </c>
      <c r="G390" s="2" t="s">
        <v>61</v>
      </c>
      <c r="H390" s="6" t="s">
        <v>1019</v>
      </c>
    </row>
    <row r="391" spans="1:8" ht="33.75" customHeight="1" x14ac:dyDescent="0.25">
      <c r="A391" s="14" t="s">
        <v>1021</v>
      </c>
      <c r="B391" s="3" t="s">
        <v>794</v>
      </c>
      <c r="C391" s="3" t="s">
        <v>1022</v>
      </c>
      <c r="D391" s="3" t="s">
        <v>796</v>
      </c>
      <c r="E391" s="3">
        <v>34.151200000000003</v>
      </c>
      <c r="F391" s="3" t="s">
        <v>60</v>
      </c>
      <c r="G391" s="3" t="s">
        <v>61</v>
      </c>
      <c r="H391" s="6" t="s">
        <v>1021</v>
      </c>
    </row>
    <row r="392" spans="1:8" ht="33.75" customHeight="1" x14ac:dyDescent="0.25">
      <c r="A392" s="13" t="s">
        <v>1023</v>
      </c>
      <c r="B392" s="2" t="s">
        <v>794</v>
      </c>
      <c r="C392" s="2" t="s">
        <v>1024</v>
      </c>
      <c r="D392" s="2" t="s">
        <v>796</v>
      </c>
      <c r="E392" s="2">
        <v>34.151200000000003</v>
      </c>
      <c r="F392" s="2" t="s">
        <v>60</v>
      </c>
      <c r="G392" s="2" t="s">
        <v>61</v>
      </c>
      <c r="H392" s="6" t="s">
        <v>1023</v>
      </c>
    </row>
    <row r="393" spans="1:8" ht="33.75" customHeight="1" x14ac:dyDescent="0.25">
      <c r="A393" s="14" t="s">
        <v>1025</v>
      </c>
      <c r="B393" s="3" t="s">
        <v>324</v>
      </c>
      <c r="C393" s="3" t="s">
        <v>1026</v>
      </c>
      <c r="D393" s="3" t="s">
        <v>326</v>
      </c>
      <c r="E393" s="3">
        <v>29.719200000000001</v>
      </c>
      <c r="F393" s="3" t="s">
        <v>60</v>
      </c>
      <c r="G393" s="3" t="s">
        <v>61</v>
      </c>
      <c r="H393" s="6" t="s">
        <v>1025</v>
      </c>
    </row>
    <row r="394" spans="1:8" ht="22.5" customHeight="1" x14ac:dyDescent="0.25">
      <c r="A394" s="13" t="s">
        <v>1027</v>
      </c>
      <c r="B394" s="2" t="s">
        <v>324</v>
      </c>
      <c r="C394" s="2" t="s">
        <v>1028</v>
      </c>
      <c r="D394" s="2" t="s">
        <v>326</v>
      </c>
      <c r="E394" s="2">
        <v>29.719200000000001</v>
      </c>
      <c r="F394" s="2" t="s">
        <v>60</v>
      </c>
      <c r="G394" s="2" t="s">
        <v>61</v>
      </c>
      <c r="H394" s="6" t="s">
        <v>1027</v>
      </c>
    </row>
    <row r="395" spans="1:8" ht="22.5" customHeight="1" x14ac:dyDescent="0.25">
      <c r="A395" s="14" t="s">
        <v>1029</v>
      </c>
      <c r="B395" s="3" t="s">
        <v>324</v>
      </c>
      <c r="C395" s="3" t="s">
        <v>1030</v>
      </c>
      <c r="D395" s="3" t="s">
        <v>326</v>
      </c>
      <c r="E395" s="3">
        <v>29.719200000000001</v>
      </c>
      <c r="F395" s="3" t="s">
        <v>60</v>
      </c>
      <c r="G395" s="3" t="s">
        <v>61</v>
      </c>
      <c r="H395" s="6" t="s">
        <v>1029</v>
      </c>
    </row>
    <row r="396" spans="1:8" ht="33.75" customHeight="1" x14ac:dyDescent="0.25">
      <c r="A396" s="13" t="s">
        <v>1031</v>
      </c>
      <c r="B396" s="2" t="s">
        <v>794</v>
      </c>
      <c r="C396" s="2" t="s">
        <v>1032</v>
      </c>
      <c r="D396" s="2" t="s">
        <v>796</v>
      </c>
      <c r="E396" s="2">
        <v>34.151200000000003</v>
      </c>
      <c r="F396" s="2" t="s">
        <v>60</v>
      </c>
      <c r="G396" s="2" t="s">
        <v>61</v>
      </c>
      <c r="H396" s="6" t="s">
        <v>1031</v>
      </c>
    </row>
    <row r="397" spans="1:8" ht="22.5" customHeight="1" x14ac:dyDescent="0.25">
      <c r="A397" s="14" t="s">
        <v>1033</v>
      </c>
      <c r="B397" s="3" t="s">
        <v>324</v>
      </c>
      <c r="C397" s="3" t="s">
        <v>1034</v>
      </c>
      <c r="D397" s="3" t="s">
        <v>326</v>
      </c>
      <c r="E397" s="3">
        <v>29.719200000000001</v>
      </c>
      <c r="F397" s="3" t="s">
        <v>60</v>
      </c>
      <c r="G397" s="3" t="s">
        <v>61</v>
      </c>
      <c r="H397" s="6" t="s">
        <v>1033</v>
      </c>
    </row>
    <row r="398" spans="1:8" ht="22.5" customHeight="1" x14ac:dyDescent="0.25">
      <c r="A398" s="13" t="s">
        <v>1035</v>
      </c>
      <c r="B398" s="2" t="s">
        <v>794</v>
      </c>
      <c r="C398" s="2" t="s">
        <v>1036</v>
      </c>
      <c r="D398" s="2" t="s">
        <v>796</v>
      </c>
      <c r="E398" s="2">
        <v>34.151200000000003</v>
      </c>
      <c r="F398" s="2" t="s">
        <v>60</v>
      </c>
      <c r="G398" s="2" t="s">
        <v>61</v>
      </c>
      <c r="H398" s="6" t="s">
        <v>1035</v>
      </c>
    </row>
    <row r="399" spans="1:8" ht="22.5" customHeight="1" x14ac:dyDescent="0.25">
      <c r="A399" s="14" t="s">
        <v>1037</v>
      </c>
      <c r="B399" s="3" t="s">
        <v>324</v>
      </c>
      <c r="C399" s="3" t="s">
        <v>1038</v>
      </c>
      <c r="D399" s="3" t="s">
        <v>326</v>
      </c>
      <c r="E399" s="3">
        <v>29.719200000000001</v>
      </c>
      <c r="F399" s="3" t="s">
        <v>60</v>
      </c>
      <c r="G399" s="3" t="s">
        <v>61</v>
      </c>
      <c r="H399" s="6" t="s">
        <v>1037</v>
      </c>
    </row>
    <row r="400" spans="1:8" ht="22.5" customHeight="1" x14ac:dyDescent="0.25">
      <c r="A400" s="13" t="s">
        <v>1039</v>
      </c>
      <c r="B400" s="2" t="s">
        <v>794</v>
      </c>
      <c r="C400" s="2" t="s">
        <v>1040</v>
      </c>
      <c r="D400" s="2" t="s">
        <v>796</v>
      </c>
      <c r="E400" s="2">
        <v>34.151200000000003</v>
      </c>
      <c r="F400" s="2" t="s">
        <v>60</v>
      </c>
      <c r="G400" s="2" t="s">
        <v>61</v>
      </c>
      <c r="H400" s="6" t="s">
        <v>1039</v>
      </c>
    </row>
    <row r="401" spans="1:8" ht="22.5" customHeight="1" x14ac:dyDescent="0.25">
      <c r="A401" s="14" t="s">
        <v>1041</v>
      </c>
      <c r="B401" s="3" t="s">
        <v>324</v>
      </c>
      <c r="C401" s="3" t="s">
        <v>1042</v>
      </c>
      <c r="D401" s="3" t="s">
        <v>326</v>
      </c>
      <c r="E401" s="3">
        <v>29.719200000000001</v>
      </c>
      <c r="F401" s="3" t="s">
        <v>60</v>
      </c>
      <c r="G401" s="3" t="s">
        <v>61</v>
      </c>
      <c r="H401" s="6" t="s">
        <v>1041</v>
      </c>
    </row>
    <row r="402" spans="1:8" ht="33.75" customHeight="1" x14ac:dyDescent="0.25">
      <c r="A402" s="13" t="s">
        <v>1043</v>
      </c>
      <c r="B402" s="2" t="s">
        <v>794</v>
      </c>
      <c r="C402" s="2" t="s">
        <v>1044</v>
      </c>
      <c r="D402" s="2" t="s">
        <v>796</v>
      </c>
      <c r="E402" s="2">
        <v>34.151200000000003</v>
      </c>
      <c r="F402" s="2" t="s">
        <v>60</v>
      </c>
      <c r="G402" s="2" t="s">
        <v>61</v>
      </c>
      <c r="H402" s="6" t="s">
        <v>1043</v>
      </c>
    </row>
    <row r="403" spans="1:8" ht="22.5" customHeight="1" x14ac:dyDescent="0.25">
      <c r="A403" s="14" t="s">
        <v>1045</v>
      </c>
      <c r="B403" s="3" t="s">
        <v>794</v>
      </c>
      <c r="C403" s="3" t="s">
        <v>1046</v>
      </c>
      <c r="D403" s="3" t="s">
        <v>796</v>
      </c>
      <c r="E403" s="3">
        <v>34.151200000000003</v>
      </c>
      <c r="F403" s="3" t="s">
        <v>60</v>
      </c>
      <c r="G403" s="3" t="s">
        <v>61</v>
      </c>
      <c r="H403" s="6" t="s">
        <v>1045</v>
      </c>
    </row>
    <row r="404" spans="1:8" ht="22.5" customHeight="1" x14ac:dyDescent="0.25">
      <c r="A404" s="13" t="s">
        <v>1047</v>
      </c>
      <c r="B404" s="2" t="s">
        <v>794</v>
      </c>
      <c r="C404" s="2" t="s">
        <v>1048</v>
      </c>
      <c r="D404" s="2" t="s">
        <v>796</v>
      </c>
      <c r="E404" s="2">
        <v>34.151200000000003</v>
      </c>
      <c r="F404" s="2" t="s">
        <v>60</v>
      </c>
      <c r="G404" s="2" t="s">
        <v>61</v>
      </c>
      <c r="H404" s="6" t="s">
        <v>1047</v>
      </c>
    </row>
    <row r="405" spans="1:8" ht="22.5" customHeight="1" x14ac:dyDescent="0.25">
      <c r="A405" s="14" t="s">
        <v>1049</v>
      </c>
      <c r="B405" s="3" t="s">
        <v>794</v>
      </c>
      <c r="C405" s="3" t="s">
        <v>1050</v>
      </c>
      <c r="D405" s="3" t="s">
        <v>796</v>
      </c>
      <c r="E405" s="3">
        <v>34.151200000000003</v>
      </c>
      <c r="F405" s="3" t="s">
        <v>60</v>
      </c>
      <c r="G405" s="3" t="s">
        <v>61</v>
      </c>
      <c r="H405" s="6" t="s">
        <v>1049</v>
      </c>
    </row>
    <row r="406" spans="1:8" ht="22.5" customHeight="1" x14ac:dyDescent="0.25">
      <c r="A406" s="13" t="s">
        <v>1051</v>
      </c>
      <c r="B406" s="2" t="s">
        <v>794</v>
      </c>
      <c r="C406" s="2" t="s">
        <v>1052</v>
      </c>
      <c r="D406" s="2" t="s">
        <v>796</v>
      </c>
      <c r="E406" s="2">
        <v>34.151200000000003</v>
      </c>
      <c r="F406" s="2" t="s">
        <v>60</v>
      </c>
      <c r="G406" s="2" t="s">
        <v>61</v>
      </c>
      <c r="H406" s="6" t="s">
        <v>1051</v>
      </c>
    </row>
    <row r="407" spans="1:8" ht="22.5" customHeight="1" x14ac:dyDescent="0.25">
      <c r="A407" s="14" t="s">
        <v>1053</v>
      </c>
      <c r="B407" s="3" t="s">
        <v>386</v>
      </c>
      <c r="C407" s="3" t="s">
        <v>1054</v>
      </c>
      <c r="D407" s="3" t="s">
        <v>388</v>
      </c>
      <c r="E407" s="3">
        <v>33.783799999999999</v>
      </c>
      <c r="F407" s="3" t="s">
        <v>60</v>
      </c>
      <c r="G407" s="3" t="s">
        <v>61</v>
      </c>
      <c r="H407" s="6" t="s">
        <v>1053</v>
      </c>
    </row>
    <row r="408" spans="1:8" ht="22.5" customHeight="1" x14ac:dyDescent="0.25">
      <c r="A408" s="13" t="s">
        <v>1055</v>
      </c>
      <c r="B408" s="2" t="s">
        <v>386</v>
      </c>
      <c r="C408" s="2" t="s">
        <v>1056</v>
      </c>
      <c r="D408" s="2" t="s">
        <v>388</v>
      </c>
      <c r="E408" s="2">
        <v>33.783799999999999</v>
      </c>
      <c r="F408" s="2" t="s">
        <v>60</v>
      </c>
      <c r="G408" s="2" t="s">
        <v>61</v>
      </c>
      <c r="H408" s="6" t="s">
        <v>1055</v>
      </c>
    </row>
    <row r="409" spans="1:8" ht="22.5" customHeight="1" x14ac:dyDescent="0.25">
      <c r="A409" s="14" t="s">
        <v>1057</v>
      </c>
      <c r="B409" s="3" t="s">
        <v>386</v>
      </c>
      <c r="C409" s="3" t="s">
        <v>1058</v>
      </c>
      <c r="D409" s="3" t="s">
        <v>388</v>
      </c>
      <c r="E409" s="3">
        <v>33.783799999999999</v>
      </c>
      <c r="F409" s="3" t="s">
        <v>60</v>
      </c>
      <c r="G409" s="3" t="s">
        <v>61</v>
      </c>
      <c r="H409" s="6" t="s">
        <v>1057</v>
      </c>
    </row>
    <row r="410" spans="1:8" ht="22.5" customHeight="1" x14ac:dyDescent="0.25">
      <c r="A410" s="13" t="s">
        <v>1059</v>
      </c>
      <c r="B410" s="2" t="s">
        <v>386</v>
      </c>
      <c r="C410" s="2" t="s">
        <v>1060</v>
      </c>
      <c r="D410" s="2" t="s">
        <v>388</v>
      </c>
      <c r="E410" s="2">
        <v>33.783799999999999</v>
      </c>
      <c r="F410" s="2" t="s">
        <v>60</v>
      </c>
      <c r="G410" s="2" t="s">
        <v>61</v>
      </c>
      <c r="H410" s="6" t="s">
        <v>1059</v>
      </c>
    </row>
    <row r="411" spans="1:8" ht="22.5" customHeight="1" x14ac:dyDescent="0.25">
      <c r="A411" s="14" t="s">
        <v>1061</v>
      </c>
      <c r="B411" s="3" t="s">
        <v>1062</v>
      </c>
      <c r="C411" s="3" t="s">
        <v>1063</v>
      </c>
      <c r="D411" s="3" t="s">
        <v>1064</v>
      </c>
      <c r="E411" s="3">
        <v>47.728400000000001</v>
      </c>
      <c r="F411" s="3" t="s">
        <v>60</v>
      </c>
      <c r="G411" s="3" t="s">
        <v>61</v>
      </c>
      <c r="H411" s="6" t="s">
        <v>1061</v>
      </c>
    </row>
    <row r="412" spans="1:8" ht="22.5" customHeight="1" x14ac:dyDescent="0.25">
      <c r="A412" s="13" t="s">
        <v>1065</v>
      </c>
      <c r="B412" s="2" t="s">
        <v>386</v>
      </c>
      <c r="C412" s="2" t="s">
        <v>1066</v>
      </c>
      <c r="D412" s="2" t="s">
        <v>388</v>
      </c>
      <c r="E412" s="2">
        <v>33.783799999999999</v>
      </c>
      <c r="F412" s="2" t="s">
        <v>60</v>
      </c>
      <c r="G412" s="2" t="s">
        <v>61</v>
      </c>
      <c r="H412" s="6" t="s">
        <v>1065</v>
      </c>
    </row>
    <row r="413" spans="1:8" ht="22.5" customHeight="1" x14ac:dyDescent="0.25">
      <c r="A413" s="14" t="s">
        <v>1067</v>
      </c>
      <c r="B413" s="3" t="s">
        <v>386</v>
      </c>
      <c r="C413" s="3" t="s">
        <v>1068</v>
      </c>
      <c r="D413" s="3" t="s">
        <v>388</v>
      </c>
      <c r="E413" s="3">
        <v>33.783799999999999</v>
      </c>
      <c r="F413" s="3" t="s">
        <v>60</v>
      </c>
      <c r="G413" s="3" t="s">
        <v>61</v>
      </c>
      <c r="H413" s="6" t="s">
        <v>1067</v>
      </c>
    </row>
    <row r="414" spans="1:8" ht="22.5" customHeight="1" x14ac:dyDescent="0.25">
      <c r="A414" s="13" t="s">
        <v>1069</v>
      </c>
      <c r="B414" s="2" t="s">
        <v>386</v>
      </c>
      <c r="C414" s="2" t="s">
        <v>1070</v>
      </c>
      <c r="D414" s="2" t="s">
        <v>388</v>
      </c>
      <c r="E414" s="2">
        <v>33.783799999999999</v>
      </c>
      <c r="F414" s="2" t="s">
        <v>60</v>
      </c>
      <c r="G414" s="2" t="s">
        <v>61</v>
      </c>
      <c r="H414" s="6" t="s">
        <v>1069</v>
      </c>
    </row>
    <row r="415" spans="1:8" ht="22.5" customHeight="1" x14ac:dyDescent="0.25">
      <c r="A415" s="14" t="s">
        <v>1071</v>
      </c>
      <c r="B415" s="3" t="s">
        <v>386</v>
      </c>
      <c r="C415" s="3" t="s">
        <v>1072</v>
      </c>
      <c r="D415" s="3" t="s">
        <v>388</v>
      </c>
      <c r="E415" s="3">
        <v>33.783799999999999</v>
      </c>
      <c r="F415" s="3" t="s">
        <v>60</v>
      </c>
      <c r="G415" s="3" t="s">
        <v>61</v>
      </c>
      <c r="H415" s="6" t="s">
        <v>1071</v>
      </c>
    </row>
    <row r="416" spans="1:8" ht="22.5" customHeight="1" x14ac:dyDescent="0.25">
      <c r="A416" s="13" t="s">
        <v>1073</v>
      </c>
      <c r="B416" s="2" t="s">
        <v>386</v>
      </c>
      <c r="C416" s="2" t="s">
        <v>1074</v>
      </c>
      <c r="D416" s="2" t="s">
        <v>388</v>
      </c>
      <c r="E416" s="2">
        <v>33.783799999999999</v>
      </c>
      <c r="F416" s="2" t="s">
        <v>60</v>
      </c>
      <c r="G416" s="2" t="s">
        <v>61</v>
      </c>
      <c r="H416" s="6" t="s">
        <v>1073</v>
      </c>
    </row>
    <row r="417" spans="1:8" ht="22.5" customHeight="1" x14ac:dyDescent="0.25">
      <c r="A417" s="14" t="s">
        <v>1075</v>
      </c>
      <c r="B417" s="3" t="s">
        <v>386</v>
      </c>
      <c r="C417" s="3" t="s">
        <v>1076</v>
      </c>
      <c r="D417" s="3" t="s">
        <v>388</v>
      </c>
      <c r="E417" s="3">
        <v>33.783799999999999</v>
      </c>
      <c r="F417" s="3" t="s">
        <v>60</v>
      </c>
      <c r="G417" s="3" t="s">
        <v>61</v>
      </c>
      <c r="H417" s="6" t="s">
        <v>1075</v>
      </c>
    </row>
    <row r="418" spans="1:8" ht="33.75" customHeight="1" x14ac:dyDescent="0.25">
      <c r="A418" s="13" t="s">
        <v>1077</v>
      </c>
      <c r="B418" s="2" t="s">
        <v>386</v>
      </c>
      <c r="C418" s="2" t="s">
        <v>1078</v>
      </c>
      <c r="D418" s="2" t="s">
        <v>388</v>
      </c>
      <c r="E418" s="2">
        <v>33.783799999999999</v>
      </c>
      <c r="F418" s="2" t="s">
        <v>60</v>
      </c>
      <c r="G418" s="2" t="s">
        <v>61</v>
      </c>
      <c r="H418" s="6" t="s">
        <v>1077</v>
      </c>
    </row>
    <row r="419" spans="1:8" ht="33.75" customHeight="1" x14ac:dyDescent="0.25">
      <c r="A419" s="14" t="s">
        <v>1079</v>
      </c>
      <c r="B419" s="3" t="s">
        <v>386</v>
      </c>
      <c r="C419" s="3" t="s">
        <v>1080</v>
      </c>
      <c r="D419" s="3" t="s">
        <v>388</v>
      </c>
      <c r="E419" s="3">
        <v>33.783799999999999</v>
      </c>
      <c r="F419" s="3" t="s">
        <v>60</v>
      </c>
      <c r="G419" s="3" t="s">
        <v>61</v>
      </c>
      <c r="H419" s="6" t="s">
        <v>1079</v>
      </c>
    </row>
    <row r="420" spans="1:8" ht="22.5" customHeight="1" x14ac:dyDescent="0.25">
      <c r="A420" s="13" t="s">
        <v>1081</v>
      </c>
      <c r="B420" s="2" t="s">
        <v>386</v>
      </c>
      <c r="C420" s="2" t="s">
        <v>1082</v>
      </c>
      <c r="D420" s="2" t="s">
        <v>388</v>
      </c>
      <c r="E420" s="2">
        <v>33.783799999999999</v>
      </c>
      <c r="F420" s="2" t="s">
        <v>60</v>
      </c>
      <c r="G420" s="2" t="s">
        <v>61</v>
      </c>
      <c r="H420" s="6" t="s">
        <v>1081</v>
      </c>
    </row>
    <row r="421" spans="1:8" ht="22.5" customHeight="1" x14ac:dyDescent="0.25">
      <c r="A421" s="14" t="s">
        <v>1083</v>
      </c>
      <c r="B421" s="3" t="s">
        <v>1084</v>
      </c>
      <c r="C421" s="3" t="s">
        <v>1085</v>
      </c>
      <c r="D421" s="3" t="s">
        <v>1086</v>
      </c>
      <c r="E421" s="3">
        <v>47.458399999999997</v>
      </c>
      <c r="F421" s="3" t="s">
        <v>60</v>
      </c>
      <c r="G421" s="3" t="s">
        <v>61</v>
      </c>
      <c r="H421" s="6" t="s">
        <v>1083</v>
      </c>
    </row>
    <row r="422" spans="1:8" ht="22.5" customHeight="1" x14ac:dyDescent="0.25">
      <c r="A422" s="13" t="s">
        <v>1087</v>
      </c>
      <c r="B422" s="2" t="s">
        <v>1084</v>
      </c>
      <c r="C422" s="2" t="s">
        <v>1088</v>
      </c>
      <c r="D422" s="2" t="s">
        <v>1086</v>
      </c>
      <c r="E422" s="2">
        <v>47.458399999999997</v>
      </c>
      <c r="F422" s="2" t="s">
        <v>60</v>
      </c>
      <c r="G422" s="2" t="s">
        <v>61</v>
      </c>
      <c r="H422" s="6" t="s">
        <v>1087</v>
      </c>
    </row>
    <row r="423" spans="1:8" ht="22.5" customHeight="1" x14ac:dyDescent="0.25">
      <c r="A423" s="14" t="s">
        <v>1089</v>
      </c>
      <c r="B423" s="3" t="s">
        <v>386</v>
      </c>
      <c r="C423" s="3" t="s">
        <v>1090</v>
      </c>
      <c r="D423" s="3" t="s">
        <v>388</v>
      </c>
      <c r="E423" s="3">
        <v>33.783799999999999</v>
      </c>
      <c r="F423" s="3" t="s">
        <v>60</v>
      </c>
      <c r="G423" s="3" t="s">
        <v>61</v>
      </c>
      <c r="H423" s="6" t="s">
        <v>1089</v>
      </c>
    </row>
    <row r="424" spans="1:8" ht="22.5" customHeight="1" x14ac:dyDescent="0.25">
      <c r="A424" s="13" t="s">
        <v>1091</v>
      </c>
      <c r="B424" s="2" t="s">
        <v>1084</v>
      </c>
      <c r="C424" s="2" t="s">
        <v>1092</v>
      </c>
      <c r="D424" s="2" t="s">
        <v>1086</v>
      </c>
      <c r="E424" s="2">
        <v>47.458399999999997</v>
      </c>
      <c r="F424" s="2" t="s">
        <v>60</v>
      </c>
      <c r="G424" s="2" t="s">
        <v>61</v>
      </c>
      <c r="H424" s="6" t="s">
        <v>1091</v>
      </c>
    </row>
    <row r="425" spans="1:8" ht="22.5" customHeight="1" x14ac:dyDescent="0.25">
      <c r="A425" s="14" t="s">
        <v>1093</v>
      </c>
      <c r="B425" s="3" t="s">
        <v>1084</v>
      </c>
      <c r="C425" s="3" t="s">
        <v>1094</v>
      </c>
      <c r="D425" s="3" t="s">
        <v>1086</v>
      </c>
      <c r="E425" s="3">
        <v>47.458399999999997</v>
      </c>
      <c r="F425" s="3" t="s">
        <v>60</v>
      </c>
      <c r="G425" s="3" t="s">
        <v>61</v>
      </c>
      <c r="H425" s="6" t="s">
        <v>1093</v>
      </c>
    </row>
    <row r="426" spans="1:8" ht="22.5" customHeight="1" x14ac:dyDescent="0.25">
      <c r="A426" s="13" t="s">
        <v>1095</v>
      </c>
      <c r="B426" s="2" t="s">
        <v>1096</v>
      </c>
      <c r="C426" s="2" t="s">
        <v>1097</v>
      </c>
      <c r="D426" s="2" t="s">
        <v>1098</v>
      </c>
      <c r="E426" s="2">
        <v>47.038400000000003</v>
      </c>
      <c r="F426" s="2" t="s">
        <v>60</v>
      </c>
      <c r="G426" s="2" t="s">
        <v>61</v>
      </c>
      <c r="H426" s="6" t="s">
        <v>1095</v>
      </c>
    </row>
    <row r="427" spans="1:8" ht="22.5" customHeight="1" x14ac:dyDescent="0.25">
      <c r="A427" s="14" t="s">
        <v>1099</v>
      </c>
      <c r="B427" s="3" t="s">
        <v>1096</v>
      </c>
      <c r="C427" s="3" t="s">
        <v>1100</v>
      </c>
      <c r="D427" s="3" t="s">
        <v>1098</v>
      </c>
      <c r="E427" s="3">
        <v>47.038400000000003</v>
      </c>
      <c r="F427" s="3" t="s">
        <v>60</v>
      </c>
      <c r="G427" s="3" t="s">
        <v>61</v>
      </c>
      <c r="H427" s="6" t="s">
        <v>1099</v>
      </c>
    </row>
    <row r="428" spans="1:8" ht="33.75" customHeight="1" x14ac:dyDescent="0.25">
      <c r="A428" s="13" t="s">
        <v>1101</v>
      </c>
      <c r="B428" s="2" t="s">
        <v>386</v>
      </c>
      <c r="C428" s="2" t="s">
        <v>1102</v>
      </c>
      <c r="D428" s="2" t="s">
        <v>388</v>
      </c>
      <c r="E428" s="2">
        <v>33.783799999999999</v>
      </c>
      <c r="F428" s="2" t="s">
        <v>60</v>
      </c>
      <c r="G428" s="2" t="s">
        <v>61</v>
      </c>
      <c r="H428" s="6" t="s">
        <v>1101</v>
      </c>
    </row>
    <row r="429" spans="1:8" ht="22.5" customHeight="1" x14ac:dyDescent="0.25">
      <c r="A429" s="14" t="s">
        <v>1103</v>
      </c>
      <c r="B429" s="3" t="s">
        <v>386</v>
      </c>
      <c r="C429" s="3" t="s">
        <v>1104</v>
      </c>
      <c r="D429" s="3" t="s">
        <v>388</v>
      </c>
      <c r="E429" s="3">
        <v>33.783799999999999</v>
      </c>
      <c r="F429" s="3" t="s">
        <v>60</v>
      </c>
      <c r="G429" s="3" t="s">
        <v>61</v>
      </c>
      <c r="H429" s="6" t="s">
        <v>1103</v>
      </c>
    </row>
    <row r="430" spans="1:8" ht="22.5" customHeight="1" x14ac:dyDescent="0.25">
      <c r="A430" s="13" t="s">
        <v>1105</v>
      </c>
      <c r="B430" s="2" t="s">
        <v>1096</v>
      </c>
      <c r="C430" s="2" t="s">
        <v>1106</v>
      </c>
      <c r="D430" s="2" t="s">
        <v>1098</v>
      </c>
      <c r="E430" s="2">
        <v>47.038400000000003</v>
      </c>
      <c r="F430" s="2" t="s">
        <v>60</v>
      </c>
      <c r="G430" s="2" t="s">
        <v>61</v>
      </c>
      <c r="H430" s="6" t="s">
        <v>1105</v>
      </c>
    </row>
    <row r="431" spans="1:8" ht="22.5" customHeight="1" x14ac:dyDescent="0.25">
      <c r="A431" s="14" t="s">
        <v>1107</v>
      </c>
      <c r="B431" s="3" t="s">
        <v>1062</v>
      </c>
      <c r="C431" s="3" t="s">
        <v>1108</v>
      </c>
      <c r="D431" s="3" t="s">
        <v>1064</v>
      </c>
      <c r="E431" s="3">
        <v>47.728400000000001</v>
      </c>
      <c r="F431" s="3" t="s">
        <v>60</v>
      </c>
      <c r="G431" s="3" t="s">
        <v>61</v>
      </c>
      <c r="H431" s="6" t="s">
        <v>1107</v>
      </c>
    </row>
    <row r="432" spans="1:8" ht="22.5" customHeight="1" x14ac:dyDescent="0.25">
      <c r="A432" s="13" t="s">
        <v>1109</v>
      </c>
      <c r="B432" s="2" t="s">
        <v>1062</v>
      </c>
      <c r="C432" s="2" t="s">
        <v>1110</v>
      </c>
      <c r="D432" s="2" t="s">
        <v>1064</v>
      </c>
      <c r="E432" s="2">
        <v>47.728400000000001</v>
      </c>
      <c r="F432" s="2" t="s">
        <v>60</v>
      </c>
      <c r="G432" s="2" t="s">
        <v>61</v>
      </c>
      <c r="H432" s="6" t="s">
        <v>1109</v>
      </c>
    </row>
    <row r="433" spans="1:8" ht="33.75" customHeight="1" x14ac:dyDescent="0.25">
      <c r="A433" s="14" t="s">
        <v>1111</v>
      </c>
      <c r="B433" s="3" t="s">
        <v>386</v>
      </c>
      <c r="C433" s="3" t="s">
        <v>1112</v>
      </c>
      <c r="D433" s="3" t="s">
        <v>388</v>
      </c>
      <c r="E433" s="3">
        <v>33.783799999999999</v>
      </c>
      <c r="F433" s="3" t="s">
        <v>60</v>
      </c>
      <c r="G433" s="3" t="s">
        <v>61</v>
      </c>
      <c r="H433" s="6" t="s">
        <v>1111</v>
      </c>
    </row>
    <row r="434" spans="1:8" ht="22.5" customHeight="1" x14ac:dyDescent="0.25">
      <c r="A434" s="13" t="s">
        <v>1113</v>
      </c>
      <c r="B434" s="2" t="s">
        <v>386</v>
      </c>
      <c r="C434" s="2" t="s">
        <v>1114</v>
      </c>
      <c r="D434" s="2" t="s">
        <v>388</v>
      </c>
      <c r="E434" s="2">
        <v>33.783799999999999</v>
      </c>
      <c r="F434" s="2" t="s">
        <v>60</v>
      </c>
      <c r="G434" s="2" t="s">
        <v>61</v>
      </c>
      <c r="H434" s="6" t="s">
        <v>1113</v>
      </c>
    </row>
    <row r="435" spans="1:8" ht="22.5" customHeight="1" x14ac:dyDescent="0.25">
      <c r="A435" s="14" t="s">
        <v>1115</v>
      </c>
      <c r="B435" s="3" t="s">
        <v>386</v>
      </c>
      <c r="C435" s="3" t="s">
        <v>1116</v>
      </c>
      <c r="D435" s="3" t="s">
        <v>388</v>
      </c>
      <c r="E435" s="3">
        <v>33.783799999999999</v>
      </c>
      <c r="F435" s="3" t="s">
        <v>60</v>
      </c>
      <c r="G435" s="3" t="s">
        <v>61</v>
      </c>
      <c r="H435" s="6" t="s">
        <v>1115</v>
      </c>
    </row>
    <row r="436" spans="1:8" ht="22.5" customHeight="1" x14ac:dyDescent="0.25">
      <c r="A436" s="13" t="s">
        <v>1117</v>
      </c>
      <c r="B436" s="2" t="s">
        <v>386</v>
      </c>
      <c r="C436" s="2" t="s">
        <v>1118</v>
      </c>
      <c r="D436" s="2" t="s">
        <v>388</v>
      </c>
      <c r="E436" s="2">
        <v>33.783799999999999</v>
      </c>
      <c r="F436" s="2" t="s">
        <v>60</v>
      </c>
      <c r="G436" s="2" t="s">
        <v>61</v>
      </c>
      <c r="H436" s="6" t="s">
        <v>1117</v>
      </c>
    </row>
    <row r="437" spans="1:8" ht="22.5" customHeight="1" x14ac:dyDescent="0.25">
      <c r="A437" s="14" t="s">
        <v>1119</v>
      </c>
      <c r="B437" s="3" t="s">
        <v>386</v>
      </c>
      <c r="C437" s="3" t="s">
        <v>1120</v>
      </c>
      <c r="D437" s="3" t="s">
        <v>388</v>
      </c>
      <c r="E437" s="3">
        <v>33.783799999999999</v>
      </c>
      <c r="F437" s="3" t="s">
        <v>60</v>
      </c>
      <c r="G437" s="3" t="s">
        <v>61</v>
      </c>
      <c r="H437" s="6" t="s">
        <v>1119</v>
      </c>
    </row>
    <row r="438" spans="1:8" ht="33.75" customHeight="1" x14ac:dyDescent="0.25">
      <c r="A438" s="13" t="s">
        <v>1121</v>
      </c>
      <c r="B438" s="2" t="s">
        <v>386</v>
      </c>
      <c r="C438" s="2" t="s">
        <v>1122</v>
      </c>
      <c r="D438" s="2" t="s">
        <v>388</v>
      </c>
      <c r="E438" s="2">
        <v>33.783799999999999</v>
      </c>
      <c r="F438" s="2" t="s">
        <v>60</v>
      </c>
      <c r="G438" s="2" t="s">
        <v>61</v>
      </c>
      <c r="H438" s="6" t="s">
        <v>1121</v>
      </c>
    </row>
    <row r="439" spans="1:8" ht="22.5" customHeight="1" x14ac:dyDescent="0.25">
      <c r="A439" s="14" t="s">
        <v>1123</v>
      </c>
      <c r="B439" s="3" t="s">
        <v>324</v>
      </c>
      <c r="C439" s="3" t="s">
        <v>1124</v>
      </c>
      <c r="D439" s="3" t="s">
        <v>326</v>
      </c>
      <c r="E439" s="3">
        <v>29.719200000000001</v>
      </c>
      <c r="F439" s="3" t="s">
        <v>60</v>
      </c>
      <c r="G439" s="3" t="s">
        <v>61</v>
      </c>
      <c r="H439" s="6" t="s">
        <v>1123</v>
      </c>
    </row>
    <row r="440" spans="1:8" ht="22.5" customHeight="1" x14ac:dyDescent="0.25">
      <c r="A440" s="13" t="s">
        <v>1125</v>
      </c>
      <c r="B440" s="2" t="s">
        <v>324</v>
      </c>
      <c r="C440" s="2" t="s">
        <v>1028</v>
      </c>
      <c r="D440" s="2" t="s">
        <v>326</v>
      </c>
      <c r="E440" s="2">
        <v>29.719200000000001</v>
      </c>
      <c r="F440" s="2" t="s">
        <v>60</v>
      </c>
      <c r="G440" s="2" t="s">
        <v>61</v>
      </c>
      <c r="H440" s="6" t="s">
        <v>1125</v>
      </c>
    </row>
    <row r="441" spans="1:8" ht="22.5" customHeight="1" x14ac:dyDescent="0.25">
      <c r="A441" s="14" t="s">
        <v>1126</v>
      </c>
      <c r="B441" s="3" t="s">
        <v>324</v>
      </c>
      <c r="C441" s="3" t="s">
        <v>1127</v>
      </c>
      <c r="D441" s="3" t="s">
        <v>326</v>
      </c>
      <c r="E441" s="3">
        <v>29.719200000000001</v>
      </c>
      <c r="F441" s="3" t="s">
        <v>60</v>
      </c>
      <c r="G441" s="3" t="s">
        <v>61</v>
      </c>
      <c r="H441" s="6" t="s">
        <v>1126</v>
      </c>
    </row>
    <row r="442" spans="1:8" ht="22.5" customHeight="1" x14ac:dyDescent="0.25">
      <c r="A442" s="13" t="s">
        <v>1128</v>
      </c>
      <c r="B442" s="2" t="s">
        <v>324</v>
      </c>
      <c r="C442" s="2" t="s">
        <v>1129</v>
      </c>
      <c r="D442" s="2" t="s">
        <v>326</v>
      </c>
      <c r="E442" s="2">
        <v>29.719200000000001</v>
      </c>
      <c r="F442" s="2" t="s">
        <v>60</v>
      </c>
      <c r="G442" s="2" t="s">
        <v>61</v>
      </c>
      <c r="H442" s="6" t="s">
        <v>1128</v>
      </c>
    </row>
    <row r="443" spans="1:8" ht="33.75" customHeight="1" x14ac:dyDescent="0.25">
      <c r="A443" s="14" t="s">
        <v>1130</v>
      </c>
      <c r="B443" s="3" t="s">
        <v>324</v>
      </c>
      <c r="C443" s="3" t="s">
        <v>1131</v>
      </c>
      <c r="D443" s="3" t="s">
        <v>326</v>
      </c>
      <c r="E443" s="3">
        <v>29.719200000000001</v>
      </c>
      <c r="F443" s="3" t="s">
        <v>60</v>
      </c>
      <c r="G443" s="3" t="s">
        <v>61</v>
      </c>
      <c r="H443" s="6" t="s">
        <v>1130</v>
      </c>
    </row>
    <row r="444" spans="1:8" ht="22.5" customHeight="1" x14ac:dyDescent="0.25">
      <c r="A444" s="13" t="s">
        <v>1132</v>
      </c>
      <c r="B444" s="2" t="s">
        <v>324</v>
      </c>
      <c r="C444" s="2" t="s">
        <v>1133</v>
      </c>
      <c r="D444" s="2" t="s">
        <v>326</v>
      </c>
      <c r="E444" s="2">
        <v>29.719200000000001</v>
      </c>
      <c r="F444" s="2" t="s">
        <v>60</v>
      </c>
      <c r="G444" s="2" t="s">
        <v>61</v>
      </c>
      <c r="H444" s="6" t="s">
        <v>1132</v>
      </c>
    </row>
    <row r="445" spans="1:8" ht="33.75" customHeight="1" x14ac:dyDescent="0.25">
      <c r="A445" s="14" t="s">
        <v>1134</v>
      </c>
      <c r="B445" s="3" t="s">
        <v>324</v>
      </c>
      <c r="C445" s="3" t="s">
        <v>1135</v>
      </c>
      <c r="D445" s="3" t="s">
        <v>326</v>
      </c>
      <c r="E445" s="3">
        <v>29.719200000000001</v>
      </c>
      <c r="F445" s="3" t="s">
        <v>60</v>
      </c>
      <c r="G445" s="3" t="s">
        <v>61</v>
      </c>
      <c r="H445" s="6" t="s">
        <v>1134</v>
      </c>
    </row>
    <row r="446" spans="1:8" ht="22.5" customHeight="1" x14ac:dyDescent="0.25">
      <c r="A446" s="13" t="s">
        <v>1136</v>
      </c>
      <c r="B446" s="2" t="s">
        <v>324</v>
      </c>
      <c r="C446" s="2" t="s">
        <v>1137</v>
      </c>
      <c r="D446" s="2" t="s">
        <v>326</v>
      </c>
      <c r="E446" s="2">
        <v>29.719200000000001</v>
      </c>
      <c r="F446" s="2" t="s">
        <v>60</v>
      </c>
      <c r="G446" s="2" t="s">
        <v>61</v>
      </c>
      <c r="H446" s="6" t="s">
        <v>1136</v>
      </c>
    </row>
    <row r="447" spans="1:8" ht="33.75" customHeight="1" x14ac:dyDescent="0.25">
      <c r="A447" s="14" t="s">
        <v>1138</v>
      </c>
      <c r="B447" s="3" t="s">
        <v>1139</v>
      </c>
      <c r="C447" s="3" t="s">
        <v>1140</v>
      </c>
      <c r="D447" s="3" t="s">
        <v>1141</v>
      </c>
      <c r="E447" s="3">
        <v>49.136000000000003</v>
      </c>
      <c r="F447" s="3" t="s">
        <v>60</v>
      </c>
      <c r="G447" s="3" t="s">
        <v>61</v>
      </c>
      <c r="H447" s="6" t="s">
        <v>1138</v>
      </c>
    </row>
    <row r="448" spans="1:8" ht="22.5" customHeight="1" x14ac:dyDescent="0.25">
      <c r="A448" s="13" t="s">
        <v>1142</v>
      </c>
      <c r="B448" s="2" t="s">
        <v>324</v>
      </c>
      <c r="C448" s="2" t="s">
        <v>1143</v>
      </c>
      <c r="D448" s="2" t="s">
        <v>326</v>
      </c>
      <c r="E448" s="2">
        <v>29.719200000000001</v>
      </c>
      <c r="F448" s="2" t="s">
        <v>60</v>
      </c>
      <c r="G448" s="2" t="s">
        <v>61</v>
      </c>
      <c r="H448" s="6" t="s">
        <v>1142</v>
      </c>
    </row>
    <row r="449" spans="1:8" ht="22.5" customHeight="1" x14ac:dyDescent="0.25">
      <c r="A449" s="14" t="s">
        <v>1144</v>
      </c>
      <c r="B449" s="3" t="s">
        <v>324</v>
      </c>
      <c r="C449" s="3" t="s">
        <v>1145</v>
      </c>
      <c r="D449" s="3" t="s">
        <v>326</v>
      </c>
      <c r="E449" s="3">
        <v>29.719200000000001</v>
      </c>
      <c r="F449" s="3" t="s">
        <v>60</v>
      </c>
      <c r="G449" s="3" t="s">
        <v>61</v>
      </c>
      <c r="H449" s="6" t="s">
        <v>1144</v>
      </c>
    </row>
    <row r="450" spans="1:8" ht="22.5" customHeight="1" x14ac:dyDescent="0.25">
      <c r="A450" s="13" t="s">
        <v>1146</v>
      </c>
      <c r="B450" s="2" t="s">
        <v>324</v>
      </c>
      <c r="C450" s="2" t="s">
        <v>1147</v>
      </c>
      <c r="D450" s="2" t="s">
        <v>326</v>
      </c>
      <c r="E450" s="2">
        <v>29.719200000000001</v>
      </c>
      <c r="F450" s="2" t="s">
        <v>60</v>
      </c>
      <c r="G450" s="2" t="s">
        <v>61</v>
      </c>
      <c r="H450" s="6" t="s">
        <v>1146</v>
      </c>
    </row>
    <row r="451" spans="1:8" ht="22.5" customHeight="1" x14ac:dyDescent="0.25">
      <c r="A451" s="14" t="s">
        <v>1148</v>
      </c>
      <c r="B451" s="3" t="s">
        <v>324</v>
      </c>
      <c r="C451" s="3" t="s">
        <v>1149</v>
      </c>
      <c r="D451" s="3" t="s">
        <v>326</v>
      </c>
      <c r="E451" s="3">
        <v>29.719200000000001</v>
      </c>
      <c r="F451" s="3" t="s">
        <v>60</v>
      </c>
      <c r="G451" s="3" t="s">
        <v>61</v>
      </c>
      <c r="H451" s="6" t="s">
        <v>1148</v>
      </c>
    </row>
    <row r="452" spans="1:8" ht="22.5" customHeight="1" x14ac:dyDescent="0.25">
      <c r="A452" s="13" t="s">
        <v>1150</v>
      </c>
      <c r="B452" s="2" t="s">
        <v>1151</v>
      </c>
      <c r="C452" s="2" t="s">
        <v>1152</v>
      </c>
      <c r="D452" s="2" t="s">
        <v>1153</v>
      </c>
      <c r="E452" s="2">
        <v>30.6372</v>
      </c>
      <c r="F452" s="2" t="s">
        <v>60</v>
      </c>
      <c r="G452" s="2" t="s">
        <v>61</v>
      </c>
      <c r="H452" s="6" t="s">
        <v>1150</v>
      </c>
    </row>
    <row r="453" spans="1:8" ht="22.5" customHeight="1" x14ac:dyDescent="0.25">
      <c r="A453" s="14" t="s">
        <v>1154</v>
      </c>
      <c r="B453" s="3" t="s">
        <v>1151</v>
      </c>
      <c r="C453" s="3" t="s">
        <v>1155</v>
      </c>
      <c r="D453" s="3" t="s">
        <v>1153</v>
      </c>
      <c r="E453" s="3">
        <v>30.6372</v>
      </c>
      <c r="F453" s="3" t="s">
        <v>60</v>
      </c>
      <c r="G453" s="3" t="s">
        <v>61</v>
      </c>
      <c r="H453" s="6" t="s">
        <v>1154</v>
      </c>
    </row>
    <row r="454" spans="1:8" ht="33.75" customHeight="1" x14ac:dyDescent="0.25">
      <c r="A454" s="13" t="s">
        <v>1156</v>
      </c>
      <c r="B454" s="2" t="s">
        <v>414</v>
      </c>
      <c r="C454" s="2" t="s">
        <v>1157</v>
      </c>
      <c r="D454" s="2" t="s">
        <v>416</v>
      </c>
      <c r="E454" s="2">
        <v>31.0092</v>
      </c>
      <c r="F454" s="2" t="s">
        <v>60</v>
      </c>
      <c r="G454" s="2" t="s">
        <v>61</v>
      </c>
      <c r="H454" s="6" t="s">
        <v>1156</v>
      </c>
    </row>
    <row r="455" spans="1:8" ht="22.5" customHeight="1" x14ac:dyDescent="0.25">
      <c r="A455" s="14" t="s">
        <v>1158</v>
      </c>
      <c r="B455" s="3" t="s">
        <v>414</v>
      </c>
      <c r="C455" s="3" t="s">
        <v>1159</v>
      </c>
      <c r="D455" s="3" t="s">
        <v>416</v>
      </c>
      <c r="E455" s="3">
        <v>31.0092</v>
      </c>
      <c r="F455" s="3" t="s">
        <v>60</v>
      </c>
      <c r="G455" s="3" t="s">
        <v>61</v>
      </c>
      <c r="H455" s="6" t="s">
        <v>1158</v>
      </c>
    </row>
    <row r="456" spans="1:8" ht="22.5" customHeight="1" x14ac:dyDescent="0.25">
      <c r="A456" s="13" t="s">
        <v>1160</v>
      </c>
      <c r="B456" s="2" t="s">
        <v>414</v>
      </c>
      <c r="C456" s="2" t="s">
        <v>1161</v>
      </c>
      <c r="D456" s="2" t="s">
        <v>416</v>
      </c>
      <c r="E456" s="2">
        <v>31.0092</v>
      </c>
      <c r="F456" s="2" t="s">
        <v>60</v>
      </c>
      <c r="G456" s="2" t="s">
        <v>61</v>
      </c>
      <c r="H456" s="6" t="s">
        <v>1160</v>
      </c>
    </row>
    <row r="457" spans="1:8" ht="33.75" customHeight="1" x14ac:dyDescent="0.25">
      <c r="A457" s="14" t="s">
        <v>1162</v>
      </c>
      <c r="B457" s="3" t="s">
        <v>414</v>
      </c>
      <c r="C457" s="3" t="s">
        <v>1163</v>
      </c>
      <c r="D457" s="3" t="s">
        <v>416</v>
      </c>
      <c r="E457" s="3">
        <v>31.0092</v>
      </c>
      <c r="F457" s="3" t="s">
        <v>60</v>
      </c>
      <c r="G457" s="3" t="s">
        <v>61</v>
      </c>
      <c r="H457" s="6" t="s">
        <v>1162</v>
      </c>
    </row>
    <row r="458" spans="1:8" ht="22.5" customHeight="1" x14ac:dyDescent="0.25">
      <c r="A458" s="13" t="s">
        <v>1164</v>
      </c>
      <c r="B458" s="2" t="s">
        <v>414</v>
      </c>
      <c r="C458" s="2" t="s">
        <v>1165</v>
      </c>
      <c r="D458" s="2" t="s">
        <v>416</v>
      </c>
      <c r="E458" s="2">
        <v>31.0092</v>
      </c>
      <c r="F458" s="2" t="s">
        <v>60</v>
      </c>
      <c r="G458" s="2" t="s">
        <v>61</v>
      </c>
      <c r="H458" s="6" t="s">
        <v>1164</v>
      </c>
    </row>
    <row r="459" spans="1:8" ht="22.5" customHeight="1" x14ac:dyDescent="0.25">
      <c r="A459" s="14" t="s">
        <v>1166</v>
      </c>
      <c r="B459" s="3" t="s">
        <v>414</v>
      </c>
      <c r="C459" s="3" t="s">
        <v>1167</v>
      </c>
      <c r="D459" s="3" t="s">
        <v>416</v>
      </c>
      <c r="E459" s="3">
        <v>31.0092</v>
      </c>
      <c r="F459" s="3" t="s">
        <v>60</v>
      </c>
      <c r="G459" s="3" t="s">
        <v>61</v>
      </c>
      <c r="H459" s="6" t="s">
        <v>1166</v>
      </c>
    </row>
    <row r="460" spans="1:8" ht="22.5" customHeight="1" x14ac:dyDescent="0.25">
      <c r="A460" s="13" t="s">
        <v>1168</v>
      </c>
      <c r="B460" s="2" t="s">
        <v>414</v>
      </c>
      <c r="C460" s="2" t="s">
        <v>1169</v>
      </c>
      <c r="D460" s="2" t="s">
        <v>416</v>
      </c>
      <c r="E460" s="2">
        <v>31.0092</v>
      </c>
      <c r="F460" s="2" t="s">
        <v>60</v>
      </c>
      <c r="G460" s="2" t="s">
        <v>61</v>
      </c>
      <c r="H460" s="6" t="s">
        <v>1168</v>
      </c>
    </row>
    <row r="461" spans="1:8" ht="22.5" customHeight="1" x14ac:dyDescent="0.25">
      <c r="A461" s="14" t="s">
        <v>1170</v>
      </c>
      <c r="B461" s="3" t="s">
        <v>414</v>
      </c>
      <c r="C461" s="3" t="s">
        <v>1171</v>
      </c>
      <c r="D461" s="3" t="s">
        <v>416</v>
      </c>
      <c r="E461" s="3">
        <v>31.0092</v>
      </c>
      <c r="F461" s="3" t="s">
        <v>60</v>
      </c>
      <c r="G461" s="3" t="s">
        <v>61</v>
      </c>
      <c r="H461" s="6" t="s">
        <v>1170</v>
      </c>
    </row>
    <row r="462" spans="1:8" ht="22.5" customHeight="1" x14ac:dyDescent="0.25">
      <c r="A462" s="13" t="s">
        <v>1172</v>
      </c>
      <c r="B462" s="2" t="s">
        <v>990</v>
      </c>
      <c r="C462" s="2" t="s">
        <v>1173</v>
      </c>
      <c r="D462" s="2" t="s">
        <v>992</v>
      </c>
      <c r="E462" s="2">
        <v>29.755199999999999</v>
      </c>
      <c r="F462" s="2" t="s">
        <v>60</v>
      </c>
      <c r="G462" s="2" t="s">
        <v>61</v>
      </c>
      <c r="H462" s="6" t="s">
        <v>1172</v>
      </c>
    </row>
    <row r="463" spans="1:8" ht="22.5" customHeight="1" x14ac:dyDescent="0.25">
      <c r="A463" s="14" t="s">
        <v>1174</v>
      </c>
      <c r="B463" s="3" t="s">
        <v>1151</v>
      </c>
      <c r="C463" s="3" t="s">
        <v>1175</v>
      </c>
      <c r="D463" s="3" t="s">
        <v>1153</v>
      </c>
      <c r="E463" s="3">
        <v>30.6372</v>
      </c>
      <c r="F463" s="3" t="s">
        <v>60</v>
      </c>
      <c r="G463" s="3" t="s">
        <v>61</v>
      </c>
      <c r="H463" s="6" t="s">
        <v>1174</v>
      </c>
    </row>
    <row r="464" spans="1:8" ht="33.75" customHeight="1" x14ac:dyDescent="0.25">
      <c r="A464" s="13" t="s">
        <v>1176</v>
      </c>
      <c r="B464" s="2" t="s">
        <v>418</v>
      </c>
      <c r="C464" s="2" t="s">
        <v>1177</v>
      </c>
      <c r="D464" s="2" t="s">
        <v>420</v>
      </c>
      <c r="E464" s="2">
        <v>30.655200000000001</v>
      </c>
      <c r="F464" s="2" t="s">
        <v>60</v>
      </c>
      <c r="G464" s="2" t="s">
        <v>61</v>
      </c>
      <c r="H464" s="6" t="s">
        <v>1176</v>
      </c>
    </row>
    <row r="465" spans="1:8" ht="22.5" customHeight="1" x14ac:dyDescent="0.25">
      <c r="A465" s="14" t="s">
        <v>1178</v>
      </c>
      <c r="B465" s="3" t="s">
        <v>418</v>
      </c>
      <c r="C465" s="3" t="s">
        <v>1179</v>
      </c>
      <c r="D465" s="3" t="s">
        <v>420</v>
      </c>
      <c r="E465" s="3">
        <v>30.655200000000001</v>
      </c>
      <c r="F465" s="3" t="s">
        <v>60</v>
      </c>
      <c r="G465" s="3" t="s">
        <v>61</v>
      </c>
      <c r="H465" s="6" t="s">
        <v>1178</v>
      </c>
    </row>
    <row r="466" spans="1:8" ht="22.5" customHeight="1" x14ac:dyDescent="0.25">
      <c r="A466" s="13" t="s">
        <v>1180</v>
      </c>
      <c r="B466" s="2" t="s">
        <v>418</v>
      </c>
      <c r="C466" s="2" t="s">
        <v>1181</v>
      </c>
      <c r="D466" s="2" t="s">
        <v>420</v>
      </c>
      <c r="E466" s="2">
        <v>30.655200000000001</v>
      </c>
      <c r="F466" s="2" t="s">
        <v>60</v>
      </c>
      <c r="G466" s="2" t="s">
        <v>61</v>
      </c>
      <c r="H466" s="6" t="s">
        <v>1180</v>
      </c>
    </row>
    <row r="467" spans="1:8" ht="22.5" customHeight="1" x14ac:dyDescent="0.25">
      <c r="A467" s="14" t="s">
        <v>1182</v>
      </c>
      <c r="B467" s="3" t="s">
        <v>418</v>
      </c>
      <c r="C467" s="3" t="s">
        <v>1183</v>
      </c>
      <c r="D467" s="3" t="s">
        <v>420</v>
      </c>
      <c r="E467" s="3">
        <v>30.655200000000001</v>
      </c>
      <c r="F467" s="3" t="s">
        <v>60</v>
      </c>
      <c r="G467" s="3" t="s">
        <v>61</v>
      </c>
      <c r="H467" s="6" t="s">
        <v>1182</v>
      </c>
    </row>
    <row r="468" spans="1:8" ht="22.5" customHeight="1" x14ac:dyDescent="0.25">
      <c r="A468" s="13" t="s">
        <v>1184</v>
      </c>
      <c r="B468" s="2" t="s">
        <v>418</v>
      </c>
      <c r="C468" s="2" t="s">
        <v>1185</v>
      </c>
      <c r="D468" s="2" t="s">
        <v>420</v>
      </c>
      <c r="E468" s="2">
        <v>30.655200000000001</v>
      </c>
      <c r="F468" s="2" t="s">
        <v>60</v>
      </c>
      <c r="G468" s="2" t="s">
        <v>61</v>
      </c>
      <c r="H468" s="6" t="s">
        <v>1184</v>
      </c>
    </row>
    <row r="469" spans="1:8" ht="22.5" customHeight="1" x14ac:dyDescent="0.25">
      <c r="A469" s="14" t="s">
        <v>1186</v>
      </c>
      <c r="B469" s="3" t="s">
        <v>418</v>
      </c>
      <c r="C469" s="3" t="s">
        <v>1187</v>
      </c>
      <c r="D469" s="3" t="s">
        <v>420</v>
      </c>
      <c r="E469" s="3">
        <v>30.655200000000001</v>
      </c>
      <c r="F469" s="3" t="s">
        <v>60</v>
      </c>
      <c r="G469" s="3" t="s">
        <v>61</v>
      </c>
      <c r="H469" s="6" t="s">
        <v>1186</v>
      </c>
    </row>
    <row r="470" spans="1:8" ht="22.5" customHeight="1" x14ac:dyDescent="0.25">
      <c r="A470" s="13" t="s">
        <v>1188</v>
      </c>
      <c r="B470" s="2" t="s">
        <v>1189</v>
      </c>
      <c r="C470" s="2" t="s">
        <v>1190</v>
      </c>
      <c r="D470" s="2" t="s">
        <v>1191</v>
      </c>
      <c r="E470" s="2">
        <v>50.875999999999998</v>
      </c>
      <c r="F470" s="2" t="s">
        <v>60</v>
      </c>
      <c r="G470" s="2" t="s">
        <v>61</v>
      </c>
      <c r="H470" s="6" t="s">
        <v>1188</v>
      </c>
    </row>
    <row r="471" spans="1:8" ht="33.75" customHeight="1" x14ac:dyDescent="0.25">
      <c r="A471" s="14" t="s">
        <v>1192</v>
      </c>
      <c r="B471" s="3" t="s">
        <v>404</v>
      </c>
      <c r="C471" s="3" t="s">
        <v>1193</v>
      </c>
      <c r="D471" s="3" t="s">
        <v>406</v>
      </c>
      <c r="E471" s="3">
        <v>29.999199999999998</v>
      </c>
      <c r="F471" s="3" t="s">
        <v>60</v>
      </c>
      <c r="G471" s="3" t="s">
        <v>61</v>
      </c>
      <c r="H471" s="6" t="s">
        <v>1192</v>
      </c>
    </row>
    <row r="472" spans="1:8" ht="22.5" customHeight="1" x14ac:dyDescent="0.25">
      <c r="A472" s="13" t="s">
        <v>1194</v>
      </c>
      <c r="B472" s="2" t="s">
        <v>404</v>
      </c>
      <c r="C472" s="2" t="s">
        <v>1195</v>
      </c>
      <c r="D472" s="2" t="s">
        <v>406</v>
      </c>
      <c r="E472" s="2">
        <v>29.999199999999998</v>
      </c>
      <c r="F472" s="2" t="s">
        <v>60</v>
      </c>
      <c r="G472" s="2" t="s">
        <v>61</v>
      </c>
      <c r="H472" s="6" t="s">
        <v>1194</v>
      </c>
    </row>
    <row r="473" spans="1:8" ht="22.5" customHeight="1" x14ac:dyDescent="0.25">
      <c r="A473" s="14" t="s">
        <v>1196</v>
      </c>
      <c r="B473" s="3" t="s">
        <v>404</v>
      </c>
      <c r="C473" s="3" t="s">
        <v>1195</v>
      </c>
      <c r="D473" s="3" t="s">
        <v>406</v>
      </c>
      <c r="E473" s="3">
        <v>29.999199999999998</v>
      </c>
      <c r="F473" s="3" t="s">
        <v>60</v>
      </c>
      <c r="G473" s="3" t="s">
        <v>61</v>
      </c>
      <c r="H473" s="6" t="s">
        <v>1196</v>
      </c>
    </row>
    <row r="474" spans="1:8" ht="22.5" customHeight="1" x14ac:dyDescent="0.25">
      <c r="A474" s="13" t="s">
        <v>1197</v>
      </c>
      <c r="B474" s="2" t="s">
        <v>404</v>
      </c>
      <c r="C474" s="2" t="s">
        <v>1198</v>
      </c>
      <c r="D474" s="2" t="s">
        <v>406</v>
      </c>
      <c r="E474" s="2">
        <v>29.999199999999998</v>
      </c>
      <c r="F474" s="2" t="s">
        <v>60</v>
      </c>
      <c r="G474" s="2" t="s">
        <v>61</v>
      </c>
      <c r="H474" s="6" t="s">
        <v>1197</v>
      </c>
    </row>
    <row r="475" spans="1:8" ht="22.5" customHeight="1" x14ac:dyDescent="0.25">
      <c r="A475" s="14" t="s">
        <v>1199</v>
      </c>
      <c r="B475" s="3" t="s">
        <v>404</v>
      </c>
      <c r="C475" s="3" t="s">
        <v>1200</v>
      </c>
      <c r="D475" s="3" t="s">
        <v>406</v>
      </c>
      <c r="E475" s="3">
        <v>29.999199999999998</v>
      </c>
      <c r="F475" s="3" t="s">
        <v>60</v>
      </c>
      <c r="G475" s="3" t="s">
        <v>61</v>
      </c>
      <c r="H475" s="6" t="s">
        <v>1199</v>
      </c>
    </row>
    <row r="476" spans="1:8" ht="22.5" customHeight="1" x14ac:dyDescent="0.25">
      <c r="A476" s="13" t="s">
        <v>1201</v>
      </c>
      <c r="B476" s="2" t="s">
        <v>418</v>
      </c>
      <c r="C476" s="2" t="s">
        <v>1202</v>
      </c>
      <c r="D476" s="2" t="s">
        <v>420</v>
      </c>
      <c r="E476" s="2">
        <v>30.655200000000001</v>
      </c>
      <c r="F476" s="2" t="s">
        <v>60</v>
      </c>
      <c r="G476" s="2" t="s">
        <v>61</v>
      </c>
      <c r="H476" s="6" t="s">
        <v>1201</v>
      </c>
    </row>
    <row r="477" spans="1:8" ht="22.5" customHeight="1" x14ac:dyDescent="0.25">
      <c r="A477" s="14" t="s">
        <v>1203</v>
      </c>
      <c r="B477" s="3" t="s">
        <v>404</v>
      </c>
      <c r="C477" s="3" t="s">
        <v>1204</v>
      </c>
      <c r="D477" s="3" t="s">
        <v>406</v>
      </c>
      <c r="E477" s="3">
        <v>29.999199999999998</v>
      </c>
      <c r="F477" s="3" t="s">
        <v>60</v>
      </c>
      <c r="G477" s="3" t="s">
        <v>61</v>
      </c>
      <c r="H477" s="6" t="s">
        <v>1203</v>
      </c>
    </row>
    <row r="478" spans="1:8" ht="22.5" customHeight="1" x14ac:dyDescent="0.25">
      <c r="A478" s="13" t="s">
        <v>1205</v>
      </c>
      <c r="B478" s="2" t="s">
        <v>404</v>
      </c>
      <c r="C478" s="2" t="s">
        <v>1206</v>
      </c>
      <c r="D478" s="2" t="s">
        <v>406</v>
      </c>
      <c r="E478" s="2">
        <v>29.999199999999998</v>
      </c>
      <c r="F478" s="2" t="s">
        <v>60</v>
      </c>
      <c r="G478" s="2" t="s">
        <v>61</v>
      </c>
      <c r="H478" s="6" t="s">
        <v>1205</v>
      </c>
    </row>
    <row r="479" spans="1:8" ht="22.5" customHeight="1" x14ac:dyDescent="0.25">
      <c r="A479" s="14" t="s">
        <v>1207</v>
      </c>
      <c r="B479" s="3" t="s">
        <v>418</v>
      </c>
      <c r="C479" s="3" t="s">
        <v>1208</v>
      </c>
      <c r="D479" s="3" t="s">
        <v>420</v>
      </c>
      <c r="E479" s="3">
        <v>30.655200000000001</v>
      </c>
      <c r="F479" s="3" t="s">
        <v>60</v>
      </c>
      <c r="G479" s="3" t="s">
        <v>61</v>
      </c>
      <c r="H479" s="6" t="s">
        <v>1207</v>
      </c>
    </row>
    <row r="480" spans="1:8" ht="22.5" customHeight="1" x14ac:dyDescent="0.25">
      <c r="A480" s="13" t="s">
        <v>1209</v>
      </c>
      <c r="B480" s="2" t="s">
        <v>404</v>
      </c>
      <c r="C480" s="2" t="s">
        <v>1210</v>
      </c>
      <c r="D480" s="2" t="s">
        <v>406</v>
      </c>
      <c r="E480" s="2">
        <v>29.999199999999998</v>
      </c>
      <c r="F480" s="2" t="s">
        <v>60</v>
      </c>
      <c r="G480" s="2" t="s">
        <v>61</v>
      </c>
      <c r="H480" s="6" t="s">
        <v>1209</v>
      </c>
    </row>
    <row r="481" spans="1:8" ht="22.5" customHeight="1" x14ac:dyDescent="0.25">
      <c r="A481" s="14" t="s">
        <v>1211</v>
      </c>
      <c r="B481" s="3" t="s">
        <v>404</v>
      </c>
      <c r="C481" s="3" t="s">
        <v>1212</v>
      </c>
      <c r="D481" s="3" t="s">
        <v>406</v>
      </c>
      <c r="E481" s="3">
        <v>29.999199999999998</v>
      </c>
      <c r="F481" s="3" t="s">
        <v>60</v>
      </c>
      <c r="G481" s="3" t="s">
        <v>61</v>
      </c>
      <c r="H481" s="6" t="s">
        <v>1211</v>
      </c>
    </row>
    <row r="482" spans="1:8" ht="22.5" customHeight="1" x14ac:dyDescent="0.25">
      <c r="A482" s="13" t="s">
        <v>1213</v>
      </c>
      <c r="B482" s="2" t="s">
        <v>404</v>
      </c>
      <c r="C482" s="2" t="s">
        <v>1214</v>
      </c>
      <c r="D482" s="2" t="s">
        <v>406</v>
      </c>
      <c r="E482" s="2">
        <v>29.999199999999998</v>
      </c>
      <c r="F482" s="2" t="s">
        <v>60</v>
      </c>
      <c r="G482" s="2" t="s">
        <v>61</v>
      </c>
      <c r="H482" s="6" t="s">
        <v>1213</v>
      </c>
    </row>
    <row r="483" spans="1:8" ht="33.75" customHeight="1" x14ac:dyDescent="0.25">
      <c r="A483" s="14" t="s">
        <v>1215</v>
      </c>
      <c r="B483" s="3" t="s">
        <v>418</v>
      </c>
      <c r="C483" s="3" t="s">
        <v>1216</v>
      </c>
      <c r="D483" s="3" t="s">
        <v>420</v>
      </c>
      <c r="E483" s="3">
        <v>30.655200000000001</v>
      </c>
      <c r="F483" s="3" t="s">
        <v>60</v>
      </c>
      <c r="G483" s="3" t="s">
        <v>61</v>
      </c>
      <c r="H483" s="6" t="s">
        <v>1215</v>
      </c>
    </row>
    <row r="484" spans="1:8" ht="33.75" customHeight="1" x14ac:dyDescent="0.25">
      <c r="A484" s="13" t="s">
        <v>1217</v>
      </c>
      <c r="B484" s="2" t="s">
        <v>418</v>
      </c>
      <c r="C484" s="2" t="s">
        <v>1218</v>
      </c>
      <c r="D484" s="2" t="s">
        <v>420</v>
      </c>
      <c r="E484" s="2">
        <v>30.655200000000001</v>
      </c>
      <c r="F484" s="2" t="s">
        <v>60</v>
      </c>
      <c r="G484" s="2" t="s">
        <v>61</v>
      </c>
      <c r="H484" s="6" t="s">
        <v>1217</v>
      </c>
    </row>
    <row r="485" spans="1:8" ht="22.5" customHeight="1" x14ac:dyDescent="0.25">
      <c r="A485" s="14" t="s">
        <v>1219</v>
      </c>
      <c r="B485" s="3" t="s">
        <v>404</v>
      </c>
      <c r="C485" s="3" t="s">
        <v>1220</v>
      </c>
      <c r="D485" s="3" t="s">
        <v>406</v>
      </c>
      <c r="E485" s="3">
        <v>29.999199999999998</v>
      </c>
      <c r="F485" s="3" t="s">
        <v>60</v>
      </c>
      <c r="G485" s="3" t="s">
        <v>61</v>
      </c>
      <c r="H485" s="6" t="s">
        <v>1219</v>
      </c>
    </row>
    <row r="486" spans="1:8" ht="22.5" customHeight="1" x14ac:dyDescent="0.25">
      <c r="A486" s="13" t="s">
        <v>1221</v>
      </c>
      <c r="B486" s="2" t="s">
        <v>1222</v>
      </c>
      <c r="C486" s="2" t="s">
        <v>1223</v>
      </c>
      <c r="D486" s="2" t="s">
        <v>1224</v>
      </c>
      <c r="E486" s="2">
        <v>50.606000000000002</v>
      </c>
      <c r="F486" s="2" t="s">
        <v>60</v>
      </c>
      <c r="G486" s="2" t="s">
        <v>61</v>
      </c>
      <c r="H486" s="6" t="s">
        <v>1221</v>
      </c>
    </row>
    <row r="487" spans="1:8" ht="22.5" customHeight="1" x14ac:dyDescent="0.25">
      <c r="A487" s="14" t="s">
        <v>1225</v>
      </c>
      <c r="B487" s="3" t="s">
        <v>1222</v>
      </c>
      <c r="C487" s="3" t="s">
        <v>1226</v>
      </c>
      <c r="D487" s="3" t="s">
        <v>1224</v>
      </c>
      <c r="E487" s="3">
        <v>50.606000000000002</v>
      </c>
      <c r="F487" s="3" t="s">
        <v>60</v>
      </c>
      <c r="G487" s="3" t="s">
        <v>61</v>
      </c>
      <c r="H487" s="6" t="s">
        <v>1225</v>
      </c>
    </row>
    <row r="488" spans="1:8" ht="22.5" customHeight="1" x14ac:dyDescent="0.25">
      <c r="A488" s="13" t="s">
        <v>1227</v>
      </c>
      <c r="B488" s="2" t="s">
        <v>418</v>
      </c>
      <c r="C488" s="2" t="s">
        <v>1228</v>
      </c>
      <c r="D488" s="2" t="s">
        <v>420</v>
      </c>
      <c r="E488" s="2">
        <v>30.655200000000001</v>
      </c>
      <c r="F488" s="2" t="s">
        <v>60</v>
      </c>
      <c r="G488" s="2" t="s">
        <v>61</v>
      </c>
      <c r="H488" s="6" t="s">
        <v>1227</v>
      </c>
    </row>
    <row r="489" spans="1:8" ht="22.5" customHeight="1" x14ac:dyDescent="0.25">
      <c r="A489" s="14" t="s">
        <v>1229</v>
      </c>
      <c r="B489" s="3" t="s">
        <v>404</v>
      </c>
      <c r="C489" s="3" t="s">
        <v>1230</v>
      </c>
      <c r="D489" s="3" t="s">
        <v>406</v>
      </c>
      <c r="E489" s="3">
        <v>29.999199999999998</v>
      </c>
      <c r="F489" s="3" t="s">
        <v>60</v>
      </c>
      <c r="G489" s="3" t="s">
        <v>61</v>
      </c>
      <c r="H489" s="6" t="s">
        <v>1229</v>
      </c>
    </row>
    <row r="490" spans="1:8" ht="33.75" customHeight="1" x14ac:dyDescent="0.25">
      <c r="A490" s="13" t="s">
        <v>1231</v>
      </c>
      <c r="B490" s="2" t="s">
        <v>418</v>
      </c>
      <c r="C490" s="2" t="s">
        <v>1232</v>
      </c>
      <c r="D490" s="2" t="s">
        <v>420</v>
      </c>
      <c r="E490" s="2">
        <v>30.655200000000001</v>
      </c>
      <c r="F490" s="2" t="s">
        <v>60</v>
      </c>
      <c r="G490" s="2" t="s">
        <v>61</v>
      </c>
      <c r="H490" s="6" t="s">
        <v>1231</v>
      </c>
    </row>
    <row r="491" spans="1:8" ht="22.5" customHeight="1" x14ac:dyDescent="0.25">
      <c r="A491" s="14" t="s">
        <v>1233</v>
      </c>
      <c r="B491" s="3" t="s">
        <v>404</v>
      </c>
      <c r="C491" s="3" t="s">
        <v>1234</v>
      </c>
      <c r="D491" s="3" t="s">
        <v>406</v>
      </c>
      <c r="E491" s="3">
        <v>29.999199999999998</v>
      </c>
      <c r="F491" s="3" t="s">
        <v>60</v>
      </c>
      <c r="G491" s="3" t="s">
        <v>61</v>
      </c>
      <c r="H491" s="6" t="s">
        <v>1233</v>
      </c>
    </row>
    <row r="492" spans="1:8" ht="33.75" customHeight="1" x14ac:dyDescent="0.25">
      <c r="A492" s="13" t="s">
        <v>1235</v>
      </c>
      <c r="B492" s="2" t="s">
        <v>1236</v>
      </c>
      <c r="C492" s="2" t="s">
        <v>1237</v>
      </c>
      <c r="D492" s="2" t="s">
        <v>1238</v>
      </c>
      <c r="E492" s="2">
        <v>50.456000000000003</v>
      </c>
      <c r="F492" s="2" t="s">
        <v>60</v>
      </c>
      <c r="G492" s="2" t="s">
        <v>61</v>
      </c>
      <c r="H492" s="6" t="s">
        <v>1235</v>
      </c>
    </row>
    <row r="493" spans="1:8" ht="33.75" customHeight="1" x14ac:dyDescent="0.25">
      <c r="A493" s="14" t="s">
        <v>1239</v>
      </c>
      <c r="B493" s="3" t="s">
        <v>1236</v>
      </c>
      <c r="C493" s="3" t="s">
        <v>1240</v>
      </c>
      <c r="D493" s="3" t="s">
        <v>1238</v>
      </c>
      <c r="E493" s="3">
        <v>50.456000000000003</v>
      </c>
      <c r="F493" s="3" t="s">
        <v>60</v>
      </c>
      <c r="G493" s="3" t="s">
        <v>61</v>
      </c>
      <c r="H493" s="6" t="s">
        <v>1239</v>
      </c>
    </row>
    <row r="494" spans="1:8" ht="22.5" customHeight="1" x14ac:dyDescent="0.25">
      <c r="A494" s="13" t="s">
        <v>1241</v>
      </c>
      <c r="B494" s="2" t="s">
        <v>404</v>
      </c>
      <c r="C494" s="2" t="s">
        <v>1242</v>
      </c>
      <c r="D494" s="2" t="s">
        <v>406</v>
      </c>
      <c r="E494" s="2">
        <v>29.999199999999998</v>
      </c>
      <c r="F494" s="2" t="s">
        <v>60</v>
      </c>
      <c r="G494" s="2" t="s">
        <v>61</v>
      </c>
      <c r="H494" s="6" t="s">
        <v>1241</v>
      </c>
    </row>
    <row r="495" spans="1:8" ht="22.5" customHeight="1" x14ac:dyDescent="0.25">
      <c r="A495" s="14" t="s">
        <v>1243</v>
      </c>
      <c r="B495" s="3" t="s">
        <v>404</v>
      </c>
      <c r="C495" s="3" t="s">
        <v>1244</v>
      </c>
      <c r="D495" s="3" t="s">
        <v>406</v>
      </c>
      <c r="E495" s="3">
        <v>29.999199999999998</v>
      </c>
      <c r="F495" s="3" t="s">
        <v>60</v>
      </c>
      <c r="G495" s="3" t="s">
        <v>61</v>
      </c>
      <c r="H495" s="6" t="s">
        <v>1243</v>
      </c>
    </row>
    <row r="496" spans="1:8" ht="33.75" customHeight="1" x14ac:dyDescent="0.25">
      <c r="A496" s="13" t="s">
        <v>1245</v>
      </c>
      <c r="B496" s="2" t="s">
        <v>404</v>
      </c>
      <c r="C496" s="2" t="s">
        <v>1246</v>
      </c>
      <c r="D496" s="2" t="s">
        <v>406</v>
      </c>
      <c r="E496" s="2">
        <v>29.999199999999998</v>
      </c>
      <c r="F496" s="2" t="s">
        <v>60</v>
      </c>
      <c r="G496" s="2" t="s">
        <v>61</v>
      </c>
      <c r="H496" s="6" t="s">
        <v>1245</v>
      </c>
    </row>
    <row r="497" spans="1:8" ht="22.5" customHeight="1" x14ac:dyDescent="0.25">
      <c r="A497" s="14" t="s">
        <v>1247</v>
      </c>
      <c r="B497" s="3" t="s">
        <v>404</v>
      </c>
      <c r="C497" s="3" t="s">
        <v>1248</v>
      </c>
      <c r="D497" s="3" t="s">
        <v>406</v>
      </c>
      <c r="E497" s="3">
        <v>29.999199999999998</v>
      </c>
      <c r="F497" s="3" t="s">
        <v>60</v>
      </c>
      <c r="G497" s="3" t="s">
        <v>61</v>
      </c>
      <c r="H497" s="6" t="s">
        <v>1247</v>
      </c>
    </row>
    <row r="498" spans="1:8" ht="22.5" customHeight="1" x14ac:dyDescent="0.25">
      <c r="A498" s="13" t="s">
        <v>1249</v>
      </c>
      <c r="B498" s="2" t="s">
        <v>418</v>
      </c>
      <c r="C498" s="2" t="s">
        <v>1250</v>
      </c>
      <c r="D498" s="2" t="s">
        <v>420</v>
      </c>
      <c r="E498" s="2">
        <v>30.655200000000001</v>
      </c>
      <c r="F498" s="2" t="s">
        <v>60</v>
      </c>
      <c r="G498" s="2" t="s">
        <v>61</v>
      </c>
      <c r="H498" s="6" t="s">
        <v>1249</v>
      </c>
    </row>
    <row r="499" spans="1:8" ht="22.5" customHeight="1" x14ac:dyDescent="0.25">
      <c r="A499" s="14" t="s">
        <v>1251</v>
      </c>
      <c r="B499" s="3" t="s">
        <v>418</v>
      </c>
      <c r="C499" s="3" t="s">
        <v>1252</v>
      </c>
      <c r="D499" s="3" t="s">
        <v>420</v>
      </c>
      <c r="E499" s="3">
        <v>30.655200000000001</v>
      </c>
      <c r="F499" s="3" t="s">
        <v>60</v>
      </c>
      <c r="G499" s="3" t="s">
        <v>61</v>
      </c>
      <c r="H499" s="6" t="s">
        <v>1251</v>
      </c>
    </row>
    <row r="500" spans="1:8" ht="33.75" customHeight="1" x14ac:dyDescent="0.25">
      <c r="A500" s="13" t="s">
        <v>1253</v>
      </c>
      <c r="B500" s="2" t="s">
        <v>404</v>
      </c>
      <c r="C500" s="2" t="s">
        <v>1254</v>
      </c>
      <c r="D500" s="2" t="s">
        <v>406</v>
      </c>
      <c r="E500" s="2">
        <v>29.999199999999998</v>
      </c>
      <c r="F500" s="2" t="s">
        <v>60</v>
      </c>
      <c r="G500" s="2" t="s">
        <v>61</v>
      </c>
      <c r="H500" s="6" t="s">
        <v>1253</v>
      </c>
    </row>
    <row r="501" spans="1:8" ht="22.5" customHeight="1" x14ac:dyDescent="0.25">
      <c r="A501" s="14" t="s">
        <v>1255</v>
      </c>
      <c r="B501" s="3" t="s">
        <v>418</v>
      </c>
      <c r="C501" s="3" t="s">
        <v>1256</v>
      </c>
      <c r="D501" s="3" t="s">
        <v>420</v>
      </c>
      <c r="E501" s="3">
        <v>30.655200000000001</v>
      </c>
      <c r="F501" s="3" t="s">
        <v>60</v>
      </c>
      <c r="G501" s="3" t="s">
        <v>61</v>
      </c>
      <c r="H501" s="6" t="s">
        <v>1255</v>
      </c>
    </row>
    <row r="502" spans="1:8" ht="22.5" customHeight="1" x14ac:dyDescent="0.25">
      <c r="A502" s="13" t="s">
        <v>1257</v>
      </c>
      <c r="B502" s="2" t="s">
        <v>1258</v>
      </c>
      <c r="C502" s="2" t="s">
        <v>1259</v>
      </c>
      <c r="D502" s="2" t="s">
        <v>1260</v>
      </c>
      <c r="E502" s="2">
        <v>47.335999999999999</v>
      </c>
      <c r="F502" s="2" t="s">
        <v>60</v>
      </c>
      <c r="G502" s="2" t="s">
        <v>61</v>
      </c>
      <c r="H502" s="6" t="s">
        <v>1257</v>
      </c>
    </row>
    <row r="503" spans="1:8" ht="22.5" customHeight="1" x14ac:dyDescent="0.25">
      <c r="A503" s="14" t="s">
        <v>1261</v>
      </c>
      <c r="B503" s="3" t="s">
        <v>418</v>
      </c>
      <c r="C503" s="3" t="s">
        <v>1262</v>
      </c>
      <c r="D503" s="3" t="s">
        <v>420</v>
      </c>
      <c r="E503" s="3">
        <v>30.655200000000001</v>
      </c>
      <c r="F503" s="3" t="s">
        <v>60</v>
      </c>
      <c r="G503" s="3" t="s">
        <v>61</v>
      </c>
      <c r="H503" s="6" t="s">
        <v>1261</v>
      </c>
    </row>
    <row r="504" spans="1:8" ht="22.5" customHeight="1" x14ac:dyDescent="0.25">
      <c r="A504" s="13" t="s">
        <v>1263</v>
      </c>
      <c r="B504" s="2" t="s">
        <v>1258</v>
      </c>
      <c r="C504" s="2" t="s">
        <v>1264</v>
      </c>
      <c r="D504" s="2" t="s">
        <v>1260</v>
      </c>
      <c r="E504" s="2">
        <v>47.335999999999999</v>
      </c>
      <c r="F504" s="2" t="s">
        <v>60</v>
      </c>
      <c r="G504" s="2" t="s">
        <v>61</v>
      </c>
      <c r="H504" s="6" t="s">
        <v>1263</v>
      </c>
    </row>
    <row r="505" spans="1:8" ht="22.5" customHeight="1" x14ac:dyDescent="0.25">
      <c r="A505" s="14" t="s">
        <v>1265</v>
      </c>
      <c r="B505" s="3" t="s">
        <v>418</v>
      </c>
      <c r="C505" s="3" t="s">
        <v>1266</v>
      </c>
      <c r="D505" s="3" t="s">
        <v>420</v>
      </c>
      <c r="E505" s="3">
        <v>30.655200000000001</v>
      </c>
      <c r="F505" s="3" t="s">
        <v>60</v>
      </c>
      <c r="G505" s="3" t="s">
        <v>61</v>
      </c>
      <c r="H505" s="6" t="s">
        <v>1265</v>
      </c>
    </row>
    <row r="506" spans="1:8" ht="22.5" customHeight="1" x14ac:dyDescent="0.25">
      <c r="A506" s="13" t="s">
        <v>1267</v>
      </c>
      <c r="B506" s="2" t="s">
        <v>404</v>
      </c>
      <c r="C506" s="2" t="s">
        <v>1268</v>
      </c>
      <c r="D506" s="2" t="s">
        <v>406</v>
      </c>
      <c r="E506" s="2">
        <v>29.999199999999998</v>
      </c>
      <c r="F506" s="2" t="s">
        <v>60</v>
      </c>
      <c r="G506" s="2" t="s">
        <v>61</v>
      </c>
      <c r="H506" s="6" t="s">
        <v>1267</v>
      </c>
    </row>
    <row r="507" spans="1:8" ht="22.5" customHeight="1" x14ac:dyDescent="0.25">
      <c r="A507" s="14" t="s">
        <v>1269</v>
      </c>
      <c r="B507" s="3" t="s">
        <v>1189</v>
      </c>
      <c r="C507" s="3" t="s">
        <v>1270</v>
      </c>
      <c r="D507" s="3" t="s">
        <v>1191</v>
      </c>
      <c r="E507" s="3">
        <v>50.875999999999998</v>
      </c>
      <c r="F507" s="3" t="s">
        <v>60</v>
      </c>
      <c r="G507" s="3" t="s">
        <v>61</v>
      </c>
      <c r="H507" s="6" t="s">
        <v>1269</v>
      </c>
    </row>
    <row r="508" spans="1:8" ht="22.5" customHeight="1" x14ac:dyDescent="0.25">
      <c r="A508" s="13" t="s">
        <v>1271</v>
      </c>
      <c r="B508" s="2" t="s">
        <v>404</v>
      </c>
      <c r="C508" s="2" t="s">
        <v>1272</v>
      </c>
      <c r="D508" s="2" t="s">
        <v>406</v>
      </c>
      <c r="E508" s="2">
        <v>29.999199999999998</v>
      </c>
      <c r="F508" s="2" t="s">
        <v>60</v>
      </c>
      <c r="G508" s="2" t="s">
        <v>61</v>
      </c>
      <c r="H508" s="6" t="s">
        <v>1271</v>
      </c>
    </row>
    <row r="509" spans="1:8" ht="22.5" customHeight="1" x14ac:dyDescent="0.25">
      <c r="A509" s="14" t="s">
        <v>1273</v>
      </c>
      <c r="B509" s="3" t="s">
        <v>404</v>
      </c>
      <c r="C509" s="3" t="s">
        <v>1274</v>
      </c>
      <c r="D509" s="3" t="s">
        <v>406</v>
      </c>
      <c r="E509" s="3">
        <v>29.999199999999998</v>
      </c>
      <c r="F509" s="3" t="s">
        <v>60</v>
      </c>
      <c r="G509" s="3" t="s">
        <v>61</v>
      </c>
      <c r="H509" s="6" t="s">
        <v>1273</v>
      </c>
    </row>
    <row r="510" spans="1:8" ht="33.75" customHeight="1" x14ac:dyDescent="0.25">
      <c r="A510" s="13" t="s">
        <v>1275</v>
      </c>
      <c r="B510" s="2" t="s">
        <v>386</v>
      </c>
      <c r="C510" s="2" t="s">
        <v>1276</v>
      </c>
      <c r="D510" s="2" t="s">
        <v>388</v>
      </c>
      <c r="E510" s="2">
        <v>33.783799999999999</v>
      </c>
      <c r="F510" s="2" t="s">
        <v>60</v>
      </c>
      <c r="G510" s="2" t="s">
        <v>61</v>
      </c>
      <c r="H510" s="6" t="s">
        <v>1275</v>
      </c>
    </row>
    <row r="511" spans="1:8" ht="33.75" customHeight="1" x14ac:dyDescent="0.25">
      <c r="A511" s="14" t="s">
        <v>1277</v>
      </c>
      <c r="B511" s="3" t="s">
        <v>404</v>
      </c>
      <c r="C511" s="3" t="s">
        <v>1278</v>
      </c>
      <c r="D511" s="3" t="s">
        <v>406</v>
      </c>
      <c r="E511" s="3">
        <v>29.999199999999998</v>
      </c>
      <c r="F511" s="3" t="s">
        <v>60</v>
      </c>
      <c r="G511" s="3" t="s">
        <v>61</v>
      </c>
      <c r="H511" s="6" t="s">
        <v>1277</v>
      </c>
    </row>
    <row r="512" spans="1:8" ht="33.75" customHeight="1" x14ac:dyDescent="0.25">
      <c r="A512" s="13" t="s">
        <v>1279</v>
      </c>
      <c r="B512" s="2" t="s">
        <v>418</v>
      </c>
      <c r="C512" s="2" t="s">
        <v>1280</v>
      </c>
      <c r="D512" s="2" t="s">
        <v>420</v>
      </c>
      <c r="E512" s="2">
        <v>30.655200000000001</v>
      </c>
      <c r="F512" s="2" t="s">
        <v>60</v>
      </c>
      <c r="G512" s="2" t="s">
        <v>61</v>
      </c>
      <c r="H512" s="6" t="s">
        <v>1279</v>
      </c>
    </row>
    <row r="513" spans="1:8" ht="33.75" customHeight="1" x14ac:dyDescent="0.25">
      <c r="A513" s="14" t="s">
        <v>1281</v>
      </c>
      <c r="B513" s="3" t="s">
        <v>414</v>
      </c>
      <c r="C513" s="3" t="s">
        <v>1282</v>
      </c>
      <c r="D513" s="3" t="s">
        <v>416</v>
      </c>
      <c r="E513" s="3">
        <v>31.0092</v>
      </c>
      <c r="F513" s="3" t="s">
        <v>60</v>
      </c>
      <c r="G513" s="3" t="s">
        <v>61</v>
      </c>
      <c r="H513" s="6" t="s">
        <v>1281</v>
      </c>
    </row>
    <row r="514" spans="1:8" ht="33.75" customHeight="1" x14ac:dyDescent="0.25">
      <c r="A514" s="13" t="s">
        <v>1283</v>
      </c>
      <c r="B514" s="2" t="s">
        <v>418</v>
      </c>
      <c r="C514" s="2" t="s">
        <v>1284</v>
      </c>
      <c r="D514" s="2" t="s">
        <v>420</v>
      </c>
      <c r="E514" s="2">
        <v>30.655200000000001</v>
      </c>
      <c r="F514" s="2" t="s">
        <v>60</v>
      </c>
      <c r="G514" s="2" t="s">
        <v>61</v>
      </c>
      <c r="H514" s="6" t="s">
        <v>1283</v>
      </c>
    </row>
    <row r="515" spans="1:8" ht="33.75" customHeight="1" x14ac:dyDescent="0.25">
      <c r="A515" s="14" t="s">
        <v>1285</v>
      </c>
      <c r="B515" s="3" t="s">
        <v>404</v>
      </c>
      <c r="C515" s="3" t="s">
        <v>1286</v>
      </c>
      <c r="D515" s="3" t="s">
        <v>406</v>
      </c>
      <c r="E515" s="3">
        <v>29.999199999999998</v>
      </c>
      <c r="F515" s="3" t="s">
        <v>60</v>
      </c>
      <c r="G515" s="3" t="s">
        <v>61</v>
      </c>
      <c r="H515" s="6" t="s">
        <v>1285</v>
      </c>
    </row>
    <row r="516" spans="1:8" ht="22.5" customHeight="1" x14ac:dyDescent="0.25">
      <c r="A516" s="13" t="s">
        <v>1287</v>
      </c>
      <c r="B516" s="2" t="s">
        <v>656</v>
      </c>
      <c r="C516" s="2" t="s">
        <v>1288</v>
      </c>
      <c r="D516" s="2" t="s">
        <v>658</v>
      </c>
      <c r="E516" s="2">
        <v>30.368400000000001</v>
      </c>
      <c r="F516" s="2" t="s">
        <v>60</v>
      </c>
      <c r="G516" s="2" t="s">
        <v>61</v>
      </c>
      <c r="H516" s="6" t="s">
        <v>1287</v>
      </c>
    </row>
    <row r="517" spans="1:8" ht="22.5" customHeight="1" x14ac:dyDescent="0.25">
      <c r="A517" s="14" t="s">
        <v>1289</v>
      </c>
      <c r="B517" s="3" t="s">
        <v>656</v>
      </c>
      <c r="C517" s="3" t="s">
        <v>1290</v>
      </c>
      <c r="D517" s="3" t="s">
        <v>658</v>
      </c>
      <c r="E517" s="3">
        <v>30.368400000000001</v>
      </c>
      <c r="F517" s="3" t="s">
        <v>60</v>
      </c>
      <c r="G517" s="3" t="s">
        <v>61</v>
      </c>
      <c r="H517" s="6" t="s">
        <v>1289</v>
      </c>
    </row>
    <row r="518" spans="1:8" ht="22.5" customHeight="1" x14ac:dyDescent="0.25">
      <c r="A518" s="13" t="s">
        <v>1291</v>
      </c>
      <c r="B518" s="2" t="s">
        <v>644</v>
      </c>
      <c r="C518" s="2" t="s">
        <v>1292</v>
      </c>
      <c r="D518" s="2" t="s">
        <v>646</v>
      </c>
      <c r="E518" s="2">
        <v>33.864400000000003</v>
      </c>
      <c r="F518" s="2" t="s">
        <v>60</v>
      </c>
      <c r="G518" s="2" t="s">
        <v>61</v>
      </c>
      <c r="H518" s="6" t="s">
        <v>1291</v>
      </c>
    </row>
    <row r="519" spans="1:8" ht="22.5" customHeight="1" x14ac:dyDescent="0.25">
      <c r="A519" s="14" t="s">
        <v>1293</v>
      </c>
      <c r="B519" s="3" t="s">
        <v>1294</v>
      </c>
      <c r="C519" s="3" t="s">
        <v>1295</v>
      </c>
      <c r="D519" s="3" t="s">
        <v>1296</v>
      </c>
      <c r="E519" s="3">
        <v>27.925999999999998</v>
      </c>
      <c r="F519" s="3" t="s">
        <v>60</v>
      </c>
      <c r="G519" s="3" t="s">
        <v>61</v>
      </c>
      <c r="H519" s="6" t="s">
        <v>1293</v>
      </c>
    </row>
    <row r="520" spans="1:8" ht="22.5" customHeight="1" x14ac:dyDescent="0.25">
      <c r="A520" s="13" t="s">
        <v>1297</v>
      </c>
      <c r="B520" s="2" t="s">
        <v>1294</v>
      </c>
      <c r="C520" s="2" t="s">
        <v>1298</v>
      </c>
      <c r="D520" s="2" t="s">
        <v>1296</v>
      </c>
      <c r="E520" s="2">
        <v>27.925999999999998</v>
      </c>
      <c r="F520" s="2" t="s">
        <v>60</v>
      </c>
      <c r="G520" s="2" t="s">
        <v>61</v>
      </c>
      <c r="H520" s="6" t="s">
        <v>1297</v>
      </c>
    </row>
    <row r="521" spans="1:8" ht="22.5" customHeight="1" x14ac:dyDescent="0.25">
      <c r="A521" s="14" t="s">
        <v>1299</v>
      </c>
      <c r="B521" s="3" t="s">
        <v>826</v>
      </c>
      <c r="C521" s="3" t="s">
        <v>1300</v>
      </c>
      <c r="D521" s="3" t="s">
        <v>828</v>
      </c>
      <c r="E521" s="3">
        <v>28.366</v>
      </c>
      <c r="F521" s="3" t="s">
        <v>60</v>
      </c>
      <c r="G521" s="3" t="s">
        <v>61</v>
      </c>
      <c r="H521" s="6" t="s">
        <v>1299</v>
      </c>
    </row>
    <row r="522" spans="1:8" ht="22.5" customHeight="1" x14ac:dyDescent="0.25">
      <c r="A522" s="13" t="s">
        <v>1301</v>
      </c>
      <c r="B522" s="2" t="s">
        <v>830</v>
      </c>
      <c r="C522" s="2" t="s">
        <v>1302</v>
      </c>
      <c r="D522" s="2" t="s">
        <v>832</v>
      </c>
      <c r="E522" s="2">
        <v>27.925999999999998</v>
      </c>
      <c r="F522" s="2" t="s">
        <v>60</v>
      </c>
      <c r="G522" s="2" t="s">
        <v>61</v>
      </c>
      <c r="H522" s="6" t="s">
        <v>1301</v>
      </c>
    </row>
    <row r="523" spans="1:8" ht="22.5" customHeight="1" x14ac:dyDescent="0.25">
      <c r="A523" s="14" t="s">
        <v>1303</v>
      </c>
      <c r="B523" s="3" t="s">
        <v>878</v>
      </c>
      <c r="C523" s="3" t="s">
        <v>1304</v>
      </c>
      <c r="D523" s="3" t="s">
        <v>880</v>
      </c>
      <c r="E523" s="3">
        <v>27.925999999999998</v>
      </c>
      <c r="F523" s="3" t="s">
        <v>60</v>
      </c>
      <c r="G523" s="3" t="s">
        <v>61</v>
      </c>
      <c r="H523" s="6" t="s">
        <v>1303</v>
      </c>
    </row>
    <row r="524" spans="1:8" ht="22.5" customHeight="1" x14ac:dyDescent="0.25">
      <c r="A524" s="13" t="s">
        <v>1305</v>
      </c>
      <c r="B524" s="2" t="s">
        <v>878</v>
      </c>
      <c r="C524" s="2" t="s">
        <v>1306</v>
      </c>
      <c r="D524" s="2" t="s">
        <v>880</v>
      </c>
      <c r="E524" s="2">
        <v>27.925999999999998</v>
      </c>
      <c r="F524" s="2" t="s">
        <v>60</v>
      </c>
      <c r="G524" s="2" t="s">
        <v>61</v>
      </c>
      <c r="H524" s="6" t="s">
        <v>1305</v>
      </c>
    </row>
    <row r="525" spans="1:8" ht="22.5" customHeight="1" x14ac:dyDescent="0.25">
      <c r="A525" s="14" t="s">
        <v>1307</v>
      </c>
      <c r="B525" s="3" t="s">
        <v>878</v>
      </c>
      <c r="C525" s="3" t="s">
        <v>1308</v>
      </c>
      <c r="D525" s="3" t="s">
        <v>880</v>
      </c>
      <c r="E525" s="3">
        <v>27.925999999999998</v>
      </c>
      <c r="F525" s="3" t="s">
        <v>60</v>
      </c>
      <c r="G525" s="3" t="s">
        <v>61</v>
      </c>
      <c r="H525" s="6" t="s">
        <v>1307</v>
      </c>
    </row>
    <row r="526" spans="1:8" ht="22.5" customHeight="1" x14ac:dyDescent="0.25">
      <c r="A526" s="13" t="s">
        <v>1309</v>
      </c>
      <c r="B526" s="2" t="s">
        <v>878</v>
      </c>
      <c r="C526" s="2" t="s">
        <v>1310</v>
      </c>
      <c r="D526" s="2" t="s">
        <v>880</v>
      </c>
      <c r="E526" s="2">
        <v>27.925999999999998</v>
      </c>
      <c r="F526" s="2" t="s">
        <v>60</v>
      </c>
      <c r="G526" s="2" t="s">
        <v>61</v>
      </c>
      <c r="H526" s="6" t="s">
        <v>1309</v>
      </c>
    </row>
    <row r="527" spans="1:8" ht="22.5" customHeight="1" x14ac:dyDescent="0.25">
      <c r="A527" s="14" t="s">
        <v>1311</v>
      </c>
      <c r="B527" s="3" t="s">
        <v>1294</v>
      </c>
      <c r="C527" s="3" t="s">
        <v>1312</v>
      </c>
      <c r="D527" s="3" t="s">
        <v>1296</v>
      </c>
      <c r="E527" s="3">
        <v>27.925999999999998</v>
      </c>
      <c r="F527" s="3" t="s">
        <v>60</v>
      </c>
      <c r="G527" s="3" t="s">
        <v>61</v>
      </c>
      <c r="H527" s="6" t="s">
        <v>1311</v>
      </c>
    </row>
    <row r="528" spans="1:8" ht="22.5" customHeight="1" x14ac:dyDescent="0.25">
      <c r="A528" s="13" t="s">
        <v>1313</v>
      </c>
      <c r="B528" s="2" t="s">
        <v>1294</v>
      </c>
      <c r="C528" s="2" t="s">
        <v>1314</v>
      </c>
      <c r="D528" s="2" t="s">
        <v>1296</v>
      </c>
      <c r="E528" s="2">
        <v>27.925999999999998</v>
      </c>
      <c r="F528" s="2" t="s">
        <v>60</v>
      </c>
      <c r="G528" s="2" t="s">
        <v>61</v>
      </c>
      <c r="H528" s="6" t="s">
        <v>1313</v>
      </c>
    </row>
    <row r="529" spans="1:8" ht="22.5" customHeight="1" x14ac:dyDescent="0.25">
      <c r="A529" s="14" t="s">
        <v>1315</v>
      </c>
      <c r="B529" s="3" t="s">
        <v>1294</v>
      </c>
      <c r="C529" s="3" t="s">
        <v>1298</v>
      </c>
      <c r="D529" s="3" t="s">
        <v>1296</v>
      </c>
      <c r="E529" s="3">
        <v>27.925999999999998</v>
      </c>
      <c r="F529" s="3" t="s">
        <v>60</v>
      </c>
      <c r="G529" s="3" t="s">
        <v>61</v>
      </c>
      <c r="H529" s="6" t="s">
        <v>1315</v>
      </c>
    </row>
    <row r="530" spans="1:8" ht="22.5" customHeight="1" x14ac:dyDescent="0.25">
      <c r="A530" s="13" t="s">
        <v>1316</v>
      </c>
      <c r="B530" s="2" t="s">
        <v>878</v>
      </c>
      <c r="C530" s="2" t="s">
        <v>1304</v>
      </c>
      <c r="D530" s="2" t="s">
        <v>880</v>
      </c>
      <c r="E530" s="2">
        <v>27.925999999999998</v>
      </c>
      <c r="F530" s="2" t="s">
        <v>60</v>
      </c>
      <c r="G530" s="2" t="s">
        <v>61</v>
      </c>
      <c r="H530" s="6" t="s">
        <v>1316</v>
      </c>
    </row>
    <row r="531" spans="1:8" ht="22.5" customHeight="1" x14ac:dyDescent="0.25">
      <c r="A531" s="14" t="s">
        <v>1317</v>
      </c>
      <c r="B531" s="3" t="s">
        <v>878</v>
      </c>
      <c r="C531" s="3" t="s">
        <v>1306</v>
      </c>
      <c r="D531" s="3" t="s">
        <v>880</v>
      </c>
      <c r="E531" s="3">
        <v>27.925999999999998</v>
      </c>
      <c r="F531" s="3" t="s">
        <v>60</v>
      </c>
      <c r="G531" s="3" t="s">
        <v>61</v>
      </c>
      <c r="H531" s="6" t="s">
        <v>1317</v>
      </c>
    </row>
    <row r="532" spans="1:8" ht="22.5" customHeight="1" x14ac:dyDescent="0.25">
      <c r="A532" s="13" t="s">
        <v>1318</v>
      </c>
      <c r="B532" s="2" t="s">
        <v>826</v>
      </c>
      <c r="C532" s="2" t="s">
        <v>1300</v>
      </c>
      <c r="D532" s="2" t="s">
        <v>828</v>
      </c>
      <c r="E532" s="2">
        <v>28.366</v>
      </c>
      <c r="F532" s="2" t="s">
        <v>60</v>
      </c>
      <c r="G532" s="2" t="s">
        <v>61</v>
      </c>
      <c r="H532" s="6" t="s">
        <v>1318</v>
      </c>
    </row>
    <row r="533" spans="1:8" ht="22.5" customHeight="1" x14ac:dyDescent="0.25">
      <c r="A533" s="14" t="s">
        <v>1319</v>
      </c>
      <c r="B533" s="3" t="s">
        <v>830</v>
      </c>
      <c r="C533" s="3" t="s">
        <v>1302</v>
      </c>
      <c r="D533" s="3" t="s">
        <v>832</v>
      </c>
      <c r="E533" s="3">
        <v>27.925999999999998</v>
      </c>
      <c r="F533" s="3" t="s">
        <v>60</v>
      </c>
      <c r="G533" s="3" t="s">
        <v>61</v>
      </c>
      <c r="H533" s="6" t="s">
        <v>1319</v>
      </c>
    </row>
    <row r="534" spans="1:8" ht="22.5" customHeight="1" x14ac:dyDescent="0.25">
      <c r="A534" s="13" t="s">
        <v>1320</v>
      </c>
      <c r="B534" s="2" t="s">
        <v>830</v>
      </c>
      <c r="C534" s="2" t="s">
        <v>1321</v>
      </c>
      <c r="D534" s="2" t="s">
        <v>832</v>
      </c>
      <c r="E534" s="2">
        <v>27.925999999999998</v>
      </c>
      <c r="F534" s="2" t="s">
        <v>60</v>
      </c>
      <c r="G534" s="2" t="s">
        <v>61</v>
      </c>
      <c r="H534" s="6" t="s">
        <v>1320</v>
      </c>
    </row>
    <row r="535" spans="1:8" ht="22.5" customHeight="1" x14ac:dyDescent="0.25">
      <c r="A535" s="14" t="s">
        <v>1322</v>
      </c>
      <c r="B535" s="3" t="s">
        <v>878</v>
      </c>
      <c r="C535" s="3" t="s">
        <v>1323</v>
      </c>
      <c r="D535" s="3" t="s">
        <v>880</v>
      </c>
      <c r="E535" s="3">
        <v>27.925999999999998</v>
      </c>
      <c r="F535" s="3" t="s">
        <v>60</v>
      </c>
      <c r="G535" s="3" t="s">
        <v>61</v>
      </c>
      <c r="H535" s="6" t="s">
        <v>1322</v>
      </c>
    </row>
    <row r="536" spans="1:8" ht="22.5" customHeight="1" x14ac:dyDescent="0.25">
      <c r="A536" s="13" t="s">
        <v>1324</v>
      </c>
      <c r="B536" s="2" t="s">
        <v>830</v>
      </c>
      <c r="C536" s="2" t="s">
        <v>1325</v>
      </c>
      <c r="D536" s="2" t="s">
        <v>832</v>
      </c>
      <c r="E536" s="2">
        <v>27.925999999999998</v>
      </c>
      <c r="F536" s="2" t="s">
        <v>60</v>
      </c>
      <c r="G536" s="2" t="s">
        <v>61</v>
      </c>
      <c r="H536" s="6" t="s">
        <v>1324</v>
      </c>
    </row>
    <row r="537" spans="1:8" ht="22.5" customHeight="1" x14ac:dyDescent="0.25">
      <c r="A537" s="14" t="s">
        <v>1326</v>
      </c>
      <c r="B537" s="3" t="s">
        <v>826</v>
      </c>
      <c r="C537" s="3" t="s">
        <v>1327</v>
      </c>
      <c r="D537" s="3" t="s">
        <v>828</v>
      </c>
      <c r="E537" s="3">
        <v>28.366</v>
      </c>
      <c r="F537" s="3" t="s">
        <v>60</v>
      </c>
      <c r="G537" s="3" t="s">
        <v>61</v>
      </c>
      <c r="H537" s="6" t="s">
        <v>1326</v>
      </c>
    </row>
    <row r="538" spans="1:8" ht="33.75" customHeight="1" x14ac:dyDescent="0.25">
      <c r="A538" s="13" t="s">
        <v>1328</v>
      </c>
      <c r="B538" s="2" t="s">
        <v>1329</v>
      </c>
      <c r="C538" s="2" t="s">
        <v>1330</v>
      </c>
      <c r="D538" s="2" t="s">
        <v>1331</v>
      </c>
      <c r="E538" s="2">
        <v>28.417000000000002</v>
      </c>
      <c r="F538" s="2" t="s">
        <v>60</v>
      </c>
      <c r="G538" s="2" t="s">
        <v>61</v>
      </c>
      <c r="H538" s="6" t="s">
        <v>1328</v>
      </c>
    </row>
    <row r="539" spans="1:8" ht="22.5" customHeight="1" x14ac:dyDescent="0.25">
      <c r="A539" s="14" t="s">
        <v>1332</v>
      </c>
      <c r="B539" s="3" t="s">
        <v>418</v>
      </c>
      <c r="C539" s="3" t="s">
        <v>1333</v>
      </c>
      <c r="D539" s="3" t="s">
        <v>420</v>
      </c>
      <c r="E539" s="3">
        <v>30.655200000000001</v>
      </c>
      <c r="F539" s="3" t="s">
        <v>60</v>
      </c>
      <c r="G539" s="3" t="s">
        <v>61</v>
      </c>
      <c r="H539" s="6" t="s">
        <v>1332</v>
      </c>
    </row>
    <row r="540" spans="1:8" ht="22.5" customHeight="1" x14ac:dyDescent="0.25">
      <c r="A540" s="13" t="s">
        <v>1334</v>
      </c>
      <c r="B540" s="2" t="s">
        <v>588</v>
      </c>
      <c r="C540" s="2" t="s">
        <v>1335</v>
      </c>
      <c r="D540" s="2" t="s">
        <v>590</v>
      </c>
      <c r="E540" s="2">
        <v>29.869199999999999</v>
      </c>
      <c r="F540" s="2" t="s">
        <v>60</v>
      </c>
      <c r="G540" s="2" t="s">
        <v>61</v>
      </c>
      <c r="H540" s="6" t="s">
        <v>1334</v>
      </c>
    </row>
    <row r="541" spans="1:8" ht="22.5" customHeight="1" x14ac:dyDescent="0.25">
      <c r="A541" s="14" t="s">
        <v>1336</v>
      </c>
      <c r="B541" s="3" t="s">
        <v>1151</v>
      </c>
      <c r="C541" s="3" t="s">
        <v>1152</v>
      </c>
      <c r="D541" s="3" t="s">
        <v>1153</v>
      </c>
      <c r="E541" s="3">
        <v>30.6372</v>
      </c>
      <c r="F541" s="3" t="s">
        <v>60</v>
      </c>
      <c r="G541" s="3" t="s">
        <v>61</v>
      </c>
      <c r="H541" s="6" t="s">
        <v>1336</v>
      </c>
    </row>
    <row r="542" spans="1:8" ht="22.5" customHeight="1" x14ac:dyDescent="0.25">
      <c r="A542" s="13" t="s">
        <v>1337</v>
      </c>
      <c r="B542" s="2" t="s">
        <v>588</v>
      </c>
      <c r="C542" s="2" t="s">
        <v>1338</v>
      </c>
      <c r="D542" s="2" t="s">
        <v>590</v>
      </c>
      <c r="E542" s="2">
        <v>29.869199999999999</v>
      </c>
      <c r="F542" s="2" t="s">
        <v>60</v>
      </c>
      <c r="G542" s="2" t="s">
        <v>61</v>
      </c>
      <c r="H542" s="6" t="s">
        <v>1337</v>
      </c>
    </row>
    <row r="543" spans="1:8" ht="22.5" customHeight="1" x14ac:dyDescent="0.25">
      <c r="A543" s="14" t="s">
        <v>1339</v>
      </c>
      <c r="B543" s="3" t="s">
        <v>404</v>
      </c>
      <c r="C543" s="3" t="s">
        <v>1340</v>
      </c>
      <c r="D543" s="3" t="s">
        <v>406</v>
      </c>
      <c r="E543" s="3">
        <v>29.999199999999998</v>
      </c>
      <c r="F543" s="3" t="s">
        <v>60</v>
      </c>
      <c r="G543" s="3" t="s">
        <v>61</v>
      </c>
      <c r="H543" s="6" t="s">
        <v>1339</v>
      </c>
    </row>
    <row r="544" spans="1:8" ht="22.5" customHeight="1" x14ac:dyDescent="0.25">
      <c r="A544" s="13" t="s">
        <v>1341</v>
      </c>
      <c r="B544" s="2" t="s">
        <v>1008</v>
      </c>
      <c r="C544" s="2" t="s">
        <v>1342</v>
      </c>
      <c r="D544" s="2" t="s">
        <v>1010</v>
      </c>
      <c r="E544" s="2">
        <v>30.4892</v>
      </c>
      <c r="F544" s="2" t="s">
        <v>60</v>
      </c>
      <c r="G544" s="2" t="s">
        <v>61</v>
      </c>
      <c r="H544" s="6" t="s">
        <v>1341</v>
      </c>
    </row>
    <row r="545" spans="1:8" ht="22.5" customHeight="1" x14ac:dyDescent="0.25">
      <c r="A545" s="14" t="s">
        <v>1343</v>
      </c>
      <c r="B545" s="3" t="s">
        <v>418</v>
      </c>
      <c r="C545" s="3" t="s">
        <v>1344</v>
      </c>
      <c r="D545" s="3" t="s">
        <v>420</v>
      </c>
      <c r="E545" s="3">
        <v>30.655200000000001</v>
      </c>
      <c r="F545" s="3" t="s">
        <v>60</v>
      </c>
      <c r="G545" s="3" t="s">
        <v>61</v>
      </c>
      <c r="H545" s="6" t="s">
        <v>1343</v>
      </c>
    </row>
    <row r="546" spans="1:8" ht="22.5" customHeight="1" x14ac:dyDescent="0.25">
      <c r="A546" s="13" t="s">
        <v>1345</v>
      </c>
      <c r="B546" s="2" t="s">
        <v>990</v>
      </c>
      <c r="C546" s="2" t="s">
        <v>1346</v>
      </c>
      <c r="D546" s="2" t="s">
        <v>992</v>
      </c>
      <c r="E546" s="2">
        <v>29.755199999999999</v>
      </c>
      <c r="F546" s="2" t="s">
        <v>60</v>
      </c>
      <c r="G546" s="2" t="s">
        <v>61</v>
      </c>
      <c r="H546" s="6" t="s">
        <v>1345</v>
      </c>
    </row>
    <row r="547" spans="1:8" ht="22.5" customHeight="1" x14ac:dyDescent="0.25">
      <c r="A547" s="14" t="s">
        <v>1347</v>
      </c>
      <c r="B547" s="3" t="s">
        <v>382</v>
      </c>
      <c r="C547" s="3" t="s">
        <v>1348</v>
      </c>
      <c r="D547" s="3" t="s">
        <v>384</v>
      </c>
      <c r="E547" s="3">
        <v>35.3172</v>
      </c>
      <c r="F547" s="3" t="s">
        <v>60</v>
      </c>
      <c r="G547" s="3" t="s">
        <v>61</v>
      </c>
      <c r="H547" s="6" t="s">
        <v>1347</v>
      </c>
    </row>
    <row r="548" spans="1:8" ht="22.5" customHeight="1" x14ac:dyDescent="0.25">
      <c r="A548" s="13" t="s">
        <v>1349</v>
      </c>
      <c r="B548" s="2" t="s">
        <v>794</v>
      </c>
      <c r="C548" s="2" t="s">
        <v>1350</v>
      </c>
      <c r="D548" s="2" t="s">
        <v>796</v>
      </c>
      <c r="E548" s="2">
        <v>34.151200000000003</v>
      </c>
      <c r="F548" s="2" t="s">
        <v>60</v>
      </c>
      <c r="G548" s="2" t="s">
        <v>61</v>
      </c>
      <c r="H548" s="6" t="s">
        <v>1349</v>
      </c>
    </row>
    <row r="549" spans="1:8" ht="22.5" customHeight="1" x14ac:dyDescent="0.25">
      <c r="A549" s="14" t="s">
        <v>1351</v>
      </c>
      <c r="B549" s="3" t="s">
        <v>794</v>
      </c>
      <c r="C549" s="3" t="s">
        <v>1352</v>
      </c>
      <c r="D549" s="3" t="s">
        <v>796</v>
      </c>
      <c r="E549" s="3">
        <v>34.151200000000003</v>
      </c>
      <c r="F549" s="3" t="s">
        <v>60</v>
      </c>
      <c r="G549" s="3" t="s">
        <v>61</v>
      </c>
      <c r="H549" s="6" t="s">
        <v>1351</v>
      </c>
    </row>
    <row r="550" spans="1:8" ht="22.5" customHeight="1" x14ac:dyDescent="0.25">
      <c r="A550" s="13" t="s">
        <v>1353</v>
      </c>
      <c r="B550" s="2" t="s">
        <v>1354</v>
      </c>
      <c r="C550" s="2" t="s">
        <v>1355</v>
      </c>
      <c r="D550" s="2" t="s">
        <v>1356</v>
      </c>
      <c r="E550" s="2">
        <v>50.954000000000001</v>
      </c>
      <c r="F550" s="2" t="s">
        <v>60</v>
      </c>
      <c r="G550" s="2" t="s">
        <v>61</v>
      </c>
      <c r="H550" s="6" t="s">
        <v>1353</v>
      </c>
    </row>
    <row r="551" spans="1:8" ht="22.5" customHeight="1" x14ac:dyDescent="0.25">
      <c r="A551" s="14" t="s">
        <v>1357</v>
      </c>
      <c r="B551" s="3" t="s">
        <v>1139</v>
      </c>
      <c r="C551" s="3" t="s">
        <v>1358</v>
      </c>
      <c r="D551" s="3" t="s">
        <v>1141</v>
      </c>
      <c r="E551" s="3">
        <v>49.136000000000003</v>
      </c>
      <c r="F551" s="3" t="s">
        <v>60</v>
      </c>
      <c r="G551" s="3" t="s">
        <v>61</v>
      </c>
      <c r="H551" s="6" t="s">
        <v>1357</v>
      </c>
    </row>
    <row r="552" spans="1:8" ht="22.5" customHeight="1" x14ac:dyDescent="0.25">
      <c r="A552" s="13" t="s">
        <v>1359</v>
      </c>
      <c r="B552" s="2" t="s">
        <v>1360</v>
      </c>
      <c r="C552" s="2" t="s">
        <v>1361</v>
      </c>
      <c r="D552" s="2" t="s">
        <v>1362</v>
      </c>
      <c r="E552" s="2">
        <v>53.335999999999999</v>
      </c>
      <c r="F552" s="2" t="s">
        <v>60</v>
      </c>
      <c r="G552" s="2" t="s">
        <v>61</v>
      </c>
      <c r="H552" s="6" t="s">
        <v>1359</v>
      </c>
    </row>
    <row r="553" spans="1:8" ht="22.5" customHeight="1" x14ac:dyDescent="0.25">
      <c r="A553" s="14" t="s">
        <v>1363</v>
      </c>
      <c r="B553" s="3" t="s">
        <v>418</v>
      </c>
      <c r="C553" s="3" t="s">
        <v>1266</v>
      </c>
      <c r="D553" s="3" t="s">
        <v>420</v>
      </c>
      <c r="E553" s="3">
        <v>30.655200000000001</v>
      </c>
      <c r="F553" s="3" t="s">
        <v>60</v>
      </c>
      <c r="G553" s="3" t="s">
        <v>61</v>
      </c>
      <c r="H553" s="6" t="s">
        <v>1363</v>
      </c>
    </row>
    <row r="554" spans="1:8" ht="22.5" customHeight="1" x14ac:dyDescent="0.25">
      <c r="A554" s="13" t="s">
        <v>1364</v>
      </c>
      <c r="B554" s="2" t="s">
        <v>794</v>
      </c>
      <c r="C554" s="2" t="s">
        <v>1350</v>
      </c>
      <c r="D554" s="2" t="s">
        <v>796</v>
      </c>
      <c r="E554" s="2">
        <v>34.151200000000003</v>
      </c>
      <c r="F554" s="2" t="s">
        <v>60</v>
      </c>
      <c r="G554" s="2" t="s">
        <v>61</v>
      </c>
      <c r="H554" s="6" t="s">
        <v>1364</v>
      </c>
    </row>
    <row r="555" spans="1:8" ht="22.5" customHeight="1" x14ac:dyDescent="0.25">
      <c r="A555" s="14" t="s">
        <v>1365</v>
      </c>
      <c r="B555" s="3" t="s">
        <v>669</v>
      </c>
      <c r="C555" s="3" t="s">
        <v>1366</v>
      </c>
      <c r="D555" s="3" t="s">
        <v>671</v>
      </c>
      <c r="E555" s="3">
        <v>29.982399999999998</v>
      </c>
      <c r="F555" s="3" t="s">
        <v>60</v>
      </c>
      <c r="G555" s="3" t="s">
        <v>61</v>
      </c>
      <c r="H555" s="6" t="s">
        <v>1365</v>
      </c>
    </row>
    <row r="556" spans="1:8" ht="22.5" customHeight="1" x14ac:dyDescent="0.25">
      <c r="A556" s="13" t="s">
        <v>1367</v>
      </c>
      <c r="B556" s="2" t="s">
        <v>1368</v>
      </c>
      <c r="C556" s="2" t="s">
        <v>1369</v>
      </c>
      <c r="D556" s="2" t="s">
        <v>1370</v>
      </c>
      <c r="E556" s="2">
        <v>30.008400000000002</v>
      </c>
      <c r="F556" s="2" t="s">
        <v>60</v>
      </c>
      <c r="G556" s="2" t="s">
        <v>61</v>
      </c>
      <c r="H556" s="6" t="s">
        <v>1367</v>
      </c>
    </row>
    <row r="557" spans="1:8" ht="22.5" customHeight="1" x14ac:dyDescent="0.25">
      <c r="A557" s="14" t="s">
        <v>1371</v>
      </c>
      <c r="B557" s="3" t="s">
        <v>665</v>
      </c>
      <c r="C557" s="3" t="s">
        <v>1372</v>
      </c>
      <c r="D557" s="3" t="s">
        <v>667</v>
      </c>
      <c r="E557" s="3">
        <v>29.432400000000001</v>
      </c>
      <c r="F557" s="3" t="s">
        <v>60</v>
      </c>
      <c r="G557" s="3" t="s">
        <v>61</v>
      </c>
      <c r="H557" s="6" t="s">
        <v>1371</v>
      </c>
    </row>
    <row r="558" spans="1:8" ht="22.5" customHeight="1" x14ac:dyDescent="0.25">
      <c r="A558" s="13" t="s">
        <v>1373</v>
      </c>
      <c r="B558" s="2" t="s">
        <v>650</v>
      </c>
      <c r="C558" s="2" t="s">
        <v>1374</v>
      </c>
      <c r="D558" s="2" t="s">
        <v>652</v>
      </c>
      <c r="E558" s="2">
        <v>33.497</v>
      </c>
      <c r="F558" s="2" t="s">
        <v>60</v>
      </c>
      <c r="G558" s="2" t="s">
        <v>61</v>
      </c>
      <c r="H558" s="6" t="s">
        <v>1373</v>
      </c>
    </row>
    <row r="559" spans="1:8" ht="33.75" customHeight="1" x14ac:dyDescent="0.25">
      <c r="A559" s="14" t="s">
        <v>1375</v>
      </c>
      <c r="B559" s="3" t="s">
        <v>89</v>
      </c>
      <c r="C559" s="3" t="s">
        <v>1376</v>
      </c>
      <c r="D559" s="3" t="s">
        <v>91</v>
      </c>
      <c r="E559" s="3">
        <v>32.389200000000002</v>
      </c>
      <c r="F559" s="3" t="s">
        <v>60</v>
      </c>
      <c r="G559" s="3" t="s">
        <v>61</v>
      </c>
      <c r="H559" s="6" t="s">
        <v>1375</v>
      </c>
    </row>
    <row r="560" spans="1:8" ht="22.5" customHeight="1" x14ac:dyDescent="0.25">
      <c r="A560" s="13" t="s">
        <v>1377</v>
      </c>
      <c r="B560" s="2" t="s">
        <v>418</v>
      </c>
      <c r="C560" s="2" t="s">
        <v>1378</v>
      </c>
      <c r="D560" s="2" t="s">
        <v>420</v>
      </c>
      <c r="E560" s="2">
        <v>30.655200000000001</v>
      </c>
      <c r="F560" s="2" t="s">
        <v>60</v>
      </c>
      <c r="G560" s="2" t="s">
        <v>61</v>
      </c>
      <c r="H560" s="6" t="s">
        <v>1377</v>
      </c>
    </row>
    <row r="561" spans="1:8" ht="33.75" customHeight="1" x14ac:dyDescent="0.25">
      <c r="A561" s="14" t="s">
        <v>1379</v>
      </c>
      <c r="B561" s="3" t="s">
        <v>418</v>
      </c>
      <c r="C561" s="3" t="s">
        <v>1380</v>
      </c>
      <c r="D561" s="3" t="s">
        <v>420</v>
      </c>
      <c r="E561" s="3">
        <v>30.655200000000001</v>
      </c>
      <c r="F561" s="3" t="s">
        <v>60</v>
      </c>
      <c r="G561" s="3" t="s">
        <v>61</v>
      </c>
      <c r="H561" s="6" t="s">
        <v>1379</v>
      </c>
    </row>
    <row r="562" spans="1:8" ht="22.5" customHeight="1" x14ac:dyDescent="0.25">
      <c r="A562" s="13" t="s">
        <v>1381</v>
      </c>
      <c r="B562" s="2" t="s">
        <v>418</v>
      </c>
      <c r="C562" s="2" t="s">
        <v>1382</v>
      </c>
      <c r="D562" s="2" t="s">
        <v>420</v>
      </c>
      <c r="E562" s="2">
        <v>30.655200000000001</v>
      </c>
      <c r="F562" s="2" t="s">
        <v>60</v>
      </c>
      <c r="G562" s="2" t="s">
        <v>61</v>
      </c>
      <c r="H562" s="6" t="s">
        <v>1381</v>
      </c>
    </row>
    <row r="563" spans="1:8" ht="33.75" customHeight="1" x14ac:dyDescent="0.25">
      <c r="A563" s="14" t="s">
        <v>1383</v>
      </c>
      <c r="B563" s="3" t="s">
        <v>418</v>
      </c>
      <c r="C563" s="3" t="s">
        <v>1384</v>
      </c>
      <c r="D563" s="3" t="s">
        <v>420</v>
      </c>
      <c r="E563" s="3">
        <v>30.655200000000001</v>
      </c>
      <c r="F563" s="3" t="s">
        <v>60</v>
      </c>
      <c r="G563" s="3" t="s">
        <v>61</v>
      </c>
      <c r="H563" s="6" t="s">
        <v>1383</v>
      </c>
    </row>
    <row r="564" spans="1:8" ht="22.5" customHeight="1" x14ac:dyDescent="0.25">
      <c r="A564" s="13" t="s">
        <v>1385</v>
      </c>
      <c r="B564" s="2" t="s">
        <v>418</v>
      </c>
      <c r="C564" s="2" t="s">
        <v>1386</v>
      </c>
      <c r="D564" s="2" t="s">
        <v>420</v>
      </c>
      <c r="E564" s="2">
        <v>30.655200000000001</v>
      </c>
      <c r="F564" s="2" t="s">
        <v>60</v>
      </c>
      <c r="G564" s="2" t="s">
        <v>61</v>
      </c>
      <c r="H564" s="6" t="s">
        <v>1385</v>
      </c>
    </row>
    <row r="565" spans="1:8" ht="22.5" customHeight="1" x14ac:dyDescent="0.25">
      <c r="A565" s="14" t="s">
        <v>1387</v>
      </c>
      <c r="B565" s="3" t="s">
        <v>418</v>
      </c>
      <c r="C565" s="3" t="s">
        <v>1388</v>
      </c>
      <c r="D565" s="3" t="s">
        <v>420</v>
      </c>
      <c r="E565" s="3">
        <v>30.655200000000001</v>
      </c>
      <c r="F565" s="3" t="s">
        <v>60</v>
      </c>
      <c r="G565" s="3" t="s">
        <v>61</v>
      </c>
      <c r="H565" s="6" t="s">
        <v>1387</v>
      </c>
    </row>
    <row r="566" spans="1:8" ht="22.5" customHeight="1" x14ac:dyDescent="0.25">
      <c r="A566" s="13" t="s">
        <v>1389</v>
      </c>
      <c r="B566" s="2" t="s">
        <v>418</v>
      </c>
      <c r="C566" s="2" t="s">
        <v>1390</v>
      </c>
      <c r="D566" s="2" t="s">
        <v>420</v>
      </c>
      <c r="E566" s="2">
        <v>30.655200000000001</v>
      </c>
      <c r="F566" s="2" t="s">
        <v>60</v>
      </c>
      <c r="G566" s="2" t="s">
        <v>61</v>
      </c>
      <c r="H566" s="6" t="s">
        <v>1389</v>
      </c>
    </row>
    <row r="567" spans="1:8" ht="22.5" customHeight="1" x14ac:dyDescent="0.25">
      <c r="A567" s="14" t="s">
        <v>1391</v>
      </c>
      <c r="B567" s="3" t="s">
        <v>418</v>
      </c>
      <c r="C567" s="3" t="s">
        <v>1392</v>
      </c>
      <c r="D567" s="3" t="s">
        <v>420</v>
      </c>
      <c r="E567" s="3">
        <v>30.655200000000001</v>
      </c>
      <c r="F567" s="3" t="s">
        <v>60</v>
      </c>
      <c r="G567" s="3" t="s">
        <v>61</v>
      </c>
      <c r="H567" s="6" t="s">
        <v>1391</v>
      </c>
    </row>
    <row r="568" spans="1:8" ht="22.5" customHeight="1" x14ac:dyDescent="0.25">
      <c r="A568" s="13" t="s">
        <v>1393</v>
      </c>
      <c r="B568" s="2" t="s">
        <v>414</v>
      </c>
      <c r="C568" s="2" t="s">
        <v>1394</v>
      </c>
      <c r="D568" s="2" t="s">
        <v>416</v>
      </c>
      <c r="E568" s="2">
        <v>31.0092</v>
      </c>
      <c r="F568" s="2" t="s">
        <v>60</v>
      </c>
      <c r="G568" s="2" t="s">
        <v>61</v>
      </c>
      <c r="H568" s="6" t="s">
        <v>1393</v>
      </c>
    </row>
    <row r="569" spans="1:8" ht="22.5" customHeight="1" x14ac:dyDescent="0.25">
      <c r="A569" s="14" t="s">
        <v>1395</v>
      </c>
      <c r="B569" s="3" t="s">
        <v>414</v>
      </c>
      <c r="C569" s="3" t="s">
        <v>1396</v>
      </c>
      <c r="D569" s="3" t="s">
        <v>416</v>
      </c>
      <c r="E569" s="3">
        <v>31.0092</v>
      </c>
      <c r="F569" s="3" t="s">
        <v>60</v>
      </c>
      <c r="G569" s="3" t="s">
        <v>61</v>
      </c>
      <c r="H569" s="6" t="s">
        <v>1395</v>
      </c>
    </row>
    <row r="570" spans="1:8" ht="22.5" customHeight="1" x14ac:dyDescent="0.25">
      <c r="A570" s="13" t="s">
        <v>1397</v>
      </c>
      <c r="B570" s="2" t="s">
        <v>386</v>
      </c>
      <c r="C570" s="2" t="s">
        <v>1398</v>
      </c>
      <c r="D570" s="2" t="s">
        <v>388</v>
      </c>
      <c r="E570" s="2">
        <v>33.783799999999999</v>
      </c>
      <c r="F570" s="2" t="s">
        <v>60</v>
      </c>
      <c r="G570" s="2" t="s">
        <v>61</v>
      </c>
      <c r="H570" s="6" t="s">
        <v>1397</v>
      </c>
    </row>
    <row r="571" spans="1:8" ht="22.5" customHeight="1" x14ac:dyDescent="0.25">
      <c r="A571" s="14" t="s">
        <v>1399</v>
      </c>
      <c r="B571" s="3" t="s">
        <v>386</v>
      </c>
      <c r="C571" s="3" t="s">
        <v>1400</v>
      </c>
      <c r="D571" s="3" t="s">
        <v>388</v>
      </c>
      <c r="E571" s="3">
        <v>33.783799999999999</v>
      </c>
      <c r="F571" s="3" t="s">
        <v>60</v>
      </c>
      <c r="G571" s="3" t="s">
        <v>61</v>
      </c>
      <c r="H571" s="6" t="s">
        <v>1399</v>
      </c>
    </row>
    <row r="572" spans="1:8" ht="22.5" customHeight="1" x14ac:dyDescent="0.25">
      <c r="A572" s="13" t="s">
        <v>1401</v>
      </c>
      <c r="B572" s="2" t="s">
        <v>1402</v>
      </c>
      <c r="C572" s="2" t="s">
        <v>1403</v>
      </c>
      <c r="D572" s="2" t="s">
        <v>1404</v>
      </c>
      <c r="E572" s="2">
        <v>28.649000000000001</v>
      </c>
      <c r="F572" s="2" t="s">
        <v>60</v>
      </c>
      <c r="G572" s="2" t="s">
        <v>61</v>
      </c>
      <c r="H572" s="6" t="s">
        <v>1401</v>
      </c>
    </row>
    <row r="573" spans="1:8" ht="33.75" customHeight="1" x14ac:dyDescent="0.25">
      <c r="A573" s="14" t="s">
        <v>1405</v>
      </c>
      <c r="B573" s="3" t="s">
        <v>1402</v>
      </c>
      <c r="C573" s="3" t="s">
        <v>1406</v>
      </c>
      <c r="D573" s="3" t="s">
        <v>1404</v>
      </c>
      <c r="E573" s="3">
        <v>28.649000000000001</v>
      </c>
      <c r="F573" s="3" t="s">
        <v>60</v>
      </c>
      <c r="G573" s="3" t="s">
        <v>61</v>
      </c>
      <c r="H573" s="6" t="s">
        <v>1405</v>
      </c>
    </row>
    <row r="574" spans="1:8" ht="33.75" customHeight="1" x14ac:dyDescent="0.25">
      <c r="A574" s="13" t="s">
        <v>1407</v>
      </c>
      <c r="B574" s="2" t="s">
        <v>1402</v>
      </c>
      <c r="C574" s="2" t="s">
        <v>1408</v>
      </c>
      <c r="D574" s="2" t="s">
        <v>1404</v>
      </c>
      <c r="E574" s="2">
        <v>28.649000000000001</v>
      </c>
      <c r="F574" s="2" t="s">
        <v>60</v>
      </c>
      <c r="G574" s="2" t="s">
        <v>61</v>
      </c>
      <c r="H574" s="6" t="s">
        <v>1407</v>
      </c>
    </row>
    <row r="575" spans="1:8" ht="22.5" customHeight="1" x14ac:dyDescent="0.25">
      <c r="A575" s="14" t="s">
        <v>1409</v>
      </c>
      <c r="B575" s="3" t="s">
        <v>324</v>
      </c>
      <c r="C575" s="3" t="s">
        <v>1410</v>
      </c>
      <c r="D575" s="3" t="s">
        <v>326</v>
      </c>
      <c r="E575" s="3">
        <v>29.719200000000001</v>
      </c>
      <c r="F575" s="3" t="s">
        <v>60</v>
      </c>
      <c r="G575" s="3" t="s">
        <v>61</v>
      </c>
      <c r="H575" s="6" t="s">
        <v>1409</v>
      </c>
    </row>
    <row r="576" spans="1:8" ht="22.5" customHeight="1" x14ac:dyDescent="0.25">
      <c r="A576" s="13" t="s">
        <v>1411</v>
      </c>
      <c r="B576" s="2" t="s">
        <v>324</v>
      </c>
      <c r="C576" s="2" t="s">
        <v>1412</v>
      </c>
      <c r="D576" s="2" t="s">
        <v>326</v>
      </c>
      <c r="E576" s="2">
        <v>29.719200000000001</v>
      </c>
      <c r="F576" s="2" t="s">
        <v>60</v>
      </c>
      <c r="G576" s="2" t="s">
        <v>61</v>
      </c>
      <c r="H576" s="6" t="s">
        <v>1411</v>
      </c>
    </row>
    <row r="577" spans="1:8" ht="22.5" customHeight="1" x14ac:dyDescent="0.25">
      <c r="A577" s="14" t="s">
        <v>1413</v>
      </c>
      <c r="B577" s="3" t="s">
        <v>324</v>
      </c>
      <c r="C577" s="3" t="s">
        <v>1145</v>
      </c>
      <c r="D577" s="3" t="s">
        <v>326</v>
      </c>
      <c r="E577" s="3">
        <v>29.719200000000001</v>
      </c>
      <c r="F577" s="3" t="s">
        <v>60</v>
      </c>
      <c r="G577" s="3" t="s">
        <v>61</v>
      </c>
      <c r="H577" s="6" t="s">
        <v>1413</v>
      </c>
    </row>
    <row r="578" spans="1:8" ht="33.75" customHeight="1" x14ac:dyDescent="0.25">
      <c r="A578" s="13" t="s">
        <v>1414</v>
      </c>
      <c r="B578" s="2" t="s">
        <v>324</v>
      </c>
      <c r="C578" s="2" t="s">
        <v>1415</v>
      </c>
      <c r="D578" s="2" t="s">
        <v>326</v>
      </c>
      <c r="E578" s="2">
        <v>29.719200000000001</v>
      </c>
      <c r="F578" s="2" t="s">
        <v>60</v>
      </c>
      <c r="G578" s="2" t="s">
        <v>61</v>
      </c>
      <c r="H578" s="6" t="s">
        <v>1414</v>
      </c>
    </row>
    <row r="579" spans="1:8" ht="22.5" customHeight="1" x14ac:dyDescent="0.25">
      <c r="A579" s="14" t="s">
        <v>1416</v>
      </c>
      <c r="B579" s="3" t="s">
        <v>1417</v>
      </c>
      <c r="C579" s="3" t="s">
        <v>1418</v>
      </c>
      <c r="D579" s="3" t="s">
        <v>1419</v>
      </c>
      <c r="E579" s="3">
        <v>28.617000000000001</v>
      </c>
      <c r="F579" s="3" t="s">
        <v>60</v>
      </c>
      <c r="G579" s="3" t="s">
        <v>61</v>
      </c>
      <c r="H579" s="6" t="s">
        <v>1416</v>
      </c>
    </row>
    <row r="580" spans="1:8" ht="22.5" customHeight="1" x14ac:dyDescent="0.25">
      <c r="A580" s="13" t="s">
        <v>1420</v>
      </c>
      <c r="B580" s="2" t="s">
        <v>1417</v>
      </c>
      <c r="C580" s="2" t="s">
        <v>1421</v>
      </c>
      <c r="D580" s="2" t="s">
        <v>1419</v>
      </c>
      <c r="E580" s="2">
        <v>28.617000000000001</v>
      </c>
      <c r="F580" s="2" t="s">
        <v>60</v>
      </c>
      <c r="G580" s="2" t="s">
        <v>61</v>
      </c>
      <c r="H580" s="6" t="s">
        <v>1420</v>
      </c>
    </row>
    <row r="581" spans="1:8" ht="22.5" customHeight="1" x14ac:dyDescent="0.25">
      <c r="A581" s="14" t="s">
        <v>1422</v>
      </c>
      <c r="B581" s="3" t="s">
        <v>794</v>
      </c>
      <c r="C581" s="3" t="s">
        <v>1423</v>
      </c>
      <c r="D581" s="3" t="s">
        <v>796</v>
      </c>
      <c r="E581" s="3">
        <v>34.151200000000003</v>
      </c>
      <c r="F581" s="3" t="s">
        <v>60</v>
      </c>
      <c r="G581" s="3" t="s">
        <v>61</v>
      </c>
      <c r="H581" s="6" t="s">
        <v>1422</v>
      </c>
    </row>
    <row r="582" spans="1:8" ht="22.5" customHeight="1" x14ac:dyDescent="0.25">
      <c r="A582" s="13" t="s">
        <v>1424</v>
      </c>
      <c r="B582" s="2" t="s">
        <v>794</v>
      </c>
      <c r="C582" s="2" t="s">
        <v>1425</v>
      </c>
      <c r="D582" s="2" t="s">
        <v>796</v>
      </c>
      <c r="E582" s="2">
        <v>34.151200000000003</v>
      </c>
      <c r="F582" s="2" t="s">
        <v>60</v>
      </c>
      <c r="G582" s="2" t="s">
        <v>61</v>
      </c>
      <c r="H582" s="6" t="s">
        <v>1424</v>
      </c>
    </row>
    <row r="583" spans="1:8" ht="33.75" customHeight="1" x14ac:dyDescent="0.25">
      <c r="A583" s="14" t="s">
        <v>1426</v>
      </c>
      <c r="B583" s="3" t="s">
        <v>1427</v>
      </c>
      <c r="C583" s="3" t="s">
        <v>1428</v>
      </c>
      <c r="D583" s="3" t="s">
        <v>1429</v>
      </c>
      <c r="E583" s="3">
        <v>28.649000000000001</v>
      </c>
      <c r="F583" s="3" t="s">
        <v>60</v>
      </c>
      <c r="G583" s="3" t="s">
        <v>61</v>
      </c>
      <c r="H583" s="6" t="s">
        <v>1426</v>
      </c>
    </row>
    <row r="584" spans="1:8" ht="22.5" customHeight="1" x14ac:dyDescent="0.25">
      <c r="A584" s="13" t="s">
        <v>1430</v>
      </c>
      <c r="B584" s="2" t="s">
        <v>1427</v>
      </c>
      <c r="C584" s="2" t="s">
        <v>1431</v>
      </c>
      <c r="D584" s="2" t="s">
        <v>1429</v>
      </c>
      <c r="E584" s="2">
        <v>28.649000000000001</v>
      </c>
      <c r="F584" s="2" t="s">
        <v>60</v>
      </c>
      <c r="G584" s="2" t="s">
        <v>61</v>
      </c>
      <c r="H584" s="6" t="s">
        <v>1430</v>
      </c>
    </row>
    <row r="585" spans="1:8" ht="22.5" customHeight="1" x14ac:dyDescent="0.25">
      <c r="A585" s="14" t="s">
        <v>1432</v>
      </c>
      <c r="B585" s="3" t="s">
        <v>1427</v>
      </c>
      <c r="C585" s="3" t="s">
        <v>1433</v>
      </c>
      <c r="D585" s="3" t="s">
        <v>1429</v>
      </c>
      <c r="E585" s="3">
        <v>28.649000000000001</v>
      </c>
      <c r="F585" s="3" t="s">
        <v>60</v>
      </c>
      <c r="G585" s="3" t="s">
        <v>61</v>
      </c>
      <c r="H585" s="6" t="s">
        <v>1432</v>
      </c>
    </row>
    <row r="586" spans="1:8" ht="33.75" customHeight="1" x14ac:dyDescent="0.25">
      <c r="A586" s="13" t="s">
        <v>1434</v>
      </c>
      <c r="B586" s="2" t="s">
        <v>1427</v>
      </c>
      <c r="C586" s="2" t="s">
        <v>1435</v>
      </c>
      <c r="D586" s="2" t="s">
        <v>1429</v>
      </c>
      <c r="E586" s="2">
        <v>28.649000000000001</v>
      </c>
      <c r="F586" s="2" t="s">
        <v>60</v>
      </c>
      <c r="G586" s="2" t="s">
        <v>61</v>
      </c>
      <c r="H586" s="6" t="s">
        <v>1434</v>
      </c>
    </row>
    <row r="587" spans="1:8" ht="33.75" customHeight="1" x14ac:dyDescent="0.25">
      <c r="A587" s="14" t="s">
        <v>1436</v>
      </c>
      <c r="B587" s="3" t="s">
        <v>1437</v>
      </c>
      <c r="C587" s="3" t="s">
        <v>1438</v>
      </c>
      <c r="D587" s="3" t="s">
        <v>1439</v>
      </c>
      <c r="E587" s="3">
        <v>28.649000000000001</v>
      </c>
      <c r="F587" s="3" t="s">
        <v>60</v>
      </c>
      <c r="G587" s="3" t="s">
        <v>61</v>
      </c>
      <c r="H587" s="6" t="s">
        <v>1436</v>
      </c>
    </row>
    <row r="588" spans="1:8" ht="22.5" customHeight="1" x14ac:dyDescent="0.25">
      <c r="A588" s="13" t="s">
        <v>1440</v>
      </c>
      <c r="B588" s="2" t="s">
        <v>400</v>
      </c>
      <c r="C588" s="2" t="s">
        <v>1441</v>
      </c>
      <c r="D588" s="2" t="s">
        <v>402</v>
      </c>
      <c r="E588" s="2">
        <v>34.332239999999999</v>
      </c>
      <c r="F588" s="2" t="s">
        <v>60</v>
      </c>
      <c r="G588" s="2" t="s">
        <v>61</v>
      </c>
      <c r="H588" s="6" t="s">
        <v>1440</v>
      </c>
    </row>
    <row r="589" spans="1:8" ht="22.5" customHeight="1" x14ac:dyDescent="0.25">
      <c r="A589" s="14" t="s">
        <v>1442</v>
      </c>
      <c r="B589" s="3" t="s">
        <v>1437</v>
      </c>
      <c r="C589" s="3" t="s">
        <v>1443</v>
      </c>
      <c r="D589" s="3" t="s">
        <v>1439</v>
      </c>
      <c r="E589" s="3">
        <v>28.649000000000001</v>
      </c>
      <c r="F589" s="3" t="s">
        <v>60</v>
      </c>
      <c r="G589" s="3" t="s">
        <v>61</v>
      </c>
      <c r="H589" s="6" t="s">
        <v>1442</v>
      </c>
    </row>
    <row r="590" spans="1:8" ht="22.5" customHeight="1" x14ac:dyDescent="0.25">
      <c r="A590" s="13" t="s">
        <v>1444</v>
      </c>
      <c r="B590" s="2" t="s">
        <v>400</v>
      </c>
      <c r="C590" s="2" t="s">
        <v>1445</v>
      </c>
      <c r="D590" s="2" t="s">
        <v>402</v>
      </c>
      <c r="E590" s="2">
        <v>34.332239999999999</v>
      </c>
      <c r="F590" s="2" t="s">
        <v>60</v>
      </c>
      <c r="G590" s="2" t="s">
        <v>61</v>
      </c>
      <c r="H590" s="6" t="s">
        <v>1444</v>
      </c>
    </row>
    <row r="591" spans="1:8" ht="22.5" customHeight="1" x14ac:dyDescent="0.25">
      <c r="A591" s="14" t="s">
        <v>1446</v>
      </c>
      <c r="B591" s="3" t="s">
        <v>400</v>
      </c>
      <c r="C591" s="3" t="s">
        <v>1447</v>
      </c>
      <c r="D591" s="3" t="s">
        <v>402</v>
      </c>
      <c r="E591" s="3">
        <v>34.332239999999999</v>
      </c>
      <c r="F591" s="3" t="s">
        <v>60</v>
      </c>
      <c r="G591" s="3" t="s">
        <v>61</v>
      </c>
      <c r="H591" s="6" t="s">
        <v>1446</v>
      </c>
    </row>
    <row r="592" spans="1:8" ht="22.5" customHeight="1" x14ac:dyDescent="0.25">
      <c r="A592" s="13" t="s">
        <v>1448</v>
      </c>
      <c r="B592" s="2" t="s">
        <v>400</v>
      </c>
      <c r="C592" s="2" t="s">
        <v>1449</v>
      </c>
      <c r="D592" s="2" t="s">
        <v>402</v>
      </c>
      <c r="E592" s="2">
        <v>34.332239999999999</v>
      </c>
      <c r="F592" s="2" t="s">
        <v>60</v>
      </c>
      <c r="G592" s="2" t="s">
        <v>61</v>
      </c>
      <c r="H592" s="6" t="s">
        <v>1448</v>
      </c>
    </row>
    <row r="593" spans="1:8" ht="22.5" customHeight="1" x14ac:dyDescent="0.25">
      <c r="A593" s="14" t="s">
        <v>1450</v>
      </c>
      <c r="B593" s="3" t="s">
        <v>400</v>
      </c>
      <c r="C593" s="3" t="s">
        <v>1451</v>
      </c>
      <c r="D593" s="3" t="s">
        <v>402</v>
      </c>
      <c r="E593" s="3">
        <v>34.332239999999999</v>
      </c>
      <c r="F593" s="3" t="s">
        <v>60</v>
      </c>
      <c r="G593" s="3" t="s">
        <v>61</v>
      </c>
      <c r="H593" s="6" t="s">
        <v>1450</v>
      </c>
    </row>
    <row r="594" spans="1:8" ht="22.5" customHeight="1" x14ac:dyDescent="0.25">
      <c r="A594" s="13" t="s">
        <v>1452</v>
      </c>
      <c r="B594" s="2" t="s">
        <v>1453</v>
      </c>
      <c r="C594" s="2" t="s">
        <v>1454</v>
      </c>
      <c r="D594" s="2" t="s">
        <v>1455</v>
      </c>
      <c r="E594" s="2">
        <v>29.056999999999999</v>
      </c>
      <c r="F594" s="2" t="s">
        <v>60</v>
      </c>
      <c r="G594" s="2" t="s">
        <v>61</v>
      </c>
      <c r="H594" s="6" t="s">
        <v>1452</v>
      </c>
    </row>
    <row r="595" spans="1:8" ht="33.75" customHeight="1" x14ac:dyDescent="0.25">
      <c r="A595" s="14" t="s">
        <v>1456</v>
      </c>
      <c r="B595" s="3" t="s">
        <v>1427</v>
      </c>
      <c r="C595" s="3" t="s">
        <v>1457</v>
      </c>
      <c r="D595" s="3" t="s">
        <v>1429</v>
      </c>
      <c r="E595" s="3">
        <v>28.649000000000001</v>
      </c>
      <c r="F595" s="3" t="s">
        <v>60</v>
      </c>
      <c r="G595" s="3" t="s">
        <v>61</v>
      </c>
      <c r="H595" s="6" t="s">
        <v>1456</v>
      </c>
    </row>
    <row r="596" spans="1:8" ht="22.5" customHeight="1" x14ac:dyDescent="0.25">
      <c r="A596" s="13" t="s">
        <v>1458</v>
      </c>
      <c r="B596" s="2" t="s">
        <v>418</v>
      </c>
      <c r="C596" s="2" t="s">
        <v>1459</v>
      </c>
      <c r="D596" s="2" t="s">
        <v>420</v>
      </c>
      <c r="E596" s="2">
        <v>30.655200000000001</v>
      </c>
      <c r="F596" s="2" t="s">
        <v>60</v>
      </c>
      <c r="G596" s="2" t="s">
        <v>61</v>
      </c>
      <c r="H596" s="6" t="s">
        <v>1458</v>
      </c>
    </row>
    <row r="597" spans="1:8" ht="22.5" customHeight="1" x14ac:dyDescent="0.25">
      <c r="A597" s="14" t="s">
        <v>1460</v>
      </c>
      <c r="B597" s="3" t="s">
        <v>1427</v>
      </c>
      <c r="C597" s="3" t="s">
        <v>1461</v>
      </c>
      <c r="D597" s="3" t="s">
        <v>1429</v>
      </c>
      <c r="E597" s="3">
        <v>28.649000000000001</v>
      </c>
      <c r="F597" s="3" t="s">
        <v>60</v>
      </c>
      <c r="G597" s="3" t="s">
        <v>61</v>
      </c>
      <c r="H597" s="6" t="s">
        <v>1460</v>
      </c>
    </row>
    <row r="598" spans="1:8" ht="33.75" customHeight="1" x14ac:dyDescent="0.25">
      <c r="A598" s="13" t="s">
        <v>1462</v>
      </c>
      <c r="B598" s="2" t="s">
        <v>418</v>
      </c>
      <c r="C598" s="2" t="s">
        <v>1463</v>
      </c>
      <c r="D598" s="2" t="s">
        <v>420</v>
      </c>
      <c r="E598" s="2">
        <v>30.655200000000001</v>
      </c>
      <c r="F598" s="2" t="s">
        <v>60</v>
      </c>
      <c r="G598" s="2" t="s">
        <v>61</v>
      </c>
      <c r="H598" s="6" t="s">
        <v>1462</v>
      </c>
    </row>
    <row r="599" spans="1:8" ht="22.5" customHeight="1" x14ac:dyDescent="0.25">
      <c r="A599" s="14" t="s">
        <v>1464</v>
      </c>
      <c r="B599" s="3" t="s">
        <v>418</v>
      </c>
      <c r="C599" s="3" t="s">
        <v>1465</v>
      </c>
      <c r="D599" s="3" t="s">
        <v>420</v>
      </c>
      <c r="E599" s="3">
        <v>30.655200000000001</v>
      </c>
      <c r="F599" s="3" t="s">
        <v>60</v>
      </c>
      <c r="G599" s="3" t="s">
        <v>61</v>
      </c>
      <c r="H599" s="6" t="s">
        <v>1464</v>
      </c>
    </row>
    <row r="600" spans="1:8" ht="22.5" customHeight="1" x14ac:dyDescent="0.25">
      <c r="A600" s="13" t="s">
        <v>1466</v>
      </c>
      <c r="B600" s="2" t="s">
        <v>794</v>
      </c>
      <c r="C600" s="2" t="s">
        <v>1467</v>
      </c>
      <c r="D600" s="2" t="s">
        <v>796</v>
      </c>
      <c r="E600" s="2">
        <v>34.151200000000003</v>
      </c>
      <c r="F600" s="2" t="s">
        <v>60</v>
      </c>
      <c r="G600" s="2" t="s">
        <v>61</v>
      </c>
      <c r="H600" s="6" t="s">
        <v>1466</v>
      </c>
    </row>
    <row r="601" spans="1:8" ht="33.75" customHeight="1" x14ac:dyDescent="0.25">
      <c r="A601" s="14" t="s">
        <v>1468</v>
      </c>
      <c r="B601" s="3" t="s">
        <v>1453</v>
      </c>
      <c r="C601" s="3" t="s">
        <v>1469</v>
      </c>
      <c r="D601" s="3" t="s">
        <v>1455</v>
      </c>
      <c r="E601" s="3">
        <v>29.056999999999999</v>
      </c>
      <c r="F601" s="3" t="s">
        <v>60</v>
      </c>
      <c r="G601" s="3" t="s">
        <v>61</v>
      </c>
      <c r="H601" s="6" t="s">
        <v>1468</v>
      </c>
    </row>
    <row r="602" spans="1:8" ht="22.5" customHeight="1" x14ac:dyDescent="0.25">
      <c r="A602" s="13" t="s">
        <v>1470</v>
      </c>
      <c r="B602" s="2" t="s">
        <v>588</v>
      </c>
      <c r="C602" s="2" t="s">
        <v>1471</v>
      </c>
      <c r="D602" s="2" t="s">
        <v>590</v>
      </c>
      <c r="E602" s="2">
        <v>29.869199999999999</v>
      </c>
      <c r="F602" s="2" t="s">
        <v>60</v>
      </c>
      <c r="G602" s="2" t="s">
        <v>61</v>
      </c>
      <c r="H602" s="6" t="s">
        <v>1470</v>
      </c>
    </row>
    <row r="603" spans="1:8" ht="22.5" customHeight="1" x14ac:dyDescent="0.25">
      <c r="A603" s="14" t="s">
        <v>1472</v>
      </c>
      <c r="B603" s="3" t="s">
        <v>588</v>
      </c>
      <c r="C603" s="3" t="s">
        <v>1473</v>
      </c>
      <c r="D603" s="3" t="s">
        <v>590</v>
      </c>
      <c r="E603" s="3">
        <v>29.869199999999999</v>
      </c>
      <c r="F603" s="3" t="s">
        <v>60</v>
      </c>
      <c r="G603" s="3" t="s">
        <v>61</v>
      </c>
      <c r="H603" s="6" t="s">
        <v>1472</v>
      </c>
    </row>
    <row r="604" spans="1:8" ht="22.5" customHeight="1" x14ac:dyDescent="0.25">
      <c r="A604" s="13" t="s">
        <v>1474</v>
      </c>
      <c r="B604" s="2" t="s">
        <v>588</v>
      </c>
      <c r="C604" s="2" t="s">
        <v>1475</v>
      </c>
      <c r="D604" s="2" t="s">
        <v>590</v>
      </c>
      <c r="E604" s="2">
        <v>29.869199999999999</v>
      </c>
      <c r="F604" s="2" t="s">
        <v>60</v>
      </c>
      <c r="G604" s="2" t="s">
        <v>61</v>
      </c>
      <c r="H604" s="6" t="s">
        <v>1474</v>
      </c>
    </row>
    <row r="605" spans="1:8" ht="22.5" customHeight="1" x14ac:dyDescent="0.25">
      <c r="A605" s="14" t="s">
        <v>1476</v>
      </c>
      <c r="B605" s="3" t="s">
        <v>1453</v>
      </c>
      <c r="C605" s="3" t="s">
        <v>1477</v>
      </c>
      <c r="D605" s="3" t="s">
        <v>1455</v>
      </c>
      <c r="E605" s="3">
        <v>29.056999999999999</v>
      </c>
      <c r="F605" s="3" t="s">
        <v>60</v>
      </c>
      <c r="G605" s="3" t="s">
        <v>61</v>
      </c>
      <c r="H605" s="6" t="s">
        <v>1476</v>
      </c>
    </row>
    <row r="606" spans="1:8" ht="22.5" customHeight="1" x14ac:dyDescent="0.25">
      <c r="A606" s="13" t="s">
        <v>1478</v>
      </c>
      <c r="B606" s="2" t="s">
        <v>1479</v>
      </c>
      <c r="C606" s="2" t="s">
        <v>1480</v>
      </c>
      <c r="D606" s="2" t="s">
        <v>1481</v>
      </c>
      <c r="E606" s="2">
        <v>28.617000000000001</v>
      </c>
      <c r="F606" s="2" t="s">
        <v>60</v>
      </c>
      <c r="G606" s="2" t="s">
        <v>61</v>
      </c>
      <c r="H606" s="6" t="s">
        <v>1478</v>
      </c>
    </row>
    <row r="607" spans="1:8" ht="22.5" customHeight="1" x14ac:dyDescent="0.25">
      <c r="A607" s="14" t="s">
        <v>1482</v>
      </c>
      <c r="B607" s="3" t="s">
        <v>1453</v>
      </c>
      <c r="C607" s="3" t="s">
        <v>1483</v>
      </c>
      <c r="D607" s="3" t="s">
        <v>1455</v>
      </c>
      <c r="E607" s="3">
        <v>29.056999999999999</v>
      </c>
      <c r="F607" s="3" t="s">
        <v>60</v>
      </c>
      <c r="G607" s="3" t="s">
        <v>61</v>
      </c>
      <c r="H607" s="6" t="s">
        <v>1482</v>
      </c>
    </row>
    <row r="608" spans="1:8" ht="22.5" customHeight="1" x14ac:dyDescent="0.25">
      <c r="A608" s="13" t="s">
        <v>1484</v>
      </c>
      <c r="B608" s="2" t="s">
        <v>1479</v>
      </c>
      <c r="C608" s="2" t="s">
        <v>1485</v>
      </c>
      <c r="D608" s="2" t="s">
        <v>1481</v>
      </c>
      <c r="E608" s="2">
        <v>28.617000000000001</v>
      </c>
      <c r="F608" s="2" t="s">
        <v>60</v>
      </c>
      <c r="G608" s="2" t="s">
        <v>61</v>
      </c>
      <c r="H608" s="6" t="s">
        <v>1484</v>
      </c>
    </row>
    <row r="609" spans="1:8" ht="22.5" customHeight="1" x14ac:dyDescent="0.25">
      <c r="A609" s="14" t="s">
        <v>1486</v>
      </c>
      <c r="B609" s="3" t="s">
        <v>1151</v>
      </c>
      <c r="C609" s="3" t="s">
        <v>1487</v>
      </c>
      <c r="D609" s="3" t="s">
        <v>1153</v>
      </c>
      <c r="E609" s="3">
        <v>30.6372</v>
      </c>
      <c r="F609" s="3" t="s">
        <v>60</v>
      </c>
      <c r="G609" s="3" t="s">
        <v>61</v>
      </c>
      <c r="H609" s="6" t="s">
        <v>1486</v>
      </c>
    </row>
    <row r="610" spans="1:8" ht="22.5" customHeight="1" x14ac:dyDescent="0.25">
      <c r="A610" s="13" t="s">
        <v>1488</v>
      </c>
      <c r="B610" s="2" t="s">
        <v>1151</v>
      </c>
      <c r="C610" s="2" t="s">
        <v>1489</v>
      </c>
      <c r="D610" s="2" t="s">
        <v>1153</v>
      </c>
      <c r="E610" s="2">
        <v>30.6372</v>
      </c>
      <c r="F610" s="2" t="s">
        <v>60</v>
      </c>
      <c r="G610" s="2" t="s">
        <v>61</v>
      </c>
      <c r="H610" s="6" t="s">
        <v>1488</v>
      </c>
    </row>
    <row r="611" spans="1:8" ht="22.5" customHeight="1" x14ac:dyDescent="0.25">
      <c r="A611" s="14" t="s">
        <v>1490</v>
      </c>
      <c r="B611" s="3" t="s">
        <v>1151</v>
      </c>
      <c r="C611" s="3" t="s">
        <v>1491</v>
      </c>
      <c r="D611" s="3" t="s">
        <v>1153</v>
      </c>
      <c r="E611" s="3">
        <v>30.6372</v>
      </c>
      <c r="F611" s="3" t="s">
        <v>60</v>
      </c>
      <c r="G611" s="3" t="s">
        <v>61</v>
      </c>
      <c r="H611" s="6" t="s">
        <v>1490</v>
      </c>
    </row>
    <row r="612" spans="1:8" ht="22.5" customHeight="1" x14ac:dyDescent="0.25">
      <c r="A612" s="13" t="s">
        <v>1492</v>
      </c>
      <c r="B612" s="2" t="s">
        <v>1151</v>
      </c>
      <c r="C612" s="2" t="s">
        <v>1487</v>
      </c>
      <c r="D612" s="2" t="s">
        <v>1153</v>
      </c>
      <c r="E612" s="2">
        <v>30.6372</v>
      </c>
      <c r="F612" s="2" t="s">
        <v>60</v>
      </c>
      <c r="G612" s="2" t="s">
        <v>61</v>
      </c>
      <c r="H612" s="6" t="s">
        <v>1492</v>
      </c>
    </row>
    <row r="613" spans="1:8" ht="22.5" customHeight="1" x14ac:dyDescent="0.25">
      <c r="A613" s="14" t="s">
        <v>1493</v>
      </c>
      <c r="B613" s="3" t="s">
        <v>1494</v>
      </c>
      <c r="C613" s="3" t="s">
        <v>1495</v>
      </c>
      <c r="D613" s="3" t="s">
        <v>1496</v>
      </c>
      <c r="E613" s="3">
        <v>28.887</v>
      </c>
      <c r="F613" s="3" t="s">
        <v>60</v>
      </c>
      <c r="G613" s="3" t="s">
        <v>61</v>
      </c>
      <c r="H613" s="6" t="s">
        <v>1493</v>
      </c>
    </row>
    <row r="614" spans="1:8" ht="22.5" customHeight="1" x14ac:dyDescent="0.25">
      <c r="A614" s="13" t="s">
        <v>1497</v>
      </c>
      <c r="B614" s="2" t="s">
        <v>1498</v>
      </c>
      <c r="C614" s="2" t="s">
        <v>1499</v>
      </c>
      <c r="D614" s="2" t="s">
        <v>1500</v>
      </c>
      <c r="E614" s="2">
        <v>28.617000000000001</v>
      </c>
      <c r="F614" s="2" t="s">
        <v>60</v>
      </c>
      <c r="G614" s="2" t="s">
        <v>61</v>
      </c>
      <c r="H614" s="6" t="s">
        <v>1497</v>
      </c>
    </row>
    <row r="615" spans="1:8" ht="33.75" customHeight="1" x14ac:dyDescent="0.25">
      <c r="A615" s="14" t="s">
        <v>1501</v>
      </c>
      <c r="B615" s="3" t="s">
        <v>1453</v>
      </c>
      <c r="C615" s="3" t="s">
        <v>1502</v>
      </c>
      <c r="D615" s="3" t="s">
        <v>1455</v>
      </c>
      <c r="E615" s="3">
        <v>29.056999999999999</v>
      </c>
      <c r="F615" s="3" t="s">
        <v>60</v>
      </c>
      <c r="G615" s="3" t="s">
        <v>61</v>
      </c>
      <c r="H615" s="6" t="s">
        <v>1501</v>
      </c>
    </row>
    <row r="616" spans="1:8" ht="22.5" customHeight="1" x14ac:dyDescent="0.25">
      <c r="A616" s="13" t="s">
        <v>1503</v>
      </c>
      <c r="B616" s="2" t="s">
        <v>1402</v>
      </c>
      <c r="C616" s="2" t="s">
        <v>1504</v>
      </c>
      <c r="D616" s="2" t="s">
        <v>1404</v>
      </c>
      <c r="E616" s="2">
        <v>28.649000000000001</v>
      </c>
      <c r="F616" s="2" t="s">
        <v>60</v>
      </c>
      <c r="G616" s="2" t="s">
        <v>61</v>
      </c>
      <c r="H616" s="6" t="s">
        <v>1503</v>
      </c>
    </row>
    <row r="617" spans="1:8" ht="22.5" customHeight="1" x14ac:dyDescent="0.25">
      <c r="A617" s="14" t="s">
        <v>1505</v>
      </c>
      <c r="B617" s="3" t="s">
        <v>390</v>
      </c>
      <c r="C617" s="3" t="s">
        <v>1506</v>
      </c>
      <c r="D617" s="3" t="s">
        <v>392</v>
      </c>
      <c r="E617" s="3">
        <v>35.367600000000003</v>
      </c>
      <c r="F617" s="3" t="s">
        <v>60</v>
      </c>
      <c r="G617" s="3" t="s">
        <v>61</v>
      </c>
      <c r="H617" s="6" t="s">
        <v>1505</v>
      </c>
    </row>
    <row r="618" spans="1:8" ht="22.5" customHeight="1" x14ac:dyDescent="0.25">
      <c r="A618" s="13" t="s">
        <v>1507</v>
      </c>
      <c r="B618" s="2" t="s">
        <v>418</v>
      </c>
      <c r="C618" s="2" t="s">
        <v>1508</v>
      </c>
      <c r="D618" s="2" t="s">
        <v>420</v>
      </c>
      <c r="E618" s="2">
        <v>30.655200000000001</v>
      </c>
      <c r="F618" s="2" t="s">
        <v>60</v>
      </c>
      <c r="G618" s="2" t="s">
        <v>61</v>
      </c>
      <c r="H618" s="6" t="s">
        <v>1507</v>
      </c>
    </row>
    <row r="619" spans="1:8" ht="33.75" customHeight="1" x14ac:dyDescent="0.25">
      <c r="A619" s="14" t="s">
        <v>1509</v>
      </c>
      <c r="B619" s="3" t="s">
        <v>1510</v>
      </c>
      <c r="C619" s="3" t="s">
        <v>1511</v>
      </c>
      <c r="D619" s="3" t="s">
        <v>1512</v>
      </c>
      <c r="E619" s="3">
        <v>28.617000000000001</v>
      </c>
      <c r="F619" s="3" t="s">
        <v>60</v>
      </c>
      <c r="G619" s="3" t="s">
        <v>61</v>
      </c>
      <c r="H619" s="6" t="s">
        <v>1509</v>
      </c>
    </row>
    <row r="620" spans="1:8" ht="33.75" customHeight="1" x14ac:dyDescent="0.25">
      <c r="A620" s="13" t="s">
        <v>1513</v>
      </c>
      <c r="B620" s="2" t="s">
        <v>1510</v>
      </c>
      <c r="C620" s="2" t="s">
        <v>1514</v>
      </c>
      <c r="D620" s="2" t="s">
        <v>1512</v>
      </c>
      <c r="E620" s="2">
        <v>28.617000000000001</v>
      </c>
      <c r="F620" s="2" t="s">
        <v>60</v>
      </c>
      <c r="G620" s="2" t="s">
        <v>61</v>
      </c>
      <c r="H620" s="6" t="s">
        <v>1513</v>
      </c>
    </row>
    <row r="621" spans="1:8" ht="22.5" customHeight="1" x14ac:dyDescent="0.25">
      <c r="A621" s="14" t="s">
        <v>1515</v>
      </c>
      <c r="B621" s="3" t="s">
        <v>1510</v>
      </c>
      <c r="C621" s="3" t="s">
        <v>1516</v>
      </c>
      <c r="D621" s="3" t="s">
        <v>1512</v>
      </c>
      <c r="E621" s="3">
        <v>28.617000000000001</v>
      </c>
      <c r="F621" s="3" t="s">
        <v>60</v>
      </c>
      <c r="G621" s="3" t="s">
        <v>61</v>
      </c>
      <c r="H621" s="6" t="s">
        <v>1515</v>
      </c>
    </row>
    <row r="622" spans="1:8" ht="22.5" customHeight="1" x14ac:dyDescent="0.25">
      <c r="A622" s="13" t="s">
        <v>1517</v>
      </c>
      <c r="B622" s="2" t="s">
        <v>1510</v>
      </c>
      <c r="C622" s="2" t="s">
        <v>1518</v>
      </c>
      <c r="D622" s="2" t="s">
        <v>1512</v>
      </c>
      <c r="E622" s="2">
        <v>28.617000000000001</v>
      </c>
      <c r="F622" s="2" t="s">
        <v>60</v>
      </c>
      <c r="G622" s="2" t="s">
        <v>61</v>
      </c>
      <c r="H622" s="6" t="s">
        <v>1517</v>
      </c>
    </row>
    <row r="623" spans="1:8" ht="22.5" customHeight="1" x14ac:dyDescent="0.25">
      <c r="A623" s="14" t="s">
        <v>1519</v>
      </c>
      <c r="B623" s="3" t="s">
        <v>1510</v>
      </c>
      <c r="C623" s="3" t="s">
        <v>1520</v>
      </c>
      <c r="D623" s="3" t="s">
        <v>1512</v>
      </c>
      <c r="E623" s="3">
        <v>28.617000000000001</v>
      </c>
      <c r="F623" s="3" t="s">
        <v>60</v>
      </c>
      <c r="G623" s="3" t="s">
        <v>61</v>
      </c>
      <c r="H623" s="6" t="s">
        <v>1519</v>
      </c>
    </row>
    <row r="624" spans="1:8" ht="33.75" customHeight="1" x14ac:dyDescent="0.25">
      <c r="A624" s="13" t="s">
        <v>1521</v>
      </c>
      <c r="B624" s="2" t="s">
        <v>1510</v>
      </c>
      <c r="C624" s="2" t="s">
        <v>1522</v>
      </c>
      <c r="D624" s="2" t="s">
        <v>1512</v>
      </c>
      <c r="E624" s="2">
        <v>28.617000000000001</v>
      </c>
      <c r="F624" s="2" t="s">
        <v>60</v>
      </c>
      <c r="G624" s="2" t="s">
        <v>61</v>
      </c>
      <c r="H624" s="6" t="s">
        <v>1521</v>
      </c>
    </row>
    <row r="625" spans="1:8" ht="33.75" customHeight="1" x14ac:dyDescent="0.25">
      <c r="A625" s="14" t="s">
        <v>1523</v>
      </c>
      <c r="B625" s="3" t="s">
        <v>1510</v>
      </c>
      <c r="C625" s="3" t="s">
        <v>1524</v>
      </c>
      <c r="D625" s="3" t="s">
        <v>1512</v>
      </c>
      <c r="E625" s="3">
        <v>28.617000000000001</v>
      </c>
      <c r="F625" s="3" t="s">
        <v>60</v>
      </c>
      <c r="G625" s="3" t="s">
        <v>61</v>
      </c>
      <c r="H625" s="6" t="s">
        <v>1523</v>
      </c>
    </row>
    <row r="626" spans="1:8" ht="22.5" customHeight="1" x14ac:dyDescent="0.25">
      <c r="A626" s="13" t="s">
        <v>1525</v>
      </c>
      <c r="B626" s="2" t="s">
        <v>1510</v>
      </c>
      <c r="C626" s="2" t="s">
        <v>1526</v>
      </c>
      <c r="D626" s="2" t="s">
        <v>1512</v>
      </c>
      <c r="E626" s="2">
        <v>28.617000000000001</v>
      </c>
      <c r="F626" s="2" t="s">
        <v>60</v>
      </c>
      <c r="G626" s="2" t="s">
        <v>61</v>
      </c>
      <c r="H626" s="6" t="s">
        <v>1525</v>
      </c>
    </row>
    <row r="627" spans="1:8" ht="22.5" customHeight="1" x14ac:dyDescent="0.25">
      <c r="A627" s="14" t="s">
        <v>1527</v>
      </c>
      <c r="B627" s="3" t="s">
        <v>1528</v>
      </c>
      <c r="C627" s="3" t="s">
        <v>1529</v>
      </c>
      <c r="D627" s="3" t="s">
        <v>1530</v>
      </c>
      <c r="E627" s="3">
        <v>28.1892</v>
      </c>
      <c r="F627" s="3" t="s">
        <v>60</v>
      </c>
      <c r="G627" s="3" t="s">
        <v>61</v>
      </c>
      <c r="H627" s="6" t="s">
        <v>1527</v>
      </c>
    </row>
    <row r="628" spans="1:8" ht="22.5" customHeight="1" x14ac:dyDescent="0.25">
      <c r="A628" s="13" t="s">
        <v>1531</v>
      </c>
      <c r="B628" s="2" t="s">
        <v>324</v>
      </c>
      <c r="C628" s="2" t="s">
        <v>1532</v>
      </c>
      <c r="D628" s="2" t="s">
        <v>326</v>
      </c>
      <c r="E628" s="2">
        <v>29.719200000000001</v>
      </c>
      <c r="F628" s="2" t="s">
        <v>60</v>
      </c>
      <c r="G628" s="2" t="s">
        <v>61</v>
      </c>
      <c r="H628" s="6" t="s">
        <v>1531</v>
      </c>
    </row>
    <row r="629" spans="1:8" ht="22.5" customHeight="1" x14ac:dyDescent="0.25">
      <c r="A629" s="14" t="s">
        <v>1533</v>
      </c>
      <c r="B629" s="3" t="s">
        <v>324</v>
      </c>
      <c r="C629" s="3" t="s">
        <v>1534</v>
      </c>
      <c r="D629" s="3" t="s">
        <v>326</v>
      </c>
      <c r="E629" s="3">
        <v>29.719200000000001</v>
      </c>
      <c r="F629" s="3" t="s">
        <v>60</v>
      </c>
      <c r="G629" s="3" t="s">
        <v>61</v>
      </c>
      <c r="H629" s="6" t="s">
        <v>1533</v>
      </c>
    </row>
    <row r="630" spans="1:8" ht="22.5" customHeight="1" x14ac:dyDescent="0.25">
      <c r="A630" s="13" t="s">
        <v>1535</v>
      </c>
      <c r="B630" s="2" t="s">
        <v>324</v>
      </c>
      <c r="C630" s="2" t="s">
        <v>1536</v>
      </c>
      <c r="D630" s="2" t="s">
        <v>326</v>
      </c>
      <c r="E630" s="2">
        <v>29.719200000000001</v>
      </c>
      <c r="F630" s="2" t="s">
        <v>60</v>
      </c>
      <c r="G630" s="2" t="s">
        <v>61</v>
      </c>
      <c r="H630" s="6" t="s">
        <v>1535</v>
      </c>
    </row>
    <row r="631" spans="1:8" ht="22.5" customHeight="1" x14ac:dyDescent="0.25">
      <c r="A631" s="14" t="s">
        <v>1537</v>
      </c>
      <c r="B631" s="3" t="s">
        <v>324</v>
      </c>
      <c r="C631" s="3" t="s">
        <v>1538</v>
      </c>
      <c r="D631" s="3" t="s">
        <v>326</v>
      </c>
      <c r="E631" s="3">
        <v>29.719200000000001</v>
      </c>
      <c r="F631" s="3" t="s">
        <v>60</v>
      </c>
      <c r="G631" s="3" t="s">
        <v>61</v>
      </c>
      <c r="H631" s="6" t="s">
        <v>1537</v>
      </c>
    </row>
    <row r="632" spans="1:8" ht="22.5" customHeight="1" x14ac:dyDescent="0.25">
      <c r="A632" s="13" t="s">
        <v>1539</v>
      </c>
      <c r="B632" s="2" t="s">
        <v>404</v>
      </c>
      <c r="C632" s="2" t="s">
        <v>1540</v>
      </c>
      <c r="D632" s="2" t="s">
        <v>406</v>
      </c>
      <c r="E632" s="2">
        <v>29.999199999999998</v>
      </c>
      <c r="F632" s="2" t="s">
        <v>60</v>
      </c>
      <c r="G632" s="2" t="s">
        <v>61</v>
      </c>
      <c r="H632" s="6" t="s">
        <v>1539</v>
      </c>
    </row>
    <row r="633" spans="1:8" ht="33.75" customHeight="1" x14ac:dyDescent="0.25">
      <c r="A633" s="14" t="s">
        <v>1541</v>
      </c>
      <c r="B633" s="3" t="s">
        <v>404</v>
      </c>
      <c r="C633" s="3" t="s">
        <v>1542</v>
      </c>
      <c r="D633" s="3" t="s">
        <v>406</v>
      </c>
      <c r="E633" s="3">
        <v>29.999199999999998</v>
      </c>
      <c r="F633" s="3" t="s">
        <v>60</v>
      </c>
      <c r="G633" s="3" t="s">
        <v>61</v>
      </c>
      <c r="H633" s="6" t="s">
        <v>1541</v>
      </c>
    </row>
    <row r="634" spans="1:8" ht="22.5" customHeight="1" x14ac:dyDescent="0.25">
      <c r="A634" s="13" t="s">
        <v>1543</v>
      </c>
      <c r="B634" s="2" t="s">
        <v>404</v>
      </c>
      <c r="C634" s="2" t="s">
        <v>1544</v>
      </c>
      <c r="D634" s="2" t="s">
        <v>406</v>
      </c>
      <c r="E634" s="2">
        <v>29.999199999999998</v>
      </c>
      <c r="F634" s="2" t="s">
        <v>60</v>
      </c>
      <c r="G634" s="2" t="s">
        <v>61</v>
      </c>
      <c r="H634" s="6" t="s">
        <v>1543</v>
      </c>
    </row>
    <row r="635" spans="1:8" ht="22.5" customHeight="1" x14ac:dyDescent="0.25">
      <c r="A635" s="14" t="s">
        <v>1545</v>
      </c>
      <c r="B635" s="3" t="s">
        <v>404</v>
      </c>
      <c r="C635" s="3" t="s">
        <v>1546</v>
      </c>
      <c r="D635" s="3" t="s">
        <v>406</v>
      </c>
      <c r="E635" s="3">
        <v>29.999199999999998</v>
      </c>
      <c r="F635" s="3" t="s">
        <v>60</v>
      </c>
      <c r="G635" s="3" t="s">
        <v>61</v>
      </c>
      <c r="H635" s="6" t="s">
        <v>1545</v>
      </c>
    </row>
    <row r="636" spans="1:8" ht="22.5" customHeight="1" x14ac:dyDescent="0.25">
      <c r="A636" s="13" t="s">
        <v>1547</v>
      </c>
      <c r="B636" s="2" t="s">
        <v>404</v>
      </c>
      <c r="C636" s="2" t="s">
        <v>1548</v>
      </c>
      <c r="D636" s="2" t="s">
        <v>406</v>
      </c>
      <c r="E636" s="2">
        <v>29.999199999999998</v>
      </c>
      <c r="F636" s="2" t="s">
        <v>60</v>
      </c>
      <c r="G636" s="2" t="s">
        <v>61</v>
      </c>
      <c r="H636" s="6" t="s">
        <v>1547</v>
      </c>
    </row>
    <row r="637" spans="1:8" ht="22.5" customHeight="1" x14ac:dyDescent="0.25">
      <c r="A637" s="14" t="s">
        <v>1549</v>
      </c>
      <c r="B637" s="3" t="s">
        <v>1479</v>
      </c>
      <c r="C637" s="3" t="s">
        <v>1550</v>
      </c>
      <c r="D637" s="3" t="s">
        <v>1481</v>
      </c>
      <c r="E637" s="3">
        <v>28.617000000000001</v>
      </c>
      <c r="F637" s="3" t="s">
        <v>60</v>
      </c>
      <c r="G637" s="3" t="s">
        <v>61</v>
      </c>
      <c r="H637" s="6" t="s">
        <v>1549</v>
      </c>
    </row>
    <row r="638" spans="1:8" ht="22.5" customHeight="1" x14ac:dyDescent="0.25">
      <c r="A638" s="13" t="s">
        <v>1551</v>
      </c>
      <c r="B638" s="2" t="s">
        <v>1479</v>
      </c>
      <c r="C638" s="2" t="s">
        <v>1552</v>
      </c>
      <c r="D638" s="2" t="s">
        <v>1481</v>
      </c>
      <c r="E638" s="2">
        <v>28.617000000000001</v>
      </c>
      <c r="F638" s="2" t="s">
        <v>60</v>
      </c>
      <c r="G638" s="2" t="s">
        <v>61</v>
      </c>
      <c r="H638" s="6" t="s">
        <v>1551</v>
      </c>
    </row>
    <row r="639" spans="1:8" ht="22.5" customHeight="1" x14ac:dyDescent="0.25">
      <c r="A639" s="14" t="s">
        <v>1553</v>
      </c>
      <c r="B639" s="3" t="s">
        <v>1479</v>
      </c>
      <c r="C639" s="3" t="s">
        <v>1554</v>
      </c>
      <c r="D639" s="3" t="s">
        <v>1481</v>
      </c>
      <c r="E639" s="3">
        <v>28.617000000000001</v>
      </c>
      <c r="F639" s="3" t="s">
        <v>60</v>
      </c>
      <c r="G639" s="3" t="s">
        <v>61</v>
      </c>
      <c r="H639" s="6" t="s">
        <v>1553</v>
      </c>
    </row>
    <row r="640" spans="1:8" ht="22.5" customHeight="1" x14ac:dyDescent="0.25">
      <c r="A640" s="13" t="s">
        <v>1555</v>
      </c>
      <c r="B640" s="2" t="s">
        <v>1479</v>
      </c>
      <c r="C640" s="2" t="s">
        <v>1556</v>
      </c>
      <c r="D640" s="2" t="s">
        <v>1481</v>
      </c>
      <c r="E640" s="2">
        <v>28.617000000000001</v>
      </c>
      <c r="F640" s="2" t="s">
        <v>60</v>
      </c>
      <c r="G640" s="2" t="s">
        <v>61</v>
      </c>
      <c r="H640" s="6" t="s">
        <v>1555</v>
      </c>
    </row>
    <row r="641" spans="1:8" ht="22.5" customHeight="1" x14ac:dyDescent="0.25">
      <c r="A641" s="14" t="s">
        <v>1557</v>
      </c>
      <c r="B641" s="3" t="s">
        <v>1151</v>
      </c>
      <c r="C641" s="3" t="s">
        <v>1558</v>
      </c>
      <c r="D641" s="3" t="s">
        <v>1153</v>
      </c>
      <c r="E641" s="3">
        <v>30.6372</v>
      </c>
      <c r="F641" s="3" t="s">
        <v>60</v>
      </c>
      <c r="G641" s="3" t="s">
        <v>61</v>
      </c>
      <c r="H641" s="6" t="s">
        <v>1557</v>
      </c>
    </row>
    <row r="642" spans="1:8" ht="33.75" customHeight="1" x14ac:dyDescent="0.25">
      <c r="A642" s="13" t="s">
        <v>1559</v>
      </c>
      <c r="B642" s="2" t="s">
        <v>1560</v>
      </c>
      <c r="C642" s="2" t="s">
        <v>1561</v>
      </c>
      <c r="D642" s="2" t="s">
        <v>1562</v>
      </c>
      <c r="E642" s="2">
        <v>47.225999999999999</v>
      </c>
      <c r="F642" s="2" t="s">
        <v>60</v>
      </c>
      <c r="G642" s="2" t="s">
        <v>61</v>
      </c>
      <c r="H642" s="6" t="s">
        <v>1559</v>
      </c>
    </row>
    <row r="643" spans="1:8" ht="33.75" customHeight="1" x14ac:dyDescent="0.25">
      <c r="A643" s="14" t="s">
        <v>1563</v>
      </c>
      <c r="B643" s="3" t="s">
        <v>1564</v>
      </c>
      <c r="C643" s="3" t="s">
        <v>1565</v>
      </c>
      <c r="D643" s="3" t="s">
        <v>1566</v>
      </c>
      <c r="E643" s="3">
        <v>44.106000000000002</v>
      </c>
      <c r="F643" s="3" t="s">
        <v>60</v>
      </c>
      <c r="G643" s="3" t="s">
        <v>61</v>
      </c>
      <c r="H643" s="6" t="s">
        <v>1563</v>
      </c>
    </row>
    <row r="644" spans="1:8" ht="22.5" customHeight="1" x14ac:dyDescent="0.25">
      <c r="A644" s="13" t="s">
        <v>1567</v>
      </c>
      <c r="B644" s="2" t="s">
        <v>382</v>
      </c>
      <c r="C644" s="2" t="s">
        <v>1568</v>
      </c>
      <c r="D644" s="2" t="s">
        <v>384</v>
      </c>
      <c r="E644" s="2">
        <v>35.3172</v>
      </c>
      <c r="F644" s="2" t="s">
        <v>60</v>
      </c>
      <c r="G644" s="2" t="s">
        <v>61</v>
      </c>
      <c r="H644" s="6" t="s">
        <v>1567</v>
      </c>
    </row>
    <row r="645" spans="1:8" ht="22.5" customHeight="1" x14ac:dyDescent="0.25">
      <c r="A645" s="14" t="s">
        <v>1569</v>
      </c>
      <c r="B645" s="3" t="s">
        <v>382</v>
      </c>
      <c r="C645" s="3" t="s">
        <v>1570</v>
      </c>
      <c r="D645" s="3" t="s">
        <v>384</v>
      </c>
      <c r="E645" s="3">
        <v>35.3172</v>
      </c>
      <c r="F645" s="3" t="s">
        <v>60</v>
      </c>
      <c r="G645" s="3" t="s">
        <v>61</v>
      </c>
      <c r="H645" s="6" t="s">
        <v>1569</v>
      </c>
    </row>
    <row r="646" spans="1:8" ht="22.5" customHeight="1" x14ac:dyDescent="0.25">
      <c r="A646" s="13" t="s">
        <v>1571</v>
      </c>
      <c r="B646" s="2" t="s">
        <v>1572</v>
      </c>
      <c r="C646" s="2" t="s">
        <v>1573</v>
      </c>
      <c r="D646" s="2" t="s">
        <v>1574</v>
      </c>
      <c r="E646" s="2">
        <v>28.649000000000001</v>
      </c>
      <c r="F646" s="2" t="s">
        <v>60</v>
      </c>
      <c r="G646" s="2" t="s">
        <v>61</v>
      </c>
      <c r="H646" s="6" t="s">
        <v>1571</v>
      </c>
    </row>
    <row r="647" spans="1:8" ht="22.5" customHeight="1" x14ac:dyDescent="0.25">
      <c r="A647" s="14" t="s">
        <v>1575</v>
      </c>
      <c r="B647" s="3" t="s">
        <v>1572</v>
      </c>
      <c r="C647" s="3" t="s">
        <v>1576</v>
      </c>
      <c r="D647" s="3" t="s">
        <v>1574</v>
      </c>
      <c r="E647" s="3">
        <v>28.649000000000001</v>
      </c>
      <c r="F647" s="3" t="s">
        <v>60</v>
      </c>
      <c r="G647" s="3" t="s">
        <v>61</v>
      </c>
      <c r="H647" s="6" t="s">
        <v>1575</v>
      </c>
    </row>
    <row r="648" spans="1:8" ht="33.75" customHeight="1" x14ac:dyDescent="0.25">
      <c r="A648" s="13" t="s">
        <v>1577</v>
      </c>
      <c r="B648" s="2" t="s">
        <v>1578</v>
      </c>
      <c r="C648" s="2" t="s">
        <v>1579</v>
      </c>
      <c r="D648" s="2" t="s">
        <v>1580</v>
      </c>
      <c r="E648" s="2">
        <v>28.649000000000001</v>
      </c>
      <c r="F648" s="2" t="s">
        <v>60</v>
      </c>
      <c r="G648" s="2" t="s">
        <v>61</v>
      </c>
      <c r="H648" s="6" t="s">
        <v>1577</v>
      </c>
    </row>
    <row r="649" spans="1:8" ht="22.5" customHeight="1" x14ac:dyDescent="0.25">
      <c r="A649" s="14" t="s">
        <v>1581</v>
      </c>
      <c r="B649" s="3" t="s">
        <v>1578</v>
      </c>
      <c r="C649" s="3" t="s">
        <v>1582</v>
      </c>
      <c r="D649" s="3" t="s">
        <v>1580</v>
      </c>
      <c r="E649" s="3">
        <v>28.649000000000001</v>
      </c>
      <c r="F649" s="3" t="s">
        <v>60</v>
      </c>
      <c r="G649" s="3" t="s">
        <v>61</v>
      </c>
      <c r="H649" s="6" t="s">
        <v>1581</v>
      </c>
    </row>
    <row r="650" spans="1:8" ht="33.75" customHeight="1" x14ac:dyDescent="0.25">
      <c r="A650" s="13" t="s">
        <v>1583</v>
      </c>
      <c r="B650" s="2" t="s">
        <v>1578</v>
      </c>
      <c r="C650" s="2" t="s">
        <v>1584</v>
      </c>
      <c r="D650" s="2" t="s">
        <v>1580</v>
      </c>
      <c r="E650" s="2">
        <v>28.649000000000001</v>
      </c>
      <c r="F650" s="2" t="s">
        <v>60</v>
      </c>
      <c r="G650" s="2" t="s">
        <v>61</v>
      </c>
      <c r="H650" s="6" t="s">
        <v>1583</v>
      </c>
    </row>
    <row r="651" spans="1:8" ht="22.5" customHeight="1" x14ac:dyDescent="0.25">
      <c r="A651" s="14" t="s">
        <v>1585</v>
      </c>
      <c r="B651" s="3" t="s">
        <v>1578</v>
      </c>
      <c r="C651" s="3" t="s">
        <v>1586</v>
      </c>
      <c r="D651" s="3" t="s">
        <v>1580</v>
      </c>
      <c r="E651" s="3">
        <v>28.649000000000001</v>
      </c>
      <c r="F651" s="3" t="s">
        <v>60</v>
      </c>
      <c r="G651" s="3" t="s">
        <v>61</v>
      </c>
      <c r="H651" s="6" t="s">
        <v>1585</v>
      </c>
    </row>
    <row r="652" spans="1:8" ht="22.5" customHeight="1" x14ac:dyDescent="0.25">
      <c r="A652" s="13" t="s">
        <v>1587</v>
      </c>
      <c r="B652" s="2" t="s">
        <v>382</v>
      </c>
      <c r="C652" s="2" t="s">
        <v>1588</v>
      </c>
      <c r="D652" s="2" t="s">
        <v>384</v>
      </c>
      <c r="E652" s="2">
        <v>35.3172</v>
      </c>
      <c r="F652" s="2" t="s">
        <v>60</v>
      </c>
      <c r="G652" s="2" t="s">
        <v>61</v>
      </c>
      <c r="H652" s="6" t="s">
        <v>1587</v>
      </c>
    </row>
    <row r="653" spans="1:8" ht="22.5" customHeight="1" x14ac:dyDescent="0.25">
      <c r="A653" s="14" t="s">
        <v>1589</v>
      </c>
      <c r="B653" s="3" t="s">
        <v>390</v>
      </c>
      <c r="C653" s="3" t="s">
        <v>1590</v>
      </c>
      <c r="D653" s="3" t="s">
        <v>392</v>
      </c>
      <c r="E653" s="3">
        <v>35.367600000000003</v>
      </c>
      <c r="F653" s="3" t="s">
        <v>60</v>
      </c>
      <c r="G653" s="3" t="s">
        <v>61</v>
      </c>
      <c r="H653" s="6" t="s">
        <v>1589</v>
      </c>
    </row>
    <row r="654" spans="1:8" ht="22.5" customHeight="1" x14ac:dyDescent="0.25">
      <c r="A654" s="13" t="s">
        <v>1591</v>
      </c>
      <c r="B654" s="2" t="s">
        <v>390</v>
      </c>
      <c r="C654" s="2" t="s">
        <v>1592</v>
      </c>
      <c r="D654" s="2" t="s">
        <v>392</v>
      </c>
      <c r="E654" s="2">
        <v>35.367600000000003</v>
      </c>
      <c r="F654" s="2" t="s">
        <v>60</v>
      </c>
      <c r="G654" s="2" t="s">
        <v>61</v>
      </c>
      <c r="H654" s="6" t="s">
        <v>1591</v>
      </c>
    </row>
    <row r="655" spans="1:8" ht="22.5" customHeight="1" x14ac:dyDescent="0.25">
      <c r="A655" s="14" t="s">
        <v>1593</v>
      </c>
      <c r="B655" s="3" t="s">
        <v>1572</v>
      </c>
      <c r="C655" s="3" t="s">
        <v>1576</v>
      </c>
      <c r="D655" s="3" t="s">
        <v>1574</v>
      </c>
      <c r="E655" s="3">
        <v>28.649000000000001</v>
      </c>
      <c r="F655" s="3" t="s">
        <v>60</v>
      </c>
      <c r="G655" s="3" t="s">
        <v>61</v>
      </c>
      <c r="H655" s="6" t="s">
        <v>1593</v>
      </c>
    </row>
    <row r="656" spans="1:8" ht="22.5" customHeight="1" x14ac:dyDescent="0.25">
      <c r="A656" s="13" t="s">
        <v>1594</v>
      </c>
      <c r="B656" s="2" t="s">
        <v>1572</v>
      </c>
      <c r="C656" s="2" t="s">
        <v>1595</v>
      </c>
      <c r="D656" s="2" t="s">
        <v>1574</v>
      </c>
      <c r="E656" s="2">
        <v>28.649000000000001</v>
      </c>
      <c r="F656" s="2" t="s">
        <v>60</v>
      </c>
      <c r="G656" s="2" t="s">
        <v>61</v>
      </c>
      <c r="H656" s="6" t="s">
        <v>1594</v>
      </c>
    </row>
    <row r="657" spans="1:8" ht="22.5" customHeight="1" x14ac:dyDescent="0.25">
      <c r="A657" s="14" t="s">
        <v>1596</v>
      </c>
      <c r="B657" s="3" t="s">
        <v>1572</v>
      </c>
      <c r="C657" s="3" t="s">
        <v>1573</v>
      </c>
      <c r="D657" s="3" t="s">
        <v>1574</v>
      </c>
      <c r="E657" s="3">
        <v>28.649000000000001</v>
      </c>
      <c r="F657" s="3" t="s">
        <v>60</v>
      </c>
      <c r="G657" s="3" t="s">
        <v>61</v>
      </c>
      <c r="H657" s="6" t="s">
        <v>1596</v>
      </c>
    </row>
    <row r="658" spans="1:8" ht="22.5" customHeight="1" x14ac:dyDescent="0.25">
      <c r="A658" s="13" t="s">
        <v>1597</v>
      </c>
      <c r="B658" s="2" t="s">
        <v>1572</v>
      </c>
      <c r="C658" s="2" t="s">
        <v>1598</v>
      </c>
      <c r="D658" s="2" t="s">
        <v>1574</v>
      </c>
      <c r="E658" s="2">
        <v>28.649000000000001</v>
      </c>
      <c r="F658" s="2" t="s">
        <v>60</v>
      </c>
      <c r="G658" s="2" t="s">
        <v>61</v>
      </c>
      <c r="H658" s="6" t="s">
        <v>1597</v>
      </c>
    </row>
    <row r="659" spans="1:8" ht="22.5" customHeight="1" x14ac:dyDescent="0.25">
      <c r="A659" s="14" t="s">
        <v>1599</v>
      </c>
      <c r="B659" s="3" t="s">
        <v>382</v>
      </c>
      <c r="C659" s="3" t="s">
        <v>1600</v>
      </c>
      <c r="D659" s="3" t="s">
        <v>384</v>
      </c>
      <c r="E659" s="3">
        <v>35.3172</v>
      </c>
      <c r="F659" s="3" t="s">
        <v>60</v>
      </c>
      <c r="G659" s="3" t="s">
        <v>61</v>
      </c>
      <c r="H659" s="6" t="s">
        <v>1599</v>
      </c>
    </row>
    <row r="660" spans="1:8" ht="33.75" customHeight="1" x14ac:dyDescent="0.25">
      <c r="A660" s="13" t="s">
        <v>1601</v>
      </c>
      <c r="B660" s="2" t="s">
        <v>1602</v>
      </c>
      <c r="C660" s="2" t="s">
        <v>1603</v>
      </c>
      <c r="D660" s="2" t="s">
        <v>1604</v>
      </c>
      <c r="E660" s="2">
        <v>43.186</v>
      </c>
      <c r="F660" s="2" t="s">
        <v>60</v>
      </c>
      <c r="G660" s="2" t="s">
        <v>61</v>
      </c>
      <c r="H660" s="6" t="s">
        <v>1601</v>
      </c>
    </row>
    <row r="661" spans="1:8" ht="22.5" customHeight="1" x14ac:dyDescent="0.25">
      <c r="A661" s="14" t="s">
        <v>1605</v>
      </c>
      <c r="B661" s="3" t="s">
        <v>794</v>
      </c>
      <c r="C661" s="3" t="s">
        <v>1606</v>
      </c>
      <c r="D661" s="3" t="s">
        <v>796</v>
      </c>
      <c r="E661" s="3">
        <v>34.151200000000003</v>
      </c>
      <c r="F661" s="3" t="s">
        <v>60</v>
      </c>
      <c r="G661" s="3" t="s">
        <v>61</v>
      </c>
      <c r="H661" s="6" t="s">
        <v>1605</v>
      </c>
    </row>
    <row r="662" spans="1:8" ht="22.5" customHeight="1" x14ac:dyDescent="0.25">
      <c r="A662" s="13" t="s">
        <v>1607</v>
      </c>
      <c r="B662" s="2" t="s">
        <v>414</v>
      </c>
      <c r="C662" s="2" t="s">
        <v>1608</v>
      </c>
      <c r="D662" s="2" t="s">
        <v>416</v>
      </c>
      <c r="E662" s="2">
        <v>31.0092</v>
      </c>
      <c r="F662" s="2" t="s">
        <v>60</v>
      </c>
      <c r="G662" s="2" t="s">
        <v>61</v>
      </c>
      <c r="H662" s="6" t="s">
        <v>1607</v>
      </c>
    </row>
    <row r="663" spans="1:8" ht="22.5" customHeight="1" x14ac:dyDescent="0.25">
      <c r="A663" s="14" t="s">
        <v>1609</v>
      </c>
      <c r="B663" s="3" t="s">
        <v>588</v>
      </c>
      <c r="C663" s="3" t="s">
        <v>1610</v>
      </c>
      <c r="D663" s="3" t="s">
        <v>590</v>
      </c>
      <c r="E663" s="3">
        <v>29.869199999999999</v>
      </c>
      <c r="F663" s="3" t="s">
        <v>60</v>
      </c>
      <c r="G663" s="3" t="s">
        <v>61</v>
      </c>
      <c r="H663" s="6" t="s">
        <v>1609</v>
      </c>
    </row>
    <row r="664" spans="1:8" ht="22.5" customHeight="1" x14ac:dyDescent="0.25">
      <c r="A664" s="13" t="s">
        <v>1611</v>
      </c>
      <c r="B664" s="2" t="s">
        <v>418</v>
      </c>
      <c r="C664" s="2" t="s">
        <v>1612</v>
      </c>
      <c r="D664" s="2" t="s">
        <v>420</v>
      </c>
      <c r="E664" s="2">
        <v>30.655200000000001</v>
      </c>
      <c r="F664" s="2" t="s">
        <v>60</v>
      </c>
      <c r="G664" s="2" t="s">
        <v>61</v>
      </c>
      <c r="H664" s="6" t="s">
        <v>1611</v>
      </c>
    </row>
    <row r="665" spans="1:8" ht="22.5" customHeight="1" x14ac:dyDescent="0.25">
      <c r="A665" s="14" t="s">
        <v>1613</v>
      </c>
      <c r="B665" s="3" t="s">
        <v>418</v>
      </c>
      <c r="C665" s="3" t="s">
        <v>1614</v>
      </c>
      <c r="D665" s="3" t="s">
        <v>420</v>
      </c>
      <c r="E665" s="3">
        <v>30.655200000000001</v>
      </c>
      <c r="F665" s="3" t="s">
        <v>60</v>
      </c>
      <c r="G665" s="3" t="s">
        <v>61</v>
      </c>
      <c r="H665" s="6" t="s">
        <v>1613</v>
      </c>
    </row>
    <row r="666" spans="1:8" ht="22.5" customHeight="1" x14ac:dyDescent="0.25">
      <c r="A666" s="13" t="s">
        <v>1615</v>
      </c>
      <c r="B666" s="2" t="s">
        <v>1151</v>
      </c>
      <c r="C666" s="2" t="s">
        <v>1616</v>
      </c>
      <c r="D666" s="2" t="s">
        <v>1153</v>
      </c>
      <c r="E666" s="2">
        <v>30.6372</v>
      </c>
      <c r="F666" s="2" t="s">
        <v>60</v>
      </c>
      <c r="G666" s="2" t="s">
        <v>61</v>
      </c>
      <c r="H666" s="6" t="s">
        <v>1615</v>
      </c>
    </row>
    <row r="667" spans="1:8" ht="22.5" customHeight="1" x14ac:dyDescent="0.25">
      <c r="A667" s="14" t="s">
        <v>1617</v>
      </c>
      <c r="B667" s="3" t="s">
        <v>386</v>
      </c>
      <c r="C667" s="3" t="s">
        <v>1618</v>
      </c>
      <c r="D667" s="3" t="s">
        <v>388</v>
      </c>
      <c r="E667" s="3">
        <v>33.783799999999999</v>
      </c>
      <c r="F667" s="3" t="s">
        <v>60</v>
      </c>
      <c r="G667" s="3" t="s">
        <v>61</v>
      </c>
      <c r="H667" s="6" t="s">
        <v>1617</v>
      </c>
    </row>
    <row r="668" spans="1:8" ht="22.5" customHeight="1" x14ac:dyDescent="0.25">
      <c r="A668" s="13" t="s">
        <v>1619</v>
      </c>
      <c r="B668" s="2" t="s">
        <v>386</v>
      </c>
      <c r="C668" s="2" t="s">
        <v>1620</v>
      </c>
      <c r="D668" s="2" t="s">
        <v>388</v>
      </c>
      <c r="E668" s="2">
        <v>33.783799999999999</v>
      </c>
      <c r="F668" s="2" t="s">
        <v>60</v>
      </c>
      <c r="G668" s="2" t="s">
        <v>61</v>
      </c>
      <c r="H668" s="6" t="s">
        <v>1619</v>
      </c>
    </row>
    <row r="669" spans="1:8" ht="22.5" customHeight="1" x14ac:dyDescent="0.25">
      <c r="A669" s="14" t="s">
        <v>1621</v>
      </c>
      <c r="B669" s="3" t="s">
        <v>386</v>
      </c>
      <c r="C669" s="3" t="s">
        <v>1622</v>
      </c>
      <c r="D669" s="3" t="s">
        <v>388</v>
      </c>
      <c r="E669" s="3">
        <v>33.783799999999999</v>
      </c>
      <c r="F669" s="3" t="s">
        <v>60</v>
      </c>
      <c r="G669" s="3" t="s">
        <v>61</v>
      </c>
      <c r="H669" s="6" t="s">
        <v>1621</v>
      </c>
    </row>
    <row r="670" spans="1:8" ht="22.5" customHeight="1" x14ac:dyDescent="0.25">
      <c r="A670" s="13" t="s">
        <v>1623</v>
      </c>
      <c r="B670" s="2" t="s">
        <v>422</v>
      </c>
      <c r="C670" s="2" t="s">
        <v>1624</v>
      </c>
      <c r="D670" s="2" t="s">
        <v>424</v>
      </c>
      <c r="E670" s="2">
        <v>30.7272</v>
      </c>
      <c r="F670" s="2" t="s">
        <v>60</v>
      </c>
      <c r="G670" s="2" t="s">
        <v>61</v>
      </c>
      <c r="H670" s="6" t="s">
        <v>1623</v>
      </c>
    </row>
    <row r="671" spans="1:8" ht="22.5" customHeight="1" x14ac:dyDescent="0.25">
      <c r="A671" s="14" t="s">
        <v>1625</v>
      </c>
      <c r="B671" s="3" t="s">
        <v>273</v>
      </c>
      <c r="C671" s="3" t="s">
        <v>1626</v>
      </c>
      <c r="D671" s="3" t="s">
        <v>275</v>
      </c>
      <c r="E671" s="3">
        <v>30.084199999999999</v>
      </c>
      <c r="F671" s="3" t="s">
        <v>60</v>
      </c>
      <c r="G671" s="3" t="s">
        <v>61</v>
      </c>
      <c r="H671" s="6" t="s">
        <v>1625</v>
      </c>
    </row>
    <row r="672" spans="1:8" ht="22.5" customHeight="1" x14ac:dyDescent="0.25">
      <c r="A672" s="13" t="s">
        <v>1627</v>
      </c>
      <c r="B672" s="2" t="s">
        <v>418</v>
      </c>
      <c r="C672" s="2" t="s">
        <v>1628</v>
      </c>
      <c r="D672" s="2" t="s">
        <v>420</v>
      </c>
      <c r="E672" s="2">
        <v>30.655200000000001</v>
      </c>
      <c r="F672" s="2" t="s">
        <v>60</v>
      </c>
      <c r="G672" s="2" t="s">
        <v>61</v>
      </c>
      <c r="H672" s="6" t="s">
        <v>1627</v>
      </c>
    </row>
    <row r="673" spans="1:8" ht="22.5" customHeight="1" x14ac:dyDescent="0.25">
      <c r="A673" s="14" t="s">
        <v>1629</v>
      </c>
      <c r="B673" s="3" t="s">
        <v>846</v>
      </c>
      <c r="C673" s="3" t="s">
        <v>1630</v>
      </c>
      <c r="D673" s="3" t="s">
        <v>848</v>
      </c>
      <c r="E673" s="3">
        <v>29.944199999999999</v>
      </c>
      <c r="F673" s="3" t="s">
        <v>60</v>
      </c>
      <c r="G673" s="3" t="s">
        <v>61</v>
      </c>
      <c r="H673" s="6" t="s">
        <v>1629</v>
      </c>
    </row>
    <row r="674" spans="1:8" ht="22.5" customHeight="1" x14ac:dyDescent="0.25">
      <c r="A674" s="13" t="s">
        <v>1631</v>
      </c>
      <c r="B674" s="2" t="s">
        <v>418</v>
      </c>
      <c r="C674" s="2" t="s">
        <v>1632</v>
      </c>
      <c r="D674" s="2" t="s">
        <v>420</v>
      </c>
      <c r="E674" s="2">
        <v>30.655200000000001</v>
      </c>
      <c r="F674" s="2" t="s">
        <v>60</v>
      </c>
      <c r="G674" s="2" t="s">
        <v>61</v>
      </c>
      <c r="H674" s="6" t="s">
        <v>1631</v>
      </c>
    </row>
    <row r="675" spans="1:8" ht="22.5" customHeight="1" x14ac:dyDescent="0.25">
      <c r="A675" s="14" t="s">
        <v>1633</v>
      </c>
      <c r="B675" s="3" t="s">
        <v>414</v>
      </c>
      <c r="C675" s="3" t="s">
        <v>1634</v>
      </c>
      <c r="D675" s="3" t="s">
        <v>416</v>
      </c>
      <c r="E675" s="3">
        <v>31.0092</v>
      </c>
      <c r="F675" s="3" t="s">
        <v>60</v>
      </c>
      <c r="G675" s="3" t="s">
        <v>61</v>
      </c>
      <c r="H675" s="6" t="s">
        <v>1633</v>
      </c>
    </row>
    <row r="676" spans="1:8" ht="22.5" customHeight="1" x14ac:dyDescent="0.25">
      <c r="A676" s="13" t="s">
        <v>1635</v>
      </c>
      <c r="B676" s="2" t="s">
        <v>1008</v>
      </c>
      <c r="C676" s="2" t="s">
        <v>1636</v>
      </c>
      <c r="D676" s="2" t="s">
        <v>1010</v>
      </c>
      <c r="E676" s="2">
        <v>30.4892</v>
      </c>
      <c r="F676" s="2" t="s">
        <v>60</v>
      </c>
      <c r="G676" s="2" t="s">
        <v>61</v>
      </c>
      <c r="H676" s="6" t="s">
        <v>1635</v>
      </c>
    </row>
    <row r="677" spans="1:8" ht="22.5" customHeight="1" x14ac:dyDescent="0.25">
      <c r="A677" s="14" t="s">
        <v>1637</v>
      </c>
      <c r="B677" s="3" t="s">
        <v>1638</v>
      </c>
      <c r="C677" s="3" t="s">
        <v>1639</v>
      </c>
      <c r="D677" s="3" t="s">
        <v>1640</v>
      </c>
      <c r="E677" s="3">
        <v>33.259399999999999</v>
      </c>
      <c r="F677" s="3" t="s">
        <v>60</v>
      </c>
      <c r="G677" s="3" t="s">
        <v>61</v>
      </c>
      <c r="H677" s="6" t="s">
        <v>1637</v>
      </c>
    </row>
    <row r="678" spans="1:8" ht="22.5" customHeight="1" x14ac:dyDescent="0.25">
      <c r="A678" s="13" t="s">
        <v>1641</v>
      </c>
      <c r="B678" s="2" t="s">
        <v>404</v>
      </c>
      <c r="C678" s="2" t="s">
        <v>1642</v>
      </c>
      <c r="D678" s="2" t="s">
        <v>406</v>
      </c>
      <c r="E678" s="2">
        <v>29.999199999999998</v>
      </c>
      <c r="F678" s="2" t="s">
        <v>60</v>
      </c>
      <c r="G678" s="2" t="s">
        <v>61</v>
      </c>
      <c r="H678" s="6" t="s">
        <v>1641</v>
      </c>
    </row>
    <row r="679" spans="1:8" ht="22.5" customHeight="1" x14ac:dyDescent="0.25">
      <c r="A679" s="14" t="s">
        <v>1643</v>
      </c>
      <c r="B679" s="3" t="s">
        <v>1644</v>
      </c>
      <c r="C679" s="3" t="s">
        <v>1645</v>
      </c>
      <c r="D679" s="3" t="s">
        <v>1646</v>
      </c>
      <c r="E679" s="3">
        <v>33.118510000000001</v>
      </c>
      <c r="F679" s="3" t="s">
        <v>60</v>
      </c>
      <c r="G679" s="3" t="s">
        <v>61</v>
      </c>
      <c r="H679" s="6" t="s">
        <v>1643</v>
      </c>
    </row>
    <row r="680" spans="1:8" ht="22.5" customHeight="1" x14ac:dyDescent="0.25">
      <c r="A680" s="13" t="s">
        <v>1647</v>
      </c>
      <c r="B680" s="2" t="s">
        <v>366</v>
      </c>
      <c r="C680" s="2" t="s">
        <v>1648</v>
      </c>
      <c r="D680" s="2" t="s">
        <v>368</v>
      </c>
      <c r="E680" s="2">
        <v>32.983400000000003</v>
      </c>
      <c r="F680" s="2" t="s">
        <v>60</v>
      </c>
      <c r="G680" s="2" t="s">
        <v>61</v>
      </c>
      <c r="H680" s="6" t="s">
        <v>1647</v>
      </c>
    </row>
    <row r="681" spans="1:8" ht="22.5" customHeight="1" x14ac:dyDescent="0.25">
      <c r="A681" s="14" t="s">
        <v>1649</v>
      </c>
      <c r="B681" s="3" t="s">
        <v>1638</v>
      </c>
      <c r="C681" s="3" t="s">
        <v>1650</v>
      </c>
      <c r="D681" s="3" t="s">
        <v>1640</v>
      </c>
      <c r="E681" s="3">
        <v>33.259399999999999</v>
      </c>
      <c r="F681" s="3" t="s">
        <v>60</v>
      </c>
      <c r="G681" s="3" t="s">
        <v>61</v>
      </c>
      <c r="H681" s="6" t="s">
        <v>1649</v>
      </c>
    </row>
    <row r="682" spans="1:8" ht="22.5" customHeight="1" x14ac:dyDescent="0.25">
      <c r="A682" s="13" t="s">
        <v>1651</v>
      </c>
      <c r="B682" s="2" t="s">
        <v>1437</v>
      </c>
      <c r="C682" s="2" t="s">
        <v>1652</v>
      </c>
      <c r="D682" s="2" t="s">
        <v>1439</v>
      </c>
      <c r="E682" s="2">
        <v>28.649000000000001</v>
      </c>
      <c r="F682" s="2" t="s">
        <v>60</v>
      </c>
      <c r="G682" s="2" t="s">
        <v>61</v>
      </c>
      <c r="H682" s="6" t="s">
        <v>1651</v>
      </c>
    </row>
    <row r="683" spans="1:8" ht="33.75" customHeight="1" x14ac:dyDescent="0.25">
      <c r="A683" s="14" t="s">
        <v>1653</v>
      </c>
      <c r="B683" s="3" t="s">
        <v>156</v>
      </c>
      <c r="C683" s="3" t="s">
        <v>1654</v>
      </c>
      <c r="D683" s="3" t="s">
        <v>158</v>
      </c>
      <c r="E683" s="3">
        <v>30.987200000000001</v>
      </c>
      <c r="F683" s="3" t="s">
        <v>60</v>
      </c>
      <c r="G683" s="3" t="s">
        <v>61</v>
      </c>
      <c r="H683" s="6" t="s">
        <v>1653</v>
      </c>
    </row>
    <row r="684" spans="1:8" ht="22.5" customHeight="1" x14ac:dyDescent="0.25">
      <c r="A684" s="13" t="s">
        <v>1655</v>
      </c>
      <c r="B684" s="2" t="s">
        <v>273</v>
      </c>
      <c r="C684" s="2" t="s">
        <v>1656</v>
      </c>
      <c r="D684" s="2" t="s">
        <v>275</v>
      </c>
      <c r="E684" s="2">
        <v>30.084199999999999</v>
      </c>
      <c r="F684" s="2" t="s">
        <v>60</v>
      </c>
      <c r="G684" s="2" t="s">
        <v>61</v>
      </c>
      <c r="H684" s="6" t="s">
        <v>1655</v>
      </c>
    </row>
    <row r="685" spans="1:8" ht="33.75" customHeight="1" x14ac:dyDescent="0.25">
      <c r="A685" s="14" t="s">
        <v>1657</v>
      </c>
      <c r="B685" s="3" t="s">
        <v>422</v>
      </c>
      <c r="C685" s="3" t="s">
        <v>1658</v>
      </c>
      <c r="D685" s="3" t="s">
        <v>424</v>
      </c>
      <c r="E685" s="3">
        <v>30.7272</v>
      </c>
      <c r="F685" s="3" t="s">
        <v>60</v>
      </c>
      <c r="G685" s="3" t="s">
        <v>61</v>
      </c>
      <c r="H685" s="6" t="s">
        <v>1657</v>
      </c>
    </row>
    <row r="686" spans="1:8" ht="33.75" customHeight="1" x14ac:dyDescent="0.25">
      <c r="A686" s="13" t="s">
        <v>1659</v>
      </c>
      <c r="B686" s="2" t="s">
        <v>277</v>
      </c>
      <c r="C686" s="2" t="s">
        <v>1660</v>
      </c>
      <c r="D686" s="2" t="s">
        <v>279</v>
      </c>
      <c r="E686" s="2">
        <v>29.7592</v>
      </c>
      <c r="F686" s="2" t="s">
        <v>60</v>
      </c>
      <c r="G686" s="2" t="s">
        <v>61</v>
      </c>
      <c r="H686" s="6" t="s">
        <v>1659</v>
      </c>
    </row>
    <row r="687" spans="1:8" ht="33.75" customHeight="1" x14ac:dyDescent="0.25">
      <c r="A687" s="14" t="s">
        <v>1661</v>
      </c>
      <c r="B687" s="3" t="s">
        <v>273</v>
      </c>
      <c r="C687" s="3" t="s">
        <v>1662</v>
      </c>
      <c r="D687" s="3" t="s">
        <v>275</v>
      </c>
      <c r="E687" s="3">
        <v>30.084199999999999</v>
      </c>
      <c r="F687" s="3" t="s">
        <v>60</v>
      </c>
      <c r="G687" s="3" t="s">
        <v>61</v>
      </c>
      <c r="H687" s="6" t="s">
        <v>1661</v>
      </c>
    </row>
    <row r="688" spans="1:8" ht="22.5" customHeight="1" x14ac:dyDescent="0.25">
      <c r="A688" s="13" t="s">
        <v>1663</v>
      </c>
      <c r="B688" s="2" t="s">
        <v>418</v>
      </c>
      <c r="C688" s="2" t="s">
        <v>1664</v>
      </c>
      <c r="D688" s="2" t="s">
        <v>420</v>
      </c>
      <c r="E688" s="2">
        <v>30.655200000000001</v>
      </c>
      <c r="F688" s="2" t="s">
        <v>60</v>
      </c>
      <c r="G688" s="2" t="s">
        <v>61</v>
      </c>
      <c r="H688" s="6" t="s">
        <v>1663</v>
      </c>
    </row>
    <row r="689" spans="1:8" ht="22.5" customHeight="1" x14ac:dyDescent="0.25">
      <c r="A689" s="14" t="s">
        <v>1665</v>
      </c>
      <c r="B689" s="3" t="s">
        <v>1008</v>
      </c>
      <c r="C689" s="3" t="s">
        <v>1666</v>
      </c>
      <c r="D689" s="3" t="s">
        <v>1010</v>
      </c>
      <c r="E689" s="3">
        <v>30.4892</v>
      </c>
      <c r="F689" s="3" t="s">
        <v>60</v>
      </c>
      <c r="G689" s="3" t="s">
        <v>61</v>
      </c>
      <c r="H689" s="6" t="s">
        <v>1665</v>
      </c>
    </row>
    <row r="690" spans="1:8" ht="22.5" customHeight="1" x14ac:dyDescent="0.25">
      <c r="A690" s="13" t="s">
        <v>1667</v>
      </c>
      <c r="B690" s="2" t="s">
        <v>404</v>
      </c>
      <c r="C690" s="2" t="s">
        <v>1668</v>
      </c>
      <c r="D690" s="2" t="s">
        <v>406</v>
      </c>
      <c r="E690" s="2">
        <v>29.999199999999998</v>
      </c>
      <c r="F690" s="2" t="s">
        <v>60</v>
      </c>
      <c r="G690" s="2" t="s">
        <v>61</v>
      </c>
      <c r="H690" s="6" t="s">
        <v>1667</v>
      </c>
    </row>
    <row r="691" spans="1:8" ht="22.5" customHeight="1" x14ac:dyDescent="0.25">
      <c r="A691" s="14" t="s">
        <v>1669</v>
      </c>
      <c r="B691" s="3" t="s">
        <v>386</v>
      </c>
      <c r="C691" s="3" t="s">
        <v>1670</v>
      </c>
      <c r="D691" s="3" t="s">
        <v>388</v>
      </c>
      <c r="E691" s="3">
        <v>33.783799999999999</v>
      </c>
      <c r="F691" s="3" t="s">
        <v>60</v>
      </c>
      <c r="G691" s="3" t="s">
        <v>61</v>
      </c>
      <c r="H691" s="6" t="s">
        <v>1669</v>
      </c>
    </row>
    <row r="692" spans="1:8" ht="22.5" customHeight="1" x14ac:dyDescent="0.25">
      <c r="A692" s="13" t="s">
        <v>1671</v>
      </c>
      <c r="B692" s="2" t="s">
        <v>400</v>
      </c>
      <c r="C692" s="2" t="s">
        <v>1672</v>
      </c>
      <c r="D692" s="2" t="s">
        <v>402</v>
      </c>
      <c r="E692" s="2">
        <v>34.332239999999999</v>
      </c>
      <c r="F692" s="2" t="s">
        <v>60</v>
      </c>
      <c r="G692" s="2" t="s">
        <v>61</v>
      </c>
      <c r="H692" s="6" t="s">
        <v>1671</v>
      </c>
    </row>
    <row r="693" spans="1:8" ht="22.5" customHeight="1" x14ac:dyDescent="0.25">
      <c r="A693" s="14" t="s">
        <v>1673</v>
      </c>
      <c r="B693" s="3" t="s">
        <v>404</v>
      </c>
      <c r="C693" s="3" t="s">
        <v>1674</v>
      </c>
      <c r="D693" s="3" t="s">
        <v>406</v>
      </c>
      <c r="E693" s="3">
        <v>29.999199999999998</v>
      </c>
      <c r="F693" s="3" t="s">
        <v>60</v>
      </c>
      <c r="G693" s="3" t="s">
        <v>61</v>
      </c>
      <c r="H693" s="6" t="s">
        <v>1673</v>
      </c>
    </row>
    <row r="694" spans="1:8" ht="22.5" customHeight="1" x14ac:dyDescent="0.25">
      <c r="A694" s="13" t="s">
        <v>1675</v>
      </c>
      <c r="B694" s="2" t="s">
        <v>386</v>
      </c>
      <c r="C694" s="2" t="s">
        <v>1676</v>
      </c>
      <c r="D694" s="2" t="s">
        <v>388</v>
      </c>
      <c r="E694" s="2">
        <v>33.783799999999999</v>
      </c>
      <c r="F694" s="2" t="s">
        <v>60</v>
      </c>
      <c r="G694" s="2" t="s">
        <v>61</v>
      </c>
      <c r="H694" s="6" t="s">
        <v>1675</v>
      </c>
    </row>
    <row r="695" spans="1:8" ht="22.5" customHeight="1" x14ac:dyDescent="0.25">
      <c r="A695" s="14" t="s">
        <v>1677</v>
      </c>
      <c r="B695" s="3" t="s">
        <v>386</v>
      </c>
      <c r="C695" s="3" t="s">
        <v>1678</v>
      </c>
      <c r="D695" s="3" t="s">
        <v>388</v>
      </c>
      <c r="E695" s="3">
        <v>33.783799999999999</v>
      </c>
      <c r="F695" s="3" t="s">
        <v>60</v>
      </c>
      <c r="G695" s="3" t="s">
        <v>61</v>
      </c>
      <c r="H695" s="6" t="s">
        <v>1677</v>
      </c>
    </row>
    <row r="696" spans="1:8" ht="22.5" customHeight="1" x14ac:dyDescent="0.25">
      <c r="A696" s="13" t="s">
        <v>1679</v>
      </c>
      <c r="B696" s="2" t="s">
        <v>382</v>
      </c>
      <c r="C696" s="2" t="s">
        <v>1680</v>
      </c>
      <c r="D696" s="2" t="s">
        <v>384</v>
      </c>
      <c r="E696" s="2">
        <v>35.3172</v>
      </c>
      <c r="F696" s="2" t="s">
        <v>60</v>
      </c>
      <c r="G696" s="2" t="s">
        <v>61</v>
      </c>
      <c r="H696" s="6" t="s">
        <v>1679</v>
      </c>
    </row>
    <row r="697" spans="1:8" ht="22.5" customHeight="1" x14ac:dyDescent="0.25">
      <c r="A697" s="14" t="s">
        <v>1681</v>
      </c>
      <c r="B697" s="3" t="s">
        <v>390</v>
      </c>
      <c r="C697" s="3" t="s">
        <v>1682</v>
      </c>
      <c r="D697" s="3" t="s">
        <v>392</v>
      </c>
      <c r="E697" s="3">
        <v>35.367600000000003</v>
      </c>
      <c r="F697" s="3" t="s">
        <v>60</v>
      </c>
      <c r="G697" s="3" t="s">
        <v>61</v>
      </c>
      <c r="H697" s="6" t="s">
        <v>1681</v>
      </c>
    </row>
    <row r="698" spans="1:8" ht="22.5" customHeight="1" x14ac:dyDescent="0.25">
      <c r="A698" s="13" t="s">
        <v>1683</v>
      </c>
      <c r="B698" s="2" t="s">
        <v>1008</v>
      </c>
      <c r="C698" s="2" t="s">
        <v>1684</v>
      </c>
      <c r="D698" s="2" t="s">
        <v>1010</v>
      </c>
      <c r="E698" s="2">
        <v>30.4892</v>
      </c>
      <c r="F698" s="2" t="s">
        <v>60</v>
      </c>
      <c r="G698" s="2" t="s">
        <v>61</v>
      </c>
      <c r="H698" s="6" t="s">
        <v>1683</v>
      </c>
    </row>
    <row r="699" spans="1:8" ht="22.5" customHeight="1" x14ac:dyDescent="0.25">
      <c r="A699" s="14" t="s">
        <v>1685</v>
      </c>
      <c r="B699" s="3" t="s">
        <v>418</v>
      </c>
      <c r="C699" s="3" t="s">
        <v>1686</v>
      </c>
      <c r="D699" s="3" t="s">
        <v>420</v>
      </c>
      <c r="E699" s="3">
        <v>30.655200000000001</v>
      </c>
      <c r="F699" s="3" t="s">
        <v>60</v>
      </c>
      <c r="G699" s="3" t="s">
        <v>61</v>
      </c>
      <c r="H699" s="6" t="s">
        <v>1685</v>
      </c>
    </row>
    <row r="700" spans="1:8" ht="22.5" customHeight="1" x14ac:dyDescent="0.25">
      <c r="A700" s="13" t="s">
        <v>1687</v>
      </c>
      <c r="B700" s="2" t="s">
        <v>324</v>
      </c>
      <c r="C700" s="2" t="s">
        <v>1688</v>
      </c>
      <c r="D700" s="2" t="s">
        <v>326</v>
      </c>
      <c r="E700" s="2">
        <v>29.719200000000001</v>
      </c>
      <c r="F700" s="2" t="s">
        <v>60</v>
      </c>
      <c r="G700" s="2" t="s">
        <v>61</v>
      </c>
      <c r="H700" s="6" t="s">
        <v>1687</v>
      </c>
    </row>
    <row r="701" spans="1:8" ht="33.75" customHeight="1" x14ac:dyDescent="0.25">
      <c r="A701" s="14" t="s">
        <v>1689</v>
      </c>
      <c r="B701" s="3" t="s">
        <v>846</v>
      </c>
      <c r="C701" s="3" t="s">
        <v>1690</v>
      </c>
      <c r="D701" s="3" t="s">
        <v>848</v>
      </c>
      <c r="E701" s="3">
        <v>29.944199999999999</v>
      </c>
      <c r="F701" s="3" t="s">
        <v>60</v>
      </c>
      <c r="G701" s="3" t="s">
        <v>61</v>
      </c>
      <c r="H701" s="6" t="s">
        <v>1689</v>
      </c>
    </row>
    <row r="702" spans="1:8" ht="22.5" customHeight="1" x14ac:dyDescent="0.25">
      <c r="A702" s="13" t="s">
        <v>1691</v>
      </c>
      <c r="B702" s="2" t="s">
        <v>794</v>
      </c>
      <c r="C702" s="2" t="s">
        <v>1692</v>
      </c>
      <c r="D702" s="2" t="s">
        <v>796</v>
      </c>
      <c r="E702" s="2">
        <v>34.151200000000003</v>
      </c>
      <c r="F702" s="2" t="s">
        <v>60</v>
      </c>
      <c r="G702" s="2" t="s">
        <v>61</v>
      </c>
      <c r="H702" s="6" t="s">
        <v>1691</v>
      </c>
    </row>
    <row r="703" spans="1:8" ht="33.75" customHeight="1" x14ac:dyDescent="0.25">
      <c r="A703" s="14" t="s">
        <v>1693</v>
      </c>
      <c r="B703" s="3" t="s">
        <v>422</v>
      </c>
      <c r="C703" s="3" t="s">
        <v>1694</v>
      </c>
      <c r="D703" s="3" t="s">
        <v>424</v>
      </c>
      <c r="E703" s="3">
        <v>30.7272</v>
      </c>
      <c r="F703" s="3" t="s">
        <v>60</v>
      </c>
      <c r="G703" s="3" t="s">
        <v>61</v>
      </c>
      <c r="H703" s="6" t="s">
        <v>1693</v>
      </c>
    </row>
    <row r="704" spans="1:8" ht="33.75" customHeight="1" x14ac:dyDescent="0.25">
      <c r="A704" s="13" t="s">
        <v>1695</v>
      </c>
      <c r="B704" s="2" t="s">
        <v>1236</v>
      </c>
      <c r="C704" s="2" t="s">
        <v>1696</v>
      </c>
      <c r="D704" s="2" t="s">
        <v>1238</v>
      </c>
      <c r="E704" s="2">
        <v>50.456000000000003</v>
      </c>
      <c r="F704" s="2" t="s">
        <v>60</v>
      </c>
      <c r="G704" s="2" t="s">
        <v>61</v>
      </c>
      <c r="H704" s="6" t="s">
        <v>1695</v>
      </c>
    </row>
    <row r="705" spans="1:8" ht="22.5" customHeight="1" x14ac:dyDescent="0.25">
      <c r="A705" s="14" t="s">
        <v>1697</v>
      </c>
      <c r="B705" s="3" t="s">
        <v>386</v>
      </c>
      <c r="C705" s="3" t="s">
        <v>1698</v>
      </c>
      <c r="D705" s="3" t="s">
        <v>388</v>
      </c>
      <c r="E705" s="3">
        <v>33.783799999999999</v>
      </c>
      <c r="F705" s="3" t="s">
        <v>60</v>
      </c>
      <c r="G705" s="3" t="s">
        <v>61</v>
      </c>
      <c r="H705" s="6" t="s">
        <v>1697</v>
      </c>
    </row>
    <row r="706" spans="1:8" ht="22.5" customHeight="1" x14ac:dyDescent="0.25">
      <c r="A706" s="13" t="s">
        <v>1699</v>
      </c>
      <c r="B706" s="2" t="s">
        <v>382</v>
      </c>
      <c r="C706" s="2" t="s">
        <v>1700</v>
      </c>
      <c r="D706" s="2" t="s">
        <v>384</v>
      </c>
      <c r="E706" s="2">
        <v>35.3172</v>
      </c>
      <c r="F706" s="2" t="s">
        <v>60</v>
      </c>
      <c r="G706" s="2" t="s">
        <v>61</v>
      </c>
      <c r="H706" s="6" t="s">
        <v>1699</v>
      </c>
    </row>
    <row r="707" spans="1:8" ht="22.5" customHeight="1" x14ac:dyDescent="0.25">
      <c r="A707" s="14" t="s">
        <v>1701</v>
      </c>
      <c r="B707" s="3" t="s">
        <v>418</v>
      </c>
      <c r="C707" s="3" t="s">
        <v>1686</v>
      </c>
      <c r="D707" s="3" t="s">
        <v>420</v>
      </c>
      <c r="E707" s="3">
        <v>30.655200000000001</v>
      </c>
      <c r="F707" s="3" t="s">
        <v>60</v>
      </c>
      <c r="G707" s="3" t="s">
        <v>61</v>
      </c>
      <c r="H707" s="6" t="s">
        <v>1701</v>
      </c>
    </row>
    <row r="708" spans="1:8" ht="22.5" customHeight="1" x14ac:dyDescent="0.25">
      <c r="A708" s="13" t="s">
        <v>1702</v>
      </c>
      <c r="B708" s="2" t="s">
        <v>588</v>
      </c>
      <c r="C708" s="2" t="s">
        <v>1703</v>
      </c>
      <c r="D708" s="2" t="s">
        <v>590</v>
      </c>
      <c r="E708" s="2">
        <v>29.869199999999999</v>
      </c>
      <c r="F708" s="2" t="s">
        <v>60</v>
      </c>
      <c r="G708" s="2" t="s">
        <v>61</v>
      </c>
      <c r="H708" s="6" t="s">
        <v>1702</v>
      </c>
    </row>
    <row r="709" spans="1:8" ht="22.5" customHeight="1" x14ac:dyDescent="0.25">
      <c r="A709" s="14" t="s">
        <v>1704</v>
      </c>
      <c r="B709" s="3" t="s">
        <v>418</v>
      </c>
      <c r="C709" s="3" t="s">
        <v>1705</v>
      </c>
      <c r="D709" s="3" t="s">
        <v>420</v>
      </c>
      <c r="E709" s="3">
        <v>30.655200000000001</v>
      </c>
      <c r="F709" s="3" t="s">
        <v>60</v>
      </c>
      <c r="G709" s="3" t="s">
        <v>61</v>
      </c>
      <c r="H709" s="6" t="s">
        <v>1704</v>
      </c>
    </row>
    <row r="710" spans="1:8" ht="22.5" customHeight="1" x14ac:dyDescent="0.25">
      <c r="A710" s="13" t="s">
        <v>1706</v>
      </c>
      <c r="B710" s="2" t="s">
        <v>324</v>
      </c>
      <c r="C710" s="2" t="s">
        <v>1707</v>
      </c>
      <c r="D710" s="2" t="s">
        <v>326</v>
      </c>
      <c r="E710" s="2">
        <v>29.719200000000001</v>
      </c>
      <c r="F710" s="2" t="s">
        <v>60</v>
      </c>
      <c r="G710" s="2" t="s">
        <v>61</v>
      </c>
      <c r="H710" s="6" t="s">
        <v>1706</v>
      </c>
    </row>
    <row r="711" spans="1:8" ht="22.5" customHeight="1" x14ac:dyDescent="0.25">
      <c r="A711" s="14" t="s">
        <v>1708</v>
      </c>
      <c r="B711" s="3" t="s">
        <v>418</v>
      </c>
      <c r="C711" s="3" t="s">
        <v>1709</v>
      </c>
      <c r="D711" s="3" t="s">
        <v>420</v>
      </c>
      <c r="E711" s="3">
        <v>30.655200000000001</v>
      </c>
      <c r="F711" s="3" t="s">
        <v>60</v>
      </c>
      <c r="G711" s="3" t="s">
        <v>61</v>
      </c>
      <c r="H711" s="6" t="s">
        <v>1708</v>
      </c>
    </row>
    <row r="712" spans="1:8" ht="33.75" customHeight="1" x14ac:dyDescent="0.25">
      <c r="A712" s="13" t="s">
        <v>1710</v>
      </c>
      <c r="B712" s="2" t="s">
        <v>418</v>
      </c>
      <c r="C712" s="2" t="s">
        <v>1711</v>
      </c>
      <c r="D712" s="2" t="s">
        <v>420</v>
      </c>
      <c r="E712" s="2">
        <v>30.655200000000001</v>
      </c>
      <c r="F712" s="2" t="s">
        <v>60</v>
      </c>
      <c r="G712" s="2" t="s">
        <v>61</v>
      </c>
      <c r="H712" s="6" t="s">
        <v>1710</v>
      </c>
    </row>
    <row r="713" spans="1:8" ht="22.5" customHeight="1" x14ac:dyDescent="0.25">
      <c r="A713" s="14" t="s">
        <v>1712</v>
      </c>
      <c r="B713" s="3" t="s">
        <v>378</v>
      </c>
      <c r="C713" s="3" t="s">
        <v>1713</v>
      </c>
      <c r="D713" s="3" t="s">
        <v>380</v>
      </c>
      <c r="E713" s="3">
        <v>29.743200000000002</v>
      </c>
      <c r="F713" s="3" t="s">
        <v>60</v>
      </c>
      <c r="G713" s="3" t="s">
        <v>61</v>
      </c>
      <c r="H713" s="6" t="s">
        <v>1712</v>
      </c>
    </row>
    <row r="714" spans="1:8" ht="22.5" customHeight="1" x14ac:dyDescent="0.25">
      <c r="A714" s="13" t="s">
        <v>1714</v>
      </c>
      <c r="B714" s="2" t="s">
        <v>1715</v>
      </c>
      <c r="C714" s="2" t="s">
        <v>1716</v>
      </c>
      <c r="D714" s="2" t="s">
        <v>1717</v>
      </c>
      <c r="E714" s="2">
        <v>29.805199999999999</v>
      </c>
      <c r="F714" s="2" t="s">
        <v>60</v>
      </c>
      <c r="G714" s="2" t="s">
        <v>61</v>
      </c>
      <c r="H714" s="6" t="s">
        <v>1714</v>
      </c>
    </row>
    <row r="715" spans="1:8" ht="22.5" customHeight="1" x14ac:dyDescent="0.25">
      <c r="A715" s="14" t="s">
        <v>1718</v>
      </c>
      <c r="B715" s="3" t="s">
        <v>1719</v>
      </c>
      <c r="C715" s="3" t="s">
        <v>1720</v>
      </c>
      <c r="D715" s="3" t="s">
        <v>1721</v>
      </c>
      <c r="E715" s="3">
        <v>29.3232</v>
      </c>
      <c r="F715" s="3" t="s">
        <v>60</v>
      </c>
      <c r="G715" s="3" t="s">
        <v>61</v>
      </c>
      <c r="H715" s="6" t="s">
        <v>1718</v>
      </c>
    </row>
    <row r="716" spans="1:8" ht="22.5" customHeight="1" x14ac:dyDescent="0.25">
      <c r="A716" s="13" t="s">
        <v>1722</v>
      </c>
      <c r="B716" s="2" t="s">
        <v>1723</v>
      </c>
      <c r="C716" s="2" t="s">
        <v>1724</v>
      </c>
      <c r="D716" s="2" t="s">
        <v>1725</v>
      </c>
      <c r="E716" s="2">
        <v>29.0672</v>
      </c>
      <c r="F716" s="2" t="s">
        <v>60</v>
      </c>
      <c r="G716" s="2" t="s">
        <v>61</v>
      </c>
      <c r="H716" s="6" t="s">
        <v>1722</v>
      </c>
    </row>
    <row r="717" spans="1:8" ht="22.5" customHeight="1" x14ac:dyDescent="0.25">
      <c r="A717" s="14" t="s">
        <v>1726</v>
      </c>
      <c r="B717" s="3" t="s">
        <v>1727</v>
      </c>
      <c r="C717" s="3" t="s">
        <v>1728</v>
      </c>
      <c r="D717" s="3" t="s">
        <v>1729</v>
      </c>
      <c r="E717" s="3">
        <v>29.0792</v>
      </c>
      <c r="F717" s="3" t="s">
        <v>60</v>
      </c>
      <c r="G717" s="3" t="s">
        <v>61</v>
      </c>
      <c r="H717" s="6" t="s">
        <v>1726</v>
      </c>
    </row>
    <row r="718" spans="1:8" ht="33.75" customHeight="1" x14ac:dyDescent="0.25">
      <c r="A718" s="13" t="s">
        <v>1730</v>
      </c>
      <c r="B718" s="2" t="s">
        <v>1719</v>
      </c>
      <c r="C718" s="2" t="s">
        <v>1731</v>
      </c>
      <c r="D718" s="2" t="s">
        <v>1721</v>
      </c>
      <c r="E718" s="2">
        <v>29.3232</v>
      </c>
      <c r="F718" s="2" t="s">
        <v>60</v>
      </c>
      <c r="G718" s="2" t="s">
        <v>61</v>
      </c>
      <c r="H718" s="6" t="s">
        <v>1730</v>
      </c>
    </row>
    <row r="719" spans="1:8" ht="33.75" customHeight="1" x14ac:dyDescent="0.25">
      <c r="A719" s="14" t="s">
        <v>1732</v>
      </c>
      <c r="B719" s="3" t="s">
        <v>1723</v>
      </c>
      <c r="C719" s="3" t="s">
        <v>1733</v>
      </c>
      <c r="D719" s="3" t="s">
        <v>1725</v>
      </c>
      <c r="E719" s="3">
        <v>29.0672</v>
      </c>
      <c r="F719" s="3" t="s">
        <v>60</v>
      </c>
      <c r="G719" s="3" t="s">
        <v>61</v>
      </c>
      <c r="H719" s="6" t="s">
        <v>1732</v>
      </c>
    </row>
    <row r="720" spans="1:8" ht="33.75" customHeight="1" x14ac:dyDescent="0.25">
      <c r="A720" s="13" t="s">
        <v>1734</v>
      </c>
      <c r="B720" s="2" t="s">
        <v>1727</v>
      </c>
      <c r="C720" s="2" t="s">
        <v>1735</v>
      </c>
      <c r="D720" s="2" t="s">
        <v>1729</v>
      </c>
      <c r="E720" s="2">
        <v>29.0792</v>
      </c>
      <c r="F720" s="2" t="s">
        <v>60</v>
      </c>
      <c r="G720" s="2" t="s">
        <v>61</v>
      </c>
      <c r="H720" s="6" t="s">
        <v>1734</v>
      </c>
    </row>
    <row r="721" spans="1:8" ht="22.5" customHeight="1" x14ac:dyDescent="0.25">
      <c r="A721" s="14" t="s">
        <v>1736</v>
      </c>
      <c r="B721" s="3" t="s">
        <v>1737</v>
      </c>
      <c r="C721" s="3" t="s">
        <v>1738</v>
      </c>
      <c r="D721" s="3" t="s">
        <v>1739</v>
      </c>
      <c r="E721" s="3">
        <v>29.804200000000002</v>
      </c>
      <c r="F721" s="3" t="s">
        <v>60</v>
      </c>
      <c r="G721" s="3" t="s">
        <v>61</v>
      </c>
      <c r="H721" s="6" t="s">
        <v>1736</v>
      </c>
    </row>
    <row r="722" spans="1:8" ht="22.5" customHeight="1" x14ac:dyDescent="0.25">
      <c r="A722" s="13" t="s">
        <v>1740</v>
      </c>
      <c r="B722" s="2" t="s">
        <v>1741</v>
      </c>
      <c r="C722" s="2" t="s">
        <v>1742</v>
      </c>
      <c r="D722" s="2" t="s">
        <v>1743</v>
      </c>
      <c r="E722" s="2">
        <v>31.026199999999999</v>
      </c>
      <c r="F722" s="2" t="s">
        <v>60</v>
      </c>
      <c r="G722" s="2" t="s">
        <v>61</v>
      </c>
      <c r="H722" s="6" t="s">
        <v>1740</v>
      </c>
    </row>
    <row r="723" spans="1:8" ht="33.75" customHeight="1" x14ac:dyDescent="0.25">
      <c r="A723" s="14" t="s">
        <v>1744</v>
      </c>
      <c r="B723" s="3" t="s">
        <v>1737</v>
      </c>
      <c r="C723" s="3" t="s">
        <v>1745</v>
      </c>
      <c r="D723" s="3" t="s">
        <v>1739</v>
      </c>
      <c r="E723" s="3">
        <v>29.804200000000002</v>
      </c>
      <c r="F723" s="3" t="s">
        <v>60</v>
      </c>
      <c r="G723" s="3" t="s">
        <v>61</v>
      </c>
      <c r="H723" s="6" t="s">
        <v>1744</v>
      </c>
    </row>
    <row r="724" spans="1:8" ht="33.75" customHeight="1" x14ac:dyDescent="0.25">
      <c r="A724" s="13" t="s">
        <v>1746</v>
      </c>
      <c r="B724" s="2" t="s">
        <v>418</v>
      </c>
      <c r="C724" s="2" t="s">
        <v>1747</v>
      </c>
      <c r="D724" s="2" t="s">
        <v>420</v>
      </c>
      <c r="E724" s="2">
        <v>30.655200000000001</v>
      </c>
      <c r="F724" s="2" t="s">
        <v>60</v>
      </c>
      <c r="G724" s="2" t="s">
        <v>61</v>
      </c>
      <c r="H724" s="6" t="s">
        <v>1746</v>
      </c>
    </row>
    <row r="725" spans="1:8" ht="22.5" customHeight="1" x14ac:dyDescent="0.25">
      <c r="A725" s="14" t="s">
        <v>1748</v>
      </c>
      <c r="B725" s="3" t="s">
        <v>1715</v>
      </c>
      <c r="C725" s="3" t="s">
        <v>1749</v>
      </c>
      <c r="D725" s="3" t="s">
        <v>1717</v>
      </c>
      <c r="E725" s="3">
        <v>29.805199999999999</v>
      </c>
      <c r="F725" s="3" t="s">
        <v>60</v>
      </c>
      <c r="G725" s="3" t="s">
        <v>61</v>
      </c>
      <c r="H725" s="6" t="s">
        <v>1748</v>
      </c>
    </row>
    <row r="726" spans="1:8" ht="33.75" customHeight="1" x14ac:dyDescent="0.25">
      <c r="A726" s="13" t="s">
        <v>1750</v>
      </c>
      <c r="B726" s="2" t="s">
        <v>1715</v>
      </c>
      <c r="C726" s="2" t="s">
        <v>1751</v>
      </c>
      <c r="D726" s="2" t="s">
        <v>1717</v>
      </c>
      <c r="E726" s="2">
        <v>29.805199999999999</v>
      </c>
      <c r="F726" s="2" t="s">
        <v>60</v>
      </c>
      <c r="G726" s="2" t="s">
        <v>61</v>
      </c>
      <c r="H726" s="6" t="s">
        <v>1750</v>
      </c>
    </row>
    <row r="727" spans="1:8" ht="45" customHeight="1" x14ac:dyDescent="0.25">
      <c r="A727" s="14" t="s">
        <v>1752</v>
      </c>
      <c r="B727" s="3" t="s">
        <v>142</v>
      </c>
      <c r="C727" s="3" t="s">
        <v>1753</v>
      </c>
      <c r="D727" s="3" t="s">
        <v>144</v>
      </c>
      <c r="E727" s="3"/>
      <c r="F727" s="3" t="s">
        <v>145</v>
      </c>
      <c r="G727" s="3" t="s">
        <v>146</v>
      </c>
      <c r="H727" s="6" t="s">
        <v>1752</v>
      </c>
    </row>
    <row r="728" spans="1:8" ht="22.5" customHeight="1" x14ac:dyDescent="0.25">
      <c r="A728" s="13" t="s">
        <v>1754</v>
      </c>
      <c r="B728" s="2" t="s">
        <v>1755</v>
      </c>
      <c r="C728" s="2" t="s">
        <v>1756</v>
      </c>
      <c r="D728" s="2" t="s">
        <v>1757</v>
      </c>
      <c r="E728" s="2">
        <v>40.316000000000003</v>
      </c>
      <c r="F728" s="2" t="s">
        <v>60</v>
      </c>
      <c r="G728" s="2" t="s">
        <v>61</v>
      </c>
      <c r="H728" s="6" t="s">
        <v>1754</v>
      </c>
    </row>
    <row r="729" spans="1:8" ht="22.5" customHeight="1" x14ac:dyDescent="0.25">
      <c r="A729" s="14" t="s">
        <v>1758</v>
      </c>
      <c r="B729" s="3" t="s">
        <v>1759</v>
      </c>
      <c r="C729" s="3" t="s">
        <v>1760</v>
      </c>
      <c r="D729" s="3" t="s">
        <v>1761</v>
      </c>
      <c r="E729" s="3">
        <v>37.295999999999999</v>
      </c>
      <c r="F729" s="3" t="s">
        <v>60</v>
      </c>
      <c r="G729" s="3" t="s">
        <v>61</v>
      </c>
      <c r="H729" s="6" t="s">
        <v>1758</v>
      </c>
    </row>
    <row r="730" spans="1:8" ht="22.5" customHeight="1" x14ac:dyDescent="0.25">
      <c r="A730" s="13" t="s">
        <v>1762</v>
      </c>
      <c r="B730" s="2" t="s">
        <v>1763</v>
      </c>
      <c r="C730" s="2" t="s">
        <v>1764</v>
      </c>
      <c r="D730" s="2" t="s">
        <v>1765</v>
      </c>
      <c r="E730" s="2">
        <v>41.020940000000003</v>
      </c>
      <c r="F730" s="2" t="s">
        <v>60</v>
      </c>
      <c r="G730" s="2" t="s">
        <v>61</v>
      </c>
      <c r="H730" s="6" t="s">
        <v>1762</v>
      </c>
    </row>
    <row r="731" spans="1:8" ht="22.5" customHeight="1" x14ac:dyDescent="0.25">
      <c r="A731" s="14" t="s">
        <v>1766</v>
      </c>
      <c r="B731" s="3" t="s">
        <v>1767</v>
      </c>
      <c r="C731" s="3" t="s">
        <v>1768</v>
      </c>
      <c r="D731" s="3" t="s">
        <v>1769</v>
      </c>
      <c r="E731" s="3">
        <v>40.7776</v>
      </c>
      <c r="F731" s="3" t="s">
        <v>60</v>
      </c>
      <c r="G731" s="3" t="s">
        <v>61</v>
      </c>
      <c r="H731" s="6" t="s">
        <v>1766</v>
      </c>
    </row>
    <row r="732" spans="1:8" ht="22.5" customHeight="1" x14ac:dyDescent="0.25">
      <c r="A732" s="13" t="s">
        <v>1770</v>
      </c>
      <c r="B732" s="2" t="s">
        <v>1767</v>
      </c>
      <c r="C732" s="2" t="s">
        <v>1771</v>
      </c>
      <c r="D732" s="2" t="s">
        <v>1769</v>
      </c>
      <c r="E732" s="2">
        <v>40.7776</v>
      </c>
      <c r="F732" s="2" t="s">
        <v>60</v>
      </c>
      <c r="G732" s="2" t="s">
        <v>61</v>
      </c>
      <c r="H732" s="6" t="s">
        <v>1770</v>
      </c>
    </row>
    <row r="733" spans="1:8" ht="22.5" customHeight="1" x14ac:dyDescent="0.25">
      <c r="A733" s="14" t="s">
        <v>1772</v>
      </c>
      <c r="B733" s="3" t="s">
        <v>1773</v>
      </c>
      <c r="C733" s="3" t="s">
        <v>1774</v>
      </c>
      <c r="D733" s="3" t="s">
        <v>1775</v>
      </c>
      <c r="E733" s="3">
        <v>29.173999999999999</v>
      </c>
      <c r="F733" s="3" t="s">
        <v>60</v>
      </c>
      <c r="G733" s="3" t="s">
        <v>61</v>
      </c>
      <c r="H733" s="6" t="s">
        <v>1772</v>
      </c>
    </row>
    <row r="734" spans="1:8" ht="22.5" customHeight="1" x14ac:dyDescent="0.25">
      <c r="A734" s="13" t="s">
        <v>1776</v>
      </c>
      <c r="B734" s="2" t="s">
        <v>1777</v>
      </c>
      <c r="C734" s="2" t="s">
        <v>1778</v>
      </c>
      <c r="D734" s="2" t="s">
        <v>1779</v>
      </c>
      <c r="E734" s="2">
        <v>27.942</v>
      </c>
      <c r="F734" s="2" t="s">
        <v>60</v>
      </c>
      <c r="G734" s="2" t="s">
        <v>61</v>
      </c>
      <c r="H734" s="6" t="s">
        <v>1776</v>
      </c>
    </row>
    <row r="735" spans="1:8" ht="33.75" customHeight="1" x14ac:dyDescent="0.25">
      <c r="A735" s="14" t="s">
        <v>1780</v>
      </c>
      <c r="B735" s="3" t="s">
        <v>1781</v>
      </c>
      <c r="C735" s="3" t="s">
        <v>1782</v>
      </c>
      <c r="D735" s="3" t="s">
        <v>1783</v>
      </c>
      <c r="E735" s="3">
        <v>27.925999999999998</v>
      </c>
      <c r="F735" s="3" t="s">
        <v>60</v>
      </c>
      <c r="G735" s="3" t="s">
        <v>61</v>
      </c>
      <c r="H735" s="6" t="s">
        <v>1780</v>
      </c>
    </row>
    <row r="736" spans="1:8" ht="22.5" customHeight="1" x14ac:dyDescent="0.25">
      <c r="A736" s="13" t="s">
        <v>1784</v>
      </c>
      <c r="B736" s="2" t="s">
        <v>1294</v>
      </c>
      <c r="C736" s="2" t="s">
        <v>1785</v>
      </c>
      <c r="D736" s="2" t="s">
        <v>1296</v>
      </c>
      <c r="E736" s="2">
        <v>27.925999999999998</v>
      </c>
      <c r="F736" s="2" t="s">
        <v>60</v>
      </c>
      <c r="G736" s="2" t="s">
        <v>61</v>
      </c>
      <c r="H736" s="6" t="s">
        <v>1784</v>
      </c>
    </row>
    <row r="737" spans="1:8" ht="22.5" customHeight="1" x14ac:dyDescent="0.25">
      <c r="A737" s="14" t="s">
        <v>1786</v>
      </c>
      <c r="B737" s="3" t="s">
        <v>878</v>
      </c>
      <c r="C737" s="3" t="s">
        <v>1787</v>
      </c>
      <c r="D737" s="3" t="s">
        <v>880</v>
      </c>
      <c r="E737" s="3">
        <v>27.925999999999998</v>
      </c>
      <c r="F737" s="3" t="s">
        <v>60</v>
      </c>
      <c r="G737" s="3" t="s">
        <v>61</v>
      </c>
      <c r="H737" s="6" t="s">
        <v>1786</v>
      </c>
    </row>
    <row r="738" spans="1:8" ht="33.75" customHeight="1" x14ac:dyDescent="0.25">
      <c r="A738" s="13" t="s">
        <v>1788</v>
      </c>
      <c r="B738" s="2" t="s">
        <v>1789</v>
      </c>
      <c r="C738" s="2" t="s">
        <v>1790</v>
      </c>
      <c r="D738" s="2" t="s">
        <v>1791</v>
      </c>
      <c r="E738" s="2">
        <v>27.801559999999998</v>
      </c>
      <c r="F738" s="2" t="s">
        <v>60</v>
      </c>
      <c r="G738" s="2" t="s">
        <v>61</v>
      </c>
      <c r="H738" s="6" t="s">
        <v>1788</v>
      </c>
    </row>
    <row r="739" spans="1:8" ht="33.75" customHeight="1" x14ac:dyDescent="0.25">
      <c r="A739" s="14" t="s">
        <v>1792</v>
      </c>
      <c r="B739" s="3" t="s">
        <v>632</v>
      </c>
      <c r="C739" s="3" t="s">
        <v>1793</v>
      </c>
      <c r="D739" s="3" t="s">
        <v>634</v>
      </c>
      <c r="E739" s="3">
        <v>27.795079999999999</v>
      </c>
      <c r="F739" s="3" t="s">
        <v>60</v>
      </c>
      <c r="G739" s="3" t="s">
        <v>61</v>
      </c>
      <c r="H739" s="6" t="s">
        <v>1792</v>
      </c>
    </row>
    <row r="740" spans="1:8" ht="22.5" customHeight="1" x14ac:dyDescent="0.25">
      <c r="A740" s="13" t="s">
        <v>1794</v>
      </c>
      <c r="B740" s="2" t="s">
        <v>1795</v>
      </c>
      <c r="C740" s="2" t="s">
        <v>1796</v>
      </c>
      <c r="D740" s="2" t="s">
        <v>1797</v>
      </c>
      <c r="E740" s="2">
        <v>28.257760000000001</v>
      </c>
      <c r="F740" s="2" t="s">
        <v>60</v>
      </c>
      <c r="G740" s="2" t="s">
        <v>61</v>
      </c>
      <c r="H740" s="6" t="s">
        <v>1794</v>
      </c>
    </row>
    <row r="741" spans="1:8" ht="22.5" customHeight="1" x14ac:dyDescent="0.25">
      <c r="A741" s="14" t="s">
        <v>1798</v>
      </c>
      <c r="B741" s="3" t="s">
        <v>1789</v>
      </c>
      <c r="C741" s="3" t="s">
        <v>1799</v>
      </c>
      <c r="D741" s="3" t="s">
        <v>1791</v>
      </c>
      <c r="E741" s="3">
        <v>27.801559999999998</v>
      </c>
      <c r="F741" s="3" t="s">
        <v>60</v>
      </c>
      <c r="G741" s="3" t="s">
        <v>61</v>
      </c>
      <c r="H741" s="6" t="s">
        <v>1798</v>
      </c>
    </row>
    <row r="742" spans="1:8" ht="22.5" customHeight="1" x14ac:dyDescent="0.25">
      <c r="A742" s="13" t="s">
        <v>1800</v>
      </c>
      <c r="B742" s="2" t="s">
        <v>1789</v>
      </c>
      <c r="C742" s="2" t="s">
        <v>1801</v>
      </c>
      <c r="D742" s="2" t="s">
        <v>1791</v>
      </c>
      <c r="E742" s="2">
        <v>27.801559999999998</v>
      </c>
      <c r="F742" s="2" t="s">
        <v>60</v>
      </c>
      <c r="G742" s="2" t="s">
        <v>61</v>
      </c>
      <c r="H742" s="6" t="s">
        <v>1800</v>
      </c>
    </row>
    <row r="743" spans="1:8" ht="22.5" customHeight="1" x14ac:dyDescent="0.25">
      <c r="A743" s="14" t="s">
        <v>1802</v>
      </c>
      <c r="B743" s="3" t="s">
        <v>1789</v>
      </c>
      <c r="C743" s="3" t="s">
        <v>1803</v>
      </c>
      <c r="D743" s="3" t="s">
        <v>1791</v>
      </c>
      <c r="E743" s="3">
        <v>27.801559999999998</v>
      </c>
      <c r="F743" s="3" t="s">
        <v>60</v>
      </c>
      <c r="G743" s="3" t="s">
        <v>61</v>
      </c>
      <c r="H743" s="6" t="s">
        <v>1802</v>
      </c>
    </row>
    <row r="744" spans="1:8" ht="22.5" customHeight="1" x14ac:dyDescent="0.25">
      <c r="A744" s="13" t="s">
        <v>1804</v>
      </c>
      <c r="B744" s="2" t="s">
        <v>1805</v>
      </c>
      <c r="C744" s="2" t="s">
        <v>1806</v>
      </c>
      <c r="D744" s="2" t="s">
        <v>1807</v>
      </c>
      <c r="E744" s="2">
        <v>27.795079999999999</v>
      </c>
      <c r="F744" s="2" t="s">
        <v>60</v>
      </c>
      <c r="G744" s="2" t="s">
        <v>61</v>
      </c>
      <c r="H744" s="6" t="s">
        <v>1804</v>
      </c>
    </row>
    <row r="745" spans="1:8" ht="22.5" customHeight="1" x14ac:dyDescent="0.25">
      <c r="A745" s="14" t="s">
        <v>1808</v>
      </c>
      <c r="B745" s="3" t="s">
        <v>1805</v>
      </c>
      <c r="C745" s="3" t="s">
        <v>1809</v>
      </c>
      <c r="D745" s="3" t="s">
        <v>1807</v>
      </c>
      <c r="E745" s="3">
        <v>27.795079999999999</v>
      </c>
      <c r="F745" s="3" t="s">
        <v>60</v>
      </c>
      <c r="G745" s="3" t="s">
        <v>61</v>
      </c>
      <c r="H745" s="6" t="s">
        <v>1808</v>
      </c>
    </row>
    <row r="746" spans="1:8" ht="22.5" customHeight="1" x14ac:dyDescent="0.25">
      <c r="A746" s="13" t="s">
        <v>1810</v>
      </c>
      <c r="B746" s="2" t="s">
        <v>632</v>
      </c>
      <c r="C746" s="2" t="s">
        <v>1811</v>
      </c>
      <c r="D746" s="2" t="s">
        <v>634</v>
      </c>
      <c r="E746" s="2">
        <v>27.795079999999999</v>
      </c>
      <c r="F746" s="2" t="s">
        <v>60</v>
      </c>
      <c r="G746" s="2" t="s">
        <v>61</v>
      </c>
      <c r="H746" s="6" t="s">
        <v>1810</v>
      </c>
    </row>
    <row r="747" spans="1:8" ht="22.5" customHeight="1" x14ac:dyDescent="0.25">
      <c r="A747" s="14" t="s">
        <v>1812</v>
      </c>
      <c r="B747" s="3" t="s">
        <v>1813</v>
      </c>
      <c r="C747" s="3" t="s">
        <v>1814</v>
      </c>
      <c r="D747" s="3" t="s">
        <v>1815</v>
      </c>
      <c r="E747" s="3">
        <v>27.785360000000001</v>
      </c>
      <c r="F747" s="3" t="s">
        <v>60</v>
      </c>
      <c r="G747" s="3" t="s">
        <v>61</v>
      </c>
      <c r="H747" s="6" t="s">
        <v>1812</v>
      </c>
    </row>
    <row r="748" spans="1:8" ht="22.5" customHeight="1" x14ac:dyDescent="0.25">
      <c r="A748" s="13" t="s">
        <v>1816</v>
      </c>
      <c r="B748" s="2" t="s">
        <v>1817</v>
      </c>
      <c r="C748" s="2" t="s">
        <v>1818</v>
      </c>
      <c r="D748" s="2" t="s">
        <v>1819</v>
      </c>
      <c r="E748" s="2">
        <v>29.366</v>
      </c>
      <c r="F748" s="2" t="s">
        <v>60</v>
      </c>
      <c r="G748" s="2" t="s">
        <v>61</v>
      </c>
      <c r="H748" s="6" t="s">
        <v>1816</v>
      </c>
    </row>
    <row r="749" spans="1:8" ht="22.5" customHeight="1" x14ac:dyDescent="0.25">
      <c r="A749" s="14" t="s">
        <v>1820</v>
      </c>
      <c r="B749" s="3" t="s">
        <v>1817</v>
      </c>
      <c r="C749" s="3" t="s">
        <v>1821</v>
      </c>
      <c r="D749" s="3" t="s">
        <v>1819</v>
      </c>
      <c r="E749" s="3">
        <v>29.366</v>
      </c>
      <c r="F749" s="3" t="s">
        <v>60</v>
      </c>
      <c r="G749" s="3" t="s">
        <v>61</v>
      </c>
      <c r="H749" s="6" t="s">
        <v>1820</v>
      </c>
    </row>
    <row r="750" spans="1:8" ht="22.5" customHeight="1" x14ac:dyDescent="0.25">
      <c r="A750" s="13" t="s">
        <v>1822</v>
      </c>
      <c r="B750" s="2" t="s">
        <v>1781</v>
      </c>
      <c r="C750" s="2" t="s">
        <v>1823</v>
      </c>
      <c r="D750" s="2" t="s">
        <v>1783</v>
      </c>
      <c r="E750" s="2">
        <v>27.925999999999998</v>
      </c>
      <c r="F750" s="2" t="s">
        <v>60</v>
      </c>
      <c r="G750" s="2" t="s">
        <v>61</v>
      </c>
      <c r="H750" s="6" t="s">
        <v>1822</v>
      </c>
    </row>
    <row r="751" spans="1:8" ht="22.5" customHeight="1" x14ac:dyDescent="0.25">
      <c r="A751" s="14" t="s">
        <v>1824</v>
      </c>
      <c r="B751" s="3" t="s">
        <v>650</v>
      </c>
      <c r="C751" s="3" t="s">
        <v>1825</v>
      </c>
      <c r="D751" s="3" t="s">
        <v>652</v>
      </c>
      <c r="E751" s="3">
        <v>33.497</v>
      </c>
      <c r="F751" s="3" t="s">
        <v>60</v>
      </c>
      <c r="G751" s="3" t="s">
        <v>61</v>
      </c>
      <c r="H751" s="6" t="s">
        <v>1824</v>
      </c>
    </row>
    <row r="752" spans="1:8" ht="22.5" customHeight="1" x14ac:dyDescent="0.25">
      <c r="A752" s="13" t="s">
        <v>1826</v>
      </c>
      <c r="B752" s="2" t="s">
        <v>382</v>
      </c>
      <c r="C752" s="2" t="s">
        <v>1827</v>
      </c>
      <c r="D752" s="2" t="s">
        <v>384</v>
      </c>
      <c r="E752" s="2">
        <v>35.3172</v>
      </c>
      <c r="F752" s="2" t="s">
        <v>60</v>
      </c>
      <c r="G752" s="2" t="s">
        <v>61</v>
      </c>
      <c r="H752" s="6" t="s">
        <v>1826</v>
      </c>
    </row>
    <row r="753" spans="1:8" ht="22.5" customHeight="1" x14ac:dyDescent="0.25">
      <c r="A753" s="14" t="s">
        <v>1828</v>
      </c>
      <c r="B753" s="3" t="s">
        <v>990</v>
      </c>
      <c r="C753" s="3" t="s">
        <v>1829</v>
      </c>
      <c r="D753" s="3" t="s">
        <v>992</v>
      </c>
      <c r="E753" s="3">
        <v>29.755199999999999</v>
      </c>
      <c r="F753" s="3" t="s">
        <v>60</v>
      </c>
      <c r="G753" s="3" t="s">
        <v>61</v>
      </c>
      <c r="H753" s="6" t="s">
        <v>1828</v>
      </c>
    </row>
    <row r="754" spans="1:8" ht="22.5" customHeight="1" x14ac:dyDescent="0.25">
      <c r="A754" s="13" t="s">
        <v>1830</v>
      </c>
      <c r="B754" s="2" t="s">
        <v>418</v>
      </c>
      <c r="C754" s="2" t="s">
        <v>1831</v>
      </c>
      <c r="D754" s="2" t="s">
        <v>420</v>
      </c>
      <c r="E754" s="2">
        <v>30.655200000000001</v>
      </c>
      <c r="F754" s="2" t="s">
        <v>60</v>
      </c>
      <c r="G754" s="2" t="s">
        <v>61</v>
      </c>
      <c r="H754" s="6" t="s">
        <v>1830</v>
      </c>
    </row>
    <row r="755" spans="1:8" ht="22.5" customHeight="1" x14ac:dyDescent="0.25">
      <c r="A755" s="14" t="s">
        <v>1832</v>
      </c>
      <c r="B755" s="3" t="s">
        <v>418</v>
      </c>
      <c r="C755" s="3" t="s">
        <v>1833</v>
      </c>
      <c r="D755" s="3" t="s">
        <v>420</v>
      </c>
      <c r="E755" s="3">
        <v>30.655200000000001</v>
      </c>
      <c r="F755" s="3" t="s">
        <v>60</v>
      </c>
      <c r="G755" s="3" t="s">
        <v>61</v>
      </c>
      <c r="H755" s="6" t="s">
        <v>1832</v>
      </c>
    </row>
    <row r="756" spans="1:8" ht="22.5" customHeight="1" x14ac:dyDescent="0.25">
      <c r="A756" s="13" t="s">
        <v>1834</v>
      </c>
      <c r="B756" s="2" t="s">
        <v>990</v>
      </c>
      <c r="C756" s="2" t="s">
        <v>1835</v>
      </c>
      <c r="D756" s="2" t="s">
        <v>992</v>
      </c>
      <c r="E756" s="2">
        <v>29.755199999999999</v>
      </c>
      <c r="F756" s="2" t="s">
        <v>60</v>
      </c>
      <c r="G756" s="2" t="s">
        <v>61</v>
      </c>
      <c r="H756" s="6" t="s">
        <v>1834</v>
      </c>
    </row>
    <row r="757" spans="1:8" ht="22.5" customHeight="1" x14ac:dyDescent="0.25">
      <c r="A757" s="14" t="s">
        <v>1836</v>
      </c>
      <c r="B757" s="3" t="s">
        <v>414</v>
      </c>
      <c r="C757" s="3" t="s">
        <v>1837</v>
      </c>
      <c r="D757" s="3" t="s">
        <v>416</v>
      </c>
      <c r="E757" s="3">
        <v>31.0092</v>
      </c>
      <c r="F757" s="3" t="s">
        <v>60</v>
      </c>
      <c r="G757" s="3" t="s">
        <v>61</v>
      </c>
      <c r="H757" s="6" t="s">
        <v>1836</v>
      </c>
    </row>
    <row r="758" spans="1:8" ht="22.5" customHeight="1" x14ac:dyDescent="0.25">
      <c r="A758" s="13" t="s">
        <v>1838</v>
      </c>
      <c r="B758" s="2" t="s">
        <v>404</v>
      </c>
      <c r="C758" s="2" t="s">
        <v>1839</v>
      </c>
      <c r="D758" s="2" t="s">
        <v>406</v>
      </c>
      <c r="E758" s="2">
        <v>29.999199999999998</v>
      </c>
      <c r="F758" s="2" t="s">
        <v>60</v>
      </c>
      <c r="G758" s="2" t="s">
        <v>61</v>
      </c>
      <c r="H758" s="6" t="s">
        <v>1838</v>
      </c>
    </row>
    <row r="759" spans="1:8" ht="22.5" customHeight="1" x14ac:dyDescent="0.25">
      <c r="A759" s="14" t="s">
        <v>1840</v>
      </c>
      <c r="B759" s="3" t="s">
        <v>1841</v>
      </c>
      <c r="C759" s="3" t="s">
        <v>1842</v>
      </c>
      <c r="D759" s="3" t="s">
        <v>1843</v>
      </c>
      <c r="E759" s="3">
        <v>30.234200000000001</v>
      </c>
      <c r="F759" s="3" t="s">
        <v>60</v>
      </c>
      <c r="G759" s="3" t="s">
        <v>61</v>
      </c>
      <c r="H759" s="6" t="s">
        <v>1840</v>
      </c>
    </row>
    <row r="760" spans="1:8" ht="22.5" customHeight="1" x14ac:dyDescent="0.25">
      <c r="A760" s="13" t="s">
        <v>1844</v>
      </c>
      <c r="B760" s="2" t="s">
        <v>1715</v>
      </c>
      <c r="C760" s="2" t="s">
        <v>1716</v>
      </c>
      <c r="D760" s="2" t="s">
        <v>1717</v>
      </c>
      <c r="E760" s="2">
        <v>29.805199999999999</v>
      </c>
      <c r="F760" s="2" t="s">
        <v>60</v>
      </c>
      <c r="G760" s="2" t="s">
        <v>61</v>
      </c>
      <c r="H760" s="6" t="s">
        <v>1844</v>
      </c>
    </row>
    <row r="761" spans="1:8" ht="22.5" customHeight="1" x14ac:dyDescent="0.25">
      <c r="A761" s="14" t="s">
        <v>1845</v>
      </c>
      <c r="B761" s="3" t="s">
        <v>400</v>
      </c>
      <c r="C761" s="3" t="s">
        <v>1846</v>
      </c>
      <c r="D761" s="3" t="s">
        <v>402</v>
      </c>
      <c r="E761" s="3">
        <v>34.332239999999999</v>
      </c>
      <c r="F761" s="3" t="s">
        <v>60</v>
      </c>
      <c r="G761" s="3" t="s">
        <v>61</v>
      </c>
      <c r="H761" s="6" t="s">
        <v>1845</v>
      </c>
    </row>
    <row r="762" spans="1:8" ht="22.5" customHeight="1" x14ac:dyDescent="0.25">
      <c r="A762" s="13" t="s">
        <v>1847</v>
      </c>
      <c r="B762" s="2" t="s">
        <v>588</v>
      </c>
      <c r="C762" s="2" t="s">
        <v>1848</v>
      </c>
      <c r="D762" s="2" t="s">
        <v>590</v>
      </c>
      <c r="E762" s="2">
        <v>29.869199999999999</v>
      </c>
      <c r="F762" s="2" t="s">
        <v>60</v>
      </c>
      <c r="G762" s="2" t="s">
        <v>61</v>
      </c>
      <c r="H762" s="6" t="s">
        <v>1847</v>
      </c>
    </row>
    <row r="763" spans="1:8" ht="22.5" customHeight="1" x14ac:dyDescent="0.25">
      <c r="A763" s="14" t="s">
        <v>1849</v>
      </c>
      <c r="B763" s="3" t="s">
        <v>1008</v>
      </c>
      <c r="C763" s="3" t="s">
        <v>1850</v>
      </c>
      <c r="D763" s="3" t="s">
        <v>1010</v>
      </c>
      <c r="E763" s="3">
        <v>30.4892</v>
      </c>
      <c r="F763" s="3" t="s">
        <v>60</v>
      </c>
      <c r="G763" s="3" t="s">
        <v>61</v>
      </c>
      <c r="H763" s="6" t="s">
        <v>1849</v>
      </c>
    </row>
    <row r="764" spans="1:8" ht="22.5" customHeight="1" x14ac:dyDescent="0.25">
      <c r="A764" s="13" t="s">
        <v>1851</v>
      </c>
      <c r="B764" s="2" t="s">
        <v>414</v>
      </c>
      <c r="C764" s="2" t="s">
        <v>1852</v>
      </c>
      <c r="D764" s="2" t="s">
        <v>416</v>
      </c>
      <c r="E764" s="2">
        <v>31.0092</v>
      </c>
      <c r="F764" s="2" t="s">
        <v>60</v>
      </c>
      <c r="G764" s="2" t="s">
        <v>61</v>
      </c>
      <c r="H764" s="6" t="s">
        <v>1851</v>
      </c>
    </row>
    <row r="765" spans="1:8" ht="22.5" customHeight="1" x14ac:dyDescent="0.25">
      <c r="A765" s="14" t="s">
        <v>1853</v>
      </c>
      <c r="B765" s="3" t="s">
        <v>418</v>
      </c>
      <c r="C765" s="3" t="s">
        <v>1854</v>
      </c>
      <c r="D765" s="3" t="s">
        <v>420</v>
      </c>
      <c r="E765" s="3">
        <v>30.655200000000001</v>
      </c>
      <c r="F765" s="3" t="s">
        <v>60</v>
      </c>
      <c r="G765" s="3" t="s">
        <v>61</v>
      </c>
      <c r="H765" s="6" t="s">
        <v>1853</v>
      </c>
    </row>
    <row r="766" spans="1:8" ht="22.5" customHeight="1" x14ac:dyDescent="0.25">
      <c r="A766" s="13" t="s">
        <v>1855</v>
      </c>
      <c r="B766" s="2" t="s">
        <v>588</v>
      </c>
      <c r="C766" s="2" t="s">
        <v>1856</v>
      </c>
      <c r="D766" s="2" t="s">
        <v>590</v>
      </c>
      <c r="E766" s="2">
        <v>29.869199999999999</v>
      </c>
      <c r="F766" s="2" t="s">
        <v>60</v>
      </c>
      <c r="G766" s="2" t="s">
        <v>61</v>
      </c>
      <c r="H766" s="6" t="s">
        <v>1855</v>
      </c>
    </row>
    <row r="767" spans="1:8" ht="22.5" customHeight="1" x14ac:dyDescent="0.25">
      <c r="A767" s="14" t="s">
        <v>1857</v>
      </c>
      <c r="B767" s="3" t="s">
        <v>990</v>
      </c>
      <c r="C767" s="3" t="s">
        <v>1858</v>
      </c>
      <c r="D767" s="3" t="s">
        <v>992</v>
      </c>
      <c r="E767" s="3">
        <v>29.755199999999999</v>
      </c>
      <c r="F767" s="3" t="s">
        <v>60</v>
      </c>
      <c r="G767" s="3" t="s">
        <v>61</v>
      </c>
      <c r="H767" s="6" t="s">
        <v>1857</v>
      </c>
    </row>
    <row r="768" spans="1:8" ht="22.5" customHeight="1" x14ac:dyDescent="0.25">
      <c r="A768" s="13" t="s">
        <v>1859</v>
      </c>
      <c r="B768" s="2" t="s">
        <v>588</v>
      </c>
      <c r="C768" s="2" t="s">
        <v>1860</v>
      </c>
      <c r="D768" s="2" t="s">
        <v>590</v>
      </c>
      <c r="E768" s="2">
        <v>29.869199999999999</v>
      </c>
      <c r="F768" s="2" t="s">
        <v>60</v>
      </c>
      <c r="G768" s="2" t="s">
        <v>61</v>
      </c>
      <c r="H768" s="6" t="s">
        <v>1859</v>
      </c>
    </row>
    <row r="769" spans="1:8" ht="22.5" customHeight="1" x14ac:dyDescent="0.25">
      <c r="A769" s="14" t="s">
        <v>1861</v>
      </c>
      <c r="B769" s="3" t="s">
        <v>404</v>
      </c>
      <c r="C769" s="3" t="s">
        <v>1862</v>
      </c>
      <c r="D769" s="3" t="s">
        <v>406</v>
      </c>
      <c r="E769" s="3">
        <v>29.999199999999998</v>
      </c>
      <c r="F769" s="3" t="s">
        <v>60</v>
      </c>
      <c r="G769" s="3" t="s">
        <v>61</v>
      </c>
      <c r="H769" s="6" t="s">
        <v>1861</v>
      </c>
    </row>
    <row r="770" spans="1:8" ht="45" customHeight="1" x14ac:dyDescent="0.25">
      <c r="A770" s="13" t="s">
        <v>1863</v>
      </c>
      <c r="B770" s="2" t="s">
        <v>142</v>
      </c>
      <c r="C770" s="2" t="s">
        <v>1864</v>
      </c>
      <c r="D770" s="2" t="s">
        <v>144</v>
      </c>
      <c r="E770" s="2"/>
      <c r="F770" s="2" t="s">
        <v>145</v>
      </c>
      <c r="G770" s="2" t="s">
        <v>146</v>
      </c>
      <c r="H770" s="6" t="s">
        <v>1863</v>
      </c>
    </row>
    <row r="771" spans="1:8" ht="33.75" customHeight="1" x14ac:dyDescent="0.25">
      <c r="A771" s="14" t="s">
        <v>1865</v>
      </c>
      <c r="B771" s="3" t="s">
        <v>1866</v>
      </c>
      <c r="C771" s="3" t="s">
        <v>1867</v>
      </c>
      <c r="D771" s="3" t="s">
        <v>1868</v>
      </c>
      <c r="E771" s="3">
        <v>27.7424</v>
      </c>
      <c r="F771" s="3" t="s">
        <v>60</v>
      </c>
      <c r="G771" s="3" t="s">
        <v>61</v>
      </c>
      <c r="H771" s="6" t="s">
        <v>1865</v>
      </c>
    </row>
    <row r="772" spans="1:8" ht="33.75" customHeight="1" x14ac:dyDescent="0.25">
      <c r="A772" s="13" t="s">
        <v>1869</v>
      </c>
      <c r="B772" s="2" t="s">
        <v>1870</v>
      </c>
      <c r="C772" s="2" t="s">
        <v>1871</v>
      </c>
      <c r="D772" s="2" t="s">
        <v>1872</v>
      </c>
      <c r="E772" s="2">
        <v>29.207999999999998</v>
      </c>
      <c r="F772" s="2" t="s">
        <v>60</v>
      </c>
      <c r="G772" s="2" t="s">
        <v>61</v>
      </c>
      <c r="H772" s="6" t="s">
        <v>1869</v>
      </c>
    </row>
    <row r="773" spans="1:8" ht="33.75" customHeight="1" x14ac:dyDescent="0.25">
      <c r="A773" s="14" t="s">
        <v>1873</v>
      </c>
      <c r="B773" s="3" t="s">
        <v>1874</v>
      </c>
      <c r="C773" s="3" t="s">
        <v>1875</v>
      </c>
      <c r="D773" s="3" t="s">
        <v>1876</v>
      </c>
      <c r="E773" s="3">
        <v>27.982399999999998</v>
      </c>
      <c r="F773" s="3" t="s">
        <v>60</v>
      </c>
      <c r="G773" s="3" t="s">
        <v>61</v>
      </c>
      <c r="H773" s="6" t="s">
        <v>1873</v>
      </c>
    </row>
    <row r="774" spans="1:8" ht="33.75" customHeight="1" x14ac:dyDescent="0.25">
      <c r="A774" s="13" t="s">
        <v>1877</v>
      </c>
      <c r="B774" s="2" t="s">
        <v>1878</v>
      </c>
      <c r="C774" s="2" t="s">
        <v>1879</v>
      </c>
      <c r="D774" s="2" t="s">
        <v>1880</v>
      </c>
      <c r="E774" s="2">
        <v>27.639199999999999</v>
      </c>
      <c r="F774" s="2" t="s">
        <v>60</v>
      </c>
      <c r="G774" s="2" t="s">
        <v>61</v>
      </c>
      <c r="H774" s="6" t="s">
        <v>1877</v>
      </c>
    </row>
    <row r="775" spans="1:8" ht="33.75" customHeight="1" x14ac:dyDescent="0.25">
      <c r="A775" s="14" t="s">
        <v>1881</v>
      </c>
      <c r="B775" s="3" t="s">
        <v>1878</v>
      </c>
      <c r="C775" s="3" t="s">
        <v>1882</v>
      </c>
      <c r="D775" s="3" t="s">
        <v>1880</v>
      </c>
      <c r="E775" s="3">
        <v>27.639199999999999</v>
      </c>
      <c r="F775" s="3" t="s">
        <v>60</v>
      </c>
      <c r="G775" s="3" t="s">
        <v>61</v>
      </c>
      <c r="H775" s="6" t="s">
        <v>1881</v>
      </c>
    </row>
    <row r="776" spans="1:8" ht="33.75" customHeight="1" x14ac:dyDescent="0.25">
      <c r="A776" s="13" t="s">
        <v>1883</v>
      </c>
      <c r="B776" s="2" t="s">
        <v>1884</v>
      </c>
      <c r="C776" s="2" t="s">
        <v>1885</v>
      </c>
      <c r="D776" s="2" t="s">
        <v>1886</v>
      </c>
      <c r="E776" s="2">
        <v>27.639199999999999</v>
      </c>
      <c r="F776" s="2" t="s">
        <v>60</v>
      </c>
      <c r="G776" s="2" t="s">
        <v>61</v>
      </c>
      <c r="H776" s="6" t="s">
        <v>1883</v>
      </c>
    </row>
    <row r="777" spans="1:8" ht="33.75" customHeight="1" x14ac:dyDescent="0.25">
      <c r="A777" s="14" t="s">
        <v>1887</v>
      </c>
      <c r="B777" s="3" t="s">
        <v>1888</v>
      </c>
      <c r="C777" s="3" t="s">
        <v>1889</v>
      </c>
      <c r="D777" s="3" t="s">
        <v>1890</v>
      </c>
      <c r="E777" s="3">
        <v>27.859200000000001</v>
      </c>
      <c r="F777" s="3" t="s">
        <v>60</v>
      </c>
      <c r="G777" s="3" t="s">
        <v>61</v>
      </c>
      <c r="H777" s="6" t="s">
        <v>1887</v>
      </c>
    </row>
    <row r="778" spans="1:8" ht="33.75" customHeight="1" x14ac:dyDescent="0.25">
      <c r="A778" s="13" t="s">
        <v>1891</v>
      </c>
      <c r="B778" s="2" t="s">
        <v>1888</v>
      </c>
      <c r="C778" s="2" t="s">
        <v>1892</v>
      </c>
      <c r="D778" s="2" t="s">
        <v>1890</v>
      </c>
      <c r="E778" s="2">
        <v>27.859200000000001</v>
      </c>
      <c r="F778" s="2" t="s">
        <v>60</v>
      </c>
      <c r="G778" s="2" t="s">
        <v>61</v>
      </c>
      <c r="H778" s="6" t="s">
        <v>1891</v>
      </c>
    </row>
    <row r="779" spans="1:8" ht="33.75" customHeight="1" x14ac:dyDescent="0.25">
      <c r="A779" s="14" t="s">
        <v>1893</v>
      </c>
      <c r="B779" s="3" t="s">
        <v>820</v>
      </c>
      <c r="C779" s="3" t="s">
        <v>1894</v>
      </c>
      <c r="D779" s="3" t="s">
        <v>822</v>
      </c>
      <c r="E779" s="3">
        <v>27.639199999999999</v>
      </c>
      <c r="F779" s="3" t="s">
        <v>60</v>
      </c>
      <c r="G779" s="3" t="s">
        <v>61</v>
      </c>
      <c r="H779" s="6" t="s">
        <v>1893</v>
      </c>
    </row>
    <row r="780" spans="1:8" ht="33.75" customHeight="1" x14ac:dyDescent="0.25">
      <c r="A780" s="13" t="s">
        <v>1895</v>
      </c>
      <c r="B780" s="2" t="s">
        <v>820</v>
      </c>
      <c r="C780" s="2" t="s">
        <v>1896</v>
      </c>
      <c r="D780" s="2" t="s">
        <v>822</v>
      </c>
      <c r="E780" s="2">
        <v>27.639199999999999</v>
      </c>
      <c r="F780" s="2" t="s">
        <v>60</v>
      </c>
      <c r="G780" s="2" t="s">
        <v>61</v>
      </c>
      <c r="H780" s="6" t="s">
        <v>1895</v>
      </c>
    </row>
    <row r="781" spans="1:8" ht="22.5" customHeight="1" x14ac:dyDescent="0.25">
      <c r="A781" s="14" t="s">
        <v>1897</v>
      </c>
      <c r="B781" s="3" t="s">
        <v>404</v>
      </c>
      <c r="C781" s="3" t="s">
        <v>1898</v>
      </c>
      <c r="D781" s="3" t="s">
        <v>406</v>
      </c>
      <c r="E781" s="3">
        <v>29.999199999999998</v>
      </c>
      <c r="F781" s="3" t="s">
        <v>60</v>
      </c>
      <c r="G781" s="3" t="s">
        <v>61</v>
      </c>
      <c r="H781" s="6" t="s">
        <v>1897</v>
      </c>
    </row>
    <row r="782" spans="1:8" ht="22.5" customHeight="1" x14ac:dyDescent="0.25">
      <c r="A782" s="13" t="s">
        <v>1899</v>
      </c>
      <c r="B782" s="2" t="s">
        <v>386</v>
      </c>
      <c r="C782" s="2" t="s">
        <v>1900</v>
      </c>
      <c r="D782" s="2" t="s">
        <v>388</v>
      </c>
      <c r="E782" s="2">
        <v>33.783799999999999</v>
      </c>
      <c r="F782" s="2" t="s">
        <v>60</v>
      </c>
      <c r="G782" s="2" t="s">
        <v>61</v>
      </c>
      <c r="H782" s="6" t="s">
        <v>1899</v>
      </c>
    </row>
    <row r="783" spans="1:8" ht="33.75" customHeight="1" x14ac:dyDescent="0.25">
      <c r="A783" s="14" t="s">
        <v>1901</v>
      </c>
      <c r="B783" s="3" t="s">
        <v>324</v>
      </c>
      <c r="C783" s="3" t="s">
        <v>1902</v>
      </c>
      <c r="D783" s="3" t="s">
        <v>326</v>
      </c>
      <c r="E783" s="3">
        <v>29.719200000000001</v>
      </c>
      <c r="F783" s="3" t="s">
        <v>60</v>
      </c>
      <c r="G783" s="3" t="s">
        <v>61</v>
      </c>
      <c r="H783" s="6" t="s">
        <v>1901</v>
      </c>
    </row>
    <row r="784" spans="1:8" ht="22.5" customHeight="1" x14ac:dyDescent="0.25">
      <c r="A784" s="13" t="s">
        <v>1903</v>
      </c>
      <c r="B784" s="2" t="s">
        <v>864</v>
      </c>
      <c r="C784" s="2" t="s">
        <v>1904</v>
      </c>
      <c r="D784" s="2" t="s">
        <v>866</v>
      </c>
      <c r="E784" s="2">
        <v>30.653199999999998</v>
      </c>
      <c r="F784" s="2" t="s">
        <v>60</v>
      </c>
      <c r="G784" s="2" t="s">
        <v>61</v>
      </c>
      <c r="H784" s="6" t="s">
        <v>1903</v>
      </c>
    </row>
    <row r="785" spans="1:8" ht="22.5" customHeight="1" x14ac:dyDescent="0.25">
      <c r="A785" s="14" t="s">
        <v>1905</v>
      </c>
      <c r="B785" s="3" t="s">
        <v>418</v>
      </c>
      <c r="C785" s="3" t="s">
        <v>1906</v>
      </c>
      <c r="D785" s="3" t="s">
        <v>420</v>
      </c>
      <c r="E785" s="3">
        <v>30.655200000000001</v>
      </c>
      <c r="F785" s="3" t="s">
        <v>60</v>
      </c>
      <c r="G785" s="3" t="s">
        <v>61</v>
      </c>
      <c r="H785" s="6" t="s">
        <v>1905</v>
      </c>
    </row>
    <row r="786" spans="1:8" ht="22.5" customHeight="1" x14ac:dyDescent="0.25">
      <c r="A786" s="13" t="s">
        <v>1907</v>
      </c>
      <c r="B786" s="2" t="s">
        <v>324</v>
      </c>
      <c r="C786" s="2" t="s">
        <v>1908</v>
      </c>
      <c r="D786" s="2" t="s">
        <v>326</v>
      </c>
      <c r="E786" s="2">
        <v>29.719200000000001</v>
      </c>
      <c r="F786" s="2" t="s">
        <v>60</v>
      </c>
      <c r="G786" s="2" t="s">
        <v>61</v>
      </c>
      <c r="H786" s="6" t="s">
        <v>1907</v>
      </c>
    </row>
    <row r="787" spans="1:8" ht="22.5" customHeight="1" x14ac:dyDescent="0.25">
      <c r="A787" s="14" t="s">
        <v>1909</v>
      </c>
      <c r="B787" s="3" t="s">
        <v>356</v>
      </c>
      <c r="C787" s="3" t="s">
        <v>1910</v>
      </c>
      <c r="D787" s="3" t="s">
        <v>358</v>
      </c>
      <c r="E787" s="3">
        <v>29.5992</v>
      </c>
      <c r="F787" s="3" t="s">
        <v>60</v>
      </c>
      <c r="G787" s="3" t="s">
        <v>61</v>
      </c>
      <c r="H787" s="6" t="s">
        <v>1909</v>
      </c>
    </row>
    <row r="788" spans="1:8" ht="33.75" customHeight="1" x14ac:dyDescent="0.25">
      <c r="A788" s="13" t="s">
        <v>1911</v>
      </c>
      <c r="B788" s="2" t="s">
        <v>386</v>
      </c>
      <c r="C788" s="2" t="s">
        <v>1912</v>
      </c>
      <c r="D788" s="2" t="s">
        <v>388</v>
      </c>
      <c r="E788" s="2">
        <v>33.783799999999999</v>
      </c>
      <c r="F788" s="2" t="s">
        <v>60</v>
      </c>
      <c r="G788" s="2" t="s">
        <v>61</v>
      </c>
      <c r="H788" s="6" t="s">
        <v>1911</v>
      </c>
    </row>
    <row r="789" spans="1:8" ht="22.5" customHeight="1" x14ac:dyDescent="0.25">
      <c r="A789" s="14" t="s">
        <v>1913</v>
      </c>
      <c r="B789" s="3" t="s">
        <v>324</v>
      </c>
      <c r="C789" s="3" t="s">
        <v>1914</v>
      </c>
      <c r="D789" s="3" t="s">
        <v>326</v>
      </c>
      <c r="E789" s="3">
        <v>29.719200000000001</v>
      </c>
      <c r="F789" s="3" t="s">
        <v>60</v>
      </c>
      <c r="G789" s="3" t="s">
        <v>61</v>
      </c>
      <c r="H789" s="6" t="s">
        <v>1913</v>
      </c>
    </row>
    <row r="790" spans="1:8" ht="33.75" customHeight="1" x14ac:dyDescent="0.25">
      <c r="A790" s="13" t="s">
        <v>1915</v>
      </c>
      <c r="B790" s="2" t="s">
        <v>1638</v>
      </c>
      <c r="C790" s="2" t="s">
        <v>1916</v>
      </c>
      <c r="D790" s="2" t="s">
        <v>1640</v>
      </c>
      <c r="E790" s="2">
        <v>33.259399999999999</v>
      </c>
      <c r="F790" s="2" t="s">
        <v>60</v>
      </c>
      <c r="G790" s="2" t="s">
        <v>61</v>
      </c>
      <c r="H790" s="6" t="s">
        <v>1915</v>
      </c>
    </row>
    <row r="791" spans="1:8" ht="33.75" customHeight="1" x14ac:dyDescent="0.25">
      <c r="A791" s="14" t="s">
        <v>1917</v>
      </c>
      <c r="B791" s="3" t="s">
        <v>372</v>
      </c>
      <c r="C791" s="3" t="s">
        <v>1918</v>
      </c>
      <c r="D791" s="3" t="s">
        <v>374</v>
      </c>
      <c r="E791" s="3">
        <v>32.852400000000003</v>
      </c>
      <c r="F791" s="3" t="s">
        <v>60</v>
      </c>
      <c r="G791" s="3" t="s">
        <v>61</v>
      </c>
      <c r="H791" s="6" t="s">
        <v>1917</v>
      </c>
    </row>
    <row r="792" spans="1:8" ht="33.75" customHeight="1" x14ac:dyDescent="0.25">
      <c r="A792" s="13" t="s">
        <v>1919</v>
      </c>
      <c r="B792" s="2" t="s">
        <v>372</v>
      </c>
      <c r="C792" s="2" t="s">
        <v>1920</v>
      </c>
      <c r="D792" s="2" t="s">
        <v>374</v>
      </c>
      <c r="E792" s="2">
        <v>32.852400000000003</v>
      </c>
      <c r="F792" s="2" t="s">
        <v>60</v>
      </c>
      <c r="G792" s="2" t="s">
        <v>61</v>
      </c>
      <c r="H792" s="6" t="s">
        <v>1919</v>
      </c>
    </row>
    <row r="793" spans="1:8" ht="22.5" customHeight="1" x14ac:dyDescent="0.25">
      <c r="A793" s="14" t="s">
        <v>1921</v>
      </c>
      <c r="B793" s="3" t="s">
        <v>390</v>
      </c>
      <c r="C793" s="3" t="s">
        <v>1922</v>
      </c>
      <c r="D793" s="3" t="s">
        <v>392</v>
      </c>
      <c r="E793" s="3">
        <v>35.367600000000003</v>
      </c>
      <c r="F793" s="3" t="s">
        <v>60</v>
      </c>
      <c r="G793" s="3" t="s">
        <v>61</v>
      </c>
      <c r="H793" s="6" t="s">
        <v>1921</v>
      </c>
    </row>
    <row r="794" spans="1:8" ht="22.5" customHeight="1" x14ac:dyDescent="0.25">
      <c r="A794" s="13" t="s">
        <v>1923</v>
      </c>
      <c r="B794" s="2" t="s">
        <v>418</v>
      </c>
      <c r="C794" s="2" t="s">
        <v>1924</v>
      </c>
      <c r="D794" s="2" t="s">
        <v>420</v>
      </c>
      <c r="E794" s="2">
        <v>30.655200000000001</v>
      </c>
      <c r="F794" s="2" t="s">
        <v>60</v>
      </c>
      <c r="G794" s="2" t="s">
        <v>61</v>
      </c>
      <c r="H794" s="6" t="s">
        <v>1923</v>
      </c>
    </row>
    <row r="795" spans="1:8" ht="22.5" customHeight="1" x14ac:dyDescent="0.25">
      <c r="A795" s="14" t="s">
        <v>1925</v>
      </c>
      <c r="B795" s="3" t="s">
        <v>404</v>
      </c>
      <c r="C795" s="3" t="s">
        <v>1926</v>
      </c>
      <c r="D795" s="3" t="s">
        <v>406</v>
      </c>
      <c r="E795" s="3">
        <v>29.999199999999998</v>
      </c>
      <c r="F795" s="3" t="s">
        <v>60</v>
      </c>
      <c r="G795" s="3" t="s">
        <v>61</v>
      </c>
      <c r="H795" s="6" t="s">
        <v>1925</v>
      </c>
    </row>
    <row r="796" spans="1:8" ht="22.5" customHeight="1" x14ac:dyDescent="0.25">
      <c r="A796" s="13" t="s">
        <v>1927</v>
      </c>
      <c r="B796" s="2" t="s">
        <v>1928</v>
      </c>
      <c r="C796" s="2" t="s">
        <v>1929</v>
      </c>
      <c r="D796" s="2" t="s">
        <v>1930</v>
      </c>
      <c r="E796" s="2">
        <v>27.530560000000001</v>
      </c>
      <c r="F796" s="2" t="s">
        <v>60</v>
      </c>
      <c r="G796" s="2" t="s">
        <v>61</v>
      </c>
      <c r="H796" s="6" t="s">
        <v>1927</v>
      </c>
    </row>
    <row r="797" spans="1:8" ht="45" customHeight="1" x14ac:dyDescent="0.25">
      <c r="A797" s="14" t="s">
        <v>1931</v>
      </c>
      <c r="B797" s="3" t="s">
        <v>142</v>
      </c>
      <c r="C797" s="3" t="s">
        <v>1932</v>
      </c>
      <c r="D797" s="3" t="s">
        <v>144</v>
      </c>
      <c r="E797" s="3"/>
      <c r="F797" s="3" t="s">
        <v>145</v>
      </c>
      <c r="G797" s="3" t="s">
        <v>146</v>
      </c>
      <c r="H797" s="6" t="s">
        <v>1931</v>
      </c>
    </row>
    <row r="798" spans="1:8" ht="22.5" customHeight="1" x14ac:dyDescent="0.25">
      <c r="A798" s="13" t="s">
        <v>1933</v>
      </c>
      <c r="B798" s="2" t="s">
        <v>386</v>
      </c>
      <c r="C798" s="2" t="s">
        <v>1934</v>
      </c>
      <c r="D798" s="2" t="s">
        <v>388</v>
      </c>
      <c r="E798" s="2">
        <v>33.783799999999999</v>
      </c>
      <c r="F798" s="2" t="s">
        <v>60</v>
      </c>
      <c r="G798" s="2" t="s">
        <v>61</v>
      </c>
      <c r="H798" s="6" t="s">
        <v>1933</v>
      </c>
    </row>
    <row r="799" spans="1:8" ht="22.5" customHeight="1" x14ac:dyDescent="0.25">
      <c r="A799" s="14" t="s">
        <v>1935</v>
      </c>
      <c r="B799" s="3" t="s">
        <v>1936</v>
      </c>
      <c r="C799" s="3" t="s">
        <v>1937</v>
      </c>
      <c r="D799" s="3" t="s">
        <v>1938</v>
      </c>
      <c r="E799" s="3">
        <v>30.265280000000001</v>
      </c>
      <c r="F799" s="3" t="s">
        <v>60</v>
      </c>
      <c r="G799" s="3" t="s">
        <v>61</v>
      </c>
      <c r="H799" s="6" t="s">
        <v>1935</v>
      </c>
    </row>
    <row r="800" spans="1:8" ht="22.5" customHeight="1" x14ac:dyDescent="0.25">
      <c r="A800" s="13" t="s">
        <v>1939</v>
      </c>
      <c r="B800" s="2" t="s">
        <v>1940</v>
      </c>
      <c r="C800" s="2" t="s">
        <v>1941</v>
      </c>
      <c r="D800" s="2" t="s">
        <v>1942</v>
      </c>
      <c r="E800" s="2">
        <v>28.134399999999999</v>
      </c>
      <c r="F800" s="2" t="s">
        <v>60</v>
      </c>
      <c r="G800" s="2" t="s">
        <v>61</v>
      </c>
      <c r="H800" s="6" t="s">
        <v>1939</v>
      </c>
    </row>
    <row r="801" spans="1:8" ht="22.5" customHeight="1" x14ac:dyDescent="0.25">
      <c r="A801" s="14" t="s">
        <v>1943</v>
      </c>
      <c r="B801" s="3" t="s">
        <v>1944</v>
      </c>
      <c r="C801" s="3" t="s">
        <v>1945</v>
      </c>
      <c r="D801" s="3" t="s">
        <v>1946</v>
      </c>
      <c r="E801" s="3">
        <v>28.5824</v>
      </c>
      <c r="F801" s="3" t="s">
        <v>60</v>
      </c>
      <c r="G801" s="3" t="s">
        <v>61</v>
      </c>
      <c r="H801" s="6" t="s">
        <v>1943</v>
      </c>
    </row>
    <row r="802" spans="1:8" ht="22.5" customHeight="1" x14ac:dyDescent="0.25">
      <c r="A802" s="13" t="s">
        <v>1947</v>
      </c>
      <c r="B802" s="2" t="s">
        <v>1948</v>
      </c>
      <c r="C802" s="2" t="s">
        <v>1949</v>
      </c>
      <c r="D802" s="2" t="s">
        <v>1950</v>
      </c>
      <c r="E802" s="2">
        <v>27.513280000000002</v>
      </c>
      <c r="F802" s="2" t="s">
        <v>60</v>
      </c>
      <c r="G802" s="2" t="s">
        <v>61</v>
      </c>
      <c r="H802" s="6" t="s">
        <v>1947</v>
      </c>
    </row>
    <row r="803" spans="1:8" ht="22.5" customHeight="1" x14ac:dyDescent="0.25">
      <c r="A803" s="14" t="s">
        <v>1951</v>
      </c>
      <c r="B803" s="3" t="s">
        <v>1952</v>
      </c>
      <c r="C803" s="3" t="s">
        <v>1953</v>
      </c>
      <c r="D803" s="3" t="s">
        <v>1954</v>
      </c>
      <c r="E803" s="3">
        <v>28.4544</v>
      </c>
      <c r="F803" s="3" t="s">
        <v>60</v>
      </c>
      <c r="G803" s="3" t="s">
        <v>61</v>
      </c>
      <c r="H803" s="6" t="s">
        <v>1951</v>
      </c>
    </row>
    <row r="804" spans="1:8" ht="22.5" customHeight="1" x14ac:dyDescent="0.25">
      <c r="A804" s="13" t="s">
        <v>1955</v>
      </c>
      <c r="B804" s="2" t="s">
        <v>1948</v>
      </c>
      <c r="C804" s="2" t="s">
        <v>1949</v>
      </c>
      <c r="D804" s="2" t="s">
        <v>1950</v>
      </c>
      <c r="E804" s="2">
        <v>27.513280000000002</v>
      </c>
      <c r="F804" s="2" t="s">
        <v>60</v>
      </c>
      <c r="G804" s="2" t="s">
        <v>61</v>
      </c>
      <c r="H804" s="6" t="s">
        <v>1955</v>
      </c>
    </row>
    <row r="805" spans="1:8" ht="22.5" customHeight="1" x14ac:dyDescent="0.25">
      <c r="A805" s="14" t="s">
        <v>1956</v>
      </c>
      <c r="B805" s="3" t="s">
        <v>1952</v>
      </c>
      <c r="C805" s="3" t="s">
        <v>1957</v>
      </c>
      <c r="D805" s="3" t="s">
        <v>1954</v>
      </c>
      <c r="E805" s="3">
        <v>28.4544</v>
      </c>
      <c r="F805" s="3" t="s">
        <v>60</v>
      </c>
      <c r="G805" s="3" t="s">
        <v>61</v>
      </c>
      <c r="H805" s="6" t="s">
        <v>1956</v>
      </c>
    </row>
    <row r="806" spans="1:8" ht="22.5" customHeight="1" x14ac:dyDescent="0.25">
      <c r="A806" s="13" t="s">
        <v>1958</v>
      </c>
      <c r="B806" s="2" t="s">
        <v>1959</v>
      </c>
      <c r="C806" s="2" t="s">
        <v>1960</v>
      </c>
      <c r="D806" s="2" t="s">
        <v>1961</v>
      </c>
      <c r="E806" s="2">
        <v>28.9024</v>
      </c>
      <c r="F806" s="2" t="s">
        <v>60</v>
      </c>
      <c r="G806" s="2" t="s">
        <v>61</v>
      </c>
      <c r="H806" s="6" t="s">
        <v>1958</v>
      </c>
    </row>
    <row r="807" spans="1:8" ht="22.5" customHeight="1" x14ac:dyDescent="0.25">
      <c r="A807" s="14" t="s">
        <v>1962</v>
      </c>
      <c r="B807" s="3" t="s">
        <v>1963</v>
      </c>
      <c r="C807" s="3" t="s">
        <v>1964</v>
      </c>
      <c r="D807" s="3" t="s">
        <v>1965</v>
      </c>
      <c r="E807" s="3">
        <v>27.373760000000001</v>
      </c>
      <c r="F807" s="3" t="s">
        <v>60</v>
      </c>
      <c r="G807" s="3" t="s">
        <v>61</v>
      </c>
      <c r="H807" s="6" t="s">
        <v>1962</v>
      </c>
    </row>
    <row r="808" spans="1:8" ht="22.5" customHeight="1" x14ac:dyDescent="0.25">
      <c r="A808" s="13" t="s">
        <v>1966</v>
      </c>
      <c r="B808" s="2" t="s">
        <v>1967</v>
      </c>
      <c r="C808" s="2" t="s">
        <v>1968</v>
      </c>
      <c r="D808" s="2" t="s">
        <v>1969</v>
      </c>
      <c r="E808" s="2">
        <v>30.68432</v>
      </c>
      <c r="F808" s="2" t="s">
        <v>60</v>
      </c>
      <c r="G808" s="2" t="s">
        <v>61</v>
      </c>
      <c r="H808" s="6" t="s">
        <v>1966</v>
      </c>
    </row>
    <row r="809" spans="1:8" ht="22.5" customHeight="1" x14ac:dyDescent="0.25">
      <c r="A809" s="14" t="s">
        <v>1970</v>
      </c>
      <c r="B809" s="3" t="s">
        <v>1971</v>
      </c>
      <c r="C809" s="3" t="s">
        <v>1972</v>
      </c>
      <c r="D809" s="3" t="s">
        <v>1973</v>
      </c>
      <c r="E809" s="3">
        <v>27.470079999999999</v>
      </c>
      <c r="F809" s="3" t="s">
        <v>60</v>
      </c>
      <c r="G809" s="3" t="s">
        <v>61</v>
      </c>
      <c r="H809" s="6" t="s">
        <v>1970</v>
      </c>
    </row>
    <row r="810" spans="1:8" ht="45" customHeight="1" x14ac:dyDescent="0.25">
      <c r="A810" s="13" t="s">
        <v>1974</v>
      </c>
      <c r="B810" s="2" t="s">
        <v>142</v>
      </c>
      <c r="C810" s="2" t="s">
        <v>1975</v>
      </c>
      <c r="D810" s="2" t="s">
        <v>144</v>
      </c>
      <c r="E810" s="2"/>
      <c r="F810" s="2" t="s">
        <v>145</v>
      </c>
      <c r="G810" s="2" t="s">
        <v>146</v>
      </c>
      <c r="H810" s="6" t="s">
        <v>1974</v>
      </c>
    </row>
    <row r="811" spans="1:8" ht="22.5" customHeight="1" x14ac:dyDescent="0.25">
      <c r="A811" s="14" t="s">
        <v>1976</v>
      </c>
      <c r="B811" s="3" t="s">
        <v>404</v>
      </c>
      <c r="C811" s="3" t="s">
        <v>1977</v>
      </c>
      <c r="D811" s="3" t="s">
        <v>406</v>
      </c>
      <c r="E811" s="3">
        <v>29.999199999999998</v>
      </c>
      <c r="F811" s="3" t="s">
        <v>60</v>
      </c>
      <c r="G811" s="3" t="s">
        <v>61</v>
      </c>
      <c r="H811" s="6" t="s">
        <v>1976</v>
      </c>
    </row>
    <row r="812" spans="1:8" ht="22.5" customHeight="1" x14ac:dyDescent="0.25">
      <c r="A812" s="13" t="s">
        <v>1978</v>
      </c>
      <c r="B812" s="2" t="s">
        <v>1928</v>
      </c>
      <c r="C812" s="2" t="s">
        <v>1979</v>
      </c>
      <c r="D812" s="2" t="s">
        <v>1930</v>
      </c>
      <c r="E812" s="2">
        <v>27.530560000000001</v>
      </c>
      <c r="F812" s="2" t="s">
        <v>60</v>
      </c>
      <c r="G812" s="2" t="s">
        <v>61</v>
      </c>
      <c r="H812" s="6" t="s">
        <v>1978</v>
      </c>
    </row>
    <row r="813" spans="1:8" ht="22.5" customHeight="1" x14ac:dyDescent="0.25">
      <c r="A813" s="14" t="s">
        <v>1980</v>
      </c>
      <c r="B813" s="3" t="s">
        <v>1928</v>
      </c>
      <c r="C813" s="3" t="s">
        <v>1981</v>
      </c>
      <c r="D813" s="3" t="s">
        <v>1930</v>
      </c>
      <c r="E813" s="3">
        <v>27.530560000000001</v>
      </c>
      <c r="F813" s="3" t="s">
        <v>60</v>
      </c>
      <c r="G813" s="3" t="s">
        <v>61</v>
      </c>
      <c r="H813" s="6" t="s">
        <v>1980</v>
      </c>
    </row>
    <row r="814" spans="1:8" ht="22.5" customHeight="1" x14ac:dyDescent="0.25">
      <c r="A814" s="13" t="s">
        <v>1982</v>
      </c>
      <c r="B814" s="2" t="s">
        <v>1948</v>
      </c>
      <c r="C814" s="2" t="s">
        <v>1983</v>
      </c>
      <c r="D814" s="2" t="s">
        <v>1950</v>
      </c>
      <c r="E814" s="2">
        <v>27.513280000000002</v>
      </c>
      <c r="F814" s="2" t="s">
        <v>60</v>
      </c>
      <c r="G814" s="2" t="s">
        <v>61</v>
      </c>
      <c r="H814" s="6" t="s">
        <v>1982</v>
      </c>
    </row>
    <row r="815" spans="1:8" ht="22.5" customHeight="1" x14ac:dyDescent="0.25">
      <c r="A815" s="14" t="s">
        <v>1984</v>
      </c>
      <c r="B815" s="3" t="s">
        <v>1948</v>
      </c>
      <c r="C815" s="3" t="s">
        <v>1985</v>
      </c>
      <c r="D815" s="3" t="s">
        <v>1950</v>
      </c>
      <c r="E815" s="3">
        <v>27.513280000000002</v>
      </c>
      <c r="F815" s="3" t="s">
        <v>60</v>
      </c>
      <c r="G815" s="3" t="s">
        <v>61</v>
      </c>
      <c r="H815" s="6" t="s">
        <v>1984</v>
      </c>
    </row>
    <row r="816" spans="1:8" ht="22.5" customHeight="1" x14ac:dyDescent="0.25">
      <c r="A816" s="13" t="s">
        <v>1986</v>
      </c>
      <c r="B816" s="2" t="s">
        <v>1987</v>
      </c>
      <c r="C816" s="2" t="s">
        <v>1988</v>
      </c>
      <c r="D816" s="2" t="s">
        <v>1989</v>
      </c>
      <c r="E816" s="2">
        <v>28.4544</v>
      </c>
      <c r="F816" s="2" t="s">
        <v>60</v>
      </c>
      <c r="G816" s="2" t="s">
        <v>61</v>
      </c>
      <c r="H816" s="6" t="s">
        <v>1986</v>
      </c>
    </row>
    <row r="817" spans="1:8" ht="45" customHeight="1" x14ac:dyDescent="0.25">
      <c r="A817" s="14" t="s">
        <v>1990</v>
      </c>
      <c r="B817" s="3" t="s">
        <v>142</v>
      </c>
      <c r="C817" s="3" t="s">
        <v>1991</v>
      </c>
      <c r="D817" s="3" t="s">
        <v>144</v>
      </c>
      <c r="E817" s="3"/>
      <c r="F817" s="3" t="s">
        <v>145</v>
      </c>
      <c r="G817" s="3" t="s">
        <v>146</v>
      </c>
      <c r="H817" s="6" t="s">
        <v>1990</v>
      </c>
    </row>
    <row r="818" spans="1:8" ht="22.5" customHeight="1" x14ac:dyDescent="0.25">
      <c r="A818" s="13" t="s">
        <v>1992</v>
      </c>
      <c r="B818" s="2" t="s">
        <v>1944</v>
      </c>
      <c r="C818" s="2" t="s">
        <v>1993</v>
      </c>
      <c r="D818" s="2" t="s">
        <v>1946</v>
      </c>
      <c r="E818" s="2">
        <v>28.5824</v>
      </c>
      <c r="F818" s="2" t="s">
        <v>60</v>
      </c>
      <c r="G818" s="2" t="s">
        <v>61</v>
      </c>
      <c r="H818" s="6" t="s">
        <v>1992</v>
      </c>
    </row>
    <row r="819" spans="1:8" ht="22.5" customHeight="1" x14ac:dyDescent="0.25">
      <c r="A819" s="14" t="s">
        <v>1994</v>
      </c>
      <c r="B819" s="3" t="s">
        <v>1995</v>
      </c>
      <c r="C819" s="3" t="s">
        <v>1996</v>
      </c>
      <c r="D819" s="3" t="s">
        <v>1997</v>
      </c>
      <c r="E819" s="3">
        <v>30.265280000000001</v>
      </c>
      <c r="F819" s="3" t="s">
        <v>60</v>
      </c>
      <c r="G819" s="3" t="s">
        <v>61</v>
      </c>
      <c r="H819" s="6" t="s">
        <v>1994</v>
      </c>
    </row>
    <row r="820" spans="1:8" ht="22.5" customHeight="1" x14ac:dyDescent="0.25">
      <c r="A820" s="13" t="s">
        <v>1998</v>
      </c>
      <c r="B820" s="2" t="s">
        <v>1948</v>
      </c>
      <c r="C820" s="2" t="s">
        <v>1999</v>
      </c>
      <c r="D820" s="2" t="s">
        <v>1950</v>
      </c>
      <c r="E820" s="2">
        <v>27.513280000000002</v>
      </c>
      <c r="F820" s="2" t="s">
        <v>60</v>
      </c>
      <c r="G820" s="2" t="s">
        <v>61</v>
      </c>
      <c r="H820" s="6" t="s">
        <v>1998</v>
      </c>
    </row>
    <row r="821" spans="1:8" ht="22.5" customHeight="1" x14ac:dyDescent="0.25">
      <c r="A821" s="14" t="s">
        <v>2000</v>
      </c>
      <c r="B821" s="3" t="s">
        <v>1952</v>
      </c>
      <c r="C821" s="3" t="s">
        <v>2001</v>
      </c>
      <c r="D821" s="3" t="s">
        <v>1954</v>
      </c>
      <c r="E821" s="3">
        <v>28.4544</v>
      </c>
      <c r="F821" s="3" t="s">
        <v>60</v>
      </c>
      <c r="G821" s="3" t="s">
        <v>61</v>
      </c>
      <c r="H821" s="6" t="s">
        <v>2000</v>
      </c>
    </row>
    <row r="822" spans="1:8" ht="22.5" customHeight="1" x14ac:dyDescent="0.25">
      <c r="A822" s="13" t="s">
        <v>2002</v>
      </c>
      <c r="B822" s="2" t="s">
        <v>794</v>
      </c>
      <c r="C822" s="2" t="s">
        <v>2003</v>
      </c>
      <c r="D822" s="2" t="s">
        <v>796</v>
      </c>
      <c r="E822" s="2">
        <v>34.151200000000003</v>
      </c>
      <c r="F822" s="2" t="s">
        <v>60</v>
      </c>
      <c r="G822" s="2" t="s">
        <v>61</v>
      </c>
      <c r="H822" s="6" t="s">
        <v>2002</v>
      </c>
    </row>
    <row r="823" spans="1:8" ht="45" customHeight="1" x14ac:dyDescent="0.25">
      <c r="A823" s="14" t="s">
        <v>2004</v>
      </c>
      <c r="B823" s="3" t="s">
        <v>142</v>
      </c>
      <c r="C823" s="3" t="s">
        <v>2005</v>
      </c>
      <c r="D823" s="3" t="s">
        <v>144</v>
      </c>
      <c r="E823" s="3"/>
      <c r="F823" s="3" t="s">
        <v>145</v>
      </c>
      <c r="G823" s="3" t="s">
        <v>146</v>
      </c>
      <c r="H823" s="6" t="s">
        <v>2004</v>
      </c>
    </row>
    <row r="824" spans="1:8" ht="22.5" customHeight="1" x14ac:dyDescent="0.25">
      <c r="A824" s="13" t="s">
        <v>2006</v>
      </c>
      <c r="B824" s="2" t="s">
        <v>794</v>
      </c>
      <c r="C824" s="2" t="s">
        <v>2007</v>
      </c>
      <c r="D824" s="2" t="s">
        <v>796</v>
      </c>
      <c r="E824" s="2">
        <v>34.151200000000003</v>
      </c>
      <c r="F824" s="2" t="s">
        <v>60</v>
      </c>
      <c r="G824" s="2" t="s">
        <v>61</v>
      </c>
      <c r="H824" s="6" t="s">
        <v>2006</v>
      </c>
    </row>
    <row r="825" spans="1:8" ht="22.5" customHeight="1" x14ac:dyDescent="0.25">
      <c r="A825" s="14" t="s">
        <v>2008</v>
      </c>
      <c r="B825" s="3" t="s">
        <v>277</v>
      </c>
      <c r="C825" s="3" t="s">
        <v>2009</v>
      </c>
      <c r="D825" s="3" t="s">
        <v>279</v>
      </c>
      <c r="E825" s="3">
        <v>29.7592</v>
      </c>
      <c r="F825" s="3" t="s">
        <v>60</v>
      </c>
      <c r="G825" s="3" t="s">
        <v>61</v>
      </c>
      <c r="H825" s="6" t="s">
        <v>2008</v>
      </c>
    </row>
    <row r="826" spans="1:8" ht="33.75" customHeight="1" x14ac:dyDescent="0.25">
      <c r="A826" s="13" t="s">
        <v>2010</v>
      </c>
      <c r="B826" s="2" t="s">
        <v>382</v>
      </c>
      <c r="C826" s="2" t="s">
        <v>2011</v>
      </c>
      <c r="D826" s="2" t="s">
        <v>384</v>
      </c>
      <c r="E826" s="2">
        <v>35.3172</v>
      </c>
      <c r="F826" s="2" t="s">
        <v>60</v>
      </c>
      <c r="G826" s="2" t="s">
        <v>61</v>
      </c>
      <c r="H826" s="6" t="s">
        <v>2010</v>
      </c>
    </row>
    <row r="827" spans="1:8" ht="33.75" customHeight="1" x14ac:dyDescent="0.25">
      <c r="A827" s="14" t="s">
        <v>2012</v>
      </c>
      <c r="B827" s="3" t="s">
        <v>794</v>
      </c>
      <c r="C827" s="3" t="s">
        <v>2013</v>
      </c>
      <c r="D827" s="3" t="s">
        <v>796</v>
      </c>
      <c r="E827" s="3">
        <v>34.151200000000003</v>
      </c>
      <c r="F827" s="3" t="s">
        <v>60</v>
      </c>
      <c r="G827" s="3" t="s">
        <v>61</v>
      </c>
      <c r="H827" s="6" t="s">
        <v>2012</v>
      </c>
    </row>
    <row r="828" spans="1:8" ht="33.75" customHeight="1" x14ac:dyDescent="0.25">
      <c r="A828" s="13" t="s">
        <v>2014</v>
      </c>
      <c r="B828" s="2" t="s">
        <v>1151</v>
      </c>
      <c r="C828" s="2" t="s">
        <v>2015</v>
      </c>
      <c r="D828" s="2" t="s">
        <v>1153</v>
      </c>
      <c r="E828" s="2">
        <v>30.6372</v>
      </c>
      <c r="F828" s="2" t="s">
        <v>60</v>
      </c>
      <c r="G828" s="2" t="s">
        <v>61</v>
      </c>
      <c r="H828" s="6" t="s">
        <v>2014</v>
      </c>
    </row>
    <row r="829" spans="1:8" ht="22.5" customHeight="1" x14ac:dyDescent="0.25">
      <c r="A829" s="14" t="s">
        <v>2016</v>
      </c>
      <c r="B829" s="3" t="s">
        <v>422</v>
      </c>
      <c r="C829" s="3" t="s">
        <v>2017</v>
      </c>
      <c r="D829" s="3" t="s">
        <v>424</v>
      </c>
      <c r="E829" s="3">
        <v>30.7272</v>
      </c>
      <c r="F829" s="3" t="s">
        <v>60</v>
      </c>
      <c r="G829" s="3" t="s">
        <v>61</v>
      </c>
      <c r="H829" s="6" t="s">
        <v>2016</v>
      </c>
    </row>
    <row r="830" spans="1:8" ht="22.5" customHeight="1" x14ac:dyDescent="0.25">
      <c r="A830" s="13" t="s">
        <v>2018</v>
      </c>
      <c r="B830" s="2" t="s">
        <v>273</v>
      </c>
      <c r="C830" s="2" t="s">
        <v>2019</v>
      </c>
      <c r="D830" s="2" t="s">
        <v>275</v>
      </c>
      <c r="E830" s="2">
        <v>30.084199999999999</v>
      </c>
      <c r="F830" s="2" t="s">
        <v>60</v>
      </c>
      <c r="G830" s="2" t="s">
        <v>61</v>
      </c>
      <c r="H830" s="6" t="s">
        <v>2018</v>
      </c>
    </row>
    <row r="831" spans="1:8" ht="22.5" customHeight="1" x14ac:dyDescent="0.25">
      <c r="A831" s="14" t="s">
        <v>2020</v>
      </c>
      <c r="B831" s="3" t="s">
        <v>378</v>
      </c>
      <c r="C831" s="3" t="s">
        <v>2021</v>
      </c>
      <c r="D831" s="3" t="s">
        <v>380</v>
      </c>
      <c r="E831" s="3">
        <v>29.743200000000002</v>
      </c>
      <c r="F831" s="3" t="s">
        <v>60</v>
      </c>
      <c r="G831" s="3" t="s">
        <v>61</v>
      </c>
      <c r="H831" s="6" t="s">
        <v>2020</v>
      </c>
    </row>
    <row r="832" spans="1:8" ht="22.5" customHeight="1" x14ac:dyDescent="0.25">
      <c r="A832" s="13" t="s">
        <v>2022</v>
      </c>
      <c r="B832" s="2" t="s">
        <v>277</v>
      </c>
      <c r="C832" s="2" t="s">
        <v>2023</v>
      </c>
      <c r="D832" s="2" t="s">
        <v>279</v>
      </c>
      <c r="E832" s="2">
        <v>29.7592</v>
      </c>
      <c r="F832" s="2" t="s">
        <v>60</v>
      </c>
      <c r="G832" s="2" t="s">
        <v>61</v>
      </c>
      <c r="H832" s="6" t="s">
        <v>2022</v>
      </c>
    </row>
    <row r="833" spans="1:8" ht="22.5" customHeight="1" x14ac:dyDescent="0.25">
      <c r="A833" s="14" t="s">
        <v>2024</v>
      </c>
      <c r="B833" s="3" t="s">
        <v>277</v>
      </c>
      <c r="C833" s="3" t="s">
        <v>2025</v>
      </c>
      <c r="D833" s="3" t="s">
        <v>279</v>
      </c>
      <c r="E833" s="3">
        <v>29.7592</v>
      </c>
      <c r="F833" s="3" t="s">
        <v>60</v>
      </c>
      <c r="G833" s="3" t="s">
        <v>61</v>
      </c>
      <c r="H833" s="6" t="s">
        <v>2024</v>
      </c>
    </row>
    <row r="834" spans="1:8" ht="22.5" customHeight="1" x14ac:dyDescent="0.25">
      <c r="A834" s="13" t="s">
        <v>2026</v>
      </c>
      <c r="B834" s="2" t="s">
        <v>422</v>
      </c>
      <c r="C834" s="2" t="s">
        <v>2027</v>
      </c>
      <c r="D834" s="2" t="s">
        <v>424</v>
      </c>
      <c r="E834" s="2">
        <v>30.7272</v>
      </c>
      <c r="F834" s="2" t="s">
        <v>60</v>
      </c>
      <c r="G834" s="2" t="s">
        <v>61</v>
      </c>
      <c r="H834" s="6" t="s">
        <v>2026</v>
      </c>
    </row>
    <row r="835" spans="1:8" ht="22.5" customHeight="1" x14ac:dyDescent="0.25">
      <c r="A835" s="14" t="s">
        <v>2028</v>
      </c>
      <c r="B835" s="3" t="s">
        <v>846</v>
      </c>
      <c r="C835" s="3" t="s">
        <v>2029</v>
      </c>
      <c r="D835" s="3" t="s">
        <v>848</v>
      </c>
      <c r="E835" s="3">
        <v>29.944199999999999</v>
      </c>
      <c r="F835" s="3" t="s">
        <v>60</v>
      </c>
      <c r="G835" s="3" t="s">
        <v>61</v>
      </c>
      <c r="H835" s="6" t="s">
        <v>2028</v>
      </c>
    </row>
    <row r="836" spans="1:8" ht="22.5" customHeight="1" x14ac:dyDescent="0.25">
      <c r="A836" s="13" t="s">
        <v>2030</v>
      </c>
      <c r="B836" s="2" t="s">
        <v>378</v>
      </c>
      <c r="C836" s="2" t="s">
        <v>2031</v>
      </c>
      <c r="D836" s="2" t="s">
        <v>380</v>
      </c>
      <c r="E836" s="2">
        <v>29.743200000000002</v>
      </c>
      <c r="F836" s="2" t="s">
        <v>60</v>
      </c>
      <c r="G836" s="2" t="s">
        <v>61</v>
      </c>
      <c r="H836" s="6" t="s">
        <v>2030</v>
      </c>
    </row>
    <row r="837" spans="1:8" ht="22.5" customHeight="1" x14ac:dyDescent="0.25">
      <c r="A837" s="14" t="s">
        <v>2032</v>
      </c>
      <c r="B837" s="3" t="s">
        <v>2033</v>
      </c>
      <c r="C837" s="3" t="s">
        <v>2034</v>
      </c>
      <c r="D837" s="3" t="s">
        <v>2035</v>
      </c>
      <c r="E837" s="3">
        <v>30.1492</v>
      </c>
      <c r="F837" s="3" t="s">
        <v>60</v>
      </c>
      <c r="G837" s="3" t="s">
        <v>61</v>
      </c>
      <c r="H837" s="6" t="s">
        <v>2032</v>
      </c>
    </row>
    <row r="838" spans="1:8" ht="33.75" customHeight="1" x14ac:dyDescent="0.25">
      <c r="A838" s="13" t="s">
        <v>2036</v>
      </c>
      <c r="B838" s="2" t="s">
        <v>2037</v>
      </c>
      <c r="C838" s="2" t="s">
        <v>2038</v>
      </c>
      <c r="D838" s="2" t="s">
        <v>2039</v>
      </c>
      <c r="E838" s="2">
        <v>31.226199999999999</v>
      </c>
      <c r="F838" s="2" t="s">
        <v>60</v>
      </c>
      <c r="G838" s="2" t="s">
        <v>61</v>
      </c>
      <c r="H838" s="6" t="s">
        <v>2036</v>
      </c>
    </row>
    <row r="839" spans="1:8" ht="33.75" customHeight="1" x14ac:dyDescent="0.25">
      <c r="A839" s="14" t="s">
        <v>2040</v>
      </c>
      <c r="B839" s="3" t="s">
        <v>2037</v>
      </c>
      <c r="C839" s="3" t="s">
        <v>2041</v>
      </c>
      <c r="D839" s="3" t="s">
        <v>2039</v>
      </c>
      <c r="E839" s="3">
        <v>31.226199999999999</v>
      </c>
      <c r="F839" s="3" t="s">
        <v>60</v>
      </c>
      <c r="G839" s="3" t="s">
        <v>61</v>
      </c>
      <c r="H839" s="6" t="s">
        <v>2040</v>
      </c>
    </row>
    <row r="840" spans="1:8" ht="33.75" customHeight="1" x14ac:dyDescent="0.25">
      <c r="A840" s="13" t="s">
        <v>2042</v>
      </c>
      <c r="B840" s="2" t="s">
        <v>864</v>
      </c>
      <c r="C840" s="2" t="s">
        <v>2043</v>
      </c>
      <c r="D840" s="2" t="s">
        <v>866</v>
      </c>
      <c r="E840" s="2">
        <v>30.653199999999998</v>
      </c>
      <c r="F840" s="2" t="s">
        <v>60</v>
      </c>
      <c r="G840" s="2" t="s">
        <v>61</v>
      </c>
      <c r="H840" s="6" t="s">
        <v>2042</v>
      </c>
    </row>
    <row r="841" spans="1:8" ht="33.75" customHeight="1" x14ac:dyDescent="0.25">
      <c r="A841" s="14" t="s">
        <v>2044</v>
      </c>
      <c r="B841" s="3" t="s">
        <v>422</v>
      </c>
      <c r="C841" s="3" t="s">
        <v>2045</v>
      </c>
      <c r="D841" s="3" t="s">
        <v>424</v>
      </c>
      <c r="E841" s="3">
        <v>30.7272</v>
      </c>
      <c r="F841" s="3" t="s">
        <v>60</v>
      </c>
      <c r="G841" s="3" t="s">
        <v>61</v>
      </c>
      <c r="H841" s="6" t="s">
        <v>2044</v>
      </c>
    </row>
    <row r="842" spans="1:8" ht="33.75" customHeight="1" x14ac:dyDescent="0.25">
      <c r="A842" s="13" t="s">
        <v>2046</v>
      </c>
      <c r="B842" s="2" t="s">
        <v>422</v>
      </c>
      <c r="C842" s="2" t="s">
        <v>2047</v>
      </c>
      <c r="D842" s="2" t="s">
        <v>424</v>
      </c>
      <c r="E842" s="2">
        <v>30.7272</v>
      </c>
      <c r="F842" s="2" t="s">
        <v>60</v>
      </c>
      <c r="G842" s="2" t="s">
        <v>61</v>
      </c>
      <c r="H842" s="6" t="s">
        <v>2046</v>
      </c>
    </row>
    <row r="843" spans="1:8" ht="33.75" customHeight="1" x14ac:dyDescent="0.25">
      <c r="A843" s="14" t="s">
        <v>2048</v>
      </c>
      <c r="B843" s="3" t="s">
        <v>422</v>
      </c>
      <c r="C843" s="3" t="s">
        <v>2049</v>
      </c>
      <c r="D843" s="3" t="s">
        <v>424</v>
      </c>
      <c r="E843" s="3">
        <v>30.7272</v>
      </c>
      <c r="F843" s="3" t="s">
        <v>60</v>
      </c>
      <c r="G843" s="3" t="s">
        <v>61</v>
      </c>
      <c r="H843" s="6" t="s">
        <v>2048</v>
      </c>
    </row>
    <row r="844" spans="1:8" ht="33.75" customHeight="1" x14ac:dyDescent="0.25">
      <c r="A844" s="13" t="s">
        <v>2050</v>
      </c>
      <c r="B844" s="2" t="s">
        <v>273</v>
      </c>
      <c r="C844" s="2" t="s">
        <v>2051</v>
      </c>
      <c r="D844" s="2" t="s">
        <v>275</v>
      </c>
      <c r="E844" s="2">
        <v>30.084199999999999</v>
      </c>
      <c r="F844" s="2" t="s">
        <v>60</v>
      </c>
      <c r="G844" s="2" t="s">
        <v>61</v>
      </c>
      <c r="H844" s="6" t="s">
        <v>2050</v>
      </c>
    </row>
    <row r="845" spans="1:8" ht="33.75" customHeight="1" x14ac:dyDescent="0.25">
      <c r="A845" s="14" t="s">
        <v>2052</v>
      </c>
      <c r="B845" s="3" t="s">
        <v>273</v>
      </c>
      <c r="C845" s="3" t="s">
        <v>2053</v>
      </c>
      <c r="D845" s="3" t="s">
        <v>275</v>
      </c>
      <c r="E845" s="3">
        <v>30.084199999999999</v>
      </c>
      <c r="F845" s="3" t="s">
        <v>60</v>
      </c>
      <c r="G845" s="3" t="s">
        <v>61</v>
      </c>
      <c r="H845" s="6" t="s">
        <v>2052</v>
      </c>
    </row>
    <row r="846" spans="1:8" ht="33.75" customHeight="1" x14ac:dyDescent="0.25">
      <c r="A846" s="13" t="s">
        <v>2054</v>
      </c>
      <c r="B846" s="2" t="s">
        <v>846</v>
      </c>
      <c r="C846" s="2" t="s">
        <v>2055</v>
      </c>
      <c r="D846" s="2" t="s">
        <v>848</v>
      </c>
      <c r="E846" s="2">
        <v>29.944199999999999</v>
      </c>
      <c r="F846" s="2" t="s">
        <v>60</v>
      </c>
      <c r="G846" s="2" t="s">
        <v>61</v>
      </c>
      <c r="H846" s="6" t="s">
        <v>2054</v>
      </c>
    </row>
    <row r="847" spans="1:8" ht="33.75" customHeight="1" x14ac:dyDescent="0.25">
      <c r="A847" s="14" t="s">
        <v>2056</v>
      </c>
      <c r="B847" s="3" t="s">
        <v>846</v>
      </c>
      <c r="C847" s="3" t="s">
        <v>2057</v>
      </c>
      <c r="D847" s="3" t="s">
        <v>848</v>
      </c>
      <c r="E847" s="3">
        <v>29.944199999999999</v>
      </c>
      <c r="F847" s="3" t="s">
        <v>60</v>
      </c>
      <c r="G847" s="3" t="s">
        <v>61</v>
      </c>
      <c r="H847" s="6" t="s">
        <v>2056</v>
      </c>
    </row>
    <row r="848" spans="1:8" ht="33.75" customHeight="1" x14ac:dyDescent="0.25">
      <c r="A848" s="13" t="s">
        <v>2058</v>
      </c>
      <c r="B848" s="2" t="s">
        <v>378</v>
      </c>
      <c r="C848" s="2" t="s">
        <v>2059</v>
      </c>
      <c r="D848" s="2" t="s">
        <v>380</v>
      </c>
      <c r="E848" s="2">
        <v>29.743200000000002</v>
      </c>
      <c r="F848" s="2" t="s">
        <v>60</v>
      </c>
      <c r="G848" s="2" t="s">
        <v>61</v>
      </c>
      <c r="H848" s="6" t="s">
        <v>2058</v>
      </c>
    </row>
    <row r="849" spans="1:8" ht="33.75" customHeight="1" x14ac:dyDescent="0.25">
      <c r="A849" s="14" t="s">
        <v>2060</v>
      </c>
      <c r="B849" s="3" t="s">
        <v>277</v>
      </c>
      <c r="C849" s="3" t="s">
        <v>2061</v>
      </c>
      <c r="D849" s="3" t="s">
        <v>279</v>
      </c>
      <c r="E849" s="3">
        <v>29.7592</v>
      </c>
      <c r="F849" s="3" t="s">
        <v>60</v>
      </c>
      <c r="G849" s="3" t="s">
        <v>61</v>
      </c>
      <c r="H849" s="6" t="s">
        <v>2060</v>
      </c>
    </row>
    <row r="850" spans="1:8" ht="33.75" customHeight="1" x14ac:dyDescent="0.25">
      <c r="A850" s="13" t="s">
        <v>2062</v>
      </c>
      <c r="B850" s="2" t="s">
        <v>277</v>
      </c>
      <c r="C850" s="2" t="s">
        <v>2063</v>
      </c>
      <c r="D850" s="2" t="s">
        <v>279</v>
      </c>
      <c r="E850" s="2">
        <v>29.7592</v>
      </c>
      <c r="F850" s="2" t="s">
        <v>60</v>
      </c>
      <c r="G850" s="2" t="s">
        <v>61</v>
      </c>
      <c r="H850" s="6" t="s">
        <v>2062</v>
      </c>
    </row>
    <row r="851" spans="1:8" ht="33.75" customHeight="1" x14ac:dyDescent="0.25">
      <c r="A851" s="14" t="s">
        <v>2064</v>
      </c>
      <c r="B851" s="3" t="s">
        <v>277</v>
      </c>
      <c r="C851" s="3" t="s">
        <v>2065</v>
      </c>
      <c r="D851" s="3" t="s">
        <v>279</v>
      </c>
      <c r="E851" s="3">
        <v>29.7592</v>
      </c>
      <c r="F851" s="3" t="s">
        <v>60</v>
      </c>
      <c r="G851" s="3" t="s">
        <v>61</v>
      </c>
      <c r="H851" s="6" t="s">
        <v>2064</v>
      </c>
    </row>
    <row r="852" spans="1:8" ht="33.75" customHeight="1" x14ac:dyDescent="0.25">
      <c r="A852" s="13" t="s">
        <v>2066</v>
      </c>
      <c r="B852" s="2" t="s">
        <v>378</v>
      </c>
      <c r="C852" s="2" t="s">
        <v>2067</v>
      </c>
      <c r="D852" s="2" t="s">
        <v>380</v>
      </c>
      <c r="E852" s="2">
        <v>29.743200000000002</v>
      </c>
      <c r="F852" s="2" t="s">
        <v>60</v>
      </c>
      <c r="G852" s="2" t="s">
        <v>61</v>
      </c>
      <c r="H852" s="6" t="s">
        <v>2066</v>
      </c>
    </row>
    <row r="853" spans="1:8" ht="33.75" customHeight="1" x14ac:dyDescent="0.25">
      <c r="A853" s="14" t="s">
        <v>2068</v>
      </c>
      <c r="B853" s="3" t="s">
        <v>386</v>
      </c>
      <c r="C853" s="3" t="s">
        <v>2069</v>
      </c>
      <c r="D853" s="3" t="s">
        <v>388</v>
      </c>
      <c r="E853" s="3">
        <v>33.783799999999999</v>
      </c>
      <c r="F853" s="3" t="s">
        <v>60</v>
      </c>
      <c r="G853" s="3" t="s">
        <v>61</v>
      </c>
      <c r="H853" s="6" t="s">
        <v>2068</v>
      </c>
    </row>
    <row r="854" spans="1:8" ht="33.75" customHeight="1" x14ac:dyDescent="0.25">
      <c r="A854" s="13" t="s">
        <v>2070</v>
      </c>
      <c r="B854" s="2" t="s">
        <v>324</v>
      </c>
      <c r="C854" s="2" t="s">
        <v>2071</v>
      </c>
      <c r="D854" s="2" t="s">
        <v>326</v>
      </c>
      <c r="E854" s="2">
        <v>29.719200000000001</v>
      </c>
      <c r="F854" s="2" t="s">
        <v>60</v>
      </c>
      <c r="G854" s="2" t="s">
        <v>61</v>
      </c>
      <c r="H854" s="6" t="s">
        <v>2070</v>
      </c>
    </row>
    <row r="855" spans="1:8" ht="33.75" customHeight="1" x14ac:dyDescent="0.25">
      <c r="A855" s="14" t="s">
        <v>2072</v>
      </c>
      <c r="B855" s="3" t="s">
        <v>1151</v>
      </c>
      <c r="C855" s="3" t="s">
        <v>2073</v>
      </c>
      <c r="D855" s="3" t="s">
        <v>1153</v>
      </c>
      <c r="E855" s="3">
        <v>30.6372</v>
      </c>
      <c r="F855" s="3" t="s">
        <v>60</v>
      </c>
      <c r="G855" s="3" t="s">
        <v>61</v>
      </c>
      <c r="H855" s="6" t="s">
        <v>2072</v>
      </c>
    </row>
    <row r="856" spans="1:8" ht="33.75" customHeight="1" x14ac:dyDescent="0.25">
      <c r="A856" s="13" t="s">
        <v>2074</v>
      </c>
      <c r="B856" s="2" t="s">
        <v>324</v>
      </c>
      <c r="C856" s="2" t="s">
        <v>2075</v>
      </c>
      <c r="D856" s="2" t="s">
        <v>326</v>
      </c>
      <c r="E856" s="2">
        <v>29.719200000000001</v>
      </c>
      <c r="F856" s="2" t="s">
        <v>60</v>
      </c>
      <c r="G856" s="2" t="s">
        <v>61</v>
      </c>
      <c r="H856" s="6" t="s">
        <v>2074</v>
      </c>
    </row>
    <row r="857" spans="1:8" ht="22.5" customHeight="1" x14ac:dyDescent="0.25">
      <c r="A857" s="14" t="s">
        <v>2076</v>
      </c>
      <c r="B857" s="3" t="s">
        <v>404</v>
      </c>
      <c r="C857" s="3" t="s">
        <v>2077</v>
      </c>
      <c r="D857" s="3" t="s">
        <v>406</v>
      </c>
      <c r="E857" s="3">
        <v>29.999199999999998</v>
      </c>
      <c r="F857" s="3" t="s">
        <v>60</v>
      </c>
      <c r="G857" s="3" t="s">
        <v>61</v>
      </c>
      <c r="H857" s="6" t="s">
        <v>2076</v>
      </c>
    </row>
    <row r="858" spans="1:8" ht="33.75" customHeight="1" x14ac:dyDescent="0.25">
      <c r="A858" s="13" t="s">
        <v>2078</v>
      </c>
      <c r="B858" s="2" t="s">
        <v>386</v>
      </c>
      <c r="C858" s="2" t="s">
        <v>2079</v>
      </c>
      <c r="D858" s="2" t="s">
        <v>388</v>
      </c>
      <c r="E858" s="2">
        <v>33.783799999999999</v>
      </c>
      <c r="F858" s="2" t="s">
        <v>60</v>
      </c>
      <c r="G858" s="2" t="s">
        <v>61</v>
      </c>
      <c r="H858" s="6" t="s">
        <v>2078</v>
      </c>
    </row>
    <row r="859" spans="1:8" ht="33.75" customHeight="1" x14ac:dyDescent="0.25">
      <c r="A859" s="14" t="s">
        <v>2080</v>
      </c>
      <c r="B859" s="3" t="s">
        <v>794</v>
      </c>
      <c r="C859" s="3" t="s">
        <v>2081</v>
      </c>
      <c r="D859" s="3" t="s">
        <v>796</v>
      </c>
      <c r="E859" s="3">
        <v>34.151200000000003</v>
      </c>
      <c r="F859" s="3" t="s">
        <v>60</v>
      </c>
      <c r="G859" s="3" t="s">
        <v>61</v>
      </c>
      <c r="H859" s="6" t="s">
        <v>2080</v>
      </c>
    </row>
    <row r="860" spans="1:8" ht="33.75" customHeight="1" x14ac:dyDescent="0.25">
      <c r="A860" s="13" t="s">
        <v>2082</v>
      </c>
      <c r="B860" s="2" t="s">
        <v>324</v>
      </c>
      <c r="C860" s="2" t="s">
        <v>2083</v>
      </c>
      <c r="D860" s="2" t="s">
        <v>326</v>
      </c>
      <c r="E860" s="2">
        <v>29.719200000000001</v>
      </c>
      <c r="F860" s="2" t="s">
        <v>60</v>
      </c>
      <c r="G860" s="2" t="s">
        <v>61</v>
      </c>
      <c r="H860" s="6" t="s">
        <v>2082</v>
      </c>
    </row>
    <row r="861" spans="1:8" ht="33.75" customHeight="1" x14ac:dyDescent="0.25">
      <c r="A861" s="14" t="s">
        <v>2084</v>
      </c>
      <c r="B861" s="3" t="s">
        <v>418</v>
      </c>
      <c r="C861" s="3" t="s">
        <v>2085</v>
      </c>
      <c r="D861" s="3" t="s">
        <v>420</v>
      </c>
      <c r="E861" s="3">
        <v>30.655200000000001</v>
      </c>
      <c r="F861" s="3" t="s">
        <v>60</v>
      </c>
      <c r="G861" s="3" t="s">
        <v>61</v>
      </c>
      <c r="H861" s="6" t="s">
        <v>2084</v>
      </c>
    </row>
    <row r="862" spans="1:8" ht="33.75" customHeight="1" x14ac:dyDescent="0.25">
      <c r="A862" s="13" t="s">
        <v>2086</v>
      </c>
      <c r="B862" s="2" t="s">
        <v>404</v>
      </c>
      <c r="C862" s="2" t="s">
        <v>2087</v>
      </c>
      <c r="D862" s="2" t="s">
        <v>406</v>
      </c>
      <c r="E862" s="2">
        <v>29.999199999999998</v>
      </c>
      <c r="F862" s="2" t="s">
        <v>60</v>
      </c>
      <c r="G862" s="2" t="s">
        <v>61</v>
      </c>
      <c r="H862" s="6" t="s">
        <v>2086</v>
      </c>
    </row>
    <row r="863" spans="1:8" ht="33.75" customHeight="1" x14ac:dyDescent="0.25">
      <c r="A863" s="14" t="s">
        <v>2088</v>
      </c>
      <c r="B863" s="3" t="s">
        <v>386</v>
      </c>
      <c r="C863" s="3" t="s">
        <v>2089</v>
      </c>
      <c r="D863" s="3" t="s">
        <v>388</v>
      </c>
      <c r="E863" s="3">
        <v>33.783799999999999</v>
      </c>
      <c r="F863" s="3" t="s">
        <v>60</v>
      </c>
      <c r="G863" s="3" t="s">
        <v>61</v>
      </c>
      <c r="H863" s="6" t="s">
        <v>2088</v>
      </c>
    </row>
    <row r="864" spans="1:8" ht="33.75" customHeight="1" x14ac:dyDescent="0.25">
      <c r="A864" s="13" t="s">
        <v>2090</v>
      </c>
      <c r="B864" s="2" t="s">
        <v>404</v>
      </c>
      <c r="C864" s="2" t="s">
        <v>2091</v>
      </c>
      <c r="D864" s="2" t="s">
        <v>406</v>
      </c>
      <c r="E864" s="2">
        <v>29.999199999999998</v>
      </c>
      <c r="F864" s="2" t="s">
        <v>60</v>
      </c>
      <c r="G864" s="2" t="s">
        <v>61</v>
      </c>
      <c r="H864" s="6" t="s">
        <v>2090</v>
      </c>
    </row>
    <row r="865" spans="1:8" ht="33.75" customHeight="1" x14ac:dyDescent="0.25">
      <c r="A865" s="14" t="s">
        <v>2092</v>
      </c>
      <c r="B865" s="3" t="s">
        <v>400</v>
      </c>
      <c r="C865" s="3" t="s">
        <v>2093</v>
      </c>
      <c r="D865" s="3" t="s">
        <v>402</v>
      </c>
      <c r="E865" s="3">
        <v>34.332239999999999</v>
      </c>
      <c r="F865" s="3" t="s">
        <v>60</v>
      </c>
      <c r="G865" s="3" t="s">
        <v>61</v>
      </c>
      <c r="H865" s="6" t="s">
        <v>2092</v>
      </c>
    </row>
    <row r="866" spans="1:8" ht="33.75" customHeight="1" x14ac:dyDescent="0.25">
      <c r="A866" s="13" t="s">
        <v>2094</v>
      </c>
      <c r="B866" s="2" t="s">
        <v>418</v>
      </c>
      <c r="C866" s="2" t="s">
        <v>2095</v>
      </c>
      <c r="D866" s="2" t="s">
        <v>420</v>
      </c>
      <c r="E866" s="2">
        <v>30.655200000000001</v>
      </c>
      <c r="F866" s="2" t="s">
        <v>60</v>
      </c>
      <c r="G866" s="2" t="s">
        <v>61</v>
      </c>
      <c r="H866" s="6" t="s">
        <v>2094</v>
      </c>
    </row>
    <row r="867" spans="1:8" ht="33.75" customHeight="1" x14ac:dyDescent="0.25">
      <c r="A867" s="14" t="s">
        <v>2096</v>
      </c>
      <c r="B867" s="3" t="s">
        <v>386</v>
      </c>
      <c r="C867" s="3" t="s">
        <v>2097</v>
      </c>
      <c r="D867" s="3" t="s">
        <v>388</v>
      </c>
      <c r="E867" s="3">
        <v>33.783799999999999</v>
      </c>
      <c r="F867" s="3" t="s">
        <v>60</v>
      </c>
      <c r="G867" s="3" t="s">
        <v>61</v>
      </c>
      <c r="H867" s="6" t="s">
        <v>2096</v>
      </c>
    </row>
    <row r="868" spans="1:8" ht="33.75" customHeight="1" x14ac:dyDescent="0.25">
      <c r="A868" s="13" t="s">
        <v>2098</v>
      </c>
      <c r="B868" s="2" t="s">
        <v>386</v>
      </c>
      <c r="C868" s="2" t="s">
        <v>2099</v>
      </c>
      <c r="D868" s="2" t="s">
        <v>388</v>
      </c>
      <c r="E868" s="2">
        <v>33.783799999999999</v>
      </c>
      <c r="F868" s="2" t="s">
        <v>60</v>
      </c>
      <c r="G868" s="2" t="s">
        <v>61</v>
      </c>
      <c r="H868" s="6" t="s">
        <v>2098</v>
      </c>
    </row>
    <row r="869" spans="1:8" ht="33.75" customHeight="1" x14ac:dyDescent="0.25">
      <c r="A869" s="14" t="s">
        <v>2100</v>
      </c>
      <c r="B869" s="3" t="s">
        <v>418</v>
      </c>
      <c r="C869" s="3" t="s">
        <v>2101</v>
      </c>
      <c r="D869" s="3" t="s">
        <v>420</v>
      </c>
      <c r="E869" s="3">
        <v>30.655200000000001</v>
      </c>
      <c r="F869" s="3" t="s">
        <v>60</v>
      </c>
      <c r="G869" s="3" t="s">
        <v>61</v>
      </c>
      <c r="H869" s="6" t="s">
        <v>2100</v>
      </c>
    </row>
    <row r="870" spans="1:8" ht="33.75" customHeight="1" x14ac:dyDescent="0.25">
      <c r="A870" s="13" t="s">
        <v>2102</v>
      </c>
      <c r="B870" s="2" t="s">
        <v>418</v>
      </c>
      <c r="C870" s="2" t="s">
        <v>2103</v>
      </c>
      <c r="D870" s="2" t="s">
        <v>420</v>
      </c>
      <c r="E870" s="2">
        <v>30.655200000000001</v>
      </c>
      <c r="F870" s="2" t="s">
        <v>60</v>
      </c>
      <c r="G870" s="2" t="s">
        <v>61</v>
      </c>
      <c r="H870" s="6" t="s">
        <v>2102</v>
      </c>
    </row>
    <row r="871" spans="1:8" ht="33.75" customHeight="1" x14ac:dyDescent="0.25">
      <c r="A871" s="14" t="s">
        <v>2104</v>
      </c>
      <c r="B871" s="3" t="s">
        <v>404</v>
      </c>
      <c r="C871" s="3" t="s">
        <v>2105</v>
      </c>
      <c r="D871" s="3" t="s">
        <v>406</v>
      </c>
      <c r="E871" s="3">
        <v>29.999199999999998</v>
      </c>
      <c r="F871" s="3" t="s">
        <v>60</v>
      </c>
      <c r="G871" s="3" t="s">
        <v>61</v>
      </c>
      <c r="H871" s="6" t="s">
        <v>2104</v>
      </c>
    </row>
    <row r="872" spans="1:8" ht="33.75" customHeight="1" x14ac:dyDescent="0.25">
      <c r="A872" s="13" t="s">
        <v>2106</v>
      </c>
      <c r="B872" s="2" t="s">
        <v>386</v>
      </c>
      <c r="C872" s="2" t="s">
        <v>2107</v>
      </c>
      <c r="D872" s="2" t="s">
        <v>388</v>
      </c>
      <c r="E872" s="2">
        <v>33.783799999999999</v>
      </c>
      <c r="F872" s="2" t="s">
        <v>60</v>
      </c>
      <c r="G872" s="2" t="s">
        <v>61</v>
      </c>
      <c r="H872" s="6" t="s">
        <v>2106</v>
      </c>
    </row>
    <row r="873" spans="1:8" ht="33.75" customHeight="1" x14ac:dyDescent="0.25">
      <c r="A873" s="14" t="s">
        <v>2108</v>
      </c>
      <c r="B873" s="3" t="s">
        <v>382</v>
      </c>
      <c r="C873" s="3" t="s">
        <v>2109</v>
      </c>
      <c r="D873" s="3" t="s">
        <v>384</v>
      </c>
      <c r="E873" s="3">
        <v>35.3172</v>
      </c>
      <c r="F873" s="3" t="s">
        <v>60</v>
      </c>
      <c r="G873" s="3" t="s">
        <v>61</v>
      </c>
      <c r="H873" s="6" t="s">
        <v>2108</v>
      </c>
    </row>
    <row r="874" spans="1:8" ht="22.5" customHeight="1" x14ac:dyDescent="0.25">
      <c r="A874" s="13" t="s">
        <v>2110</v>
      </c>
      <c r="B874" s="2" t="s">
        <v>400</v>
      </c>
      <c r="C874" s="2" t="s">
        <v>2111</v>
      </c>
      <c r="D874" s="2" t="s">
        <v>402</v>
      </c>
      <c r="E874" s="2">
        <v>34.332239999999999</v>
      </c>
      <c r="F874" s="2" t="s">
        <v>60</v>
      </c>
      <c r="G874" s="2" t="s">
        <v>61</v>
      </c>
      <c r="H874" s="6" t="s">
        <v>2110</v>
      </c>
    </row>
    <row r="875" spans="1:8" ht="33.75" customHeight="1" x14ac:dyDescent="0.25">
      <c r="A875" s="14" t="s">
        <v>2112</v>
      </c>
      <c r="B875" s="3" t="s">
        <v>400</v>
      </c>
      <c r="C875" s="3" t="s">
        <v>2113</v>
      </c>
      <c r="D875" s="3" t="s">
        <v>402</v>
      </c>
      <c r="E875" s="3">
        <v>34.332239999999999</v>
      </c>
      <c r="F875" s="3" t="s">
        <v>60</v>
      </c>
      <c r="G875" s="3" t="s">
        <v>61</v>
      </c>
      <c r="H875" s="6" t="s">
        <v>2112</v>
      </c>
    </row>
    <row r="876" spans="1:8" ht="33.75" customHeight="1" x14ac:dyDescent="0.25">
      <c r="A876" s="13" t="s">
        <v>2114</v>
      </c>
      <c r="B876" s="2" t="s">
        <v>404</v>
      </c>
      <c r="C876" s="2" t="s">
        <v>2115</v>
      </c>
      <c r="D876" s="2" t="s">
        <v>406</v>
      </c>
      <c r="E876" s="2">
        <v>29.999199999999998</v>
      </c>
      <c r="F876" s="2" t="s">
        <v>60</v>
      </c>
      <c r="G876" s="2" t="s">
        <v>61</v>
      </c>
      <c r="H876" s="6" t="s">
        <v>2114</v>
      </c>
    </row>
    <row r="877" spans="1:8" ht="33.75" customHeight="1" x14ac:dyDescent="0.25">
      <c r="A877" s="14" t="s">
        <v>2116</v>
      </c>
      <c r="B877" s="3" t="s">
        <v>794</v>
      </c>
      <c r="C877" s="3" t="s">
        <v>2117</v>
      </c>
      <c r="D877" s="3" t="s">
        <v>796</v>
      </c>
      <c r="E877" s="3">
        <v>34.151200000000003</v>
      </c>
      <c r="F877" s="3" t="s">
        <v>60</v>
      </c>
      <c r="G877" s="3" t="s">
        <v>61</v>
      </c>
      <c r="H877" s="6" t="s">
        <v>2116</v>
      </c>
    </row>
    <row r="878" spans="1:8" ht="33.75" customHeight="1" x14ac:dyDescent="0.25">
      <c r="A878" s="13" t="s">
        <v>2118</v>
      </c>
      <c r="B878" s="2" t="s">
        <v>794</v>
      </c>
      <c r="C878" s="2" t="s">
        <v>2119</v>
      </c>
      <c r="D878" s="2" t="s">
        <v>796</v>
      </c>
      <c r="E878" s="2">
        <v>34.151200000000003</v>
      </c>
      <c r="F878" s="2" t="s">
        <v>60</v>
      </c>
      <c r="G878" s="2" t="s">
        <v>61</v>
      </c>
      <c r="H878" s="6" t="s">
        <v>2118</v>
      </c>
    </row>
    <row r="879" spans="1:8" ht="33.75" customHeight="1" x14ac:dyDescent="0.25">
      <c r="A879" s="14" t="s">
        <v>2120</v>
      </c>
      <c r="B879" s="3" t="s">
        <v>382</v>
      </c>
      <c r="C879" s="3" t="s">
        <v>2121</v>
      </c>
      <c r="D879" s="3" t="s">
        <v>384</v>
      </c>
      <c r="E879" s="3">
        <v>35.3172</v>
      </c>
      <c r="F879" s="3" t="s">
        <v>60</v>
      </c>
      <c r="G879" s="3" t="s">
        <v>61</v>
      </c>
      <c r="H879" s="6" t="s">
        <v>2120</v>
      </c>
    </row>
    <row r="880" spans="1:8" ht="22.5" customHeight="1" x14ac:dyDescent="0.25">
      <c r="A880" s="13" t="s">
        <v>2122</v>
      </c>
      <c r="B880" s="2" t="s">
        <v>1479</v>
      </c>
      <c r="C880" s="2" t="s">
        <v>2123</v>
      </c>
      <c r="D880" s="2" t="s">
        <v>1481</v>
      </c>
      <c r="E880" s="2">
        <v>28.617000000000001</v>
      </c>
      <c r="F880" s="2" t="s">
        <v>60</v>
      </c>
      <c r="G880" s="2" t="s">
        <v>61</v>
      </c>
      <c r="H880" s="6" t="s">
        <v>2122</v>
      </c>
    </row>
    <row r="881" spans="1:8" ht="22.5" customHeight="1" x14ac:dyDescent="0.25">
      <c r="A881" s="14" t="s">
        <v>2124</v>
      </c>
      <c r="B881" s="3" t="s">
        <v>826</v>
      </c>
      <c r="C881" s="3" t="s">
        <v>2125</v>
      </c>
      <c r="D881" s="3" t="s">
        <v>828</v>
      </c>
      <c r="E881" s="3">
        <v>28.366</v>
      </c>
      <c r="F881" s="3" t="s">
        <v>60</v>
      </c>
      <c r="G881" s="3" t="s">
        <v>61</v>
      </c>
      <c r="H881" s="6" t="s">
        <v>2124</v>
      </c>
    </row>
    <row r="882" spans="1:8" ht="22.5" customHeight="1" x14ac:dyDescent="0.25">
      <c r="A882" s="13" t="s">
        <v>2126</v>
      </c>
      <c r="B882" s="2" t="s">
        <v>826</v>
      </c>
      <c r="C882" s="2" t="s">
        <v>2127</v>
      </c>
      <c r="D882" s="2" t="s">
        <v>828</v>
      </c>
      <c r="E882" s="2">
        <v>28.366</v>
      </c>
      <c r="F882" s="2" t="s">
        <v>60</v>
      </c>
      <c r="G882" s="2" t="s">
        <v>61</v>
      </c>
      <c r="H882" s="6" t="s">
        <v>2126</v>
      </c>
    </row>
    <row r="883" spans="1:8" ht="22.5" customHeight="1" x14ac:dyDescent="0.25">
      <c r="A883" s="14" t="s">
        <v>2128</v>
      </c>
      <c r="B883" s="3" t="s">
        <v>826</v>
      </c>
      <c r="C883" s="3" t="s">
        <v>2129</v>
      </c>
      <c r="D883" s="3" t="s">
        <v>828</v>
      </c>
      <c r="E883" s="3">
        <v>28.366</v>
      </c>
      <c r="F883" s="3" t="s">
        <v>60</v>
      </c>
      <c r="G883" s="3" t="s">
        <v>61</v>
      </c>
      <c r="H883" s="6" t="s">
        <v>2128</v>
      </c>
    </row>
    <row r="884" spans="1:8" ht="22.5" customHeight="1" x14ac:dyDescent="0.25">
      <c r="A884" s="13" t="s">
        <v>2130</v>
      </c>
      <c r="B884" s="2" t="s">
        <v>1294</v>
      </c>
      <c r="C884" s="2" t="s">
        <v>2131</v>
      </c>
      <c r="D884" s="2" t="s">
        <v>1296</v>
      </c>
      <c r="E884" s="2">
        <v>27.925999999999998</v>
      </c>
      <c r="F884" s="2" t="s">
        <v>60</v>
      </c>
      <c r="G884" s="2" t="s">
        <v>61</v>
      </c>
      <c r="H884" s="6" t="s">
        <v>2130</v>
      </c>
    </row>
    <row r="885" spans="1:8" ht="22.5" customHeight="1" x14ac:dyDescent="0.25">
      <c r="A885" s="14" t="s">
        <v>2132</v>
      </c>
      <c r="B885" s="3" t="s">
        <v>830</v>
      </c>
      <c r="C885" s="3" t="s">
        <v>2133</v>
      </c>
      <c r="D885" s="3" t="s">
        <v>832</v>
      </c>
      <c r="E885" s="3">
        <v>27.925999999999998</v>
      </c>
      <c r="F885" s="3" t="s">
        <v>60</v>
      </c>
      <c r="G885" s="3" t="s">
        <v>61</v>
      </c>
      <c r="H885" s="6" t="s">
        <v>2132</v>
      </c>
    </row>
    <row r="886" spans="1:8" ht="22.5" customHeight="1" x14ac:dyDescent="0.25">
      <c r="A886" s="13" t="s">
        <v>2134</v>
      </c>
      <c r="B886" s="2" t="s">
        <v>830</v>
      </c>
      <c r="C886" s="2" t="s">
        <v>2135</v>
      </c>
      <c r="D886" s="2" t="s">
        <v>832</v>
      </c>
      <c r="E886" s="2">
        <v>27.925999999999998</v>
      </c>
      <c r="F886" s="2" t="s">
        <v>60</v>
      </c>
      <c r="G886" s="2" t="s">
        <v>61</v>
      </c>
      <c r="H886" s="6" t="s">
        <v>2134</v>
      </c>
    </row>
    <row r="887" spans="1:8" ht="22.5" customHeight="1" x14ac:dyDescent="0.25">
      <c r="A887" s="14" t="s">
        <v>2136</v>
      </c>
      <c r="B887" s="3" t="s">
        <v>2137</v>
      </c>
      <c r="C887" s="3" t="s">
        <v>2138</v>
      </c>
      <c r="D887" s="3" t="s">
        <v>2139</v>
      </c>
      <c r="E887" s="3">
        <v>27.925999999999998</v>
      </c>
      <c r="F887" s="3" t="s">
        <v>60</v>
      </c>
      <c r="G887" s="3" t="s">
        <v>61</v>
      </c>
      <c r="H887" s="6" t="s">
        <v>2136</v>
      </c>
    </row>
    <row r="888" spans="1:8" ht="22.5" customHeight="1" x14ac:dyDescent="0.25">
      <c r="A888" s="13" t="s">
        <v>2140</v>
      </c>
      <c r="B888" s="2" t="s">
        <v>2141</v>
      </c>
      <c r="C888" s="2" t="s">
        <v>2142</v>
      </c>
      <c r="D888" s="2" t="s">
        <v>2143</v>
      </c>
      <c r="E888" s="2">
        <v>30.326000000000001</v>
      </c>
      <c r="F888" s="2" t="s">
        <v>60</v>
      </c>
      <c r="G888" s="2" t="s">
        <v>61</v>
      </c>
      <c r="H888" s="6" t="s">
        <v>2140</v>
      </c>
    </row>
    <row r="889" spans="1:8" ht="22.5" customHeight="1" x14ac:dyDescent="0.25">
      <c r="A889" s="14" t="s">
        <v>2144</v>
      </c>
      <c r="B889" s="3" t="s">
        <v>2141</v>
      </c>
      <c r="C889" s="3" t="s">
        <v>2145</v>
      </c>
      <c r="D889" s="3" t="s">
        <v>2143</v>
      </c>
      <c r="E889" s="3">
        <v>30.326000000000001</v>
      </c>
      <c r="F889" s="3" t="s">
        <v>60</v>
      </c>
      <c r="G889" s="3" t="s">
        <v>61</v>
      </c>
      <c r="H889" s="6" t="s">
        <v>2144</v>
      </c>
    </row>
    <row r="890" spans="1:8" ht="22.5" customHeight="1" x14ac:dyDescent="0.25">
      <c r="A890" s="13" t="s">
        <v>2146</v>
      </c>
      <c r="B890" s="2" t="s">
        <v>2147</v>
      </c>
      <c r="C890" s="2" t="s">
        <v>2148</v>
      </c>
      <c r="D890" s="2" t="s">
        <v>2149</v>
      </c>
      <c r="E890" s="2">
        <v>30.326000000000001</v>
      </c>
      <c r="F890" s="2" t="s">
        <v>60</v>
      </c>
      <c r="G890" s="2" t="s">
        <v>61</v>
      </c>
      <c r="H890" s="6" t="s">
        <v>2146</v>
      </c>
    </row>
    <row r="891" spans="1:8" ht="22.5" customHeight="1" x14ac:dyDescent="0.25">
      <c r="A891" s="14" t="s">
        <v>2150</v>
      </c>
      <c r="B891" s="3" t="s">
        <v>2147</v>
      </c>
      <c r="C891" s="3" t="s">
        <v>2151</v>
      </c>
      <c r="D891" s="3" t="s">
        <v>2149</v>
      </c>
      <c r="E891" s="3">
        <v>30.326000000000001</v>
      </c>
      <c r="F891" s="3" t="s">
        <v>60</v>
      </c>
      <c r="G891" s="3" t="s">
        <v>61</v>
      </c>
      <c r="H891" s="6" t="s">
        <v>2150</v>
      </c>
    </row>
    <row r="892" spans="1:8" ht="22.5" customHeight="1" x14ac:dyDescent="0.25">
      <c r="A892" s="13" t="s">
        <v>2152</v>
      </c>
      <c r="B892" s="2" t="s">
        <v>2153</v>
      </c>
      <c r="C892" s="2" t="s">
        <v>2154</v>
      </c>
      <c r="D892" s="2" t="s">
        <v>2155</v>
      </c>
      <c r="E892" s="2">
        <v>30.326000000000001</v>
      </c>
      <c r="F892" s="2" t="s">
        <v>60</v>
      </c>
      <c r="G892" s="2" t="s">
        <v>61</v>
      </c>
      <c r="H892" s="6" t="s">
        <v>2152</v>
      </c>
    </row>
    <row r="893" spans="1:8" ht="22.5" customHeight="1" x14ac:dyDescent="0.25">
      <c r="A893" s="14" t="s">
        <v>2156</v>
      </c>
      <c r="B893" s="3" t="s">
        <v>2153</v>
      </c>
      <c r="C893" s="3" t="s">
        <v>2157</v>
      </c>
      <c r="D893" s="3" t="s">
        <v>2155</v>
      </c>
      <c r="E893" s="3">
        <v>30.326000000000001</v>
      </c>
      <c r="F893" s="3" t="s">
        <v>60</v>
      </c>
      <c r="G893" s="3" t="s">
        <v>61</v>
      </c>
      <c r="H893" s="6" t="s">
        <v>2156</v>
      </c>
    </row>
    <row r="894" spans="1:8" ht="33.75" customHeight="1" x14ac:dyDescent="0.25">
      <c r="A894" s="13" t="s">
        <v>2158</v>
      </c>
      <c r="B894" s="2" t="s">
        <v>650</v>
      </c>
      <c r="C894" s="2" t="s">
        <v>2159</v>
      </c>
      <c r="D894" s="2" t="s">
        <v>652</v>
      </c>
      <c r="E894" s="2">
        <v>33.497</v>
      </c>
      <c r="F894" s="2" t="s">
        <v>60</v>
      </c>
      <c r="G894" s="2" t="s">
        <v>61</v>
      </c>
      <c r="H894" s="6" t="s">
        <v>2158</v>
      </c>
    </row>
    <row r="895" spans="1:8" ht="22.5" customHeight="1" x14ac:dyDescent="0.25">
      <c r="A895" s="14" t="s">
        <v>2160</v>
      </c>
      <c r="B895" s="3" t="s">
        <v>687</v>
      </c>
      <c r="C895" s="3" t="s">
        <v>2161</v>
      </c>
      <c r="D895" s="3" t="s">
        <v>689</v>
      </c>
      <c r="E895" s="3">
        <v>34.045439999999999</v>
      </c>
      <c r="F895" s="3" t="s">
        <v>60</v>
      </c>
      <c r="G895" s="3" t="s">
        <v>61</v>
      </c>
      <c r="H895" s="6" t="s">
        <v>2160</v>
      </c>
    </row>
    <row r="896" spans="1:8" ht="22.5" customHeight="1" x14ac:dyDescent="0.25">
      <c r="A896" s="13" t="s">
        <v>2162</v>
      </c>
      <c r="B896" s="2" t="s">
        <v>1294</v>
      </c>
      <c r="C896" s="2" t="s">
        <v>2163</v>
      </c>
      <c r="D896" s="2" t="s">
        <v>1296</v>
      </c>
      <c r="E896" s="2">
        <v>27.925999999999998</v>
      </c>
      <c r="F896" s="2" t="s">
        <v>60</v>
      </c>
      <c r="G896" s="2" t="s">
        <v>61</v>
      </c>
      <c r="H896" s="6" t="s">
        <v>2162</v>
      </c>
    </row>
    <row r="897" spans="1:8" ht="22.5" customHeight="1" x14ac:dyDescent="0.25">
      <c r="A897" s="14" t="s">
        <v>2164</v>
      </c>
      <c r="B897" s="3" t="s">
        <v>878</v>
      </c>
      <c r="C897" s="3" t="s">
        <v>2165</v>
      </c>
      <c r="D897" s="3" t="s">
        <v>880</v>
      </c>
      <c r="E897" s="3">
        <v>27.925999999999998</v>
      </c>
      <c r="F897" s="3" t="s">
        <v>60</v>
      </c>
      <c r="G897" s="3" t="s">
        <v>61</v>
      </c>
      <c r="H897" s="6" t="s">
        <v>2164</v>
      </c>
    </row>
    <row r="898" spans="1:8" ht="22.5" customHeight="1" x14ac:dyDescent="0.25">
      <c r="A898" s="13" t="s">
        <v>2166</v>
      </c>
      <c r="B898" s="2" t="s">
        <v>277</v>
      </c>
      <c r="C898" s="2" t="s">
        <v>2167</v>
      </c>
      <c r="D898" s="2" t="s">
        <v>279</v>
      </c>
      <c r="E898" s="2">
        <v>29.7592</v>
      </c>
      <c r="F898" s="2" t="s">
        <v>60</v>
      </c>
      <c r="G898" s="2" t="s">
        <v>61</v>
      </c>
      <c r="H898" s="6" t="s">
        <v>2166</v>
      </c>
    </row>
    <row r="899" spans="1:8" ht="33.75" customHeight="1" x14ac:dyDescent="0.25">
      <c r="A899" s="14" t="s">
        <v>2168</v>
      </c>
      <c r="B899" s="3" t="s">
        <v>372</v>
      </c>
      <c r="C899" s="3" t="s">
        <v>2169</v>
      </c>
      <c r="D899" s="3" t="s">
        <v>374</v>
      </c>
      <c r="E899" s="3">
        <v>32.852400000000003</v>
      </c>
      <c r="F899" s="3" t="s">
        <v>60</v>
      </c>
      <c r="G899" s="3" t="s">
        <v>61</v>
      </c>
      <c r="H899" s="6" t="s">
        <v>2168</v>
      </c>
    </row>
    <row r="900" spans="1:8" ht="33.75" customHeight="1" x14ac:dyDescent="0.25">
      <c r="A900" s="13" t="s">
        <v>2170</v>
      </c>
      <c r="B900" s="2" t="s">
        <v>372</v>
      </c>
      <c r="C900" s="2" t="s">
        <v>2171</v>
      </c>
      <c r="D900" s="2" t="s">
        <v>374</v>
      </c>
      <c r="E900" s="2">
        <v>32.852400000000003</v>
      </c>
      <c r="F900" s="2" t="s">
        <v>60</v>
      </c>
      <c r="G900" s="2" t="s">
        <v>61</v>
      </c>
      <c r="H900" s="6" t="s">
        <v>2170</v>
      </c>
    </row>
    <row r="901" spans="1:8" ht="22.5" customHeight="1" x14ac:dyDescent="0.25">
      <c r="A901" s="14" t="s">
        <v>2172</v>
      </c>
      <c r="B901" s="3" t="s">
        <v>386</v>
      </c>
      <c r="C901" s="3" t="s">
        <v>1060</v>
      </c>
      <c r="D901" s="3" t="s">
        <v>388</v>
      </c>
      <c r="E901" s="3">
        <v>33.783799999999999</v>
      </c>
      <c r="F901" s="3" t="s">
        <v>60</v>
      </c>
      <c r="G901" s="3" t="s">
        <v>61</v>
      </c>
      <c r="H901" s="6" t="s">
        <v>2172</v>
      </c>
    </row>
    <row r="902" spans="1:8" ht="33.75" customHeight="1" x14ac:dyDescent="0.25">
      <c r="A902" s="13" t="s">
        <v>2173</v>
      </c>
      <c r="B902" s="2" t="s">
        <v>382</v>
      </c>
      <c r="C902" s="2" t="s">
        <v>2174</v>
      </c>
      <c r="D902" s="2" t="s">
        <v>384</v>
      </c>
      <c r="E902" s="2">
        <v>35.3172</v>
      </c>
      <c r="F902" s="2" t="s">
        <v>60</v>
      </c>
      <c r="G902" s="2" t="s">
        <v>61</v>
      </c>
      <c r="H902" s="6" t="s">
        <v>2173</v>
      </c>
    </row>
    <row r="903" spans="1:8" ht="22.5" customHeight="1" x14ac:dyDescent="0.25">
      <c r="A903" s="14" t="s">
        <v>2175</v>
      </c>
      <c r="B903" s="3" t="s">
        <v>404</v>
      </c>
      <c r="C903" s="3" t="s">
        <v>1272</v>
      </c>
      <c r="D903" s="3" t="s">
        <v>406</v>
      </c>
      <c r="E903" s="3">
        <v>29.999199999999998</v>
      </c>
      <c r="F903" s="3" t="s">
        <v>60</v>
      </c>
      <c r="G903" s="3" t="s">
        <v>61</v>
      </c>
      <c r="H903" s="6" t="s">
        <v>2175</v>
      </c>
    </row>
    <row r="904" spans="1:8" ht="22.5" customHeight="1" x14ac:dyDescent="0.25">
      <c r="A904" s="13" t="s">
        <v>2176</v>
      </c>
      <c r="B904" s="2" t="s">
        <v>826</v>
      </c>
      <c r="C904" s="2" t="s">
        <v>2177</v>
      </c>
      <c r="D904" s="2" t="s">
        <v>828</v>
      </c>
      <c r="E904" s="2">
        <v>28.366</v>
      </c>
      <c r="F904" s="2" t="s">
        <v>60</v>
      </c>
      <c r="G904" s="2" t="s">
        <v>61</v>
      </c>
      <c r="H904" s="6" t="s">
        <v>2176</v>
      </c>
    </row>
    <row r="905" spans="1:8" ht="33.75" customHeight="1" x14ac:dyDescent="0.25">
      <c r="A905" s="14" t="s">
        <v>2178</v>
      </c>
      <c r="B905" s="3" t="s">
        <v>830</v>
      </c>
      <c r="C905" s="3" t="s">
        <v>2179</v>
      </c>
      <c r="D905" s="3" t="s">
        <v>832</v>
      </c>
      <c r="E905" s="3">
        <v>27.925999999999998</v>
      </c>
      <c r="F905" s="3" t="s">
        <v>60</v>
      </c>
      <c r="G905" s="3" t="s">
        <v>61</v>
      </c>
      <c r="H905" s="6" t="s">
        <v>2178</v>
      </c>
    </row>
    <row r="906" spans="1:8" ht="22.5" customHeight="1" x14ac:dyDescent="0.25">
      <c r="A906" s="13" t="s">
        <v>2180</v>
      </c>
      <c r="B906" s="2" t="s">
        <v>794</v>
      </c>
      <c r="C906" s="2" t="s">
        <v>2181</v>
      </c>
      <c r="D906" s="2" t="s">
        <v>796</v>
      </c>
      <c r="E906" s="2">
        <v>34.151200000000003</v>
      </c>
      <c r="F906" s="2" t="s">
        <v>60</v>
      </c>
      <c r="G906" s="2" t="s">
        <v>61</v>
      </c>
      <c r="H906" s="6" t="s">
        <v>2180</v>
      </c>
    </row>
    <row r="907" spans="1:8" ht="33.75" customHeight="1" x14ac:dyDescent="0.25">
      <c r="A907" s="14" t="s">
        <v>2182</v>
      </c>
      <c r="B907" s="3" t="s">
        <v>120</v>
      </c>
      <c r="C907" s="3" t="s">
        <v>2183</v>
      </c>
      <c r="D907" s="3" t="s">
        <v>122</v>
      </c>
      <c r="E907" s="3">
        <v>33.349800000000002</v>
      </c>
      <c r="F907" s="3" t="s">
        <v>60</v>
      </c>
      <c r="G907" s="3" t="s">
        <v>61</v>
      </c>
      <c r="H907" s="6" t="s">
        <v>2182</v>
      </c>
    </row>
    <row r="908" spans="1:8" ht="22.5" customHeight="1" x14ac:dyDescent="0.25">
      <c r="A908" s="13" t="s">
        <v>2184</v>
      </c>
      <c r="B908" s="2" t="s">
        <v>414</v>
      </c>
      <c r="C908" s="2" t="s">
        <v>2185</v>
      </c>
      <c r="D908" s="2" t="s">
        <v>416</v>
      </c>
      <c r="E908" s="2">
        <v>31.0092</v>
      </c>
      <c r="F908" s="2" t="s">
        <v>60</v>
      </c>
      <c r="G908" s="2" t="s">
        <v>61</v>
      </c>
      <c r="H908" s="6" t="s">
        <v>2184</v>
      </c>
    </row>
    <row r="909" spans="1:8" ht="22.5" customHeight="1" x14ac:dyDescent="0.25">
      <c r="A909" s="14" t="s">
        <v>2186</v>
      </c>
      <c r="B909" s="3" t="s">
        <v>382</v>
      </c>
      <c r="C909" s="3" t="s">
        <v>1568</v>
      </c>
      <c r="D909" s="3" t="s">
        <v>384</v>
      </c>
      <c r="E909" s="3">
        <v>35.3172</v>
      </c>
      <c r="F909" s="3" t="s">
        <v>60</v>
      </c>
      <c r="G909" s="3" t="s">
        <v>61</v>
      </c>
      <c r="H909" s="6" t="s">
        <v>2186</v>
      </c>
    </row>
    <row r="910" spans="1:8" ht="22.5" customHeight="1" x14ac:dyDescent="0.25">
      <c r="A910" s="13" t="s">
        <v>2187</v>
      </c>
      <c r="B910" s="2" t="s">
        <v>414</v>
      </c>
      <c r="C910" s="2" t="s">
        <v>2188</v>
      </c>
      <c r="D910" s="2" t="s">
        <v>416</v>
      </c>
      <c r="E910" s="2">
        <v>31.0092</v>
      </c>
      <c r="F910" s="2" t="s">
        <v>60</v>
      </c>
      <c r="G910" s="2" t="s">
        <v>61</v>
      </c>
      <c r="H910" s="6" t="s">
        <v>2187</v>
      </c>
    </row>
    <row r="911" spans="1:8" ht="33.75" customHeight="1" x14ac:dyDescent="0.25">
      <c r="A911" s="14" t="s">
        <v>2189</v>
      </c>
      <c r="B911" s="3" t="s">
        <v>156</v>
      </c>
      <c r="C911" s="3" t="s">
        <v>2190</v>
      </c>
      <c r="D911" s="3" t="s">
        <v>158</v>
      </c>
      <c r="E911" s="3">
        <v>30.987200000000001</v>
      </c>
      <c r="F911" s="3" t="s">
        <v>60</v>
      </c>
      <c r="G911" s="3" t="s">
        <v>61</v>
      </c>
      <c r="H911" s="6" t="s">
        <v>2189</v>
      </c>
    </row>
    <row r="912" spans="1:8" ht="33.75" customHeight="1" x14ac:dyDescent="0.25">
      <c r="A912" s="13" t="s">
        <v>2191</v>
      </c>
      <c r="B912" s="2" t="s">
        <v>112</v>
      </c>
      <c r="C912" s="2" t="s">
        <v>2192</v>
      </c>
      <c r="D912" s="2" t="s">
        <v>114</v>
      </c>
      <c r="E912" s="2">
        <v>30.7682</v>
      </c>
      <c r="F912" s="2" t="s">
        <v>60</v>
      </c>
      <c r="G912" s="2" t="s">
        <v>61</v>
      </c>
      <c r="H912" s="6" t="s">
        <v>2191</v>
      </c>
    </row>
    <row r="913" spans="1:8" ht="22.5" customHeight="1" x14ac:dyDescent="0.25">
      <c r="A913" s="14" t="s">
        <v>2193</v>
      </c>
      <c r="B913" s="3" t="s">
        <v>324</v>
      </c>
      <c r="C913" s="3" t="s">
        <v>2194</v>
      </c>
      <c r="D913" s="3" t="s">
        <v>326</v>
      </c>
      <c r="E913" s="3">
        <v>29.719200000000001</v>
      </c>
      <c r="F913" s="3" t="s">
        <v>60</v>
      </c>
      <c r="G913" s="3" t="s">
        <v>61</v>
      </c>
      <c r="H913" s="6" t="s">
        <v>2193</v>
      </c>
    </row>
    <row r="914" spans="1:8" ht="33.75" customHeight="1" x14ac:dyDescent="0.25">
      <c r="A914" s="13" t="s">
        <v>2195</v>
      </c>
      <c r="B914" s="2" t="s">
        <v>414</v>
      </c>
      <c r="C914" s="2" t="s">
        <v>2196</v>
      </c>
      <c r="D914" s="2" t="s">
        <v>416</v>
      </c>
      <c r="E914" s="2">
        <v>31.0092</v>
      </c>
      <c r="F914" s="2" t="s">
        <v>60</v>
      </c>
      <c r="G914" s="2" t="s">
        <v>61</v>
      </c>
      <c r="H914" s="6" t="s">
        <v>2195</v>
      </c>
    </row>
    <row r="915" spans="1:8" ht="22.5" customHeight="1" x14ac:dyDescent="0.25">
      <c r="A915" s="14" t="s">
        <v>2197</v>
      </c>
      <c r="B915" s="3" t="s">
        <v>418</v>
      </c>
      <c r="C915" s="3" t="s">
        <v>2198</v>
      </c>
      <c r="D915" s="3" t="s">
        <v>420</v>
      </c>
      <c r="E915" s="3">
        <v>30.655200000000001</v>
      </c>
      <c r="F915" s="3" t="s">
        <v>60</v>
      </c>
      <c r="G915" s="3" t="s">
        <v>61</v>
      </c>
      <c r="H915" s="6" t="s">
        <v>2197</v>
      </c>
    </row>
    <row r="916" spans="1:8" ht="22.5" customHeight="1" x14ac:dyDescent="0.25">
      <c r="A916" s="13" t="s">
        <v>2199</v>
      </c>
      <c r="B916" s="2" t="s">
        <v>794</v>
      </c>
      <c r="C916" s="2" t="s">
        <v>2200</v>
      </c>
      <c r="D916" s="2" t="s">
        <v>796</v>
      </c>
      <c r="E916" s="2">
        <v>34.151200000000003</v>
      </c>
      <c r="F916" s="2" t="s">
        <v>60</v>
      </c>
      <c r="G916" s="2" t="s">
        <v>61</v>
      </c>
      <c r="H916" s="6" t="s">
        <v>2199</v>
      </c>
    </row>
    <row r="917" spans="1:8" ht="22.5" customHeight="1" x14ac:dyDescent="0.25">
      <c r="A917" s="14" t="s">
        <v>2201</v>
      </c>
      <c r="B917" s="3" t="s">
        <v>650</v>
      </c>
      <c r="C917" s="3" t="s">
        <v>2202</v>
      </c>
      <c r="D917" s="3" t="s">
        <v>652</v>
      </c>
      <c r="E917" s="3">
        <v>33.497</v>
      </c>
      <c r="F917" s="3" t="s">
        <v>60</v>
      </c>
      <c r="G917" s="3" t="s">
        <v>61</v>
      </c>
      <c r="H917" s="6" t="s">
        <v>2201</v>
      </c>
    </row>
    <row r="918" spans="1:8" ht="45" customHeight="1" x14ac:dyDescent="0.25">
      <c r="A918" s="13" t="s">
        <v>2203</v>
      </c>
      <c r="B918" s="2" t="s">
        <v>142</v>
      </c>
      <c r="C918" s="2" t="s">
        <v>2204</v>
      </c>
      <c r="D918" s="2" t="s">
        <v>144</v>
      </c>
      <c r="E918" s="2"/>
      <c r="F918" s="2" t="s">
        <v>145</v>
      </c>
      <c r="G918" s="2" t="s">
        <v>146</v>
      </c>
      <c r="H918" s="6" t="s">
        <v>2203</v>
      </c>
    </row>
    <row r="919" spans="1:8" ht="45" customHeight="1" x14ac:dyDescent="0.25">
      <c r="A919" s="14" t="s">
        <v>2205</v>
      </c>
      <c r="B919" s="3" t="s">
        <v>142</v>
      </c>
      <c r="C919" s="3" t="s">
        <v>2206</v>
      </c>
      <c r="D919" s="3" t="s">
        <v>144</v>
      </c>
      <c r="E919" s="3"/>
      <c r="F919" s="3" t="s">
        <v>145</v>
      </c>
      <c r="G919" s="3" t="s">
        <v>146</v>
      </c>
      <c r="H919" s="6" t="s">
        <v>2205</v>
      </c>
    </row>
    <row r="920" spans="1:8" ht="22.5" customHeight="1" x14ac:dyDescent="0.25">
      <c r="A920" s="13" t="s">
        <v>2207</v>
      </c>
      <c r="B920" s="2" t="s">
        <v>418</v>
      </c>
      <c r="C920" s="2" t="s">
        <v>2208</v>
      </c>
      <c r="D920" s="2" t="s">
        <v>420</v>
      </c>
      <c r="E920" s="2">
        <v>30.655200000000001</v>
      </c>
      <c r="F920" s="2" t="s">
        <v>60</v>
      </c>
      <c r="G920" s="2" t="s">
        <v>61</v>
      </c>
      <c r="H920" s="6" t="s">
        <v>2207</v>
      </c>
    </row>
    <row r="921" spans="1:8" ht="33.75" customHeight="1" x14ac:dyDescent="0.25">
      <c r="A921" s="14" t="s">
        <v>2209</v>
      </c>
      <c r="B921" s="3" t="s">
        <v>2210</v>
      </c>
      <c r="C921" s="3" t="s">
        <v>2211</v>
      </c>
      <c r="D921" s="3" t="s">
        <v>2212</v>
      </c>
      <c r="E921" s="3">
        <v>47.996000000000002</v>
      </c>
      <c r="F921" s="3" t="s">
        <v>60</v>
      </c>
      <c r="G921" s="3" t="s">
        <v>61</v>
      </c>
      <c r="H921" s="6" t="s">
        <v>2209</v>
      </c>
    </row>
    <row r="922" spans="1:8" ht="33.75" customHeight="1" x14ac:dyDescent="0.25">
      <c r="A922" s="13" t="s">
        <v>2213</v>
      </c>
      <c r="B922" s="2" t="s">
        <v>2214</v>
      </c>
      <c r="C922" s="2" t="s">
        <v>2215</v>
      </c>
      <c r="D922" s="2" t="s">
        <v>2216</v>
      </c>
      <c r="E922" s="2">
        <v>49.116</v>
      </c>
      <c r="F922" s="2" t="s">
        <v>60</v>
      </c>
      <c r="G922" s="2" t="s">
        <v>61</v>
      </c>
      <c r="H922" s="6" t="s">
        <v>2213</v>
      </c>
    </row>
    <row r="923" spans="1:8" ht="33.75" customHeight="1" x14ac:dyDescent="0.25">
      <c r="A923" s="14" t="s">
        <v>2217</v>
      </c>
      <c r="B923" s="3" t="s">
        <v>2218</v>
      </c>
      <c r="C923" s="3" t="s">
        <v>2219</v>
      </c>
      <c r="D923" s="3" t="s">
        <v>2220</v>
      </c>
      <c r="E923" s="3">
        <v>49.555999999999997</v>
      </c>
      <c r="F923" s="3" t="s">
        <v>60</v>
      </c>
      <c r="G923" s="3" t="s">
        <v>61</v>
      </c>
      <c r="H923" s="6" t="s">
        <v>2217</v>
      </c>
    </row>
    <row r="924" spans="1:8" ht="33.75" customHeight="1" x14ac:dyDescent="0.25">
      <c r="A924" s="13" t="s">
        <v>2221</v>
      </c>
      <c r="B924" s="2" t="s">
        <v>2222</v>
      </c>
      <c r="C924" s="2" t="s">
        <v>2223</v>
      </c>
      <c r="D924" s="2" t="s">
        <v>2224</v>
      </c>
      <c r="E924" s="2">
        <v>55.662649999999999</v>
      </c>
      <c r="F924" s="2" t="s">
        <v>60</v>
      </c>
      <c r="G924" s="2" t="s">
        <v>61</v>
      </c>
      <c r="H924" s="6" t="s">
        <v>2221</v>
      </c>
    </row>
    <row r="925" spans="1:8" ht="22.5" customHeight="1" x14ac:dyDescent="0.25">
      <c r="A925" s="14" t="s">
        <v>2225</v>
      </c>
      <c r="B925" s="3" t="s">
        <v>418</v>
      </c>
      <c r="C925" s="3" t="s">
        <v>2226</v>
      </c>
      <c r="D925" s="3" t="s">
        <v>420</v>
      </c>
      <c r="E925" s="3">
        <v>30.655200000000001</v>
      </c>
      <c r="F925" s="3" t="s">
        <v>60</v>
      </c>
      <c r="G925" s="3" t="s">
        <v>61</v>
      </c>
      <c r="H925" s="6" t="s">
        <v>2225</v>
      </c>
    </row>
    <row r="926" spans="1:8" ht="22.5" customHeight="1" x14ac:dyDescent="0.25">
      <c r="A926" s="13" t="s">
        <v>2227</v>
      </c>
      <c r="B926" s="2" t="s">
        <v>404</v>
      </c>
      <c r="C926" s="2" t="s">
        <v>1220</v>
      </c>
      <c r="D926" s="2" t="s">
        <v>406</v>
      </c>
      <c r="E926" s="2">
        <v>29.999199999999998</v>
      </c>
      <c r="F926" s="2" t="s">
        <v>60</v>
      </c>
      <c r="G926" s="2" t="s">
        <v>61</v>
      </c>
      <c r="H926" s="6" t="s">
        <v>2227</v>
      </c>
    </row>
    <row r="927" spans="1:8" ht="33.75" customHeight="1" x14ac:dyDescent="0.25">
      <c r="A927" s="14" t="s">
        <v>2228</v>
      </c>
      <c r="B927" s="3" t="s">
        <v>77</v>
      </c>
      <c r="C927" s="3" t="s">
        <v>2229</v>
      </c>
      <c r="D927" s="3" t="s">
        <v>79</v>
      </c>
      <c r="E927" s="3">
        <v>31.699200000000001</v>
      </c>
      <c r="F927" s="3" t="s">
        <v>60</v>
      </c>
      <c r="G927" s="3" t="s">
        <v>61</v>
      </c>
      <c r="H927" s="6" t="s">
        <v>2228</v>
      </c>
    </row>
    <row r="928" spans="1:8" ht="33.75" customHeight="1" x14ac:dyDescent="0.25">
      <c r="A928" s="13" t="s">
        <v>2230</v>
      </c>
      <c r="B928" s="2" t="s">
        <v>57</v>
      </c>
      <c r="C928" s="2" t="s">
        <v>2231</v>
      </c>
      <c r="D928" s="2" t="s">
        <v>59</v>
      </c>
      <c r="E928" s="2">
        <v>31.825199999999999</v>
      </c>
      <c r="F928" s="2" t="s">
        <v>60</v>
      </c>
      <c r="G928" s="2" t="s">
        <v>61</v>
      </c>
      <c r="H928" s="6" t="s">
        <v>2230</v>
      </c>
    </row>
    <row r="929" spans="1:8" ht="33.75" customHeight="1" x14ac:dyDescent="0.25">
      <c r="A929" s="14" t="s">
        <v>2232</v>
      </c>
      <c r="B929" s="3" t="s">
        <v>404</v>
      </c>
      <c r="C929" s="3" t="s">
        <v>2233</v>
      </c>
      <c r="D929" s="3" t="s">
        <v>406</v>
      </c>
      <c r="E929" s="3">
        <v>29.999199999999998</v>
      </c>
      <c r="F929" s="3" t="s">
        <v>60</v>
      </c>
      <c r="G929" s="3" t="s">
        <v>61</v>
      </c>
      <c r="H929" s="6" t="s">
        <v>2232</v>
      </c>
    </row>
    <row r="930" spans="1:8" ht="22.5" customHeight="1" x14ac:dyDescent="0.25">
      <c r="A930" s="13" t="s">
        <v>2234</v>
      </c>
      <c r="B930" s="2" t="s">
        <v>404</v>
      </c>
      <c r="C930" s="2" t="s">
        <v>2235</v>
      </c>
      <c r="D930" s="2" t="s">
        <v>406</v>
      </c>
      <c r="E930" s="2">
        <v>29.999199999999998</v>
      </c>
      <c r="F930" s="2" t="s">
        <v>60</v>
      </c>
      <c r="G930" s="2" t="s">
        <v>61</v>
      </c>
      <c r="H930" s="6" t="s">
        <v>2234</v>
      </c>
    </row>
    <row r="931" spans="1:8" ht="22.5" customHeight="1" x14ac:dyDescent="0.25">
      <c r="A931" s="14" t="s">
        <v>2236</v>
      </c>
      <c r="B931" s="3" t="s">
        <v>324</v>
      </c>
      <c r="C931" s="3" t="s">
        <v>2237</v>
      </c>
      <c r="D931" s="3" t="s">
        <v>326</v>
      </c>
      <c r="E931" s="3">
        <v>29.719200000000001</v>
      </c>
      <c r="F931" s="3" t="s">
        <v>60</v>
      </c>
      <c r="G931" s="3" t="s">
        <v>61</v>
      </c>
      <c r="H931" s="6" t="s">
        <v>2236</v>
      </c>
    </row>
    <row r="932" spans="1:8" ht="33.75" customHeight="1" x14ac:dyDescent="0.25">
      <c r="A932" s="13" t="s">
        <v>2238</v>
      </c>
      <c r="B932" s="2" t="s">
        <v>77</v>
      </c>
      <c r="C932" s="2" t="s">
        <v>2239</v>
      </c>
      <c r="D932" s="2" t="s">
        <v>79</v>
      </c>
      <c r="E932" s="2">
        <v>31.699200000000001</v>
      </c>
      <c r="F932" s="2" t="s">
        <v>60</v>
      </c>
      <c r="G932" s="2" t="s">
        <v>61</v>
      </c>
      <c r="H932" s="6" t="s">
        <v>2238</v>
      </c>
    </row>
    <row r="933" spans="1:8" ht="33.75" customHeight="1" x14ac:dyDescent="0.25">
      <c r="A933" s="14" t="s">
        <v>2240</v>
      </c>
      <c r="B933" s="3" t="s">
        <v>89</v>
      </c>
      <c r="C933" s="3" t="s">
        <v>2241</v>
      </c>
      <c r="D933" s="3" t="s">
        <v>91</v>
      </c>
      <c r="E933" s="3">
        <v>32.389200000000002</v>
      </c>
      <c r="F933" s="3" t="s">
        <v>60</v>
      </c>
      <c r="G933" s="3" t="s">
        <v>61</v>
      </c>
      <c r="H933" s="6" t="s">
        <v>2240</v>
      </c>
    </row>
    <row r="934" spans="1:8" ht="33.75" customHeight="1" x14ac:dyDescent="0.25">
      <c r="A934" s="13" t="s">
        <v>2242</v>
      </c>
      <c r="B934" s="2" t="s">
        <v>794</v>
      </c>
      <c r="C934" s="2" t="s">
        <v>2243</v>
      </c>
      <c r="D934" s="2" t="s">
        <v>796</v>
      </c>
      <c r="E934" s="2">
        <v>34.151200000000003</v>
      </c>
      <c r="F934" s="2" t="s">
        <v>60</v>
      </c>
      <c r="G934" s="2" t="s">
        <v>61</v>
      </c>
      <c r="H934" s="6" t="s">
        <v>2242</v>
      </c>
    </row>
    <row r="935" spans="1:8" ht="33.75" customHeight="1" x14ac:dyDescent="0.25">
      <c r="A935" s="14" t="s">
        <v>2244</v>
      </c>
      <c r="B935" s="3" t="s">
        <v>2245</v>
      </c>
      <c r="C935" s="3" t="s">
        <v>2246</v>
      </c>
      <c r="D935" s="3" t="s">
        <v>2247</v>
      </c>
      <c r="E935" s="3">
        <v>28.518000000000001</v>
      </c>
      <c r="F935" s="3" t="s">
        <v>60</v>
      </c>
      <c r="G935" s="3" t="s">
        <v>61</v>
      </c>
      <c r="H935" s="6" t="s">
        <v>2244</v>
      </c>
    </row>
    <row r="936" spans="1:8" ht="33.75" customHeight="1" x14ac:dyDescent="0.25">
      <c r="A936" s="13" t="s">
        <v>2248</v>
      </c>
      <c r="B936" s="2" t="s">
        <v>273</v>
      </c>
      <c r="C936" s="2" t="s">
        <v>2249</v>
      </c>
      <c r="D936" s="2" t="s">
        <v>275</v>
      </c>
      <c r="E936" s="2">
        <v>30.084199999999999</v>
      </c>
      <c r="F936" s="2" t="s">
        <v>60</v>
      </c>
      <c r="G936" s="2" t="s">
        <v>61</v>
      </c>
      <c r="H936" s="6" t="s">
        <v>2248</v>
      </c>
    </row>
    <row r="937" spans="1:8" ht="33.75" customHeight="1" x14ac:dyDescent="0.25">
      <c r="A937" s="14" t="s">
        <v>2250</v>
      </c>
      <c r="B937" s="3" t="s">
        <v>277</v>
      </c>
      <c r="C937" s="3" t="s">
        <v>2251</v>
      </c>
      <c r="D937" s="3" t="s">
        <v>279</v>
      </c>
      <c r="E937" s="3">
        <v>29.7592</v>
      </c>
      <c r="F937" s="3" t="s">
        <v>60</v>
      </c>
      <c r="G937" s="3" t="s">
        <v>61</v>
      </c>
      <c r="H937" s="6" t="s">
        <v>2250</v>
      </c>
    </row>
    <row r="938" spans="1:8" ht="33.75" customHeight="1" x14ac:dyDescent="0.25">
      <c r="A938" s="13" t="s">
        <v>2252</v>
      </c>
      <c r="B938" s="2" t="s">
        <v>1727</v>
      </c>
      <c r="C938" s="2" t="s">
        <v>2253</v>
      </c>
      <c r="D938" s="2" t="s">
        <v>1729</v>
      </c>
      <c r="E938" s="2">
        <v>29.0792</v>
      </c>
      <c r="F938" s="2" t="s">
        <v>60</v>
      </c>
      <c r="G938" s="2" t="s">
        <v>61</v>
      </c>
      <c r="H938" s="6" t="s">
        <v>2252</v>
      </c>
    </row>
    <row r="939" spans="1:8" ht="33.75" customHeight="1" x14ac:dyDescent="0.25">
      <c r="A939" s="14" t="s">
        <v>2254</v>
      </c>
      <c r="B939" s="3" t="s">
        <v>422</v>
      </c>
      <c r="C939" s="3" t="s">
        <v>2255</v>
      </c>
      <c r="D939" s="3" t="s">
        <v>424</v>
      </c>
      <c r="E939" s="3">
        <v>30.7272</v>
      </c>
      <c r="F939" s="3" t="s">
        <v>60</v>
      </c>
      <c r="G939" s="3" t="s">
        <v>61</v>
      </c>
      <c r="H939" s="6" t="s">
        <v>2254</v>
      </c>
    </row>
    <row r="940" spans="1:8" ht="33.75" customHeight="1" x14ac:dyDescent="0.25">
      <c r="A940" s="13" t="s">
        <v>2256</v>
      </c>
      <c r="B940" s="2" t="s">
        <v>422</v>
      </c>
      <c r="C940" s="2" t="s">
        <v>2045</v>
      </c>
      <c r="D940" s="2" t="s">
        <v>424</v>
      </c>
      <c r="E940" s="2">
        <v>30.7272</v>
      </c>
      <c r="F940" s="2" t="s">
        <v>60</v>
      </c>
      <c r="G940" s="2" t="s">
        <v>61</v>
      </c>
      <c r="H940" s="6" t="s">
        <v>2256</v>
      </c>
    </row>
    <row r="941" spans="1:8" ht="33.75" customHeight="1" x14ac:dyDescent="0.25">
      <c r="A941" s="14" t="s">
        <v>2257</v>
      </c>
      <c r="B941" s="3" t="s">
        <v>422</v>
      </c>
      <c r="C941" s="3" t="s">
        <v>2258</v>
      </c>
      <c r="D941" s="3" t="s">
        <v>424</v>
      </c>
      <c r="E941" s="3">
        <v>30.7272</v>
      </c>
      <c r="F941" s="3" t="s">
        <v>60</v>
      </c>
      <c r="G941" s="3" t="s">
        <v>61</v>
      </c>
      <c r="H941" s="6" t="s">
        <v>2257</v>
      </c>
    </row>
    <row r="942" spans="1:8" ht="33.75" customHeight="1" x14ac:dyDescent="0.25">
      <c r="A942" s="13" t="s">
        <v>2259</v>
      </c>
      <c r="B942" s="2" t="s">
        <v>378</v>
      </c>
      <c r="C942" s="2" t="s">
        <v>2260</v>
      </c>
      <c r="D942" s="2" t="s">
        <v>380</v>
      </c>
      <c r="E942" s="2">
        <v>29.743200000000002</v>
      </c>
      <c r="F942" s="2" t="s">
        <v>60</v>
      </c>
      <c r="G942" s="2" t="s">
        <v>61</v>
      </c>
      <c r="H942" s="6" t="s">
        <v>2259</v>
      </c>
    </row>
    <row r="943" spans="1:8" ht="33.75" customHeight="1" x14ac:dyDescent="0.25">
      <c r="A943" s="14" t="s">
        <v>2261</v>
      </c>
      <c r="B943" s="3" t="s">
        <v>378</v>
      </c>
      <c r="C943" s="3" t="s">
        <v>2262</v>
      </c>
      <c r="D943" s="3" t="s">
        <v>380</v>
      </c>
      <c r="E943" s="3">
        <v>29.743200000000002</v>
      </c>
      <c r="F943" s="3" t="s">
        <v>60</v>
      </c>
      <c r="G943" s="3" t="s">
        <v>61</v>
      </c>
      <c r="H943" s="6" t="s">
        <v>2261</v>
      </c>
    </row>
    <row r="944" spans="1:8" ht="33.75" customHeight="1" x14ac:dyDescent="0.25">
      <c r="A944" s="13" t="s">
        <v>2263</v>
      </c>
      <c r="B944" s="2" t="s">
        <v>277</v>
      </c>
      <c r="C944" s="2" t="s">
        <v>2264</v>
      </c>
      <c r="D944" s="2" t="s">
        <v>279</v>
      </c>
      <c r="E944" s="2">
        <v>29.7592</v>
      </c>
      <c r="F944" s="2" t="s">
        <v>60</v>
      </c>
      <c r="G944" s="2" t="s">
        <v>61</v>
      </c>
      <c r="H944" s="6" t="s">
        <v>2263</v>
      </c>
    </row>
    <row r="945" spans="1:8" ht="33.75" customHeight="1" x14ac:dyDescent="0.25">
      <c r="A945" s="14" t="s">
        <v>2265</v>
      </c>
      <c r="B945" s="3" t="s">
        <v>422</v>
      </c>
      <c r="C945" s="3" t="s">
        <v>2266</v>
      </c>
      <c r="D945" s="3" t="s">
        <v>424</v>
      </c>
      <c r="E945" s="3">
        <v>30.7272</v>
      </c>
      <c r="F945" s="3" t="s">
        <v>60</v>
      </c>
      <c r="G945" s="3" t="s">
        <v>61</v>
      </c>
      <c r="H945" s="6" t="s">
        <v>2265</v>
      </c>
    </row>
    <row r="946" spans="1:8" ht="22.5" customHeight="1" x14ac:dyDescent="0.25">
      <c r="A946" s="13" t="s">
        <v>2267</v>
      </c>
      <c r="B946" s="2" t="s">
        <v>826</v>
      </c>
      <c r="C946" s="2" t="s">
        <v>2268</v>
      </c>
      <c r="D946" s="2" t="s">
        <v>828</v>
      </c>
      <c r="E946" s="2">
        <v>28.366</v>
      </c>
      <c r="F946" s="2" t="s">
        <v>60</v>
      </c>
      <c r="G946" s="2" t="s">
        <v>61</v>
      </c>
      <c r="H946" s="6" t="s">
        <v>2267</v>
      </c>
    </row>
    <row r="947" spans="1:8" ht="22.5" customHeight="1" x14ac:dyDescent="0.25">
      <c r="A947" s="14" t="s">
        <v>2269</v>
      </c>
      <c r="B947" s="3" t="s">
        <v>826</v>
      </c>
      <c r="C947" s="3" t="s">
        <v>2270</v>
      </c>
      <c r="D947" s="3" t="s">
        <v>828</v>
      </c>
      <c r="E947" s="3">
        <v>28.366</v>
      </c>
      <c r="F947" s="3" t="s">
        <v>60</v>
      </c>
      <c r="G947" s="3" t="s">
        <v>61</v>
      </c>
      <c r="H947" s="6" t="s">
        <v>2269</v>
      </c>
    </row>
    <row r="948" spans="1:8" ht="22.5" customHeight="1" x14ac:dyDescent="0.25">
      <c r="A948" s="13" t="s">
        <v>2271</v>
      </c>
      <c r="B948" s="2" t="s">
        <v>2153</v>
      </c>
      <c r="C948" s="2" t="s">
        <v>2272</v>
      </c>
      <c r="D948" s="2" t="s">
        <v>2155</v>
      </c>
      <c r="E948" s="2">
        <v>30.326000000000001</v>
      </c>
      <c r="F948" s="2" t="s">
        <v>60</v>
      </c>
      <c r="G948" s="2" t="s">
        <v>61</v>
      </c>
      <c r="H948" s="6" t="s">
        <v>2271</v>
      </c>
    </row>
    <row r="949" spans="1:8" ht="22.5" customHeight="1" x14ac:dyDescent="0.25">
      <c r="A949" s="14" t="s">
        <v>2273</v>
      </c>
      <c r="B949" s="3" t="s">
        <v>2153</v>
      </c>
      <c r="C949" s="3" t="s">
        <v>2274</v>
      </c>
      <c r="D949" s="3" t="s">
        <v>2155</v>
      </c>
      <c r="E949" s="3">
        <v>30.326000000000001</v>
      </c>
      <c r="F949" s="3" t="s">
        <v>60</v>
      </c>
      <c r="G949" s="3" t="s">
        <v>61</v>
      </c>
      <c r="H949" s="6" t="s">
        <v>2273</v>
      </c>
    </row>
    <row r="950" spans="1:8" ht="22.5" customHeight="1" x14ac:dyDescent="0.25">
      <c r="A950" s="13" t="s">
        <v>2275</v>
      </c>
      <c r="B950" s="2" t="s">
        <v>2147</v>
      </c>
      <c r="C950" s="2" t="s">
        <v>2276</v>
      </c>
      <c r="D950" s="2" t="s">
        <v>2149</v>
      </c>
      <c r="E950" s="2">
        <v>30.326000000000001</v>
      </c>
      <c r="F950" s="2" t="s">
        <v>60</v>
      </c>
      <c r="G950" s="2" t="s">
        <v>61</v>
      </c>
      <c r="H950" s="6" t="s">
        <v>2275</v>
      </c>
    </row>
    <row r="951" spans="1:8" ht="22.5" customHeight="1" x14ac:dyDescent="0.25">
      <c r="A951" s="14" t="s">
        <v>2277</v>
      </c>
      <c r="B951" s="3" t="s">
        <v>1294</v>
      </c>
      <c r="C951" s="3" t="s">
        <v>2278</v>
      </c>
      <c r="D951" s="3" t="s">
        <v>1296</v>
      </c>
      <c r="E951" s="3">
        <v>27.925999999999998</v>
      </c>
      <c r="F951" s="3" t="s">
        <v>60</v>
      </c>
      <c r="G951" s="3" t="s">
        <v>61</v>
      </c>
      <c r="H951" s="6" t="s">
        <v>2277</v>
      </c>
    </row>
    <row r="952" spans="1:8" ht="22.5" customHeight="1" x14ac:dyDescent="0.25">
      <c r="A952" s="13" t="s">
        <v>2279</v>
      </c>
      <c r="B952" s="2" t="s">
        <v>826</v>
      </c>
      <c r="C952" s="2" t="s">
        <v>2280</v>
      </c>
      <c r="D952" s="2" t="s">
        <v>828</v>
      </c>
      <c r="E952" s="2">
        <v>28.366</v>
      </c>
      <c r="F952" s="2" t="s">
        <v>60</v>
      </c>
      <c r="G952" s="2" t="s">
        <v>61</v>
      </c>
      <c r="H952" s="6" t="s">
        <v>2279</v>
      </c>
    </row>
    <row r="953" spans="1:8" ht="33.75" customHeight="1" x14ac:dyDescent="0.25">
      <c r="A953" s="14" t="s">
        <v>2281</v>
      </c>
      <c r="B953" s="3" t="s">
        <v>2282</v>
      </c>
      <c r="C953" s="3" t="s">
        <v>2283</v>
      </c>
      <c r="D953" s="3" t="s">
        <v>2284</v>
      </c>
      <c r="E953" s="3">
        <v>30.326000000000001</v>
      </c>
      <c r="F953" s="3" t="s">
        <v>60</v>
      </c>
      <c r="G953" s="3" t="s">
        <v>61</v>
      </c>
      <c r="H953" s="6" t="s">
        <v>2281</v>
      </c>
    </row>
    <row r="954" spans="1:8" ht="33.75" customHeight="1" x14ac:dyDescent="0.25">
      <c r="A954" s="13" t="s">
        <v>2285</v>
      </c>
      <c r="B954" s="2" t="s">
        <v>418</v>
      </c>
      <c r="C954" s="2" t="s">
        <v>2286</v>
      </c>
      <c r="D954" s="2" t="s">
        <v>420</v>
      </c>
      <c r="E954" s="2">
        <v>30.655200000000001</v>
      </c>
      <c r="F954" s="2" t="s">
        <v>60</v>
      </c>
      <c r="G954" s="2" t="s">
        <v>61</v>
      </c>
      <c r="H954" s="6" t="s">
        <v>2285</v>
      </c>
    </row>
    <row r="955" spans="1:8" ht="33.75" customHeight="1" x14ac:dyDescent="0.25">
      <c r="A955" s="14" t="s">
        <v>2287</v>
      </c>
      <c r="B955" s="3" t="s">
        <v>2288</v>
      </c>
      <c r="C955" s="3" t="s">
        <v>2289</v>
      </c>
      <c r="D955" s="3" t="s">
        <v>2290</v>
      </c>
      <c r="E955" s="3">
        <v>28.5824</v>
      </c>
      <c r="F955" s="3" t="s">
        <v>60</v>
      </c>
      <c r="G955" s="3" t="s">
        <v>61</v>
      </c>
      <c r="H955" s="6" t="s">
        <v>2287</v>
      </c>
    </row>
    <row r="956" spans="1:8" ht="33.75" customHeight="1" x14ac:dyDescent="0.25">
      <c r="A956" s="13" t="s">
        <v>2291</v>
      </c>
      <c r="B956" s="2" t="s">
        <v>570</v>
      </c>
      <c r="C956" s="2" t="s">
        <v>2292</v>
      </c>
      <c r="D956" s="2" t="s">
        <v>572</v>
      </c>
      <c r="E956" s="2">
        <v>28.4544</v>
      </c>
      <c r="F956" s="2" t="s">
        <v>60</v>
      </c>
      <c r="G956" s="2" t="s">
        <v>61</v>
      </c>
      <c r="H956" s="6" t="s">
        <v>2291</v>
      </c>
    </row>
    <row r="957" spans="1:8" ht="33.75" customHeight="1" x14ac:dyDescent="0.25">
      <c r="A957" s="14" t="s">
        <v>2293</v>
      </c>
      <c r="B957" s="3" t="s">
        <v>2294</v>
      </c>
      <c r="C957" s="3" t="s">
        <v>2295</v>
      </c>
      <c r="D957" s="3" t="s">
        <v>2296</v>
      </c>
      <c r="E957" s="3">
        <v>28.2624</v>
      </c>
      <c r="F957" s="3" t="s">
        <v>60</v>
      </c>
      <c r="G957" s="3" t="s">
        <v>61</v>
      </c>
      <c r="H957" s="6" t="s">
        <v>2293</v>
      </c>
    </row>
    <row r="958" spans="1:8" ht="33.75" customHeight="1" x14ac:dyDescent="0.25">
      <c r="A958" s="13" t="s">
        <v>2297</v>
      </c>
      <c r="B958" s="2" t="s">
        <v>574</v>
      </c>
      <c r="C958" s="2" t="s">
        <v>2298</v>
      </c>
      <c r="D958" s="2" t="s">
        <v>576</v>
      </c>
      <c r="E958" s="2">
        <v>28.134399999999999</v>
      </c>
      <c r="F958" s="2" t="s">
        <v>60</v>
      </c>
      <c r="G958" s="2" t="s">
        <v>61</v>
      </c>
      <c r="H958" s="6" t="s">
        <v>2297</v>
      </c>
    </row>
    <row r="959" spans="1:8" ht="22.5" customHeight="1" x14ac:dyDescent="0.25">
      <c r="A959" s="14" t="s">
        <v>2299</v>
      </c>
      <c r="B959" s="3" t="s">
        <v>2300</v>
      </c>
      <c r="C959" s="3" t="s">
        <v>2301</v>
      </c>
      <c r="D959" s="3" t="s">
        <v>2302</v>
      </c>
      <c r="E959" s="3">
        <v>28.5824</v>
      </c>
      <c r="F959" s="3" t="s">
        <v>60</v>
      </c>
      <c r="G959" s="3" t="s">
        <v>61</v>
      </c>
      <c r="H959" s="6" t="s">
        <v>2299</v>
      </c>
    </row>
    <row r="960" spans="1:8" ht="22.5" customHeight="1" x14ac:dyDescent="0.25">
      <c r="A960" s="13" t="s">
        <v>2303</v>
      </c>
      <c r="B960" s="2" t="s">
        <v>1940</v>
      </c>
      <c r="C960" s="2" t="s">
        <v>2304</v>
      </c>
      <c r="D960" s="2" t="s">
        <v>1942</v>
      </c>
      <c r="E960" s="2">
        <v>28.134399999999999</v>
      </c>
      <c r="F960" s="2" t="s">
        <v>60</v>
      </c>
      <c r="G960" s="2" t="s">
        <v>61</v>
      </c>
      <c r="H960" s="6" t="s">
        <v>2303</v>
      </c>
    </row>
    <row r="961" spans="1:8" ht="22.5" customHeight="1" x14ac:dyDescent="0.25">
      <c r="A961" s="14" t="s">
        <v>2305</v>
      </c>
      <c r="B961" s="3" t="s">
        <v>1995</v>
      </c>
      <c r="C961" s="3" t="s">
        <v>2306</v>
      </c>
      <c r="D961" s="3" t="s">
        <v>1997</v>
      </c>
      <c r="E961" s="3">
        <v>30.265280000000001</v>
      </c>
      <c r="F961" s="3" t="s">
        <v>60</v>
      </c>
      <c r="G961" s="3" t="s">
        <v>61</v>
      </c>
      <c r="H961" s="6" t="s">
        <v>2305</v>
      </c>
    </row>
    <row r="962" spans="1:8" ht="33.75" customHeight="1" x14ac:dyDescent="0.25">
      <c r="A962" s="13" t="s">
        <v>2307</v>
      </c>
      <c r="B962" s="2" t="s">
        <v>2308</v>
      </c>
      <c r="C962" s="2" t="s">
        <v>2309</v>
      </c>
      <c r="D962" s="2" t="s">
        <v>2310</v>
      </c>
      <c r="E962" s="2">
        <v>27.244160000000001</v>
      </c>
      <c r="F962" s="2" t="s">
        <v>60</v>
      </c>
      <c r="G962" s="2" t="s">
        <v>61</v>
      </c>
      <c r="H962" s="6" t="s">
        <v>2307</v>
      </c>
    </row>
    <row r="963" spans="1:8" ht="33.75" customHeight="1" x14ac:dyDescent="0.25">
      <c r="A963" s="14" t="s">
        <v>2311</v>
      </c>
      <c r="B963" s="3" t="s">
        <v>226</v>
      </c>
      <c r="C963" s="3" t="s">
        <v>2312</v>
      </c>
      <c r="D963" s="3" t="s">
        <v>228</v>
      </c>
      <c r="E963" s="3">
        <v>30.6632</v>
      </c>
      <c r="F963" s="3" t="s">
        <v>60</v>
      </c>
      <c r="G963" s="3" t="s">
        <v>61</v>
      </c>
      <c r="H963" s="6" t="s">
        <v>2311</v>
      </c>
    </row>
    <row r="964" spans="1:8" ht="33.75" customHeight="1" x14ac:dyDescent="0.25">
      <c r="A964" s="13" t="s">
        <v>2313</v>
      </c>
      <c r="B964" s="2" t="s">
        <v>226</v>
      </c>
      <c r="C964" s="2" t="s">
        <v>2314</v>
      </c>
      <c r="D964" s="2" t="s">
        <v>228</v>
      </c>
      <c r="E964" s="2">
        <v>30.6632</v>
      </c>
      <c r="F964" s="2" t="s">
        <v>60</v>
      </c>
      <c r="G964" s="2" t="s">
        <v>61</v>
      </c>
      <c r="H964" s="6" t="s">
        <v>2313</v>
      </c>
    </row>
    <row r="965" spans="1:8" ht="33.75" customHeight="1" x14ac:dyDescent="0.25">
      <c r="A965" s="14" t="s">
        <v>2315</v>
      </c>
      <c r="B965" s="3" t="s">
        <v>112</v>
      </c>
      <c r="C965" s="3" t="s">
        <v>2316</v>
      </c>
      <c r="D965" s="3" t="s">
        <v>114</v>
      </c>
      <c r="E965" s="3">
        <v>30.7682</v>
      </c>
      <c r="F965" s="3" t="s">
        <v>60</v>
      </c>
      <c r="G965" s="3" t="s">
        <v>61</v>
      </c>
      <c r="H965" s="6" t="s">
        <v>2315</v>
      </c>
    </row>
    <row r="966" spans="1:8" ht="33.75" customHeight="1" x14ac:dyDescent="0.25">
      <c r="A966" s="13" t="s">
        <v>2317</v>
      </c>
      <c r="B966" s="2" t="s">
        <v>112</v>
      </c>
      <c r="C966" s="2" t="s">
        <v>2318</v>
      </c>
      <c r="D966" s="2" t="s">
        <v>114</v>
      </c>
      <c r="E966" s="2">
        <v>30.7682</v>
      </c>
      <c r="F966" s="2" t="s">
        <v>60</v>
      </c>
      <c r="G966" s="2" t="s">
        <v>61</v>
      </c>
      <c r="H966" s="6" t="s">
        <v>2317</v>
      </c>
    </row>
    <row r="967" spans="1:8" ht="33.75" customHeight="1" x14ac:dyDescent="0.25">
      <c r="A967" s="14" t="s">
        <v>2319</v>
      </c>
      <c r="B967" s="3" t="s">
        <v>112</v>
      </c>
      <c r="C967" s="3" t="s">
        <v>2320</v>
      </c>
      <c r="D967" s="3" t="s">
        <v>114</v>
      </c>
      <c r="E967" s="3">
        <v>30.7682</v>
      </c>
      <c r="F967" s="3" t="s">
        <v>60</v>
      </c>
      <c r="G967" s="3" t="s">
        <v>61</v>
      </c>
      <c r="H967" s="6" t="s">
        <v>2319</v>
      </c>
    </row>
    <row r="968" spans="1:8" ht="33.75" customHeight="1" x14ac:dyDescent="0.25">
      <c r="A968" s="13" t="s">
        <v>2321</v>
      </c>
      <c r="B968" s="2" t="s">
        <v>156</v>
      </c>
      <c r="C968" s="2" t="s">
        <v>2322</v>
      </c>
      <c r="D968" s="2" t="s">
        <v>158</v>
      </c>
      <c r="E968" s="2">
        <v>30.987200000000001</v>
      </c>
      <c r="F968" s="2" t="s">
        <v>60</v>
      </c>
      <c r="G968" s="2" t="s">
        <v>61</v>
      </c>
      <c r="H968" s="6" t="s">
        <v>2321</v>
      </c>
    </row>
    <row r="969" spans="1:8" ht="33.75" customHeight="1" x14ac:dyDescent="0.25">
      <c r="A969" s="14" t="s">
        <v>2323</v>
      </c>
      <c r="B969" s="3" t="s">
        <v>156</v>
      </c>
      <c r="C969" s="3" t="s">
        <v>2324</v>
      </c>
      <c r="D969" s="3" t="s">
        <v>158</v>
      </c>
      <c r="E969" s="3">
        <v>30.987200000000001</v>
      </c>
      <c r="F969" s="3" t="s">
        <v>60</v>
      </c>
      <c r="G969" s="3" t="s">
        <v>61</v>
      </c>
      <c r="H969" s="6" t="s">
        <v>2323</v>
      </c>
    </row>
    <row r="970" spans="1:8" ht="22.5" customHeight="1" x14ac:dyDescent="0.25">
      <c r="A970" s="13" t="s">
        <v>2325</v>
      </c>
      <c r="B970" s="2" t="s">
        <v>273</v>
      </c>
      <c r="C970" s="2" t="s">
        <v>2326</v>
      </c>
      <c r="D970" s="2" t="s">
        <v>275</v>
      </c>
      <c r="E970" s="2">
        <v>30.084199999999999</v>
      </c>
      <c r="F970" s="2" t="s">
        <v>60</v>
      </c>
      <c r="G970" s="2" t="s">
        <v>61</v>
      </c>
      <c r="H970" s="6" t="s">
        <v>2325</v>
      </c>
    </row>
    <row r="971" spans="1:8" ht="22.5" customHeight="1" x14ac:dyDescent="0.25">
      <c r="A971" s="14" t="s">
        <v>2327</v>
      </c>
      <c r="B971" s="3" t="s">
        <v>277</v>
      </c>
      <c r="C971" s="3" t="s">
        <v>2328</v>
      </c>
      <c r="D971" s="3" t="s">
        <v>279</v>
      </c>
      <c r="E971" s="3">
        <v>29.7592</v>
      </c>
      <c r="F971" s="3" t="s">
        <v>60</v>
      </c>
      <c r="G971" s="3" t="s">
        <v>61</v>
      </c>
      <c r="H971" s="6" t="s">
        <v>2327</v>
      </c>
    </row>
    <row r="972" spans="1:8" ht="22.5" customHeight="1" x14ac:dyDescent="0.25">
      <c r="A972" s="13" t="s">
        <v>2329</v>
      </c>
      <c r="B972" s="2" t="s">
        <v>414</v>
      </c>
      <c r="C972" s="2" t="s">
        <v>2330</v>
      </c>
      <c r="D972" s="2" t="s">
        <v>416</v>
      </c>
      <c r="E972" s="2">
        <v>31.0092</v>
      </c>
      <c r="F972" s="2" t="s">
        <v>60</v>
      </c>
      <c r="G972" s="2" t="s">
        <v>61</v>
      </c>
      <c r="H972" s="6" t="s">
        <v>2329</v>
      </c>
    </row>
    <row r="973" spans="1:8" ht="22.5" customHeight="1" x14ac:dyDescent="0.25">
      <c r="A973" s="14" t="s">
        <v>2331</v>
      </c>
      <c r="B973" s="3" t="s">
        <v>404</v>
      </c>
      <c r="C973" s="3" t="s">
        <v>2332</v>
      </c>
      <c r="D973" s="3" t="s">
        <v>406</v>
      </c>
      <c r="E973" s="3">
        <v>29.999199999999998</v>
      </c>
      <c r="F973" s="3" t="s">
        <v>60</v>
      </c>
      <c r="G973" s="3" t="s">
        <v>61</v>
      </c>
      <c r="H973" s="6" t="s">
        <v>2331</v>
      </c>
    </row>
    <row r="974" spans="1:8" ht="22.5" customHeight="1" x14ac:dyDescent="0.25">
      <c r="A974" s="13" t="s">
        <v>2333</v>
      </c>
      <c r="B974" s="2" t="s">
        <v>422</v>
      </c>
      <c r="C974" s="2" t="s">
        <v>2334</v>
      </c>
      <c r="D974" s="2" t="s">
        <v>424</v>
      </c>
      <c r="E974" s="2">
        <v>30.7272</v>
      </c>
      <c r="F974" s="2" t="s">
        <v>60</v>
      </c>
      <c r="G974" s="2" t="s">
        <v>61</v>
      </c>
      <c r="H974" s="6" t="s">
        <v>2333</v>
      </c>
    </row>
    <row r="975" spans="1:8" ht="33.75" customHeight="1" x14ac:dyDescent="0.25">
      <c r="A975" s="14" t="s">
        <v>2335</v>
      </c>
      <c r="B975" s="3" t="s">
        <v>156</v>
      </c>
      <c r="C975" s="3" t="s">
        <v>2336</v>
      </c>
      <c r="D975" s="3" t="s">
        <v>158</v>
      </c>
      <c r="E975" s="3">
        <v>30.987200000000001</v>
      </c>
      <c r="F975" s="3" t="s">
        <v>60</v>
      </c>
      <c r="G975" s="3" t="s">
        <v>61</v>
      </c>
      <c r="H975" s="6" t="s">
        <v>2335</v>
      </c>
    </row>
    <row r="976" spans="1:8" ht="33.75" customHeight="1" x14ac:dyDescent="0.25">
      <c r="A976" s="13" t="s">
        <v>2337</v>
      </c>
      <c r="B976" s="2" t="s">
        <v>400</v>
      </c>
      <c r="C976" s="2" t="s">
        <v>2338</v>
      </c>
      <c r="D976" s="2" t="s">
        <v>402</v>
      </c>
      <c r="E976" s="2">
        <v>34.332239999999999</v>
      </c>
      <c r="F976" s="2" t="s">
        <v>60</v>
      </c>
      <c r="G976" s="2" t="s">
        <v>61</v>
      </c>
      <c r="H976" s="6" t="s">
        <v>2337</v>
      </c>
    </row>
    <row r="977" spans="1:8" ht="22.5" customHeight="1" x14ac:dyDescent="0.25">
      <c r="A977" s="14" t="s">
        <v>2339</v>
      </c>
      <c r="B977" s="3" t="s">
        <v>2340</v>
      </c>
      <c r="C977" s="3" t="s">
        <v>2341</v>
      </c>
      <c r="D977" s="3" t="s">
        <v>2342</v>
      </c>
      <c r="E977" s="3">
        <v>50.954000000000001</v>
      </c>
      <c r="F977" s="3" t="s">
        <v>60</v>
      </c>
      <c r="G977" s="3" t="s">
        <v>61</v>
      </c>
      <c r="H977" s="6" t="s">
        <v>2339</v>
      </c>
    </row>
    <row r="978" spans="1:8" ht="33.75" customHeight="1" x14ac:dyDescent="0.25">
      <c r="A978" s="13" t="s">
        <v>2343</v>
      </c>
      <c r="B978" s="2" t="s">
        <v>386</v>
      </c>
      <c r="C978" s="2" t="s">
        <v>2344</v>
      </c>
      <c r="D978" s="2" t="s">
        <v>388</v>
      </c>
      <c r="E978" s="2">
        <v>33.783799999999999</v>
      </c>
      <c r="F978" s="2" t="s">
        <v>60</v>
      </c>
      <c r="G978" s="2" t="s">
        <v>61</v>
      </c>
      <c r="H978" s="6" t="s">
        <v>2343</v>
      </c>
    </row>
    <row r="979" spans="1:8" ht="22.5" customHeight="1" x14ac:dyDescent="0.25">
      <c r="A979" s="14" t="s">
        <v>2345</v>
      </c>
      <c r="B979" s="3" t="s">
        <v>2346</v>
      </c>
      <c r="C979" s="3" t="s">
        <v>1760</v>
      </c>
      <c r="D979" s="3" t="s">
        <v>2347</v>
      </c>
      <c r="E979" s="3">
        <v>41.816000000000003</v>
      </c>
      <c r="F979" s="3" t="s">
        <v>60</v>
      </c>
      <c r="G979" s="3" t="s">
        <v>61</v>
      </c>
      <c r="H979" s="6" t="s">
        <v>2345</v>
      </c>
    </row>
    <row r="980" spans="1:8" ht="22.5" customHeight="1" x14ac:dyDescent="0.25">
      <c r="A980" s="13" t="s">
        <v>2348</v>
      </c>
      <c r="B980" s="2" t="s">
        <v>2349</v>
      </c>
      <c r="C980" s="2" t="s">
        <v>2350</v>
      </c>
      <c r="D980" s="2" t="s">
        <v>2351</v>
      </c>
      <c r="E980" s="2">
        <v>45.326000000000001</v>
      </c>
      <c r="F980" s="2" t="s">
        <v>60</v>
      </c>
      <c r="G980" s="2" t="s">
        <v>61</v>
      </c>
      <c r="H980" s="6" t="s">
        <v>2348</v>
      </c>
    </row>
    <row r="981" spans="1:8" ht="22.5" customHeight="1" x14ac:dyDescent="0.25">
      <c r="A981" s="14" t="s">
        <v>2352</v>
      </c>
      <c r="B981" s="3" t="s">
        <v>2353</v>
      </c>
      <c r="C981" s="3" t="s">
        <v>2354</v>
      </c>
      <c r="D981" s="3" t="s">
        <v>2355</v>
      </c>
      <c r="E981" s="3">
        <v>42.985999999999997</v>
      </c>
      <c r="F981" s="3" t="s">
        <v>60</v>
      </c>
      <c r="G981" s="3" t="s">
        <v>61</v>
      </c>
      <c r="H981" s="6" t="s">
        <v>2352</v>
      </c>
    </row>
    <row r="982" spans="1:8" ht="22.5" customHeight="1" x14ac:dyDescent="0.25">
      <c r="A982" s="13" t="s">
        <v>2356</v>
      </c>
      <c r="B982" s="2" t="s">
        <v>2357</v>
      </c>
      <c r="C982" s="2" t="s">
        <v>2358</v>
      </c>
      <c r="D982" s="2" t="s">
        <v>2359</v>
      </c>
      <c r="E982" s="2">
        <v>44.335999999999999</v>
      </c>
      <c r="F982" s="2" t="s">
        <v>60</v>
      </c>
      <c r="G982" s="2" t="s">
        <v>61</v>
      </c>
      <c r="H982" s="6" t="s">
        <v>2356</v>
      </c>
    </row>
    <row r="983" spans="1:8" ht="45" customHeight="1" x14ac:dyDescent="0.25">
      <c r="A983" s="14" t="s">
        <v>2360</v>
      </c>
      <c r="B983" s="3" t="s">
        <v>142</v>
      </c>
      <c r="C983" s="3" t="s">
        <v>2361</v>
      </c>
      <c r="D983" s="3" t="s">
        <v>144</v>
      </c>
      <c r="E983" s="3"/>
      <c r="F983" s="3" t="s">
        <v>145</v>
      </c>
      <c r="G983" s="3" t="s">
        <v>146</v>
      </c>
      <c r="H983" s="6" t="s">
        <v>2360</v>
      </c>
    </row>
    <row r="984" spans="1:8" ht="33.75" customHeight="1" x14ac:dyDescent="0.25">
      <c r="A984" s="13" t="s">
        <v>2362</v>
      </c>
      <c r="B984" s="2" t="s">
        <v>156</v>
      </c>
      <c r="C984" s="2" t="s">
        <v>2363</v>
      </c>
      <c r="D984" s="2" t="s">
        <v>158</v>
      </c>
      <c r="E984" s="2">
        <v>30.987200000000001</v>
      </c>
      <c r="F984" s="2" t="s">
        <v>60</v>
      </c>
      <c r="G984" s="2" t="s">
        <v>61</v>
      </c>
      <c r="H984" s="6" t="s">
        <v>2362</v>
      </c>
    </row>
    <row r="985" spans="1:8" ht="33.75" customHeight="1" x14ac:dyDescent="0.25">
      <c r="A985" s="14" t="s">
        <v>2364</v>
      </c>
      <c r="B985" s="3" t="s">
        <v>57</v>
      </c>
      <c r="C985" s="3" t="s">
        <v>2365</v>
      </c>
      <c r="D985" s="3" t="s">
        <v>59</v>
      </c>
      <c r="E985" s="3">
        <v>31.825199999999999</v>
      </c>
      <c r="F985" s="3" t="s">
        <v>60</v>
      </c>
      <c r="G985" s="3" t="s">
        <v>61</v>
      </c>
      <c r="H985" s="6" t="s">
        <v>2364</v>
      </c>
    </row>
    <row r="986" spans="1:8" ht="33.75" customHeight="1" x14ac:dyDescent="0.25">
      <c r="A986" s="13" t="s">
        <v>2366</v>
      </c>
      <c r="B986" s="2" t="s">
        <v>2367</v>
      </c>
      <c r="C986" s="2" t="s">
        <v>2368</v>
      </c>
      <c r="D986" s="2" t="s">
        <v>2369</v>
      </c>
      <c r="E986" s="2">
        <v>27.707999999999998</v>
      </c>
      <c r="F986" s="2" t="s">
        <v>60</v>
      </c>
      <c r="G986" s="2" t="s">
        <v>61</v>
      </c>
      <c r="H986" s="6" t="s">
        <v>2366</v>
      </c>
    </row>
    <row r="987" spans="1:8" ht="22.5" customHeight="1" x14ac:dyDescent="0.25">
      <c r="A987" s="14" t="s">
        <v>2370</v>
      </c>
      <c r="B987" s="3" t="s">
        <v>418</v>
      </c>
      <c r="C987" s="3" t="s">
        <v>2371</v>
      </c>
      <c r="D987" s="3" t="s">
        <v>420</v>
      </c>
      <c r="E987" s="3">
        <v>30.655200000000001</v>
      </c>
      <c r="F987" s="3" t="s">
        <v>60</v>
      </c>
      <c r="G987" s="3" t="s">
        <v>61</v>
      </c>
      <c r="H987" s="6" t="s">
        <v>2370</v>
      </c>
    </row>
    <row r="988" spans="1:8" ht="33.75" customHeight="1" x14ac:dyDescent="0.25">
      <c r="A988" s="13" t="s">
        <v>2372</v>
      </c>
      <c r="B988" s="2" t="s">
        <v>2373</v>
      </c>
      <c r="C988" s="2" t="s">
        <v>2374</v>
      </c>
      <c r="D988" s="2" t="s">
        <v>2375</v>
      </c>
      <c r="E988" s="2">
        <v>28.649000000000001</v>
      </c>
      <c r="F988" s="2" t="s">
        <v>60</v>
      </c>
      <c r="G988" s="2" t="s">
        <v>61</v>
      </c>
      <c r="H988" s="6" t="s">
        <v>2372</v>
      </c>
    </row>
    <row r="989" spans="1:8" ht="33.75" customHeight="1" x14ac:dyDescent="0.25">
      <c r="A989" s="14" t="s">
        <v>2376</v>
      </c>
      <c r="B989" s="3" t="s">
        <v>112</v>
      </c>
      <c r="C989" s="3" t="s">
        <v>2377</v>
      </c>
      <c r="D989" s="3" t="s">
        <v>114</v>
      </c>
      <c r="E989" s="3">
        <v>30.7682</v>
      </c>
      <c r="F989" s="3" t="s">
        <v>60</v>
      </c>
      <c r="G989" s="3" t="s">
        <v>61</v>
      </c>
      <c r="H989" s="6" t="s">
        <v>2376</v>
      </c>
    </row>
    <row r="990" spans="1:8" ht="33.75" customHeight="1" x14ac:dyDescent="0.25">
      <c r="A990" s="13" t="s">
        <v>2378</v>
      </c>
      <c r="B990" s="2" t="s">
        <v>2379</v>
      </c>
      <c r="C990" s="2" t="s">
        <v>2380</v>
      </c>
      <c r="D990" s="2" t="s">
        <v>2381</v>
      </c>
      <c r="E990" s="2">
        <v>31.98368</v>
      </c>
      <c r="F990" s="2" t="s">
        <v>60</v>
      </c>
      <c r="G990" s="2" t="s">
        <v>61</v>
      </c>
      <c r="H990" s="6" t="s">
        <v>2378</v>
      </c>
    </row>
    <row r="991" spans="1:8" ht="22.5" customHeight="1" x14ac:dyDescent="0.25">
      <c r="A991" s="14" t="s">
        <v>2382</v>
      </c>
      <c r="B991" s="3" t="s">
        <v>400</v>
      </c>
      <c r="C991" s="3" t="s">
        <v>2383</v>
      </c>
      <c r="D991" s="3" t="s">
        <v>402</v>
      </c>
      <c r="E991" s="3">
        <v>34.332239999999999</v>
      </c>
      <c r="F991" s="3" t="s">
        <v>60</v>
      </c>
      <c r="G991" s="3" t="s">
        <v>61</v>
      </c>
      <c r="H991" s="6" t="s">
        <v>2382</v>
      </c>
    </row>
    <row r="992" spans="1:8" ht="22.5" customHeight="1" x14ac:dyDescent="0.25">
      <c r="A992" s="13" t="s">
        <v>2384</v>
      </c>
      <c r="B992" s="2" t="s">
        <v>1294</v>
      </c>
      <c r="C992" s="2" t="s">
        <v>2385</v>
      </c>
      <c r="D992" s="2" t="s">
        <v>1296</v>
      </c>
      <c r="E992" s="2">
        <v>27.925999999999998</v>
      </c>
      <c r="F992" s="2" t="s">
        <v>60</v>
      </c>
      <c r="G992" s="2" t="s">
        <v>61</v>
      </c>
      <c r="H992" s="6" t="s">
        <v>2384</v>
      </c>
    </row>
    <row r="993" spans="1:8" ht="22.5" customHeight="1" x14ac:dyDescent="0.25">
      <c r="A993" s="14" t="s">
        <v>2386</v>
      </c>
      <c r="B993" s="3" t="s">
        <v>878</v>
      </c>
      <c r="C993" s="3" t="s">
        <v>2387</v>
      </c>
      <c r="D993" s="3" t="s">
        <v>880</v>
      </c>
      <c r="E993" s="3">
        <v>27.925999999999998</v>
      </c>
      <c r="F993" s="3" t="s">
        <v>60</v>
      </c>
      <c r="G993" s="3" t="s">
        <v>61</v>
      </c>
      <c r="H993" s="6" t="s">
        <v>2386</v>
      </c>
    </row>
    <row r="994" spans="1:8" ht="22.5" customHeight="1" x14ac:dyDescent="0.25">
      <c r="A994" s="13" t="s">
        <v>2388</v>
      </c>
      <c r="B994" s="2" t="s">
        <v>1427</v>
      </c>
      <c r="C994" s="2" t="s">
        <v>2389</v>
      </c>
      <c r="D994" s="2" t="s">
        <v>1429</v>
      </c>
      <c r="E994" s="2">
        <v>28.649000000000001</v>
      </c>
      <c r="F994" s="2" t="s">
        <v>60</v>
      </c>
      <c r="G994" s="2" t="s">
        <v>61</v>
      </c>
      <c r="H994" s="6" t="s">
        <v>2388</v>
      </c>
    </row>
    <row r="995" spans="1:8" ht="22.5" customHeight="1" x14ac:dyDescent="0.25">
      <c r="A995" s="14" t="s">
        <v>2390</v>
      </c>
      <c r="B995" s="3" t="s">
        <v>2391</v>
      </c>
      <c r="C995" s="3" t="s">
        <v>2392</v>
      </c>
      <c r="D995" s="3" t="s">
        <v>2393</v>
      </c>
      <c r="E995" s="3">
        <v>32.3872</v>
      </c>
      <c r="F995" s="3" t="s">
        <v>60</v>
      </c>
      <c r="G995" s="3" t="s">
        <v>61</v>
      </c>
      <c r="H995" s="6" t="s">
        <v>2390</v>
      </c>
    </row>
    <row r="996" spans="1:8" ht="33.75" customHeight="1" x14ac:dyDescent="0.25">
      <c r="A996" s="13" t="s">
        <v>2394</v>
      </c>
      <c r="B996" s="2" t="s">
        <v>846</v>
      </c>
      <c r="C996" s="2" t="s">
        <v>2395</v>
      </c>
      <c r="D996" s="2" t="s">
        <v>848</v>
      </c>
      <c r="E996" s="2">
        <v>29.944199999999999</v>
      </c>
      <c r="F996" s="2" t="s">
        <v>60</v>
      </c>
      <c r="G996" s="2" t="s">
        <v>61</v>
      </c>
      <c r="H996" s="6" t="s">
        <v>2394</v>
      </c>
    </row>
    <row r="997" spans="1:8" ht="22.5" customHeight="1" x14ac:dyDescent="0.25">
      <c r="A997" s="14" t="s">
        <v>2396</v>
      </c>
      <c r="B997" s="3" t="s">
        <v>366</v>
      </c>
      <c r="C997" s="3" t="s">
        <v>2397</v>
      </c>
      <c r="D997" s="3" t="s">
        <v>368</v>
      </c>
      <c r="E997" s="3">
        <v>32.983400000000003</v>
      </c>
      <c r="F997" s="3" t="s">
        <v>60</v>
      </c>
      <c r="G997" s="3" t="s">
        <v>61</v>
      </c>
      <c r="H997" s="6" t="s">
        <v>2396</v>
      </c>
    </row>
    <row r="998" spans="1:8" ht="45" customHeight="1" x14ac:dyDescent="0.25">
      <c r="A998" s="13" t="s">
        <v>2398</v>
      </c>
      <c r="B998" s="2" t="s">
        <v>142</v>
      </c>
      <c r="C998" s="2" t="s">
        <v>2399</v>
      </c>
      <c r="D998" s="2" t="s">
        <v>144</v>
      </c>
      <c r="E998" s="2"/>
      <c r="F998" s="2" t="s">
        <v>145</v>
      </c>
      <c r="G998" s="2" t="s">
        <v>146</v>
      </c>
      <c r="H998" s="6" t="s">
        <v>2398</v>
      </c>
    </row>
    <row r="999" spans="1:8" ht="33.75" customHeight="1" x14ac:dyDescent="0.25">
      <c r="A999" s="14" t="s">
        <v>2400</v>
      </c>
      <c r="B999" s="3" t="s">
        <v>2401</v>
      </c>
      <c r="C999" s="3" t="s">
        <v>2402</v>
      </c>
      <c r="D999" s="3" t="s">
        <v>2403</v>
      </c>
      <c r="E999" s="3">
        <v>29.949200000000001</v>
      </c>
      <c r="F999" s="3" t="s">
        <v>60</v>
      </c>
      <c r="G999" s="3" t="s">
        <v>61</v>
      </c>
      <c r="H999" s="6" t="s">
        <v>2400</v>
      </c>
    </row>
    <row r="1000" spans="1:8" ht="33.75" customHeight="1" x14ac:dyDescent="0.25">
      <c r="A1000" s="13" t="s">
        <v>2404</v>
      </c>
      <c r="B1000" s="2" t="s">
        <v>156</v>
      </c>
      <c r="C1000" s="2" t="s">
        <v>2405</v>
      </c>
      <c r="D1000" s="2" t="s">
        <v>158</v>
      </c>
      <c r="E1000" s="2">
        <v>30.987200000000001</v>
      </c>
      <c r="F1000" s="2" t="s">
        <v>60</v>
      </c>
      <c r="G1000" s="2" t="s">
        <v>61</v>
      </c>
      <c r="H1000" s="6" t="s">
        <v>2404</v>
      </c>
    </row>
    <row r="1001" spans="1:8" ht="33.75" customHeight="1" x14ac:dyDescent="0.25">
      <c r="A1001" s="14" t="s">
        <v>2406</v>
      </c>
      <c r="B1001" s="3" t="s">
        <v>277</v>
      </c>
      <c r="C1001" s="3" t="s">
        <v>2407</v>
      </c>
      <c r="D1001" s="3" t="s">
        <v>279</v>
      </c>
      <c r="E1001" s="3">
        <v>29.7592</v>
      </c>
      <c r="F1001" s="3" t="s">
        <v>60</v>
      </c>
      <c r="G1001" s="3" t="s">
        <v>61</v>
      </c>
      <c r="H1001" s="6" t="s">
        <v>2406</v>
      </c>
    </row>
    <row r="1002" spans="1:8" ht="33.75" customHeight="1" x14ac:dyDescent="0.25">
      <c r="A1002" s="13" t="s">
        <v>2408</v>
      </c>
      <c r="B1002" s="2" t="s">
        <v>1638</v>
      </c>
      <c r="C1002" s="2" t="s">
        <v>2409</v>
      </c>
      <c r="D1002" s="2" t="s">
        <v>1640</v>
      </c>
      <c r="E1002" s="2">
        <v>33.259399999999999</v>
      </c>
      <c r="F1002" s="2" t="s">
        <v>60</v>
      </c>
      <c r="G1002" s="2" t="s">
        <v>61</v>
      </c>
      <c r="H1002" s="6" t="s">
        <v>2408</v>
      </c>
    </row>
    <row r="1003" spans="1:8" ht="33.75" customHeight="1" x14ac:dyDescent="0.25">
      <c r="A1003" s="14" t="s">
        <v>2410</v>
      </c>
      <c r="B1003" s="3" t="s">
        <v>1638</v>
      </c>
      <c r="C1003" s="3" t="s">
        <v>2411</v>
      </c>
      <c r="D1003" s="3" t="s">
        <v>1640</v>
      </c>
      <c r="E1003" s="3">
        <v>33.259399999999999</v>
      </c>
      <c r="F1003" s="3" t="s">
        <v>60</v>
      </c>
      <c r="G1003" s="3" t="s">
        <v>61</v>
      </c>
      <c r="H1003" s="6" t="s">
        <v>2410</v>
      </c>
    </row>
    <row r="1004" spans="1:8" ht="22.5" customHeight="1" x14ac:dyDescent="0.25">
      <c r="A1004" s="13" t="s">
        <v>2412</v>
      </c>
      <c r="B1004" s="2" t="s">
        <v>418</v>
      </c>
      <c r="C1004" s="2" t="s">
        <v>2413</v>
      </c>
      <c r="D1004" s="2" t="s">
        <v>420</v>
      </c>
      <c r="E1004" s="2">
        <v>30.655200000000001</v>
      </c>
      <c r="F1004" s="2" t="s">
        <v>60</v>
      </c>
      <c r="G1004" s="2" t="s">
        <v>61</v>
      </c>
      <c r="H1004" s="6" t="s">
        <v>2412</v>
      </c>
    </row>
    <row r="1005" spans="1:8" ht="22.5" customHeight="1" x14ac:dyDescent="0.25">
      <c r="A1005" s="14" t="s">
        <v>2414</v>
      </c>
      <c r="B1005" s="3" t="s">
        <v>418</v>
      </c>
      <c r="C1005" s="3" t="s">
        <v>2415</v>
      </c>
      <c r="D1005" s="3" t="s">
        <v>420</v>
      </c>
      <c r="E1005" s="3">
        <v>30.655200000000001</v>
      </c>
      <c r="F1005" s="3" t="s">
        <v>60</v>
      </c>
      <c r="G1005" s="3" t="s">
        <v>61</v>
      </c>
      <c r="H1005" s="6" t="s">
        <v>2414</v>
      </c>
    </row>
    <row r="1006" spans="1:8" ht="33.75" customHeight="1" x14ac:dyDescent="0.25">
      <c r="A1006" s="13" t="s">
        <v>2416</v>
      </c>
      <c r="B1006" s="2" t="s">
        <v>273</v>
      </c>
      <c r="C1006" s="2" t="s">
        <v>2417</v>
      </c>
      <c r="D1006" s="2" t="s">
        <v>275</v>
      </c>
      <c r="E1006" s="2">
        <v>30.084199999999999</v>
      </c>
      <c r="F1006" s="2" t="s">
        <v>60</v>
      </c>
      <c r="G1006" s="2" t="s">
        <v>61</v>
      </c>
      <c r="H1006" s="6" t="s">
        <v>2416</v>
      </c>
    </row>
    <row r="1007" spans="1:8" ht="33.75" customHeight="1" x14ac:dyDescent="0.25">
      <c r="A1007" s="14" t="s">
        <v>2418</v>
      </c>
      <c r="B1007" s="3" t="s">
        <v>1727</v>
      </c>
      <c r="C1007" s="3" t="s">
        <v>2419</v>
      </c>
      <c r="D1007" s="3" t="s">
        <v>1729</v>
      </c>
      <c r="E1007" s="3">
        <v>29.0792</v>
      </c>
      <c r="F1007" s="3" t="s">
        <v>60</v>
      </c>
      <c r="G1007" s="3" t="s">
        <v>61</v>
      </c>
      <c r="H1007" s="6" t="s">
        <v>2418</v>
      </c>
    </row>
    <row r="1008" spans="1:8" ht="22.5" customHeight="1" x14ac:dyDescent="0.25">
      <c r="A1008" s="13" t="s">
        <v>2420</v>
      </c>
      <c r="B1008" s="2" t="s">
        <v>422</v>
      </c>
      <c r="C1008" s="2" t="s">
        <v>2421</v>
      </c>
      <c r="D1008" s="2" t="s">
        <v>424</v>
      </c>
      <c r="E1008" s="2">
        <v>30.7272</v>
      </c>
      <c r="F1008" s="2" t="s">
        <v>60</v>
      </c>
      <c r="G1008" s="2" t="s">
        <v>61</v>
      </c>
      <c r="H1008" s="6" t="s">
        <v>2420</v>
      </c>
    </row>
    <row r="1009" spans="1:8" ht="22.5" customHeight="1" x14ac:dyDescent="0.25">
      <c r="A1009" s="14" t="s">
        <v>2422</v>
      </c>
      <c r="B1009" s="3" t="s">
        <v>422</v>
      </c>
      <c r="C1009" s="3" t="s">
        <v>2423</v>
      </c>
      <c r="D1009" s="3" t="s">
        <v>424</v>
      </c>
      <c r="E1009" s="3">
        <v>30.7272</v>
      </c>
      <c r="F1009" s="3" t="s">
        <v>60</v>
      </c>
      <c r="G1009" s="3" t="s">
        <v>61</v>
      </c>
      <c r="H1009" s="6" t="s">
        <v>2422</v>
      </c>
    </row>
    <row r="1010" spans="1:8" ht="22.5" customHeight="1" x14ac:dyDescent="0.25">
      <c r="A1010" s="13" t="s">
        <v>2424</v>
      </c>
      <c r="B1010" s="2" t="s">
        <v>846</v>
      </c>
      <c r="C1010" s="2" t="s">
        <v>2425</v>
      </c>
      <c r="D1010" s="2" t="s">
        <v>848</v>
      </c>
      <c r="E1010" s="2">
        <v>29.944199999999999</v>
      </c>
      <c r="F1010" s="2" t="s">
        <v>60</v>
      </c>
      <c r="G1010" s="2" t="s">
        <v>61</v>
      </c>
      <c r="H1010" s="6" t="s">
        <v>2424</v>
      </c>
    </row>
    <row r="1011" spans="1:8" ht="22.5" customHeight="1" x14ac:dyDescent="0.25">
      <c r="A1011" s="14" t="s">
        <v>2426</v>
      </c>
      <c r="B1011" s="3" t="s">
        <v>273</v>
      </c>
      <c r="C1011" s="3" t="s">
        <v>2427</v>
      </c>
      <c r="D1011" s="3" t="s">
        <v>275</v>
      </c>
      <c r="E1011" s="3">
        <v>30.084199999999999</v>
      </c>
      <c r="F1011" s="3" t="s">
        <v>60</v>
      </c>
      <c r="G1011" s="3" t="s">
        <v>61</v>
      </c>
      <c r="H1011" s="6" t="s">
        <v>2426</v>
      </c>
    </row>
    <row r="1012" spans="1:8" ht="22.5" customHeight="1" x14ac:dyDescent="0.25">
      <c r="A1012" s="13" t="s">
        <v>2428</v>
      </c>
      <c r="B1012" s="2" t="s">
        <v>277</v>
      </c>
      <c r="C1012" s="2" t="s">
        <v>2429</v>
      </c>
      <c r="D1012" s="2" t="s">
        <v>279</v>
      </c>
      <c r="E1012" s="2">
        <v>29.7592</v>
      </c>
      <c r="F1012" s="2" t="s">
        <v>60</v>
      </c>
      <c r="G1012" s="2" t="s">
        <v>61</v>
      </c>
      <c r="H1012" s="6" t="s">
        <v>2428</v>
      </c>
    </row>
    <row r="1013" spans="1:8" ht="33.75" customHeight="1" x14ac:dyDescent="0.25">
      <c r="A1013" s="14" t="s">
        <v>2430</v>
      </c>
      <c r="B1013" s="3" t="s">
        <v>156</v>
      </c>
      <c r="C1013" s="3" t="s">
        <v>2431</v>
      </c>
      <c r="D1013" s="3" t="s">
        <v>158</v>
      </c>
      <c r="E1013" s="3">
        <v>30.987200000000001</v>
      </c>
      <c r="F1013" s="3" t="s">
        <v>60</v>
      </c>
      <c r="G1013" s="3" t="s">
        <v>61</v>
      </c>
      <c r="H1013" s="6" t="s">
        <v>2430</v>
      </c>
    </row>
    <row r="1014" spans="1:8" ht="22.5" customHeight="1" x14ac:dyDescent="0.25">
      <c r="A1014" s="13" t="s">
        <v>2432</v>
      </c>
      <c r="B1014" s="2" t="s">
        <v>794</v>
      </c>
      <c r="C1014" s="2" t="s">
        <v>2433</v>
      </c>
      <c r="D1014" s="2" t="s">
        <v>796</v>
      </c>
      <c r="E1014" s="2">
        <v>34.151200000000003</v>
      </c>
      <c r="F1014" s="2" t="s">
        <v>60</v>
      </c>
      <c r="G1014" s="2" t="s">
        <v>61</v>
      </c>
      <c r="H1014" s="6" t="s">
        <v>2432</v>
      </c>
    </row>
    <row r="1015" spans="1:8" ht="33.75" customHeight="1" x14ac:dyDescent="0.25">
      <c r="A1015" s="14" t="s">
        <v>2434</v>
      </c>
      <c r="B1015" s="3" t="s">
        <v>990</v>
      </c>
      <c r="C1015" s="3" t="s">
        <v>2435</v>
      </c>
      <c r="D1015" s="3" t="s">
        <v>992</v>
      </c>
      <c r="E1015" s="3">
        <v>29.755199999999999</v>
      </c>
      <c r="F1015" s="3" t="s">
        <v>60</v>
      </c>
      <c r="G1015" s="3" t="s">
        <v>61</v>
      </c>
      <c r="H1015" s="6" t="s">
        <v>2434</v>
      </c>
    </row>
    <row r="1016" spans="1:8" ht="22.5" customHeight="1" x14ac:dyDescent="0.25">
      <c r="A1016" s="13" t="s">
        <v>2436</v>
      </c>
      <c r="B1016" s="2" t="s">
        <v>418</v>
      </c>
      <c r="C1016" s="2" t="s">
        <v>2437</v>
      </c>
      <c r="D1016" s="2" t="s">
        <v>420</v>
      </c>
      <c r="E1016" s="2">
        <v>30.655200000000001</v>
      </c>
      <c r="F1016" s="2" t="s">
        <v>60</v>
      </c>
      <c r="G1016" s="2" t="s">
        <v>61</v>
      </c>
      <c r="H1016" s="6" t="s">
        <v>2436</v>
      </c>
    </row>
    <row r="1017" spans="1:8" ht="22.5" customHeight="1" x14ac:dyDescent="0.25">
      <c r="A1017" s="14" t="s">
        <v>2438</v>
      </c>
      <c r="B1017" s="3" t="s">
        <v>665</v>
      </c>
      <c r="C1017" s="3" t="s">
        <v>2439</v>
      </c>
      <c r="D1017" s="3" t="s">
        <v>667</v>
      </c>
      <c r="E1017" s="3">
        <v>29.432400000000001</v>
      </c>
      <c r="F1017" s="3" t="s">
        <v>60</v>
      </c>
      <c r="G1017" s="3" t="s">
        <v>61</v>
      </c>
      <c r="H1017" s="6" t="s">
        <v>2438</v>
      </c>
    </row>
    <row r="1018" spans="1:8" ht="22.5" customHeight="1" x14ac:dyDescent="0.25">
      <c r="A1018" s="13" t="s">
        <v>2440</v>
      </c>
      <c r="B1018" s="2" t="s">
        <v>515</v>
      </c>
      <c r="C1018" s="2" t="s">
        <v>2441</v>
      </c>
      <c r="D1018" s="2" t="s">
        <v>517</v>
      </c>
      <c r="E1018" s="2">
        <v>29.3124</v>
      </c>
      <c r="F1018" s="2" t="s">
        <v>60</v>
      </c>
      <c r="G1018" s="2" t="s">
        <v>61</v>
      </c>
      <c r="H1018" s="6" t="s">
        <v>2440</v>
      </c>
    </row>
    <row r="1019" spans="1:8" ht="22.5" customHeight="1" x14ac:dyDescent="0.25">
      <c r="A1019" s="14" t="s">
        <v>2442</v>
      </c>
      <c r="B1019" s="3" t="s">
        <v>418</v>
      </c>
      <c r="C1019" s="3" t="s">
        <v>2443</v>
      </c>
      <c r="D1019" s="3" t="s">
        <v>420</v>
      </c>
      <c r="E1019" s="3">
        <v>30.655200000000001</v>
      </c>
      <c r="F1019" s="3" t="s">
        <v>60</v>
      </c>
      <c r="G1019" s="3" t="s">
        <v>61</v>
      </c>
      <c r="H1019" s="6" t="s">
        <v>2442</v>
      </c>
    </row>
    <row r="1020" spans="1:8" ht="22.5" customHeight="1" x14ac:dyDescent="0.25">
      <c r="A1020" s="13" t="s">
        <v>2444</v>
      </c>
      <c r="B1020" s="2" t="s">
        <v>794</v>
      </c>
      <c r="C1020" s="2" t="s">
        <v>1046</v>
      </c>
      <c r="D1020" s="2" t="s">
        <v>796</v>
      </c>
      <c r="E1020" s="2">
        <v>34.151200000000003</v>
      </c>
      <c r="F1020" s="2" t="s">
        <v>60</v>
      </c>
      <c r="G1020" s="2" t="s">
        <v>61</v>
      </c>
      <c r="H1020" s="6" t="s">
        <v>2444</v>
      </c>
    </row>
    <row r="1021" spans="1:8" ht="22.5" customHeight="1" x14ac:dyDescent="0.25">
      <c r="A1021" s="14" t="s">
        <v>2445</v>
      </c>
      <c r="B1021" s="3" t="s">
        <v>273</v>
      </c>
      <c r="C1021" s="3" t="s">
        <v>2446</v>
      </c>
      <c r="D1021" s="3" t="s">
        <v>275</v>
      </c>
      <c r="E1021" s="3">
        <v>30.084199999999999</v>
      </c>
      <c r="F1021" s="3" t="s">
        <v>60</v>
      </c>
      <c r="G1021" s="3" t="s">
        <v>61</v>
      </c>
      <c r="H1021" s="6" t="s">
        <v>2445</v>
      </c>
    </row>
    <row r="1022" spans="1:8" ht="22.5" customHeight="1" x14ac:dyDescent="0.25">
      <c r="A1022" s="13" t="s">
        <v>2447</v>
      </c>
      <c r="B1022" s="2" t="s">
        <v>1151</v>
      </c>
      <c r="C1022" s="2" t="s">
        <v>2448</v>
      </c>
      <c r="D1022" s="2" t="s">
        <v>1153</v>
      </c>
      <c r="E1022" s="2">
        <v>30.6372</v>
      </c>
      <c r="F1022" s="2" t="s">
        <v>60</v>
      </c>
      <c r="G1022" s="2" t="s">
        <v>61</v>
      </c>
      <c r="H1022" s="6" t="s">
        <v>2447</v>
      </c>
    </row>
    <row r="1023" spans="1:8" ht="33.75" customHeight="1" x14ac:dyDescent="0.25">
      <c r="A1023" s="14" t="s">
        <v>2449</v>
      </c>
      <c r="B1023" s="3" t="s">
        <v>2450</v>
      </c>
      <c r="C1023" s="3" t="s">
        <v>2451</v>
      </c>
      <c r="D1023" s="3" t="s">
        <v>2452</v>
      </c>
      <c r="E1023" s="3">
        <v>28.126000000000001</v>
      </c>
      <c r="F1023" s="3" t="s">
        <v>60</v>
      </c>
      <c r="G1023" s="3" t="s">
        <v>61</v>
      </c>
      <c r="H1023" s="6" t="s">
        <v>2449</v>
      </c>
    </row>
    <row r="1024" spans="1:8" ht="22.5" customHeight="1" x14ac:dyDescent="0.25">
      <c r="A1024" s="13" t="s">
        <v>2453</v>
      </c>
      <c r="B1024" s="2" t="s">
        <v>2454</v>
      </c>
      <c r="C1024" s="2" t="s">
        <v>2455</v>
      </c>
      <c r="D1024" s="2" t="s">
        <v>2456</v>
      </c>
      <c r="E1024" s="2">
        <v>28.565999999999999</v>
      </c>
      <c r="F1024" s="2" t="s">
        <v>60</v>
      </c>
      <c r="G1024" s="2" t="s">
        <v>61</v>
      </c>
      <c r="H1024" s="6" t="s">
        <v>2453</v>
      </c>
    </row>
    <row r="1025" spans="1:8" ht="22.5" customHeight="1" x14ac:dyDescent="0.25">
      <c r="A1025" s="14" t="s">
        <v>2457</v>
      </c>
      <c r="B1025" s="3" t="s">
        <v>2458</v>
      </c>
      <c r="C1025" s="3" t="s">
        <v>2459</v>
      </c>
      <c r="D1025" s="3" t="s">
        <v>2460</v>
      </c>
      <c r="E1025" s="3">
        <v>28.126000000000001</v>
      </c>
      <c r="F1025" s="3" t="s">
        <v>60</v>
      </c>
      <c r="G1025" s="3" t="s">
        <v>61</v>
      </c>
      <c r="H1025" s="6" t="s">
        <v>2457</v>
      </c>
    </row>
    <row r="1026" spans="1:8" ht="22.5" customHeight="1" x14ac:dyDescent="0.25">
      <c r="A1026" s="13" t="s">
        <v>2461</v>
      </c>
      <c r="B1026" s="2" t="s">
        <v>2462</v>
      </c>
      <c r="C1026" s="2" t="s">
        <v>2463</v>
      </c>
      <c r="D1026" s="2" t="s">
        <v>2464</v>
      </c>
      <c r="E1026" s="2">
        <v>28.126000000000001</v>
      </c>
      <c r="F1026" s="2" t="s">
        <v>60</v>
      </c>
      <c r="G1026" s="2" t="s">
        <v>61</v>
      </c>
      <c r="H1026" s="6" t="s">
        <v>2461</v>
      </c>
    </row>
    <row r="1027" spans="1:8" ht="22.5" customHeight="1" x14ac:dyDescent="0.25">
      <c r="A1027" s="14" t="s">
        <v>2465</v>
      </c>
      <c r="B1027" s="3" t="s">
        <v>2137</v>
      </c>
      <c r="C1027" s="3" t="s">
        <v>2466</v>
      </c>
      <c r="D1027" s="3" t="s">
        <v>2139</v>
      </c>
      <c r="E1027" s="3">
        <v>27.925999999999998</v>
      </c>
      <c r="F1027" s="3" t="s">
        <v>60</v>
      </c>
      <c r="G1027" s="3" t="s">
        <v>61</v>
      </c>
      <c r="H1027" s="6" t="s">
        <v>2465</v>
      </c>
    </row>
    <row r="1028" spans="1:8" ht="22.5" customHeight="1" x14ac:dyDescent="0.25">
      <c r="A1028" s="13" t="s">
        <v>2467</v>
      </c>
      <c r="B1028" s="2" t="s">
        <v>277</v>
      </c>
      <c r="C1028" s="2" t="s">
        <v>2468</v>
      </c>
      <c r="D1028" s="2" t="s">
        <v>279</v>
      </c>
      <c r="E1028" s="2">
        <v>29.7592</v>
      </c>
      <c r="F1028" s="2" t="s">
        <v>60</v>
      </c>
      <c r="G1028" s="2" t="s">
        <v>61</v>
      </c>
      <c r="H1028" s="6" t="s">
        <v>2467</v>
      </c>
    </row>
    <row r="1029" spans="1:8" ht="33.75" customHeight="1" x14ac:dyDescent="0.25">
      <c r="A1029" s="14" t="s">
        <v>2469</v>
      </c>
      <c r="B1029" s="3" t="s">
        <v>226</v>
      </c>
      <c r="C1029" s="3" t="s">
        <v>2470</v>
      </c>
      <c r="D1029" s="3" t="s">
        <v>228</v>
      </c>
      <c r="E1029" s="3">
        <v>30.6632</v>
      </c>
      <c r="F1029" s="3" t="s">
        <v>60</v>
      </c>
      <c r="G1029" s="3" t="s">
        <v>61</v>
      </c>
      <c r="H1029" s="6" t="s">
        <v>2469</v>
      </c>
    </row>
    <row r="1030" spans="1:8" ht="33.75" customHeight="1" x14ac:dyDescent="0.25">
      <c r="A1030" s="13" t="s">
        <v>2471</v>
      </c>
      <c r="B1030" s="2" t="s">
        <v>226</v>
      </c>
      <c r="C1030" s="2" t="s">
        <v>2472</v>
      </c>
      <c r="D1030" s="2" t="s">
        <v>228</v>
      </c>
      <c r="E1030" s="2">
        <v>30.6632</v>
      </c>
      <c r="F1030" s="2" t="s">
        <v>60</v>
      </c>
      <c r="G1030" s="2" t="s">
        <v>61</v>
      </c>
      <c r="H1030" s="6" t="s">
        <v>2471</v>
      </c>
    </row>
    <row r="1031" spans="1:8" ht="33.75" customHeight="1" x14ac:dyDescent="0.25">
      <c r="A1031" s="14" t="s">
        <v>2473</v>
      </c>
      <c r="B1031" s="3" t="s">
        <v>112</v>
      </c>
      <c r="C1031" s="3" t="s">
        <v>2474</v>
      </c>
      <c r="D1031" s="3" t="s">
        <v>114</v>
      </c>
      <c r="E1031" s="3">
        <v>30.7682</v>
      </c>
      <c r="F1031" s="3" t="s">
        <v>60</v>
      </c>
      <c r="G1031" s="3" t="s">
        <v>61</v>
      </c>
      <c r="H1031" s="6" t="s">
        <v>2473</v>
      </c>
    </row>
    <row r="1032" spans="1:8" ht="33.75" customHeight="1" x14ac:dyDescent="0.25">
      <c r="A1032" s="13" t="s">
        <v>2475</v>
      </c>
      <c r="B1032" s="2" t="s">
        <v>2476</v>
      </c>
      <c r="C1032" s="2" t="s">
        <v>2477</v>
      </c>
      <c r="D1032" s="2" t="s">
        <v>2478</v>
      </c>
      <c r="E1032" s="2">
        <v>33.628</v>
      </c>
      <c r="F1032" s="2" t="s">
        <v>60</v>
      </c>
      <c r="G1032" s="2" t="s">
        <v>61</v>
      </c>
      <c r="H1032" s="6" t="s">
        <v>2475</v>
      </c>
    </row>
    <row r="1033" spans="1:8" ht="33.75" customHeight="1" x14ac:dyDescent="0.25">
      <c r="A1033" s="14" t="s">
        <v>2479</v>
      </c>
      <c r="B1033" s="3" t="s">
        <v>404</v>
      </c>
      <c r="C1033" s="3" t="s">
        <v>2480</v>
      </c>
      <c r="D1033" s="3" t="s">
        <v>406</v>
      </c>
      <c r="E1033" s="3">
        <v>29.999199999999998</v>
      </c>
      <c r="F1033" s="3" t="s">
        <v>60</v>
      </c>
      <c r="G1033" s="3" t="s">
        <v>61</v>
      </c>
      <c r="H1033" s="6" t="s">
        <v>2479</v>
      </c>
    </row>
    <row r="1034" spans="1:8" ht="33.75" customHeight="1" x14ac:dyDescent="0.25">
      <c r="A1034" s="13" t="s">
        <v>2481</v>
      </c>
      <c r="B1034" s="2" t="s">
        <v>386</v>
      </c>
      <c r="C1034" s="2" t="s">
        <v>2482</v>
      </c>
      <c r="D1034" s="2" t="s">
        <v>388</v>
      </c>
      <c r="E1034" s="2">
        <v>33.783799999999999</v>
      </c>
      <c r="F1034" s="2" t="s">
        <v>60</v>
      </c>
      <c r="G1034" s="2" t="s">
        <v>61</v>
      </c>
      <c r="H1034" s="6" t="s">
        <v>2481</v>
      </c>
    </row>
    <row r="1035" spans="1:8" ht="33.75" customHeight="1" x14ac:dyDescent="0.25">
      <c r="A1035" s="14" t="s">
        <v>2483</v>
      </c>
      <c r="B1035" s="3" t="s">
        <v>382</v>
      </c>
      <c r="C1035" s="3" t="s">
        <v>2484</v>
      </c>
      <c r="D1035" s="3" t="s">
        <v>384</v>
      </c>
      <c r="E1035" s="3">
        <v>35.3172</v>
      </c>
      <c r="F1035" s="3" t="s">
        <v>60</v>
      </c>
      <c r="G1035" s="3" t="s">
        <v>61</v>
      </c>
      <c r="H1035" s="6" t="s">
        <v>2483</v>
      </c>
    </row>
    <row r="1036" spans="1:8" ht="33.75" customHeight="1" x14ac:dyDescent="0.25">
      <c r="A1036" s="13" t="s">
        <v>2485</v>
      </c>
      <c r="B1036" s="2" t="s">
        <v>390</v>
      </c>
      <c r="C1036" s="2" t="s">
        <v>2486</v>
      </c>
      <c r="D1036" s="2" t="s">
        <v>392</v>
      </c>
      <c r="E1036" s="2">
        <v>35.367600000000003</v>
      </c>
      <c r="F1036" s="2" t="s">
        <v>60</v>
      </c>
      <c r="G1036" s="2" t="s">
        <v>61</v>
      </c>
      <c r="H1036" s="6" t="s">
        <v>2485</v>
      </c>
    </row>
    <row r="1037" spans="1:8" ht="33.75" customHeight="1" x14ac:dyDescent="0.25">
      <c r="A1037" s="14" t="s">
        <v>2487</v>
      </c>
      <c r="B1037" s="3" t="s">
        <v>418</v>
      </c>
      <c r="C1037" s="3" t="s">
        <v>2488</v>
      </c>
      <c r="D1037" s="3" t="s">
        <v>420</v>
      </c>
      <c r="E1037" s="3">
        <v>30.655200000000001</v>
      </c>
      <c r="F1037" s="3" t="s">
        <v>60</v>
      </c>
      <c r="G1037" s="3" t="s">
        <v>61</v>
      </c>
      <c r="H1037" s="6" t="s">
        <v>2487</v>
      </c>
    </row>
    <row r="1038" spans="1:8" ht="22.5" customHeight="1" x14ac:dyDescent="0.25">
      <c r="A1038" s="13" t="s">
        <v>2489</v>
      </c>
      <c r="B1038" s="2" t="s">
        <v>378</v>
      </c>
      <c r="C1038" s="2" t="s">
        <v>2490</v>
      </c>
      <c r="D1038" s="2" t="s">
        <v>380</v>
      </c>
      <c r="E1038" s="2">
        <v>29.743200000000002</v>
      </c>
      <c r="F1038" s="2" t="s">
        <v>60</v>
      </c>
      <c r="G1038" s="2" t="s">
        <v>61</v>
      </c>
      <c r="H1038" s="6" t="s">
        <v>2489</v>
      </c>
    </row>
    <row r="1039" spans="1:8" ht="22.5" customHeight="1" x14ac:dyDescent="0.25">
      <c r="A1039" s="14" t="s">
        <v>2491</v>
      </c>
      <c r="B1039" s="3" t="s">
        <v>366</v>
      </c>
      <c r="C1039" s="3" t="s">
        <v>2492</v>
      </c>
      <c r="D1039" s="3" t="s">
        <v>368</v>
      </c>
      <c r="E1039" s="3">
        <v>32.983400000000003</v>
      </c>
      <c r="F1039" s="3" t="s">
        <v>60</v>
      </c>
      <c r="G1039" s="3" t="s">
        <v>61</v>
      </c>
      <c r="H1039" s="6" t="s">
        <v>2491</v>
      </c>
    </row>
    <row r="1040" spans="1:8" ht="22.5" customHeight="1" x14ac:dyDescent="0.25">
      <c r="A1040" s="13" t="s">
        <v>2493</v>
      </c>
      <c r="B1040" s="2" t="s">
        <v>366</v>
      </c>
      <c r="C1040" s="2" t="s">
        <v>2494</v>
      </c>
      <c r="D1040" s="2" t="s">
        <v>368</v>
      </c>
      <c r="E1040" s="2">
        <v>32.983400000000003</v>
      </c>
      <c r="F1040" s="2" t="s">
        <v>60</v>
      </c>
      <c r="G1040" s="2" t="s">
        <v>61</v>
      </c>
      <c r="H1040" s="6" t="s">
        <v>2493</v>
      </c>
    </row>
    <row r="1041" spans="1:8" ht="22.5" customHeight="1" x14ac:dyDescent="0.25">
      <c r="A1041" s="14" t="s">
        <v>2495</v>
      </c>
      <c r="B1041" s="3" t="s">
        <v>372</v>
      </c>
      <c r="C1041" s="3" t="s">
        <v>2496</v>
      </c>
      <c r="D1041" s="3" t="s">
        <v>374</v>
      </c>
      <c r="E1041" s="3">
        <v>32.852400000000003</v>
      </c>
      <c r="F1041" s="3" t="s">
        <v>60</v>
      </c>
      <c r="G1041" s="3" t="s">
        <v>61</v>
      </c>
      <c r="H1041" s="6" t="s">
        <v>2495</v>
      </c>
    </row>
    <row r="1042" spans="1:8" ht="22.5" customHeight="1" x14ac:dyDescent="0.25">
      <c r="A1042" s="13" t="s">
        <v>2497</v>
      </c>
      <c r="B1042" s="2" t="s">
        <v>1644</v>
      </c>
      <c r="C1042" s="2" t="s">
        <v>2498</v>
      </c>
      <c r="D1042" s="2" t="s">
        <v>1646</v>
      </c>
      <c r="E1042" s="2">
        <v>33.118510000000001</v>
      </c>
      <c r="F1042" s="2" t="s">
        <v>60</v>
      </c>
      <c r="G1042" s="2" t="s">
        <v>61</v>
      </c>
      <c r="H1042" s="6" t="s">
        <v>2497</v>
      </c>
    </row>
    <row r="1043" spans="1:8" ht="22.5" customHeight="1" x14ac:dyDescent="0.25">
      <c r="A1043" s="14" t="s">
        <v>2499</v>
      </c>
      <c r="B1043" s="3" t="s">
        <v>1510</v>
      </c>
      <c r="C1043" s="3" t="s">
        <v>2500</v>
      </c>
      <c r="D1043" s="3" t="s">
        <v>1512</v>
      </c>
      <c r="E1043" s="3">
        <v>28.617000000000001</v>
      </c>
      <c r="F1043" s="3" t="s">
        <v>60</v>
      </c>
      <c r="G1043" s="3" t="s">
        <v>61</v>
      </c>
      <c r="H1043" s="6" t="s">
        <v>2499</v>
      </c>
    </row>
    <row r="1044" spans="1:8" ht="33.75" customHeight="1" x14ac:dyDescent="0.25">
      <c r="A1044" s="13" t="s">
        <v>2501</v>
      </c>
      <c r="B1044" s="2" t="s">
        <v>356</v>
      </c>
      <c r="C1044" s="2" t="s">
        <v>2502</v>
      </c>
      <c r="D1044" s="2" t="s">
        <v>358</v>
      </c>
      <c r="E1044" s="2">
        <v>29.5992</v>
      </c>
      <c r="F1044" s="2" t="s">
        <v>60</v>
      </c>
      <c r="G1044" s="2" t="s">
        <v>61</v>
      </c>
      <c r="H1044" s="6" t="s">
        <v>2501</v>
      </c>
    </row>
    <row r="1045" spans="1:8" ht="33.75" customHeight="1" x14ac:dyDescent="0.25">
      <c r="A1045" s="14" t="s">
        <v>2503</v>
      </c>
      <c r="B1045" s="3" t="s">
        <v>57</v>
      </c>
      <c r="C1045" s="3" t="s">
        <v>2504</v>
      </c>
      <c r="D1045" s="3" t="s">
        <v>59</v>
      </c>
      <c r="E1045" s="3">
        <v>31.825199999999999</v>
      </c>
      <c r="F1045" s="3" t="s">
        <v>60</v>
      </c>
      <c r="G1045" s="3" t="s">
        <v>61</v>
      </c>
      <c r="H1045" s="6" t="s">
        <v>2503</v>
      </c>
    </row>
    <row r="1046" spans="1:8" ht="22.5" customHeight="1" x14ac:dyDescent="0.25">
      <c r="A1046" s="13" t="s">
        <v>2505</v>
      </c>
      <c r="B1046" s="2" t="s">
        <v>214</v>
      </c>
      <c r="C1046" s="2" t="s">
        <v>2506</v>
      </c>
      <c r="D1046" s="2" t="s">
        <v>216</v>
      </c>
      <c r="E1046" s="2">
        <v>27.839200000000002</v>
      </c>
      <c r="F1046" s="2" t="s">
        <v>60</v>
      </c>
      <c r="G1046" s="2" t="s">
        <v>61</v>
      </c>
      <c r="H1046" s="6" t="s">
        <v>2505</v>
      </c>
    </row>
    <row r="1047" spans="1:8" ht="22.5" customHeight="1" x14ac:dyDescent="0.25">
      <c r="A1047" s="14" t="s">
        <v>2507</v>
      </c>
      <c r="B1047" s="3" t="s">
        <v>218</v>
      </c>
      <c r="C1047" s="3" t="s">
        <v>2508</v>
      </c>
      <c r="D1047" s="3" t="s">
        <v>220</v>
      </c>
      <c r="E1047" s="3">
        <v>27.839200000000002</v>
      </c>
      <c r="F1047" s="3" t="s">
        <v>60</v>
      </c>
      <c r="G1047" s="3" t="s">
        <v>61</v>
      </c>
      <c r="H1047" s="6" t="s">
        <v>2507</v>
      </c>
    </row>
    <row r="1048" spans="1:8" ht="22.5" customHeight="1" x14ac:dyDescent="0.25">
      <c r="A1048" s="13" t="s">
        <v>2509</v>
      </c>
      <c r="B1048" s="2" t="s">
        <v>218</v>
      </c>
      <c r="C1048" s="2" t="s">
        <v>2510</v>
      </c>
      <c r="D1048" s="2" t="s">
        <v>220</v>
      </c>
      <c r="E1048" s="2">
        <v>27.839200000000002</v>
      </c>
      <c r="F1048" s="2" t="s">
        <v>60</v>
      </c>
      <c r="G1048" s="2" t="s">
        <v>61</v>
      </c>
      <c r="H1048" s="6" t="s">
        <v>2509</v>
      </c>
    </row>
    <row r="1049" spans="1:8" ht="22.5" customHeight="1" x14ac:dyDescent="0.25">
      <c r="A1049" s="14" t="s">
        <v>2511</v>
      </c>
      <c r="B1049" s="3" t="s">
        <v>214</v>
      </c>
      <c r="C1049" s="3" t="s">
        <v>2512</v>
      </c>
      <c r="D1049" s="3" t="s">
        <v>216</v>
      </c>
      <c r="E1049" s="3">
        <v>27.839200000000002</v>
      </c>
      <c r="F1049" s="3" t="s">
        <v>60</v>
      </c>
      <c r="G1049" s="3" t="s">
        <v>61</v>
      </c>
      <c r="H1049" s="6" t="s">
        <v>2511</v>
      </c>
    </row>
    <row r="1050" spans="1:8" ht="22.5" customHeight="1" x14ac:dyDescent="0.25">
      <c r="A1050" s="13" t="s">
        <v>2513</v>
      </c>
      <c r="B1050" s="2" t="s">
        <v>214</v>
      </c>
      <c r="C1050" s="2" t="s">
        <v>2514</v>
      </c>
      <c r="D1050" s="2" t="s">
        <v>216</v>
      </c>
      <c r="E1050" s="2">
        <v>27.839200000000002</v>
      </c>
      <c r="F1050" s="2" t="s">
        <v>60</v>
      </c>
      <c r="G1050" s="2" t="s">
        <v>61</v>
      </c>
      <c r="H1050" s="6" t="s">
        <v>2513</v>
      </c>
    </row>
    <row r="1051" spans="1:8" ht="22.5" customHeight="1" x14ac:dyDescent="0.25">
      <c r="A1051" s="14" t="s">
        <v>2515</v>
      </c>
      <c r="B1051" s="3" t="s">
        <v>218</v>
      </c>
      <c r="C1051" s="3" t="s">
        <v>2516</v>
      </c>
      <c r="D1051" s="3" t="s">
        <v>220</v>
      </c>
      <c r="E1051" s="3">
        <v>27.839200000000002</v>
      </c>
      <c r="F1051" s="3" t="s">
        <v>60</v>
      </c>
      <c r="G1051" s="3" t="s">
        <v>61</v>
      </c>
      <c r="H1051" s="6" t="s">
        <v>2515</v>
      </c>
    </row>
    <row r="1052" spans="1:8" ht="22.5" customHeight="1" x14ac:dyDescent="0.25">
      <c r="A1052" s="13" t="s">
        <v>2517</v>
      </c>
      <c r="B1052" s="2" t="s">
        <v>218</v>
      </c>
      <c r="C1052" s="2" t="s">
        <v>2516</v>
      </c>
      <c r="D1052" s="2" t="s">
        <v>220</v>
      </c>
      <c r="E1052" s="2">
        <v>27.839200000000002</v>
      </c>
      <c r="F1052" s="2" t="s">
        <v>60</v>
      </c>
      <c r="G1052" s="2" t="s">
        <v>61</v>
      </c>
      <c r="H1052" s="6" t="s">
        <v>2517</v>
      </c>
    </row>
    <row r="1053" spans="1:8" ht="22.5" customHeight="1" x14ac:dyDescent="0.25">
      <c r="A1053" s="14" t="s">
        <v>2518</v>
      </c>
      <c r="B1053" s="3" t="s">
        <v>218</v>
      </c>
      <c r="C1053" s="3" t="s">
        <v>2519</v>
      </c>
      <c r="D1053" s="3" t="s">
        <v>220</v>
      </c>
      <c r="E1053" s="3">
        <v>27.839200000000002</v>
      </c>
      <c r="F1053" s="3" t="s">
        <v>60</v>
      </c>
      <c r="G1053" s="3" t="s">
        <v>61</v>
      </c>
      <c r="H1053" s="6" t="s">
        <v>2518</v>
      </c>
    </row>
    <row r="1054" spans="1:8" ht="22.5" customHeight="1" x14ac:dyDescent="0.25">
      <c r="A1054" s="13" t="s">
        <v>2520</v>
      </c>
      <c r="B1054" s="2" t="s">
        <v>218</v>
      </c>
      <c r="C1054" s="2" t="s">
        <v>2521</v>
      </c>
      <c r="D1054" s="2" t="s">
        <v>220</v>
      </c>
      <c r="E1054" s="2">
        <v>27.839200000000002</v>
      </c>
      <c r="F1054" s="2" t="s">
        <v>60</v>
      </c>
      <c r="G1054" s="2" t="s">
        <v>61</v>
      </c>
      <c r="H1054" s="6" t="s">
        <v>2520</v>
      </c>
    </row>
    <row r="1055" spans="1:8" ht="22.5" customHeight="1" x14ac:dyDescent="0.25">
      <c r="A1055" s="14" t="s">
        <v>2522</v>
      </c>
      <c r="B1055" s="3" t="s">
        <v>265</v>
      </c>
      <c r="C1055" s="3" t="s">
        <v>2523</v>
      </c>
      <c r="D1055" s="3" t="s">
        <v>267</v>
      </c>
      <c r="E1055" s="3">
        <v>27.839200000000002</v>
      </c>
      <c r="F1055" s="3" t="s">
        <v>60</v>
      </c>
      <c r="G1055" s="3" t="s">
        <v>61</v>
      </c>
      <c r="H1055" s="6" t="s">
        <v>2522</v>
      </c>
    </row>
    <row r="1056" spans="1:8" ht="22.5" customHeight="1" x14ac:dyDescent="0.25">
      <c r="A1056" s="13" t="s">
        <v>2524</v>
      </c>
      <c r="B1056" s="2" t="s">
        <v>265</v>
      </c>
      <c r="C1056" s="2" t="s">
        <v>2523</v>
      </c>
      <c r="D1056" s="2" t="s">
        <v>267</v>
      </c>
      <c r="E1056" s="2">
        <v>27.839200000000002</v>
      </c>
      <c r="F1056" s="2" t="s">
        <v>60</v>
      </c>
      <c r="G1056" s="2" t="s">
        <v>61</v>
      </c>
      <c r="H1056" s="6" t="s">
        <v>2524</v>
      </c>
    </row>
    <row r="1057" spans="1:8" ht="22.5" customHeight="1" x14ac:dyDescent="0.25">
      <c r="A1057" s="14" t="s">
        <v>2525</v>
      </c>
      <c r="B1057" s="3" t="s">
        <v>2526</v>
      </c>
      <c r="C1057" s="3" t="s">
        <v>2527</v>
      </c>
      <c r="D1057" s="3" t="s">
        <v>2528</v>
      </c>
      <c r="E1057" s="3">
        <v>27.506</v>
      </c>
      <c r="F1057" s="3" t="s">
        <v>60</v>
      </c>
      <c r="G1057" s="3" t="s">
        <v>61</v>
      </c>
      <c r="H1057" s="6" t="s">
        <v>2525</v>
      </c>
    </row>
    <row r="1058" spans="1:8" ht="22.5" customHeight="1" x14ac:dyDescent="0.25">
      <c r="A1058" s="13" t="s">
        <v>2529</v>
      </c>
      <c r="B1058" s="2" t="s">
        <v>2526</v>
      </c>
      <c r="C1058" s="2" t="s">
        <v>2530</v>
      </c>
      <c r="D1058" s="2" t="s">
        <v>2528</v>
      </c>
      <c r="E1058" s="2">
        <v>27.506</v>
      </c>
      <c r="F1058" s="2" t="s">
        <v>60</v>
      </c>
      <c r="G1058" s="2" t="s">
        <v>61</v>
      </c>
      <c r="H1058" s="6" t="s">
        <v>2529</v>
      </c>
    </row>
    <row r="1059" spans="1:8" ht="33.75" customHeight="1" x14ac:dyDescent="0.25">
      <c r="A1059" s="14" t="s">
        <v>2531</v>
      </c>
      <c r="B1059" s="3" t="s">
        <v>2532</v>
      </c>
      <c r="C1059" s="3" t="s">
        <v>2533</v>
      </c>
      <c r="D1059" s="3" t="s">
        <v>2534</v>
      </c>
      <c r="E1059" s="3">
        <v>29.9</v>
      </c>
      <c r="F1059" s="3" t="s">
        <v>60</v>
      </c>
      <c r="G1059" s="3" t="s">
        <v>61</v>
      </c>
      <c r="H1059" s="6" t="s">
        <v>2531</v>
      </c>
    </row>
    <row r="1060" spans="1:8" ht="33.75" customHeight="1" x14ac:dyDescent="0.25">
      <c r="A1060" s="13" t="s">
        <v>2535</v>
      </c>
      <c r="B1060" s="2" t="s">
        <v>2536</v>
      </c>
      <c r="C1060" s="2" t="s">
        <v>2537</v>
      </c>
      <c r="D1060" s="2" t="s">
        <v>2538</v>
      </c>
      <c r="E1060" s="2">
        <v>30.193999999999999</v>
      </c>
      <c r="F1060" s="2" t="s">
        <v>60</v>
      </c>
      <c r="G1060" s="2" t="s">
        <v>61</v>
      </c>
      <c r="H1060" s="6" t="s">
        <v>2535</v>
      </c>
    </row>
    <row r="1061" spans="1:8" ht="33.75" customHeight="1" x14ac:dyDescent="0.25">
      <c r="A1061" s="14" t="s">
        <v>2539</v>
      </c>
      <c r="B1061" s="3" t="s">
        <v>57</v>
      </c>
      <c r="C1061" s="3" t="s">
        <v>2540</v>
      </c>
      <c r="D1061" s="3" t="s">
        <v>59</v>
      </c>
      <c r="E1061" s="3">
        <v>31.825199999999999</v>
      </c>
      <c r="F1061" s="3" t="s">
        <v>60</v>
      </c>
      <c r="G1061" s="3" t="s">
        <v>61</v>
      </c>
      <c r="H1061" s="6" t="s">
        <v>2539</v>
      </c>
    </row>
    <row r="1062" spans="1:8" ht="22.5" customHeight="1" x14ac:dyDescent="0.25">
      <c r="A1062" s="13" t="s">
        <v>2541</v>
      </c>
      <c r="B1062" s="2" t="s">
        <v>418</v>
      </c>
      <c r="C1062" s="2" t="s">
        <v>2542</v>
      </c>
      <c r="D1062" s="2" t="s">
        <v>420</v>
      </c>
      <c r="E1062" s="2">
        <v>30.655200000000001</v>
      </c>
      <c r="F1062" s="2" t="s">
        <v>60</v>
      </c>
      <c r="G1062" s="2" t="s">
        <v>61</v>
      </c>
      <c r="H1062" s="6" t="s">
        <v>2541</v>
      </c>
    </row>
    <row r="1063" spans="1:8" ht="22.5" customHeight="1" x14ac:dyDescent="0.25">
      <c r="A1063" s="14" t="s">
        <v>2543</v>
      </c>
      <c r="B1063" s="3" t="s">
        <v>404</v>
      </c>
      <c r="C1063" s="3" t="s">
        <v>2544</v>
      </c>
      <c r="D1063" s="3" t="s">
        <v>406</v>
      </c>
      <c r="E1063" s="3">
        <v>29.999199999999998</v>
      </c>
      <c r="F1063" s="3" t="s">
        <v>60</v>
      </c>
      <c r="G1063" s="3" t="s">
        <v>61</v>
      </c>
      <c r="H1063" s="6" t="s">
        <v>2543</v>
      </c>
    </row>
    <row r="1064" spans="1:8" ht="22.5" customHeight="1" x14ac:dyDescent="0.25">
      <c r="A1064" s="13" t="s">
        <v>2545</v>
      </c>
      <c r="B1064" s="2" t="s">
        <v>324</v>
      </c>
      <c r="C1064" s="2" t="s">
        <v>2546</v>
      </c>
      <c r="D1064" s="2" t="s">
        <v>326</v>
      </c>
      <c r="E1064" s="2">
        <v>29.719200000000001</v>
      </c>
      <c r="F1064" s="2" t="s">
        <v>60</v>
      </c>
      <c r="G1064" s="2" t="s">
        <v>61</v>
      </c>
      <c r="H1064" s="6" t="s">
        <v>2545</v>
      </c>
    </row>
    <row r="1065" spans="1:8" ht="33.75" customHeight="1" x14ac:dyDescent="0.25">
      <c r="A1065" s="14" t="s">
        <v>2547</v>
      </c>
      <c r="B1065" s="3" t="s">
        <v>156</v>
      </c>
      <c r="C1065" s="3" t="s">
        <v>2548</v>
      </c>
      <c r="D1065" s="3" t="s">
        <v>158</v>
      </c>
      <c r="E1065" s="3">
        <v>30.987200000000001</v>
      </c>
      <c r="F1065" s="3" t="s">
        <v>60</v>
      </c>
      <c r="G1065" s="3" t="s">
        <v>61</v>
      </c>
      <c r="H1065" s="6" t="s">
        <v>2547</v>
      </c>
    </row>
    <row r="1066" spans="1:8" ht="22.5" customHeight="1" x14ac:dyDescent="0.25">
      <c r="A1066" s="13" t="s">
        <v>2549</v>
      </c>
      <c r="B1066" s="2" t="s">
        <v>418</v>
      </c>
      <c r="C1066" s="2" t="s">
        <v>2550</v>
      </c>
      <c r="D1066" s="2" t="s">
        <v>420</v>
      </c>
      <c r="E1066" s="2">
        <v>30.655200000000001</v>
      </c>
      <c r="F1066" s="2" t="s">
        <v>60</v>
      </c>
      <c r="G1066" s="2" t="s">
        <v>61</v>
      </c>
      <c r="H1066" s="6" t="s">
        <v>2549</v>
      </c>
    </row>
    <row r="1067" spans="1:8" ht="22.5" customHeight="1" x14ac:dyDescent="0.25">
      <c r="A1067" s="14" t="s">
        <v>2551</v>
      </c>
      <c r="B1067" s="3" t="s">
        <v>404</v>
      </c>
      <c r="C1067" s="3" t="s">
        <v>2552</v>
      </c>
      <c r="D1067" s="3" t="s">
        <v>406</v>
      </c>
      <c r="E1067" s="3">
        <v>29.999199999999998</v>
      </c>
      <c r="F1067" s="3" t="s">
        <v>60</v>
      </c>
      <c r="G1067" s="3" t="s">
        <v>61</v>
      </c>
      <c r="H1067" s="6" t="s">
        <v>2551</v>
      </c>
    </row>
    <row r="1068" spans="1:8" ht="45" customHeight="1" x14ac:dyDescent="0.25">
      <c r="A1068" s="13" t="s">
        <v>2553</v>
      </c>
      <c r="B1068" s="2" t="s">
        <v>142</v>
      </c>
      <c r="C1068" s="2" t="s">
        <v>2554</v>
      </c>
      <c r="D1068" s="2" t="s">
        <v>144</v>
      </c>
      <c r="E1068" s="2"/>
      <c r="F1068" s="2" t="s">
        <v>145</v>
      </c>
      <c r="G1068" s="2" t="s">
        <v>146</v>
      </c>
      <c r="H1068" s="6" t="s">
        <v>2553</v>
      </c>
    </row>
    <row r="1069" spans="1:8" ht="33.75" customHeight="1" x14ac:dyDescent="0.25">
      <c r="A1069" s="14" t="s">
        <v>2555</v>
      </c>
      <c r="B1069" s="3" t="s">
        <v>2556</v>
      </c>
      <c r="C1069" s="3" t="s">
        <v>2557</v>
      </c>
      <c r="D1069" s="3" t="s">
        <v>2558</v>
      </c>
      <c r="E1069" s="3">
        <v>30.3672</v>
      </c>
      <c r="F1069" s="3" t="s">
        <v>60</v>
      </c>
      <c r="G1069" s="3" t="s">
        <v>61</v>
      </c>
      <c r="H1069" s="6" t="s">
        <v>2555</v>
      </c>
    </row>
    <row r="1070" spans="1:8" ht="33.75" customHeight="1" x14ac:dyDescent="0.25">
      <c r="A1070" s="13" t="s">
        <v>2559</v>
      </c>
      <c r="B1070" s="2" t="s">
        <v>378</v>
      </c>
      <c r="C1070" s="2" t="s">
        <v>2560</v>
      </c>
      <c r="D1070" s="2" t="s">
        <v>380</v>
      </c>
      <c r="E1070" s="2">
        <v>29.743200000000002</v>
      </c>
      <c r="F1070" s="2" t="s">
        <v>60</v>
      </c>
      <c r="G1070" s="2" t="s">
        <v>61</v>
      </c>
      <c r="H1070" s="6" t="s">
        <v>2559</v>
      </c>
    </row>
    <row r="1071" spans="1:8" ht="33.75" customHeight="1" x14ac:dyDescent="0.25">
      <c r="A1071" s="14" t="s">
        <v>2561</v>
      </c>
      <c r="B1071" s="3" t="s">
        <v>277</v>
      </c>
      <c r="C1071" s="3" t="s">
        <v>2562</v>
      </c>
      <c r="D1071" s="3" t="s">
        <v>279</v>
      </c>
      <c r="E1071" s="3">
        <v>29.7592</v>
      </c>
      <c r="F1071" s="3" t="s">
        <v>60</v>
      </c>
      <c r="G1071" s="3" t="s">
        <v>61</v>
      </c>
      <c r="H1071" s="6" t="s">
        <v>2561</v>
      </c>
    </row>
    <row r="1072" spans="1:8" ht="33.75" customHeight="1" x14ac:dyDescent="0.25">
      <c r="A1072" s="13" t="s">
        <v>2563</v>
      </c>
      <c r="B1072" s="2" t="s">
        <v>156</v>
      </c>
      <c r="C1072" s="2" t="s">
        <v>2564</v>
      </c>
      <c r="D1072" s="2" t="s">
        <v>158</v>
      </c>
      <c r="E1072" s="2">
        <v>30.987200000000001</v>
      </c>
      <c r="F1072" s="2" t="s">
        <v>60</v>
      </c>
      <c r="G1072" s="2" t="s">
        <v>61</v>
      </c>
      <c r="H1072" s="6" t="s">
        <v>2563</v>
      </c>
    </row>
    <row r="1073" spans="1:8" ht="22.5" customHeight="1" x14ac:dyDescent="0.25">
      <c r="A1073" s="14" t="s">
        <v>2565</v>
      </c>
      <c r="B1073" s="3" t="s">
        <v>265</v>
      </c>
      <c r="C1073" s="3" t="s">
        <v>2566</v>
      </c>
      <c r="D1073" s="3" t="s">
        <v>267</v>
      </c>
      <c r="E1073" s="3">
        <v>27.839200000000002</v>
      </c>
      <c r="F1073" s="3" t="s">
        <v>60</v>
      </c>
      <c r="G1073" s="3" t="s">
        <v>61</v>
      </c>
      <c r="H1073" s="6" t="s">
        <v>2565</v>
      </c>
    </row>
    <row r="1074" spans="1:8" ht="22.5" customHeight="1" x14ac:dyDescent="0.25">
      <c r="A1074" s="13" t="s">
        <v>2567</v>
      </c>
      <c r="B1074" s="2" t="s">
        <v>120</v>
      </c>
      <c r="C1074" s="2" t="s">
        <v>2568</v>
      </c>
      <c r="D1074" s="2" t="s">
        <v>122</v>
      </c>
      <c r="E1074" s="2">
        <v>33.349800000000002</v>
      </c>
      <c r="F1074" s="2" t="s">
        <v>60</v>
      </c>
      <c r="G1074" s="2" t="s">
        <v>61</v>
      </c>
      <c r="H1074" s="6" t="s">
        <v>2567</v>
      </c>
    </row>
    <row r="1075" spans="1:8" ht="33.75" customHeight="1" x14ac:dyDescent="0.25">
      <c r="A1075" s="14" t="s">
        <v>2569</v>
      </c>
      <c r="B1075" s="3" t="s">
        <v>156</v>
      </c>
      <c r="C1075" s="3" t="s">
        <v>2570</v>
      </c>
      <c r="D1075" s="3" t="s">
        <v>158</v>
      </c>
      <c r="E1075" s="3">
        <v>30.987200000000001</v>
      </c>
      <c r="F1075" s="3" t="s">
        <v>60</v>
      </c>
      <c r="G1075" s="3" t="s">
        <v>61</v>
      </c>
      <c r="H1075" s="6" t="s">
        <v>2569</v>
      </c>
    </row>
    <row r="1076" spans="1:8" ht="22.5" customHeight="1" x14ac:dyDescent="0.25">
      <c r="A1076" s="13" t="s">
        <v>2571</v>
      </c>
      <c r="B1076" s="2" t="s">
        <v>2572</v>
      </c>
      <c r="C1076" s="2" t="s">
        <v>2573</v>
      </c>
      <c r="D1076" s="2" t="s">
        <v>2574</v>
      </c>
      <c r="E1076" s="2">
        <v>27.925999999999998</v>
      </c>
      <c r="F1076" s="2" t="s">
        <v>60</v>
      </c>
      <c r="G1076" s="2" t="s">
        <v>61</v>
      </c>
      <c r="H1076" s="6" t="s">
        <v>2571</v>
      </c>
    </row>
    <row r="1077" spans="1:8" ht="22.5" customHeight="1" x14ac:dyDescent="0.25">
      <c r="A1077" s="14" t="s">
        <v>2575</v>
      </c>
      <c r="B1077" s="3" t="s">
        <v>1781</v>
      </c>
      <c r="C1077" s="3" t="s">
        <v>2576</v>
      </c>
      <c r="D1077" s="3" t="s">
        <v>1783</v>
      </c>
      <c r="E1077" s="3">
        <v>27.925999999999998</v>
      </c>
      <c r="F1077" s="3" t="s">
        <v>60</v>
      </c>
      <c r="G1077" s="3" t="s">
        <v>61</v>
      </c>
      <c r="H1077" s="6" t="s">
        <v>2575</v>
      </c>
    </row>
    <row r="1078" spans="1:8" ht="22.5" customHeight="1" x14ac:dyDescent="0.25">
      <c r="A1078" s="13" t="s">
        <v>2577</v>
      </c>
      <c r="B1078" s="2" t="s">
        <v>830</v>
      </c>
      <c r="C1078" s="2" t="s">
        <v>2578</v>
      </c>
      <c r="D1078" s="2" t="s">
        <v>832</v>
      </c>
      <c r="E1078" s="2">
        <v>27.925999999999998</v>
      </c>
      <c r="F1078" s="2" t="s">
        <v>60</v>
      </c>
      <c r="G1078" s="2" t="s">
        <v>61</v>
      </c>
      <c r="H1078" s="6" t="s">
        <v>2577</v>
      </c>
    </row>
    <row r="1079" spans="1:8" ht="22.5" customHeight="1" x14ac:dyDescent="0.25">
      <c r="A1079" s="14" t="s">
        <v>2579</v>
      </c>
      <c r="B1079" s="3" t="s">
        <v>2137</v>
      </c>
      <c r="C1079" s="3" t="s">
        <v>2580</v>
      </c>
      <c r="D1079" s="3" t="s">
        <v>2139</v>
      </c>
      <c r="E1079" s="3">
        <v>27.925999999999998</v>
      </c>
      <c r="F1079" s="3" t="s">
        <v>60</v>
      </c>
      <c r="G1079" s="3" t="s">
        <v>61</v>
      </c>
      <c r="H1079" s="6" t="s">
        <v>2579</v>
      </c>
    </row>
    <row r="1080" spans="1:8" ht="22.5" customHeight="1" x14ac:dyDescent="0.25">
      <c r="A1080" s="13" t="s">
        <v>2581</v>
      </c>
      <c r="B1080" s="2" t="s">
        <v>2582</v>
      </c>
      <c r="C1080" s="2" t="s">
        <v>2583</v>
      </c>
      <c r="D1080" s="2" t="s">
        <v>2584</v>
      </c>
      <c r="E1080" s="2">
        <v>27.925999999999998</v>
      </c>
      <c r="F1080" s="2" t="s">
        <v>60</v>
      </c>
      <c r="G1080" s="2" t="s">
        <v>61</v>
      </c>
      <c r="H1080" s="6" t="s">
        <v>2581</v>
      </c>
    </row>
    <row r="1081" spans="1:8" ht="22.5" customHeight="1" x14ac:dyDescent="0.25">
      <c r="A1081" s="14" t="s">
        <v>2585</v>
      </c>
      <c r="B1081" s="3" t="s">
        <v>2037</v>
      </c>
      <c r="C1081" s="3" t="s">
        <v>2586</v>
      </c>
      <c r="D1081" s="3" t="s">
        <v>2039</v>
      </c>
      <c r="E1081" s="3">
        <v>31.226199999999999</v>
      </c>
      <c r="F1081" s="3" t="s">
        <v>60</v>
      </c>
      <c r="G1081" s="3" t="s">
        <v>61</v>
      </c>
      <c r="H1081" s="6" t="s">
        <v>2585</v>
      </c>
    </row>
    <row r="1082" spans="1:8" ht="33.75" customHeight="1" x14ac:dyDescent="0.25">
      <c r="A1082" s="13" t="s">
        <v>2587</v>
      </c>
      <c r="B1082" s="2" t="s">
        <v>864</v>
      </c>
      <c r="C1082" s="2" t="s">
        <v>2588</v>
      </c>
      <c r="D1082" s="2" t="s">
        <v>866</v>
      </c>
      <c r="E1082" s="2">
        <v>30.653199999999998</v>
      </c>
      <c r="F1082" s="2" t="s">
        <v>60</v>
      </c>
      <c r="G1082" s="2" t="s">
        <v>61</v>
      </c>
      <c r="H1082" s="6" t="s">
        <v>2587</v>
      </c>
    </row>
    <row r="1083" spans="1:8" ht="22.5" customHeight="1" x14ac:dyDescent="0.25">
      <c r="A1083" s="14" t="s">
        <v>2589</v>
      </c>
      <c r="B1083" s="3" t="s">
        <v>422</v>
      </c>
      <c r="C1083" s="3" t="s">
        <v>2590</v>
      </c>
      <c r="D1083" s="3" t="s">
        <v>424</v>
      </c>
      <c r="E1083" s="3">
        <v>30.7272</v>
      </c>
      <c r="F1083" s="3" t="s">
        <v>60</v>
      </c>
      <c r="G1083" s="3" t="s">
        <v>61</v>
      </c>
      <c r="H1083" s="6" t="s">
        <v>2589</v>
      </c>
    </row>
    <row r="1084" spans="1:8" ht="22.5" customHeight="1" x14ac:dyDescent="0.25">
      <c r="A1084" s="13" t="s">
        <v>2591</v>
      </c>
      <c r="B1084" s="2" t="s">
        <v>273</v>
      </c>
      <c r="C1084" s="2" t="s">
        <v>2592</v>
      </c>
      <c r="D1084" s="2" t="s">
        <v>275</v>
      </c>
      <c r="E1084" s="2">
        <v>30.084199999999999</v>
      </c>
      <c r="F1084" s="2" t="s">
        <v>60</v>
      </c>
      <c r="G1084" s="2" t="s">
        <v>61</v>
      </c>
      <c r="H1084" s="6" t="s">
        <v>2591</v>
      </c>
    </row>
    <row r="1085" spans="1:8" ht="33.75" customHeight="1" x14ac:dyDescent="0.25">
      <c r="A1085" s="14" t="s">
        <v>2593</v>
      </c>
      <c r="B1085" s="3" t="s">
        <v>378</v>
      </c>
      <c r="C1085" s="3" t="s">
        <v>2594</v>
      </c>
      <c r="D1085" s="3" t="s">
        <v>380</v>
      </c>
      <c r="E1085" s="3">
        <v>29.743200000000002</v>
      </c>
      <c r="F1085" s="3" t="s">
        <v>60</v>
      </c>
      <c r="G1085" s="3" t="s">
        <v>61</v>
      </c>
      <c r="H1085" s="6" t="s">
        <v>2593</v>
      </c>
    </row>
    <row r="1086" spans="1:8" ht="22.5" customHeight="1" x14ac:dyDescent="0.25">
      <c r="A1086" s="13" t="s">
        <v>2595</v>
      </c>
      <c r="B1086" s="2" t="s">
        <v>378</v>
      </c>
      <c r="C1086" s="2" t="s">
        <v>2596</v>
      </c>
      <c r="D1086" s="2" t="s">
        <v>380</v>
      </c>
      <c r="E1086" s="2">
        <v>29.743200000000002</v>
      </c>
      <c r="F1086" s="2" t="s">
        <v>60</v>
      </c>
      <c r="G1086" s="2" t="s">
        <v>61</v>
      </c>
      <c r="H1086" s="6" t="s">
        <v>2595</v>
      </c>
    </row>
    <row r="1087" spans="1:8" ht="33.75" customHeight="1" x14ac:dyDescent="0.25">
      <c r="A1087" s="14" t="s">
        <v>2597</v>
      </c>
      <c r="B1087" s="3" t="s">
        <v>1638</v>
      </c>
      <c r="C1087" s="3" t="s">
        <v>2598</v>
      </c>
      <c r="D1087" s="3" t="s">
        <v>1640</v>
      </c>
      <c r="E1087" s="3">
        <v>33.259399999999999</v>
      </c>
      <c r="F1087" s="3" t="s">
        <v>60</v>
      </c>
      <c r="G1087" s="3" t="s">
        <v>61</v>
      </c>
      <c r="H1087" s="6" t="s">
        <v>2597</v>
      </c>
    </row>
    <row r="1088" spans="1:8" ht="22.5" customHeight="1" x14ac:dyDescent="0.25">
      <c r="A1088" s="13" t="s">
        <v>2599</v>
      </c>
      <c r="B1088" s="2" t="s">
        <v>366</v>
      </c>
      <c r="C1088" s="2" t="s">
        <v>2600</v>
      </c>
      <c r="D1088" s="2" t="s">
        <v>368</v>
      </c>
      <c r="E1088" s="2">
        <v>32.983400000000003</v>
      </c>
      <c r="F1088" s="2" t="s">
        <v>60</v>
      </c>
      <c r="G1088" s="2" t="s">
        <v>61</v>
      </c>
      <c r="H1088" s="6" t="s">
        <v>2599</v>
      </c>
    </row>
    <row r="1089" spans="1:8" ht="22.5" customHeight="1" x14ac:dyDescent="0.25">
      <c r="A1089" s="14" t="s">
        <v>2601</v>
      </c>
      <c r="B1089" s="3" t="s">
        <v>2391</v>
      </c>
      <c r="C1089" s="3" t="s">
        <v>2602</v>
      </c>
      <c r="D1089" s="3" t="s">
        <v>2393</v>
      </c>
      <c r="E1089" s="3">
        <v>32.3872</v>
      </c>
      <c r="F1089" s="3" t="s">
        <v>60</v>
      </c>
      <c r="G1089" s="3" t="s">
        <v>61</v>
      </c>
      <c r="H1089" s="6" t="s">
        <v>2601</v>
      </c>
    </row>
    <row r="1090" spans="1:8" ht="33.75" customHeight="1" x14ac:dyDescent="0.25">
      <c r="A1090" s="13" t="s">
        <v>2603</v>
      </c>
      <c r="B1090" s="2" t="s">
        <v>372</v>
      </c>
      <c r="C1090" s="2" t="s">
        <v>2604</v>
      </c>
      <c r="D1090" s="2" t="s">
        <v>374</v>
      </c>
      <c r="E1090" s="2">
        <v>32.852400000000003</v>
      </c>
      <c r="F1090" s="2" t="s">
        <v>60</v>
      </c>
      <c r="G1090" s="2" t="s">
        <v>61</v>
      </c>
      <c r="H1090" s="6" t="s">
        <v>2603</v>
      </c>
    </row>
    <row r="1091" spans="1:8" ht="45" customHeight="1" x14ac:dyDescent="0.25">
      <c r="A1091" s="14" t="s">
        <v>2605</v>
      </c>
      <c r="B1091" s="3" t="s">
        <v>142</v>
      </c>
      <c r="C1091" s="3" t="s">
        <v>2606</v>
      </c>
      <c r="D1091" s="3" t="s">
        <v>144</v>
      </c>
      <c r="E1091" s="3"/>
      <c r="F1091" s="3" t="s">
        <v>145</v>
      </c>
      <c r="G1091" s="3" t="s">
        <v>146</v>
      </c>
      <c r="H1091" s="6" t="s">
        <v>2605</v>
      </c>
    </row>
    <row r="1092" spans="1:8" ht="33.75" customHeight="1" x14ac:dyDescent="0.25">
      <c r="A1092" s="13" t="s">
        <v>2607</v>
      </c>
      <c r="B1092" s="2" t="s">
        <v>562</v>
      </c>
      <c r="C1092" s="2" t="s">
        <v>2608</v>
      </c>
      <c r="D1092" s="2" t="s">
        <v>564</v>
      </c>
      <c r="E1092" s="2">
        <v>28.649000000000001</v>
      </c>
      <c r="F1092" s="2" t="s">
        <v>60</v>
      </c>
      <c r="G1092" s="2" t="s">
        <v>61</v>
      </c>
      <c r="H1092" s="6" t="s">
        <v>2607</v>
      </c>
    </row>
    <row r="1093" spans="1:8" ht="22.5" customHeight="1" x14ac:dyDescent="0.25">
      <c r="A1093" s="14" t="s">
        <v>2609</v>
      </c>
      <c r="B1093" s="3" t="s">
        <v>656</v>
      </c>
      <c r="C1093" s="3" t="s">
        <v>2610</v>
      </c>
      <c r="D1093" s="3" t="s">
        <v>658</v>
      </c>
      <c r="E1093" s="3">
        <v>30.368400000000001</v>
      </c>
      <c r="F1093" s="3" t="s">
        <v>60</v>
      </c>
      <c r="G1093" s="3" t="s">
        <v>61</v>
      </c>
      <c r="H1093" s="6" t="s">
        <v>2609</v>
      </c>
    </row>
    <row r="1094" spans="1:8" ht="22.5" customHeight="1" x14ac:dyDescent="0.25">
      <c r="A1094" s="13" t="s">
        <v>2611</v>
      </c>
      <c r="B1094" s="2" t="s">
        <v>612</v>
      </c>
      <c r="C1094" s="2" t="s">
        <v>2612</v>
      </c>
      <c r="D1094" s="2" t="s">
        <v>614</v>
      </c>
      <c r="E1094" s="2">
        <v>29.712399999999999</v>
      </c>
      <c r="F1094" s="2" t="s">
        <v>60</v>
      </c>
      <c r="G1094" s="2" t="s">
        <v>61</v>
      </c>
      <c r="H1094" s="6" t="s">
        <v>2611</v>
      </c>
    </row>
    <row r="1095" spans="1:8" ht="22.5" customHeight="1" x14ac:dyDescent="0.25">
      <c r="A1095" s="14" t="s">
        <v>2613</v>
      </c>
      <c r="B1095" s="3" t="s">
        <v>906</v>
      </c>
      <c r="C1095" s="3" t="s">
        <v>2614</v>
      </c>
      <c r="D1095" s="3" t="s">
        <v>908</v>
      </c>
      <c r="E1095" s="3">
        <v>29.468399999999999</v>
      </c>
      <c r="F1095" s="3" t="s">
        <v>60</v>
      </c>
      <c r="G1095" s="3" t="s">
        <v>61</v>
      </c>
      <c r="H1095" s="6" t="s">
        <v>2613</v>
      </c>
    </row>
    <row r="1096" spans="1:8" ht="22.5" customHeight="1" x14ac:dyDescent="0.25">
      <c r="A1096" s="13" t="s">
        <v>2615</v>
      </c>
      <c r="B1096" s="2" t="s">
        <v>665</v>
      </c>
      <c r="C1096" s="2" t="s">
        <v>2616</v>
      </c>
      <c r="D1096" s="2" t="s">
        <v>667</v>
      </c>
      <c r="E1096" s="2">
        <v>29.432400000000001</v>
      </c>
      <c r="F1096" s="2" t="s">
        <v>60</v>
      </c>
      <c r="G1096" s="2" t="s">
        <v>61</v>
      </c>
      <c r="H1096" s="6" t="s">
        <v>2615</v>
      </c>
    </row>
    <row r="1097" spans="1:8" ht="22.5" customHeight="1" x14ac:dyDescent="0.25">
      <c r="A1097" s="14" t="s">
        <v>2617</v>
      </c>
      <c r="B1097" s="3" t="s">
        <v>515</v>
      </c>
      <c r="C1097" s="3" t="s">
        <v>2618</v>
      </c>
      <c r="D1097" s="3" t="s">
        <v>517</v>
      </c>
      <c r="E1097" s="3">
        <v>29.3124</v>
      </c>
      <c r="F1097" s="3" t="s">
        <v>60</v>
      </c>
      <c r="G1097" s="3" t="s">
        <v>61</v>
      </c>
      <c r="H1097" s="6" t="s">
        <v>2617</v>
      </c>
    </row>
    <row r="1098" spans="1:8" ht="33.75" customHeight="1" x14ac:dyDescent="0.25">
      <c r="A1098" s="13" t="s">
        <v>2619</v>
      </c>
      <c r="B1098" s="2" t="s">
        <v>57</v>
      </c>
      <c r="C1098" s="2" t="s">
        <v>2620</v>
      </c>
      <c r="D1098" s="2" t="s">
        <v>59</v>
      </c>
      <c r="E1098" s="2">
        <v>31.825199999999999</v>
      </c>
      <c r="F1098" s="2" t="s">
        <v>60</v>
      </c>
      <c r="G1098" s="2" t="s">
        <v>61</v>
      </c>
      <c r="H1098" s="6" t="s">
        <v>2619</v>
      </c>
    </row>
    <row r="1099" spans="1:8" ht="33.75" customHeight="1" x14ac:dyDescent="0.25">
      <c r="A1099" s="14" t="s">
        <v>2621</v>
      </c>
      <c r="B1099" s="3" t="s">
        <v>2340</v>
      </c>
      <c r="C1099" s="3" t="s">
        <v>2622</v>
      </c>
      <c r="D1099" s="3" t="s">
        <v>2342</v>
      </c>
      <c r="E1099" s="3">
        <v>50.954000000000001</v>
      </c>
      <c r="F1099" s="3" t="s">
        <v>60</v>
      </c>
      <c r="G1099" s="3" t="s">
        <v>61</v>
      </c>
      <c r="H1099" s="6" t="s">
        <v>2621</v>
      </c>
    </row>
    <row r="1100" spans="1:8" ht="33.75" customHeight="1" x14ac:dyDescent="0.25">
      <c r="A1100" s="13" t="s">
        <v>2623</v>
      </c>
      <c r="B1100" s="2" t="s">
        <v>2624</v>
      </c>
      <c r="C1100" s="2" t="s">
        <v>2625</v>
      </c>
      <c r="D1100" s="2" t="s">
        <v>2626</v>
      </c>
      <c r="E1100" s="2">
        <v>47.695999999999998</v>
      </c>
      <c r="F1100" s="2" t="s">
        <v>60</v>
      </c>
      <c r="G1100" s="2" t="s">
        <v>61</v>
      </c>
      <c r="H1100" s="6" t="s">
        <v>2623</v>
      </c>
    </row>
    <row r="1101" spans="1:8" ht="33.75" customHeight="1" x14ac:dyDescent="0.25">
      <c r="A1101" s="14" t="s">
        <v>2627</v>
      </c>
      <c r="B1101" s="3" t="s">
        <v>2628</v>
      </c>
      <c r="C1101" s="3" t="s">
        <v>2629</v>
      </c>
      <c r="D1101" s="3" t="s">
        <v>2630</v>
      </c>
      <c r="E1101" s="3">
        <v>47.038400000000003</v>
      </c>
      <c r="F1101" s="3" t="s">
        <v>60</v>
      </c>
      <c r="G1101" s="3" t="s">
        <v>61</v>
      </c>
      <c r="H1101" s="6" t="s">
        <v>2627</v>
      </c>
    </row>
    <row r="1102" spans="1:8" ht="22.5" customHeight="1" x14ac:dyDescent="0.25">
      <c r="A1102" s="13" t="s">
        <v>2631</v>
      </c>
      <c r="B1102" s="2" t="s">
        <v>422</v>
      </c>
      <c r="C1102" s="2" t="s">
        <v>2632</v>
      </c>
      <c r="D1102" s="2" t="s">
        <v>424</v>
      </c>
      <c r="E1102" s="2">
        <v>30.7272</v>
      </c>
      <c r="F1102" s="2" t="s">
        <v>60</v>
      </c>
      <c r="G1102" s="2" t="s">
        <v>61</v>
      </c>
      <c r="H1102" s="6" t="s">
        <v>2631</v>
      </c>
    </row>
    <row r="1103" spans="1:8" ht="22.5" customHeight="1" x14ac:dyDescent="0.25">
      <c r="A1103" s="14" t="s">
        <v>2633</v>
      </c>
      <c r="B1103" s="3" t="s">
        <v>2634</v>
      </c>
      <c r="C1103" s="3" t="s">
        <v>2635</v>
      </c>
      <c r="D1103" s="3" t="s">
        <v>2636</v>
      </c>
      <c r="E1103" s="3">
        <v>30.0852</v>
      </c>
      <c r="F1103" s="3" t="s">
        <v>60</v>
      </c>
      <c r="G1103" s="3" t="s">
        <v>61</v>
      </c>
      <c r="H1103" s="6" t="s">
        <v>2633</v>
      </c>
    </row>
    <row r="1104" spans="1:8" ht="22.5" customHeight="1" x14ac:dyDescent="0.25">
      <c r="A1104" s="13" t="s">
        <v>2637</v>
      </c>
      <c r="B1104" s="2" t="s">
        <v>265</v>
      </c>
      <c r="C1104" s="2" t="s">
        <v>2638</v>
      </c>
      <c r="D1104" s="2" t="s">
        <v>267</v>
      </c>
      <c r="E1104" s="2">
        <v>27.839200000000002</v>
      </c>
      <c r="F1104" s="2" t="s">
        <v>60</v>
      </c>
      <c r="G1104" s="2" t="s">
        <v>61</v>
      </c>
      <c r="H1104" s="6" t="s">
        <v>2637</v>
      </c>
    </row>
    <row r="1105" spans="1:8" ht="22.5" customHeight="1" x14ac:dyDescent="0.25">
      <c r="A1105" s="14" t="s">
        <v>2639</v>
      </c>
      <c r="B1105" s="3" t="s">
        <v>422</v>
      </c>
      <c r="C1105" s="3" t="s">
        <v>2640</v>
      </c>
      <c r="D1105" s="3" t="s">
        <v>424</v>
      </c>
      <c r="E1105" s="3">
        <v>30.7272</v>
      </c>
      <c r="F1105" s="3" t="s">
        <v>60</v>
      </c>
      <c r="G1105" s="3" t="s">
        <v>61</v>
      </c>
      <c r="H1105" s="6" t="s">
        <v>2639</v>
      </c>
    </row>
    <row r="1106" spans="1:8" ht="33.75" customHeight="1" x14ac:dyDescent="0.25">
      <c r="A1106" s="13" t="s">
        <v>2641</v>
      </c>
      <c r="B1106" s="2" t="s">
        <v>372</v>
      </c>
      <c r="C1106" s="2" t="s">
        <v>2642</v>
      </c>
      <c r="D1106" s="2" t="s">
        <v>374</v>
      </c>
      <c r="E1106" s="2">
        <v>32.852400000000003</v>
      </c>
      <c r="F1106" s="2" t="s">
        <v>60</v>
      </c>
      <c r="G1106" s="2" t="s">
        <v>61</v>
      </c>
      <c r="H1106" s="6" t="s">
        <v>2641</v>
      </c>
    </row>
    <row r="1107" spans="1:8" ht="33.75" customHeight="1" x14ac:dyDescent="0.25">
      <c r="A1107" s="14" t="s">
        <v>2643</v>
      </c>
      <c r="B1107" s="3" t="s">
        <v>89</v>
      </c>
      <c r="C1107" s="3" t="s">
        <v>2644</v>
      </c>
      <c r="D1107" s="3" t="s">
        <v>91</v>
      </c>
      <c r="E1107" s="3">
        <v>32.389200000000002</v>
      </c>
      <c r="F1107" s="3" t="s">
        <v>60</v>
      </c>
      <c r="G1107" s="3" t="s">
        <v>61</v>
      </c>
      <c r="H1107" s="6" t="s">
        <v>2643</v>
      </c>
    </row>
    <row r="1108" spans="1:8" ht="22.5" customHeight="1" x14ac:dyDescent="0.25">
      <c r="A1108" s="13" t="s">
        <v>2645</v>
      </c>
      <c r="B1108" s="2" t="s">
        <v>378</v>
      </c>
      <c r="C1108" s="2" t="s">
        <v>2646</v>
      </c>
      <c r="D1108" s="2" t="s">
        <v>380</v>
      </c>
      <c r="E1108" s="2">
        <v>29.743200000000002</v>
      </c>
      <c r="F1108" s="2" t="s">
        <v>60</v>
      </c>
      <c r="G1108" s="2" t="s">
        <v>61</v>
      </c>
      <c r="H1108" s="6" t="s">
        <v>2645</v>
      </c>
    </row>
    <row r="1109" spans="1:8" ht="22.5" customHeight="1" x14ac:dyDescent="0.25">
      <c r="A1109" s="14" t="s">
        <v>2647</v>
      </c>
      <c r="B1109" s="3" t="s">
        <v>372</v>
      </c>
      <c r="C1109" s="3" t="s">
        <v>2648</v>
      </c>
      <c r="D1109" s="3" t="s">
        <v>374</v>
      </c>
      <c r="E1109" s="3">
        <v>32.852400000000003</v>
      </c>
      <c r="F1109" s="3" t="s">
        <v>60</v>
      </c>
      <c r="G1109" s="3" t="s">
        <v>61</v>
      </c>
      <c r="H1109" s="6" t="s">
        <v>2647</v>
      </c>
    </row>
    <row r="1110" spans="1:8" ht="22.5" customHeight="1" x14ac:dyDescent="0.25">
      <c r="A1110" s="13" t="s">
        <v>2649</v>
      </c>
      <c r="B1110" s="2" t="s">
        <v>372</v>
      </c>
      <c r="C1110" s="2" t="s">
        <v>2650</v>
      </c>
      <c r="D1110" s="2" t="s">
        <v>374</v>
      </c>
      <c r="E1110" s="2">
        <v>32.852400000000003</v>
      </c>
      <c r="F1110" s="2" t="s">
        <v>60</v>
      </c>
      <c r="G1110" s="2" t="s">
        <v>61</v>
      </c>
      <c r="H1110" s="6" t="s">
        <v>2649</v>
      </c>
    </row>
    <row r="1111" spans="1:8" ht="33.75" customHeight="1" x14ac:dyDescent="0.25">
      <c r="A1111" s="14" t="s">
        <v>2651</v>
      </c>
      <c r="B1111" s="3" t="s">
        <v>112</v>
      </c>
      <c r="C1111" s="3" t="s">
        <v>2652</v>
      </c>
      <c r="D1111" s="3" t="s">
        <v>114</v>
      </c>
      <c r="E1111" s="3">
        <v>30.7682</v>
      </c>
      <c r="F1111" s="3" t="s">
        <v>60</v>
      </c>
      <c r="G1111" s="3" t="s">
        <v>61</v>
      </c>
      <c r="H1111" s="6" t="s">
        <v>2651</v>
      </c>
    </row>
    <row r="1112" spans="1:8" ht="33.75" customHeight="1" x14ac:dyDescent="0.25">
      <c r="A1112" s="13" t="s">
        <v>2653</v>
      </c>
      <c r="B1112" s="2" t="s">
        <v>2654</v>
      </c>
      <c r="C1112" s="2" t="s">
        <v>2655</v>
      </c>
      <c r="D1112" s="2" t="s">
        <v>2656</v>
      </c>
      <c r="E1112" s="2">
        <v>29.63</v>
      </c>
      <c r="F1112" s="2" t="s">
        <v>60</v>
      </c>
      <c r="G1112" s="2" t="s">
        <v>61</v>
      </c>
      <c r="H1112" s="6" t="s">
        <v>2653</v>
      </c>
    </row>
    <row r="1113" spans="1:8" ht="22.5" customHeight="1" x14ac:dyDescent="0.25">
      <c r="A1113" s="14" t="s">
        <v>2657</v>
      </c>
      <c r="B1113" s="3" t="s">
        <v>1638</v>
      </c>
      <c r="C1113" s="3" t="s">
        <v>2658</v>
      </c>
      <c r="D1113" s="3" t="s">
        <v>1640</v>
      </c>
      <c r="E1113" s="3">
        <v>33.259399999999999</v>
      </c>
      <c r="F1113" s="3" t="s">
        <v>60</v>
      </c>
      <c r="G1113" s="3" t="s">
        <v>61</v>
      </c>
      <c r="H1113" s="6" t="s">
        <v>2657</v>
      </c>
    </row>
    <row r="1114" spans="1:8" ht="22.5" customHeight="1" x14ac:dyDescent="0.25">
      <c r="A1114" s="13" t="s">
        <v>2659</v>
      </c>
      <c r="B1114" s="2" t="s">
        <v>2391</v>
      </c>
      <c r="C1114" s="2" t="s">
        <v>2660</v>
      </c>
      <c r="D1114" s="2" t="s">
        <v>2393</v>
      </c>
      <c r="E1114" s="2">
        <v>32.3872</v>
      </c>
      <c r="F1114" s="2" t="s">
        <v>60</v>
      </c>
      <c r="G1114" s="2" t="s">
        <v>61</v>
      </c>
      <c r="H1114" s="6" t="s">
        <v>2659</v>
      </c>
    </row>
    <row r="1115" spans="1:8" ht="22.5" customHeight="1" x14ac:dyDescent="0.25">
      <c r="A1115" s="14" t="s">
        <v>2661</v>
      </c>
      <c r="B1115" s="3" t="s">
        <v>277</v>
      </c>
      <c r="C1115" s="3" t="s">
        <v>2662</v>
      </c>
      <c r="D1115" s="3" t="s">
        <v>279</v>
      </c>
      <c r="E1115" s="3">
        <v>29.7592</v>
      </c>
      <c r="F1115" s="3" t="s">
        <v>60</v>
      </c>
      <c r="G1115" s="3" t="s">
        <v>61</v>
      </c>
      <c r="H1115" s="6" t="s">
        <v>2661</v>
      </c>
    </row>
    <row r="1116" spans="1:8" ht="22.5" customHeight="1" x14ac:dyDescent="0.25">
      <c r="A1116" s="13" t="s">
        <v>2663</v>
      </c>
      <c r="B1116" s="2" t="s">
        <v>324</v>
      </c>
      <c r="C1116" s="2" t="s">
        <v>2664</v>
      </c>
      <c r="D1116" s="2" t="s">
        <v>326</v>
      </c>
      <c r="E1116" s="2">
        <v>29.719200000000001</v>
      </c>
      <c r="F1116" s="2" t="s">
        <v>60</v>
      </c>
      <c r="G1116" s="2" t="s">
        <v>61</v>
      </c>
      <c r="H1116" s="6" t="s">
        <v>2663</v>
      </c>
    </row>
    <row r="1117" spans="1:8" ht="22.5" customHeight="1" x14ac:dyDescent="0.25">
      <c r="A1117" s="14" t="s">
        <v>2665</v>
      </c>
      <c r="B1117" s="3" t="s">
        <v>1928</v>
      </c>
      <c r="C1117" s="3" t="s">
        <v>2666</v>
      </c>
      <c r="D1117" s="3" t="s">
        <v>1930</v>
      </c>
      <c r="E1117" s="3">
        <v>27.530560000000001</v>
      </c>
      <c r="F1117" s="3" t="s">
        <v>60</v>
      </c>
      <c r="G1117" s="3" t="s">
        <v>61</v>
      </c>
      <c r="H1117" s="6" t="s">
        <v>2665</v>
      </c>
    </row>
    <row r="1118" spans="1:8" ht="22.5" customHeight="1" x14ac:dyDescent="0.25">
      <c r="A1118" s="13" t="s">
        <v>2667</v>
      </c>
      <c r="B1118" s="2" t="s">
        <v>1948</v>
      </c>
      <c r="C1118" s="2" t="s">
        <v>2668</v>
      </c>
      <c r="D1118" s="2" t="s">
        <v>1950</v>
      </c>
      <c r="E1118" s="2">
        <v>27.513280000000002</v>
      </c>
      <c r="F1118" s="2" t="s">
        <v>60</v>
      </c>
      <c r="G1118" s="2" t="s">
        <v>61</v>
      </c>
      <c r="H1118" s="6" t="s">
        <v>2667</v>
      </c>
    </row>
    <row r="1119" spans="1:8" ht="33.75" customHeight="1" x14ac:dyDescent="0.25">
      <c r="A1119" s="14" t="s">
        <v>2669</v>
      </c>
      <c r="B1119" s="3" t="s">
        <v>422</v>
      </c>
      <c r="C1119" s="3" t="s">
        <v>2670</v>
      </c>
      <c r="D1119" s="3" t="s">
        <v>424</v>
      </c>
      <c r="E1119" s="3">
        <v>30.7272</v>
      </c>
      <c r="F1119" s="3" t="s">
        <v>60</v>
      </c>
      <c r="G1119" s="3" t="s">
        <v>61</v>
      </c>
      <c r="H1119" s="6" t="s">
        <v>2669</v>
      </c>
    </row>
    <row r="1120" spans="1:8" ht="33.75" customHeight="1" x14ac:dyDescent="0.25">
      <c r="A1120" s="13" t="s">
        <v>2671</v>
      </c>
      <c r="B1120" s="2" t="s">
        <v>1727</v>
      </c>
      <c r="C1120" s="2" t="s">
        <v>2672</v>
      </c>
      <c r="D1120" s="2" t="s">
        <v>1729</v>
      </c>
      <c r="E1120" s="2">
        <v>29.0792</v>
      </c>
      <c r="F1120" s="2" t="s">
        <v>60</v>
      </c>
      <c r="G1120" s="2" t="s">
        <v>61</v>
      </c>
      <c r="H1120" s="6" t="s">
        <v>2671</v>
      </c>
    </row>
    <row r="1121" spans="1:8" ht="22.5" customHeight="1" x14ac:dyDescent="0.25">
      <c r="A1121" s="14" t="s">
        <v>2673</v>
      </c>
      <c r="B1121" s="3" t="s">
        <v>1638</v>
      </c>
      <c r="C1121" s="3" t="s">
        <v>2674</v>
      </c>
      <c r="D1121" s="3" t="s">
        <v>1640</v>
      </c>
      <c r="E1121" s="3">
        <v>33.259399999999999</v>
      </c>
      <c r="F1121" s="3" t="s">
        <v>60</v>
      </c>
      <c r="G1121" s="3" t="s">
        <v>61</v>
      </c>
      <c r="H1121" s="6" t="s">
        <v>2673</v>
      </c>
    </row>
    <row r="1122" spans="1:8" ht="33.75" customHeight="1" x14ac:dyDescent="0.25">
      <c r="A1122" s="13" t="s">
        <v>2675</v>
      </c>
      <c r="B1122" s="2" t="s">
        <v>794</v>
      </c>
      <c r="C1122" s="2" t="s">
        <v>2676</v>
      </c>
      <c r="D1122" s="2" t="s">
        <v>796</v>
      </c>
      <c r="E1122" s="2">
        <v>34.151200000000003</v>
      </c>
      <c r="F1122" s="2" t="s">
        <v>60</v>
      </c>
      <c r="G1122" s="2" t="s">
        <v>61</v>
      </c>
      <c r="H1122" s="6" t="s">
        <v>2675</v>
      </c>
    </row>
    <row r="1123" spans="1:8" ht="22.5" customHeight="1" x14ac:dyDescent="0.25">
      <c r="A1123" s="14" t="s">
        <v>2677</v>
      </c>
      <c r="B1123" s="3" t="s">
        <v>324</v>
      </c>
      <c r="C1123" s="3" t="s">
        <v>2678</v>
      </c>
      <c r="D1123" s="3" t="s">
        <v>326</v>
      </c>
      <c r="E1123" s="3">
        <v>29.719200000000001</v>
      </c>
      <c r="F1123" s="3" t="s">
        <v>60</v>
      </c>
      <c r="G1123" s="3" t="s">
        <v>61</v>
      </c>
      <c r="H1123" s="6" t="s">
        <v>2677</v>
      </c>
    </row>
    <row r="1124" spans="1:8" ht="33.75" customHeight="1" x14ac:dyDescent="0.25">
      <c r="A1124" s="13" t="s">
        <v>2679</v>
      </c>
      <c r="B1124" s="2" t="s">
        <v>418</v>
      </c>
      <c r="C1124" s="2" t="s">
        <v>2680</v>
      </c>
      <c r="D1124" s="2" t="s">
        <v>420</v>
      </c>
      <c r="E1124" s="2">
        <v>30.655200000000001</v>
      </c>
      <c r="F1124" s="2" t="s">
        <v>60</v>
      </c>
      <c r="G1124" s="2" t="s">
        <v>61</v>
      </c>
      <c r="H1124" s="6" t="s">
        <v>2679</v>
      </c>
    </row>
    <row r="1125" spans="1:8" ht="33.75" customHeight="1" x14ac:dyDescent="0.25">
      <c r="A1125" s="14" t="s">
        <v>2681</v>
      </c>
      <c r="B1125" s="3" t="s">
        <v>990</v>
      </c>
      <c r="C1125" s="3" t="s">
        <v>2682</v>
      </c>
      <c r="D1125" s="3" t="s">
        <v>992</v>
      </c>
      <c r="E1125" s="3">
        <v>29.755199999999999</v>
      </c>
      <c r="F1125" s="3" t="s">
        <v>60</v>
      </c>
      <c r="G1125" s="3" t="s">
        <v>61</v>
      </c>
      <c r="H1125" s="6" t="s">
        <v>2681</v>
      </c>
    </row>
    <row r="1126" spans="1:8" ht="33.75" customHeight="1" x14ac:dyDescent="0.25">
      <c r="A1126" s="13" t="s">
        <v>2683</v>
      </c>
      <c r="B1126" s="2" t="s">
        <v>418</v>
      </c>
      <c r="C1126" s="2" t="s">
        <v>2684</v>
      </c>
      <c r="D1126" s="2" t="s">
        <v>420</v>
      </c>
      <c r="E1126" s="2">
        <v>30.655200000000001</v>
      </c>
      <c r="F1126" s="2" t="s">
        <v>60</v>
      </c>
      <c r="G1126" s="2" t="s">
        <v>61</v>
      </c>
      <c r="H1126" s="6" t="s">
        <v>2683</v>
      </c>
    </row>
    <row r="1127" spans="1:8" ht="22.5" customHeight="1" x14ac:dyDescent="0.25">
      <c r="A1127" s="14" t="s">
        <v>2685</v>
      </c>
      <c r="B1127" s="3" t="s">
        <v>400</v>
      </c>
      <c r="C1127" s="3" t="s">
        <v>2686</v>
      </c>
      <c r="D1127" s="3" t="s">
        <v>402</v>
      </c>
      <c r="E1127" s="3">
        <v>34.332239999999999</v>
      </c>
      <c r="F1127" s="3" t="s">
        <v>60</v>
      </c>
      <c r="G1127" s="3" t="s">
        <v>61</v>
      </c>
      <c r="H1127" s="6" t="s">
        <v>2685</v>
      </c>
    </row>
    <row r="1128" spans="1:8" ht="22.5" customHeight="1" x14ac:dyDescent="0.25">
      <c r="A1128" s="13" t="s">
        <v>2687</v>
      </c>
      <c r="B1128" s="2" t="s">
        <v>794</v>
      </c>
      <c r="C1128" s="2" t="s">
        <v>2688</v>
      </c>
      <c r="D1128" s="2" t="s">
        <v>796</v>
      </c>
      <c r="E1128" s="2">
        <v>34.151200000000003</v>
      </c>
      <c r="F1128" s="2" t="s">
        <v>60</v>
      </c>
      <c r="G1128" s="2" t="s">
        <v>61</v>
      </c>
      <c r="H1128" s="6" t="s">
        <v>2687</v>
      </c>
    </row>
    <row r="1129" spans="1:8" ht="22.5" customHeight="1" x14ac:dyDescent="0.25">
      <c r="A1129" s="14" t="s">
        <v>2689</v>
      </c>
      <c r="B1129" s="3" t="s">
        <v>324</v>
      </c>
      <c r="C1129" s="3" t="s">
        <v>2690</v>
      </c>
      <c r="D1129" s="3" t="s">
        <v>326</v>
      </c>
      <c r="E1129" s="3">
        <v>29.719200000000001</v>
      </c>
      <c r="F1129" s="3" t="s">
        <v>60</v>
      </c>
      <c r="G1129" s="3" t="s">
        <v>61</v>
      </c>
      <c r="H1129" s="6" t="s">
        <v>2689</v>
      </c>
    </row>
    <row r="1130" spans="1:8" ht="33.75" customHeight="1" x14ac:dyDescent="0.25">
      <c r="A1130" s="13" t="s">
        <v>2691</v>
      </c>
      <c r="B1130" s="2" t="s">
        <v>120</v>
      </c>
      <c r="C1130" s="2" t="s">
        <v>2692</v>
      </c>
      <c r="D1130" s="2" t="s">
        <v>122</v>
      </c>
      <c r="E1130" s="2">
        <v>33.349800000000002</v>
      </c>
      <c r="F1130" s="2" t="s">
        <v>60</v>
      </c>
      <c r="G1130" s="2" t="s">
        <v>61</v>
      </c>
      <c r="H1130" s="6" t="s">
        <v>2691</v>
      </c>
    </row>
    <row r="1131" spans="1:8" ht="22.5" customHeight="1" x14ac:dyDescent="0.25">
      <c r="A1131" s="14" t="s">
        <v>2693</v>
      </c>
      <c r="B1131" s="3" t="s">
        <v>324</v>
      </c>
      <c r="C1131" s="3" t="s">
        <v>2694</v>
      </c>
      <c r="D1131" s="3" t="s">
        <v>326</v>
      </c>
      <c r="E1131" s="3">
        <v>29.719200000000001</v>
      </c>
      <c r="F1131" s="3" t="s">
        <v>60</v>
      </c>
      <c r="G1131" s="3" t="s">
        <v>61</v>
      </c>
      <c r="H1131" s="6" t="s">
        <v>2693</v>
      </c>
    </row>
    <row r="1132" spans="1:8" ht="22.5" customHeight="1" x14ac:dyDescent="0.25">
      <c r="A1132" s="13" t="s">
        <v>2695</v>
      </c>
      <c r="B1132" s="2" t="s">
        <v>2696</v>
      </c>
      <c r="C1132" s="2" t="s">
        <v>2697</v>
      </c>
      <c r="D1132" s="2" t="s">
        <v>2698</v>
      </c>
      <c r="E1132" s="2">
        <v>27.639199999999999</v>
      </c>
      <c r="F1132" s="2" t="s">
        <v>60</v>
      </c>
      <c r="G1132" s="2" t="s">
        <v>61</v>
      </c>
      <c r="H1132" s="6" t="s">
        <v>2695</v>
      </c>
    </row>
    <row r="1133" spans="1:8" ht="22.5" customHeight="1" x14ac:dyDescent="0.25">
      <c r="A1133" s="14" t="s">
        <v>2699</v>
      </c>
      <c r="B1133" s="3" t="s">
        <v>2700</v>
      </c>
      <c r="C1133" s="3" t="s">
        <v>2701</v>
      </c>
      <c r="D1133" s="3" t="s">
        <v>2702</v>
      </c>
      <c r="E1133" s="3">
        <v>28.126000000000001</v>
      </c>
      <c r="F1133" s="3" t="s">
        <v>60</v>
      </c>
      <c r="G1133" s="3" t="s">
        <v>61</v>
      </c>
      <c r="H1133" s="6" t="s">
        <v>2699</v>
      </c>
    </row>
    <row r="1134" spans="1:8" ht="22.5" customHeight="1" x14ac:dyDescent="0.25">
      <c r="A1134" s="13" t="s">
        <v>2703</v>
      </c>
      <c r="B1134" s="2" t="s">
        <v>418</v>
      </c>
      <c r="C1134" s="2" t="s">
        <v>2704</v>
      </c>
      <c r="D1134" s="2" t="s">
        <v>420</v>
      </c>
      <c r="E1134" s="2">
        <v>30.655200000000001</v>
      </c>
      <c r="F1134" s="2" t="s">
        <v>60</v>
      </c>
      <c r="G1134" s="2" t="s">
        <v>61</v>
      </c>
      <c r="H1134" s="6" t="s">
        <v>2703</v>
      </c>
    </row>
    <row r="1135" spans="1:8" ht="33.75" customHeight="1" x14ac:dyDescent="0.25">
      <c r="A1135" s="14" t="s">
        <v>2705</v>
      </c>
      <c r="B1135" s="3" t="s">
        <v>404</v>
      </c>
      <c r="C1135" s="3" t="s">
        <v>2706</v>
      </c>
      <c r="D1135" s="3" t="s">
        <v>406</v>
      </c>
      <c r="E1135" s="3">
        <v>29.999199999999998</v>
      </c>
      <c r="F1135" s="3" t="s">
        <v>60</v>
      </c>
      <c r="G1135" s="3" t="s">
        <v>61</v>
      </c>
      <c r="H1135" s="6" t="s">
        <v>2705</v>
      </c>
    </row>
    <row r="1136" spans="1:8" ht="33.75" customHeight="1" x14ac:dyDescent="0.25">
      <c r="A1136" s="13" t="s">
        <v>2707</v>
      </c>
      <c r="B1136" s="2" t="s">
        <v>990</v>
      </c>
      <c r="C1136" s="2" t="s">
        <v>2708</v>
      </c>
      <c r="D1136" s="2" t="s">
        <v>992</v>
      </c>
      <c r="E1136" s="2">
        <v>29.755199999999999</v>
      </c>
      <c r="F1136" s="2" t="s">
        <v>60</v>
      </c>
      <c r="G1136" s="2" t="s">
        <v>61</v>
      </c>
      <c r="H1136" s="6" t="s">
        <v>2707</v>
      </c>
    </row>
    <row r="1137" spans="1:8" ht="33.75" customHeight="1" x14ac:dyDescent="0.25">
      <c r="A1137" s="14" t="s">
        <v>2709</v>
      </c>
      <c r="B1137" s="3" t="s">
        <v>324</v>
      </c>
      <c r="C1137" s="3" t="s">
        <v>2710</v>
      </c>
      <c r="D1137" s="3" t="s">
        <v>326</v>
      </c>
      <c r="E1137" s="3">
        <v>29.719200000000001</v>
      </c>
      <c r="F1137" s="3" t="s">
        <v>60</v>
      </c>
      <c r="G1137" s="3" t="s">
        <v>61</v>
      </c>
      <c r="H1137" s="6" t="s">
        <v>2709</v>
      </c>
    </row>
    <row r="1138" spans="1:8" ht="33.75" customHeight="1" x14ac:dyDescent="0.25">
      <c r="A1138" s="13" t="s">
        <v>2711</v>
      </c>
      <c r="B1138" s="2" t="s">
        <v>2373</v>
      </c>
      <c r="C1138" s="2" t="s">
        <v>2374</v>
      </c>
      <c r="D1138" s="2" t="s">
        <v>2375</v>
      </c>
      <c r="E1138" s="2">
        <v>28.649000000000001</v>
      </c>
      <c r="F1138" s="2" t="s">
        <v>60</v>
      </c>
      <c r="G1138" s="2" t="s">
        <v>61</v>
      </c>
      <c r="H1138" s="6" t="s">
        <v>2711</v>
      </c>
    </row>
    <row r="1139" spans="1:8" ht="22.5" customHeight="1" x14ac:dyDescent="0.25">
      <c r="A1139" s="14" t="s">
        <v>2712</v>
      </c>
      <c r="B1139" s="3" t="s">
        <v>418</v>
      </c>
      <c r="C1139" s="3" t="s">
        <v>2713</v>
      </c>
      <c r="D1139" s="3" t="s">
        <v>420</v>
      </c>
      <c r="E1139" s="3">
        <v>30.655200000000001</v>
      </c>
      <c r="F1139" s="3" t="s">
        <v>60</v>
      </c>
      <c r="G1139" s="3" t="s">
        <v>61</v>
      </c>
      <c r="H1139" s="6" t="s">
        <v>2712</v>
      </c>
    </row>
    <row r="1140" spans="1:8" ht="22.5" customHeight="1" x14ac:dyDescent="0.25">
      <c r="A1140" s="13" t="s">
        <v>2714</v>
      </c>
      <c r="B1140" s="2" t="s">
        <v>404</v>
      </c>
      <c r="C1140" s="2" t="s">
        <v>2715</v>
      </c>
      <c r="D1140" s="2" t="s">
        <v>406</v>
      </c>
      <c r="E1140" s="2">
        <v>29.999199999999998</v>
      </c>
      <c r="F1140" s="2" t="s">
        <v>60</v>
      </c>
      <c r="G1140" s="2" t="s">
        <v>61</v>
      </c>
      <c r="H1140" s="6" t="s">
        <v>2714</v>
      </c>
    </row>
    <row r="1141" spans="1:8" ht="22.5" customHeight="1" x14ac:dyDescent="0.25">
      <c r="A1141" s="14" t="s">
        <v>2716</v>
      </c>
      <c r="B1141" s="3" t="s">
        <v>1151</v>
      </c>
      <c r="C1141" s="3" t="s">
        <v>2717</v>
      </c>
      <c r="D1141" s="3" t="s">
        <v>1153</v>
      </c>
      <c r="E1141" s="3">
        <v>30.6372</v>
      </c>
      <c r="F1141" s="3" t="s">
        <v>60</v>
      </c>
      <c r="G1141" s="3" t="s">
        <v>61</v>
      </c>
      <c r="H1141" s="6" t="s">
        <v>2716</v>
      </c>
    </row>
    <row r="1142" spans="1:8" ht="22.5" customHeight="1" x14ac:dyDescent="0.25">
      <c r="A1142" s="13" t="s">
        <v>2718</v>
      </c>
      <c r="B1142" s="2" t="s">
        <v>382</v>
      </c>
      <c r="C1142" s="2" t="s">
        <v>2719</v>
      </c>
      <c r="D1142" s="2" t="s">
        <v>384</v>
      </c>
      <c r="E1142" s="2">
        <v>35.3172</v>
      </c>
      <c r="F1142" s="2" t="s">
        <v>60</v>
      </c>
      <c r="G1142" s="2" t="s">
        <v>61</v>
      </c>
      <c r="H1142" s="6" t="s">
        <v>2718</v>
      </c>
    </row>
    <row r="1143" spans="1:8" ht="33.75" customHeight="1" x14ac:dyDescent="0.25">
      <c r="A1143" s="14" t="s">
        <v>2720</v>
      </c>
      <c r="B1143" s="3" t="s">
        <v>89</v>
      </c>
      <c r="C1143" s="3" t="s">
        <v>2721</v>
      </c>
      <c r="D1143" s="3" t="s">
        <v>91</v>
      </c>
      <c r="E1143" s="3">
        <v>32.389200000000002</v>
      </c>
      <c r="F1143" s="3" t="s">
        <v>60</v>
      </c>
      <c r="G1143" s="3" t="s">
        <v>61</v>
      </c>
      <c r="H1143" s="6" t="s">
        <v>2720</v>
      </c>
    </row>
    <row r="1144" spans="1:8" ht="22.5" customHeight="1" x14ac:dyDescent="0.25">
      <c r="A1144" s="13" t="s">
        <v>2722</v>
      </c>
      <c r="B1144" s="2" t="s">
        <v>404</v>
      </c>
      <c r="C1144" s="2" t="s">
        <v>2723</v>
      </c>
      <c r="D1144" s="2" t="s">
        <v>406</v>
      </c>
      <c r="E1144" s="2">
        <v>29.999199999999998</v>
      </c>
      <c r="F1144" s="2" t="s">
        <v>60</v>
      </c>
      <c r="G1144" s="2" t="s">
        <v>61</v>
      </c>
      <c r="H1144" s="6" t="s">
        <v>2722</v>
      </c>
    </row>
    <row r="1145" spans="1:8" ht="33.75" customHeight="1" x14ac:dyDescent="0.25">
      <c r="A1145" s="14" t="s">
        <v>2724</v>
      </c>
      <c r="B1145" s="3" t="s">
        <v>2696</v>
      </c>
      <c r="C1145" s="3" t="s">
        <v>2725</v>
      </c>
      <c r="D1145" s="3" t="s">
        <v>2698</v>
      </c>
      <c r="E1145" s="3">
        <v>27.639199999999999</v>
      </c>
      <c r="F1145" s="3" t="s">
        <v>60</v>
      </c>
      <c r="G1145" s="3" t="s">
        <v>61</v>
      </c>
      <c r="H1145" s="6" t="s">
        <v>2724</v>
      </c>
    </row>
    <row r="1146" spans="1:8" ht="33.75" customHeight="1" x14ac:dyDescent="0.25">
      <c r="A1146" s="13" t="s">
        <v>2726</v>
      </c>
      <c r="B1146" s="2" t="s">
        <v>2727</v>
      </c>
      <c r="C1146" s="2" t="s">
        <v>2728</v>
      </c>
      <c r="D1146" s="2" t="s">
        <v>2729</v>
      </c>
      <c r="E1146" s="2">
        <v>50.636000000000003</v>
      </c>
      <c r="F1146" s="2" t="s">
        <v>60</v>
      </c>
      <c r="G1146" s="2" t="s">
        <v>61</v>
      </c>
      <c r="H1146" s="6" t="s">
        <v>2726</v>
      </c>
    </row>
    <row r="1147" spans="1:8" ht="33.75" customHeight="1" x14ac:dyDescent="0.25">
      <c r="A1147" s="14" t="s">
        <v>2730</v>
      </c>
      <c r="B1147" s="3" t="s">
        <v>1062</v>
      </c>
      <c r="C1147" s="3" t="s">
        <v>2731</v>
      </c>
      <c r="D1147" s="3" t="s">
        <v>1064</v>
      </c>
      <c r="E1147" s="3">
        <v>47.728400000000001</v>
      </c>
      <c r="F1147" s="3" t="s">
        <v>60</v>
      </c>
      <c r="G1147" s="3" t="s">
        <v>61</v>
      </c>
      <c r="H1147" s="6" t="s">
        <v>2730</v>
      </c>
    </row>
    <row r="1148" spans="1:8" ht="33.75" customHeight="1" x14ac:dyDescent="0.25">
      <c r="A1148" s="13" t="s">
        <v>2732</v>
      </c>
      <c r="B1148" s="2" t="s">
        <v>89</v>
      </c>
      <c r="C1148" s="2" t="s">
        <v>2733</v>
      </c>
      <c r="D1148" s="2" t="s">
        <v>91</v>
      </c>
      <c r="E1148" s="2">
        <v>32.389200000000002</v>
      </c>
      <c r="F1148" s="2" t="s">
        <v>60</v>
      </c>
      <c r="G1148" s="2" t="s">
        <v>61</v>
      </c>
      <c r="H1148" s="6" t="s">
        <v>2732</v>
      </c>
    </row>
    <row r="1149" spans="1:8" ht="33.75" customHeight="1" x14ac:dyDescent="0.25">
      <c r="A1149" s="14" t="s">
        <v>2734</v>
      </c>
      <c r="B1149" s="3" t="s">
        <v>89</v>
      </c>
      <c r="C1149" s="3" t="s">
        <v>2735</v>
      </c>
      <c r="D1149" s="3" t="s">
        <v>91</v>
      </c>
      <c r="E1149" s="3">
        <v>32.389200000000002</v>
      </c>
      <c r="F1149" s="3" t="s">
        <v>60</v>
      </c>
      <c r="G1149" s="3" t="s">
        <v>61</v>
      </c>
      <c r="H1149" s="6" t="s">
        <v>2734</v>
      </c>
    </row>
    <row r="1150" spans="1:8" ht="33.75" customHeight="1" x14ac:dyDescent="0.25">
      <c r="A1150" s="13" t="s">
        <v>2736</v>
      </c>
      <c r="B1150" s="2" t="s">
        <v>273</v>
      </c>
      <c r="C1150" s="2" t="s">
        <v>2737</v>
      </c>
      <c r="D1150" s="2" t="s">
        <v>275</v>
      </c>
      <c r="E1150" s="2">
        <v>30.084199999999999</v>
      </c>
      <c r="F1150" s="2" t="s">
        <v>60</v>
      </c>
      <c r="G1150" s="2" t="s">
        <v>61</v>
      </c>
      <c r="H1150" s="6" t="s">
        <v>2736</v>
      </c>
    </row>
    <row r="1151" spans="1:8" ht="22.5" customHeight="1" x14ac:dyDescent="0.25">
      <c r="A1151" s="14" t="s">
        <v>2738</v>
      </c>
      <c r="B1151" s="3" t="s">
        <v>2037</v>
      </c>
      <c r="C1151" s="3" t="s">
        <v>2739</v>
      </c>
      <c r="D1151" s="3" t="s">
        <v>2039</v>
      </c>
      <c r="E1151" s="3">
        <v>31.226199999999999</v>
      </c>
      <c r="F1151" s="3" t="s">
        <v>60</v>
      </c>
      <c r="G1151" s="3" t="s">
        <v>61</v>
      </c>
      <c r="H1151" s="6" t="s">
        <v>2738</v>
      </c>
    </row>
    <row r="1152" spans="1:8" ht="22.5" customHeight="1" x14ac:dyDescent="0.25">
      <c r="A1152" s="13" t="s">
        <v>2740</v>
      </c>
      <c r="B1152" s="2" t="s">
        <v>422</v>
      </c>
      <c r="C1152" s="2" t="s">
        <v>2741</v>
      </c>
      <c r="D1152" s="2" t="s">
        <v>424</v>
      </c>
      <c r="E1152" s="2">
        <v>30.7272</v>
      </c>
      <c r="F1152" s="2" t="s">
        <v>60</v>
      </c>
      <c r="G1152" s="2" t="s">
        <v>61</v>
      </c>
      <c r="H1152" s="6" t="s">
        <v>2740</v>
      </c>
    </row>
    <row r="1153" spans="1:8" ht="22.5" customHeight="1" x14ac:dyDescent="0.25">
      <c r="A1153" s="14" t="s">
        <v>2742</v>
      </c>
      <c r="B1153" s="3" t="s">
        <v>2743</v>
      </c>
      <c r="C1153" s="3" t="s">
        <v>2744</v>
      </c>
      <c r="D1153" s="3" t="s">
        <v>2745</v>
      </c>
      <c r="E1153" s="3">
        <v>28.417000000000002</v>
      </c>
      <c r="F1153" s="3" t="s">
        <v>60</v>
      </c>
      <c r="G1153" s="3" t="s">
        <v>61</v>
      </c>
      <c r="H1153" s="6" t="s">
        <v>2742</v>
      </c>
    </row>
    <row r="1154" spans="1:8" ht="22.5" customHeight="1" x14ac:dyDescent="0.25">
      <c r="A1154" s="13" t="s">
        <v>2746</v>
      </c>
      <c r="B1154" s="2" t="s">
        <v>2747</v>
      </c>
      <c r="C1154" s="2" t="s">
        <v>2748</v>
      </c>
      <c r="D1154" s="2" t="s">
        <v>2749</v>
      </c>
      <c r="E1154" s="2">
        <v>28.417000000000002</v>
      </c>
      <c r="F1154" s="2" t="s">
        <v>60</v>
      </c>
      <c r="G1154" s="2" t="s">
        <v>61</v>
      </c>
      <c r="H1154" s="6" t="s">
        <v>2746</v>
      </c>
    </row>
    <row r="1155" spans="1:8" ht="22.5" customHeight="1" x14ac:dyDescent="0.25">
      <c r="A1155" s="14" t="s">
        <v>2750</v>
      </c>
      <c r="B1155" s="3" t="s">
        <v>2751</v>
      </c>
      <c r="C1155" s="3" t="s">
        <v>2752</v>
      </c>
      <c r="D1155" s="3" t="s">
        <v>2753</v>
      </c>
      <c r="E1155" s="3">
        <v>28.417000000000002</v>
      </c>
      <c r="F1155" s="3" t="s">
        <v>60</v>
      </c>
      <c r="G1155" s="3" t="s">
        <v>61</v>
      </c>
      <c r="H1155" s="6" t="s">
        <v>2750</v>
      </c>
    </row>
    <row r="1156" spans="1:8" ht="22.5" customHeight="1" x14ac:dyDescent="0.25">
      <c r="A1156" s="13" t="s">
        <v>2754</v>
      </c>
      <c r="B1156" s="2" t="s">
        <v>2755</v>
      </c>
      <c r="C1156" s="2" t="s">
        <v>2756</v>
      </c>
      <c r="D1156" s="2" t="s">
        <v>2757</v>
      </c>
      <c r="E1156" s="2">
        <v>28.417000000000002</v>
      </c>
      <c r="F1156" s="2" t="s">
        <v>60</v>
      </c>
      <c r="G1156" s="2" t="s">
        <v>61</v>
      </c>
      <c r="H1156" s="6" t="s">
        <v>2754</v>
      </c>
    </row>
    <row r="1157" spans="1:8" ht="22.5" customHeight="1" x14ac:dyDescent="0.25">
      <c r="A1157" s="14" t="s">
        <v>2758</v>
      </c>
      <c r="B1157" s="3" t="s">
        <v>864</v>
      </c>
      <c r="C1157" s="3" t="s">
        <v>2759</v>
      </c>
      <c r="D1157" s="3" t="s">
        <v>866</v>
      </c>
      <c r="E1157" s="3">
        <v>30.653199999999998</v>
      </c>
      <c r="F1157" s="3" t="s">
        <v>60</v>
      </c>
      <c r="G1157" s="3" t="s">
        <v>61</v>
      </c>
      <c r="H1157" s="6" t="s">
        <v>2758</v>
      </c>
    </row>
    <row r="1158" spans="1:8" ht="22.5" customHeight="1" x14ac:dyDescent="0.25">
      <c r="A1158" s="13" t="s">
        <v>2760</v>
      </c>
      <c r="B1158" s="2" t="s">
        <v>273</v>
      </c>
      <c r="C1158" s="2" t="s">
        <v>2761</v>
      </c>
      <c r="D1158" s="2" t="s">
        <v>275</v>
      </c>
      <c r="E1158" s="2">
        <v>30.084199999999999</v>
      </c>
      <c r="F1158" s="2" t="s">
        <v>60</v>
      </c>
      <c r="G1158" s="2" t="s">
        <v>61</v>
      </c>
      <c r="H1158" s="6" t="s">
        <v>2760</v>
      </c>
    </row>
    <row r="1159" spans="1:8" ht="45" customHeight="1" x14ac:dyDescent="0.25">
      <c r="A1159" s="14" t="s">
        <v>2762</v>
      </c>
      <c r="B1159" s="3" t="s">
        <v>142</v>
      </c>
      <c r="C1159" s="3" t="s">
        <v>2763</v>
      </c>
      <c r="D1159" s="3" t="s">
        <v>144</v>
      </c>
      <c r="E1159" s="3"/>
      <c r="F1159" s="3" t="s">
        <v>145</v>
      </c>
      <c r="G1159" s="3" t="s">
        <v>146</v>
      </c>
      <c r="H1159" s="6" t="s">
        <v>2762</v>
      </c>
    </row>
    <row r="1160" spans="1:8" ht="22.5" customHeight="1" x14ac:dyDescent="0.25">
      <c r="A1160" s="13" t="s">
        <v>2764</v>
      </c>
      <c r="B1160" s="2" t="s">
        <v>1294</v>
      </c>
      <c r="C1160" s="2" t="s">
        <v>2765</v>
      </c>
      <c r="D1160" s="2" t="s">
        <v>1296</v>
      </c>
      <c r="E1160" s="2">
        <v>27.925999999999998</v>
      </c>
      <c r="F1160" s="2" t="s">
        <v>60</v>
      </c>
      <c r="G1160" s="2" t="s">
        <v>61</v>
      </c>
      <c r="H1160" s="6" t="s">
        <v>2764</v>
      </c>
    </row>
    <row r="1161" spans="1:8" ht="33.75" customHeight="1" x14ac:dyDescent="0.25">
      <c r="A1161" s="14" t="s">
        <v>2766</v>
      </c>
      <c r="B1161" s="3" t="s">
        <v>2767</v>
      </c>
      <c r="C1161" s="3" t="s">
        <v>2768</v>
      </c>
      <c r="D1161" s="3" t="s">
        <v>2769</v>
      </c>
      <c r="E1161" s="3">
        <v>45.326000000000001</v>
      </c>
      <c r="F1161" s="3" t="s">
        <v>60</v>
      </c>
      <c r="G1161" s="3" t="s">
        <v>61</v>
      </c>
      <c r="H1161" s="6" t="s">
        <v>2766</v>
      </c>
    </row>
    <row r="1162" spans="1:8" ht="33.75" customHeight="1" x14ac:dyDescent="0.25">
      <c r="A1162" s="13" t="s">
        <v>2770</v>
      </c>
      <c r="B1162" s="2" t="s">
        <v>2771</v>
      </c>
      <c r="C1162" s="2" t="s">
        <v>2772</v>
      </c>
      <c r="D1162" s="2" t="s">
        <v>2773</v>
      </c>
      <c r="E1162" s="2">
        <v>42.985999999999997</v>
      </c>
      <c r="F1162" s="2" t="s">
        <v>60</v>
      </c>
      <c r="G1162" s="2" t="s">
        <v>61</v>
      </c>
      <c r="H1162" s="6" t="s">
        <v>2770</v>
      </c>
    </row>
    <row r="1163" spans="1:8" ht="33.75" customHeight="1" x14ac:dyDescent="0.25">
      <c r="A1163" s="14" t="s">
        <v>2774</v>
      </c>
      <c r="B1163" s="3" t="s">
        <v>2775</v>
      </c>
      <c r="C1163" s="3" t="s">
        <v>2776</v>
      </c>
      <c r="D1163" s="3" t="s">
        <v>2777</v>
      </c>
      <c r="E1163" s="3">
        <v>43.256</v>
      </c>
      <c r="F1163" s="3" t="s">
        <v>60</v>
      </c>
      <c r="G1163" s="3" t="s">
        <v>61</v>
      </c>
      <c r="H1163" s="6" t="s">
        <v>2774</v>
      </c>
    </row>
    <row r="1164" spans="1:8" ht="33.75" customHeight="1" x14ac:dyDescent="0.25">
      <c r="A1164" s="13" t="s">
        <v>2778</v>
      </c>
      <c r="B1164" s="2" t="s">
        <v>2779</v>
      </c>
      <c r="C1164" s="2" t="s">
        <v>2780</v>
      </c>
      <c r="D1164" s="2" t="s">
        <v>2781</v>
      </c>
      <c r="E1164" s="2">
        <v>44.335999999999999</v>
      </c>
      <c r="F1164" s="2" t="s">
        <v>60</v>
      </c>
      <c r="G1164" s="2" t="s">
        <v>61</v>
      </c>
      <c r="H1164" s="6" t="s">
        <v>2778</v>
      </c>
    </row>
    <row r="1165" spans="1:8" ht="33.75" customHeight="1" x14ac:dyDescent="0.25">
      <c r="A1165" s="14" t="s">
        <v>2782</v>
      </c>
      <c r="B1165" s="3" t="s">
        <v>2783</v>
      </c>
      <c r="C1165" s="3" t="s">
        <v>2784</v>
      </c>
      <c r="D1165" s="3" t="s">
        <v>2785</v>
      </c>
      <c r="E1165" s="3">
        <v>46.286000000000001</v>
      </c>
      <c r="F1165" s="3" t="s">
        <v>60</v>
      </c>
      <c r="G1165" s="3" t="s">
        <v>61</v>
      </c>
      <c r="H1165" s="6" t="s">
        <v>2782</v>
      </c>
    </row>
    <row r="1166" spans="1:8" ht="22.5" customHeight="1" x14ac:dyDescent="0.25">
      <c r="A1166" s="13" t="s">
        <v>2786</v>
      </c>
      <c r="B1166" s="2" t="s">
        <v>673</v>
      </c>
      <c r="C1166" s="2" t="s">
        <v>2787</v>
      </c>
      <c r="D1166" s="2" t="s">
        <v>675</v>
      </c>
      <c r="E1166" s="2">
        <v>29.5824</v>
      </c>
      <c r="F1166" s="2" t="s">
        <v>60</v>
      </c>
      <c r="G1166" s="2" t="s">
        <v>61</v>
      </c>
      <c r="H1166" s="6" t="s">
        <v>2786</v>
      </c>
    </row>
    <row r="1167" spans="1:8" ht="22.5" customHeight="1" x14ac:dyDescent="0.25">
      <c r="A1167" s="14" t="s">
        <v>2788</v>
      </c>
      <c r="B1167" s="3" t="s">
        <v>906</v>
      </c>
      <c r="C1167" s="3" t="s">
        <v>2789</v>
      </c>
      <c r="D1167" s="3" t="s">
        <v>908</v>
      </c>
      <c r="E1167" s="3">
        <v>29.468399999999999</v>
      </c>
      <c r="F1167" s="3" t="s">
        <v>60</v>
      </c>
      <c r="G1167" s="3" t="s">
        <v>61</v>
      </c>
      <c r="H1167" s="6" t="s">
        <v>2788</v>
      </c>
    </row>
    <row r="1168" spans="1:8" ht="22.5" customHeight="1" x14ac:dyDescent="0.25">
      <c r="A1168" s="13" t="s">
        <v>2790</v>
      </c>
      <c r="B1168" s="2" t="s">
        <v>906</v>
      </c>
      <c r="C1168" s="2" t="s">
        <v>2791</v>
      </c>
      <c r="D1168" s="2" t="s">
        <v>908</v>
      </c>
      <c r="E1168" s="2">
        <v>29.468399999999999</v>
      </c>
      <c r="F1168" s="2" t="s">
        <v>60</v>
      </c>
      <c r="G1168" s="2" t="s">
        <v>61</v>
      </c>
      <c r="H1168" s="6" t="s">
        <v>2790</v>
      </c>
    </row>
    <row r="1169" spans="1:8" ht="22.5" customHeight="1" x14ac:dyDescent="0.25">
      <c r="A1169" s="14" t="s">
        <v>2792</v>
      </c>
      <c r="B1169" s="3" t="s">
        <v>665</v>
      </c>
      <c r="C1169" s="3" t="s">
        <v>2793</v>
      </c>
      <c r="D1169" s="3" t="s">
        <v>667</v>
      </c>
      <c r="E1169" s="3">
        <v>29.432400000000001</v>
      </c>
      <c r="F1169" s="3" t="s">
        <v>60</v>
      </c>
      <c r="G1169" s="3" t="s">
        <v>61</v>
      </c>
      <c r="H1169" s="6" t="s">
        <v>2792</v>
      </c>
    </row>
    <row r="1170" spans="1:8" ht="22.5" customHeight="1" x14ac:dyDescent="0.25">
      <c r="A1170" s="13" t="s">
        <v>2794</v>
      </c>
      <c r="B1170" s="2" t="s">
        <v>687</v>
      </c>
      <c r="C1170" s="2" t="s">
        <v>2795</v>
      </c>
      <c r="D1170" s="2" t="s">
        <v>689</v>
      </c>
      <c r="E1170" s="2">
        <v>34.045439999999999</v>
      </c>
      <c r="F1170" s="2" t="s">
        <v>60</v>
      </c>
      <c r="G1170" s="2" t="s">
        <v>61</v>
      </c>
      <c r="H1170" s="6" t="s">
        <v>2794</v>
      </c>
    </row>
    <row r="1171" spans="1:8" ht="22.5" customHeight="1" x14ac:dyDescent="0.25">
      <c r="A1171" s="14" t="s">
        <v>2796</v>
      </c>
      <c r="B1171" s="3" t="s">
        <v>644</v>
      </c>
      <c r="C1171" s="3" t="s">
        <v>2797</v>
      </c>
      <c r="D1171" s="3" t="s">
        <v>646</v>
      </c>
      <c r="E1171" s="3">
        <v>33.864400000000003</v>
      </c>
      <c r="F1171" s="3" t="s">
        <v>60</v>
      </c>
      <c r="G1171" s="3" t="s">
        <v>61</v>
      </c>
      <c r="H1171" s="6" t="s">
        <v>2796</v>
      </c>
    </row>
    <row r="1172" spans="1:8" ht="22.5" customHeight="1" x14ac:dyDescent="0.25">
      <c r="A1172" s="13" t="s">
        <v>2798</v>
      </c>
      <c r="B1172" s="2" t="s">
        <v>656</v>
      </c>
      <c r="C1172" s="2" t="s">
        <v>2799</v>
      </c>
      <c r="D1172" s="2" t="s">
        <v>658</v>
      </c>
      <c r="E1172" s="2">
        <v>30.368400000000001</v>
      </c>
      <c r="F1172" s="2" t="s">
        <v>60</v>
      </c>
      <c r="G1172" s="2" t="s">
        <v>61</v>
      </c>
      <c r="H1172" s="6" t="s">
        <v>2798</v>
      </c>
    </row>
    <row r="1173" spans="1:8" ht="22.5" customHeight="1" x14ac:dyDescent="0.25">
      <c r="A1173" s="14" t="s">
        <v>2800</v>
      </c>
      <c r="B1173" s="3" t="s">
        <v>656</v>
      </c>
      <c r="C1173" s="3" t="s">
        <v>2801</v>
      </c>
      <c r="D1173" s="3" t="s">
        <v>658</v>
      </c>
      <c r="E1173" s="3">
        <v>30.368400000000001</v>
      </c>
      <c r="F1173" s="3" t="s">
        <v>60</v>
      </c>
      <c r="G1173" s="3" t="s">
        <v>61</v>
      </c>
      <c r="H1173" s="6" t="s">
        <v>2800</v>
      </c>
    </row>
    <row r="1174" spans="1:8" ht="22.5" customHeight="1" x14ac:dyDescent="0.25">
      <c r="A1174" s="13" t="s">
        <v>2802</v>
      </c>
      <c r="B1174" s="2" t="s">
        <v>612</v>
      </c>
      <c r="C1174" s="2" t="s">
        <v>2803</v>
      </c>
      <c r="D1174" s="2" t="s">
        <v>614</v>
      </c>
      <c r="E1174" s="2">
        <v>29.712399999999999</v>
      </c>
      <c r="F1174" s="2" t="s">
        <v>60</v>
      </c>
      <c r="G1174" s="2" t="s">
        <v>61</v>
      </c>
      <c r="H1174" s="6" t="s">
        <v>2802</v>
      </c>
    </row>
    <row r="1175" spans="1:8" ht="22.5" customHeight="1" x14ac:dyDescent="0.25">
      <c r="A1175" s="14" t="s">
        <v>2804</v>
      </c>
      <c r="B1175" s="3" t="s">
        <v>612</v>
      </c>
      <c r="C1175" s="3" t="s">
        <v>2805</v>
      </c>
      <c r="D1175" s="3" t="s">
        <v>614</v>
      </c>
      <c r="E1175" s="3">
        <v>29.712399999999999</v>
      </c>
      <c r="F1175" s="3" t="s">
        <v>60</v>
      </c>
      <c r="G1175" s="3" t="s">
        <v>61</v>
      </c>
      <c r="H1175" s="6" t="s">
        <v>2804</v>
      </c>
    </row>
    <row r="1176" spans="1:8" ht="22.5" customHeight="1" x14ac:dyDescent="0.25">
      <c r="A1176" s="13" t="s">
        <v>2806</v>
      </c>
      <c r="B1176" s="2" t="s">
        <v>714</v>
      </c>
      <c r="C1176" s="2" t="s">
        <v>2807</v>
      </c>
      <c r="D1176" s="2" t="s">
        <v>716</v>
      </c>
      <c r="E1176" s="2">
        <v>34.793999999999997</v>
      </c>
      <c r="F1176" s="2" t="s">
        <v>60</v>
      </c>
      <c r="G1176" s="2" t="s">
        <v>61</v>
      </c>
      <c r="H1176" s="6" t="s">
        <v>2806</v>
      </c>
    </row>
    <row r="1177" spans="1:8" ht="22.5" customHeight="1" x14ac:dyDescent="0.25">
      <c r="A1177" s="14" t="s">
        <v>2808</v>
      </c>
      <c r="B1177" s="3" t="s">
        <v>681</v>
      </c>
      <c r="C1177" s="3" t="s">
        <v>2809</v>
      </c>
      <c r="D1177" s="3" t="s">
        <v>683</v>
      </c>
      <c r="E1177" s="3">
        <v>34.743600000000001</v>
      </c>
      <c r="F1177" s="3" t="s">
        <v>60</v>
      </c>
      <c r="G1177" s="3" t="s">
        <v>61</v>
      </c>
      <c r="H1177" s="6" t="s">
        <v>2808</v>
      </c>
    </row>
    <row r="1178" spans="1:8" ht="33.75" customHeight="1" x14ac:dyDescent="0.25">
      <c r="A1178" s="13" t="s">
        <v>2810</v>
      </c>
      <c r="B1178" s="2" t="s">
        <v>470</v>
      </c>
      <c r="C1178" s="2" t="s">
        <v>2811</v>
      </c>
      <c r="D1178" s="2" t="s">
        <v>472</v>
      </c>
      <c r="E1178" s="2">
        <v>30.052320000000002</v>
      </c>
      <c r="F1178" s="2" t="s">
        <v>60</v>
      </c>
      <c r="G1178" s="2" t="s">
        <v>61</v>
      </c>
      <c r="H1178" s="6" t="s">
        <v>2810</v>
      </c>
    </row>
    <row r="1179" spans="1:8" ht="33.75" customHeight="1" x14ac:dyDescent="0.25">
      <c r="A1179" s="14" t="s">
        <v>2812</v>
      </c>
      <c r="B1179" s="3" t="s">
        <v>470</v>
      </c>
      <c r="C1179" s="3" t="s">
        <v>2813</v>
      </c>
      <c r="D1179" s="3" t="s">
        <v>472</v>
      </c>
      <c r="E1179" s="3">
        <v>30.052320000000002</v>
      </c>
      <c r="F1179" s="3" t="s">
        <v>60</v>
      </c>
      <c r="G1179" s="3" t="s">
        <v>61</v>
      </c>
      <c r="H1179" s="6" t="s">
        <v>2812</v>
      </c>
    </row>
    <row r="1180" spans="1:8" ht="22.5" customHeight="1" x14ac:dyDescent="0.25">
      <c r="A1180" s="13" t="s">
        <v>2814</v>
      </c>
      <c r="B1180" s="2" t="s">
        <v>687</v>
      </c>
      <c r="C1180" s="2" t="s">
        <v>2815</v>
      </c>
      <c r="D1180" s="2" t="s">
        <v>689</v>
      </c>
      <c r="E1180" s="2">
        <v>34.045439999999999</v>
      </c>
      <c r="F1180" s="2" t="s">
        <v>60</v>
      </c>
      <c r="G1180" s="2" t="s">
        <v>61</v>
      </c>
      <c r="H1180" s="6" t="s">
        <v>2814</v>
      </c>
    </row>
    <row r="1181" spans="1:8" ht="22.5" customHeight="1" x14ac:dyDescent="0.25">
      <c r="A1181" s="14" t="s">
        <v>2816</v>
      </c>
      <c r="B1181" s="3" t="s">
        <v>650</v>
      </c>
      <c r="C1181" s="3" t="s">
        <v>2817</v>
      </c>
      <c r="D1181" s="3" t="s">
        <v>652</v>
      </c>
      <c r="E1181" s="3">
        <v>33.497</v>
      </c>
      <c r="F1181" s="3" t="s">
        <v>60</v>
      </c>
      <c r="G1181" s="3" t="s">
        <v>61</v>
      </c>
      <c r="H1181" s="6" t="s">
        <v>2816</v>
      </c>
    </row>
    <row r="1182" spans="1:8" ht="33.75" customHeight="1" x14ac:dyDescent="0.25">
      <c r="A1182" s="13" t="s">
        <v>2818</v>
      </c>
      <c r="B1182" s="2" t="s">
        <v>63</v>
      </c>
      <c r="C1182" s="2" t="s">
        <v>2819</v>
      </c>
      <c r="D1182" s="2" t="s">
        <v>65</v>
      </c>
      <c r="E1182" s="2">
        <v>31.412400000000002</v>
      </c>
      <c r="F1182" s="2" t="s">
        <v>60</v>
      </c>
      <c r="G1182" s="2" t="s">
        <v>61</v>
      </c>
      <c r="H1182" s="6" t="s">
        <v>2818</v>
      </c>
    </row>
    <row r="1183" spans="1:8" ht="33.75" customHeight="1" x14ac:dyDescent="0.25">
      <c r="A1183" s="14" t="s">
        <v>2820</v>
      </c>
      <c r="B1183" s="3" t="s">
        <v>69</v>
      </c>
      <c r="C1183" s="3" t="s">
        <v>2821</v>
      </c>
      <c r="D1183" s="3" t="s">
        <v>71</v>
      </c>
      <c r="E1183" s="3">
        <v>32.102400000000003</v>
      </c>
      <c r="F1183" s="3" t="s">
        <v>60</v>
      </c>
      <c r="G1183" s="3" t="s">
        <v>61</v>
      </c>
      <c r="H1183" s="6" t="s">
        <v>2820</v>
      </c>
    </row>
    <row r="1184" spans="1:8" ht="33.75" customHeight="1" x14ac:dyDescent="0.25">
      <c r="A1184" s="13" t="s">
        <v>2822</v>
      </c>
      <c r="B1184" s="2" t="s">
        <v>73</v>
      </c>
      <c r="C1184" s="2" t="s">
        <v>2823</v>
      </c>
      <c r="D1184" s="2" t="s">
        <v>75</v>
      </c>
      <c r="E1184" s="2">
        <v>31.538399999999999</v>
      </c>
      <c r="F1184" s="2" t="s">
        <v>60</v>
      </c>
      <c r="G1184" s="2" t="s">
        <v>61</v>
      </c>
      <c r="H1184" s="6" t="s">
        <v>2822</v>
      </c>
    </row>
    <row r="1185" spans="1:8" ht="33.75" customHeight="1" x14ac:dyDescent="0.25">
      <c r="A1185" s="14" t="s">
        <v>2824</v>
      </c>
      <c r="B1185" s="3" t="s">
        <v>69</v>
      </c>
      <c r="C1185" s="3" t="s">
        <v>2825</v>
      </c>
      <c r="D1185" s="3" t="s">
        <v>71</v>
      </c>
      <c r="E1185" s="3">
        <v>32.102400000000003</v>
      </c>
      <c r="F1185" s="3" t="s">
        <v>60</v>
      </c>
      <c r="G1185" s="3" t="s">
        <v>61</v>
      </c>
      <c r="H1185" s="6" t="s">
        <v>2824</v>
      </c>
    </row>
    <row r="1186" spans="1:8" ht="33.75" customHeight="1" x14ac:dyDescent="0.25">
      <c r="A1186" s="13" t="s">
        <v>2826</v>
      </c>
      <c r="B1186" s="2" t="s">
        <v>73</v>
      </c>
      <c r="C1186" s="2" t="s">
        <v>2827</v>
      </c>
      <c r="D1186" s="2" t="s">
        <v>75</v>
      </c>
      <c r="E1186" s="2">
        <v>31.538399999999999</v>
      </c>
      <c r="F1186" s="2" t="s">
        <v>60</v>
      </c>
      <c r="G1186" s="2" t="s">
        <v>61</v>
      </c>
      <c r="H1186" s="6" t="s">
        <v>2826</v>
      </c>
    </row>
    <row r="1187" spans="1:8" ht="33.75" customHeight="1" x14ac:dyDescent="0.25">
      <c r="A1187" s="14" t="s">
        <v>2828</v>
      </c>
      <c r="B1187" s="3" t="s">
        <v>63</v>
      </c>
      <c r="C1187" s="3" t="s">
        <v>2829</v>
      </c>
      <c r="D1187" s="3" t="s">
        <v>65</v>
      </c>
      <c r="E1187" s="3">
        <v>31.412400000000002</v>
      </c>
      <c r="F1187" s="3" t="s">
        <v>60</v>
      </c>
      <c r="G1187" s="3" t="s">
        <v>61</v>
      </c>
      <c r="H1187" s="6" t="s">
        <v>2828</v>
      </c>
    </row>
    <row r="1188" spans="1:8" ht="33.75" customHeight="1" x14ac:dyDescent="0.25">
      <c r="A1188" s="13" t="s">
        <v>2830</v>
      </c>
      <c r="B1188" s="2" t="s">
        <v>69</v>
      </c>
      <c r="C1188" s="2" t="s">
        <v>2831</v>
      </c>
      <c r="D1188" s="2" t="s">
        <v>71</v>
      </c>
      <c r="E1188" s="2">
        <v>32.102400000000003</v>
      </c>
      <c r="F1188" s="2" t="s">
        <v>60</v>
      </c>
      <c r="G1188" s="2" t="s">
        <v>61</v>
      </c>
      <c r="H1188" s="6" t="s">
        <v>2830</v>
      </c>
    </row>
    <row r="1189" spans="1:8" ht="33.75" customHeight="1" x14ac:dyDescent="0.25">
      <c r="A1189" s="14" t="s">
        <v>2832</v>
      </c>
      <c r="B1189" s="3" t="s">
        <v>69</v>
      </c>
      <c r="C1189" s="3" t="s">
        <v>2833</v>
      </c>
      <c r="D1189" s="3" t="s">
        <v>71</v>
      </c>
      <c r="E1189" s="3">
        <v>32.102400000000003</v>
      </c>
      <c r="F1189" s="3" t="s">
        <v>60</v>
      </c>
      <c r="G1189" s="3" t="s">
        <v>61</v>
      </c>
      <c r="H1189" s="6" t="s">
        <v>2832</v>
      </c>
    </row>
    <row r="1190" spans="1:8" ht="33.75" customHeight="1" x14ac:dyDescent="0.25">
      <c r="A1190" s="13" t="s">
        <v>2834</v>
      </c>
      <c r="B1190" s="2" t="s">
        <v>73</v>
      </c>
      <c r="C1190" s="2" t="s">
        <v>2835</v>
      </c>
      <c r="D1190" s="2" t="s">
        <v>75</v>
      </c>
      <c r="E1190" s="2">
        <v>31.538399999999999</v>
      </c>
      <c r="F1190" s="2" t="s">
        <v>60</v>
      </c>
      <c r="G1190" s="2" t="s">
        <v>61</v>
      </c>
      <c r="H1190" s="6" t="s">
        <v>2834</v>
      </c>
    </row>
    <row r="1191" spans="1:8" ht="33.75" customHeight="1" x14ac:dyDescent="0.25">
      <c r="A1191" s="14" t="s">
        <v>2836</v>
      </c>
      <c r="B1191" s="3" t="s">
        <v>226</v>
      </c>
      <c r="C1191" s="3" t="s">
        <v>2837</v>
      </c>
      <c r="D1191" s="3" t="s">
        <v>228</v>
      </c>
      <c r="E1191" s="3">
        <v>30.6632</v>
      </c>
      <c r="F1191" s="3" t="s">
        <v>60</v>
      </c>
      <c r="G1191" s="3" t="s">
        <v>61</v>
      </c>
      <c r="H1191" s="6" t="s">
        <v>2836</v>
      </c>
    </row>
    <row r="1192" spans="1:8" ht="33.75" customHeight="1" x14ac:dyDescent="0.25">
      <c r="A1192" s="13" t="s">
        <v>2838</v>
      </c>
      <c r="B1192" s="2" t="s">
        <v>1294</v>
      </c>
      <c r="C1192" s="2" t="s">
        <v>2839</v>
      </c>
      <c r="D1192" s="2" t="s">
        <v>1296</v>
      </c>
      <c r="E1192" s="2">
        <v>27.925999999999998</v>
      </c>
      <c r="F1192" s="2" t="s">
        <v>60</v>
      </c>
      <c r="G1192" s="2" t="s">
        <v>61</v>
      </c>
      <c r="H1192" s="6" t="s">
        <v>2838</v>
      </c>
    </row>
    <row r="1193" spans="1:8" ht="33.75" customHeight="1" x14ac:dyDescent="0.25">
      <c r="A1193" s="14" t="s">
        <v>2840</v>
      </c>
      <c r="B1193" s="3" t="s">
        <v>820</v>
      </c>
      <c r="C1193" s="3" t="s">
        <v>2841</v>
      </c>
      <c r="D1193" s="3" t="s">
        <v>822</v>
      </c>
      <c r="E1193" s="3">
        <v>27.639199999999999</v>
      </c>
      <c r="F1193" s="3" t="s">
        <v>60</v>
      </c>
      <c r="G1193" s="3" t="s">
        <v>61</v>
      </c>
      <c r="H1193" s="6" t="s">
        <v>2840</v>
      </c>
    </row>
    <row r="1194" spans="1:8" ht="33.75" customHeight="1" x14ac:dyDescent="0.25">
      <c r="A1194" s="13" t="s">
        <v>2842</v>
      </c>
      <c r="B1194" s="2" t="s">
        <v>1878</v>
      </c>
      <c r="C1194" s="2" t="s">
        <v>2843</v>
      </c>
      <c r="D1194" s="2" t="s">
        <v>1880</v>
      </c>
      <c r="E1194" s="2">
        <v>27.639199999999999</v>
      </c>
      <c r="F1194" s="2" t="s">
        <v>60</v>
      </c>
      <c r="G1194" s="2" t="s">
        <v>61</v>
      </c>
      <c r="H1194" s="6" t="s">
        <v>2842</v>
      </c>
    </row>
    <row r="1195" spans="1:8" ht="33.75" customHeight="1" x14ac:dyDescent="0.25">
      <c r="A1195" s="14" t="s">
        <v>2844</v>
      </c>
      <c r="B1195" s="3" t="s">
        <v>1878</v>
      </c>
      <c r="C1195" s="3" t="s">
        <v>2845</v>
      </c>
      <c r="D1195" s="3" t="s">
        <v>1880</v>
      </c>
      <c r="E1195" s="3">
        <v>27.639199999999999</v>
      </c>
      <c r="F1195" s="3" t="s">
        <v>60</v>
      </c>
      <c r="G1195" s="3" t="s">
        <v>61</v>
      </c>
      <c r="H1195" s="6" t="s">
        <v>2844</v>
      </c>
    </row>
    <row r="1196" spans="1:8" ht="33.75" customHeight="1" x14ac:dyDescent="0.25">
      <c r="A1196" s="13" t="s">
        <v>2846</v>
      </c>
      <c r="B1196" s="2" t="s">
        <v>2696</v>
      </c>
      <c r="C1196" s="2" t="s">
        <v>2847</v>
      </c>
      <c r="D1196" s="2" t="s">
        <v>2698</v>
      </c>
      <c r="E1196" s="2">
        <v>27.639199999999999</v>
      </c>
      <c r="F1196" s="2" t="s">
        <v>60</v>
      </c>
      <c r="G1196" s="2" t="s">
        <v>61</v>
      </c>
      <c r="H1196" s="6" t="s">
        <v>2846</v>
      </c>
    </row>
    <row r="1197" spans="1:8" ht="33.75" customHeight="1" x14ac:dyDescent="0.25">
      <c r="A1197" s="14" t="s">
        <v>2848</v>
      </c>
      <c r="B1197" s="3" t="s">
        <v>2536</v>
      </c>
      <c r="C1197" s="3" t="s">
        <v>2849</v>
      </c>
      <c r="D1197" s="3" t="s">
        <v>2538</v>
      </c>
      <c r="E1197" s="3">
        <v>30.193999999999999</v>
      </c>
      <c r="F1197" s="3" t="s">
        <v>60</v>
      </c>
      <c r="G1197" s="3" t="s">
        <v>61</v>
      </c>
      <c r="H1197" s="6" t="s">
        <v>2848</v>
      </c>
    </row>
    <row r="1198" spans="1:8" ht="22.5" customHeight="1" x14ac:dyDescent="0.25">
      <c r="A1198" s="13" t="s">
        <v>2850</v>
      </c>
      <c r="B1198" s="2" t="s">
        <v>820</v>
      </c>
      <c r="C1198" s="2" t="s">
        <v>2851</v>
      </c>
      <c r="D1198" s="2" t="s">
        <v>822</v>
      </c>
      <c r="E1198" s="2">
        <v>27.639199999999999</v>
      </c>
      <c r="F1198" s="2" t="s">
        <v>60</v>
      </c>
      <c r="G1198" s="2" t="s">
        <v>61</v>
      </c>
      <c r="H1198" s="6" t="s">
        <v>2850</v>
      </c>
    </row>
    <row r="1199" spans="1:8" ht="22.5" customHeight="1" x14ac:dyDescent="0.25">
      <c r="A1199" s="14" t="s">
        <v>2852</v>
      </c>
      <c r="B1199" s="3" t="s">
        <v>1878</v>
      </c>
      <c r="C1199" s="3" t="s">
        <v>2853</v>
      </c>
      <c r="D1199" s="3" t="s">
        <v>1880</v>
      </c>
      <c r="E1199" s="3">
        <v>27.639199999999999</v>
      </c>
      <c r="F1199" s="3" t="s">
        <v>60</v>
      </c>
      <c r="G1199" s="3" t="s">
        <v>61</v>
      </c>
      <c r="H1199" s="6" t="s">
        <v>2852</v>
      </c>
    </row>
    <row r="1200" spans="1:8" ht="22.5" customHeight="1" x14ac:dyDescent="0.25">
      <c r="A1200" s="13" t="s">
        <v>2854</v>
      </c>
      <c r="B1200" s="2" t="s">
        <v>1884</v>
      </c>
      <c r="C1200" s="2" t="s">
        <v>2855</v>
      </c>
      <c r="D1200" s="2" t="s">
        <v>1886</v>
      </c>
      <c r="E1200" s="2">
        <v>27.639199999999999</v>
      </c>
      <c r="F1200" s="2" t="s">
        <v>60</v>
      </c>
      <c r="G1200" s="2" t="s">
        <v>61</v>
      </c>
      <c r="H1200" s="6" t="s">
        <v>2854</v>
      </c>
    </row>
    <row r="1201" spans="1:8" ht="22.5" customHeight="1" x14ac:dyDescent="0.25">
      <c r="A1201" s="14" t="s">
        <v>2856</v>
      </c>
      <c r="B1201" s="3" t="s">
        <v>2696</v>
      </c>
      <c r="C1201" s="3" t="s">
        <v>2857</v>
      </c>
      <c r="D1201" s="3" t="s">
        <v>2698</v>
      </c>
      <c r="E1201" s="3">
        <v>27.639199999999999</v>
      </c>
      <c r="F1201" s="3" t="s">
        <v>60</v>
      </c>
      <c r="G1201" s="3" t="s">
        <v>61</v>
      </c>
      <c r="H1201" s="6" t="s">
        <v>2856</v>
      </c>
    </row>
    <row r="1202" spans="1:8" ht="33.75" customHeight="1" x14ac:dyDescent="0.25">
      <c r="A1202" s="13" t="s">
        <v>2858</v>
      </c>
      <c r="B1202" s="2" t="s">
        <v>2696</v>
      </c>
      <c r="C1202" s="2" t="s">
        <v>2859</v>
      </c>
      <c r="D1202" s="2" t="s">
        <v>2698</v>
      </c>
      <c r="E1202" s="2">
        <v>27.639199999999999</v>
      </c>
      <c r="F1202" s="2" t="s">
        <v>60</v>
      </c>
      <c r="G1202" s="2" t="s">
        <v>61</v>
      </c>
      <c r="H1202" s="6" t="s">
        <v>2858</v>
      </c>
    </row>
    <row r="1203" spans="1:8" ht="22.5" customHeight="1" x14ac:dyDescent="0.25">
      <c r="A1203" s="14" t="s">
        <v>2860</v>
      </c>
      <c r="B1203" s="3" t="s">
        <v>422</v>
      </c>
      <c r="C1203" s="3" t="s">
        <v>2861</v>
      </c>
      <c r="D1203" s="3" t="s">
        <v>424</v>
      </c>
      <c r="E1203" s="3">
        <v>30.7272</v>
      </c>
      <c r="F1203" s="3" t="s">
        <v>60</v>
      </c>
      <c r="G1203" s="3" t="s">
        <v>61</v>
      </c>
      <c r="H1203" s="6" t="s">
        <v>2860</v>
      </c>
    </row>
    <row r="1204" spans="1:8" ht="22.5" customHeight="1" x14ac:dyDescent="0.25">
      <c r="A1204" s="13" t="s">
        <v>2862</v>
      </c>
      <c r="B1204" s="2" t="s">
        <v>2037</v>
      </c>
      <c r="C1204" s="2" t="s">
        <v>2863</v>
      </c>
      <c r="D1204" s="2" t="s">
        <v>2039</v>
      </c>
      <c r="E1204" s="2">
        <v>31.226199999999999</v>
      </c>
      <c r="F1204" s="2" t="s">
        <v>60</v>
      </c>
      <c r="G1204" s="2" t="s">
        <v>61</v>
      </c>
      <c r="H1204" s="6" t="s">
        <v>2862</v>
      </c>
    </row>
    <row r="1205" spans="1:8" ht="33.75" customHeight="1" x14ac:dyDescent="0.25">
      <c r="A1205" s="14" t="s">
        <v>2864</v>
      </c>
      <c r="B1205" s="3" t="s">
        <v>89</v>
      </c>
      <c r="C1205" s="3" t="s">
        <v>539</v>
      </c>
      <c r="D1205" s="3" t="s">
        <v>91</v>
      </c>
      <c r="E1205" s="3">
        <v>32.389200000000002</v>
      </c>
      <c r="F1205" s="3" t="s">
        <v>60</v>
      </c>
      <c r="G1205" s="3" t="s">
        <v>61</v>
      </c>
      <c r="H1205" s="6" t="s">
        <v>2864</v>
      </c>
    </row>
    <row r="1206" spans="1:8" ht="33.75" customHeight="1" x14ac:dyDescent="0.25">
      <c r="A1206" s="13" t="s">
        <v>2865</v>
      </c>
      <c r="B1206" s="2" t="s">
        <v>63</v>
      </c>
      <c r="C1206" s="2" t="s">
        <v>2866</v>
      </c>
      <c r="D1206" s="2" t="s">
        <v>65</v>
      </c>
      <c r="E1206" s="2">
        <v>31.412400000000002</v>
      </c>
      <c r="F1206" s="2" t="s">
        <v>60</v>
      </c>
      <c r="G1206" s="2" t="s">
        <v>61</v>
      </c>
      <c r="H1206" s="6" t="s">
        <v>2865</v>
      </c>
    </row>
    <row r="1207" spans="1:8" ht="33.75" customHeight="1" x14ac:dyDescent="0.25">
      <c r="A1207" s="14" t="s">
        <v>2867</v>
      </c>
      <c r="B1207" s="3" t="s">
        <v>69</v>
      </c>
      <c r="C1207" s="3" t="s">
        <v>2868</v>
      </c>
      <c r="D1207" s="3" t="s">
        <v>71</v>
      </c>
      <c r="E1207" s="3">
        <v>32.102400000000003</v>
      </c>
      <c r="F1207" s="3" t="s">
        <v>60</v>
      </c>
      <c r="G1207" s="3" t="s">
        <v>61</v>
      </c>
      <c r="H1207" s="6" t="s">
        <v>2867</v>
      </c>
    </row>
    <row r="1208" spans="1:8" ht="33.75" customHeight="1" x14ac:dyDescent="0.25">
      <c r="A1208" s="13" t="s">
        <v>2869</v>
      </c>
      <c r="B1208" s="2" t="s">
        <v>69</v>
      </c>
      <c r="C1208" s="2" t="s">
        <v>2870</v>
      </c>
      <c r="D1208" s="2" t="s">
        <v>71</v>
      </c>
      <c r="E1208" s="2">
        <v>32.102400000000003</v>
      </c>
      <c r="F1208" s="2" t="s">
        <v>60</v>
      </c>
      <c r="G1208" s="2" t="s">
        <v>61</v>
      </c>
      <c r="H1208" s="6" t="s">
        <v>2869</v>
      </c>
    </row>
    <row r="1209" spans="1:8" ht="33.75" customHeight="1" x14ac:dyDescent="0.25">
      <c r="A1209" s="14" t="s">
        <v>2871</v>
      </c>
      <c r="B1209" s="3" t="s">
        <v>73</v>
      </c>
      <c r="C1209" s="3" t="s">
        <v>2872</v>
      </c>
      <c r="D1209" s="3" t="s">
        <v>75</v>
      </c>
      <c r="E1209" s="3">
        <v>31.538399999999999</v>
      </c>
      <c r="F1209" s="3" t="s">
        <v>60</v>
      </c>
      <c r="G1209" s="3" t="s">
        <v>61</v>
      </c>
      <c r="H1209" s="6" t="s">
        <v>2871</v>
      </c>
    </row>
    <row r="1210" spans="1:8" ht="33.75" customHeight="1" x14ac:dyDescent="0.25">
      <c r="A1210" s="13" t="s">
        <v>2873</v>
      </c>
      <c r="B1210" s="2" t="s">
        <v>63</v>
      </c>
      <c r="C1210" s="2" t="s">
        <v>2874</v>
      </c>
      <c r="D1210" s="2" t="s">
        <v>65</v>
      </c>
      <c r="E1210" s="2">
        <v>31.412400000000002</v>
      </c>
      <c r="F1210" s="2" t="s">
        <v>60</v>
      </c>
      <c r="G1210" s="2" t="s">
        <v>61</v>
      </c>
      <c r="H1210" s="6" t="s">
        <v>2873</v>
      </c>
    </row>
    <row r="1211" spans="1:8" ht="33.75" customHeight="1" x14ac:dyDescent="0.25">
      <c r="A1211" s="14" t="s">
        <v>2875</v>
      </c>
      <c r="B1211" s="3" t="s">
        <v>69</v>
      </c>
      <c r="C1211" s="3" t="s">
        <v>2876</v>
      </c>
      <c r="D1211" s="3" t="s">
        <v>71</v>
      </c>
      <c r="E1211" s="3">
        <v>32.102400000000003</v>
      </c>
      <c r="F1211" s="3" t="s">
        <v>60</v>
      </c>
      <c r="G1211" s="3" t="s">
        <v>61</v>
      </c>
      <c r="H1211" s="6" t="s">
        <v>2875</v>
      </c>
    </row>
    <row r="1212" spans="1:8" ht="33.75" customHeight="1" x14ac:dyDescent="0.25">
      <c r="A1212" s="13" t="s">
        <v>2877</v>
      </c>
      <c r="B1212" s="2" t="s">
        <v>73</v>
      </c>
      <c r="C1212" s="2" t="s">
        <v>2878</v>
      </c>
      <c r="D1212" s="2" t="s">
        <v>75</v>
      </c>
      <c r="E1212" s="2">
        <v>31.538399999999999</v>
      </c>
      <c r="F1212" s="2" t="s">
        <v>60</v>
      </c>
      <c r="G1212" s="2" t="s">
        <v>61</v>
      </c>
      <c r="H1212" s="6" t="s">
        <v>2877</v>
      </c>
    </row>
    <row r="1213" spans="1:8" ht="33.75" customHeight="1" x14ac:dyDescent="0.25">
      <c r="A1213" s="14" t="s">
        <v>2879</v>
      </c>
      <c r="B1213" s="3" t="s">
        <v>69</v>
      </c>
      <c r="C1213" s="3" t="s">
        <v>2880</v>
      </c>
      <c r="D1213" s="3" t="s">
        <v>71</v>
      </c>
      <c r="E1213" s="3">
        <v>32.102400000000003</v>
      </c>
      <c r="F1213" s="3" t="s">
        <v>60</v>
      </c>
      <c r="G1213" s="3" t="s">
        <v>61</v>
      </c>
      <c r="H1213" s="6" t="s">
        <v>2879</v>
      </c>
    </row>
    <row r="1214" spans="1:8" ht="33.75" customHeight="1" x14ac:dyDescent="0.25">
      <c r="A1214" s="13" t="s">
        <v>2881</v>
      </c>
      <c r="B1214" s="2" t="s">
        <v>73</v>
      </c>
      <c r="C1214" s="2" t="s">
        <v>2882</v>
      </c>
      <c r="D1214" s="2" t="s">
        <v>75</v>
      </c>
      <c r="E1214" s="2">
        <v>31.538399999999999</v>
      </c>
      <c r="F1214" s="2" t="s">
        <v>60</v>
      </c>
      <c r="G1214" s="2" t="s">
        <v>61</v>
      </c>
      <c r="H1214" s="6" t="s">
        <v>2881</v>
      </c>
    </row>
    <row r="1215" spans="1:8" ht="33.75" customHeight="1" x14ac:dyDescent="0.25">
      <c r="A1215" s="14" t="s">
        <v>2883</v>
      </c>
      <c r="B1215" s="3" t="s">
        <v>73</v>
      </c>
      <c r="C1215" s="3" t="s">
        <v>2884</v>
      </c>
      <c r="D1215" s="3" t="s">
        <v>75</v>
      </c>
      <c r="E1215" s="3">
        <v>31.538399999999999</v>
      </c>
      <c r="F1215" s="3" t="s">
        <v>60</v>
      </c>
      <c r="G1215" s="3" t="s">
        <v>61</v>
      </c>
      <c r="H1215" s="6" t="s">
        <v>2883</v>
      </c>
    </row>
    <row r="1216" spans="1:8" ht="33.75" customHeight="1" x14ac:dyDescent="0.25">
      <c r="A1216" s="13" t="s">
        <v>2885</v>
      </c>
      <c r="B1216" s="2" t="s">
        <v>63</v>
      </c>
      <c r="C1216" s="2" t="s">
        <v>2886</v>
      </c>
      <c r="D1216" s="2" t="s">
        <v>65</v>
      </c>
      <c r="E1216" s="2">
        <v>31.412400000000002</v>
      </c>
      <c r="F1216" s="2" t="s">
        <v>60</v>
      </c>
      <c r="G1216" s="2" t="s">
        <v>61</v>
      </c>
      <c r="H1216" s="6" t="s">
        <v>2885</v>
      </c>
    </row>
    <row r="1217" spans="1:8" ht="33.75" customHeight="1" x14ac:dyDescent="0.25">
      <c r="A1217" s="14" t="s">
        <v>2887</v>
      </c>
      <c r="B1217" s="3" t="s">
        <v>69</v>
      </c>
      <c r="C1217" s="3" t="s">
        <v>2888</v>
      </c>
      <c r="D1217" s="3" t="s">
        <v>71</v>
      </c>
      <c r="E1217" s="3">
        <v>32.102400000000003</v>
      </c>
      <c r="F1217" s="3" t="s">
        <v>60</v>
      </c>
      <c r="G1217" s="3" t="s">
        <v>61</v>
      </c>
      <c r="H1217" s="6" t="s">
        <v>2887</v>
      </c>
    </row>
    <row r="1218" spans="1:8" ht="33.75" customHeight="1" x14ac:dyDescent="0.25">
      <c r="A1218" s="13" t="s">
        <v>2889</v>
      </c>
      <c r="B1218" s="2" t="s">
        <v>73</v>
      </c>
      <c r="C1218" s="2" t="s">
        <v>2890</v>
      </c>
      <c r="D1218" s="2" t="s">
        <v>75</v>
      </c>
      <c r="E1218" s="2">
        <v>31.538399999999999</v>
      </c>
      <c r="F1218" s="2" t="s">
        <v>60</v>
      </c>
      <c r="G1218" s="2" t="s">
        <v>61</v>
      </c>
      <c r="H1218" s="6" t="s">
        <v>2889</v>
      </c>
    </row>
    <row r="1219" spans="1:8" ht="33.75" customHeight="1" x14ac:dyDescent="0.25">
      <c r="A1219" s="14" t="s">
        <v>2891</v>
      </c>
      <c r="B1219" s="3" t="s">
        <v>73</v>
      </c>
      <c r="C1219" s="3" t="s">
        <v>2892</v>
      </c>
      <c r="D1219" s="3" t="s">
        <v>75</v>
      </c>
      <c r="E1219" s="3">
        <v>31.538399999999999</v>
      </c>
      <c r="F1219" s="3" t="s">
        <v>60</v>
      </c>
      <c r="G1219" s="3" t="s">
        <v>61</v>
      </c>
      <c r="H1219" s="6" t="s">
        <v>2891</v>
      </c>
    </row>
    <row r="1220" spans="1:8" ht="33.75" customHeight="1" x14ac:dyDescent="0.25">
      <c r="A1220" s="13" t="s">
        <v>2893</v>
      </c>
      <c r="B1220" s="2" t="s">
        <v>2654</v>
      </c>
      <c r="C1220" s="2" t="s">
        <v>2894</v>
      </c>
      <c r="D1220" s="2" t="s">
        <v>2656</v>
      </c>
      <c r="E1220" s="2">
        <v>29.63</v>
      </c>
      <c r="F1220" s="2" t="s">
        <v>60</v>
      </c>
      <c r="G1220" s="2" t="s">
        <v>61</v>
      </c>
      <c r="H1220" s="6" t="s">
        <v>2893</v>
      </c>
    </row>
    <row r="1221" spans="1:8" ht="22.5" customHeight="1" x14ac:dyDescent="0.25">
      <c r="A1221" s="14" t="s">
        <v>2895</v>
      </c>
      <c r="B1221" s="3" t="s">
        <v>414</v>
      </c>
      <c r="C1221" s="3" t="s">
        <v>2896</v>
      </c>
      <c r="D1221" s="3" t="s">
        <v>416</v>
      </c>
      <c r="E1221" s="3">
        <v>31.0092</v>
      </c>
      <c r="F1221" s="3" t="s">
        <v>60</v>
      </c>
      <c r="G1221" s="3" t="s">
        <v>61</v>
      </c>
      <c r="H1221" s="6" t="s">
        <v>2895</v>
      </c>
    </row>
    <row r="1222" spans="1:8" ht="22.5" customHeight="1" x14ac:dyDescent="0.25">
      <c r="A1222" s="13" t="s">
        <v>2897</v>
      </c>
      <c r="B1222" s="2" t="s">
        <v>2898</v>
      </c>
      <c r="C1222" s="2" t="s">
        <v>2899</v>
      </c>
      <c r="D1222" s="2" t="s">
        <v>2900</v>
      </c>
      <c r="E1222" s="2">
        <v>28.617000000000001</v>
      </c>
      <c r="F1222" s="2" t="s">
        <v>60</v>
      </c>
      <c r="G1222" s="2" t="s">
        <v>61</v>
      </c>
      <c r="H1222" s="6" t="s">
        <v>2897</v>
      </c>
    </row>
    <row r="1223" spans="1:8" ht="22.5" customHeight="1" x14ac:dyDescent="0.25">
      <c r="A1223" s="14" t="s">
        <v>2901</v>
      </c>
      <c r="B1223" s="3" t="s">
        <v>1479</v>
      </c>
      <c r="C1223" s="3" t="s">
        <v>2902</v>
      </c>
      <c r="D1223" s="3" t="s">
        <v>1481</v>
      </c>
      <c r="E1223" s="3">
        <v>28.617000000000001</v>
      </c>
      <c r="F1223" s="3" t="s">
        <v>60</v>
      </c>
      <c r="G1223" s="3" t="s">
        <v>61</v>
      </c>
      <c r="H1223" s="6" t="s">
        <v>2901</v>
      </c>
    </row>
    <row r="1224" spans="1:8" ht="22.5" customHeight="1" x14ac:dyDescent="0.25">
      <c r="A1224" s="13" t="s">
        <v>2903</v>
      </c>
      <c r="B1224" s="2" t="s">
        <v>400</v>
      </c>
      <c r="C1224" s="2" t="s">
        <v>2904</v>
      </c>
      <c r="D1224" s="2" t="s">
        <v>402</v>
      </c>
      <c r="E1224" s="2">
        <v>34.332239999999999</v>
      </c>
      <c r="F1224" s="2" t="s">
        <v>60</v>
      </c>
      <c r="G1224" s="2" t="s">
        <v>61</v>
      </c>
      <c r="H1224" s="6" t="s">
        <v>2903</v>
      </c>
    </row>
    <row r="1225" spans="1:8" ht="22.5" customHeight="1" x14ac:dyDescent="0.25">
      <c r="A1225" s="14" t="s">
        <v>2905</v>
      </c>
      <c r="B1225" s="3" t="s">
        <v>386</v>
      </c>
      <c r="C1225" s="3" t="s">
        <v>2906</v>
      </c>
      <c r="D1225" s="3" t="s">
        <v>388</v>
      </c>
      <c r="E1225" s="3">
        <v>33.783799999999999</v>
      </c>
      <c r="F1225" s="3" t="s">
        <v>60</v>
      </c>
      <c r="G1225" s="3" t="s">
        <v>61</v>
      </c>
      <c r="H1225" s="6" t="s">
        <v>2905</v>
      </c>
    </row>
    <row r="1226" spans="1:8" ht="22.5" customHeight="1" x14ac:dyDescent="0.25">
      <c r="A1226" s="13" t="s">
        <v>2907</v>
      </c>
      <c r="B1226" s="2" t="s">
        <v>418</v>
      </c>
      <c r="C1226" s="2" t="s">
        <v>2908</v>
      </c>
      <c r="D1226" s="2" t="s">
        <v>420</v>
      </c>
      <c r="E1226" s="2">
        <v>30.655200000000001</v>
      </c>
      <c r="F1226" s="2" t="s">
        <v>60</v>
      </c>
      <c r="G1226" s="2" t="s">
        <v>61</v>
      </c>
      <c r="H1226" s="6" t="s">
        <v>2907</v>
      </c>
    </row>
    <row r="1227" spans="1:8" ht="22.5" customHeight="1" x14ac:dyDescent="0.25">
      <c r="A1227" s="14" t="s">
        <v>2909</v>
      </c>
      <c r="B1227" s="3" t="s">
        <v>418</v>
      </c>
      <c r="C1227" s="3" t="s">
        <v>2910</v>
      </c>
      <c r="D1227" s="3" t="s">
        <v>420</v>
      </c>
      <c r="E1227" s="3">
        <v>30.655200000000001</v>
      </c>
      <c r="F1227" s="3" t="s">
        <v>60</v>
      </c>
      <c r="G1227" s="3" t="s">
        <v>61</v>
      </c>
      <c r="H1227" s="6" t="s">
        <v>2909</v>
      </c>
    </row>
    <row r="1228" spans="1:8" ht="33.75" customHeight="1" x14ac:dyDescent="0.25">
      <c r="A1228" s="13" t="s">
        <v>2911</v>
      </c>
      <c r="B1228" s="2" t="s">
        <v>356</v>
      </c>
      <c r="C1228" s="2" t="s">
        <v>2912</v>
      </c>
      <c r="D1228" s="2" t="s">
        <v>358</v>
      </c>
      <c r="E1228" s="2">
        <v>29.5992</v>
      </c>
      <c r="F1228" s="2" t="s">
        <v>60</v>
      </c>
      <c r="G1228" s="2" t="s">
        <v>61</v>
      </c>
      <c r="H1228" s="6" t="s">
        <v>2911</v>
      </c>
    </row>
    <row r="1229" spans="1:8" ht="33.75" customHeight="1" x14ac:dyDescent="0.25">
      <c r="A1229" s="14" t="s">
        <v>2913</v>
      </c>
      <c r="B1229" s="3" t="s">
        <v>2373</v>
      </c>
      <c r="C1229" s="3" t="s">
        <v>2914</v>
      </c>
      <c r="D1229" s="3" t="s">
        <v>2375</v>
      </c>
      <c r="E1229" s="3">
        <v>28.649000000000001</v>
      </c>
      <c r="F1229" s="3" t="s">
        <v>60</v>
      </c>
      <c r="G1229" s="3" t="s">
        <v>61</v>
      </c>
      <c r="H1229" s="6" t="s">
        <v>2913</v>
      </c>
    </row>
    <row r="1230" spans="1:8" ht="33.75" customHeight="1" x14ac:dyDescent="0.25">
      <c r="A1230" s="13" t="s">
        <v>2915</v>
      </c>
      <c r="B1230" s="2" t="s">
        <v>422</v>
      </c>
      <c r="C1230" s="2" t="s">
        <v>2916</v>
      </c>
      <c r="D1230" s="2" t="s">
        <v>424</v>
      </c>
      <c r="E1230" s="2">
        <v>30.7272</v>
      </c>
      <c r="F1230" s="2" t="s">
        <v>60</v>
      </c>
      <c r="G1230" s="2" t="s">
        <v>61</v>
      </c>
      <c r="H1230" s="6" t="s">
        <v>2915</v>
      </c>
    </row>
    <row r="1231" spans="1:8" ht="33.75" customHeight="1" x14ac:dyDescent="0.25">
      <c r="A1231" s="14" t="s">
        <v>2917</v>
      </c>
      <c r="B1231" s="3" t="s">
        <v>846</v>
      </c>
      <c r="C1231" s="3" t="s">
        <v>2918</v>
      </c>
      <c r="D1231" s="3" t="s">
        <v>848</v>
      </c>
      <c r="E1231" s="3">
        <v>29.944199999999999</v>
      </c>
      <c r="F1231" s="3" t="s">
        <v>60</v>
      </c>
      <c r="G1231" s="3" t="s">
        <v>61</v>
      </c>
      <c r="H1231" s="6" t="s">
        <v>2917</v>
      </c>
    </row>
    <row r="1232" spans="1:8" ht="33.75" customHeight="1" x14ac:dyDescent="0.25">
      <c r="A1232" s="13" t="s">
        <v>2919</v>
      </c>
      <c r="B1232" s="2" t="s">
        <v>273</v>
      </c>
      <c r="C1232" s="2" t="s">
        <v>2920</v>
      </c>
      <c r="D1232" s="2" t="s">
        <v>275</v>
      </c>
      <c r="E1232" s="2">
        <v>30.084199999999999</v>
      </c>
      <c r="F1232" s="2" t="s">
        <v>60</v>
      </c>
      <c r="G1232" s="2" t="s">
        <v>61</v>
      </c>
      <c r="H1232" s="6" t="s">
        <v>2919</v>
      </c>
    </row>
    <row r="1233" spans="1:8" ht="33.75" customHeight="1" x14ac:dyDescent="0.25">
      <c r="A1233" s="14" t="s">
        <v>2921</v>
      </c>
      <c r="B1233" s="3" t="s">
        <v>277</v>
      </c>
      <c r="C1233" s="3" t="s">
        <v>2922</v>
      </c>
      <c r="D1233" s="3" t="s">
        <v>279</v>
      </c>
      <c r="E1233" s="3">
        <v>29.7592</v>
      </c>
      <c r="F1233" s="3" t="s">
        <v>60</v>
      </c>
      <c r="G1233" s="3" t="s">
        <v>61</v>
      </c>
      <c r="H1233" s="6" t="s">
        <v>2921</v>
      </c>
    </row>
    <row r="1234" spans="1:8" ht="33.75" customHeight="1" x14ac:dyDescent="0.25">
      <c r="A1234" s="13" t="s">
        <v>2923</v>
      </c>
      <c r="B1234" s="2" t="s">
        <v>372</v>
      </c>
      <c r="C1234" s="2" t="s">
        <v>2924</v>
      </c>
      <c r="D1234" s="2" t="s">
        <v>374</v>
      </c>
      <c r="E1234" s="2">
        <v>32.852400000000003</v>
      </c>
      <c r="F1234" s="2" t="s">
        <v>60</v>
      </c>
      <c r="G1234" s="2" t="s">
        <v>61</v>
      </c>
      <c r="H1234" s="6" t="s">
        <v>2923</v>
      </c>
    </row>
    <row r="1235" spans="1:8" ht="33.75" customHeight="1" x14ac:dyDescent="0.25">
      <c r="A1235" s="14" t="s">
        <v>2925</v>
      </c>
      <c r="B1235" s="3" t="s">
        <v>372</v>
      </c>
      <c r="C1235" s="3" t="s">
        <v>2926</v>
      </c>
      <c r="D1235" s="3" t="s">
        <v>374</v>
      </c>
      <c r="E1235" s="3">
        <v>32.852400000000003</v>
      </c>
      <c r="F1235" s="3" t="s">
        <v>60</v>
      </c>
      <c r="G1235" s="3" t="s">
        <v>61</v>
      </c>
      <c r="H1235" s="6" t="s">
        <v>2925</v>
      </c>
    </row>
    <row r="1236" spans="1:8" ht="22.5" customHeight="1" x14ac:dyDescent="0.25">
      <c r="A1236" s="13" t="s">
        <v>2927</v>
      </c>
      <c r="B1236" s="2" t="s">
        <v>400</v>
      </c>
      <c r="C1236" s="2" t="s">
        <v>1447</v>
      </c>
      <c r="D1236" s="2" t="s">
        <v>402</v>
      </c>
      <c r="E1236" s="2">
        <v>34.332239999999999</v>
      </c>
      <c r="F1236" s="2" t="s">
        <v>60</v>
      </c>
      <c r="G1236" s="2" t="s">
        <v>61</v>
      </c>
      <c r="H1236" s="6" t="s">
        <v>2927</v>
      </c>
    </row>
    <row r="1237" spans="1:8" ht="33.75" customHeight="1" x14ac:dyDescent="0.25">
      <c r="A1237" s="14" t="s">
        <v>2928</v>
      </c>
      <c r="B1237" s="3" t="s">
        <v>89</v>
      </c>
      <c r="C1237" s="3" t="s">
        <v>2929</v>
      </c>
      <c r="D1237" s="3" t="s">
        <v>91</v>
      </c>
      <c r="E1237" s="3">
        <v>32.389200000000002</v>
      </c>
      <c r="F1237" s="3" t="s">
        <v>60</v>
      </c>
      <c r="G1237" s="3" t="s">
        <v>61</v>
      </c>
      <c r="H1237" s="6" t="s">
        <v>2928</v>
      </c>
    </row>
    <row r="1238" spans="1:8" ht="22.5" customHeight="1" x14ac:dyDescent="0.25">
      <c r="A1238" s="13" t="s">
        <v>2930</v>
      </c>
      <c r="B1238" s="2" t="s">
        <v>2391</v>
      </c>
      <c r="C1238" s="2" t="s">
        <v>2931</v>
      </c>
      <c r="D1238" s="2" t="s">
        <v>2393</v>
      </c>
      <c r="E1238" s="2">
        <v>32.3872</v>
      </c>
      <c r="F1238" s="2" t="s">
        <v>60</v>
      </c>
      <c r="G1238" s="2" t="s">
        <v>61</v>
      </c>
      <c r="H1238" s="6" t="s">
        <v>2930</v>
      </c>
    </row>
    <row r="1239" spans="1:8" ht="33.75" customHeight="1" x14ac:dyDescent="0.25">
      <c r="A1239" s="14" t="s">
        <v>2932</v>
      </c>
      <c r="B1239" s="3" t="s">
        <v>226</v>
      </c>
      <c r="C1239" s="3" t="s">
        <v>2933</v>
      </c>
      <c r="D1239" s="3" t="s">
        <v>228</v>
      </c>
      <c r="E1239" s="3">
        <v>30.6632</v>
      </c>
      <c r="F1239" s="3" t="s">
        <v>60</v>
      </c>
      <c r="G1239" s="3" t="s">
        <v>61</v>
      </c>
      <c r="H1239" s="6" t="s">
        <v>2932</v>
      </c>
    </row>
    <row r="1240" spans="1:8" ht="33.75" customHeight="1" x14ac:dyDescent="0.25">
      <c r="A1240" s="13" t="s">
        <v>2934</v>
      </c>
      <c r="B1240" s="2" t="s">
        <v>112</v>
      </c>
      <c r="C1240" s="2" t="s">
        <v>2935</v>
      </c>
      <c r="D1240" s="2" t="s">
        <v>114</v>
      </c>
      <c r="E1240" s="2">
        <v>30.7682</v>
      </c>
      <c r="F1240" s="2" t="s">
        <v>60</v>
      </c>
      <c r="G1240" s="2" t="s">
        <v>61</v>
      </c>
      <c r="H1240" s="6" t="s">
        <v>2934</v>
      </c>
    </row>
    <row r="1241" spans="1:8" ht="22.5" customHeight="1" x14ac:dyDescent="0.25">
      <c r="A1241" s="14" t="s">
        <v>2936</v>
      </c>
      <c r="B1241" s="3" t="s">
        <v>1151</v>
      </c>
      <c r="C1241" s="3" t="s">
        <v>1175</v>
      </c>
      <c r="D1241" s="3" t="s">
        <v>1153</v>
      </c>
      <c r="E1241" s="3">
        <v>30.6372</v>
      </c>
      <c r="F1241" s="3" t="s">
        <v>60</v>
      </c>
      <c r="G1241" s="3" t="s">
        <v>61</v>
      </c>
      <c r="H1241" s="6" t="s">
        <v>2936</v>
      </c>
    </row>
    <row r="1242" spans="1:8" ht="33.75" customHeight="1" x14ac:dyDescent="0.25">
      <c r="A1242" s="13" t="s">
        <v>2937</v>
      </c>
      <c r="B1242" s="2" t="s">
        <v>77</v>
      </c>
      <c r="C1242" s="2" t="s">
        <v>2938</v>
      </c>
      <c r="D1242" s="2" t="s">
        <v>79</v>
      </c>
      <c r="E1242" s="2">
        <v>31.699200000000001</v>
      </c>
      <c r="F1242" s="2" t="s">
        <v>60</v>
      </c>
      <c r="G1242" s="2" t="s">
        <v>61</v>
      </c>
      <c r="H1242" s="6" t="s">
        <v>2937</v>
      </c>
    </row>
    <row r="1243" spans="1:8" ht="33.75" customHeight="1" x14ac:dyDescent="0.25">
      <c r="A1243" s="14" t="s">
        <v>2939</v>
      </c>
      <c r="B1243" s="3" t="s">
        <v>89</v>
      </c>
      <c r="C1243" s="3" t="s">
        <v>2940</v>
      </c>
      <c r="D1243" s="3" t="s">
        <v>91</v>
      </c>
      <c r="E1243" s="3">
        <v>32.389200000000002</v>
      </c>
      <c r="F1243" s="3" t="s">
        <v>60</v>
      </c>
      <c r="G1243" s="3" t="s">
        <v>61</v>
      </c>
      <c r="H1243" s="6" t="s">
        <v>2939</v>
      </c>
    </row>
    <row r="1244" spans="1:8" ht="33.75" customHeight="1" x14ac:dyDescent="0.25">
      <c r="A1244" s="13" t="s">
        <v>2941</v>
      </c>
      <c r="B1244" s="2" t="s">
        <v>57</v>
      </c>
      <c r="C1244" s="2" t="s">
        <v>2942</v>
      </c>
      <c r="D1244" s="2" t="s">
        <v>59</v>
      </c>
      <c r="E1244" s="2">
        <v>31.825199999999999</v>
      </c>
      <c r="F1244" s="2" t="s">
        <v>60</v>
      </c>
      <c r="G1244" s="2" t="s">
        <v>61</v>
      </c>
      <c r="H1244" s="6" t="s">
        <v>2941</v>
      </c>
    </row>
    <row r="1245" spans="1:8" ht="22.5" customHeight="1" x14ac:dyDescent="0.25">
      <c r="A1245" s="14" t="s">
        <v>2943</v>
      </c>
      <c r="B1245" s="3" t="s">
        <v>418</v>
      </c>
      <c r="C1245" s="3" t="s">
        <v>2944</v>
      </c>
      <c r="D1245" s="3" t="s">
        <v>420</v>
      </c>
      <c r="E1245" s="3">
        <v>30.655200000000001</v>
      </c>
      <c r="F1245" s="3" t="s">
        <v>60</v>
      </c>
      <c r="G1245" s="3" t="s">
        <v>61</v>
      </c>
      <c r="H1245" s="6" t="s">
        <v>2943</v>
      </c>
    </row>
    <row r="1246" spans="1:8" ht="45" customHeight="1" x14ac:dyDescent="0.25">
      <c r="A1246" s="13" t="s">
        <v>2945</v>
      </c>
      <c r="B1246" s="2" t="s">
        <v>142</v>
      </c>
      <c r="C1246" s="2" t="s">
        <v>2946</v>
      </c>
      <c r="D1246" s="2" t="s">
        <v>144</v>
      </c>
      <c r="E1246" s="2"/>
      <c r="F1246" s="2" t="s">
        <v>145</v>
      </c>
      <c r="G1246" s="2" t="s">
        <v>146</v>
      </c>
      <c r="H1246" s="6" t="s">
        <v>2945</v>
      </c>
    </row>
    <row r="1247" spans="1:8" ht="33.75" customHeight="1" x14ac:dyDescent="0.25">
      <c r="A1247" s="14" t="s">
        <v>2947</v>
      </c>
      <c r="B1247" s="3" t="s">
        <v>89</v>
      </c>
      <c r="C1247" s="3" t="s">
        <v>2948</v>
      </c>
      <c r="D1247" s="3" t="s">
        <v>91</v>
      </c>
      <c r="E1247" s="3">
        <v>32.389200000000002</v>
      </c>
      <c r="F1247" s="3" t="s">
        <v>60</v>
      </c>
      <c r="G1247" s="3" t="s">
        <v>61</v>
      </c>
      <c r="H1247" s="6" t="s">
        <v>2947</v>
      </c>
    </row>
    <row r="1248" spans="1:8" ht="33.75" customHeight="1" x14ac:dyDescent="0.25">
      <c r="A1248" s="13" t="s">
        <v>2949</v>
      </c>
      <c r="B1248" s="2" t="s">
        <v>57</v>
      </c>
      <c r="C1248" s="2" t="s">
        <v>2950</v>
      </c>
      <c r="D1248" s="2" t="s">
        <v>59</v>
      </c>
      <c r="E1248" s="2">
        <v>31.825199999999999</v>
      </c>
      <c r="F1248" s="2" t="s">
        <v>60</v>
      </c>
      <c r="G1248" s="2" t="s">
        <v>61</v>
      </c>
      <c r="H1248" s="6" t="s">
        <v>2949</v>
      </c>
    </row>
    <row r="1249" spans="1:8" ht="22.5" customHeight="1" x14ac:dyDescent="0.25">
      <c r="A1249" s="14" t="s">
        <v>2951</v>
      </c>
      <c r="B1249" s="3" t="s">
        <v>515</v>
      </c>
      <c r="C1249" s="3" t="s">
        <v>2952</v>
      </c>
      <c r="D1249" s="3" t="s">
        <v>517</v>
      </c>
      <c r="E1249" s="3">
        <v>29.3124</v>
      </c>
      <c r="F1249" s="3" t="s">
        <v>60</v>
      </c>
      <c r="G1249" s="3" t="s">
        <v>61</v>
      </c>
      <c r="H1249" s="6" t="s">
        <v>2951</v>
      </c>
    </row>
    <row r="1250" spans="1:8" ht="22.5" customHeight="1" x14ac:dyDescent="0.25">
      <c r="A1250" s="13" t="s">
        <v>2953</v>
      </c>
      <c r="B1250" s="2" t="s">
        <v>1727</v>
      </c>
      <c r="C1250" s="2" t="s">
        <v>2954</v>
      </c>
      <c r="D1250" s="2" t="s">
        <v>1729</v>
      </c>
      <c r="E1250" s="2">
        <v>29.0792</v>
      </c>
      <c r="F1250" s="2" t="s">
        <v>60</v>
      </c>
      <c r="G1250" s="2" t="s">
        <v>61</v>
      </c>
      <c r="H1250" s="6" t="s">
        <v>2953</v>
      </c>
    </row>
    <row r="1251" spans="1:8" ht="33.75" customHeight="1" x14ac:dyDescent="0.25">
      <c r="A1251" s="14" t="s">
        <v>2955</v>
      </c>
      <c r="B1251" s="3" t="s">
        <v>378</v>
      </c>
      <c r="C1251" s="3" t="s">
        <v>2956</v>
      </c>
      <c r="D1251" s="3" t="s">
        <v>380</v>
      </c>
      <c r="E1251" s="3">
        <v>29.743200000000002</v>
      </c>
      <c r="F1251" s="3" t="s">
        <v>60</v>
      </c>
      <c r="G1251" s="3" t="s">
        <v>61</v>
      </c>
      <c r="H1251" s="6" t="s">
        <v>2955</v>
      </c>
    </row>
    <row r="1252" spans="1:8" ht="33.75" customHeight="1" x14ac:dyDescent="0.25">
      <c r="A1252" s="13" t="s">
        <v>2957</v>
      </c>
      <c r="B1252" s="2" t="s">
        <v>57</v>
      </c>
      <c r="C1252" s="2" t="s">
        <v>2958</v>
      </c>
      <c r="D1252" s="2" t="s">
        <v>59</v>
      </c>
      <c r="E1252" s="2">
        <v>31.825199999999999</v>
      </c>
      <c r="F1252" s="2" t="s">
        <v>60</v>
      </c>
      <c r="G1252" s="2" t="s">
        <v>61</v>
      </c>
      <c r="H1252" s="6" t="s">
        <v>2957</v>
      </c>
    </row>
    <row r="1253" spans="1:8" ht="22.5" customHeight="1" x14ac:dyDescent="0.25">
      <c r="A1253" s="14" t="s">
        <v>2959</v>
      </c>
      <c r="B1253" s="3" t="s">
        <v>2960</v>
      </c>
      <c r="C1253" s="3" t="s">
        <v>2961</v>
      </c>
      <c r="D1253" s="3" t="s">
        <v>2962</v>
      </c>
      <c r="E1253" s="3">
        <v>47.458399999999997</v>
      </c>
      <c r="F1253" s="3" t="s">
        <v>60</v>
      </c>
      <c r="G1253" s="3" t="s">
        <v>61</v>
      </c>
      <c r="H1253" s="6" t="s">
        <v>2959</v>
      </c>
    </row>
    <row r="1254" spans="1:8" ht="22.5" customHeight="1" x14ac:dyDescent="0.25">
      <c r="A1254" s="13" t="s">
        <v>2963</v>
      </c>
      <c r="B1254" s="2" t="s">
        <v>324</v>
      </c>
      <c r="C1254" s="2" t="s">
        <v>2964</v>
      </c>
      <c r="D1254" s="2" t="s">
        <v>326</v>
      </c>
      <c r="E1254" s="2">
        <v>29.719200000000001</v>
      </c>
      <c r="F1254" s="2" t="s">
        <v>60</v>
      </c>
      <c r="G1254" s="2" t="s">
        <v>61</v>
      </c>
      <c r="H1254" s="6" t="s">
        <v>2963</v>
      </c>
    </row>
    <row r="1255" spans="1:8" ht="22.5" customHeight="1" x14ac:dyDescent="0.25">
      <c r="A1255" s="14" t="s">
        <v>2965</v>
      </c>
      <c r="B1255" s="3" t="s">
        <v>356</v>
      </c>
      <c r="C1255" s="3" t="s">
        <v>2966</v>
      </c>
      <c r="D1255" s="3" t="s">
        <v>358</v>
      </c>
      <c r="E1255" s="3">
        <v>29.5992</v>
      </c>
      <c r="F1255" s="3" t="s">
        <v>60</v>
      </c>
      <c r="G1255" s="3" t="s">
        <v>61</v>
      </c>
      <c r="H1255" s="6" t="s">
        <v>2965</v>
      </c>
    </row>
    <row r="1256" spans="1:8" ht="22.5" customHeight="1" x14ac:dyDescent="0.25">
      <c r="A1256" s="13" t="s">
        <v>2967</v>
      </c>
      <c r="B1256" s="2" t="s">
        <v>422</v>
      </c>
      <c r="C1256" s="2" t="s">
        <v>2968</v>
      </c>
      <c r="D1256" s="2" t="s">
        <v>424</v>
      </c>
      <c r="E1256" s="2">
        <v>30.7272</v>
      </c>
      <c r="F1256" s="2" t="s">
        <v>60</v>
      </c>
      <c r="G1256" s="2" t="s">
        <v>61</v>
      </c>
      <c r="H1256" s="6" t="s">
        <v>2967</v>
      </c>
    </row>
    <row r="1257" spans="1:8" ht="33.75" customHeight="1" x14ac:dyDescent="0.25">
      <c r="A1257" s="14" t="s">
        <v>2969</v>
      </c>
      <c r="B1257" s="3" t="s">
        <v>156</v>
      </c>
      <c r="C1257" s="3" t="s">
        <v>2970</v>
      </c>
      <c r="D1257" s="3" t="s">
        <v>158</v>
      </c>
      <c r="E1257" s="3">
        <v>30.987200000000001</v>
      </c>
      <c r="F1257" s="3" t="s">
        <v>60</v>
      </c>
      <c r="G1257" s="3" t="s">
        <v>61</v>
      </c>
      <c r="H1257" s="6" t="s">
        <v>2969</v>
      </c>
    </row>
    <row r="1258" spans="1:8" ht="33.75" customHeight="1" x14ac:dyDescent="0.25">
      <c r="A1258" s="13" t="s">
        <v>2971</v>
      </c>
      <c r="B1258" s="2" t="s">
        <v>1151</v>
      </c>
      <c r="C1258" s="2" t="s">
        <v>2972</v>
      </c>
      <c r="D1258" s="2" t="s">
        <v>1153</v>
      </c>
      <c r="E1258" s="2">
        <v>30.6372</v>
      </c>
      <c r="F1258" s="2" t="s">
        <v>60</v>
      </c>
      <c r="G1258" s="2" t="s">
        <v>61</v>
      </c>
      <c r="H1258" s="6" t="s">
        <v>2971</v>
      </c>
    </row>
    <row r="1259" spans="1:8" ht="33.75" customHeight="1" x14ac:dyDescent="0.25">
      <c r="A1259" s="14" t="s">
        <v>2973</v>
      </c>
      <c r="B1259" s="3" t="s">
        <v>414</v>
      </c>
      <c r="C1259" s="3" t="s">
        <v>2974</v>
      </c>
      <c r="D1259" s="3" t="s">
        <v>416</v>
      </c>
      <c r="E1259" s="3">
        <v>31.0092</v>
      </c>
      <c r="F1259" s="3" t="s">
        <v>60</v>
      </c>
      <c r="G1259" s="3" t="s">
        <v>61</v>
      </c>
      <c r="H1259" s="6" t="s">
        <v>2973</v>
      </c>
    </row>
    <row r="1260" spans="1:8" ht="33.75" customHeight="1" x14ac:dyDescent="0.25">
      <c r="A1260" s="13" t="s">
        <v>2975</v>
      </c>
      <c r="B1260" s="2" t="s">
        <v>418</v>
      </c>
      <c r="C1260" s="2" t="s">
        <v>2976</v>
      </c>
      <c r="D1260" s="2" t="s">
        <v>420</v>
      </c>
      <c r="E1260" s="2">
        <v>30.655200000000001</v>
      </c>
      <c r="F1260" s="2" t="s">
        <v>60</v>
      </c>
      <c r="G1260" s="2" t="s">
        <v>61</v>
      </c>
      <c r="H1260" s="6" t="s">
        <v>2975</v>
      </c>
    </row>
    <row r="1261" spans="1:8" ht="22.5" customHeight="1" x14ac:dyDescent="0.25">
      <c r="A1261" s="14" t="s">
        <v>2977</v>
      </c>
      <c r="B1261" s="3" t="s">
        <v>366</v>
      </c>
      <c r="C1261" s="3" t="s">
        <v>2978</v>
      </c>
      <c r="D1261" s="3" t="s">
        <v>368</v>
      </c>
      <c r="E1261" s="3">
        <v>32.983400000000003</v>
      </c>
      <c r="F1261" s="3" t="s">
        <v>60</v>
      </c>
      <c r="G1261" s="3" t="s">
        <v>61</v>
      </c>
      <c r="H1261" s="6" t="s">
        <v>2977</v>
      </c>
    </row>
    <row r="1262" spans="1:8" ht="22.5" customHeight="1" x14ac:dyDescent="0.25">
      <c r="A1262" s="13" t="s">
        <v>2979</v>
      </c>
      <c r="B1262" s="2" t="s">
        <v>356</v>
      </c>
      <c r="C1262" s="2" t="s">
        <v>2980</v>
      </c>
      <c r="D1262" s="2" t="s">
        <v>358</v>
      </c>
      <c r="E1262" s="2">
        <v>29.5992</v>
      </c>
      <c r="F1262" s="2" t="s">
        <v>60</v>
      </c>
      <c r="G1262" s="2" t="s">
        <v>61</v>
      </c>
      <c r="H1262" s="6" t="s">
        <v>2979</v>
      </c>
    </row>
    <row r="1263" spans="1:8" ht="33.75" customHeight="1" x14ac:dyDescent="0.25">
      <c r="A1263" s="14" t="s">
        <v>2981</v>
      </c>
      <c r="B1263" s="3" t="s">
        <v>89</v>
      </c>
      <c r="C1263" s="3" t="s">
        <v>2982</v>
      </c>
      <c r="D1263" s="3" t="s">
        <v>91</v>
      </c>
      <c r="E1263" s="3">
        <v>32.389200000000002</v>
      </c>
      <c r="F1263" s="3" t="s">
        <v>60</v>
      </c>
      <c r="G1263" s="3" t="s">
        <v>61</v>
      </c>
      <c r="H1263" s="6" t="s">
        <v>2981</v>
      </c>
    </row>
    <row r="1264" spans="1:8" ht="33.75" customHeight="1" x14ac:dyDescent="0.25">
      <c r="A1264" s="13" t="s">
        <v>2983</v>
      </c>
      <c r="B1264" s="2" t="s">
        <v>57</v>
      </c>
      <c r="C1264" s="2" t="s">
        <v>2984</v>
      </c>
      <c r="D1264" s="2" t="s">
        <v>59</v>
      </c>
      <c r="E1264" s="2">
        <v>31.825199999999999</v>
      </c>
      <c r="F1264" s="2" t="s">
        <v>60</v>
      </c>
      <c r="G1264" s="2" t="s">
        <v>61</v>
      </c>
      <c r="H1264" s="6" t="s">
        <v>2983</v>
      </c>
    </row>
    <row r="1265" spans="1:8" ht="22.5" customHeight="1" x14ac:dyDescent="0.25">
      <c r="A1265" s="14" t="s">
        <v>2985</v>
      </c>
      <c r="B1265" s="3" t="s">
        <v>681</v>
      </c>
      <c r="C1265" s="3" t="s">
        <v>2986</v>
      </c>
      <c r="D1265" s="3" t="s">
        <v>683</v>
      </c>
      <c r="E1265" s="3">
        <v>34.743600000000001</v>
      </c>
      <c r="F1265" s="3" t="s">
        <v>60</v>
      </c>
      <c r="G1265" s="3" t="s">
        <v>61</v>
      </c>
      <c r="H1265" s="6" t="s">
        <v>2985</v>
      </c>
    </row>
    <row r="1266" spans="1:8" ht="22.5" customHeight="1" x14ac:dyDescent="0.25">
      <c r="A1266" s="13" t="s">
        <v>2987</v>
      </c>
      <c r="B1266" s="2" t="s">
        <v>1715</v>
      </c>
      <c r="C1266" s="2" t="s">
        <v>2988</v>
      </c>
      <c r="D1266" s="2" t="s">
        <v>1717</v>
      </c>
      <c r="E1266" s="2">
        <v>29.805199999999999</v>
      </c>
      <c r="F1266" s="2" t="s">
        <v>60</v>
      </c>
      <c r="G1266" s="2" t="s">
        <v>61</v>
      </c>
      <c r="H1266" s="6" t="s">
        <v>2987</v>
      </c>
    </row>
    <row r="1267" spans="1:8" ht="22.5" customHeight="1" x14ac:dyDescent="0.25">
      <c r="A1267" s="14" t="s">
        <v>2989</v>
      </c>
      <c r="B1267" s="3" t="s">
        <v>1719</v>
      </c>
      <c r="C1267" s="3" t="s">
        <v>2990</v>
      </c>
      <c r="D1267" s="3" t="s">
        <v>1721</v>
      </c>
      <c r="E1267" s="3">
        <v>29.3232</v>
      </c>
      <c r="F1267" s="3" t="s">
        <v>60</v>
      </c>
      <c r="G1267" s="3" t="s">
        <v>61</v>
      </c>
      <c r="H1267" s="6" t="s">
        <v>2989</v>
      </c>
    </row>
    <row r="1268" spans="1:8" ht="22.5" customHeight="1" x14ac:dyDescent="0.25">
      <c r="A1268" s="13" t="s">
        <v>2991</v>
      </c>
      <c r="B1268" s="2" t="s">
        <v>1723</v>
      </c>
      <c r="C1268" s="2" t="s">
        <v>2992</v>
      </c>
      <c r="D1268" s="2" t="s">
        <v>1725</v>
      </c>
      <c r="E1268" s="2">
        <v>29.0672</v>
      </c>
      <c r="F1268" s="2" t="s">
        <v>60</v>
      </c>
      <c r="G1268" s="2" t="s">
        <v>61</v>
      </c>
      <c r="H1268" s="6" t="s">
        <v>2991</v>
      </c>
    </row>
    <row r="1269" spans="1:8" ht="33.75" customHeight="1" x14ac:dyDescent="0.25">
      <c r="A1269" s="14" t="s">
        <v>2993</v>
      </c>
      <c r="B1269" s="3" t="s">
        <v>1719</v>
      </c>
      <c r="C1269" s="3" t="s">
        <v>2994</v>
      </c>
      <c r="D1269" s="3" t="s">
        <v>1721</v>
      </c>
      <c r="E1269" s="3">
        <v>29.3232</v>
      </c>
      <c r="F1269" s="3" t="s">
        <v>60</v>
      </c>
      <c r="G1269" s="3" t="s">
        <v>61</v>
      </c>
      <c r="H1269" s="6" t="s">
        <v>2993</v>
      </c>
    </row>
    <row r="1270" spans="1:8" ht="22.5" customHeight="1" x14ac:dyDescent="0.25">
      <c r="A1270" s="13" t="s">
        <v>2995</v>
      </c>
      <c r="B1270" s="2" t="s">
        <v>418</v>
      </c>
      <c r="C1270" s="2" t="s">
        <v>2996</v>
      </c>
      <c r="D1270" s="2" t="s">
        <v>420</v>
      </c>
      <c r="E1270" s="2">
        <v>30.655200000000001</v>
      </c>
      <c r="F1270" s="2" t="s">
        <v>60</v>
      </c>
      <c r="G1270" s="2" t="s">
        <v>61</v>
      </c>
      <c r="H1270" s="6" t="s">
        <v>2995</v>
      </c>
    </row>
    <row r="1271" spans="1:8" ht="22.5" customHeight="1" x14ac:dyDescent="0.25">
      <c r="A1271" s="14" t="s">
        <v>2997</v>
      </c>
      <c r="B1271" s="3" t="s">
        <v>588</v>
      </c>
      <c r="C1271" s="3" t="s">
        <v>2998</v>
      </c>
      <c r="D1271" s="3" t="s">
        <v>590</v>
      </c>
      <c r="E1271" s="3">
        <v>29.869199999999999</v>
      </c>
      <c r="F1271" s="3" t="s">
        <v>60</v>
      </c>
      <c r="G1271" s="3" t="s">
        <v>61</v>
      </c>
      <c r="H1271" s="6" t="s">
        <v>2997</v>
      </c>
    </row>
    <row r="1272" spans="1:8" ht="22.5" customHeight="1" x14ac:dyDescent="0.25">
      <c r="A1272" s="13" t="s">
        <v>2999</v>
      </c>
      <c r="B1272" s="2" t="s">
        <v>990</v>
      </c>
      <c r="C1272" s="2" t="s">
        <v>3000</v>
      </c>
      <c r="D1272" s="2" t="s">
        <v>992</v>
      </c>
      <c r="E1272" s="2">
        <v>29.755199999999999</v>
      </c>
      <c r="F1272" s="2" t="s">
        <v>60</v>
      </c>
      <c r="G1272" s="2" t="s">
        <v>61</v>
      </c>
      <c r="H1272" s="6" t="s">
        <v>2999</v>
      </c>
    </row>
    <row r="1273" spans="1:8" ht="22.5" customHeight="1" x14ac:dyDescent="0.25">
      <c r="A1273" s="14" t="s">
        <v>3001</v>
      </c>
      <c r="B1273" s="3" t="s">
        <v>324</v>
      </c>
      <c r="C1273" s="3" t="s">
        <v>3002</v>
      </c>
      <c r="D1273" s="3" t="s">
        <v>326</v>
      </c>
      <c r="E1273" s="3">
        <v>29.719200000000001</v>
      </c>
      <c r="F1273" s="3" t="s">
        <v>60</v>
      </c>
      <c r="G1273" s="3" t="s">
        <v>61</v>
      </c>
      <c r="H1273" s="6" t="s">
        <v>3001</v>
      </c>
    </row>
    <row r="1274" spans="1:8" ht="22.5" customHeight="1" x14ac:dyDescent="0.25">
      <c r="A1274" s="13" t="s">
        <v>3003</v>
      </c>
      <c r="B1274" s="2" t="s">
        <v>1715</v>
      </c>
      <c r="C1274" s="2" t="s">
        <v>3004</v>
      </c>
      <c r="D1274" s="2" t="s">
        <v>1717</v>
      </c>
      <c r="E1274" s="2">
        <v>29.805199999999999</v>
      </c>
      <c r="F1274" s="2" t="s">
        <v>60</v>
      </c>
      <c r="G1274" s="2" t="s">
        <v>61</v>
      </c>
      <c r="H1274" s="6" t="s">
        <v>3003</v>
      </c>
    </row>
    <row r="1275" spans="1:8" ht="22.5" customHeight="1" x14ac:dyDescent="0.25">
      <c r="A1275" s="14" t="s">
        <v>3005</v>
      </c>
      <c r="B1275" s="3" t="s">
        <v>366</v>
      </c>
      <c r="C1275" s="3" t="s">
        <v>3006</v>
      </c>
      <c r="D1275" s="3" t="s">
        <v>368</v>
      </c>
      <c r="E1275" s="3">
        <v>32.983400000000003</v>
      </c>
      <c r="F1275" s="3" t="s">
        <v>60</v>
      </c>
      <c r="G1275" s="3" t="s">
        <v>61</v>
      </c>
      <c r="H1275" s="6" t="s">
        <v>3005</v>
      </c>
    </row>
    <row r="1276" spans="1:8" ht="33.75" customHeight="1" x14ac:dyDescent="0.25">
      <c r="A1276" s="13" t="s">
        <v>3007</v>
      </c>
      <c r="B1276" s="2" t="s">
        <v>404</v>
      </c>
      <c r="C1276" s="2" t="s">
        <v>3008</v>
      </c>
      <c r="D1276" s="2" t="s">
        <v>406</v>
      </c>
      <c r="E1276" s="2">
        <v>29.999199999999998</v>
      </c>
      <c r="F1276" s="2" t="s">
        <v>60</v>
      </c>
      <c r="G1276" s="2" t="s">
        <v>61</v>
      </c>
      <c r="H1276" s="6" t="s">
        <v>3007</v>
      </c>
    </row>
    <row r="1277" spans="1:8" ht="22.5" customHeight="1" x14ac:dyDescent="0.25">
      <c r="A1277" s="14" t="s">
        <v>3009</v>
      </c>
      <c r="B1277" s="3" t="s">
        <v>418</v>
      </c>
      <c r="C1277" s="3" t="s">
        <v>3010</v>
      </c>
      <c r="D1277" s="3" t="s">
        <v>420</v>
      </c>
      <c r="E1277" s="3">
        <v>30.655200000000001</v>
      </c>
      <c r="F1277" s="3" t="s">
        <v>60</v>
      </c>
      <c r="G1277" s="3" t="s">
        <v>61</v>
      </c>
      <c r="H1277" s="6" t="s">
        <v>3009</v>
      </c>
    </row>
    <row r="1278" spans="1:8" ht="33.75" customHeight="1" x14ac:dyDescent="0.25">
      <c r="A1278" s="13" t="s">
        <v>3011</v>
      </c>
      <c r="B1278" s="2" t="s">
        <v>57</v>
      </c>
      <c r="C1278" s="2" t="s">
        <v>2190</v>
      </c>
      <c r="D1278" s="2" t="s">
        <v>59</v>
      </c>
      <c r="E1278" s="2">
        <v>31.825199999999999</v>
      </c>
      <c r="F1278" s="2" t="s">
        <v>60</v>
      </c>
      <c r="G1278" s="2" t="s">
        <v>61</v>
      </c>
      <c r="H1278" s="6" t="s">
        <v>3011</v>
      </c>
    </row>
    <row r="1279" spans="1:8" ht="22.5" customHeight="1" x14ac:dyDescent="0.25">
      <c r="A1279" s="14" t="s">
        <v>3012</v>
      </c>
      <c r="B1279" s="3" t="s">
        <v>588</v>
      </c>
      <c r="C1279" s="3" t="s">
        <v>3013</v>
      </c>
      <c r="D1279" s="3" t="s">
        <v>590</v>
      </c>
      <c r="E1279" s="3">
        <v>29.869199999999999</v>
      </c>
      <c r="F1279" s="3" t="s">
        <v>60</v>
      </c>
      <c r="G1279" s="3" t="s">
        <v>61</v>
      </c>
      <c r="H1279" s="6" t="s">
        <v>3012</v>
      </c>
    </row>
    <row r="1280" spans="1:8" ht="22.5" customHeight="1" x14ac:dyDescent="0.25">
      <c r="A1280" s="13" t="s">
        <v>3014</v>
      </c>
      <c r="B1280" s="2" t="s">
        <v>2137</v>
      </c>
      <c r="C1280" s="2" t="s">
        <v>3015</v>
      </c>
      <c r="D1280" s="2" t="s">
        <v>2139</v>
      </c>
      <c r="E1280" s="2">
        <v>27.925999999999998</v>
      </c>
      <c r="F1280" s="2" t="s">
        <v>60</v>
      </c>
      <c r="G1280" s="2" t="s">
        <v>61</v>
      </c>
      <c r="H1280" s="6" t="s">
        <v>3014</v>
      </c>
    </row>
    <row r="1281" spans="1:8" ht="33.75" customHeight="1" x14ac:dyDescent="0.25">
      <c r="A1281" s="14" t="s">
        <v>3016</v>
      </c>
      <c r="B1281" s="3" t="s">
        <v>2137</v>
      </c>
      <c r="C1281" s="3" t="s">
        <v>3017</v>
      </c>
      <c r="D1281" s="3" t="s">
        <v>2139</v>
      </c>
      <c r="E1281" s="3">
        <v>27.925999999999998</v>
      </c>
      <c r="F1281" s="3" t="s">
        <v>60</v>
      </c>
      <c r="G1281" s="3" t="s">
        <v>61</v>
      </c>
      <c r="H1281" s="6" t="s">
        <v>3016</v>
      </c>
    </row>
    <row r="1282" spans="1:8" ht="22.5" customHeight="1" x14ac:dyDescent="0.25">
      <c r="A1282" s="13" t="s">
        <v>3018</v>
      </c>
      <c r="B1282" s="2" t="s">
        <v>3019</v>
      </c>
      <c r="C1282" s="2" t="s">
        <v>3020</v>
      </c>
      <c r="D1282" s="2" t="s">
        <v>3021</v>
      </c>
      <c r="E1282" s="2">
        <v>27.925999999999998</v>
      </c>
      <c r="F1282" s="2" t="s">
        <v>60</v>
      </c>
      <c r="G1282" s="2" t="s">
        <v>61</v>
      </c>
      <c r="H1282" s="6" t="s">
        <v>3018</v>
      </c>
    </row>
    <row r="1283" spans="1:8" ht="33.75" customHeight="1" x14ac:dyDescent="0.25">
      <c r="A1283" s="14" t="s">
        <v>3022</v>
      </c>
      <c r="B1283" s="3" t="s">
        <v>3019</v>
      </c>
      <c r="C1283" s="3" t="s">
        <v>3023</v>
      </c>
      <c r="D1283" s="3" t="s">
        <v>3021</v>
      </c>
      <c r="E1283" s="3">
        <v>27.925999999999998</v>
      </c>
      <c r="F1283" s="3" t="s">
        <v>60</v>
      </c>
      <c r="G1283" s="3" t="s">
        <v>61</v>
      </c>
      <c r="H1283" s="6" t="s">
        <v>3022</v>
      </c>
    </row>
    <row r="1284" spans="1:8" ht="33.75" customHeight="1" x14ac:dyDescent="0.25">
      <c r="A1284" s="13" t="s">
        <v>3024</v>
      </c>
      <c r="B1284" s="2" t="s">
        <v>1723</v>
      </c>
      <c r="C1284" s="2" t="s">
        <v>3025</v>
      </c>
      <c r="D1284" s="2" t="s">
        <v>1725</v>
      </c>
      <c r="E1284" s="2">
        <v>29.0672</v>
      </c>
      <c r="F1284" s="2" t="s">
        <v>60</v>
      </c>
      <c r="G1284" s="2" t="s">
        <v>61</v>
      </c>
      <c r="H1284" s="6" t="s">
        <v>3024</v>
      </c>
    </row>
    <row r="1285" spans="1:8" ht="22.5" customHeight="1" x14ac:dyDescent="0.25">
      <c r="A1285" s="14" t="s">
        <v>3026</v>
      </c>
      <c r="B1285" s="3" t="s">
        <v>418</v>
      </c>
      <c r="C1285" s="3" t="s">
        <v>3027</v>
      </c>
      <c r="D1285" s="3" t="s">
        <v>420</v>
      </c>
      <c r="E1285" s="3">
        <v>30.655200000000001</v>
      </c>
      <c r="F1285" s="3" t="s">
        <v>60</v>
      </c>
      <c r="G1285" s="3" t="s">
        <v>61</v>
      </c>
      <c r="H1285" s="6" t="s">
        <v>3026</v>
      </c>
    </row>
    <row r="1286" spans="1:8" ht="33.75" customHeight="1" x14ac:dyDescent="0.25">
      <c r="A1286" s="13" t="s">
        <v>3028</v>
      </c>
      <c r="B1286" s="2" t="s">
        <v>418</v>
      </c>
      <c r="C1286" s="2" t="s">
        <v>3029</v>
      </c>
      <c r="D1286" s="2" t="s">
        <v>420</v>
      </c>
      <c r="E1286" s="2">
        <v>30.655200000000001</v>
      </c>
      <c r="F1286" s="2" t="s">
        <v>60</v>
      </c>
      <c r="G1286" s="2" t="s">
        <v>61</v>
      </c>
      <c r="H1286" s="6" t="s">
        <v>3028</v>
      </c>
    </row>
    <row r="1287" spans="1:8" ht="33.75" customHeight="1" x14ac:dyDescent="0.25">
      <c r="A1287" s="14" t="s">
        <v>3030</v>
      </c>
      <c r="B1287" s="3" t="s">
        <v>404</v>
      </c>
      <c r="C1287" s="3" t="s">
        <v>3031</v>
      </c>
      <c r="D1287" s="3" t="s">
        <v>406</v>
      </c>
      <c r="E1287" s="3">
        <v>29.999199999999998</v>
      </c>
      <c r="F1287" s="3" t="s">
        <v>60</v>
      </c>
      <c r="G1287" s="3" t="s">
        <v>61</v>
      </c>
      <c r="H1287" s="6" t="s">
        <v>3030</v>
      </c>
    </row>
    <row r="1288" spans="1:8" ht="33.75" customHeight="1" x14ac:dyDescent="0.25">
      <c r="A1288" s="13" t="s">
        <v>3032</v>
      </c>
      <c r="B1288" s="2" t="s">
        <v>990</v>
      </c>
      <c r="C1288" s="2" t="s">
        <v>3033</v>
      </c>
      <c r="D1288" s="2" t="s">
        <v>992</v>
      </c>
      <c r="E1288" s="2">
        <v>29.755199999999999</v>
      </c>
      <c r="F1288" s="2" t="s">
        <v>60</v>
      </c>
      <c r="G1288" s="2" t="s">
        <v>61</v>
      </c>
      <c r="H1288" s="6" t="s">
        <v>3032</v>
      </c>
    </row>
    <row r="1289" spans="1:8" ht="33.75" customHeight="1" x14ac:dyDescent="0.25">
      <c r="A1289" s="14" t="s">
        <v>3034</v>
      </c>
      <c r="B1289" s="3" t="s">
        <v>324</v>
      </c>
      <c r="C1289" s="3" t="s">
        <v>3035</v>
      </c>
      <c r="D1289" s="3" t="s">
        <v>326</v>
      </c>
      <c r="E1289" s="3">
        <v>29.719200000000001</v>
      </c>
      <c r="F1289" s="3" t="s">
        <v>60</v>
      </c>
      <c r="G1289" s="3" t="s">
        <v>61</v>
      </c>
      <c r="H1289" s="6" t="s">
        <v>3034</v>
      </c>
    </row>
    <row r="1290" spans="1:8" ht="22.5" customHeight="1" x14ac:dyDescent="0.25">
      <c r="A1290" s="13" t="s">
        <v>3036</v>
      </c>
      <c r="B1290" s="2" t="s">
        <v>418</v>
      </c>
      <c r="C1290" s="2" t="s">
        <v>3037</v>
      </c>
      <c r="D1290" s="2" t="s">
        <v>420</v>
      </c>
      <c r="E1290" s="2">
        <v>30.655200000000001</v>
      </c>
      <c r="F1290" s="2" t="s">
        <v>60</v>
      </c>
      <c r="G1290" s="2" t="s">
        <v>61</v>
      </c>
      <c r="H1290" s="6" t="s">
        <v>3036</v>
      </c>
    </row>
    <row r="1291" spans="1:8" ht="22.5" customHeight="1" x14ac:dyDescent="0.25">
      <c r="A1291" s="14" t="s">
        <v>3038</v>
      </c>
      <c r="B1291" s="3" t="s">
        <v>404</v>
      </c>
      <c r="C1291" s="3" t="s">
        <v>3039</v>
      </c>
      <c r="D1291" s="3" t="s">
        <v>406</v>
      </c>
      <c r="E1291" s="3">
        <v>29.999199999999998</v>
      </c>
      <c r="F1291" s="3" t="s">
        <v>60</v>
      </c>
      <c r="G1291" s="3" t="s">
        <v>61</v>
      </c>
      <c r="H1291" s="6" t="s">
        <v>3038</v>
      </c>
    </row>
    <row r="1292" spans="1:8" ht="22.5" customHeight="1" x14ac:dyDescent="0.25">
      <c r="A1292" s="13" t="s">
        <v>3040</v>
      </c>
      <c r="B1292" s="2" t="s">
        <v>324</v>
      </c>
      <c r="C1292" s="2" t="s">
        <v>3041</v>
      </c>
      <c r="D1292" s="2" t="s">
        <v>326</v>
      </c>
      <c r="E1292" s="2">
        <v>29.719200000000001</v>
      </c>
      <c r="F1292" s="2" t="s">
        <v>60</v>
      </c>
      <c r="G1292" s="2" t="s">
        <v>61</v>
      </c>
      <c r="H1292" s="6" t="s">
        <v>3040</v>
      </c>
    </row>
    <row r="1293" spans="1:8" ht="22.5" customHeight="1" x14ac:dyDescent="0.25">
      <c r="A1293" s="14" t="s">
        <v>3042</v>
      </c>
      <c r="B1293" s="3" t="s">
        <v>418</v>
      </c>
      <c r="C1293" s="3" t="s">
        <v>3043</v>
      </c>
      <c r="D1293" s="3" t="s">
        <v>420</v>
      </c>
      <c r="E1293" s="3">
        <v>30.655200000000001</v>
      </c>
      <c r="F1293" s="3" t="s">
        <v>60</v>
      </c>
      <c r="G1293" s="3" t="s">
        <v>61</v>
      </c>
      <c r="H1293" s="6" t="s">
        <v>3042</v>
      </c>
    </row>
    <row r="1294" spans="1:8" ht="22.5" customHeight="1" x14ac:dyDescent="0.25">
      <c r="A1294" s="13" t="s">
        <v>3044</v>
      </c>
      <c r="B1294" s="2" t="s">
        <v>404</v>
      </c>
      <c r="C1294" s="2" t="s">
        <v>3045</v>
      </c>
      <c r="D1294" s="2" t="s">
        <v>406</v>
      </c>
      <c r="E1294" s="2">
        <v>29.999199999999998</v>
      </c>
      <c r="F1294" s="2" t="s">
        <v>60</v>
      </c>
      <c r="G1294" s="2" t="s">
        <v>61</v>
      </c>
      <c r="H1294" s="6" t="s">
        <v>3044</v>
      </c>
    </row>
    <row r="1295" spans="1:8" ht="22.5" customHeight="1" x14ac:dyDescent="0.25">
      <c r="A1295" s="14" t="s">
        <v>3046</v>
      </c>
      <c r="B1295" s="3" t="s">
        <v>324</v>
      </c>
      <c r="C1295" s="3" t="s">
        <v>3047</v>
      </c>
      <c r="D1295" s="3" t="s">
        <v>326</v>
      </c>
      <c r="E1295" s="3">
        <v>29.719200000000001</v>
      </c>
      <c r="F1295" s="3" t="s">
        <v>60</v>
      </c>
      <c r="G1295" s="3" t="s">
        <v>61</v>
      </c>
      <c r="H1295" s="6" t="s">
        <v>3046</v>
      </c>
    </row>
    <row r="1296" spans="1:8" ht="22.5" customHeight="1" x14ac:dyDescent="0.25">
      <c r="A1296" s="13" t="s">
        <v>3048</v>
      </c>
      <c r="B1296" s="2" t="s">
        <v>382</v>
      </c>
      <c r="C1296" s="2" t="s">
        <v>1348</v>
      </c>
      <c r="D1296" s="2" t="s">
        <v>384</v>
      </c>
      <c r="E1296" s="2">
        <v>35.3172</v>
      </c>
      <c r="F1296" s="2" t="s">
        <v>60</v>
      </c>
      <c r="G1296" s="2" t="s">
        <v>61</v>
      </c>
      <c r="H1296" s="6" t="s">
        <v>3048</v>
      </c>
    </row>
    <row r="1297" spans="1:8" ht="22.5" customHeight="1" x14ac:dyDescent="0.25">
      <c r="A1297" s="14" t="s">
        <v>3049</v>
      </c>
      <c r="B1297" s="3" t="s">
        <v>794</v>
      </c>
      <c r="C1297" s="3" t="s">
        <v>3050</v>
      </c>
      <c r="D1297" s="3" t="s">
        <v>796</v>
      </c>
      <c r="E1297" s="3">
        <v>34.151200000000003</v>
      </c>
      <c r="F1297" s="3" t="s">
        <v>60</v>
      </c>
      <c r="G1297" s="3" t="s">
        <v>61</v>
      </c>
      <c r="H1297" s="6" t="s">
        <v>3049</v>
      </c>
    </row>
    <row r="1298" spans="1:8" ht="33.75" customHeight="1" x14ac:dyDescent="0.25">
      <c r="A1298" s="13" t="s">
        <v>3051</v>
      </c>
      <c r="B1298" s="2" t="s">
        <v>63</v>
      </c>
      <c r="C1298" s="2" t="s">
        <v>3052</v>
      </c>
      <c r="D1298" s="2" t="s">
        <v>65</v>
      </c>
      <c r="E1298" s="2">
        <v>31.412400000000002</v>
      </c>
      <c r="F1298" s="2" t="s">
        <v>60</v>
      </c>
      <c r="G1298" s="2" t="s">
        <v>61</v>
      </c>
      <c r="H1298" s="6" t="s">
        <v>3051</v>
      </c>
    </row>
    <row r="1299" spans="1:8" ht="33.75" customHeight="1" x14ac:dyDescent="0.25">
      <c r="A1299" s="14" t="s">
        <v>3053</v>
      </c>
      <c r="B1299" s="3" t="s">
        <v>3054</v>
      </c>
      <c r="C1299" s="3" t="s">
        <v>3055</v>
      </c>
      <c r="D1299" s="3" t="s">
        <v>3056</v>
      </c>
      <c r="E1299" s="3">
        <v>29.76</v>
      </c>
      <c r="F1299" s="3" t="s">
        <v>60</v>
      </c>
      <c r="G1299" s="3" t="s">
        <v>61</v>
      </c>
      <c r="H1299" s="6" t="s">
        <v>3053</v>
      </c>
    </row>
    <row r="1300" spans="1:8" ht="33.75" customHeight="1" x14ac:dyDescent="0.25">
      <c r="A1300" s="13" t="s">
        <v>3057</v>
      </c>
      <c r="B1300" s="2" t="s">
        <v>3058</v>
      </c>
      <c r="C1300" s="2" t="s">
        <v>3059</v>
      </c>
      <c r="D1300" s="2" t="s">
        <v>3060</v>
      </c>
      <c r="E1300" s="2">
        <v>29.323</v>
      </c>
      <c r="F1300" s="2" t="s">
        <v>60</v>
      </c>
      <c r="G1300" s="2" t="s">
        <v>61</v>
      </c>
      <c r="H1300" s="6" t="s">
        <v>3057</v>
      </c>
    </row>
    <row r="1301" spans="1:8" ht="33.75" customHeight="1" x14ac:dyDescent="0.25">
      <c r="A1301" s="14" t="s">
        <v>3061</v>
      </c>
      <c r="B1301" s="3" t="s">
        <v>3062</v>
      </c>
      <c r="C1301" s="3" t="s">
        <v>3063</v>
      </c>
      <c r="D1301" s="3" t="s">
        <v>3064</v>
      </c>
      <c r="E1301" s="3">
        <v>29.16</v>
      </c>
      <c r="F1301" s="3" t="s">
        <v>60</v>
      </c>
      <c r="G1301" s="3" t="s">
        <v>61</v>
      </c>
      <c r="H1301" s="6" t="s">
        <v>3061</v>
      </c>
    </row>
    <row r="1302" spans="1:8" ht="33.75" customHeight="1" x14ac:dyDescent="0.25">
      <c r="A1302" s="13" t="s">
        <v>3065</v>
      </c>
      <c r="B1302" s="2" t="s">
        <v>3066</v>
      </c>
      <c r="C1302" s="2" t="s">
        <v>3067</v>
      </c>
      <c r="D1302" s="2" t="s">
        <v>3068</v>
      </c>
      <c r="E1302" s="2">
        <v>29.135999999999999</v>
      </c>
      <c r="F1302" s="2" t="s">
        <v>60</v>
      </c>
      <c r="G1302" s="2" t="s">
        <v>61</v>
      </c>
      <c r="H1302" s="6" t="s">
        <v>3065</v>
      </c>
    </row>
    <row r="1303" spans="1:8" ht="33.75" customHeight="1" x14ac:dyDescent="0.25">
      <c r="A1303" s="14" t="s">
        <v>3069</v>
      </c>
      <c r="B1303" s="3" t="s">
        <v>3070</v>
      </c>
      <c r="C1303" s="3" t="s">
        <v>3071</v>
      </c>
      <c r="D1303" s="3" t="s">
        <v>3072</v>
      </c>
      <c r="E1303" s="3">
        <v>29.056000000000001</v>
      </c>
      <c r="F1303" s="3" t="s">
        <v>60</v>
      </c>
      <c r="G1303" s="3" t="s">
        <v>61</v>
      </c>
      <c r="H1303" s="6" t="s">
        <v>3069</v>
      </c>
    </row>
    <row r="1304" spans="1:8" ht="33.75" customHeight="1" x14ac:dyDescent="0.25">
      <c r="A1304" s="13" t="s">
        <v>3073</v>
      </c>
      <c r="B1304" s="2" t="s">
        <v>324</v>
      </c>
      <c r="C1304" s="2" t="s">
        <v>3074</v>
      </c>
      <c r="D1304" s="2" t="s">
        <v>326</v>
      </c>
      <c r="E1304" s="2">
        <v>29.719200000000001</v>
      </c>
      <c r="F1304" s="2" t="s">
        <v>60</v>
      </c>
      <c r="G1304" s="2" t="s">
        <v>61</v>
      </c>
      <c r="H1304" s="6" t="s">
        <v>3073</v>
      </c>
    </row>
    <row r="1305" spans="1:8" ht="22.5" customHeight="1" x14ac:dyDescent="0.25">
      <c r="A1305" s="14" t="s">
        <v>3075</v>
      </c>
      <c r="B1305" s="3" t="s">
        <v>519</v>
      </c>
      <c r="C1305" s="3" t="s">
        <v>3076</v>
      </c>
      <c r="D1305" s="3" t="s">
        <v>521</v>
      </c>
      <c r="E1305" s="3">
        <v>30.339120000000001</v>
      </c>
      <c r="F1305" s="3" t="s">
        <v>60</v>
      </c>
      <c r="G1305" s="3" t="s">
        <v>61</v>
      </c>
      <c r="H1305" s="6" t="s">
        <v>3075</v>
      </c>
    </row>
    <row r="1306" spans="1:8" ht="22.5" customHeight="1" x14ac:dyDescent="0.25">
      <c r="A1306" s="13" t="s">
        <v>3077</v>
      </c>
      <c r="B1306" s="2" t="s">
        <v>400</v>
      </c>
      <c r="C1306" s="2" t="s">
        <v>3078</v>
      </c>
      <c r="D1306" s="2" t="s">
        <v>402</v>
      </c>
      <c r="E1306" s="2">
        <v>34.332239999999999</v>
      </c>
      <c r="F1306" s="2" t="s">
        <v>60</v>
      </c>
      <c r="G1306" s="2" t="s">
        <v>61</v>
      </c>
      <c r="H1306" s="6" t="s">
        <v>3077</v>
      </c>
    </row>
    <row r="1307" spans="1:8" ht="22.5" customHeight="1" x14ac:dyDescent="0.25">
      <c r="A1307" s="14" t="s">
        <v>3079</v>
      </c>
      <c r="B1307" s="3" t="s">
        <v>1151</v>
      </c>
      <c r="C1307" s="3" t="s">
        <v>3080</v>
      </c>
      <c r="D1307" s="3" t="s">
        <v>1153</v>
      </c>
      <c r="E1307" s="3">
        <v>30.6372</v>
      </c>
      <c r="F1307" s="3" t="s">
        <v>60</v>
      </c>
      <c r="G1307" s="3" t="s">
        <v>61</v>
      </c>
      <c r="H1307" s="6" t="s">
        <v>3079</v>
      </c>
    </row>
    <row r="1308" spans="1:8" ht="22.5" customHeight="1" x14ac:dyDescent="0.25">
      <c r="A1308" s="13" t="s">
        <v>3081</v>
      </c>
      <c r="B1308" s="2" t="s">
        <v>404</v>
      </c>
      <c r="C1308" s="2" t="s">
        <v>3082</v>
      </c>
      <c r="D1308" s="2" t="s">
        <v>406</v>
      </c>
      <c r="E1308" s="2">
        <v>29.999199999999998</v>
      </c>
      <c r="F1308" s="2" t="s">
        <v>60</v>
      </c>
      <c r="G1308" s="2" t="s">
        <v>61</v>
      </c>
      <c r="H1308" s="6" t="s">
        <v>3081</v>
      </c>
    </row>
    <row r="1309" spans="1:8" ht="22.5" customHeight="1" x14ac:dyDescent="0.25">
      <c r="A1309" s="14" t="s">
        <v>3083</v>
      </c>
      <c r="B1309" s="3" t="s">
        <v>414</v>
      </c>
      <c r="C1309" s="3" t="s">
        <v>3084</v>
      </c>
      <c r="D1309" s="3" t="s">
        <v>416</v>
      </c>
      <c r="E1309" s="3">
        <v>31.0092</v>
      </c>
      <c r="F1309" s="3" t="s">
        <v>60</v>
      </c>
      <c r="G1309" s="3" t="s">
        <v>61</v>
      </c>
      <c r="H1309" s="6" t="s">
        <v>3083</v>
      </c>
    </row>
    <row r="1310" spans="1:8" ht="22.5" customHeight="1" x14ac:dyDescent="0.25">
      <c r="A1310" s="13" t="s">
        <v>3085</v>
      </c>
      <c r="B1310" s="2" t="s">
        <v>794</v>
      </c>
      <c r="C1310" s="2" t="s">
        <v>3086</v>
      </c>
      <c r="D1310" s="2" t="s">
        <v>796</v>
      </c>
      <c r="E1310" s="2">
        <v>34.151200000000003</v>
      </c>
      <c r="F1310" s="2" t="s">
        <v>60</v>
      </c>
      <c r="G1310" s="2" t="s">
        <v>61</v>
      </c>
      <c r="H1310" s="6" t="s">
        <v>3085</v>
      </c>
    </row>
    <row r="1311" spans="1:8" ht="22.5" customHeight="1" x14ac:dyDescent="0.25">
      <c r="A1311" s="14" t="s">
        <v>3087</v>
      </c>
      <c r="B1311" s="3" t="s">
        <v>382</v>
      </c>
      <c r="C1311" s="3" t="s">
        <v>3088</v>
      </c>
      <c r="D1311" s="3" t="s">
        <v>384</v>
      </c>
      <c r="E1311" s="3">
        <v>35.3172</v>
      </c>
      <c r="F1311" s="3" t="s">
        <v>60</v>
      </c>
      <c r="G1311" s="3" t="s">
        <v>61</v>
      </c>
      <c r="H1311" s="6" t="s">
        <v>3087</v>
      </c>
    </row>
    <row r="1312" spans="1:8" ht="22.5" customHeight="1" x14ac:dyDescent="0.25">
      <c r="A1312" s="13" t="s">
        <v>3089</v>
      </c>
      <c r="B1312" s="2" t="s">
        <v>794</v>
      </c>
      <c r="C1312" s="2" t="s">
        <v>1048</v>
      </c>
      <c r="D1312" s="2" t="s">
        <v>796</v>
      </c>
      <c r="E1312" s="2">
        <v>34.151200000000003</v>
      </c>
      <c r="F1312" s="2" t="s">
        <v>60</v>
      </c>
      <c r="G1312" s="2" t="s">
        <v>61</v>
      </c>
      <c r="H1312" s="6" t="s">
        <v>3089</v>
      </c>
    </row>
    <row r="1313" spans="1:8" ht="33.75" customHeight="1" x14ac:dyDescent="0.25">
      <c r="A1313" s="14" t="s">
        <v>3090</v>
      </c>
      <c r="B1313" s="3" t="s">
        <v>418</v>
      </c>
      <c r="C1313" s="3" t="s">
        <v>1747</v>
      </c>
      <c r="D1313" s="3" t="s">
        <v>420</v>
      </c>
      <c r="E1313" s="3">
        <v>30.655200000000001</v>
      </c>
      <c r="F1313" s="3" t="s">
        <v>60</v>
      </c>
      <c r="G1313" s="3" t="s">
        <v>61</v>
      </c>
      <c r="H1313" s="6" t="s">
        <v>3090</v>
      </c>
    </row>
    <row r="1314" spans="1:8" ht="33.75" customHeight="1" x14ac:dyDescent="0.25">
      <c r="A1314" s="13" t="s">
        <v>3091</v>
      </c>
      <c r="B1314" s="2" t="s">
        <v>386</v>
      </c>
      <c r="C1314" s="2" t="s">
        <v>3092</v>
      </c>
      <c r="D1314" s="2" t="s">
        <v>388</v>
      </c>
      <c r="E1314" s="2">
        <v>33.783799999999999</v>
      </c>
      <c r="F1314" s="2" t="s">
        <v>60</v>
      </c>
      <c r="G1314" s="2" t="s">
        <v>61</v>
      </c>
      <c r="H1314" s="6" t="s">
        <v>3091</v>
      </c>
    </row>
    <row r="1315" spans="1:8" ht="22.5" customHeight="1" x14ac:dyDescent="0.25">
      <c r="A1315" s="14" t="s">
        <v>3093</v>
      </c>
      <c r="B1315" s="3" t="s">
        <v>418</v>
      </c>
      <c r="C1315" s="3" t="s">
        <v>3094</v>
      </c>
      <c r="D1315" s="3" t="s">
        <v>420</v>
      </c>
      <c r="E1315" s="3">
        <v>30.655200000000001</v>
      </c>
      <c r="F1315" s="3" t="s">
        <v>60</v>
      </c>
      <c r="G1315" s="3" t="s">
        <v>61</v>
      </c>
      <c r="H1315" s="6" t="s">
        <v>3093</v>
      </c>
    </row>
    <row r="1316" spans="1:8" ht="22.5" customHeight="1" x14ac:dyDescent="0.25">
      <c r="A1316" s="13" t="s">
        <v>3095</v>
      </c>
      <c r="B1316" s="2" t="s">
        <v>418</v>
      </c>
      <c r="C1316" s="2" t="s">
        <v>3096</v>
      </c>
      <c r="D1316" s="2" t="s">
        <v>420</v>
      </c>
      <c r="E1316" s="2">
        <v>30.655200000000001</v>
      </c>
      <c r="F1316" s="2" t="s">
        <v>60</v>
      </c>
      <c r="G1316" s="2" t="s">
        <v>61</v>
      </c>
      <c r="H1316" s="6" t="s">
        <v>3095</v>
      </c>
    </row>
    <row r="1317" spans="1:8" ht="33.75" customHeight="1" x14ac:dyDescent="0.25">
      <c r="A1317" s="14" t="s">
        <v>3097</v>
      </c>
      <c r="B1317" s="3" t="s">
        <v>382</v>
      </c>
      <c r="C1317" s="3" t="s">
        <v>3098</v>
      </c>
      <c r="D1317" s="3" t="s">
        <v>384</v>
      </c>
      <c r="E1317" s="3">
        <v>35.3172</v>
      </c>
      <c r="F1317" s="3" t="s">
        <v>60</v>
      </c>
      <c r="G1317" s="3" t="s">
        <v>61</v>
      </c>
      <c r="H1317" s="6" t="s">
        <v>3097</v>
      </c>
    </row>
    <row r="1318" spans="1:8" ht="22.5" customHeight="1" x14ac:dyDescent="0.25">
      <c r="A1318" s="13" t="s">
        <v>3099</v>
      </c>
      <c r="B1318" s="2" t="s">
        <v>404</v>
      </c>
      <c r="C1318" s="2" t="s">
        <v>3100</v>
      </c>
      <c r="D1318" s="2" t="s">
        <v>406</v>
      </c>
      <c r="E1318" s="2">
        <v>29.999199999999998</v>
      </c>
      <c r="F1318" s="2" t="s">
        <v>60</v>
      </c>
      <c r="G1318" s="2" t="s">
        <v>61</v>
      </c>
      <c r="H1318" s="6" t="s">
        <v>3099</v>
      </c>
    </row>
    <row r="1319" spans="1:8" ht="33.75" customHeight="1" x14ac:dyDescent="0.25">
      <c r="A1319" s="14" t="s">
        <v>3101</v>
      </c>
      <c r="B1319" s="3" t="s">
        <v>57</v>
      </c>
      <c r="C1319" s="3" t="s">
        <v>3102</v>
      </c>
      <c r="D1319" s="3" t="s">
        <v>59</v>
      </c>
      <c r="E1319" s="3">
        <v>31.825199999999999</v>
      </c>
      <c r="F1319" s="3" t="s">
        <v>60</v>
      </c>
      <c r="G1319" s="3" t="s">
        <v>61</v>
      </c>
      <c r="H1319" s="6" t="s">
        <v>3101</v>
      </c>
    </row>
    <row r="1320" spans="1:8" ht="33.75" customHeight="1" x14ac:dyDescent="0.25">
      <c r="A1320" s="13" t="s">
        <v>3103</v>
      </c>
      <c r="B1320" s="2" t="s">
        <v>324</v>
      </c>
      <c r="C1320" s="2" t="s">
        <v>3104</v>
      </c>
      <c r="D1320" s="2" t="s">
        <v>326</v>
      </c>
      <c r="E1320" s="2">
        <v>29.719200000000001</v>
      </c>
      <c r="F1320" s="2" t="s">
        <v>60</v>
      </c>
      <c r="G1320" s="2" t="s">
        <v>61</v>
      </c>
      <c r="H1320" s="6" t="s">
        <v>3103</v>
      </c>
    </row>
    <row r="1321" spans="1:8" ht="33.75" customHeight="1" x14ac:dyDescent="0.25">
      <c r="A1321" s="14" t="s">
        <v>3105</v>
      </c>
      <c r="B1321" s="3" t="s">
        <v>400</v>
      </c>
      <c r="C1321" s="3" t="s">
        <v>3106</v>
      </c>
      <c r="D1321" s="3" t="s">
        <v>402</v>
      </c>
      <c r="E1321" s="3">
        <v>34.332239999999999</v>
      </c>
      <c r="F1321" s="3" t="s">
        <v>60</v>
      </c>
      <c r="G1321" s="3" t="s">
        <v>61</v>
      </c>
      <c r="H1321" s="6" t="s">
        <v>3105</v>
      </c>
    </row>
    <row r="1322" spans="1:8" ht="33.75" customHeight="1" x14ac:dyDescent="0.25">
      <c r="A1322" s="13" t="s">
        <v>3107</v>
      </c>
      <c r="B1322" s="2" t="s">
        <v>89</v>
      </c>
      <c r="C1322" s="2" t="s">
        <v>3108</v>
      </c>
      <c r="D1322" s="2" t="s">
        <v>91</v>
      </c>
      <c r="E1322" s="2">
        <v>32.389200000000002</v>
      </c>
      <c r="F1322" s="2" t="s">
        <v>60</v>
      </c>
      <c r="G1322" s="2" t="s">
        <v>61</v>
      </c>
      <c r="H1322" s="6" t="s">
        <v>3107</v>
      </c>
    </row>
    <row r="1323" spans="1:8" ht="33.75" customHeight="1" x14ac:dyDescent="0.25">
      <c r="A1323" s="14" t="s">
        <v>3109</v>
      </c>
      <c r="B1323" s="3" t="s">
        <v>73</v>
      </c>
      <c r="C1323" s="3" t="s">
        <v>3110</v>
      </c>
      <c r="D1323" s="3" t="s">
        <v>75</v>
      </c>
      <c r="E1323" s="3">
        <v>31.538399999999999</v>
      </c>
      <c r="F1323" s="3" t="s">
        <v>60</v>
      </c>
      <c r="G1323" s="3" t="s">
        <v>61</v>
      </c>
      <c r="H1323" s="6" t="s">
        <v>3109</v>
      </c>
    </row>
    <row r="1324" spans="1:8" ht="22.5" customHeight="1" x14ac:dyDescent="0.25">
      <c r="A1324" s="13" t="s">
        <v>3111</v>
      </c>
      <c r="B1324" s="2" t="s">
        <v>826</v>
      </c>
      <c r="C1324" s="2" t="s">
        <v>3112</v>
      </c>
      <c r="D1324" s="2" t="s">
        <v>828</v>
      </c>
      <c r="E1324" s="2">
        <v>28.366</v>
      </c>
      <c r="F1324" s="2" t="s">
        <v>60</v>
      </c>
      <c r="G1324" s="2" t="s">
        <v>61</v>
      </c>
      <c r="H1324" s="6" t="s">
        <v>3111</v>
      </c>
    </row>
    <row r="1325" spans="1:8" ht="33.75" customHeight="1" x14ac:dyDescent="0.25">
      <c r="A1325" s="14" t="s">
        <v>3113</v>
      </c>
      <c r="B1325" s="3" t="s">
        <v>2141</v>
      </c>
      <c r="C1325" s="3" t="s">
        <v>3114</v>
      </c>
      <c r="D1325" s="3" t="s">
        <v>2143</v>
      </c>
      <c r="E1325" s="3">
        <v>30.326000000000001</v>
      </c>
      <c r="F1325" s="3" t="s">
        <v>60</v>
      </c>
      <c r="G1325" s="3" t="s">
        <v>61</v>
      </c>
      <c r="H1325" s="6" t="s">
        <v>3113</v>
      </c>
    </row>
    <row r="1326" spans="1:8" ht="22.5" customHeight="1" x14ac:dyDescent="0.25">
      <c r="A1326" s="13" t="s">
        <v>3115</v>
      </c>
      <c r="B1326" s="2" t="s">
        <v>390</v>
      </c>
      <c r="C1326" s="2" t="s">
        <v>3116</v>
      </c>
      <c r="D1326" s="2" t="s">
        <v>392</v>
      </c>
      <c r="E1326" s="2">
        <v>35.367600000000003</v>
      </c>
      <c r="F1326" s="2" t="s">
        <v>60</v>
      </c>
      <c r="G1326" s="2" t="s">
        <v>61</v>
      </c>
      <c r="H1326" s="6" t="s">
        <v>3115</v>
      </c>
    </row>
    <row r="1327" spans="1:8" ht="22.5" customHeight="1" x14ac:dyDescent="0.25">
      <c r="A1327" s="14" t="s">
        <v>3117</v>
      </c>
      <c r="B1327" s="3" t="s">
        <v>418</v>
      </c>
      <c r="C1327" s="3" t="s">
        <v>3118</v>
      </c>
      <c r="D1327" s="3" t="s">
        <v>420</v>
      </c>
      <c r="E1327" s="3">
        <v>30.655200000000001</v>
      </c>
      <c r="F1327" s="3" t="s">
        <v>60</v>
      </c>
      <c r="G1327" s="3" t="s">
        <v>61</v>
      </c>
      <c r="H1327" s="6" t="s">
        <v>3117</v>
      </c>
    </row>
    <row r="1328" spans="1:8" ht="22.5" customHeight="1" x14ac:dyDescent="0.25">
      <c r="A1328" s="13" t="s">
        <v>3119</v>
      </c>
      <c r="B1328" s="2" t="s">
        <v>324</v>
      </c>
      <c r="C1328" s="2" t="s">
        <v>3120</v>
      </c>
      <c r="D1328" s="2" t="s">
        <v>326</v>
      </c>
      <c r="E1328" s="2">
        <v>29.719200000000001</v>
      </c>
      <c r="F1328" s="2" t="s">
        <v>60</v>
      </c>
      <c r="G1328" s="2" t="s">
        <v>61</v>
      </c>
      <c r="H1328" s="6" t="s">
        <v>3119</v>
      </c>
    </row>
    <row r="1329" spans="1:8" ht="22.5" customHeight="1" x14ac:dyDescent="0.25">
      <c r="A1329" s="14" t="s">
        <v>3121</v>
      </c>
      <c r="B1329" s="3" t="s">
        <v>404</v>
      </c>
      <c r="C1329" s="3" t="s">
        <v>3122</v>
      </c>
      <c r="D1329" s="3" t="s">
        <v>406</v>
      </c>
      <c r="E1329" s="3">
        <v>29.999199999999998</v>
      </c>
      <c r="F1329" s="3" t="s">
        <v>60</v>
      </c>
      <c r="G1329" s="3" t="s">
        <v>61</v>
      </c>
      <c r="H1329" s="6" t="s">
        <v>3121</v>
      </c>
    </row>
    <row r="1330" spans="1:8" ht="22.5" customHeight="1" x14ac:dyDescent="0.25">
      <c r="A1330" s="13" t="s">
        <v>3123</v>
      </c>
      <c r="B1330" s="2" t="s">
        <v>3124</v>
      </c>
      <c r="C1330" s="2" t="s">
        <v>3125</v>
      </c>
      <c r="D1330" s="2" t="s">
        <v>3126</v>
      </c>
      <c r="E1330" s="2">
        <v>34.070599999999999</v>
      </c>
      <c r="F1330" s="2" t="s">
        <v>60</v>
      </c>
      <c r="G1330" s="2" t="s">
        <v>61</v>
      </c>
      <c r="H1330" s="6" t="s">
        <v>3123</v>
      </c>
    </row>
    <row r="1331" spans="1:8" ht="33.75" customHeight="1" x14ac:dyDescent="0.25">
      <c r="A1331" s="14" t="s">
        <v>3127</v>
      </c>
      <c r="B1331" s="3" t="s">
        <v>3128</v>
      </c>
      <c r="C1331" s="3" t="s">
        <v>3129</v>
      </c>
      <c r="D1331" s="3" t="s">
        <v>3130</v>
      </c>
      <c r="E1331" s="3">
        <v>31.986000000000001</v>
      </c>
      <c r="F1331" s="3" t="s">
        <v>60</v>
      </c>
      <c r="G1331" s="3" t="s">
        <v>61</v>
      </c>
      <c r="H1331" s="6" t="s">
        <v>3127</v>
      </c>
    </row>
    <row r="1332" spans="1:8" ht="33.75" customHeight="1" x14ac:dyDescent="0.25">
      <c r="A1332" s="13" t="s">
        <v>3131</v>
      </c>
      <c r="B1332" s="2" t="s">
        <v>3132</v>
      </c>
      <c r="C1332" s="2" t="s">
        <v>3133</v>
      </c>
      <c r="D1332" s="2" t="s">
        <v>3134</v>
      </c>
      <c r="E1332" s="2">
        <v>32.676000000000002</v>
      </c>
      <c r="F1332" s="2" t="s">
        <v>60</v>
      </c>
      <c r="G1332" s="2" t="s">
        <v>61</v>
      </c>
      <c r="H1332" s="6" t="s">
        <v>3131</v>
      </c>
    </row>
    <row r="1333" spans="1:8" ht="22.5" customHeight="1" x14ac:dyDescent="0.25">
      <c r="A1333" s="14" t="s">
        <v>3135</v>
      </c>
      <c r="B1333" s="3" t="s">
        <v>120</v>
      </c>
      <c r="C1333" s="3" t="s">
        <v>3136</v>
      </c>
      <c r="D1333" s="3" t="s">
        <v>122</v>
      </c>
      <c r="E1333" s="3">
        <v>33.349800000000002</v>
      </c>
      <c r="F1333" s="3" t="s">
        <v>60</v>
      </c>
      <c r="G1333" s="3" t="s">
        <v>61</v>
      </c>
      <c r="H1333" s="6" t="s">
        <v>3135</v>
      </c>
    </row>
    <row r="1334" spans="1:8" ht="22.5" customHeight="1" x14ac:dyDescent="0.25">
      <c r="A1334" s="13" t="s">
        <v>3137</v>
      </c>
      <c r="B1334" s="2" t="s">
        <v>681</v>
      </c>
      <c r="C1334" s="2" t="s">
        <v>3138</v>
      </c>
      <c r="D1334" s="2" t="s">
        <v>683</v>
      </c>
      <c r="E1334" s="2">
        <v>34.743600000000001</v>
      </c>
      <c r="F1334" s="2" t="s">
        <v>60</v>
      </c>
      <c r="G1334" s="2" t="s">
        <v>61</v>
      </c>
      <c r="H1334" s="6" t="s">
        <v>3137</v>
      </c>
    </row>
    <row r="1335" spans="1:8" ht="33.75" customHeight="1" x14ac:dyDescent="0.25">
      <c r="A1335" s="14" t="s">
        <v>3139</v>
      </c>
      <c r="B1335" s="3" t="s">
        <v>2141</v>
      </c>
      <c r="C1335" s="3" t="s">
        <v>3140</v>
      </c>
      <c r="D1335" s="3" t="s">
        <v>2143</v>
      </c>
      <c r="E1335" s="3">
        <v>30.326000000000001</v>
      </c>
      <c r="F1335" s="3" t="s">
        <v>60</v>
      </c>
      <c r="G1335" s="3" t="s">
        <v>61</v>
      </c>
      <c r="H1335" s="6" t="s">
        <v>3139</v>
      </c>
    </row>
    <row r="1336" spans="1:8" ht="33.75" customHeight="1" x14ac:dyDescent="0.25">
      <c r="A1336" s="13" t="s">
        <v>3141</v>
      </c>
      <c r="B1336" s="2" t="s">
        <v>2153</v>
      </c>
      <c r="C1336" s="2" t="s">
        <v>3142</v>
      </c>
      <c r="D1336" s="2" t="s">
        <v>2155</v>
      </c>
      <c r="E1336" s="2">
        <v>30.326000000000001</v>
      </c>
      <c r="F1336" s="2" t="s">
        <v>60</v>
      </c>
      <c r="G1336" s="2" t="s">
        <v>61</v>
      </c>
      <c r="H1336" s="6" t="s">
        <v>3141</v>
      </c>
    </row>
    <row r="1337" spans="1:8" ht="33.75" customHeight="1" x14ac:dyDescent="0.25">
      <c r="A1337" s="14" t="s">
        <v>3143</v>
      </c>
      <c r="B1337" s="3" t="s">
        <v>77</v>
      </c>
      <c r="C1337" s="3" t="s">
        <v>3144</v>
      </c>
      <c r="D1337" s="3" t="s">
        <v>79</v>
      </c>
      <c r="E1337" s="3">
        <v>31.699200000000001</v>
      </c>
      <c r="F1337" s="3" t="s">
        <v>60</v>
      </c>
      <c r="G1337" s="3" t="s">
        <v>61</v>
      </c>
      <c r="H1337" s="6" t="s">
        <v>3143</v>
      </c>
    </row>
    <row r="1338" spans="1:8" ht="33.75" customHeight="1" x14ac:dyDescent="0.25">
      <c r="A1338" s="13" t="s">
        <v>3145</v>
      </c>
      <c r="B1338" s="2" t="s">
        <v>89</v>
      </c>
      <c r="C1338" s="2" t="s">
        <v>3146</v>
      </c>
      <c r="D1338" s="2" t="s">
        <v>91</v>
      </c>
      <c r="E1338" s="2">
        <v>32.389200000000002</v>
      </c>
      <c r="F1338" s="2" t="s">
        <v>60</v>
      </c>
      <c r="G1338" s="2" t="s">
        <v>61</v>
      </c>
      <c r="H1338" s="6" t="s">
        <v>3145</v>
      </c>
    </row>
    <row r="1339" spans="1:8" ht="22.5" customHeight="1" x14ac:dyDescent="0.25">
      <c r="A1339" s="14" t="s">
        <v>3147</v>
      </c>
      <c r="B1339" s="3" t="s">
        <v>1294</v>
      </c>
      <c r="C1339" s="3" t="s">
        <v>3148</v>
      </c>
      <c r="D1339" s="3" t="s">
        <v>1296</v>
      </c>
      <c r="E1339" s="3">
        <v>27.925999999999998</v>
      </c>
      <c r="F1339" s="3" t="s">
        <v>60</v>
      </c>
      <c r="G1339" s="3" t="s">
        <v>61</v>
      </c>
      <c r="H1339" s="6" t="s">
        <v>3147</v>
      </c>
    </row>
    <row r="1340" spans="1:8" ht="22.5" customHeight="1" x14ac:dyDescent="0.25">
      <c r="A1340" s="13" t="s">
        <v>3149</v>
      </c>
      <c r="B1340" s="2" t="s">
        <v>3019</v>
      </c>
      <c r="C1340" s="2" t="s">
        <v>3150</v>
      </c>
      <c r="D1340" s="2" t="s">
        <v>3021</v>
      </c>
      <c r="E1340" s="2">
        <v>27.925999999999998</v>
      </c>
      <c r="F1340" s="2" t="s">
        <v>60</v>
      </c>
      <c r="G1340" s="2" t="s">
        <v>61</v>
      </c>
      <c r="H1340" s="6" t="s">
        <v>3149</v>
      </c>
    </row>
    <row r="1341" spans="1:8" ht="22.5" customHeight="1" x14ac:dyDescent="0.25">
      <c r="A1341" s="14" t="s">
        <v>3151</v>
      </c>
      <c r="B1341" s="3" t="s">
        <v>2401</v>
      </c>
      <c r="C1341" s="3" t="s">
        <v>3152</v>
      </c>
      <c r="D1341" s="3" t="s">
        <v>2403</v>
      </c>
      <c r="E1341" s="3">
        <v>29.949200000000001</v>
      </c>
      <c r="F1341" s="3" t="s">
        <v>60</v>
      </c>
      <c r="G1341" s="3" t="s">
        <v>61</v>
      </c>
      <c r="H1341" s="6" t="s">
        <v>3151</v>
      </c>
    </row>
    <row r="1342" spans="1:8" ht="33.75" customHeight="1" x14ac:dyDescent="0.25">
      <c r="A1342" s="13" t="s">
        <v>3153</v>
      </c>
      <c r="B1342" s="2" t="s">
        <v>226</v>
      </c>
      <c r="C1342" s="2" t="s">
        <v>3154</v>
      </c>
      <c r="D1342" s="2" t="s">
        <v>228</v>
      </c>
      <c r="E1342" s="2">
        <v>30.6632</v>
      </c>
      <c r="F1342" s="2" t="s">
        <v>60</v>
      </c>
      <c r="G1342" s="2" t="s">
        <v>61</v>
      </c>
      <c r="H1342" s="6" t="s">
        <v>3153</v>
      </c>
    </row>
    <row r="1343" spans="1:8" ht="33.75" customHeight="1" x14ac:dyDescent="0.25">
      <c r="A1343" s="14" t="s">
        <v>3155</v>
      </c>
      <c r="B1343" s="3" t="s">
        <v>156</v>
      </c>
      <c r="C1343" s="3" t="s">
        <v>3156</v>
      </c>
      <c r="D1343" s="3" t="s">
        <v>158</v>
      </c>
      <c r="E1343" s="3">
        <v>30.987200000000001</v>
      </c>
      <c r="F1343" s="3" t="s">
        <v>60</v>
      </c>
      <c r="G1343" s="3" t="s">
        <v>61</v>
      </c>
      <c r="H1343" s="6" t="s">
        <v>3155</v>
      </c>
    </row>
    <row r="1344" spans="1:8" ht="33.75" customHeight="1" x14ac:dyDescent="0.25">
      <c r="A1344" s="13" t="s">
        <v>3157</v>
      </c>
      <c r="B1344" s="2" t="s">
        <v>57</v>
      </c>
      <c r="C1344" s="2" t="s">
        <v>3158</v>
      </c>
      <c r="D1344" s="2" t="s">
        <v>59</v>
      </c>
      <c r="E1344" s="2">
        <v>31.825199999999999</v>
      </c>
      <c r="F1344" s="2" t="s">
        <v>60</v>
      </c>
      <c r="G1344" s="2" t="s">
        <v>61</v>
      </c>
      <c r="H1344" s="6" t="s">
        <v>3157</v>
      </c>
    </row>
    <row r="1345" spans="1:8" ht="22.5" customHeight="1" x14ac:dyDescent="0.25">
      <c r="A1345" s="14" t="s">
        <v>3159</v>
      </c>
      <c r="B1345" s="3" t="s">
        <v>418</v>
      </c>
      <c r="C1345" s="3" t="s">
        <v>3160</v>
      </c>
      <c r="D1345" s="3" t="s">
        <v>420</v>
      </c>
      <c r="E1345" s="3">
        <v>30.655200000000001</v>
      </c>
      <c r="F1345" s="3" t="s">
        <v>60</v>
      </c>
      <c r="G1345" s="3" t="s">
        <v>61</v>
      </c>
      <c r="H1345" s="6" t="s">
        <v>3159</v>
      </c>
    </row>
    <row r="1346" spans="1:8" ht="22.5" customHeight="1" x14ac:dyDescent="0.25">
      <c r="A1346" s="13" t="s">
        <v>3161</v>
      </c>
      <c r="B1346" s="2" t="s">
        <v>414</v>
      </c>
      <c r="C1346" s="2" t="s">
        <v>3162</v>
      </c>
      <c r="D1346" s="2" t="s">
        <v>416</v>
      </c>
      <c r="E1346" s="2">
        <v>31.0092</v>
      </c>
      <c r="F1346" s="2" t="s">
        <v>60</v>
      </c>
      <c r="G1346" s="2" t="s">
        <v>61</v>
      </c>
      <c r="H1346" s="6" t="s">
        <v>3161</v>
      </c>
    </row>
    <row r="1347" spans="1:8" ht="22.5" customHeight="1" x14ac:dyDescent="0.25">
      <c r="A1347" s="14" t="s">
        <v>3163</v>
      </c>
      <c r="B1347" s="3" t="s">
        <v>418</v>
      </c>
      <c r="C1347" s="3" t="s">
        <v>3164</v>
      </c>
      <c r="D1347" s="3" t="s">
        <v>420</v>
      </c>
      <c r="E1347" s="3">
        <v>30.655200000000001</v>
      </c>
      <c r="F1347" s="3" t="s">
        <v>60</v>
      </c>
      <c r="G1347" s="3" t="s">
        <v>61</v>
      </c>
      <c r="H1347" s="6" t="s">
        <v>3163</v>
      </c>
    </row>
    <row r="1348" spans="1:8" ht="22.5" customHeight="1" x14ac:dyDescent="0.25">
      <c r="A1348" s="13" t="s">
        <v>3165</v>
      </c>
      <c r="B1348" s="2" t="s">
        <v>588</v>
      </c>
      <c r="C1348" s="2" t="s">
        <v>3166</v>
      </c>
      <c r="D1348" s="2" t="s">
        <v>590</v>
      </c>
      <c r="E1348" s="2">
        <v>29.869199999999999</v>
      </c>
      <c r="F1348" s="2" t="s">
        <v>60</v>
      </c>
      <c r="G1348" s="2" t="s">
        <v>61</v>
      </c>
      <c r="H1348" s="6" t="s">
        <v>3165</v>
      </c>
    </row>
    <row r="1349" spans="1:8" ht="33.75" customHeight="1" x14ac:dyDescent="0.25">
      <c r="A1349" s="14" t="s">
        <v>3167</v>
      </c>
      <c r="B1349" s="3" t="s">
        <v>3168</v>
      </c>
      <c r="C1349" s="3" t="s">
        <v>3169</v>
      </c>
      <c r="D1349" s="3" t="s">
        <v>3170</v>
      </c>
      <c r="E1349" s="3">
        <v>48.606000000000002</v>
      </c>
      <c r="F1349" s="3" t="s">
        <v>60</v>
      </c>
      <c r="G1349" s="3" t="s">
        <v>61</v>
      </c>
      <c r="H1349" s="6" t="s">
        <v>3167</v>
      </c>
    </row>
    <row r="1350" spans="1:8" ht="33.75" customHeight="1" x14ac:dyDescent="0.25">
      <c r="A1350" s="13" t="s">
        <v>3171</v>
      </c>
      <c r="B1350" s="2" t="s">
        <v>3172</v>
      </c>
      <c r="C1350" s="2" t="s">
        <v>3173</v>
      </c>
      <c r="D1350" s="2" t="s">
        <v>3174</v>
      </c>
      <c r="E1350" s="2">
        <v>46.765999999999998</v>
      </c>
      <c r="F1350" s="2" t="s">
        <v>60</v>
      </c>
      <c r="G1350" s="2" t="s">
        <v>61</v>
      </c>
      <c r="H1350" s="6" t="s">
        <v>3171</v>
      </c>
    </row>
    <row r="1351" spans="1:8" ht="22.5" customHeight="1" x14ac:dyDescent="0.25">
      <c r="A1351" s="14" t="s">
        <v>3175</v>
      </c>
      <c r="B1351" s="3" t="s">
        <v>1884</v>
      </c>
      <c r="C1351" s="3" t="s">
        <v>3176</v>
      </c>
      <c r="D1351" s="3" t="s">
        <v>1886</v>
      </c>
      <c r="E1351" s="3">
        <v>27.639199999999999</v>
      </c>
      <c r="F1351" s="3" t="s">
        <v>60</v>
      </c>
      <c r="G1351" s="3" t="s">
        <v>61</v>
      </c>
      <c r="H1351" s="6" t="s">
        <v>3175</v>
      </c>
    </row>
    <row r="1352" spans="1:8" ht="22.5" customHeight="1" x14ac:dyDescent="0.25">
      <c r="A1352" s="13" t="s">
        <v>3177</v>
      </c>
      <c r="B1352" s="2" t="s">
        <v>1294</v>
      </c>
      <c r="C1352" s="2" t="s">
        <v>3178</v>
      </c>
      <c r="D1352" s="2" t="s">
        <v>1296</v>
      </c>
      <c r="E1352" s="2">
        <v>27.925999999999998</v>
      </c>
      <c r="F1352" s="2" t="s">
        <v>60</v>
      </c>
      <c r="G1352" s="2" t="s">
        <v>61</v>
      </c>
      <c r="H1352" s="6" t="s">
        <v>3177</v>
      </c>
    </row>
    <row r="1353" spans="1:8" ht="22.5" customHeight="1" x14ac:dyDescent="0.25">
      <c r="A1353" s="14" t="s">
        <v>3179</v>
      </c>
      <c r="B1353" s="3" t="s">
        <v>1781</v>
      </c>
      <c r="C1353" s="3" t="s">
        <v>3180</v>
      </c>
      <c r="D1353" s="3" t="s">
        <v>1783</v>
      </c>
      <c r="E1353" s="3">
        <v>27.925999999999998</v>
      </c>
      <c r="F1353" s="3" t="s">
        <v>60</v>
      </c>
      <c r="G1353" s="3" t="s">
        <v>61</v>
      </c>
      <c r="H1353" s="6" t="s">
        <v>3179</v>
      </c>
    </row>
    <row r="1354" spans="1:8" ht="22.5" customHeight="1" x14ac:dyDescent="0.25">
      <c r="A1354" s="13" t="s">
        <v>3181</v>
      </c>
      <c r="B1354" s="2" t="s">
        <v>878</v>
      </c>
      <c r="C1354" s="2" t="s">
        <v>3182</v>
      </c>
      <c r="D1354" s="2" t="s">
        <v>880</v>
      </c>
      <c r="E1354" s="2">
        <v>27.925999999999998</v>
      </c>
      <c r="F1354" s="2" t="s">
        <v>60</v>
      </c>
      <c r="G1354" s="2" t="s">
        <v>61</v>
      </c>
      <c r="H1354" s="6" t="s">
        <v>3181</v>
      </c>
    </row>
    <row r="1355" spans="1:8" ht="22.5" customHeight="1" x14ac:dyDescent="0.25">
      <c r="A1355" s="14" t="s">
        <v>3183</v>
      </c>
      <c r="B1355" s="3" t="s">
        <v>830</v>
      </c>
      <c r="C1355" s="3" t="s">
        <v>3184</v>
      </c>
      <c r="D1355" s="3" t="s">
        <v>832</v>
      </c>
      <c r="E1355" s="3">
        <v>27.925999999999998</v>
      </c>
      <c r="F1355" s="3" t="s">
        <v>60</v>
      </c>
      <c r="G1355" s="3" t="s">
        <v>61</v>
      </c>
      <c r="H1355" s="6" t="s">
        <v>3183</v>
      </c>
    </row>
    <row r="1356" spans="1:8" ht="22.5" customHeight="1" x14ac:dyDescent="0.25">
      <c r="A1356" s="13" t="s">
        <v>3185</v>
      </c>
      <c r="B1356" s="2" t="s">
        <v>830</v>
      </c>
      <c r="C1356" s="2" t="s">
        <v>3186</v>
      </c>
      <c r="D1356" s="2" t="s">
        <v>832</v>
      </c>
      <c r="E1356" s="2">
        <v>27.925999999999998</v>
      </c>
      <c r="F1356" s="2" t="s">
        <v>60</v>
      </c>
      <c r="G1356" s="2" t="s">
        <v>61</v>
      </c>
      <c r="H1356" s="6" t="s">
        <v>3185</v>
      </c>
    </row>
    <row r="1357" spans="1:8" ht="22.5" customHeight="1" x14ac:dyDescent="0.25">
      <c r="A1357" s="14" t="s">
        <v>3187</v>
      </c>
      <c r="B1357" s="3" t="s">
        <v>2137</v>
      </c>
      <c r="C1357" s="3" t="s">
        <v>3188</v>
      </c>
      <c r="D1357" s="3" t="s">
        <v>2139</v>
      </c>
      <c r="E1357" s="3">
        <v>27.925999999999998</v>
      </c>
      <c r="F1357" s="3" t="s">
        <v>60</v>
      </c>
      <c r="G1357" s="3" t="s">
        <v>61</v>
      </c>
      <c r="H1357" s="6" t="s">
        <v>3187</v>
      </c>
    </row>
    <row r="1358" spans="1:8" ht="22.5" customHeight="1" x14ac:dyDescent="0.25">
      <c r="A1358" s="13" t="s">
        <v>3189</v>
      </c>
      <c r="B1358" s="2" t="s">
        <v>1294</v>
      </c>
      <c r="C1358" s="2" t="s">
        <v>3190</v>
      </c>
      <c r="D1358" s="2" t="s">
        <v>1296</v>
      </c>
      <c r="E1358" s="2">
        <v>27.925999999999998</v>
      </c>
      <c r="F1358" s="2" t="s">
        <v>60</v>
      </c>
      <c r="G1358" s="2" t="s">
        <v>61</v>
      </c>
      <c r="H1358" s="6" t="s">
        <v>3189</v>
      </c>
    </row>
    <row r="1359" spans="1:8" ht="22.5" customHeight="1" x14ac:dyDescent="0.25">
      <c r="A1359" s="14" t="s">
        <v>3191</v>
      </c>
      <c r="B1359" s="3" t="s">
        <v>1294</v>
      </c>
      <c r="C1359" s="3" t="s">
        <v>3192</v>
      </c>
      <c r="D1359" s="3" t="s">
        <v>1296</v>
      </c>
      <c r="E1359" s="3">
        <v>27.925999999999998</v>
      </c>
      <c r="F1359" s="3" t="s">
        <v>60</v>
      </c>
      <c r="G1359" s="3" t="s">
        <v>61</v>
      </c>
      <c r="H1359" s="6" t="s">
        <v>3191</v>
      </c>
    </row>
    <row r="1360" spans="1:8" ht="22.5" customHeight="1" x14ac:dyDescent="0.25">
      <c r="A1360" s="13" t="s">
        <v>3193</v>
      </c>
      <c r="B1360" s="2" t="s">
        <v>1781</v>
      </c>
      <c r="C1360" s="2" t="s">
        <v>3194</v>
      </c>
      <c r="D1360" s="2" t="s">
        <v>1783</v>
      </c>
      <c r="E1360" s="2">
        <v>27.925999999999998</v>
      </c>
      <c r="F1360" s="2" t="s">
        <v>60</v>
      </c>
      <c r="G1360" s="2" t="s">
        <v>61</v>
      </c>
      <c r="H1360" s="6" t="s">
        <v>3193</v>
      </c>
    </row>
    <row r="1361" spans="1:8" ht="33.75" customHeight="1" x14ac:dyDescent="0.25">
      <c r="A1361" s="14" t="s">
        <v>3195</v>
      </c>
      <c r="B1361" s="3" t="s">
        <v>1781</v>
      </c>
      <c r="C1361" s="3" t="s">
        <v>3196</v>
      </c>
      <c r="D1361" s="3" t="s">
        <v>1783</v>
      </c>
      <c r="E1361" s="3">
        <v>27.925999999999998</v>
      </c>
      <c r="F1361" s="3" t="s">
        <v>60</v>
      </c>
      <c r="G1361" s="3" t="s">
        <v>61</v>
      </c>
      <c r="H1361" s="6" t="s">
        <v>3195</v>
      </c>
    </row>
    <row r="1362" spans="1:8" ht="33.75" customHeight="1" x14ac:dyDescent="0.25">
      <c r="A1362" s="13" t="s">
        <v>3197</v>
      </c>
      <c r="B1362" s="2" t="s">
        <v>878</v>
      </c>
      <c r="C1362" s="2" t="s">
        <v>3198</v>
      </c>
      <c r="D1362" s="2" t="s">
        <v>880</v>
      </c>
      <c r="E1362" s="2">
        <v>27.925999999999998</v>
      </c>
      <c r="F1362" s="2" t="s">
        <v>60</v>
      </c>
      <c r="G1362" s="2" t="s">
        <v>61</v>
      </c>
      <c r="H1362" s="6" t="s">
        <v>3197</v>
      </c>
    </row>
    <row r="1363" spans="1:8" ht="22.5" customHeight="1" x14ac:dyDescent="0.25">
      <c r="A1363" s="14" t="s">
        <v>3199</v>
      </c>
      <c r="B1363" s="3" t="s">
        <v>878</v>
      </c>
      <c r="C1363" s="3" t="s">
        <v>3200</v>
      </c>
      <c r="D1363" s="3" t="s">
        <v>880</v>
      </c>
      <c r="E1363" s="3">
        <v>27.925999999999998</v>
      </c>
      <c r="F1363" s="3" t="s">
        <v>60</v>
      </c>
      <c r="G1363" s="3" t="s">
        <v>61</v>
      </c>
      <c r="H1363" s="6" t="s">
        <v>3199</v>
      </c>
    </row>
    <row r="1364" spans="1:8" ht="33.75" customHeight="1" x14ac:dyDescent="0.25">
      <c r="A1364" s="13" t="s">
        <v>3201</v>
      </c>
      <c r="B1364" s="2" t="s">
        <v>830</v>
      </c>
      <c r="C1364" s="2" t="s">
        <v>3202</v>
      </c>
      <c r="D1364" s="2" t="s">
        <v>832</v>
      </c>
      <c r="E1364" s="2">
        <v>27.925999999999998</v>
      </c>
      <c r="F1364" s="2" t="s">
        <v>60</v>
      </c>
      <c r="G1364" s="2" t="s">
        <v>61</v>
      </c>
      <c r="H1364" s="6" t="s">
        <v>3201</v>
      </c>
    </row>
    <row r="1365" spans="1:8" ht="22.5" customHeight="1" x14ac:dyDescent="0.25">
      <c r="A1365" s="14" t="s">
        <v>3203</v>
      </c>
      <c r="B1365" s="3" t="s">
        <v>2137</v>
      </c>
      <c r="C1365" s="3" t="s">
        <v>3204</v>
      </c>
      <c r="D1365" s="3" t="s">
        <v>2139</v>
      </c>
      <c r="E1365" s="3">
        <v>27.925999999999998</v>
      </c>
      <c r="F1365" s="3" t="s">
        <v>60</v>
      </c>
      <c r="G1365" s="3" t="s">
        <v>61</v>
      </c>
      <c r="H1365" s="6" t="s">
        <v>3203</v>
      </c>
    </row>
    <row r="1366" spans="1:8" ht="33.75" customHeight="1" x14ac:dyDescent="0.25">
      <c r="A1366" s="13" t="s">
        <v>3205</v>
      </c>
      <c r="B1366" s="2" t="s">
        <v>2137</v>
      </c>
      <c r="C1366" s="2" t="s">
        <v>3206</v>
      </c>
      <c r="D1366" s="2" t="s">
        <v>2139</v>
      </c>
      <c r="E1366" s="2">
        <v>27.925999999999998</v>
      </c>
      <c r="F1366" s="2" t="s">
        <v>60</v>
      </c>
      <c r="G1366" s="2" t="s">
        <v>61</v>
      </c>
      <c r="H1366" s="6" t="s">
        <v>3205</v>
      </c>
    </row>
    <row r="1367" spans="1:8" ht="22.5" customHeight="1" x14ac:dyDescent="0.25">
      <c r="A1367" s="14" t="s">
        <v>3207</v>
      </c>
      <c r="B1367" s="3" t="s">
        <v>1294</v>
      </c>
      <c r="C1367" s="3" t="s">
        <v>3208</v>
      </c>
      <c r="D1367" s="3" t="s">
        <v>1296</v>
      </c>
      <c r="E1367" s="3">
        <v>27.925999999999998</v>
      </c>
      <c r="F1367" s="3" t="s">
        <v>60</v>
      </c>
      <c r="G1367" s="3" t="s">
        <v>61</v>
      </c>
      <c r="H1367" s="6" t="s">
        <v>3207</v>
      </c>
    </row>
    <row r="1368" spans="1:8" ht="22.5" customHeight="1" x14ac:dyDescent="0.25">
      <c r="A1368" s="13" t="s">
        <v>3209</v>
      </c>
      <c r="B1368" s="2" t="s">
        <v>878</v>
      </c>
      <c r="C1368" s="2" t="s">
        <v>3210</v>
      </c>
      <c r="D1368" s="2" t="s">
        <v>880</v>
      </c>
      <c r="E1368" s="2">
        <v>27.925999999999998</v>
      </c>
      <c r="F1368" s="2" t="s">
        <v>60</v>
      </c>
      <c r="G1368" s="2" t="s">
        <v>61</v>
      </c>
      <c r="H1368" s="6" t="s">
        <v>3209</v>
      </c>
    </row>
    <row r="1369" spans="1:8" ht="22.5" customHeight="1" x14ac:dyDescent="0.25">
      <c r="A1369" s="14" t="s">
        <v>3211</v>
      </c>
      <c r="B1369" s="3" t="s">
        <v>878</v>
      </c>
      <c r="C1369" s="3" t="s">
        <v>3212</v>
      </c>
      <c r="D1369" s="3" t="s">
        <v>880</v>
      </c>
      <c r="E1369" s="3">
        <v>27.925999999999998</v>
      </c>
      <c r="F1369" s="3" t="s">
        <v>60</v>
      </c>
      <c r="G1369" s="3" t="s">
        <v>61</v>
      </c>
      <c r="H1369" s="6" t="s">
        <v>3211</v>
      </c>
    </row>
    <row r="1370" spans="1:8" ht="22.5" customHeight="1" x14ac:dyDescent="0.25">
      <c r="A1370" s="13" t="s">
        <v>3213</v>
      </c>
      <c r="B1370" s="2" t="s">
        <v>2137</v>
      </c>
      <c r="C1370" s="2" t="s">
        <v>3214</v>
      </c>
      <c r="D1370" s="2" t="s">
        <v>2139</v>
      </c>
      <c r="E1370" s="2">
        <v>27.925999999999998</v>
      </c>
      <c r="F1370" s="2" t="s">
        <v>60</v>
      </c>
      <c r="G1370" s="2" t="s">
        <v>61</v>
      </c>
      <c r="H1370" s="6" t="s">
        <v>3213</v>
      </c>
    </row>
    <row r="1371" spans="1:8" ht="22.5" customHeight="1" x14ac:dyDescent="0.25">
      <c r="A1371" s="14" t="s">
        <v>3215</v>
      </c>
      <c r="B1371" s="3" t="s">
        <v>1294</v>
      </c>
      <c r="C1371" s="3" t="s">
        <v>3216</v>
      </c>
      <c r="D1371" s="3" t="s">
        <v>1296</v>
      </c>
      <c r="E1371" s="3">
        <v>27.925999999999998</v>
      </c>
      <c r="F1371" s="3" t="s">
        <v>60</v>
      </c>
      <c r="G1371" s="3" t="s">
        <v>61</v>
      </c>
      <c r="H1371" s="6" t="s">
        <v>3215</v>
      </c>
    </row>
    <row r="1372" spans="1:8" ht="22.5" customHeight="1" x14ac:dyDescent="0.25">
      <c r="A1372" s="13" t="s">
        <v>3217</v>
      </c>
      <c r="B1372" s="2" t="s">
        <v>1294</v>
      </c>
      <c r="C1372" s="2" t="s">
        <v>3218</v>
      </c>
      <c r="D1372" s="2" t="s">
        <v>1296</v>
      </c>
      <c r="E1372" s="2">
        <v>27.925999999999998</v>
      </c>
      <c r="F1372" s="2" t="s">
        <v>60</v>
      </c>
      <c r="G1372" s="2" t="s">
        <v>61</v>
      </c>
      <c r="H1372" s="6" t="s">
        <v>3217</v>
      </c>
    </row>
    <row r="1373" spans="1:8" ht="22.5" customHeight="1" x14ac:dyDescent="0.25">
      <c r="A1373" s="14" t="s">
        <v>3219</v>
      </c>
      <c r="B1373" s="3" t="s">
        <v>878</v>
      </c>
      <c r="C1373" s="3" t="s">
        <v>3220</v>
      </c>
      <c r="D1373" s="3" t="s">
        <v>880</v>
      </c>
      <c r="E1373" s="3">
        <v>27.925999999999998</v>
      </c>
      <c r="F1373" s="3" t="s">
        <v>60</v>
      </c>
      <c r="G1373" s="3" t="s">
        <v>61</v>
      </c>
      <c r="H1373" s="6" t="s">
        <v>3219</v>
      </c>
    </row>
    <row r="1374" spans="1:8" ht="22.5" customHeight="1" x14ac:dyDescent="0.25">
      <c r="A1374" s="13" t="s">
        <v>3221</v>
      </c>
      <c r="B1374" s="2" t="s">
        <v>878</v>
      </c>
      <c r="C1374" s="2" t="s">
        <v>3222</v>
      </c>
      <c r="D1374" s="2" t="s">
        <v>880</v>
      </c>
      <c r="E1374" s="2">
        <v>27.925999999999998</v>
      </c>
      <c r="F1374" s="2" t="s">
        <v>60</v>
      </c>
      <c r="G1374" s="2" t="s">
        <v>61</v>
      </c>
      <c r="H1374" s="6" t="s">
        <v>3221</v>
      </c>
    </row>
    <row r="1375" spans="1:8" ht="22.5" customHeight="1" x14ac:dyDescent="0.25">
      <c r="A1375" s="14" t="s">
        <v>3223</v>
      </c>
      <c r="B1375" s="3" t="s">
        <v>878</v>
      </c>
      <c r="C1375" s="3" t="s">
        <v>3224</v>
      </c>
      <c r="D1375" s="3" t="s">
        <v>880</v>
      </c>
      <c r="E1375" s="3">
        <v>27.925999999999998</v>
      </c>
      <c r="F1375" s="3" t="s">
        <v>60</v>
      </c>
      <c r="G1375" s="3" t="s">
        <v>61</v>
      </c>
      <c r="H1375" s="6" t="s">
        <v>3223</v>
      </c>
    </row>
    <row r="1376" spans="1:8" ht="22.5" customHeight="1" x14ac:dyDescent="0.25">
      <c r="A1376" s="13" t="s">
        <v>3225</v>
      </c>
      <c r="B1376" s="2" t="s">
        <v>2137</v>
      </c>
      <c r="C1376" s="2" t="s">
        <v>3226</v>
      </c>
      <c r="D1376" s="2" t="s">
        <v>2139</v>
      </c>
      <c r="E1376" s="2">
        <v>27.925999999999998</v>
      </c>
      <c r="F1376" s="2" t="s">
        <v>60</v>
      </c>
      <c r="G1376" s="2" t="s">
        <v>61</v>
      </c>
      <c r="H1376" s="6" t="s">
        <v>3225</v>
      </c>
    </row>
    <row r="1377" spans="1:8" ht="22.5" customHeight="1" x14ac:dyDescent="0.25">
      <c r="A1377" s="14" t="s">
        <v>3227</v>
      </c>
      <c r="B1377" s="3" t="s">
        <v>1294</v>
      </c>
      <c r="C1377" s="3" t="s">
        <v>3228</v>
      </c>
      <c r="D1377" s="3" t="s">
        <v>1296</v>
      </c>
      <c r="E1377" s="3">
        <v>27.925999999999998</v>
      </c>
      <c r="F1377" s="3" t="s">
        <v>60</v>
      </c>
      <c r="G1377" s="3" t="s">
        <v>61</v>
      </c>
      <c r="H1377" s="6" t="s">
        <v>3227</v>
      </c>
    </row>
    <row r="1378" spans="1:8" ht="22.5" customHeight="1" x14ac:dyDescent="0.25">
      <c r="A1378" s="13" t="s">
        <v>3229</v>
      </c>
      <c r="B1378" s="2" t="s">
        <v>3230</v>
      </c>
      <c r="C1378" s="2" t="s">
        <v>3231</v>
      </c>
      <c r="D1378" s="2" t="s">
        <v>3232</v>
      </c>
      <c r="E1378" s="2">
        <v>39.356000000000002</v>
      </c>
      <c r="F1378" s="2" t="s">
        <v>60</v>
      </c>
      <c r="G1378" s="2" t="s">
        <v>61</v>
      </c>
      <c r="H1378" s="6" t="s">
        <v>3229</v>
      </c>
    </row>
    <row r="1379" spans="1:8" ht="22.5" customHeight="1" x14ac:dyDescent="0.25">
      <c r="A1379" s="14" t="s">
        <v>3233</v>
      </c>
      <c r="B1379" s="3" t="s">
        <v>3234</v>
      </c>
      <c r="C1379" s="3" t="s">
        <v>3235</v>
      </c>
      <c r="D1379" s="3" t="s">
        <v>3236</v>
      </c>
      <c r="E1379" s="3">
        <v>50.456000000000003</v>
      </c>
      <c r="F1379" s="3" t="s">
        <v>60</v>
      </c>
      <c r="G1379" s="3" t="s">
        <v>61</v>
      </c>
      <c r="H1379" s="6" t="s">
        <v>3233</v>
      </c>
    </row>
    <row r="1380" spans="1:8" ht="22.5" customHeight="1" x14ac:dyDescent="0.25">
      <c r="A1380" s="13" t="s">
        <v>3237</v>
      </c>
      <c r="B1380" s="2" t="s">
        <v>1294</v>
      </c>
      <c r="C1380" s="2" t="s">
        <v>3238</v>
      </c>
      <c r="D1380" s="2" t="s">
        <v>1296</v>
      </c>
      <c r="E1380" s="2">
        <v>27.925999999999998</v>
      </c>
      <c r="F1380" s="2" t="s">
        <v>60</v>
      </c>
      <c r="G1380" s="2" t="s">
        <v>61</v>
      </c>
      <c r="H1380" s="6" t="s">
        <v>3237</v>
      </c>
    </row>
    <row r="1381" spans="1:8" ht="22.5" customHeight="1" x14ac:dyDescent="0.25">
      <c r="A1381" s="14" t="s">
        <v>3239</v>
      </c>
      <c r="B1381" s="3" t="s">
        <v>1294</v>
      </c>
      <c r="C1381" s="3" t="s">
        <v>3240</v>
      </c>
      <c r="D1381" s="3" t="s">
        <v>1296</v>
      </c>
      <c r="E1381" s="3">
        <v>27.925999999999998</v>
      </c>
      <c r="F1381" s="3" t="s">
        <v>60</v>
      </c>
      <c r="G1381" s="3" t="s">
        <v>61</v>
      </c>
      <c r="H1381" s="6" t="s">
        <v>3239</v>
      </c>
    </row>
    <row r="1382" spans="1:8" ht="22.5" customHeight="1" x14ac:dyDescent="0.25">
      <c r="A1382" s="13" t="s">
        <v>3241</v>
      </c>
      <c r="B1382" s="2" t="s">
        <v>1294</v>
      </c>
      <c r="C1382" s="2" t="s">
        <v>3242</v>
      </c>
      <c r="D1382" s="2" t="s">
        <v>1296</v>
      </c>
      <c r="E1382" s="2">
        <v>27.925999999999998</v>
      </c>
      <c r="F1382" s="2" t="s">
        <v>60</v>
      </c>
      <c r="G1382" s="2" t="s">
        <v>61</v>
      </c>
      <c r="H1382" s="6" t="s">
        <v>3241</v>
      </c>
    </row>
    <row r="1383" spans="1:8" ht="22.5" customHeight="1" x14ac:dyDescent="0.25">
      <c r="A1383" s="14" t="s">
        <v>3243</v>
      </c>
      <c r="B1383" s="3" t="s">
        <v>3234</v>
      </c>
      <c r="C1383" s="3" t="s">
        <v>3244</v>
      </c>
      <c r="D1383" s="3" t="s">
        <v>3236</v>
      </c>
      <c r="E1383" s="3">
        <v>50.456000000000003</v>
      </c>
      <c r="F1383" s="3" t="s">
        <v>60</v>
      </c>
      <c r="G1383" s="3" t="s">
        <v>61</v>
      </c>
      <c r="H1383" s="6" t="s">
        <v>3243</v>
      </c>
    </row>
    <row r="1384" spans="1:8" ht="22.5" customHeight="1" x14ac:dyDescent="0.25">
      <c r="A1384" s="13" t="s">
        <v>3245</v>
      </c>
      <c r="B1384" s="2" t="s">
        <v>3246</v>
      </c>
      <c r="C1384" s="2" t="s">
        <v>3247</v>
      </c>
      <c r="D1384" s="2" t="s">
        <v>3248</v>
      </c>
      <c r="E1384" s="2">
        <v>44.905999999999999</v>
      </c>
      <c r="F1384" s="2" t="s">
        <v>60</v>
      </c>
      <c r="G1384" s="2" t="s">
        <v>61</v>
      </c>
      <c r="H1384" s="6" t="s">
        <v>3245</v>
      </c>
    </row>
    <row r="1385" spans="1:8" ht="22.5" customHeight="1" x14ac:dyDescent="0.25">
      <c r="A1385" s="14" t="s">
        <v>3249</v>
      </c>
      <c r="B1385" s="3" t="s">
        <v>1294</v>
      </c>
      <c r="C1385" s="3" t="s">
        <v>3250</v>
      </c>
      <c r="D1385" s="3" t="s">
        <v>1296</v>
      </c>
      <c r="E1385" s="3">
        <v>27.925999999999998</v>
      </c>
      <c r="F1385" s="3" t="s">
        <v>60</v>
      </c>
      <c r="G1385" s="3" t="s">
        <v>61</v>
      </c>
      <c r="H1385" s="6" t="s">
        <v>3249</v>
      </c>
    </row>
    <row r="1386" spans="1:8" ht="33.75" customHeight="1" x14ac:dyDescent="0.25">
      <c r="A1386" s="13" t="s">
        <v>3251</v>
      </c>
      <c r="B1386" s="2" t="s">
        <v>3252</v>
      </c>
      <c r="C1386" s="2" t="s">
        <v>3253</v>
      </c>
      <c r="D1386" s="2" t="s">
        <v>3254</v>
      </c>
      <c r="E1386" s="2">
        <v>30.942</v>
      </c>
      <c r="F1386" s="2" t="s">
        <v>60</v>
      </c>
      <c r="G1386" s="2" t="s">
        <v>61</v>
      </c>
      <c r="H1386" s="6" t="s">
        <v>3251</v>
      </c>
    </row>
    <row r="1387" spans="1:8" ht="22.5" customHeight="1" x14ac:dyDescent="0.25">
      <c r="A1387" s="14" t="s">
        <v>3255</v>
      </c>
      <c r="B1387" s="3" t="s">
        <v>878</v>
      </c>
      <c r="C1387" s="3" t="s">
        <v>3256</v>
      </c>
      <c r="D1387" s="3" t="s">
        <v>880</v>
      </c>
      <c r="E1387" s="3">
        <v>27.925999999999998</v>
      </c>
      <c r="F1387" s="3" t="s">
        <v>60</v>
      </c>
      <c r="G1387" s="3" t="s">
        <v>61</v>
      </c>
      <c r="H1387" s="6" t="s">
        <v>3255</v>
      </c>
    </row>
    <row r="1388" spans="1:8" ht="33.75" customHeight="1" x14ac:dyDescent="0.25">
      <c r="A1388" s="13" t="s">
        <v>3257</v>
      </c>
      <c r="B1388" s="2" t="s">
        <v>878</v>
      </c>
      <c r="C1388" s="2" t="s">
        <v>3258</v>
      </c>
      <c r="D1388" s="2" t="s">
        <v>880</v>
      </c>
      <c r="E1388" s="2">
        <v>27.925999999999998</v>
      </c>
      <c r="F1388" s="2" t="s">
        <v>60</v>
      </c>
      <c r="G1388" s="2" t="s">
        <v>61</v>
      </c>
      <c r="H1388" s="6" t="s">
        <v>3257</v>
      </c>
    </row>
    <row r="1389" spans="1:8" ht="33.75" customHeight="1" x14ac:dyDescent="0.25">
      <c r="A1389" s="14" t="s">
        <v>3259</v>
      </c>
      <c r="B1389" s="3" t="s">
        <v>878</v>
      </c>
      <c r="C1389" s="3" t="s">
        <v>3260</v>
      </c>
      <c r="D1389" s="3" t="s">
        <v>880</v>
      </c>
      <c r="E1389" s="3">
        <v>27.925999999999998</v>
      </c>
      <c r="F1389" s="3" t="s">
        <v>60</v>
      </c>
      <c r="G1389" s="3" t="s">
        <v>61</v>
      </c>
      <c r="H1389" s="6" t="s">
        <v>3259</v>
      </c>
    </row>
    <row r="1390" spans="1:8" ht="22.5" customHeight="1" x14ac:dyDescent="0.25">
      <c r="A1390" s="13" t="s">
        <v>3261</v>
      </c>
      <c r="B1390" s="2" t="s">
        <v>878</v>
      </c>
      <c r="C1390" s="2" t="s">
        <v>3262</v>
      </c>
      <c r="D1390" s="2" t="s">
        <v>880</v>
      </c>
      <c r="E1390" s="2">
        <v>27.925999999999998</v>
      </c>
      <c r="F1390" s="2" t="s">
        <v>60</v>
      </c>
      <c r="G1390" s="2" t="s">
        <v>61</v>
      </c>
      <c r="H1390" s="6" t="s">
        <v>3261</v>
      </c>
    </row>
    <row r="1391" spans="1:8" ht="22.5" customHeight="1" x14ac:dyDescent="0.25">
      <c r="A1391" s="14" t="s">
        <v>3263</v>
      </c>
      <c r="B1391" s="3" t="s">
        <v>3264</v>
      </c>
      <c r="C1391" s="3" t="s">
        <v>3265</v>
      </c>
      <c r="D1391" s="3" t="s">
        <v>3266</v>
      </c>
      <c r="E1391" s="3">
        <v>37.795999999999999</v>
      </c>
      <c r="F1391" s="3" t="s">
        <v>60</v>
      </c>
      <c r="G1391" s="3" t="s">
        <v>61</v>
      </c>
      <c r="H1391" s="6" t="s">
        <v>3263</v>
      </c>
    </row>
    <row r="1392" spans="1:8" ht="22.5" customHeight="1" x14ac:dyDescent="0.25">
      <c r="A1392" s="13" t="s">
        <v>3267</v>
      </c>
      <c r="B1392" s="2" t="s">
        <v>878</v>
      </c>
      <c r="C1392" s="2" t="s">
        <v>3268</v>
      </c>
      <c r="D1392" s="2" t="s">
        <v>880</v>
      </c>
      <c r="E1392" s="2">
        <v>27.925999999999998</v>
      </c>
      <c r="F1392" s="2" t="s">
        <v>60</v>
      </c>
      <c r="G1392" s="2" t="s">
        <v>61</v>
      </c>
      <c r="H1392" s="6" t="s">
        <v>3267</v>
      </c>
    </row>
    <row r="1393" spans="1:8" ht="22.5" customHeight="1" x14ac:dyDescent="0.25">
      <c r="A1393" s="14" t="s">
        <v>3269</v>
      </c>
      <c r="B1393" s="3" t="s">
        <v>3270</v>
      </c>
      <c r="C1393" s="3" t="s">
        <v>3265</v>
      </c>
      <c r="D1393" s="3" t="s">
        <v>3271</v>
      </c>
      <c r="E1393" s="3">
        <v>42.566000000000003</v>
      </c>
      <c r="F1393" s="3" t="s">
        <v>60</v>
      </c>
      <c r="G1393" s="3" t="s">
        <v>61</v>
      </c>
      <c r="H1393" s="6" t="s">
        <v>3269</v>
      </c>
    </row>
    <row r="1394" spans="1:8" ht="22.5" customHeight="1" x14ac:dyDescent="0.25">
      <c r="A1394" s="13" t="s">
        <v>3272</v>
      </c>
      <c r="B1394" s="2" t="s">
        <v>878</v>
      </c>
      <c r="C1394" s="2" t="s">
        <v>3273</v>
      </c>
      <c r="D1394" s="2" t="s">
        <v>880</v>
      </c>
      <c r="E1394" s="2">
        <v>27.925999999999998</v>
      </c>
      <c r="F1394" s="2" t="s">
        <v>60</v>
      </c>
      <c r="G1394" s="2" t="s">
        <v>61</v>
      </c>
      <c r="H1394" s="6" t="s">
        <v>3272</v>
      </c>
    </row>
    <row r="1395" spans="1:8" ht="22.5" customHeight="1" x14ac:dyDescent="0.25">
      <c r="A1395" s="14" t="s">
        <v>3274</v>
      </c>
      <c r="B1395" s="3" t="s">
        <v>878</v>
      </c>
      <c r="C1395" s="3" t="s">
        <v>3275</v>
      </c>
      <c r="D1395" s="3" t="s">
        <v>880</v>
      </c>
      <c r="E1395" s="3">
        <v>27.925999999999998</v>
      </c>
      <c r="F1395" s="3" t="s">
        <v>60</v>
      </c>
      <c r="G1395" s="3" t="s">
        <v>61</v>
      </c>
      <c r="H1395" s="6" t="s">
        <v>3274</v>
      </c>
    </row>
    <row r="1396" spans="1:8" ht="33.75" customHeight="1" x14ac:dyDescent="0.25">
      <c r="A1396" s="13" t="s">
        <v>3276</v>
      </c>
      <c r="B1396" s="2" t="s">
        <v>878</v>
      </c>
      <c r="C1396" s="2" t="s">
        <v>3277</v>
      </c>
      <c r="D1396" s="2" t="s">
        <v>880</v>
      </c>
      <c r="E1396" s="2">
        <v>27.925999999999998</v>
      </c>
      <c r="F1396" s="2" t="s">
        <v>60</v>
      </c>
      <c r="G1396" s="2" t="s">
        <v>61</v>
      </c>
      <c r="H1396" s="6" t="s">
        <v>3276</v>
      </c>
    </row>
    <row r="1397" spans="1:8" ht="22.5" customHeight="1" x14ac:dyDescent="0.25">
      <c r="A1397" s="14" t="s">
        <v>3278</v>
      </c>
      <c r="B1397" s="3" t="s">
        <v>878</v>
      </c>
      <c r="C1397" s="3" t="s">
        <v>3279</v>
      </c>
      <c r="D1397" s="3" t="s">
        <v>880</v>
      </c>
      <c r="E1397" s="3">
        <v>27.925999999999998</v>
      </c>
      <c r="F1397" s="3" t="s">
        <v>60</v>
      </c>
      <c r="G1397" s="3" t="s">
        <v>61</v>
      </c>
      <c r="H1397" s="6" t="s">
        <v>3278</v>
      </c>
    </row>
    <row r="1398" spans="1:8" ht="33.75" customHeight="1" x14ac:dyDescent="0.25">
      <c r="A1398" s="13" t="s">
        <v>3280</v>
      </c>
      <c r="B1398" s="2" t="s">
        <v>2137</v>
      </c>
      <c r="C1398" s="2" t="s">
        <v>3281</v>
      </c>
      <c r="D1398" s="2" t="s">
        <v>2139</v>
      </c>
      <c r="E1398" s="2">
        <v>27.925999999999998</v>
      </c>
      <c r="F1398" s="2" t="s">
        <v>60</v>
      </c>
      <c r="G1398" s="2" t="s">
        <v>61</v>
      </c>
      <c r="H1398" s="6" t="s">
        <v>3280</v>
      </c>
    </row>
    <row r="1399" spans="1:8" ht="33.75" customHeight="1" x14ac:dyDescent="0.25">
      <c r="A1399" s="14" t="s">
        <v>3282</v>
      </c>
      <c r="B1399" s="3" t="s">
        <v>3283</v>
      </c>
      <c r="C1399" s="3" t="s">
        <v>3284</v>
      </c>
      <c r="D1399" s="3" t="s">
        <v>3285</v>
      </c>
      <c r="E1399" s="3">
        <v>28.475999999999999</v>
      </c>
      <c r="F1399" s="3" t="s">
        <v>60</v>
      </c>
      <c r="G1399" s="3" t="s">
        <v>61</v>
      </c>
      <c r="H1399" s="6" t="s">
        <v>3282</v>
      </c>
    </row>
    <row r="1400" spans="1:8" ht="22.5" customHeight="1" x14ac:dyDescent="0.25">
      <c r="A1400" s="13" t="s">
        <v>3286</v>
      </c>
      <c r="B1400" s="2" t="s">
        <v>3287</v>
      </c>
      <c r="C1400" s="2" t="s">
        <v>3288</v>
      </c>
      <c r="D1400" s="2" t="s">
        <v>3289</v>
      </c>
      <c r="E1400" s="2">
        <v>49.136000000000003</v>
      </c>
      <c r="F1400" s="2" t="s">
        <v>60</v>
      </c>
      <c r="G1400" s="2" t="s">
        <v>61</v>
      </c>
      <c r="H1400" s="6" t="s">
        <v>3286</v>
      </c>
    </row>
    <row r="1401" spans="1:8" ht="22.5" customHeight="1" x14ac:dyDescent="0.25">
      <c r="A1401" s="14" t="s">
        <v>3290</v>
      </c>
      <c r="B1401" s="3" t="s">
        <v>3291</v>
      </c>
      <c r="C1401" s="3" t="s">
        <v>3292</v>
      </c>
      <c r="D1401" s="3" t="s">
        <v>3293</v>
      </c>
      <c r="E1401" s="3">
        <v>43.915999999999997</v>
      </c>
      <c r="F1401" s="3" t="s">
        <v>60</v>
      </c>
      <c r="G1401" s="3" t="s">
        <v>61</v>
      </c>
      <c r="H1401" s="6" t="s">
        <v>3290</v>
      </c>
    </row>
    <row r="1402" spans="1:8" ht="22.5" customHeight="1" x14ac:dyDescent="0.25">
      <c r="A1402" s="13" t="s">
        <v>3294</v>
      </c>
      <c r="B1402" s="2" t="s">
        <v>2137</v>
      </c>
      <c r="C1402" s="2" t="s">
        <v>3295</v>
      </c>
      <c r="D1402" s="2" t="s">
        <v>2139</v>
      </c>
      <c r="E1402" s="2">
        <v>27.925999999999998</v>
      </c>
      <c r="F1402" s="2" t="s">
        <v>60</v>
      </c>
      <c r="G1402" s="2" t="s">
        <v>61</v>
      </c>
      <c r="H1402" s="6" t="s">
        <v>3294</v>
      </c>
    </row>
    <row r="1403" spans="1:8" ht="33.75" customHeight="1" x14ac:dyDescent="0.25">
      <c r="A1403" s="14" t="s">
        <v>3296</v>
      </c>
      <c r="B1403" s="3" t="s">
        <v>324</v>
      </c>
      <c r="C1403" s="3" t="s">
        <v>3297</v>
      </c>
      <c r="D1403" s="3" t="s">
        <v>326</v>
      </c>
      <c r="E1403" s="3">
        <v>29.719200000000001</v>
      </c>
      <c r="F1403" s="3" t="s">
        <v>60</v>
      </c>
      <c r="G1403" s="3" t="s">
        <v>61</v>
      </c>
      <c r="H1403" s="6" t="s">
        <v>3296</v>
      </c>
    </row>
    <row r="1404" spans="1:8" ht="33.75" customHeight="1" x14ac:dyDescent="0.25">
      <c r="A1404" s="13" t="s">
        <v>3298</v>
      </c>
      <c r="B1404" s="2" t="s">
        <v>3287</v>
      </c>
      <c r="C1404" s="2" t="s">
        <v>3299</v>
      </c>
      <c r="D1404" s="2" t="s">
        <v>3289</v>
      </c>
      <c r="E1404" s="2">
        <v>49.136000000000003</v>
      </c>
      <c r="F1404" s="2" t="s">
        <v>60</v>
      </c>
      <c r="G1404" s="2" t="s">
        <v>61</v>
      </c>
      <c r="H1404" s="6" t="s">
        <v>3298</v>
      </c>
    </row>
    <row r="1405" spans="1:8" ht="33.75" customHeight="1" x14ac:dyDescent="0.25">
      <c r="A1405" s="14" t="s">
        <v>3300</v>
      </c>
      <c r="B1405" s="3" t="s">
        <v>89</v>
      </c>
      <c r="C1405" s="3" t="s">
        <v>3301</v>
      </c>
      <c r="D1405" s="3" t="s">
        <v>91</v>
      </c>
      <c r="E1405" s="3">
        <v>32.389200000000002</v>
      </c>
      <c r="F1405" s="3" t="s">
        <v>60</v>
      </c>
      <c r="G1405" s="3" t="s">
        <v>61</v>
      </c>
      <c r="H1405" s="6" t="s">
        <v>3300</v>
      </c>
    </row>
    <row r="1406" spans="1:8" ht="33.75" customHeight="1" x14ac:dyDescent="0.25">
      <c r="A1406" s="13" t="s">
        <v>3302</v>
      </c>
      <c r="B1406" s="2" t="s">
        <v>89</v>
      </c>
      <c r="C1406" s="2" t="s">
        <v>3303</v>
      </c>
      <c r="D1406" s="2" t="s">
        <v>91</v>
      </c>
      <c r="E1406" s="2">
        <v>32.389200000000002</v>
      </c>
      <c r="F1406" s="2" t="s">
        <v>60</v>
      </c>
      <c r="G1406" s="2" t="s">
        <v>61</v>
      </c>
      <c r="H1406" s="6" t="s">
        <v>3302</v>
      </c>
    </row>
    <row r="1407" spans="1:8" ht="22.5" customHeight="1" x14ac:dyDescent="0.25">
      <c r="A1407" s="14" t="s">
        <v>3304</v>
      </c>
      <c r="B1407" s="3" t="s">
        <v>3305</v>
      </c>
      <c r="C1407" s="3" t="s">
        <v>3306</v>
      </c>
      <c r="D1407" s="3" t="s">
        <v>3307</v>
      </c>
      <c r="E1407" s="3">
        <v>28.139199999999999</v>
      </c>
      <c r="F1407" s="3" t="s">
        <v>60</v>
      </c>
      <c r="G1407" s="3" t="s">
        <v>61</v>
      </c>
      <c r="H1407" s="6" t="s">
        <v>3304</v>
      </c>
    </row>
    <row r="1408" spans="1:8" ht="22.5" customHeight="1" x14ac:dyDescent="0.25">
      <c r="A1408" s="13" t="s">
        <v>3308</v>
      </c>
      <c r="B1408" s="2" t="s">
        <v>3309</v>
      </c>
      <c r="C1408" s="2" t="s">
        <v>3310</v>
      </c>
      <c r="D1408" s="2" t="s">
        <v>3311</v>
      </c>
      <c r="E1408" s="2">
        <v>27.9192</v>
      </c>
      <c r="F1408" s="2" t="s">
        <v>60</v>
      </c>
      <c r="G1408" s="2" t="s">
        <v>61</v>
      </c>
      <c r="H1408" s="6" t="s">
        <v>3308</v>
      </c>
    </row>
    <row r="1409" spans="1:8" ht="22.5" customHeight="1" x14ac:dyDescent="0.25">
      <c r="A1409" s="14" t="s">
        <v>3312</v>
      </c>
      <c r="B1409" s="3" t="s">
        <v>3313</v>
      </c>
      <c r="C1409" s="3" t="s">
        <v>3314</v>
      </c>
      <c r="D1409" s="3" t="s">
        <v>3315</v>
      </c>
      <c r="E1409" s="3">
        <v>27.9192</v>
      </c>
      <c r="F1409" s="3" t="s">
        <v>60</v>
      </c>
      <c r="G1409" s="3" t="s">
        <v>61</v>
      </c>
      <c r="H1409" s="6" t="s">
        <v>3312</v>
      </c>
    </row>
    <row r="1410" spans="1:8" ht="45" customHeight="1" x14ac:dyDescent="0.25">
      <c r="A1410" s="13" t="s">
        <v>3316</v>
      </c>
      <c r="B1410" s="2" t="s">
        <v>142</v>
      </c>
      <c r="C1410" s="2" t="s">
        <v>3317</v>
      </c>
      <c r="D1410" s="2" t="s">
        <v>144</v>
      </c>
      <c r="E1410" s="2"/>
      <c r="F1410" s="2" t="s">
        <v>145</v>
      </c>
      <c r="G1410" s="2" t="s">
        <v>146</v>
      </c>
      <c r="H1410" s="6" t="s">
        <v>3316</v>
      </c>
    </row>
    <row r="1411" spans="1:8" ht="33.75" customHeight="1" x14ac:dyDescent="0.25">
      <c r="A1411" s="14" t="s">
        <v>3318</v>
      </c>
      <c r="B1411" s="3" t="s">
        <v>77</v>
      </c>
      <c r="C1411" s="3" t="s">
        <v>3319</v>
      </c>
      <c r="D1411" s="3" t="s">
        <v>79</v>
      </c>
      <c r="E1411" s="3">
        <v>31.699200000000001</v>
      </c>
      <c r="F1411" s="3" t="s">
        <v>60</v>
      </c>
      <c r="G1411" s="3" t="s">
        <v>61</v>
      </c>
      <c r="H1411" s="6" t="s">
        <v>3318</v>
      </c>
    </row>
    <row r="1412" spans="1:8" ht="33.75" customHeight="1" x14ac:dyDescent="0.25">
      <c r="A1412" s="13" t="s">
        <v>3320</v>
      </c>
      <c r="B1412" s="2" t="s">
        <v>418</v>
      </c>
      <c r="C1412" s="2" t="s">
        <v>3321</v>
      </c>
      <c r="D1412" s="2" t="s">
        <v>420</v>
      </c>
      <c r="E1412" s="2">
        <v>30.655200000000001</v>
      </c>
      <c r="F1412" s="2" t="s">
        <v>60</v>
      </c>
      <c r="G1412" s="2" t="s">
        <v>61</v>
      </c>
      <c r="H1412" s="6" t="s">
        <v>3320</v>
      </c>
    </row>
    <row r="1413" spans="1:8" ht="33.75" customHeight="1" x14ac:dyDescent="0.25">
      <c r="A1413" s="14" t="s">
        <v>3322</v>
      </c>
      <c r="B1413" s="3" t="s">
        <v>990</v>
      </c>
      <c r="C1413" s="3" t="s">
        <v>3323</v>
      </c>
      <c r="D1413" s="3" t="s">
        <v>992</v>
      </c>
      <c r="E1413" s="3">
        <v>29.755199999999999</v>
      </c>
      <c r="F1413" s="3" t="s">
        <v>60</v>
      </c>
      <c r="G1413" s="3" t="s">
        <v>61</v>
      </c>
      <c r="H1413" s="6" t="s">
        <v>3322</v>
      </c>
    </row>
    <row r="1414" spans="1:8" ht="22.5" customHeight="1" x14ac:dyDescent="0.25">
      <c r="A1414" s="13" t="s">
        <v>3324</v>
      </c>
      <c r="B1414" s="2" t="s">
        <v>400</v>
      </c>
      <c r="C1414" s="2" t="s">
        <v>3325</v>
      </c>
      <c r="D1414" s="2" t="s">
        <v>402</v>
      </c>
      <c r="E1414" s="2">
        <v>34.332239999999999</v>
      </c>
      <c r="F1414" s="2" t="s">
        <v>60</v>
      </c>
      <c r="G1414" s="2" t="s">
        <v>61</v>
      </c>
      <c r="H1414" s="6" t="s">
        <v>3324</v>
      </c>
    </row>
    <row r="1415" spans="1:8" ht="22.5" customHeight="1" x14ac:dyDescent="0.25">
      <c r="A1415" s="14" t="s">
        <v>3326</v>
      </c>
      <c r="B1415" s="3" t="s">
        <v>3327</v>
      </c>
      <c r="C1415" s="3" t="s">
        <v>3328</v>
      </c>
      <c r="D1415" s="3" t="s">
        <v>3329</v>
      </c>
      <c r="E1415" s="3">
        <v>46.578400000000002</v>
      </c>
      <c r="F1415" s="3" t="s">
        <v>60</v>
      </c>
      <c r="G1415" s="3" t="s">
        <v>61</v>
      </c>
      <c r="H1415" s="6" t="s">
        <v>3326</v>
      </c>
    </row>
    <row r="1416" spans="1:8" ht="33.75" customHeight="1" x14ac:dyDescent="0.25">
      <c r="A1416" s="13" t="s">
        <v>3330</v>
      </c>
      <c r="B1416" s="2" t="s">
        <v>188</v>
      </c>
      <c r="C1416" s="2" t="s">
        <v>3331</v>
      </c>
      <c r="D1416" s="2" t="s">
        <v>190</v>
      </c>
      <c r="E1416" s="2">
        <v>30.700399999999998</v>
      </c>
      <c r="F1416" s="2" t="s">
        <v>60</v>
      </c>
      <c r="G1416" s="2" t="s">
        <v>61</v>
      </c>
      <c r="H1416" s="6" t="s">
        <v>3330</v>
      </c>
    </row>
    <row r="1417" spans="1:8" ht="33.75" customHeight="1" x14ac:dyDescent="0.25">
      <c r="A1417" s="14" t="s">
        <v>3332</v>
      </c>
      <c r="B1417" s="3" t="s">
        <v>73</v>
      </c>
      <c r="C1417" s="3" t="s">
        <v>3333</v>
      </c>
      <c r="D1417" s="3" t="s">
        <v>75</v>
      </c>
      <c r="E1417" s="3">
        <v>31.538399999999999</v>
      </c>
      <c r="F1417" s="3" t="s">
        <v>60</v>
      </c>
      <c r="G1417" s="3" t="s">
        <v>61</v>
      </c>
      <c r="H1417" s="6" t="s">
        <v>3332</v>
      </c>
    </row>
    <row r="1418" spans="1:8" ht="22.5" customHeight="1" x14ac:dyDescent="0.25">
      <c r="A1418" s="13" t="s">
        <v>3334</v>
      </c>
      <c r="B1418" s="2" t="s">
        <v>2582</v>
      </c>
      <c r="C1418" s="2" t="s">
        <v>3335</v>
      </c>
      <c r="D1418" s="2" t="s">
        <v>2584</v>
      </c>
      <c r="E1418" s="2">
        <v>27.925999999999998</v>
      </c>
      <c r="F1418" s="2" t="s">
        <v>60</v>
      </c>
      <c r="G1418" s="2" t="s">
        <v>61</v>
      </c>
      <c r="H1418" s="6" t="s">
        <v>3334</v>
      </c>
    </row>
    <row r="1419" spans="1:8" ht="33.75" customHeight="1" x14ac:dyDescent="0.25">
      <c r="A1419" s="14" t="s">
        <v>3336</v>
      </c>
      <c r="B1419" s="3" t="s">
        <v>112</v>
      </c>
      <c r="C1419" s="3" t="s">
        <v>3337</v>
      </c>
      <c r="D1419" s="3" t="s">
        <v>114</v>
      </c>
      <c r="E1419" s="3">
        <v>30.7682</v>
      </c>
      <c r="F1419" s="3" t="s">
        <v>60</v>
      </c>
      <c r="G1419" s="3" t="s">
        <v>61</v>
      </c>
      <c r="H1419" s="6" t="s">
        <v>3336</v>
      </c>
    </row>
    <row r="1420" spans="1:8" ht="33.75" customHeight="1" x14ac:dyDescent="0.25">
      <c r="A1420" s="13" t="s">
        <v>3338</v>
      </c>
      <c r="B1420" s="2" t="s">
        <v>156</v>
      </c>
      <c r="C1420" s="2" t="s">
        <v>3339</v>
      </c>
      <c r="D1420" s="2" t="s">
        <v>158</v>
      </c>
      <c r="E1420" s="2">
        <v>30.987200000000001</v>
      </c>
      <c r="F1420" s="2" t="s">
        <v>60</v>
      </c>
      <c r="G1420" s="2" t="s">
        <v>61</v>
      </c>
      <c r="H1420" s="6" t="s">
        <v>3338</v>
      </c>
    </row>
    <row r="1421" spans="1:8" ht="22.5" customHeight="1" x14ac:dyDescent="0.25">
      <c r="A1421" s="14" t="s">
        <v>3340</v>
      </c>
      <c r="B1421" s="3" t="s">
        <v>422</v>
      </c>
      <c r="C1421" s="3" t="s">
        <v>3341</v>
      </c>
      <c r="D1421" s="3" t="s">
        <v>424</v>
      </c>
      <c r="E1421" s="3">
        <v>30.7272</v>
      </c>
      <c r="F1421" s="3" t="s">
        <v>60</v>
      </c>
      <c r="G1421" s="3" t="s">
        <v>61</v>
      </c>
      <c r="H1421" s="6" t="s">
        <v>3340</v>
      </c>
    </row>
    <row r="1422" spans="1:8" ht="22.5" customHeight="1" x14ac:dyDescent="0.25">
      <c r="A1422" s="13" t="s">
        <v>3342</v>
      </c>
      <c r="B1422" s="2" t="s">
        <v>1723</v>
      </c>
      <c r="C1422" s="2" t="s">
        <v>3343</v>
      </c>
      <c r="D1422" s="2" t="s">
        <v>1725</v>
      </c>
      <c r="E1422" s="2">
        <v>29.0672</v>
      </c>
      <c r="F1422" s="2" t="s">
        <v>60</v>
      </c>
      <c r="G1422" s="2" t="s">
        <v>61</v>
      </c>
      <c r="H1422" s="6" t="s">
        <v>3342</v>
      </c>
    </row>
    <row r="1423" spans="1:8" ht="22.5" customHeight="1" x14ac:dyDescent="0.25">
      <c r="A1423" s="14" t="s">
        <v>3344</v>
      </c>
      <c r="B1423" s="3" t="s">
        <v>277</v>
      </c>
      <c r="C1423" s="3" t="s">
        <v>3345</v>
      </c>
      <c r="D1423" s="3" t="s">
        <v>279</v>
      </c>
      <c r="E1423" s="3">
        <v>29.7592</v>
      </c>
      <c r="F1423" s="3" t="s">
        <v>60</v>
      </c>
      <c r="G1423" s="3" t="s">
        <v>61</v>
      </c>
      <c r="H1423" s="6" t="s">
        <v>3344</v>
      </c>
    </row>
    <row r="1424" spans="1:8" ht="22.5" customHeight="1" x14ac:dyDescent="0.25">
      <c r="A1424" s="13" t="s">
        <v>3346</v>
      </c>
      <c r="B1424" s="2" t="s">
        <v>1727</v>
      </c>
      <c r="C1424" s="2" t="s">
        <v>3347</v>
      </c>
      <c r="D1424" s="2" t="s">
        <v>1729</v>
      </c>
      <c r="E1424" s="2">
        <v>29.0792</v>
      </c>
      <c r="F1424" s="2" t="s">
        <v>60</v>
      </c>
      <c r="G1424" s="2" t="s">
        <v>61</v>
      </c>
      <c r="H1424" s="6" t="s">
        <v>3346</v>
      </c>
    </row>
    <row r="1425" spans="1:8" ht="22.5" customHeight="1" x14ac:dyDescent="0.25">
      <c r="A1425" s="14" t="s">
        <v>3348</v>
      </c>
      <c r="B1425" s="3" t="s">
        <v>3349</v>
      </c>
      <c r="C1425" s="3" t="s">
        <v>3350</v>
      </c>
      <c r="D1425" s="3" t="s">
        <v>3351</v>
      </c>
      <c r="E1425" s="3">
        <v>27.859200000000001</v>
      </c>
      <c r="F1425" s="3" t="s">
        <v>60</v>
      </c>
      <c r="G1425" s="3" t="s">
        <v>61</v>
      </c>
      <c r="H1425" s="6" t="s">
        <v>3348</v>
      </c>
    </row>
    <row r="1426" spans="1:8" ht="33.75" customHeight="1" x14ac:dyDescent="0.25">
      <c r="A1426" s="13" t="s">
        <v>3352</v>
      </c>
      <c r="B1426" s="2" t="s">
        <v>382</v>
      </c>
      <c r="C1426" s="2" t="s">
        <v>3353</v>
      </c>
      <c r="D1426" s="2" t="s">
        <v>384</v>
      </c>
      <c r="E1426" s="2">
        <v>35.3172</v>
      </c>
      <c r="F1426" s="2" t="s">
        <v>60</v>
      </c>
      <c r="G1426" s="2" t="s">
        <v>61</v>
      </c>
      <c r="H1426" s="6" t="s">
        <v>3352</v>
      </c>
    </row>
    <row r="1427" spans="1:8" ht="33.75" customHeight="1" x14ac:dyDescent="0.25">
      <c r="A1427" s="14" t="s">
        <v>3354</v>
      </c>
      <c r="B1427" s="3" t="s">
        <v>404</v>
      </c>
      <c r="C1427" s="3" t="s">
        <v>2233</v>
      </c>
      <c r="D1427" s="3" t="s">
        <v>406</v>
      </c>
      <c r="E1427" s="3">
        <v>29.999199999999998</v>
      </c>
      <c r="F1427" s="3" t="s">
        <v>60</v>
      </c>
      <c r="G1427" s="3" t="s">
        <v>61</v>
      </c>
      <c r="H1427" s="6" t="s">
        <v>3354</v>
      </c>
    </row>
    <row r="1428" spans="1:8" ht="22.5" customHeight="1" x14ac:dyDescent="0.25">
      <c r="A1428" s="13" t="s">
        <v>3355</v>
      </c>
      <c r="B1428" s="2" t="s">
        <v>3356</v>
      </c>
      <c r="C1428" s="2" t="s">
        <v>3357</v>
      </c>
      <c r="D1428" s="2" t="s">
        <v>3358</v>
      </c>
      <c r="E1428" s="2">
        <v>27.819199999999999</v>
      </c>
      <c r="F1428" s="2" t="s">
        <v>60</v>
      </c>
      <c r="G1428" s="2" t="s">
        <v>61</v>
      </c>
      <c r="H1428" s="6" t="s">
        <v>3355</v>
      </c>
    </row>
    <row r="1429" spans="1:8" ht="22.5" customHeight="1" x14ac:dyDescent="0.25">
      <c r="A1429" s="14" t="s">
        <v>3359</v>
      </c>
      <c r="B1429" s="3" t="s">
        <v>400</v>
      </c>
      <c r="C1429" s="3" t="s">
        <v>3360</v>
      </c>
      <c r="D1429" s="3" t="s">
        <v>402</v>
      </c>
      <c r="E1429" s="3">
        <v>34.332239999999999</v>
      </c>
      <c r="F1429" s="3" t="s">
        <v>60</v>
      </c>
      <c r="G1429" s="3" t="s">
        <v>61</v>
      </c>
      <c r="H1429" s="6" t="s">
        <v>3359</v>
      </c>
    </row>
    <row r="1430" spans="1:8" ht="33.75" customHeight="1" x14ac:dyDescent="0.25">
      <c r="A1430" s="13" t="s">
        <v>3361</v>
      </c>
      <c r="B1430" s="2" t="s">
        <v>878</v>
      </c>
      <c r="C1430" s="2" t="s">
        <v>3362</v>
      </c>
      <c r="D1430" s="2" t="s">
        <v>880</v>
      </c>
      <c r="E1430" s="2">
        <v>27.925999999999998</v>
      </c>
      <c r="F1430" s="2" t="s">
        <v>60</v>
      </c>
      <c r="G1430" s="2" t="s">
        <v>61</v>
      </c>
      <c r="H1430" s="6" t="s">
        <v>3361</v>
      </c>
    </row>
    <row r="1431" spans="1:8" ht="33.75" customHeight="1" x14ac:dyDescent="0.25">
      <c r="A1431" s="14" t="s">
        <v>3363</v>
      </c>
      <c r="B1431" s="3" t="s">
        <v>2137</v>
      </c>
      <c r="C1431" s="3" t="s">
        <v>3364</v>
      </c>
      <c r="D1431" s="3" t="s">
        <v>2139</v>
      </c>
      <c r="E1431" s="3">
        <v>27.925999999999998</v>
      </c>
      <c r="F1431" s="3" t="s">
        <v>60</v>
      </c>
      <c r="G1431" s="3" t="s">
        <v>61</v>
      </c>
      <c r="H1431" s="6" t="s">
        <v>3363</v>
      </c>
    </row>
    <row r="1432" spans="1:8" ht="33.75" customHeight="1" x14ac:dyDescent="0.25">
      <c r="A1432" s="13" t="s">
        <v>3365</v>
      </c>
      <c r="B1432" s="2" t="s">
        <v>2137</v>
      </c>
      <c r="C1432" s="2" t="s">
        <v>3366</v>
      </c>
      <c r="D1432" s="2" t="s">
        <v>2139</v>
      </c>
      <c r="E1432" s="2">
        <v>27.925999999999998</v>
      </c>
      <c r="F1432" s="2" t="s">
        <v>60</v>
      </c>
      <c r="G1432" s="2" t="s">
        <v>61</v>
      </c>
      <c r="H1432" s="6" t="s">
        <v>3365</v>
      </c>
    </row>
    <row r="1433" spans="1:8" ht="22.5" customHeight="1" x14ac:dyDescent="0.25">
      <c r="A1433" s="14" t="s">
        <v>3367</v>
      </c>
      <c r="B1433" s="3" t="s">
        <v>2572</v>
      </c>
      <c r="C1433" s="3" t="s">
        <v>3368</v>
      </c>
      <c r="D1433" s="3" t="s">
        <v>2574</v>
      </c>
      <c r="E1433" s="3">
        <v>27.925999999999998</v>
      </c>
      <c r="F1433" s="3" t="s">
        <v>60</v>
      </c>
      <c r="G1433" s="3" t="s">
        <v>61</v>
      </c>
      <c r="H1433" s="6" t="s">
        <v>3367</v>
      </c>
    </row>
    <row r="1434" spans="1:8" ht="22.5" customHeight="1" x14ac:dyDescent="0.25">
      <c r="A1434" s="13" t="s">
        <v>3369</v>
      </c>
      <c r="B1434" s="2" t="s">
        <v>1781</v>
      </c>
      <c r="C1434" s="2" t="s">
        <v>3370</v>
      </c>
      <c r="D1434" s="2" t="s">
        <v>1783</v>
      </c>
      <c r="E1434" s="2">
        <v>27.925999999999998</v>
      </c>
      <c r="F1434" s="2" t="s">
        <v>60</v>
      </c>
      <c r="G1434" s="2" t="s">
        <v>61</v>
      </c>
      <c r="H1434" s="6" t="s">
        <v>3369</v>
      </c>
    </row>
    <row r="1435" spans="1:8" ht="22.5" customHeight="1" x14ac:dyDescent="0.25">
      <c r="A1435" s="14" t="s">
        <v>3371</v>
      </c>
      <c r="B1435" s="3" t="s">
        <v>830</v>
      </c>
      <c r="C1435" s="3" t="s">
        <v>3372</v>
      </c>
      <c r="D1435" s="3" t="s">
        <v>832</v>
      </c>
      <c r="E1435" s="3">
        <v>27.925999999999998</v>
      </c>
      <c r="F1435" s="3" t="s">
        <v>60</v>
      </c>
      <c r="G1435" s="3" t="s">
        <v>61</v>
      </c>
      <c r="H1435" s="6" t="s">
        <v>3371</v>
      </c>
    </row>
    <row r="1436" spans="1:8" ht="22.5" customHeight="1" x14ac:dyDescent="0.25">
      <c r="A1436" s="13" t="s">
        <v>3373</v>
      </c>
      <c r="B1436" s="2" t="s">
        <v>2137</v>
      </c>
      <c r="C1436" s="2" t="s">
        <v>3374</v>
      </c>
      <c r="D1436" s="2" t="s">
        <v>2139</v>
      </c>
      <c r="E1436" s="2">
        <v>27.925999999999998</v>
      </c>
      <c r="F1436" s="2" t="s">
        <v>60</v>
      </c>
      <c r="G1436" s="2" t="s">
        <v>61</v>
      </c>
      <c r="H1436" s="6" t="s">
        <v>3373</v>
      </c>
    </row>
    <row r="1437" spans="1:8" ht="33.75" customHeight="1" x14ac:dyDescent="0.25">
      <c r="A1437" s="14" t="s">
        <v>3375</v>
      </c>
      <c r="B1437" s="3" t="s">
        <v>2582</v>
      </c>
      <c r="C1437" s="3" t="s">
        <v>3376</v>
      </c>
      <c r="D1437" s="3" t="s">
        <v>2584</v>
      </c>
      <c r="E1437" s="3">
        <v>27.925999999999998</v>
      </c>
      <c r="F1437" s="3" t="s">
        <v>60</v>
      </c>
      <c r="G1437" s="3" t="s">
        <v>61</v>
      </c>
      <c r="H1437" s="6" t="s">
        <v>3375</v>
      </c>
    </row>
    <row r="1438" spans="1:8" ht="33.75" customHeight="1" x14ac:dyDescent="0.25">
      <c r="A1438" s="13" t="s">
        <v>3377</v>
      </c>
      <c r="B1438" s="2" t="s">
        <v>1151</v>
      </c>
      <c r="C1438" s="2" t="s">
        <v>3378</v>
      </c>
      <c r="D1438" s="2" t="s">
        <v>1153</v>
      </c>
      <c r="E1438" s="2">
        <v>30.6372</v>
      </c>
      <c r="F1438" s="2" t="s">
        <v>60</v>
      </c>
      <c r="G1438" s="2" t="s">
        <v>61</v>
      </c>
      <c r="H1438" s="6" t="s">
        <v>3377</v>
      </c>
    </row>
    <row r="1439" spans="1:8" ht="22.5" customHeight="1" x14ac:dyDescent="0.25">
      <c r="A1439" s="14" t="s">
        <v>3379</v>
      </c>
      <c r="B1439" s="3" t="s">
        <v>418</v>
      </c>
      <c r="C1439" s="3" t="s">
        <v>3380</v>
      </c>
      <c r="D1439" s="3" t="s">
        <v>420</v>
      </c>
      <c r="E1439" s="3">
        <v>30.655200000000001</v>
      </c>
      <c r="F1439" s="3" t="s">
        <v>60</v>
      </c>
      <c r="G1439" s="3" t="s">
        <v>61</v>
      </c>
      <c r="H1439" s="6" t="s">
        <v>3379</v>
      </c>
    </row>
    <row r="1440" spans="1:8" ht="22.5" customHeight="1" x14ac:dyDescent="0.25">
      <c r="A1440" s="13" t="s">
        <v>3381</v>
      </c>
      <c r="B1440" s="2" t="s">
        <v>990</v>
      </c>
      <c r="C1440" s="2" t="s">
        <v>3382</v>
      </c>
      <c r="D1440" s="2" t="s">
        <v>992</v>
      </c>
      <c r="E1440" s="2">
        <v>29.755199999999999</v>
      </c>
      <c r="F1440" s="2" t="s">
        <v>60</v>
      </c>
      <c r="G1440" s="2" t="s">
        <v>61</v>
      </c>
      <c r="H1440" s="6" t="s">
        <v>3381</v>
      </c>
    </row>
    <row r="1441" spans="1:8" ht="33.75" customHeight="1" x14ac:dyDescent="0.25">
      <c r="A1441" s="14" t="s">
        <v>3383</v>
      </c>
      <c r="B1441" s="3" t="s">
        <v>356</v>
      </c>
      <c r="C1441" s="3" t="s">
        <v>3384</v>
      </c>
      <c r="D1441" s="3" t="s">
        <v>358</v>
      </c>
      <c r="E1441" s="3">
        <v>29.5992</v>
      </c>
      <c r="F1441" s="3" t="s">
        <v>60</v>
      </c>
      <c r="G1441" s="3" t="s">
        <v>61</v>
      </c>
      <c r="H1441" s="6" t="s">
        <v>3383</v>
      </c>
    </row>
    <row r="1442" spans="1:8" ht="22.5" customHeight="1" x14ac:dyDescent="0.25">
      <c r="A1442" s="13" t="s">
        <v>3385</v>
      </c>
      <c r="B1442" s="2" t="s">
        <v>418</v>
      </c>
      <c r="C1442" s="2" t="s">
        <v>3386</v>
      </c>
      <c r="D1442" s="2" t="s">
        <v>420</v>
      </c>
      <c r="E1442" s="2">
        <v>30.655200000000001</v>
      </c>
      <c r="F1442" s="2" t="s">
        <v>60</v>
      </c>
      <c r="G1442" s="2" t="s">
        <v>61</v>
      </c>
      <c r="H1442" s="6" t="s">
        <v>3385</v>
      </c>
    </row>
    <row r="1443" spans="1:8" ht="22.5" customHeight="1" x14ac:dyDescent="0.25">
      <c r="A1443" s="14" t="s">
        <v>3387</v>
      </c>
      <c r="B1443" s="3" t="s">
        <v>404</v>
      </c>
      <c r="C1443" s="3" t="s">
        <v>3388</v>
      </c>
      <c r="D1443" s="3" t="s">
        <v>406</v>
      </c>
      <c r="E1443" s="3">
        <v>29.999199999999998</v>
      </c>
      <c r="F1443" s="3" t="s">
        <v>60</v>
      </c>
      <c r="G1443" s="3" t="s">
        <v>61</v>
      </c>
      <c r="H1443" s="6" t="s">
        <v>3387</v>
      </c>
    </row>
    <row r="1444" spans="1:8" ht="22.5" customHeight="1" x14ac:dyDescent="0.25">
      <c r="A1444" s="13" t="s">
        <v>3389</v>
      </c>
      <c r="B1444" s="2" t="s">
        <v>990</v>
      </c>
      <c r="C1444" s="2" t="s">
        <v>3390</v>
      </c>
      <c r="D1444" s="2" t="s">
        <v>992</v>
      </c>
      <c r="E1444" s="2">
        <v>29.755199999999999</v>
      </c>
      <c r="F1444" s="2" t="s">
        <v>60</v>
      </c>
      <c r="G1444" s="2" t="s">
        <v>61</v>
      </c>
      <c r="H1444" s="6" t="s">
        <v>3389</v>
      </c>
    </row>
    <row r="1445" spans="1:8" ht="22.5" customHeight="1" x14ac:dyDescent="0.25">
      <c r="A1445" s="14" t="s">
        <v>3391</v>
      </c>
      <c r="B1445" s="3" t="s">
        <v>324</v>
      </c>
      <c r="C1445" s="3" t="s">
        <v>3392</v>
      </c>
      <c r="D1445" s="3" t="s">
        <v>326</v>
      </c>
      <c r="E1445" s="3">
        <v>29.719200000000001</v>
      </c>
      <c r="F1445" s="3" t="s">
        <v>60</v>
      </c>
      <c r="G1445" s="3" t="s">
        <v>61</v>
      </c>
      <c r="H1445" s="6" t="s">
        <v>3391</v>
      </c>
    </row>
    <row r="1446" spans="1:8" ht="33.75" customHeight="1" x14ac:dyDescent="0.25">
      <c r="A1446" s="13" t="s">
        <v>3393</v>
      </c>
      <c r="B1446" s="2" t="s">
        <v>1888</v>
      </c>
      <c r="C1446" s="2" t="s">
        <v>3394</v>
      </c>
      <c r="D1446" s="2" t="s">
        <v>1890</v>
      </c>
      <c r="E1446" s="2">
        <v>27.859200000000001</v>
      </c>
      <c r="F1446" s="2" t="s">
        <v>60</v>
      </c>
      <c r="G1446" s="2" t="s">
        <v>61</v>
      </c>
      <c r="H1446" s="6" t="s">
        <v>3393</v>
      </c>
    </row>
    <row r="1447" spans="1:8" ht="33.75" customHeight="1" x14ac:dyDescent="0.25">
      <c r="A1447" s="14" t="s">
        <v>3395</v>
      </c>
      <c r="B1447" s="3" t="s">
        <v>1888</v>
      </c>
      <c r="C1447" s="3" t="s">
        <v>3396</v>
      </c>
      <c r="D1447" s="3" t="s">
        <v>1890</v>
      </c>
      <c r="E1447" s="3">
        <v>27.859200000000001</v>
      </c>
      <c r="F1447" s="3" t="s">
        <v>60</v>
      </c>
      <c r="G1447" s="3" t="s">
        <v>61</v>
      </c>
      <c r="H1447" s="6" t="s">
        <v>3395</v>
      </c>
    </row>
    <row r="1448" spans="1:8" ht="33.75" customHeight="1" x14ac:dyDescent="0.25">
      <c r="A1448" s="13" t="s">
        <v>3397</v>
      </c>
      <c r="B1448" s="2" t="s">
        <v>2696</v>
      </c>
      <c r="C1448" s="2" t="s">
        <v>3398</v>
      </c>
      <c r="D1448" s="2" t="s">
        <v>2698</v>
      </c>
      <c r="E1448" s="2">
        <v>27.639199999999999</v>
      </c>
      <c r="F1448" s="2" t="s">
        <v>60</v>
      </c>
      <c r="G1448" s="2" t="s">
        <v>61</v>
      </c>
      <c r="H1448" s="6" t="s">
        <v>3397</v>
      </c>
    </row>
    <row r="1449" spans="1:8" ht="33.75" customHeight="1" x14ac:dyDescent="0.25">
      <c r="A1449" s="14" t="s">
        <v>3399</v>
      </c>
      <c r="B1449" s="3" t="s">
        <v>1878</v>
      </c>
      <c r="C1449" s="3" t="s">
        <v>3400</v>
      </c>
      <c r="D1449" s="3" t="s">
        <v>1880</v>
      </c>
      <c r="E1449" s="3">
        <v>27.639199999999999</v>
      </c>
      <c r="F1449" s="3" t="s">
        <v>60</v>
      </c>
      <c r="G1449" s="3" t="s">
        <v>61</v>
      </c>
      <c r="H1449" s="6" t="s">
        <v>3399</v>
      </c>
    </row>
    <row r="1450" spans="1:8" ht="33.75" customHeight="1" x14ac:dyDescent="0.25">
      <c r="A1450" s="13" t="s">
        <v>3401</v>
      </c>
      <c r="B1450" s="2" t="s">
        <v>1878</v>
      </c>
      <c r="C1450" s="2" t="s">
        <v>3402</v>
      </c>
      <c r="D1450" s="2" t="s">
        <v>1880</v>
      </c>
      <c r="E1450" s="2">
        <v>27.639199999999999</v>
      </c>
      <c r="F1450" s="2" t="s">
        <v>60</v>
      </c>
      <c r="G1450" s="2" t="s">
        <v>61</v>
      </c>
      <c r="H1450" s="6" t="s">
        <v>3401</v>
      </c>
    </row>
    <row r="1451" spans="1:8" ht="33.75" customHeight="1" x14ac:dyDescent="0.25">
      <c r="A1451" s="14" t="s">
        <v>3403</v>
      </c>
      <c r="B1451" s="3" t="s">
        <v>1884</v>
      </c>
      <c r="C1451" s="3" t="s">
        <v>3404</v>
      </c>
      <c r="D1451" s="3" t="s">
        <v>1886</v>
      </c>
      <c r="E1451" s="3">
        <v>27.639199999999999</v>
      </c>
      <c r="F1451" s="3" t="s">
        <v>60</v>
      </c>
      <c r="G1451" s="3" t="s">
        <v>61</v>
      </c>
      <c r="H1451" s="6" t="s">
        <v>3403</v>
      </c>
    </row>
    <row r="1452" spans="1:8" ht="33.75" customHeight="1" x14ac:dyDescent="0.25">
      <c r="A1452" s="13" t="s">
        <v>3405</v>
      </c>
      <c r="B1452" s="2" t="s">
        <v>1884</v>
      </c>
      <c r="C1452" s="2" t="s">
        <v>3406</v>
      </c>
      <c r="D1452" s="2" t="s">
        <v>1886</v>
      </c>
      <c r="E1452" s="2">
        <v>27.639199999999999</v>
      </c>
      <c r="F1452" s="2" t="s">
        <v>60</v>
      </c>
      <c r="G1452" s="2" t="s">
        <v>61</v>
      </c>
      <c r="H1452" s="6" t="s">
        <v>3405</v>
      </c>
    </row>
    <row r="1453" spans="1:8" ht="22.5" customHeight="1" x14ac:dyDescent="0.25">
      <c r="A1453" s="14" t="s">
        <v>3407</v>
      </c>
      <c r="B1453" s="3" t="s">
        <v>656</v>
      </c>
      <c r="C1453" s="3" t="s">
        <v>3408</v>
      </c>
      <c r="D1453" s="3" t="s">
        <v>658</v>
      </c>
      <c r="E1453" s="3">
        <v>30.368400000000001</v>
      </c>
      <c r="F1453" s="3" t="s">
        <v>60</v>
      </c>
      <c r="G1453" s="3" t="s">
        <v>61</v>
      </c>
      <c r="H1453" s="6" t="s">
        <v>3407</v>
      </c>
    </row>
    <row r="1454" spans="1:8" ht="22.5" customHeight="1" x14ac:dyDescent="0.25">
      <c r="A1454" s="13" t="s">
        <v>3409</v>
      </c>
      <c r="B1454" s="2" t="s">
        <v>612</v>
      </c>
      <c r="C1454" s="2" t="s">
        <v>3410</v>
      </c>
      <c r="D1454" s="2" t="s">
        <v>614</v>
      </c>
      <c r="E1454" s="2">
        <v>29.712399999999999</v>
      </c>
      <c r="F1454" s="2" t="s">
        <v>60</v>
      </c>
      <c r="G1454" s="2" t="s">
        <v>61</v>
      </c>
      <c r="H1454" s="6" t="s">
        <v>3409</v>
      </c>
    </row>
    <row r="1455" spans="1:8" ht="22.5" customHeight="1" x14ac:dyDescent="0.25">
      <c r="A1455" s="14" t="s">
        <v>3411</v>
      </c>
      <c r="B1455" s="3" t="s">
        <v>612</v>
      </c>
      <c r="C1455" s="3" t="s">
        <v>3412</v>
      </c>
      <c r="D1455" s="3" t="s">
        <v>614</v>
      </c>
      <c r="E1455" s="3">
        <v>29.712399999999999</v>
      </c>
      <c r="F1455" s="3" t="s">
        <v>60</v>
      </c>
      <c r="G1455" s="3" t="s">
        <v>61</v>
      </c>
      <c r="H1455" s="6" t="s">
        <v>3411</v>
      </c>
    </row>
    <row r="1456" spans="1:8" ht="22.5" customHeight="1" x14ac:dyDescent="0.25">
      <c r="A1456" s="13" t="s">
        <v>3413</v>
      </c>
      <c r="B1456" s="2" t="s">
        <v>665</v>
      </c>
      <c r="C1456" s="2" t="s">
        <v>3414</v>
      </c>
      <c r="D1456" s="2" t="s">
        <v>667</v>
      </c>
      <c r="E1456" s="2">
        <v>29.432400000000001</v>
      </c>
      <c r="F1456" s="2" t="s">
        <v>60</v>
      </c>
      <c r="G1456" s="2" t="s">
        <v>61</v>
      </c>
      <c r="H1456" s="6" t="s">
        <v>3413</v>
      </c>
    </row>
    <row r="1457" spans="1:8" ht="22.5" customHeight="1" x14ac:dyDescent="0.25">
      <c r="A1457" s="14" t="s">
        <v>3415</v>
      </c>
      <c r="B1457" s="3" t="s">
        <v>669</v>
      </c>
      <c r="C1457" s="3" t="s">
        <v>3416</v>
      </c>
      <c r="D1457" s="3" t="s">
        <v>671</v>
      </c>
      <c r="E1457" s="3">
        <v>29.982399999999998</v>
      </c>
      <c r="F1457" s="3" t="s">
        <v>60</v>
      </c>
      <c r="G1457" s="3" t="s">
        <v>61</v>
      </c>
      <c r="H1457" s="6" t="s">
        <v>3415</v>
      </c>
    </row>
    <row r="1458" spans="1:8" ht="22.5" customHeight="1" x14ac:dyDescent="0.25">
      <c r="A1458" s="13" t="s">
        <v>3417</v>
      </c>
      <c r="B1458" s="2" t="s">
        <v>673</v>
      </c>
      <c r="C1458" s="2" t="s">
        <v>3418</v>
      </c>
      <c r="D1458" s="2" t="s">
        <v>675</v>
      </c>
      <c r="E1458" s="2">
        <v>29.5824</v>
      </c>
      <c r="F1458" s="2" t="s">
        <v>60</v>
      </c>
      <c r="G1458" s="2" t="s">
        <v>61</v>
      </c>
      <c r="H1458" s="6" t="s">
        <v>3417</v>
      </c>
    </row>
    <row r="1459" spans="1:8" ht="22.5" customHeight="1" x14ac:dyDescent="0.25">
      <c r="A1459" s="14" t="s">
        <v>3419</v>
      </c>
      <c r="B1459" s="3" t="s">
        <v>687</v>
      </c>
      <c r="C1459" s="3" t="s">
        <v>3420</v>
      </c>
      <c r="D1459" s="3" t="s">
        <v>689</v>
      </c>
      <c r="E1459" s="3">
        <v>34.045439999999999</v>
      </c>
      <c r="F1459" s="3" t="s">
        <v>60</v>
      </c>
      <c r="G1459" s="3" t="s">
        <v>61</v>
      </c>
      <c r="H1459" s="6" t="s">
        <v>3419</v>
      </c>
    </row>
    <row r="1460" spans="1:8" ht="33.75" customHeight="1" x14ac:dyDescent="0.25">
      <c r="A1460" s="13" t="s">
        <v>3421</v>
      </c>
      <c r="B1460" s="2" t="s">
        <v>73</v>
      </c>
      <c r="C1460" s="2" t="s">
        <v>3422</v>
      </c>
      <c r="D1460" s="2" t="s">
        <v>75</v>
      </c>
      <c r="E1460" s="2">
        <v>31.538399999999999</v>
      </c>
      <c r="F1460" s="2" t="s">
        <v>60</v>
      </c>
      <c r="G1460" s="2" t="s">
        <v>61</v>
      </c>
      <c r="H1460" s="6" t="s">
        <v>3421</v>
      </c>
    </row>
    <row r="1461" spans="1:8" ht="22.5" customHeight="1" x14ac:dyDescent="0.25">
      <c r="A1461" s="14" t="s">
        <v>3423</v>
      </c>
      <c r="B1461" s="3" t="s">
        <v>656</v>
      </c>
      <c r="C1461" s="3" t="s">
        <v>3424</v>
      </c>
      <c r="D1461" s="3" t="s">
        <v>658</v>
      </c>
      <c r="E1461" s="3">
        <v>30.368400000000001</v>
      </c>
      <c r="F1461" s="3" t="s">
        <v>60</v>
      </c>
      <c r="G1461" s="3" t="s">
        <v>61</v>
      </c>
      <c r="H1461" s="6" t="s">
        <v>3423</v>
      </c>
    </row>
    <row r="1462" spans="1:8" ht="22.5" customHeight="1" x14ac:dyDescent="0.25">
      <c r="A1462" s="13" t="s">
        <v>3425</v>
      </c>
      <c r="B1462" s="2" t="s">
        <v>612</v>
      </c>
      <c r="C1462" s="2" t="s">
        <v>3426</v>
      </c>
      <c r="D1462" s="2" t="s">
        <v>614</v>
      </c>
      <c r="E1462" s="2">
        <v>29.712399999999999</v>
      </c>
      <c r="F1462" s="2" t="s">
        <v>60</v>
      </c>
      <c r="G1462" s="2" t="s">
        <v>61</v>
      </c>
      <c r="H1462" s="6" t="s">
        <v>3425</v>
      </c>
    </row>
    <row r="1463" spans="1:8" ht="22.5" customHeight="1" x14ac:dyDescent="0.25">
      <c r="A1463" s="14" t="s">
        <v>3427</v>
      </c>
      <c r="B1463" s="3" t="s">
        <v>612</v>
      </c>
      <c r="C1463" s="3" t="s">
        <v>3428</v>
      </c>
      <c r="D1463" s="3" t="s">
        <v>614</v>
      </c>
      <c r="E1463" s="3">
        <v>29.712399999999999</v>
      </c>
      <c r="F1463" s="3" t="s">
        <v>60</v>
      </c>
      <c r="G1463" s="3" t="s">
        <v>61</v>
      </c>
      <c r="H1463" s="6" t="s">
        <v>3427</v>
      </c>
    </row>
    <row r="1464" spans="1:8" ht="22.5" customHeight="1" x14ac:dyDescent="0.25">
      <c r="A1464" s="13" t="s">
        <v>3429</v>
      </c>
      <c r="B1464" s="2" t="s">
        <v>665</v>
      </c>
      <c r="C1464" s="2" t="s">
        <v>3430</v>
      </c>
      <c r="D1464" s="2" t="s">
        <v>667</v>
      </c>
      <c r="E1464" s="2">
        <v>29.432400000000001</v>
      </c>
      <c r="F1464" s="2" t="s">
        <v>60</v>
      </c>
      <c r="G1464" s="2" t="s">
        <v>61</v>
      </c>
      <c r="H1464" s="6" t="s">
        <v>3429</v>
      </c>
    </row>
    <row r="1465" spans="1:8" ht="22.5" customHeight="1" x14ac:dyDescent="0.25">
      <c r="A1465" s="14" t="s">
        <v>3431</v>
      </c>
      <c r="B1465" s="3" t="s">
        <v>673</v>
      </c>
      <c r="C1465" s="3" t="s">
        <v>3432</v>
      </c>
      <c r="D1465" s="3" t="s">
        <v>675</v>
      </c>
      <c r="E1465" s="3">
        <v>29.5824</v>
      </c>
      <c r="F1465" s="3" t="s">
        <v>60</v>
      </c>
      <c r="G1465" s="3" t="s">
        <v>61</v>
      </c>
      <c r="H1465" s="6" t="s">
        <v>3431</v>
      </c>
    </row>
    <row r="1466" spans="1:8" ht="22.5" customHeight="1" x14ac:dyDescent="0.25">
      <c r="A1466" s="13" t="s">
        <v>3433</v>
      </c>
      <c r="B1466" s="2" t="s">
        <v>650</v>
      </c>
      <c r="C1466" s="2" t="s">
        <v>3434</v>
      </c>
      <c r="D1466" s="2" t="s">
        <v>652</v>
      </c>
      <c r="E1466" s="2">
        <v>33.497</v>
      </c>
      <c r="F1466" s="2" t="s">
        <v>60</v>
      </c>
      <c r="G1466" s="2" t="s">
        <v>61</v>
      </c>
      <c r="H1466" s="6" t="s">
        <v>3433</v>
      </c>
    </row>
    <row r="1467" spans="1:8" ht="33.75" customHeight="1" x14ac:dyDescent="0.25">
      <c r="A1467" s="14" t="s">
        <v>3435</v>
      </c>
      <c r="B1467" s="3" t="s">
        <v>63</v>
      </c>
      <c r="C1467" s="3" t="s">
        <v>3436</v>
      </c>
      <c r="D1467" s="3" t="s">
        <v>65</v>
      </c>
      <c r="E1467" s="3">
        <v>31.412400000000002</v>
      </c>
      <c r="F1467" s="3" t="s">
        <v>60</v>
      </c>
      <c r="G1467" s="3" t="s">
        <v>61</v>
      </c>
      <c r="H1467" s="6" t="s">
        <v>3435</v>
      </c>
    </row>
    <row r="1468" spans="1:8" ht="33.75" customHeight="1" x14ac:dyDescent="0.25">
      <c r="A1468" s="13" t="s">
        <v>3437</v>
      </c>
      <c r="B1468" s="2" t="s">
        <v>69</v>
      </c>
      <c r="C1468" s="2" t="s">
        <v>3438</v>
      </c>
      <c r="D1468" s="2" t="s">
        <v>71</v>
      </c>
      <c r="E1468" s="2">
        <v>32.102400000000003</v>
      </c>
      <c r="F1468" s="2" t="s">
        <v>60</v>
      </c>
      <c r="G1468" s="2" t="s">
        <v>61</v>
      </c>
      <c r="H1468" s="6" t="s">
        <v>3437</v>
      </c>
    </row>
    <row r="1469" spans="1:8" ht="33.75" customHeight="1" x14ac:dyDescent="0.25">
      <c r="A1469" s="14" t="s">
        <v>3439</v>
      </c>
      <c r="B1469" s="3" t="s">
        <v>73</v>
      </c>
      <c r="C1469" s="3" t="s">
        <v>3440</v>
      </c>
      <c r="D1469" s="3" t="s">
        <v>75</v>
      </c>
      <c r="E1469" s="3">
        <v>31.538399999999999</v>
      </c>
      <c r="F1469" s="3" t="s">
        <v>60</v>
      </c>
      <c r="G1469" s="3" t="s">
        <v>61</v>
      </c>
      <c r="H1469" s="6" t="s">
        <v>3439</v>
      </c>
    </row>
    <row r="1470" spans="1:8" ht="22.5" customHeight="1" x14ac:dyDescent="0.25">
      <c r="A1470" s="13" t="s">
        <v>3441</v>
      </c>
      <c r="B1470" s="2" t="s">
        <v>83</v>
      </c>
      <c r="C1470" s="2" t="s">
        <v>3442</v>
      </c>
      <c r="D1470" s="2" t="s">
        <v>85</v>
      </c>
      <c r="E1470" s="2">
        <v>33.063000000000002</v>
      </c>
      <c r="F1470" s="2" t="s">
        <v>60</v>
      </c>
      <c r="G1470" s="2" t="s">
        <v>61</v>
      </c>
      <c r="H1470" s="6" t="s">
        <v>3441</v>
      </c>
    </row>
    <row r="1471" spans="1:8" ht="22.5" customHeight="1" x14ac:dyDescent="0.25">
      <c r="A1471" s="14" t="s">
        <v>3443</v>
      </c>
      <c r="B1471" s="3" t="s">
        <v>656</v>
      </c>
      <c r="C1471" s="3" t="s">
        <v>3444</v>
      </c>
      <c r="D1471" s="3" t="s">
        <v>658</v>
      </c>
      <c r="E1471" s="3">
        <v>30.368400000000001</v>
      </c>
      <c r="F1471" s="3" t="s">
        <v>60</v>
      </c>
      <c r="G1471" s="3" t="s">
        <v>61</v>
      </c>
      <c r="H1471" s="6" t="s">
        <v>3443</v>
      </c>
    </row>
    <row r="1472" spans="1:8" ht="22.5" customHeight="1" x14ac:dyDescent="0.25">
      <c r="A1472" s="13" t="s">
        <v>3445</v>
      </c>
      <c r="B1472" s="2" t="s">
        <v>612</v>
      </c>
      <c r="C1472" s="2" t="s">
        <v>3446</v>
      </c>
      <c r="D1472" s="2" t="s">
        <v>614</v>
      </c>
      <c r="E1472" s="2">
        <v>29.712399999999999</v>
      </c>
      <c r="F1472" s="2" t="s">
        <v>60</v>
      </c>
      <c r="G1472" s="2" t="s">
        <v>61</v>
      </c>
      <c r="H1472" s="6" t="s">
        <v>3445</v>
      </c>
    </row>
    <row r="1473" spans="1:8" ht="22.5" customHeight="1" x14ac:dyDescent="0.25">
      <c r="A1473" s="14" t="s">
        <v>3447</v>
      </c>
      <c r="B1473" s="3" t="s">
        <v>612</v>
      </c>
      <c r="C1473" s="3" t="s">
        <v>3448</v>
      </c>
      <c r="D1473" s="3" t="s">
        <v>614</v>
      </c>
      <c r="E1473" s="3">
        <v>29.712399999999999</v>
      </c>
      <c r="F1473" s="3" t="s">
        <v>60</v>
      </c>
      <c r="G1473" s="3" t="s">
        <v>61</v>
      </c>
      <c r="H1473" s="6" t="s">
        <v>3447</v>
      </c>
    </row>
    <row r="1474" spans="1:8" ht="22.5" customHeight="1" x14ac:dyDescent="0.25">
      <c r="A1474" s="13" t="s">
        <v>3449</v>
      </c>
      <c r="B1474" s="2" t="s">
        <v>665</v>
      </c>
      <c r="C1474" s="2" t="s">
        <v>3450</v>
      </c>
      <c r="D1474" s="2" t="s">
        <v>667</v>
      </c>
      <c r="E1474" s="2">
        <v>29.432400000000001</v>
      </c>
      <c r="F1474" s="2" t="s">
        <v>60</v>
      </c>
      <c r="G1474" s="2" t="s">
        <v>61</v>
      </c>
      <c r="H1474" s="6" t="s">
        <v>3449</v>
      </c>
    </row>
    <row r="1475" spans="1:8" ht="22.5" customHeight="1" x14ac:dyDescent="0.25">
      <c r="A1475" s="14" t="s">
        <v>3451</v>
      </c>
      <c r="B1475" s="3" t="s">
        <v>673</v>
      </c>
      <c r="C1475" s="3" t="s">
        <v>3452</v>
      </c>
      <c r="D1475" s="3" t="s">
        <v>675</v>
      </c>
      <c r="E1475" s="3">
        <v>29.5824</v>
      </c>
      <c r="F1475" s="3" t="s">
        <v>60</v>
      </c>
      <c r="G1475" s="3" t="s">
        <v>61</v>
      </c>
      <c r="H1475" s="6" t="s">
        <v>3451</v>
      </c>
    </row>
    <row r="1476" spans="1:8" ht="22.5" customHeight="1" x14ac:dyDescent="0.25">
      <c r="A1476" s="13" t="s">
        <v>3453</v>
      </c>
      <c r="B1476" s="2" t="s">
        <v>650</v>
      </c>
      <c r="C1476" s="2" t="s">
        <v>3454</v>
      </c>
      <c r="D1476" s="2" t="s">
        <v>652</v>
      </c>
      <c r="E1476" s="2">
        <v>33.497</v>
      </c>
      <c r="F1476" s="2" t="s">
        <v>60</v>
      </c>
      <c r="G1476" s="2" t="s">
        <v>61</v>
      </c>
      <c r="H1476" s="6" t="s">
        <v>3453</v>
      </c>
    </row>
    <row r="1477" spans="1:8" ht="33.75" customHeight="1" x14ac:dyDescent="0.25">
      <c r="A1477" s="14" t="s">
        <v>3455</v>
      </c>
      <c r="B1477" s="3" t="s">
        <v>63</v>
      </c>
      <c r="C1477" s="3" t="s">
        <v>3456</v>
      </c>
      <c r="D1477" s="3" t="s">
        <v>65</v>
      </c>
      <c r="E1477" s="3">
        <v>31.412400000000002</v>
      </c>
      <c r="F1477" s="3" t="s">
        <v>60</v>
      </c>
      <c r="G1477" s="3" t="s">
        <v>61</v>
      </c>
      <c r="H1477" s="6" t="s">
        <v>3455</v>
      </c>
    </row>
    <row r="1478" spans="1:8" ht="33.75" customHeight="1" x14ac:dyDescent="0.25">
      <c r="A1478" s="13" t="s">
        <v>3457</v>
      </c>
      <c r="B1478" s="2" t="s">
        <v>69</v>
      </c>
      <c r="C1478" s="2" t="s">
        <v>3458</v>
      </c>
      <c r="D1478" s="2" t="s">
        <v>71</v>
      </c>
      <c r="E1478" s="2">
        <v>32.102400000000003</v>
      </c>
      <c r="F1478" s="2" t="s">
        <v>60</v>
      </c>
      <c r="G1478" s="2" t="s">
        <v>61</v>
      </c>
      <c r="H1478" s="6" t="s">
        <v>3457</v>
      </c>
    </row>
    <row r="1479" spans="1:8" ht="33.75" customHeight="1" x14ac:dyDescent="0.25">
      <c r="A1479" s="14" t="s">
        <v>3459</v>
      </c>
      <c r="B1479" s="3" t="s">
        <v>73</v>
      </c>
      <c r="C1479" s="3" t="s">
        <v>3460</v>
      </c>
      <c r="D1479" s="3" t="s">
        <v>75</v>
      </c>
      <c r="E1479" s="3">
        <v>31.538399999999999</v>
      </c>
      <c r="F1479" s="3" t="s">
        <v>60</v>
      </c>
      <c r="G1479" s="3" t="s">
        <v>61</v>
      </c>
      <c r="H1479" s="6" t="s">
        <v>3459</v>
      </c>
    </row>
    <row r="1480" spans="1:8" ht="22.5" customHeight="1" x14ac:dyDescent="0.25">
      <c r="A1480" s="13" t="s">
        <v>3461</v>
      </c>
      <c r="B1480" s="2" t="s">
        <v>83</v>
      </c>
      <c r="C1480" s="2" t="s">
        <v>3462</v>
      </c>
      <c r="D1480" s="2" t="s">
        <v>85</v>
      </c>
      <c r="E1480" s="2">
        <v>33.063000000000002</v>
      </c>
      <c r="F1480" s="2" t="s">
        <v>60</v>
      </c>
      <c r="G1480" s="2" t="s">
        <v>61</v>
      </c>
      <c r="H1480" s="6" t="s">
        <v>3461</v>
      </c>
    </row>
    <row r="1481" spans="1:8" ht="33.75" customHeight="1" x14ac:dyDescent="0.25">
      <c r="A1481" s="14" t="s">
        <v>3463</v>
      </c>
      <c r="B1481" s="3" t="s">
        <v>404</v>
      </c>
      <c r="C1481" s="3" t="s">
        <v>3464</v>
      </c>
      <c r="D1481" s="3" t="s">
        <v>406</v>
      </c>
      <c r="E1481" s="3">
        <v>29.999199999999998</v>
      </c>
      <c r="F1481" s="3" t="s">
        <v>60</v>
      </c>
      <c r="G1481" s="3" t="s">
        <v>61</v>
      </c>
      <c r="H1481" s="6" t="s">
        <v>3463</v>
      </c>
    </row>
    <row r="1482" spans="1:8" ht="22.5" customHeight="1" x14ac:dyDescent="0.25">
      <c r="A1482" s="13" t="s">
        <v>3465</v>
      </c>
      <c r="B1482" s="2" t="s">
        <v>644</v>
      </c>
      <c r="C1482" s="2" t="s">
        <v>3466</v>
      </c>
      <c r="D1482" s="2" t="s">
        <v>646</v>
      </c>
      <c r="E1482" s="2">
        <v>33.864400000000003</v>
      </c>
      <c r="F1482" s="2" t="s">
        <v>60</v>
      </c>
      <c r="G1482" s="2" t="s">
        <v>61</v>
      </c>
      <c r="H1482" s="6" t="s">
        <v>3465</v>
      </c>
    </row>
    <row r="1483" spans="1:8" ht="22.5" customHeight="1" x14ac:dyDescent="0.25">
      <c r="A1483" s="14" t="s">
        <v>3467</v>
      </c>
      <c r="B1483" s="3" t="s">
        <v>400</v>
      </c>
      <c r="C1483" s="3" t="s">
        <v>3468</v>
      </c>
      <c r="D1483" s="3" t="s">
        <v>402</v>
      </c>
      <c r="E1483" s="3">
        <v>34.332239999999999</v>
      </c>
      <c r="F1483" s="3" t="s">
        <v>60</v>
      </c>
      <c r="G1483" s="3" t="s">
        <v>61</v>
      </c>
      <c r="H1483" s="6" t="s">
        <v>3467</v>
      </c>
    </row>
    <row r="1484" spans="1:8" ht="22.5" customHeight="1" x14ac:dyDescent="0.25">
      <c r="A1484" s="13" t="s">
        <v>3469</v>
      </c>
      <c r="B1484" s="2" t="s">
        <v>400</v>
      </c>
      <c r="C1484" s="2" t="s">
        <v>3470</v>
      </c>
      <c r="D1484" s="2" t="s">
        <v>402</v>
      </c>
      <c r="E1484" s="2">
        <v>34.332239999999999</v>
      </c>
      <c r="F1484" s="2" t="s">
        <v>60</v>
      </c>
      <c r="G1484" s="2" t="s">
        <v>61</v>
      </c>
      <c r="H1484" s="6" t="s">
        <v>3469</v>
      </c>
    </row>
    <row r="1485" spans="1:8" ht="22.5" customHeight="1" x14ac:dyDescent="0.25">
      <c r="A1485" s="14" t="s">
        <v>3471</v>
      </c>
      <c r="B1485" s="3" t="s">
        <v>794</v>
      </c>
      <c r="C1485" s="3" t="s">
        <v>3472</v>
      </c>
      <c r="D1485" s="3" t="s">
        <v>796</v>
      </c>
      <c r="E1485" s="3">
        <v>34.151200000000003</v>
      </c>
      <c r="F1485" s="3" t="s">
        <v>60</v>
      </c>
      <c r="G1485" s="3" t="s">
        <v>61</v>
      </c>
      <c r="H1485" s="6" t="s">
        <v>3471</v>
      </c>
    </row>
    <row r="1486" spans="1:8" ht="33.75" customHeight="1" x14ac:dyDescent="0.25">
      <c r="A1486" s="13" t="s">
        <v>3473</v>
      </c>
      <c r="B1486" s="2" t="s">
        <v>418</v>
      </c>
      <c r="C1486" s="2" t="s">
        <v>3474</v>
      </c>
      <c r="D1486" s="2" t="s">
        <v>420</v>
      </c>
      <c r="E1486" s="2">
        <v>30.655200000000001</v>
      </c>
      <c r="F1486" s="2" t="s">
        <v>60</v>
      </c>
      <c r="G1486" s="2" t="s">
        <v>61</v>
      </c>
      <c r="H1486" s="6" t="s">
        <v>3473</v>
      </c>
    </row>
    <row r="1487" spans="1:8" ht="22.5" customHeight="1" x14ac:dyDescent="0.25">
      <c r="A1487" s="14" t="s">
        <v>3475</v>
      </c>
      <c r="B1487" s="3" t="s">
        <v>418</v>
      </c>
      <c r="C1487" s="3" t="s">
        <v>3476</v>
      </c>
      <c r="D1487" s="3" t="s">
        <v>420</v>
      </c>
      <c r="E1487" s="3">
        <v>30.655200000000001</v>
      </c>
      <c r="F1487" s="3" t="s">
        <v>60</v>
      </c>
      <c r="G1487" s="3" t="s">
        <v>61</v>
      </c>
      <c r="H1487" s="6" t="s">
        <v>3475</v>
      </c>
    </row>
    <row r="1488" spans="1:8" ht="22.5" customHeight="1" x14ac:dyDescent="0.25">
      <c r="A1488" s="13" t="s">
        <v>3477</v>
      </c>
      <c r="B1488" s="2" t="s">
        <v>404</v>
      </c>
      <c r="C1488" s="2" t="s">
        <v>3478</v>
      </c>
      <c r="D1488" s="2" t="s">
        <v>406</v>
      </c>
      <c r="E1488" s="2">
        <v>29.999199999999998</v>
      </c>
      <c r="F1488" s="2" t="s">
        <v>60</v>
      </c>
      <c r="G1488" s="2" t="s">
        <v>61</v>
      </c>
      <c r="H1488" s="6" t="s">
        <v>3477</v>
      </c>
    </row>
    <row r="1489" spans="1:8" ht="33.75" customHeight="1" x14ac:dyDescent="0.25">
      <c r="A1489" s="14" t="s">
        <v>3479</v>
      </c>
      <c r="B1489" s="3" t="s">
        <v>226</v>
      </c>
      <c r="C1489" s="3" t="s">
        <v>3480</v>
      </c>
      <c r="D1489" s="3" t="s">
        <v>228</v>
      </c>
      <c r="E1489" s="3">
        <v>30.6632</v>
      </c>
      <c r="F1489" s="3" t="s">
        <v>60</v>
      </c>
      <c r="G1489" s="3" t="s">
        <v>61</v>
      </c>
      <c r="H1489" s="6" t="s">
        <v>3479</v>
      </c>
    </row>
    <row r="1490" spans="1:8" ht="22.5" customHeight="1" x14ac:dyDescent="0.25">
      <c r="A1490" s="13" t="s">
        <v>3481</v>
      </c>
      <c r="B1490" s="2" t="s">
        <v>324</v>
      </c>
      <c r="C1490" s="2" t="s">
        <v>3482</v>
      </c>
      <c r="D1490" s="2" t="s">
        <v>326</v>
      </c>
      <c r="E1490" s="2">
        <v>29.719200000000001</v>
      </c>
      <c r="F1490" s="2" t="s">
        <v>60</v>
      </c>
      <c r="G1490" s="2" t="s">
        <v>61</v>
      </c>
      <c r="H1490" s="6" t="s">
        <v>3481</v>
      </c>
    </row>
    <row r="1491" spans="1:8" ht="33.75" customHeight="1" x14ac:dyDescent="0.25">
      <c r="A1491" s="14" t="s">
        <v>3483</v>
      </c>
      <c r="B1491" s="3" t="s">
        <v>386</v>
      </c>
      <c r="C1491" s="3" t="s">
        <v>3484</v>
      </c>
      <c r="D1491" s="3" t="s">
        <v>388</v>
      </c>
      <c r="E1491" s="3">
        <v>33.783799999999999</v>
      </c>
      <c r="F1491" s="3" t="s">
        <v>60</v>
      </c>
      <c r="G1491" s="3" t="s">
        <v>61</v>
      </c>
      <c r="H1491" s="6" t="s">
        <v>3483</v>
      </c>
    </row>
    <row r="1492" spans="1:8" ht="22.5" customHeight="1" x14ac:dyDescent="0.25">
      <c r="A1492" s="13" t="s">
        <v>3485</v>
      </c>
      <c r="B1492" s="2" t="s">
        <v>2037</v>
      </c>
      <c r="C1492" s="2" t="s">
        <v>3486</v>
      </c>
      <c r="D1492" s="2" t="s">
        <v>2039</v>
      </c>
      <c r="E1492" s="2">
        <v>31.226199999999999</v>
      </c>
      <c r="F1492" s="2" t="s">
        <v>60</v>
      </c>
      <c r="G1492" s="2" t="s">
        <v>61</v>
      </c>
      <c r="H1492" s="6" t="s">
        <v>3485</v>
      </c>
    </row>
    <row r="1493" spans="1:8" ht="33.75" customHeight="1" x14ac:dyDescent="0.25">
      <c r="A1493" s="14" t="s">
        <v>3487</v>
      </c>
      <c r="B1493" s="3" t="s">
        <v>864</v>
      </c>
      <c r="C1493" s="3" t="s">
        <v>3488</v>
      </c>
      <c r="D1493" s="3" t="s">
        <v>866</v>
      </c>
      <c r="E1493" s="3">
        <v>30.653199999999998</v>
      </c>
      <c r="F1493" s="3" t="s">
        <v>60</v>
      </c>
      <c r="G1493" s="3" t="s">
        <v>61</v>
      </c>
      <c r="H1493" s="6" t="s">
        <v>3487</v>
      </c>
    </row>
    <row r="1494" spans="1:8" ht="22.5" customHeight="1" x14ac:dyDescent="0.25">
      <c r="A1494" s="13" t="s">
        <v>3489</v>
      </c>
      <c r="B1494" s="2" t="s">
        <v>422</v>
      </c>
      <c r="C1494" s="2" t="s">
        <v>3490</v>
      </c>
      <c r="D1494" s="2" t="s">
        <v>424</v>
      </c>
      <c r="E1494" s="2">
        <v>30.7272</v>
      </c>
      <c r="F1494" s="2" t="s">
        <v>60</v>
      </c>
      <c r="G1494" s="2" t="s">
        <v>61</v>
      </c>
      <c r="H1494" s="6" t="s">
        <v>3489</v>
      </c>
    </row>
    <row r="1495" spans="1:8" ht="22.5" customHeight="1" x14ac:dyDescent="0.25">
      <c r="A1495" s="14" t="s">
        <v>3491</v>
      </c>
      <c r="B1495" s="3" t="s">
        <v>273</v>
      </c>
      <c r="C1495" s="3" t="s">
        <v>3492</v>
      </c>
      <c r="D1495" s="3" t="s">
        <v>275</v>
      </c>
      <c r="E1495" s="3">
        <v>30.084199999999999</v>
      </c>
      <c r="F1495" s="3" t="s">
        <v>60</v>
      </c>
      <c r="G1495" s="3" t="s">
        <v>61</v>
      </c>
      <c r="H1495" s="6" t="s">
        <v>3491</v>
      </c>
    </row>
    <row r="1496" spans="1:8" ht="33.75" customHeight="1" x14ac:dyDescent="0.25">
      <c r="A1496" s="13" t="s">
        <v>3493</v>
      </c>
      <c r="B1496" s="2" t="s">
        <v>378</v>
      </c>
      <c r="C1496" s="2" t="s">
        <v>3494</v>
      </c>
      <c r="D1496" s="2" t="s">
        <v>380</v>
      </c>
      <c r="E1496" s="2">
        <v>29.743200000000002</v>
      </c>
      <c r="F1496" s="2" t="s">
        <v>60</v>
      </c>
      <c r="G1496" s="2" t="s">
        <v>61</v>
      </c>
      <c r="H1496" s="6" t="s">
        <v>3493</v>
      </c>
    </row>
    <row r="1497" spans="1:8" ht="33.75" customHeight="1" x14ac:dyDescent="0.25">
      <c r="A1497" s="14" t="s">
        <v>3495</v>
      </c>
      <c r="B1497" s="3" t="s">
        <v>404</v>
      </c>
      <c r="C1497" s="3" t="s">
        <v>3496</v>
      </c>
      <c r="D1497" s="3" t="s">
        <v>406</v>
      </c>
      <c r="E1497" s="3">
        <v>29.999199999999998</v>
      </c>
      <c r="F1497" s="3" t="s">
        <v>60</v>
      </c>
      <c r="G1497" s="3" t="s">
        <v>61</v>
      </c>
      <c r="H1497" s="6" t="s">
        <v>3495</v>
      </c>
    </row>
    <row r="1498" spans="1:8" ht="33.75" customHeight="1" x14ac:dyDescent="0.25">
      <c r="A1498" s="13" t="s">
        <v>3497</v>
      </c>
      <c r="B1498" s="2" t="s">
        <v>588</v>
      </c>
      <c r="C1498" s="2" t="s">
        <v>3498</v>
      </c>
      <c r="D1498" s="2" t="s">
        <v>590</v>
      </c>
      <c r="E1498" s="2">
        <v>29.869199999999999</v>
      </c>
      <c r="F1498" s="2" t="s">
        <v>60</v>
      </c>
      <c r="G1498" s="2" t="s">
        <v>61</v>
      </c>
      <c r="H1498" s="6" t="s">
        <v>3497</v>
      </c>
    </row>
    <row r="1499" spans="1:8" ht="22.5" customHeight="1" x14ac:dyDescent="0.25">
      <c r="A1499" s="14" t="s">
        <v>3499</v>
      </c>
      <c r="B1499" s="3" t="s">
        <v>677</v>
      </c>
      <c r="C1499" s="3" t="s">
        <v>3500</v>
      </c>
      <c r="D1499" s="3" t="s">
        <v>679</v>
      </c>
      <c r="E1499" s="3">
        <v>30.3504</v>
      </c>
      <c r="F1499" s="3" t="s">
        <v>60</v>
      </c>
      <c r="G1499" s="3" t="s">
        <v>61</v>
      </c>
      <c r="H1499" s="6" t="s">
        <v>3499</v>
      </c>
    </row>
    <row r="1500" spans="1:8" ht="22.5" customHeight="1" x14ac:dyDescent="0.25">
      <c r="A1500" s="13" t="s">
        <v>3501</v>
      </c>
      <c r="B1500" s="2" t="s">
        <v>612</v>
      </c>
      <c r="C1500" s="2" t="s">
        <v>3502</v>
      </c>
      <c r="D1500" s="2" t="s">
        <v>614</v>
      </c>
      <c r="E1500" s="2">
        <v>29.712399999999999</v>
      </c>
      <c r="F1500" s="2" t="s">
        <v>60</v>
      </c>
      <c r="G1500" s="2" t="s">
        <v>61</v>
      </c>
      <c r="H1500" s="6" t="s">
        <v>3501</v>
      </c>
    </row>
    <row r="1501" spans="1:8" ht="33.75" customHeight="1" x14ac:dyDescent="0.25">
      <c r="A1501" s="14" t="s">
        <v>3503</v>
      </c>
      <c r="B1501" s="3" t="s">
        <v>57</v>
      </c>
      <c r="C1501" s="3" t="s">
        <v>3504</v>
      </c>
      <c r="D1501" s="3" t="s">
        <v>59</v>
      </c>
      <c r="E1501" s="3">
        <v>31.825199999999999</v>
      </c>
      <c r="F1501" s="3" t="s">
        <v>60</v>
      </c>
      <c r="G1501" s="3" t="s">
        <v>61</v>
      </c>
      <c r="H1501" s="6" t="s">
        <v>3503</v>
      </c>
    </row>
    <row r="1502" spans="1:8" ht="22.5" customHeight="1" x14ac:dyDescent="0.25">
      <c r="A1502" s="13" t="s">
        <v>3505</v>
      </c>
      <c r="B1502" s="2" t="s">
        <v>273</v>
      </c>
      <c r="C1502" s="2" t="s">
        <v>2326</v>
      </c>
      <c r="D1502" s="2" t="s">
        <v>275</v>
      </c>
      <c r="E1502" s="2">
        <v>30.084199999999999</v>
      </c>
      <c r="F1502" s="2" t="s">
        <v>60</v>
      </c>
      <c r="G1502" s="2" t="s">
        <v>61</v>
      </c>
      <c r="H1502" s="6" t="s">
        <v>3505</v>
      </c>
    </row>
    <row r="1503" spans="1:8" ht="22.5" customHeight="1" x14ac:dyDescent="0.25">
      <c r="A1503" s="14" t="s">
        <v>3506</v>
      </c>
      <c r="B1503" s="3" t="s">
        <v>277</v>
      </c>
      <c r="C1503" s="3" t="s">
        <v>3507</v>
      </c>
      <c r="D1503" s="3" t="s">
        <v>279</v>
      </c>
      <c r="E1503" s="3">
        <v>29.7592</v>
      </c>
      <c r="F1503" s="3" t="s">
        <v>60</v>
      </c>
      <c r="G1503" s="3" t="s">
        <v>61</v>
      </c>
      <c r="H1503" s="6" t="s">
        <v>3506</v>
      </c>
    </row>
    <row r="1504" spans="1:8" ht="22.5" customHeight="1" x14ac:dyDescent="0.25">
      <c r="A1504" s="13" t="s">
        <v>3508</v>
      </c>
      <c r="B1504" s="2" t="s">
        <v>846</v>
      </c>
      <c r="C1504" s="2" t="s">
        <v>3509</v>
      </c>
      <c r="D1504" s="2" t="s">
        <v>848</v>
      </c>
      <c r="E1504" s="2">
        <v>29.944199999999999</v>
      </c>
      <c r="F1504" s="2" t="s">
        <v>60</v>
      </c>
      <c r="G1504" s="2" t="s">
        <v>61</v>
      </c>
      <c r="H1504" s="6" t="s">
        <v>3508</v>
      </c>
    </row>
    <row r="1505" spans="1:8" ht="22.5" customHeight="1" x14ac:dyDescent="0.25">
      <c r="A1505" s="14" t="s">
        <v>3510</v>
      </c>
      <c r="B1505" s="3" t="s">
        <v>378</v>
      </c>
      <c r="C1505" s="3" t="s">
        <v>3511</v>
      </c>
      <c r="D1505" s="3" t="s">
        <v>380</v>
      </c>
      <c r="E1505" s="3">
        <v>29.743200000000002</v>
      </c>
      <c r="F1505" s="3" t="s">
        <v>60</v>
      </c>
      <c r="G1505" s="3" t="s">
        <v>61</v>
      </c>
      <c r="H1505" s="6" t="s">
        <v>3510</v>
      </c>
    </row>
    <row r="1506" spans="1:8" ht="22.5" customHeight="1" x14ac:dyDescent="0.25">
      <c r="A1506" s="13" t="s">
        <v>3512</v>
      </c>
      <c r="B1506" s="2" t="s">
        <v>277</v>
      </c>
      <c r="C1506" s="2" t="s">
        <v>3513</v>
      </c>
      <c r="D1506" s="2" t="s">
        <v>279</v>
      </c>
      <c r="E1506" s="2">
        <v>29.7592</v>
      </c>
      <c r="F1506" s="2" t="s">
        <v>60</v>
      </c>
      <c r="G1506" s="2" t="s">
        <v>61</v>
      </c>
      <c r="H1506" s="6" t="s">
        <v>3512</v>
      </c>
    </row>
    <row r="1507" spans="1:8" ht="22.5" customHeight="1" x14ac:dyDescent="0.25">
      <c r="A1507" s="14" t="s">
        <v>3514</v>
      </c>
      <c r="B1507" s="3" t="s">
        <v>366</v>
      </c>
      <c r="C1507" s="3" t="s">
        <v>3515</v>
      </c>
      <c r="D1507" s="3" t="s">
        <v>368</v>
      </c>
      <c r="E1507" s="3">
        <v>32.983400000000003</v>
      </c>
      <c r="F1507" s="3" t="s">
        <v>60</v>
      </c>
      <c r="G1507" s="3" t="s">
        <v>61</v>
      </c>
      <c r="H1507" s="6" t="s">
        <v>3514</v>
      </c>
    </row>
    <row r="1508" spans="1:8" ht="22.5" customHeight="1" x14ac:dyDescent="0.25">
      <c r="A1508" s="13" t="s">
        <v>3516</v>
      </c>
      <c r="B1508" s="2" t="s">
        <v>2391</v>
      </c>
      <c r="C1508" s="2" t="s">
        <v>3517</v>
      </c>
      <c r="D1508" s="2" t="s">
        <v>2393</v>
      </c>
      <c r="E1508" s="2">
        <v>32.3872</v>
      </c>
      <c r="F1508" s="2" t="s">
        <v>60</v>
      </c>
      <c r="G1508" s="2" t="s">
        <v>61</v>
      </c>
      <c r="H1508" s="6" t="s">
        <v>3516</v>
      </c>
    </row>
    <row r="1509" spans="1:8" ht="33.75" customHeight="1" x14ac:dyDescent="0.25">
      <c r="A1509" s="14" t="s">
        <v>3518</v>
      </c>
      <c r="B1509" s="3" t="s">
        <v>372</v>
      </c>
      <c r="C1509" s="3" t="s">
        <v>3519</v>
      </c>
      <c r="D1509" s="3" t="s">
        <v>374</v>
      </c>
      <c r="E1509" s="3">
        <v>32.852400000000003</v>
      </c>
      <c r="F1509" s="3" t="s">
        <v>60</v>
      </c>
      <c r="G1509" s="3" t="s">
        <v>61</v>
      </c>
      <c r="H1509" s="6" t="s">
        <v>3518</v>
      </c>
    </row>
    <row r="1510" spans="1:8" ht="22.5" customHeight="1" x14ac:dyDescent="0.25">
      <c r="A1510" s="13" t="s">
        <v>3520</v>
      </c>
      <c r="B1510" s="2" t="s">
        <v>3521</v>
      </c>
      <c r="C1510" s="2" t="s">
        <v>3522</v>
      </c>
      <c r="D1510" s="2" t="s">
        <v>3523</v>
      </c>
      <c r="E1510" s="2">
        <v>47.756</v>
      </c>
      <c r="F1510" s="2" t="s">
        <v>60</v>
      </c>
      <c r="G1510" s="2" t="s">
        <v>61</v>
      </c>
      <c r="H1510" s="6" t="s">
        <v>3520</v>
      </c>
    </row>
    <row r="1511" spans="1:8" ht="22.5" customHeight="1" x14ac:dyDescent="0.25">
      <c r="A1511" s="14" t="s">
        <v>3524</v>
      </c>
      <c r="B1511" s="3" t="s">
        <v>1294</v>
      </c>
      <c r="C1511" s="3" t="s">
        <v>3525</v>
      </c>
      <c r="D1511" s="3" t="s">
        <v>1296</v>
      </c>
      <c r="E1511" s="3">
        <v>27.925999999999998</v>
      </c>
      <c r="F1511" s="3" t="s">
        <v>60</v>
      </c>
      <c r="G1511" s="3" t="s">
        <v>61</v>
      </c>
      <c r="H1511" s="6" t="s">
        <v>3524</v>
      </c>
    </row>
    <row r="1512" spans="1:8" ht="33.75" customHeight="1" x14ac:dyDescent="0.25">
      <c r="A1512" s="13" t="s">
        <v>3526</v>
      </c>
      <c r="B1512" s="2" t="s">
        <v>820</v>
      </c>
      <c r="C1512" s="2" t="s">
        <v>3527</v>
      </c>
      <c r="D1512" s="2" t="s">
        <v>822</v>
      </c>
      <c r="E1512" s="2">
        <v>27.639199999999999</v>
      </c>
      <c r="F1512" s="2" t="s">
        <v>60</v>
      </c>
      <c r="G1512" s="2" t="s">
        <v>61</v>
      </c>
      <c r="H1512" s="6" t="s">
        <v>3526</v>
      </c>
    </row>
    <row r="1513" spans="1:8" ht="33.75" customHeight="1" x14ac:dyDescent="0.25">
      <c r="A1513" s="14" t="s">
        <v>3528</v>
      </c>
      <c r="B1513" s="3" t="s">
        <v>820</v>
      </c>
      <c r="C1513" s="3" t="s">
        <v>3529</v>
      </c>
      <c r="D1513" s="3" t="s">
        <v>822</v>
      </c>
      <c r="E1513" s="3">
        <v>27.639199999999999</v>
      </c>
      <c r="F1513" s="3" t="s">
        <v>60</v>
      </c>
      <c r="G1513" s="3" t="s">
        <v>61</v>
      </c>
      <c r="H1513" s="6" t="s">
        <v>3528</v>
      </c>
    </row>
    <row r="1514" spans="1:8" ht="22.5" customHeight="1" x14ac:dyDescent="0.25">
      <c r="A1514" s="13" t="s">
        <v>3530</v>
      </c>
      <c r="B1514" s="2" t="s">
        <v>3531</v>
      </c>
      <c r="C1514" s="2" t="s">
        <v>3532</v>
      </c>
      <c r="D1514" s="2" t="s">
        <v>3533</v>
      </c>
      <c r="E1514" s="2">
        <v>27.373760000000001</v>
      </c>
      <c r="F1514" s="2" t="s">
        <v>60</v>
      </c>
      <c r="G1514" s="2" t="s">
        <v>61</v>
      </c>
      <c r="H1514" s="6" t="s">
        <v>3530</v>
      </c>
    </row>
    <row r="1515" spans="1:8" ht="22.5" customHeight="1" x14ac:dyDescent="0.25">
      <c r="A1515" s="14" t="s">
        <v>3534</v>
      </c>
      <c r="B1515" s="3" t="s">
        <v>2454</v>
      </c>
      <c r="C1515" s="3" t="s">
        <v>3535</v>
      </c>
      <c r="D1515" s="3" t="s">
        <v>2456</v>
      </c>
      <c r="E1515" s="3">
        <v>28.565999999999999</v>
      </c>
      <c r="F1515" s="3" t="s">
        <v>60</v>
      </c>
      <c r="G1515" s="3" t="s">
        <v>61</v>
      </c>
      <c r="H1515" s="6" t="s">
        <v>3534</v>
      </c>
    </row>
    <row r="1516" spans="1:8" ht="22.5" customHeight="1" x14ac:dyDescent="0.25">
      <c r="A1516" s="13" t="s">
        <v>3536</v>
      </c>
      <c r="B1516" s="2" t="s">
        <v>2458</v>
      </c>
      <c r="C1516" s="2" t="s">
        <v>3537</v>
      </c>
      <c r="D1516" s="2" t="s">
        <v>2460</v>
      </c>
      <c r="E1516" s="2">
        <v>28.126000000000001</v>
      </c>
      <c r="F1516" s="2" t="s">
        <v>60</v>
      </c>
      <c r="G1516" s="2" t="s">
        <v>61</v>
      </c>
      <c r="H1516" s="6" t="s">
        <v>3536</v>
      </c>
    </row>
    <row r="1517" spans="1:8" ht="22.5" customHeight="1" x14ac:dyDescent="0.25">
      <c r="A1517" s="14" t="s">
        <v>3538</v>
      </c>
      <c r="B1517" s="3" t="s">
        <v>2458</v>
      </c>
      <c r="C1517" s="3" t="s">
        <v>3539</v>
      </c>
      <c r="D1517" s="3" t="s">
        <v>2460</v>
      </c>
      <c r="E1517" s="3">
        <v>28.126000000000001</v>
      </c>
      <c r="F1517" s="3" t="s">
        <v>60</v>
      </c>
      <c r="G1517" s="3" t="s">
        <v>61</v>
      </c>
      <c r="H1517" s="6" t="s">
        <v>3538</v>
      </c>
    </row>
    <row r="1518" spans="1:8" ht="22.5" customHeight="1" x14ac:dyDescent="0.25">
      <c r="A1518" s="13" t="s">
        <v>3540</v>
      </c>
      <c r="B1518" s="2" t="s">
        <v>2462</v>
      </c>
      <c r="C1518" s="2" t="s">
        <v>3541</v>
      </c>
      <c r="D1518" s="2" t="s">
        <v>2464</v>
      </c>
      <c r="E1518" s="2">
        <v>28.126000000000001</v>
      </c>
      <c r="F1518" s="2" t="s">
        <v>60</v>
      </c>
      <c r="G1518" s="2" t="s">
        <v>61</v>
      </c>
      <c r="H1518" s="6" t="s">
        <v>3540</v>
      </c>
    </row>
    <row r="1519" spans="1:8" ht="22.5" customHeight="1" x14ac:dyDescent="0.25">
      <c r="A1519" s="14" t="s">
        <v>3542</v>
      </c>
      <c r="B1519" s="3" t="s">
        <v>2462</v>
      </c>
      <c r="C1519" s="3" t="s">
        <v>3543</v>
      </c>
      <c r="D1519" s="3" t="s">
        <v>2464</v>
      </c>
      <c r="E1519" s="3">
        <v>28.126000000000001</v>
      </c>
      <c r="F1519" s="3" t="s">
        <v>60</v>
      </c>
      <c r="G1519" s="3" t="s">
        <v>61</v>
      </c>
      <c r="H1519" s="6" t="s">
        <v>3542</v>
      </c>
    </row>
    <row r="1520" spans="1:8" ht="22.5" customHeight="1" x14ac:dyDescent="0.25">
      <c r="A1520" s="13" t="s">
        <v>3544</v>
      </c>
      <c r="B1520" s="2" t="s">
        <v>2700</v>
      </c>
      <c r="C1520" s="2" t="s">
        <v>3545</v>
      </c>
      <c r="D1520" s="2" t="s">
        <v>2702</v>
      </c>
      <c r="E1520" s="2">
        <v>28.126000000000001</v>
      </c>
      <c r="F1520" s="2" t="s">
        <v>60</v>
      </c>
      <c r="G1520" s="2" t="s">
        <v>61</v>
      </c>
      <c r="H1520" s="6" t="s">
        <v>3544</v>
      </c>
    </row>
    <row r="1521" spans="1:8" ht="22.5" customHeight="1" x14ac:dyDescent="0.25">
      <c r="A1521" s="14" t="s">
        <v>3546</v>
      </c>
      <c r="B1521" s="3" t="s">
        <v>3547</v>
      </c>
      <c r="C1521" s="3" t="s">
        <v>3548</v>
      </c>
      <c r="D1521" s="3" t="s">
        <v>3549</v>
      </c>
      <c r="E1521" s="3">
        <v>28.126000000000001</v>
      </c>
      <c r="F1521" s="3" t="s">
        <v>60</v>
      </c>
      <c r="G1521" s="3" t="s">
        <v>61</v>
      </c>
      <c r="H1521" s="6" t="s">
        <v>3546</v>
      </c>
    </row>
    <row r="1522" spans="1:8" ht="33.75" customHeight="1" x14ac:dyDescent="0.25">
      <c r="A1522" s="13" t="s">
        <v>3550</v>
      </c>
      <c r="B1522" s="2" t="s">
        <v>2458</v>
      </c>
      <c r="C1522" s="2" t="s">
        <v>3551</v>
      </c>
      <c r="D1522" s="2" t="s">
        <v>2460</v>
      </c>
      <c r="E1522" s="2">
        <v>28.126000000000001</v>
      </c>
      <c r="F1522" s="2" t="s">
        <v>60</v>
      </c>
      <c r="G1522" s="2" t="s">
        <v>61</v>
      </c>
      <c r="H1522" s="6" t="s">
        <v>3550</v>
      </c>
    </row>
    <row r="1523" spans="1:8" ht="33.75" customHeight="1" x14ac:dyDescent="0.25">
      <c r="A1523" s="14" t="s">
        <v>3552</v>
      </c>
      <c r="B1523" s="3" t="s">
        <v>2462</v>
      </c>
      <c r="C1523" s="3" t="s">
        <v>3553</v>
      </c>
      <c r="D1523" s="3" t="s">
        <v>2464</v>
      </c>
      <c r="E1523" s="3">
        <v>28.126000000000001</v>
      </c>
      <c r="F1523" s="3" t="s">
        <v>60</v>
      </c>
      <c r="G1523" s="3" t="s">
        <v>61</v>
      </c>
      <c r="H1523" s="6" t="s">
        <v>3552</v>
      </c>
    </row>
    <row r="1524" spans="1:8" ht="33.75" customHeight="1" x14ac:dyDescent="0.25">
      <c r="A1524" s="13" t="s">
        <v>3554</v>
      </c>
      <c r="B1524" s="2" t="s">
        <v>2462</v>
      </c>
      <c r="C1524" s="2" t="s">
        <v>3555</v>
      </c>
      <c r="D1524" s="2" t="s">
        <v>2464</v>
      </c>
      <c r="E1524" s="2">
        <v>28.126000000000001</v>
      </c>
      <c r="F1524" s="2" t="s">
        <v>60</v>
      </c>
      <c r="G1524" s="2" t="s">
        <v>61</v>
      </c>
      <c r="H1524" s="6" t="s">
        <v>3554</v>
      </c>
    </row>
    <row r="1525" spans="1:8" ht="33.75" customHeight="1" x14ac:dyDescent="0.25">
      <c r="A1525" s="14" t="s">
        <v>3556</v>
      </c>
      <c r="B1525" s="3" t="s">
        <v>2700</v>
      </c>
      <c r="C1525" s="3" t="s">
        <v>3557</v>
      </c>
      <c r="D1525" s="3" t="s">
        <v>2702</v>
      </c>
      <c r="E1525" s="3">
        <v>28.126000000000001</v>
      </c>
      <c r="F1525" s="3" t="s">
        <v>60</v>
      </c>
      <c r="G1525" s="3" t="s">
        <v>61</v>
      </c>
      <c r="H1525" s="6" t="s">
        <v>3556</v>
      </c>
    </row>
    <row r="1526" spans="1:8" ht="33.75" customHeight="1" x14ac:dyDescent="0.25">
      <c r="A1526" s="13" t="s">
        <v>3558</v>
      </c>
      <c r="B1526" s="2" t="s">
        <v>3547</v>
      </c>
      <c r="C1526" s="2" t="s">
        <v>3559</v>
      </c>
      <c r="D1526" s="2" t="s">
        <v>3549</v>
      </c>
      <c r="E1526" s="2">
        <v>28.126000000000001</v>
      </c>
      <c r="F1526" s="2" t="s">
        <v>60</v>
      </c>
      <c r="G1526" s="2" t="s">
        <v>61</v>
      </c>
      <c r="H1526" s="6" t="s">
        <v>3558</v>
      </c>
    </row>
    <row r="1527" spans="1:8" ht="33.75" customHeight="1" x14ac:dyDescent="0.25">
      <c r="A1527" s="14" t="s">
        <v>3560</v>
      </c>
      <c r="B1527" s="3" t="s">
        <v>2458</v>
      </c>
      <c r="C1527" s="3" t="s">
        <v>3561</v>
      </c>
      <c r="D1527" s="3" t="s">
        <v>2460</v>
      </c>
      <c r="E1527" s="3">
        <v>28.126000000000001</v>
      </c>
      <c r="F1527" s="3" t="s">
        <v>60</v>
      </c>
      <c r="G1527" s="3" t="s">
        <v>61</v>
      </c>
      <c r="H1527" s="6" t="s">
        <v>3560</v>
      </c>
    </row>
    <row r="1528" spans="1:8" ht="33.75" customHeight="1" x14ac:dyDescent="0.25">
      <c r="A1528" s="13" t="s">
        <v>3562</v>
      </c>
      <c r="B1528" s="2" t="s">
        <v>2462</v>
      </c>
      <c r="C1528" s="2" t="s">
        <v>3563</v>
      </c>
      <c r="D1528" s="2" t="s">
        <v>2464</v>
      </c>
      <c r="E1528" s="2">
        <v>28.126000000000001</v>
      </c>
      <c r="F1528" s="2" t="s">
        <v>60</v>
      </c>
      <c r="G1528" s="2" t="s">
        <v>61</v>
      </c>
      <c r="H1528" s="6" t="s">
        <v>3562</v>
      </c>
    </row>
    <row r="1529" spans="1:8" ht="33.75" customHeight="1" x14ac:dyDescent="0.25">
      <c r="A1529" s="14" t="s">
        <v>3564</v>
      </c>
      <c r="B1529" s="3" t="s">
        <v>2700</v>
      </c>
      <c r="C1529" s="3" t="s">
        <v>3565</v>
      </c>
      <c r="D1529" s="3" t="s">
        <v>2702</v>
      </c>
      <c r="E1529" s="3">
        <v>28.126000000000001</v>
      </c>
      <c r="F1529" s="3" t="s">
        <v>60</v>
      </c>
      <c r="G1529" s="3" t="s">
        <v>61</v>
      </c>
      <c r="H1529" s="6" t="s">
        <v>3564</v>
      </c>
    </row>
    <row r="1530" spans="1:8" ht="33.75" customHeight="1" x14ac:dyDescent="0.25">
      <c r="A1530" s="13" t="s">
        <v>3566</v>
      </c>
      <c r="B1530" s="2" t="s">
        <v>57</v>
      </c>
      <c r="C1530" s="2" t="s">
        <v>3567</v>
      </c>
      <c r="D1530" s="2" t="s">
        <v>59</v>
      </c>
      <c r="E1530" s="2">
        <v>31.825199999999999</v>
      </c>
      <c r="F1530" s="2" t="s">
        <v>60</v>
      </c>
      <c r="G1530" s="2" t="s">
        <v>61</v>
      </c>
      <c r="H1530" s="6" t="s">
        <v>3566</v>
      </c>
    </row>
    <row r="1531" spans="1:8" ht="33.75" customHeight="1" x14ac:dyDescent="0.25">
      <c r="A1531" s="14" t="s">
        <v>3568</v>
      </c>
      <c r="B1531" s="3" t="s">
        <v>89</v>
      </c>
      <c r="C1531" s="3" t="s">
        <v>3569</v>
      </c>
      <c r="D1531" s="3" t="s">
        <v>91</v>
      </c>
      <c r="E1531" s="3">
        <v>32.389200000000002</v>
      </c>
      <c r="F1531" s="3" t="s">
        <v>60</v>
      </c>
      <c r="G1531" s="3" t="s">
        <v>61</v>
      </c>
      <c r="H1531" s="6" t="s">
        <v>3568</v>
      </c>
    </row>
    <row r="1532" spans="1:8" ht="22.5" customHeight="1" x14ac:dyDescent="0.25">
      <c r="A1532" s="13" t="s">
        <v>3570</v>
      </c>
      <c r="B1532" s="2" t="s">
        <v>665</v>
      </c>
      <c r="C1532" s="2" t="s">
        <v>3571</v>
      </c>
      <c r="D1532" s="2" t="s">
        <v>667</v>
      </c>
      <c r="E1532" s="2">
        <v>29.432400000000001</v>
      </c>
      <c r="F1532" s="2" t="s">
        <v>60</v>
      </c>
      <c r="G1532" s="2" t="s">
        <v>61</v>
      </c>
      <c r="H1532" s="6" t="s">
        <v>3570</v>
      </c>
    </row>
    <row r="1533" spans="1:8" ht="22.5" customHeight="1" x14ac:dyDescent="0.25">
      <c r="A1533" s="14" t="s">
        <v>3572</v>
      </c>
      <c r="B1533" s="3" t="s">
        <v>665</v>
      </c>
      <c r="C1533" s="3" t="s">
        <v>3573</v>
      </c>
      <c r="D1533" s="3" t="s">
        <v>667</v>
      </c>
      <c r="E1533" s="3">
        <v>29.432400000000001</v>
      </c>
      <c r="F1533" s="3" t="s">
        <v>60</v>
      </c>
      <c r="G1533" s="3" t="s">
        <v>61</v>
      </c>
      <c r="H1533" s="6" t="s">
        <v>3572</v>
      </c>
    </row>
    <row r="1534" spans="1:8" ht="33.75" customHeight="1" x14ac:dyDescent="0.25">
      <c r="A1534" s="13" t="s">
        <v>3574</v>
      </c>
      <c r="B1534" s="2" t="s">
        <v>418</v>
      </c>
      <c r="C1534" s="2" t="s">
        <v>3575</v>
      </c>
      <c r="D1534" s="2" t="s">
        <v>420</v>
      </c>
      <c r="E1534" s="2">
        <v>30.655200000000001</v>
      </c>
      <c r="F1534" s="2" t="s">
        <v>60</v>
      </c>
      <c r="G1534" s="2" t="s">
        <v>61</v>
      </c>
      <c r="H1534" s="6" t="s">
        <v>3574</v>
      </c>
    </row>
    <row r="1535" spans="1:8" ht="33.75" customHeight="1" x14ac:dyDescent="0.25">
      <c r="A1535" s="14" t="s">
        <v>3576</v>
      </c>
      <c r="B1535" s="3" t="s">
        <v>77</v>
      </c>
      <c r="C1535" s="3" t="s">
        <v>3577</v>
      </c>
      <c r="D1535" s="3" t="s">
        <v>79</v>
      </c>
      <c r="E1535" s="3">
        <v>31.699200000000001</v>
      </c>
      <c r="F1535" s="3" t="s">
        <v>60</v>
      </c>
      <c r="G1535" s="3" t="s">
        <v>61</v>
      </c>
      <c r="H1535" s="6" t="s">
        <v>3576</v>
      </c>
    </row>
    <row r="1536" spans="1:8" ht="33.75" customHeight="1" x14ac:dyDescent="0.25">
      <c r="A1536" s="13" t="s">
        <v>3578</v>
      </c>
      <c r="B1536" s="2" t="s">
        <v>77</v>
      </c>
      <c r="C1536" s="2" t="s">
        <v>3579</v>
      </c>
      <c r="D1536" s="2" t="s">
        <v>79</v>
      </c>
      <c r="E1536" s="2">
        <v>31.699200000000001</v>
      </c>
      <c r="F1536" s="2" t="s">
        <v>60</v>
      </c>
      <c r="G1536" s="2" t="s">
        <v>61</v>
      </c>
      <c r="H1536" s="6" t="s">
        <v>3578</v>
      </c>
    </row>
    <row r="1537" spans="1:8" ht="33.75" customHeight="1" x14ac:dyDescent="0.25">
      <c r="A1537" s="14" t="s">
        <v>3580</v>
      </c>
      <c r="B1537" s="3" t="s">
        <v>89</v>
      </c>
      <c r="C1537" s="3" t="s">
        <v>3581</v>
      </c>
      <c r="D1537" s="3" t="s">
        <v>91</v>
      </c>
      <c r="E1537" s="3">
        <v>32.389200000000002</v>
      </c>
      <c r="F1537" s="3" t="s">
        <v>60</v>
      </c>
      <c r="G1537" s="3" t="s">
        <v>61</v>
      </c>
      <c r="H1537" s="6" t="s">
        <v>3580</v>
      </c>
    </row>
    <row r="1538" spans="1:8" ht="33.75" customHeight="1" x14ac:dyDescent="0.25">
      <c r="A1538" s="13" t="s">
        <v>3582</v>
      </c>
      <c r="B1538" s="2" t="s">
        <v>156</v>
      </c>
      <c r="C1538" s="2" t="s">
        <v>3583</v>
      </c>
      <c r="D1538" s="2" t="s">
        <v>158</v>
      </c>
      <c r="E1538" s="2">
        <v>30.987200000000001</v>
      </c>
      <c r="F1538" s="2" t="s">
        <v>60</v>
      </c>
      <c r="G1538" s="2" t="s">
        <v>61</v>
      </c>
      <c r="H1538" s="6" t="s">
        <v>3582</v>
      </c>
    </row>
    <row r="1539" spans="1:8" ht="33.75" customHeight="1" x14ac:dyDescent="0.25">
      <c r="A1539" s="14" t="s">
        <v>3584</v>
      </c>
      <c r="B1539" s="3" t="s">
        <v>112</v>
      </c>
      <c r="C1539" s="3" t="s">
        <v>3585</v>
      </c>
      <c r="D1539" s="3" t="s">
        <v>114</v>
      </c>
      <c r="E1539" s="3">
        <v>30.7682</v>
      </c>
      <c r="F1539" s="3" t="s">
        <v>60</v>
      </c>
      <c r="G1539" s="3" t="s">
        <v>61</v>
      </c>
      <c r="H1539" s="6" t="s">
        <v>3584</v>
      </c>
    </row>
    <row r="1540" spans="1:8" ht="33.75" customHeight="1" x14ac:dyDescent="0.25">
      <c r="A1540" s="13" t="s">
        <v>3586</v>
      </c>
      <c r="B1540" s="2" t="s">
        <v>226</v>
      </c>
      <c r="C1540" s="2" t="s">
        <v>3587</v>
      </c>
      <c r="D1540" s="2" t="s">
        <v>228</v>
      </c>
      <c r="E1540" s="2">
        <v>30.6632</v>
      </c>
      <c r="F1540" s="2" t="s">
        <v>60</v>
      </c>
      <c r="G1540" s="2" t="s">
        <v>61</v>
      </c>
      <c r="H1540" s="6" t="s">
        <v>3586</v>
      </c>
    </row>
    <row r="1541" spans="1:8" ht="22.5" customHeight="1" x14ac:dyDescent="0.25">
      <c r="A1541" s="14" t="s">
        <v>3588</v>
      </c>
      <c r="B1541" s="3" t="s">
        <v>273</v>
      </c>
      <c r="C1541" s="3" t="s">
        <v>3589</v>
      </c>
      <c r="D1541" s="3" t="s">
        <v>275</v>
      </c>
      <c r="E1541" s="3">
        <v>30.084199999999999</v>
      </c>
      <c r="F1541" s="3" t="s">
        <v>60</v>
      </c>
      <c r="G1541" s="3" t="s">
        <v>61</v>
      </c>
      <c r="H1541" s="6" t="s">
        <v>3588</v>
      </c>
    </row>
    <row r="1542" spans="1:8" ht="22.5" customHeight="1" x14ac:dyDescent="0.25">
      <c r="A1542" s="13" t="s">
        <v>3590</v>
      </c>
      <c r="B1542" s="2" t="s">
        <v>422</v>
      </c>
      <c r="C1542" s="2" t="s">
        <v>3591</v>
      </c>
      <c r="D1542" s="2" t="s">
        <v>424</v>
      </c>
      <c r="E1542" s="2">
        <v>30.7272</v>
      </c>
      <c r="F1542" s="2" t="s">
        <v>60</v>
      </c>
      <c r="G1542" s="2" t="s">
        <v>61</v>
      </c>
      <c r="H1542" s="6" t="s">
        <v>3590</v>
      </c>
    </row>
    <row r="1543" spans="1:8" ht="22.5" customHeight="1" x14ac:dyDescent="0.25">
      <c r="A1543" s="14" t="s">
        <v>3592</v>
      </c>
      <c r="B1543" s="3" t="s">
        <v>2379</v>
      </c>
      <c r="C1543" s="3" t="s">
        <v>3593</v>
      </c>
      <c r="D1543" s="3" t="s">
        <v>2381</v>
      </c>
      <c r="E1543" s="3">
        <v>31.98368</v>
      </c>
      <c r="F1543" s="3" t="s">
        <v>60</v>
      </c>
      <c r="G1543" s="3" t="s">
        <v>61</v>
      </c>
      <c r="H1543" s="6" t="s">
        <v>3592</v>
      </c>
    </row>
    <row r="1544" spans="1:8" ht="33.75" customHeight="1" x14ac:dyDescent="0.25">
      <c r="A1544" s="13" t="s">
        <v>3594</v>
      </c>
      <c r="B1544" s="2" t="s">
        <v>418</v>
      </c>
      <c r="C1544" s="2" t="s">
        <v>3595</v>
      </c>
      <c r="D1544" s="2" t="s">
        <v>420</v>
      </c>
      <c r="E1544" s="2">
        <v>30.655200000000001</v>
      </c>
      <c r="F1544" s="2" t="s">
        <v>60</v>
      </c>
      <c r="G1544" s="2" t="s">
        <v>61</v>
      </c>
      <c r="H1544" s="6" t="s">
        <v>3594</v>
      </c>
    </row>
    <row r="1545" spans="1:8" ht="33.75" customHeight="1" x14ac:dyDescent="0.25">
      <c r="A1545" s="14" t="s">
        <v>3596</v>
      </c>
      <c r="B1545" s="3" t="s">
        <v>418</v>
      </c>
      <c r="C1545" s="3" t="s">
        <v>3597</v>
      </c>
      <c r="D1545" s="3" t="s">
        <v>420</v>
      </c>
      <c r="E1545" s="3">
        <v>30.655200000000001</v>
      </c>
      <c r="F1545" s="3" t="s">
        <v>60</v>
      </c>
      <c r="G1545" s="3" t="s">
        <v>61</v>
      </c>
      <c r="H1545" s="6" t="s">
        <v>3596</v>
      </c>
    </row>
    <row r="1546" spans="1:8" ht="33.75" customHeight="1" x14ac:dyDescent="0.25">
      <c r="A1546" s="13" t="s">
        <v>3598</v>
      </c>
      <c r="B1546" s="2" t="s">
        <v>404</v>
      </c>
      <c r="C1546" s="2" t="s">
        <v>3599</v>
      </c>
      <c r="D1546" s="2" t="s">
        <v>406</v>
      </c>
      <c r="E1546" s="2">
        <v>29.999199999999998</v>
      </c>
      <c r="F1546" s="2" t="s">
        <v>60</v>
      </c>
      <c r="G1546" s="2" t="s">
        <v>61</v>
      </c>
      <c r="H1546" s="6" t="s">
        <v>3598</v>
      </c>
    </row>
    <row r="1547" spans="1:8" ht="22.5" customHeight="1" x14ac:dyDescent="0.25">
      <c r="A1547" s="14" t="s">
        <v>3600</v>
      </c>
      <c r="B1547" s="3" t="s">
        <v>404</v>
      </c>
      <c r="C1547" s="3" t="s">
        <v>3601</v>
      </c>
      <c r="D1547" s="3" t="s">
        <v>406</v>
      </c>
      <c r="E1547" s="3">
        <v>29.999199999999998</v>
      </c>
      <c r="F1547" s="3" t="s">
        <v>60</v>
      </c>
      <c r="G1547" s="3" t="s">
        <v>61</v>
      </c>
      <c r="H1547" s="6" t="s">
        <v>3600</v>
      </c>
    </row>
    <row r="1548" spans="1:8" ht="22.5" customHeight="1" x14ac:dyDescent="0.25">
      <c r="A1548" s="13" t="s">
        <v>3602</v>
      </c>
      <c r="B1548" s="2" t="s">
        <v>418</v>
      </c>
      <c r="C1548" s="2" t="s">
        <v>3603</v>
      </c>
      <c r="D1548" s="2" t="s">
        <v>420</v>
      </c>
      <c r="E1548" s="2">
        <v>30.655200000000001</v>
      </c>
      <c r="F1548" s="2" t="s">
        <v>60</v>
      </c>
      <c r="G1548" s="2" t="s">
        <v>61</v>
      </c>
      <c r="H1548" s="6" t="s">
        <v>3602</v>
      </c>
    </row>
    <row r="1549" spans="1:8" ht="33.75" customHeight="1" x14ac:dyDescent="0.25">
      <c r="A1549" s="14" t="s">
        <v>3604</v>
      </c>
      <c r="B1549" s="3" t="s">
        <v>418</v>
      </c>
      <c r="C1549" s="3" t="s">
        <v>3605</v>
      </c>
      <c r="D1549" s="3" t="s">
        <v>420</v>
      </c>
      <c r="E1549" s="3">
        <v>30.655200000000001</v>
      </c>
      <c r="F1549" s="3" t="s">
        <v>60</v>
      </c>
      <c r="G1549" s="3" t="s">
        <v>61</v>
      </c>
      <c r="H1549" s="6" t="s">
        <v>3604</v>
      </c>
    </row>
    <row r="1550" spans="1:8" ht="33.75" customHeight="1" x14ac:dyDescent="0.25">
      <c r="A1550" s="13" t="s">
        <v>3606</v>
      </c>
      <c r="B1550" s="2" t="s">
        <v>404</v>
      </c>
      <c r="C1550" s="2" t="s">
        <v>3607</v>
      </c>
      <c r="D1550" s="2" t="s">
        <v>406</v>
      </c>
      <c r="E1550" s="2">
        <v>29.999199999999998</v>
      </c>
      <c r="F1550" s="2" t="s">
        <v>60</v>
      </c>
      <c r="G1550" s="2" t="s">
        <v>61</v>
      </c>
      <c r="H1550" s="6" t="s">
        <v>3606</v>
      </c>
    </row>
    <row r="1551" spans="1:8" ht="33.75" customHeight="1" x14ac:dyDescent="0.25">
      <c r="A1551" s="14" t="s">
        <v>3608</v>
      </c>
      <c r="B1551" s="3" t="s">
        <v>794</v>
      </c>
      <c r="C1551" s="3" t="s">
        <v>3609</v>
      </c>
      <c r="D1551" s="3" t="s">
        <v>796</v>
      </c>
      <c r="E1551" s="3">
        <v>34.151200000000003</v>
      </c>
      <c r="F1551" s="3" t="s">
        <v>60</v>
      </c>
      <c r="G1551" s="3" t="s">
        <v>61</v>
      </c>
      <c r="H1551" s="6" t="s">
        <v>3608</v>
      </c>
    </row>
    <row r="1552" spans="1:8" ht="33.75" customHeight="1" x14ac:dyDescent="0.25">
      <c r="A1552" s="13" t="s">
        <v>3610</v>
      </c>
      <c r="B1552" s="2" t="s">
        <v>404</v>
      </c>
      <c r="C1552" s="2" t="s">
        <v>2233</v>
      </c>
      <c r="D1552" s="2" t="s">
        <v>406</v>
      </c>
      <c r="E1552" s="2">
        <v>29.999199999999998</v>
      </c>
      <c r="F1552" s="2" t="s">
        <v>60</v>
      </c>
      <c r="G1552" s="2" t="s">
        <v>61</v>
      </c>
      <c r="H1552" s="6" t="s">
        <v>3610</v>
      </c>
    </row>
    <row r="1553" spans="1:8" ht="22.5" customHeight="1" x14ac:dyDescent="0.25">
      <c r="A1553" s="14" t="s">
        <v>3611</v>
      </c>
      <c r="B1553" s="3" t="s">
        <v>418</v>
      </c>
      <c r="C1553" s="3" t="s">
        <v>2910</v>
      </c>
      <c r="D1553" s="3" t="s">
        <v>420</v>
      </c>
      <c r="E1553" s="3">
        <v>30.655200000000001</v>
      </c>
      <c r="F1553" s="3" t="s">
        <v>60</v>
      </c>
      <c r="G1553" s="3" t="s">
        <v>61</v>
      </c>
      <c r="H1553" s="6" t="s">
        <v>3611</v>
      </c>
    </row>
    <row r="1554" spans="1:8" ht="22.5" customHeight="1" x14ac:dyDescent="0.25">
      <c r="A1554" s="13" t="s">
        <v>3612</v>
      </c>
      <c r="B1554" s="2" t="s">
        <v>418</v>
      </c>
      <c r="C1554" s="2" t="s">
        <v>2908</v>
      </c>
      <c r="D1554" s="2" t="s">
        <v>420</v>
      </c>
      <c r="E1554" s="2">
        <v>30.655200000000001</v>
      </c>
      <c r="F1554" s="2" t="s">
        <v>60</v>
      </c>
      <c r="G1554" s="2" t="s">
        <v>61</v>
      </c>
      <c r="H1554" s="6" t="s">
        <v>3612</v>
      </c>
    </row>
    <row r="1555" spans="1:8" ht="22.5" customHeight="1" x14ac:dyDescent="0.25">
      <c r="A1555" s="14" t="s">
        <v>3613</v>
      </c>
      <c r="B1555" s="3" t="s">
        <v>2037</v>
      </c>
      <c r="C1555" s="3" t="s">
        <v>3614</v>
      </c>
      <c r="D1555" s="3" t="s">
        <v>2039</v>
      </c>
      <c r="E1555" s="3">
        <v>31.226199999999999</v>
      </c>
      <c r="F1555" s="3" t="s">
        <v>60</v>
      </c>
      <c r="G1555" s="3" t="s">
        <v>61</v>
      </c>
      <c r="H1555" s="6" t="s">
        <v>3613</v>
      </c>
    </row>
    <row r="1556" spans="1:8" ht="33.75" customHeight="1" x14ac:dyDescent="0.25">
      <c r="A1556" s="13" t="s">
        <v>3615</v>
      </c>
      <c r="B1556" s="2" t="s">
        <v>404</v>
      </c>
      <c r="C1556" s="2" t="s">
        <v>3616</v>
      </c>
      <c r="D1556" s="2" t="s">
        <v>406</v>
      </c>
      <c r="E1556" s="2">
        <v>29.999199999999998</v>
      </c>
      <c r="F1556" s="2" t="s">
        <v>60</v>
      </c>
      <c r="G1556" s="2" t="s">
        <v>61</v>
      </c>
      <c r="H1556" s="6" t="s">
        <v>3615</v>
      </c>
    </row>
    <row r="1557" spans="1:8" ht="33.75" customHeight="1" x14ac:dyDescent="0.25">
      <c r="A1557" s="14" t="s">
        <v>3617</v>
      </c>
      <c r="B1557" s="3" t="s">
        <v>2536</v>
      </c>
      <c r="C1557" s="3" t="s">
        <v>3618</v>
      </c>
      <c r="D1557" s="3" t="s">
        <v>2538</v>
      </c>
      <c r="E1557" s="3">
        <v>30.193999999999999</v>
      </c>
      <c r="F1557" s="3" t="s">
        <v>60</v>
      </c>
      <c r="G1557" s="3" t="s">
        <v>61</v>
      </c>
      <c r="H1557" s="6" t="s">
        <v>3617</v>
      </c>
    </row>
    <row r="1558" spans="1:8" ht="33.75" customHeight="1" x14ac:dyDescent="0.25">
      <c r="A1558" s="13" t="s">
        <v>3619</v>
      </c>
      <c r="B1558" s="2" t="s">
        <v>2532</v>
      </c>
      <c r="C1558" s="2" t="s">
        <v>3620</v>
      </c>
      <c r="D1558" s="2" t="s">
        <v>2534</v>
      </c>
      <c r="E1558" s="2">
        <v>29.9</v>
      </c>
      <c r="F1558" s="2" t="s">
        <v>60</v>
      </c>
      <c r="G1558" s="2" t="s">
        <v>61</v>
      </c>
      <c r="H1558" s="6" t="s">
        <v>3619</v>
      </c>
    </row>
    <row r="1559" spans="1:8" ht="33.75" customHeight="1" x14ac:dyDescent="0.25">
      <c r="A1559" s="14" t="s">
        <v>3621</v>
      </c>
      <c r="B1559" s="3" t="s">
        <v>2526</v>
      </c>
      <c r="C1559" s="3" t="s">
        <v>3622</v>
      </c>
      <c r="D1559" s="3" t="s">
        <v>2528</v>
      </c>
      <c r="E1559" s="3">
        <v>27.506</v>
      </c>
      <c r="F1559" s="3" t="s">
        <v>60</v>
      </c>
      <c r="G1559" s="3" t="s">
        <v>61</v>
      </c>
      <c r="H1559" s="6" t="s">
        <v>3621</v>
      </c>
    </row>
    <row r="1560" spans="1:8" ht="33.75" customHeight="1" x14ac:dyDescent="0.25">
      <c r="A1560" s="13" t="s">
        <v>3623</v>
      </c>
      <c r="B1560" s="2" t="s">
        <v>2526</v>
      </c>
      <c r="C1560" s="2" t="s">
        <v>3624</v>
      </c>
      <c r="D1560" s="2" t="s">
        <v>2528</v>
      </c>
      <c r="E1560" s="2">
        <v>27.506</v>
      </c>
      <c r="F1560" s="2" t="s">
        <v>60</v>
      </c>
      <c r="G1560" s="2" t="s">
        <v>61</v>
      </c>
      <c r="H1560" s="6" t="s">
        <v>3623</v>
      </c>
    </row>
    <row r="1561" spans="1:8" ht="33.75" customHeight="1" x14ac:dyDescent="0.25">
      <c r="A1561" s="14" t="s">
        <v>3625</v>
      </c>
      <c r="B1561" s="3" t="s">
        <v>3626</v>
      </c>
      <c r="C1561" s="3" t="s">
        <v>3627</v>
      </c>
      <c r="D1561" s="3" t="s">
        <v>3628</v>
      </c>
      <c r="E1561" s="3">
        <v>27.506</v>
      </c>
      <c r="F1561" s="3" t="s">
        <v>60</v>
      </c>
      <c r="G1561" s="3" t="s">
        <v>61</v>
      </c>
      <c r="H1561" s="6" t="s">
        <v>3625</v>
      </c>
    </row>
    <row r="1562" spans="1:8" ht="33.75" customHeight="1" x14ac:dyDescent="0.25">
      <c r="A1562" s="13" t="s">
        <v>3629</v>
      </c>
      <c r="B1562" s="2" t="s">
        <v>3630</v>
      </c>
      <c r="C1562" s="2" t="s">
        <v>3631</v>
      </c>
      <c r="D1562" s="2" t="s">
        <v>3632</v>
      </c>
      <c r="E1562" s="2">
        <v>27.506</v>
      </c>
      <c r="F1562" s="2" t="s">
        <v>60</v>
      </c>
      <c r="G1562" s="2" t="s">
        <v>61</v>
      </c>
      <c r="H1562" s="6" t="s">
        <v>3629</v>
      </c>
    </row>
    <row r="1563" spans="1:8" ht="33.75" customHeight="1" x14ac:dyDescent="0.25">
      <c r="A1563" s="14" t="s">
        <v>3633</v>
      </c>
      <c r="B1563" s="3" t="s">
        <v>3630</v>
      </c>
      <c r="C1563" s="3" t="s">
        <v>3634</v>
      </c>
      <c r="D1563" s="3" t="s">
        <v>3632</v>
      </c>
      <c r="E1563" s="3">
        <v>27.506</v>
      </c>
      <c r="F1563" s="3" t="s">
        <v>60</v>
      </c>
      <c r="G1563" s="3" t="s">
        <v>61</v>
      </c>
      <c r="H1563" s="6" t="s">
        <v>3633</v>
      </c>
    </row>
    <row r="1564" spans="1:8" ht="33.75" customHeight="1" x14ac:dyDescent="0.25">
      <c r="A1564" s="13" t="s">
        <v>3635</v>
      </c>
      <c r="B1564" s="2" t="s">
        <v>404</v>
      </c>
      <c r="C1564" s="2" t="s">
        <v>3636</v>
      </c>
      <c r="D1564" s="2" t="s">
        <v>406</v>
      </c>
      <c r="E1564" s="2">
        <v>29.999199999999998</v>
      </c>
      <c r="F1564" s="2" t="s">
        <v>60</v>
      </c>
      <c r="G1564" s="2" t="s">
        <v>61</v>
      </c>
      <c r="H1564" s="6" t="s">
        <v>3635</v>
      </c>
    </row>
    <row r="1565" spans="1:8" ht="22.5" customHeight="1" x14ac:dyDescent="0.25">
      <c r="A1565" s="14" t="s">
        <v>3637</v>
      </c>
      <c r="B1565" s="3" t="s">
        <v>3305</v>
      </c>
      <c r="C1565" s="3" t="s">
        <v>3638</v>
      </c>
      <c r="D1565" s="3" t="s">
        <v>3307</v>
      </c>
      <c r="E1565" s="3">
        <v>28.139199999999999</v>
      </c>
      <c r="F1565" s="3" t="s">
        <v>60</v>
      </c>
      <c r="G1565" s="3" t="s">
        <v>61</v>
      </c>
      <c r="H1565" s="6" t="s">
        <v>3637</v>
      </c>
    </row>
    <row r="1566" spans="1:8" ht="22.5" customHeight="1" x14ac:dyDescent="0.25">
      <c r="A1566" s="13" t="s">
        <v>3639</v>
      </c>
      <c r="B1566" s="2" t="s">
        <v>3640</v>
      </c>
      <c r="C1566" s="2" t="s">
        <v>3641</v>
      </c>
      <c r="D1566" s="2" t="s">
        <v>3642</v>
      </c>
      <c r="E1566" s="2">
        <v>27.9192</v>
      </c>
      <c r="F1566" s="2" t="s">
        <v>60</v>
      </c>
      <c r="G1566" s="2" t="s">
        <v>61</v>
      </c>
      <c r="H1566" s="6" t="s">
        <v>3639</v>
      </c>
    </row>
    <row r="1567" spans="1:8" ht="33.75" customHeight="1" x14ac:dyDescent="0.25">
      <c r="A1567" s="14" t="s">
        <v>3643</v>
      </c>
      <c r="B1567" s="3" t="s">
        <v>3644</v>
      </c>
      <c r="C1567" s="3" t="s">
        <v>3645</v>
      </c>
      <c r="D1567" s="3" t="s">
        <v>3646</v>
      </c>
      <c r="E1567" s="3">
        <v>31.23</v>
      </c>
      <c r="F1567" s="3" t="s">
        <v>60</v>
      </c>
      <c r="G1567" s="3" t="s">
        <v>61</v>
      </c>
      <c r="H1567" s="6" t="s">
        <v>3643</v>
      </c>
    </row>
    <row r="1568" spans="1:8" ht="33.75" customHeight="1" x14ac:dyDescent="0.25">
      <c r="A1568" s="13" t="s">
        <v>3647</v>
      </c>
      <c r="B1568" s="2" t="s">
        <v>3648</v>
      </c>
      <c r="C1568" s="2" t="s">
        <v>3649</v>
      </c>
      <c r="D1568" s="2" t="s">
        <v>3650</v>
      </c>
      <c r="E1568" s="2">
        <v>30.335999999999999</v>
      </c>
      <c r="F1568" s="2" t="s">
        <v>60</v>
      </c>
      <c r="G1568" s="2" t="s">
        <v>61</v>
      </c>
      <c r="H1568" s="6" t="s">
        <v>3647</v>
      </c>
    </row>
    <row r="1569" spans="1:8" ht="22.5" customHeight="1" x14ac:dyDescent="0.25">
      <c r="A1569" s="14" t="s">
        <v>3651</v>
      </c>
      <c r="B1569" s="3" t="s">
        <v>386</v>
      </c>
      <c r="C1569" s="3" t="s">
        <v>3652</v>
      </c>
      <c r="D1569" s="3" t="s">
        <v>388</v>
      </c>
      <c r="E1569" s="3">
        <v>33.783799999999999</v>
      </c>
      <c r="F1569" s="3" t="s">
        <v>60</v>
      </c>
      <c r="G1569" s="3" t="s">
        <v>61</v>
      </c>
      <c r="H1569" s="6" t="s">
        <v>3651</v>
      </c>
    </row>
    <row r="1570" spans="1:8" ht="33.75" customHeight="1" x14ac:dyDescent="0.25">
      <c r="A1570" s="13" t="s">
        <v>3653</v>
      </c>
      <c r="B1570" s="2" t="s">
        <v>57</v>
      </c>
      <c r="C1570" s="2" t="s">
        <v>3654</v>
      </c>
      <c r="D1570" s="2" t="s">
        <v>59</v>
      </c>
      <c r="E1570" s="2">
        <v>31.825199999999999</v>
      </c>
      <c r="F1570" s="2" t="s">
        <v>60</v>
      </c>
      <c r="G1570" s="2" t="s">
        <v>61</v>
      </c>
      <c r="H1570" s="6" t="s">
        <v>3653</v>
      </c>
    </row>
    <row r="1571" spans="1:8" ht="33.75" customHeight="1" x14ac:dyDescent="0.25">
      <c r="A1571" s="14" t="s">
        <v>3655</v>
      </c>
      <c r="B1571" s="3" t="s">
        <v>89</v>
      </c>
      <c r="C1571" s="3" t="s">
        <v>3656</v>
      </c>
      <c r="D1571" s="3" t="s">
        <v>91</v>
      </c>
      <c r="E1571" s="3">
        <v>32.389200000000002</v>
      </c>
      <c r="F1571" s="3" t="s">
        <v>60</v>
      </c>
      <c r="G1571" s="3" t="s">
        <v>61</v>
      </c>
      <c r="H1571" s="6" t="s">
        <v>3655</v>
      </c>
    </row>
    <row r="1572" spans="1:8" ht="33.75" customHeight="1" x14ac:dyDescent="0.25">
      <c r="A1572" s="13" t="s">
        <v>3657</v>
      </c>
      <c r="B1572" s="2" t="s">
        <v>324</v>
      </c>
      <c r="C1572" s="2" t="s">
        <v>3658</v>
      </c>
      <c r="D1572" s="2" t="s">
        <v>326</v>
      </c>
      <c r="E1572" s="2">
        <v>29.719200000000001</v>
      </c>
      <c r="F1572" s="2" t="s">
        <v>60</v>
      </c>
      <c r="G1572" s="2" t="s">
        <v>61</v>
      </c>
      <c r="H1572" s="6" t="s">
        <v>3657</v>
      </c>
    </row>
    <row r="1573" spans="1:8" ht="22.5" customHeight="1" x14ac:dyDescent="0.25">
      <c r="A1573" s="14" t="s">
        <v>3659</v>
      </c>
      <c r="B1573" s="3" t="s">
        <v>404</v>
      </c>
      <c r="C1573" s="3" t="s">
        <v>3660</v>
      </c>
      <c r="D1573" s="3" t="s">
        <v>406</v>
      </c>
      <c r="E1573" s="3">
        <v>29.999199999999998</v>
      </c>
      <c r="F1573" s="3" t="s">
        <v>60</v>
      </c>
      <c r="G1573" s="3" t="s">
        <v>61</v>
      </c>
      <c r="H1573" s="6" t="s">
        <v>3659</v>
      </c>
    </row>
    <row r="1574" spans="1:8" ht="22.5" customHeight="1" x14ac:dyDescent="0.25">
      <c r="A1574" s="13" t="s">
        <v>3661</v>
      </c>
      <c r="B1574" s="2" t="s">
        <v>418</v>
      </c>
      <c r="C1574" s="2" t="s">
        <v>3662</v>
      </c>
      <c r="D1574" s="2" t="s">
        <v>420</v>
      </c>
      <c r="E1574" s="2">
        <v>30.655200000000001</v>
      </c>
      <c r="F1574" s="2" t="s">
        <v>60</v>
      </c>
      <c r="G1574" s="2" t="s">
        <v>61</v>
      </c>
      <c r="H1574" s="6" t="s">
        <v>3661</v>
      </c>
    </row>
    <row r="1575" spans="1:8" ht="22.5" customHeight="1" x14ac:dyDescent="0.25">
      <c r="A1575" s="14" t="s">
        <v>3663</v>
      </c>
      <c r="B1575" s="3" t="s">
        <v>404</v>
      </c>
      <c r="C1575" s="3" t="s">
        <v>3664</v>
      </c>
      <c r="D1575" s="3" t="s">
        <v>406</v>
      </c>
      <c r="E1575" s="3">
        <v>29.999199999999998</v>
      </c>
      <c r="F1575" s="3" t="s">
        <v>60</v>
      </c>
      <c r="G1575" s="3" t="s">
        <v>61</v>
      </c>
      <c r="H1575" s="6" t="s">
        <v>3663</v>
      </c>
    </row>
    <row r="1576" spans="1:8" ht="33.75" customHeight="1" x14ac:dyDescent="0.25">
      <c r="A1576" s="13" t="s">
        <v>3665</v>
      </c>
      <c r="B1576" s="2" t="s">
        <v>386</v>
      </c>
      <c r="C1576" s="2" t="s">
        <v>3666</v>
      </c>
      <c r="D1576" s="2" t="s">
        <v>388</v>
      </c>
      <c r="E1576" s="2">
        <v>33.783799999999999</v>
      </c>
      <c r="F1576" s="2" t="s">
        <v>60</v>
      </c>
      <c r="G1576" s="2" t="s">
        <v>61</v>
      </c>
      <c r="H1576" s="6" t="s">
        <v>3665</v>
      </c>
    </row>
    <row r="1577" spans="1:8" ht="33.75" customHeight="1" x14ac:dyDescent="0.25">
      <c r="A1577" s="14" t="s">
        <v>3667</v>
      </c>
      <c r="B1577" s="3" t="s">
        <v>57</v>
      </c>
      <c r="C1577" s="3" t="s">
        <v>3668</v>
      </c>
      <c r="D1577" s="3" t="s">
        <v>59</v>
      </c>
      <c r="E1577" s="3">
        <v>31.825199999999999</v>
      </c>
      <c r="F1577" s="3" t="s">
        <v>60</v>
      </c>
      <c r="G1577" s="3" t="s">
        <v>61</v>
      </c>
      <c r="H1577" s="6" t="s">
        <v>3667</v>
      </c>
    </row>
    <row r="1578" spans="1:8" ht="22.5" customHeight="1" x14ac:dyDescent="0.25">
      <c r="A1578" s="13" t="s">
        <v>3669</v>
      </c>
      <c r="B1578" s="2" t="s">
        <v>404</v>
      </c>
      <c r="C1578" s="2" t="s">
        <v>3670</v>
      </c>
      <c r="D1578" s="2" t="s">
        <v>406</v>
      </c>
      <c r="E1578" s="2">
        <v>29.999199999999998</v>
      </c>
      <c r="F1578" s="2" t="s">
        <v>60</v>
      </c>
      <c r="G1578" s="2" t="s">
        <v>61</v>
      </c>
      <c r="H1578" s="6" t="s">
        <v>3669</v>
      </c>
    </row>
    <row r="1579" spans="1:8" ht="22.5" customHeight="1" x14ac:dyDescent="0.25">
      <c r="A1579" s="14" t="s">
        <v>3671</v>
      </c>
      <c r="B1579" s="3" t="s">
        <v>1294</v>
      </c>
      <c r="C1579" s="3" t="s">
        <v>3672</v>
      </c>
      <c r="D1579" s="3" t="s">
        <v>1296</v>
      </c>
      <c r="E1579" s="3">
        <v>27.925999999999998</v>
      </c>
      <c r="F1579" s="3" t="s">
        <v>60</v>
      </c>
      <c r="G1579" s="3" t="s">
        <v>61</v>
      </c>
      <c r="H1579" s="6" t="s">
        <v>3671</v>
      </c>
    </row>
    <row r="1580" spans="1:8" ht="22.5" customHeight="1" x14ac:dyDescent="0.25">
      <c r="A1580" s="13" t="s">
        <v>3673</v>
      </c>
      <c r="B1580" s="2" t="s">
        <v>878</v>
      </c>
      <c r="C1580" s="2" t="s">
        <v>3674</v>
      </c>
      <c r="D1580" s="2" t="s">
        <v>880</v>
      </c>
      <c r="E1580" s="2">
        <v>27.925999999999998</v>
      </c>
      <c r="F1580" s="2" t="s">
        <v>60</v>
      </c>
      <c r="G1580" s="2" t="s">
        <v>61</v>
      </c>
      <c r="H1580" s="6" t="s">
        <v>3673</v>
      </c>
    </row>
    <row r="1581" spans="1:8" ht="22.5" customHeight="1" x14ac:dyDescent="0.25">
      <c r="A1581" s="14" t="s">
        <v>3675</v>
      </c>
      <c r="B1581" s="3" t="s">
        <v>878</v>
      </c>
      <c r="C1581" s="3" t="s">
        <v>3676</v>
      </c>
      <c r="D1581" s="3" t="s">
        <v>880</v>
      </c>
      <c r="E1581" s="3">
        <v>27.925999999999998</v>
      </c>
      <c r="F1581" s="3" t="s">
        <v>60</v>
      </c>
      <c r="G1581" s="3" t="s">
        <v>61</v>
      </c>
      <c r="H1581" s="6" t="s">
        <v>3675</v>
      </c>
    </row>
    <row r="1582" spans="1:8" ht="22.5" customHeight="1" x14ac:dyDescent="0.25">
      <c r="A1582" s="13" t="s">
        <v>3677</v>
      </c>
      <c r="B1582" s="2" t="s">
        <v>2137</v>
      </c>
      <c r="C1582" s="2" t="s">
        <v>3678</v>
      </c>
      <c r="D1582" s="2" t="s">
        <v>2139</v>
      </c>
      <c r="E1582" s="2">
        <v>27.925999999999998</v>
      </c>
      <c r="F1582" s="2" t="s">
        <v>60</v>
      </c>
      <c r="G1582" s="2" t="s">
        <v>61</v>
      </c>
      <c r="H1582" s="6" t="s">
        <v>3677</v>
      </c>
    </row>
    <row r="1583" spans="1:8" ht="22.5" customHeight="1" x14ac:dyDescent="0.25">
      <c r="A1583" s="14" t="s">
        <v>3679</v>
      </c>
      <c r="B1583" s="3" t="s">
        <v>673</v>
      </c>
      <c r="C1583" s="3" t="s">
        <v>3680</v>
      </c>
      <c r="D1583" s="3" t="s">
        <v>675</v>
      </c>
      <c r="E1583" s="3">
        <v>29.5824</v>
      </c>
      <c r="F1583" s="3" t="s">
        <v>60</v>
      </c>
      <c r="G1583" s="3" t="s">
        <v>61</v>
      </c>
      <c r="H1583" s="6" t="s">
        <v>3679</v>
      </c>
    </row>
    <row r="1584" spans="1:8" ht="22.5" customHeight="1" x14ac:dyDescent="0.25">
      <c r="A1584" s="13" t="s">
        <v>3681</v>
      </c>
      <c r="B1584" s="2" t="s">
        <v>673</v>
      </c>
      <c r="C1584" s="2" t="s">
        <v>3682</v>
      </c>
      <c r="D1584" s="2" t="s">
        <v>675</v>
      </c>
      <c r="E1584" s="2">
        <v>29.5824</v>
      </c>
      <c r="F1584" s="2" t="s">
        <v>60</v>
      </c>
      <c r="G1584" s="2" t="s">
        <v>61</v>
      </c>
      <c r="H1584" s="6" t="s">
        <v>3681</v>
      </c>
    </row>
    <row r="1585" spans="1:8" ht="22.5" customHeight="1" x14ac:dyDescent="0.25">
      <c r="A1585" s="14" t="s">
        <v>3683</v>
      </c>
      <c r="B1585" s="3" t="s">
        <v>673</v>
      </c>
      <c r="C1585" s="3" t="s">
        <v>3684</v>
      </c>
      <c r="D1585" s="3" t="s">
        <v>675</v>
      </c>
      <c r="E1585" s="3">
        <v>29.5824</v>
      </c>
      <c r="F1585" s="3" t="s">
        <v>60</v>
      </c>
      <c r="G1585" s="3" t="s">
        <v>61</v>
      </c>
      <c r="H1585" s="6" t="s">
        <v>3683</v>
      </c>
    </row>
    <row r="1586" spans="1:8" ht="22.5" customHeight="1" x14ac:dyDescent="0.25">
      <c r="A1586" s="13" t="s">
        <v>3685</v>
      </c>
      <c r="B1586" s="2" t="s">
        <v>673</v>
      </c>
      <c r="C1586" s="2" t="s">
        <v>3686</v>
      </c>
      <c r="D1586" s="2" t="s">
        <v>675</v>
      </c>
      <c r="E1586" s="2">
        <v>29.5824</v>
      </c>
      <c r="F1586" s="2" t="s">
        <v>60</v>
      </c>
      <c r="G1586" s="2" t="s">
        <v>61</v>
      </c>
      <c r="H1586" s="6" t="s">
        <v>3685</v>
      </c>
    </row>
    <row r="1587" spans="1:8" ht="33.75" customHeight="1" x14ac:dyDescent="0.25">
      <c r="A1587" s="14" t="s">
        <v>3687</v>
      </c>
      <c r="B1587" s="3" t="s">
        <v>57</v>
      </c>
      <c r="C1587" s="3" t="s">
        <v>3688</v>
      </c>
      <c r="D1587" s="3" t="s">
        <v>59</v>
      </c>
      <c r="E1587" s="3">
        <v>31.825199999999999</v>
      </c>
      <c r="F1587" s="3" t="s">
        <v>60</v>
      </c>
      <c r="G1587" s="3" t="s">
        <v>61</v>
      </c>
      <c r="H1587" s="6" t="s">
        <v>3687</v>
      </c>
    </row>
    <row r="1588" spans="1:8" ht="33.75" customHeight="1" x14ac:dyDescent="0.25">
      <c r="A1588" s="13" t="s">
        <v>3689</v>
      </c>
      <c r="B1588" s="2" t="s">
        <v>324</v>
      </c>
      <c r="C1588" s="2" t="s">
        <v>3690</v>
      </c>
      <c r="D1588" s="2" t="s">
        <v>326</v>
      </c>
      <c r="E1588" s="2">
        <v>29.719200000000001</v>
      </c>
      <c r="F1588" s="2" t="s">
        <v>60</v>
      </c>
      <c r="G1588" s="2" t="s">
        <v>61</v>
      </c>
      <c r="H1588" s="6" t="s">
        <v>3689</v>
      </c>
    </row>
    <row r="1589" spans="1:8" ht="22.5" customHeight="1" x14ac:dyDescent="0.25">
      <c r="A1589" s="14" t="s">
        <v>3691</v>
      </c>
      <c r="B1589" s="3" t="s">
        <v>324</v>
      </c>
      <c r="C1589" s="3" t="s">
        <v>3692</v>
      </c>
      <c r="D1589" s="3" t="s">
        <v>326</v>
      </c>
      <c r="E1589" s="3">
        <v>29.719200000000001</v>
      </c>
      <c r="F1589" s="3" t="s">
        <v>60</v>
      </c>
      <c r="G1589" s="3" t="s">
        <v>61</v>
      </c>
      <c r="H1589" s="6" t="s">
        <v>3691</v>
      </c>
    </row>
    <row r="1590" spans="1:8" ht="22.5" customHeight="1" x14ac:dyDescent="0.25">
      <c r="A1590" s="13" t="s">
        <v>3693</v>
      </c>
      <c r="B1590" s="2" t="s">
        <v>794</v>
      </c>
      <c r="C1590" s="2" t="s">
        <v>3694</v>
      </c>
      <c r="D1590" s="2" t="s">
        <v>796</v>
      </c>
      <c r="E1590" s="2">
        <v>34.151200000000003</v>
      </c>
      <c r="F1590" s="2" t="s">
        <v>60</v>
      </c>
      <c r="G1590" s="2" t="s">
        <v>61</v>
      </c>
      <c r="H1590" s="6" t="s">
        <v>3693</v>
      </c>
    </row>
    <row r="1591" spans="1:8" ht="22.5" customHeight="1" x14ac:dyDescent="0.25">
      <c r="A1591" s="14" t="s">
        <v>3695</v>
      </c>
      <c r="B1591" s="3" t="s">
        <v>794</v>
      </c>
      <c r="C1591" s="3" t="s">
        <v>3696</v>
      </c>
      <c r="D1591" s="3" t="s">
        <v>796</v>
      </c>
      <c r="E1591" s="3">
        <v>34.151200000000003</v>
      </c>
      <c r="F1591" s="3" t="s">
        <v>60</v>
      </c>
      <c r="G1591" s="3" t="s">
        <v>61</v>
      </c>
      <c r="H1591" s="6" t="s">
        <v>3695</v>
      </c>
    </row>
    <row r="1592" spans="1:8" ht="22.5" customHeight="1" x14ac:dyDescent="0.25">
      <c r="A1592" s="13" t="s">
        <v>3697</v>
      </c>
      <c r="B1592" s="2" t="s">
        <v>404</v>
      </c>
      <c r="C1592" s="2" t="s">
        <v>3698</v>
      </c>
      <c r="D1592" s="2" t="s">
        <v>406</v>
      </c>
      <c r="E1592" s="2">
        <v>29.999199999999998</v>
      </c>
      <c r="F1592" s="2" t="s">
        <v>60</v>
      </c>
      <c r="G1592" s="2" t="s">
        <v>61</v>
      </c>
      <c r="H1592" s="6" t="s">
        <v>3697</v>
      </c>
    </row>
    <row r="1593" spans="1:8" ht="22.5" customHeight="1" x14ac:dyDescent="0.25">
      <c r="A1593" s="14" t="s">
        <v>3699</v>
      </c>
      <c r="B1593" s="3" t="s">
        <v>418</v>
      </c>
      <c r="C1593" s="3" t="s">
        <v>2704</v>
      </c>
      <c r="D1593" s="3" t="s">
        <v>420</v>
      </c>
      <c r="E1593" s="3">
        <v>30.655200000000001</v>
      </c>
      <c r="F1593" s="3" t="s">
        <v>60</v>
      </c>
      <c r="G1593" s="3" t="s">
        <v>61</v>
      </c>
      <c r="H1593" s="6" t="s">
        <v>3699</v>
      </c>
    </row>
    <row r="1594" spans="1:8" ht="22.5" customHeight="1" x14ac:dyDescent="0.25">
      <c r="A1594" s="13" t="s">
        <v>3700</v>
      </c>
      <c r="B1594" s="2" t="s">
        <v>404</v>
      </c>
      <c r="C1594" s="2" t="s">
        <v>3701</v>
      </c>
      <c r="D1594" s="2" t="s">
        <v>406</v>
      </c>
      <c r="E1594" s="2">
        <v>29.999199999999998</v>
      </c>
      <c r="F1594" s="2" t="s">
        <v>60</v>
      </c>
      <c r="G1594" s="2" t="s">
        <v>61</v>
      </c>
      <c r="H1594" s="6" t="s">
        <v>3700</v>
      </c>
    </row>
    <row r="1595" spans="1:8" ht="22.5" customHeight="1" x14ac:dyDescent="0.25">
      <c r="A1595" s="14" t="s">
        <v>3702</v>
      </c>
      <c r="B1595" s="3" t="s">
        <v>794</v>
      </c>
      <c r="C1595" s="3" t="s">
        <v>3703</v>
      </c>
      <c r="D1595" s="3" t="s">
        <v>796</v>
      </c>
      <c r="E1595" s="3">
        <v>34.151200000000003</v>
      </c>
      <c r="F1595" s="3" t="s">
        <v>60</v>
      </c>
      <c r="G1595" s="3" t="s">
        <v>61</v>
      </c>
      <c r="H1595" s="6" t="s">
        <v>3702</v>
      </c>
    </row>
    <row r="1596" spans="1:8" ht="22.5" customHeight="1" x14ac:dyDescent="0.25">
      <c r="A1596" s="13" t="s">
        <v>3704</v>
      </c>
      <c r="B1596" s="2" t="s">
        <v>418</v>
      </c>
      <c r="C1596" s="2" t="s">
        <v>3705</v>
      </c>
      <c r="D1596" s="2" t="s">
        <v>420</v>
      </c>
      <c r="E1596" s="2">
        <v>30.655200000000001</v>
      </c>
      <c r="F1596" s="2" t="s">
        <v>60</v>
      </c>
      <c r="G1596" s="2" t="s">
        <v>61</v>
      </c>
      <c r="H1596" s="6" t="s">
        <v>3704</v>
      </c>
    </row>
    <row r="1597" spans="1:8" ht="33.75" customHeight="1" x14ac:dyDescent="0.25">
      <c r="A1597" s="14" t="s">
        <v>3706</v>
      </c>
      <c r="B1597" s="3" t="s">
        <v>378</v>
      </c>
      <c r="C1597" s="3" t="s">
        <v>3707</v>
      </c>
      <c r="D1597" s="3" t="s">
        <v>380</v>
      </c>
      <c r="E1597" s="3">
        <v>29.743200000000002</v>
      </c>
      <c r="F1597" s="3" t="s">
        <v>60</v>
      </c>
      <c r="G1597" s="3" t="s">
        <v>61</v>
      </c>
      <c r="H1597" s="6" t="s">
        <v>3706</v>
      </c>
    </row>
    <row r="1598" spans="1:8" ht="33.75" customHeight="1" x14ac:dyDescent="0.25">
      <c r="A1598" s="13" t="s">
        <v>3708</v>
      </c>
      <c r="B1598" s="2" t="s">
        <v>366</v>
      </c>
      <c r="C1598" s="2" t="s">
        <v>3709</v>
      </c>
      <c r="D1598" s="2" t="s">
        <v>368</v>
      </c>
      <c r="E1598" s="2">
        <v>32.983400000000003</v>
      </c>
      <c r="F1598" s="2" t="s">
        <v>60</v>
      </c>
      <c r="G1598" s="2" t="s">
        <v>61</v>
      </c>
      <c r="H1598" s="6" t="s">
        <v>3708</v>
      </c>
    </row>
    <row r="1599" spans="1:8" ht="33.75" customHeight="1" x14ac:dyDescent="0.25">
      <c r="A1599" s="14" t="s">
        <v>3710</v>
      </c>
      <c r="B1599" s="3" t="s">
        <v>2391</v>
      </c>
      <c r="C1599" s="3" t="s">
        <v>3711</v>
      </c>
      <c r="D1599" s="3" t="s">
        <v>2393</v>
      </c>
      <c r="E1599" s="3">
        <v>32.3872</v>
      </c>
      <c r="F1599" s="3" t="s">
        <v>60</v>
      </c>
      <c r="G1599" s="3" t="s">
        <v>61</v>
      </c>
      <c r="H1599" s="6" t="s">
        <v>3710</v>
      </c>
    </row>
    <row r="1600" spans="1:8" ht="33.75" customHeight="1" x14ac:dyDescent="0.25">
      <c r="A1600" s="13" t="s">
        <v>3712</v>
      </c>
      <c r="B1600" s="2" t="s">
        <v>2532</v>
      </c>
      <c r="C1600" s="2" t="s">
        <v>3713</v>
      </c>
      <c r="D1600" s="2" t="s">
        <v>2534</v>
      </c>
      <c r="E1600" s="2">
        <v>29.9</v>
      </c>
      <c r="F1600" s="2" t="s">
        <v>60</v>
      </c>
      <c r="G1600" s="2" t="s">
        <v>61</v>
      </c>
      <c r="H1600" s="6" t="s">
        <v>3712</v>
      </c>
    </row>
    <row r="1601" spans="1:8" ht="33.75" customHeight="1" x14ac:dyDescent="0.25">
      <c r="A1601" s="14" t="s">
        <v>3714</v>
      </c>
      <c r="B1601" s="3" t="s">
        <v>2536</v>
      </c>
      <c r="C1601" s="3" t="s">
        <v>3715</v>
      </c>
      <c r="D1601" s="3" t="s">
        <v>2538</v>
      </c>
      <c r="E1601" s="3">
        <v>30.193999999999999</v>
      </c>
      <c r="F1601" s="3" t="s">
        <v>60</v>
      </c>
      <c r="G1601" s="3" t="s">
        <v>61</v>
      </c>
      <c r="H1601" s="6" t="s">
        <v>3714</v>
      </c>
    </row>
    <row r="1602" spans="1:8" ht="33.75" customHeight="1" x14ac:dyDescent="0.25">
      <c r="A1602" s="13" t="s">
        <v>3716</v>
      </c>
      <c r="B1602" s="2" t="s">
        <v>3717</v>
      </c>
      <c r="C1602" s="2" t="s">
        <v>3718</v>
      </c>
      <c r="D1602" s="2" t="s">
        <v>3719</v>
      </c>
      <c r="E1602" s="2">
        <v>29.613199999999999</v>
      </c>
      <c r="F1602" s="2" t="s">
        <v>60</v>
      </c>
      <c r="G1602" s="2" t="s">
        <v>61</v>
      </c>
      <c r="H1602" s="6" t="s">
        <v>3716</v>
      </c>
    </row>
    <row r="1603" spans="1:8" ht="22.5" customHeight="1" x14ac:dyDescent="0.25">
      <c r="A1603" s="14" t="s">
        <v>3720</v>
      </c>
      <c r="B1603" s="3" t="s">
        <v>222</v>
      </c>
      <c r="C1603" s="3" t="s">
        <v>3721</v>
      </c>
      <c r="D1603" s="3" t="s">
        <v>224</v>
      </c>
      <c r="E1603" s="3">
        <v>27.839200000000002</v>
      </c>
      <c r="F1603" s="3" t="s">
        <v>60</v>
      </c>
      <c r="G1603" s="3" t="s">
        <v>61</v>
      </c>
      <c r="H1603" s="6" t="s">
        <v>3720</v>
      </c>
    </row>
    <row r="1604" spans="1:8" ht="22.5" customHeight="1" x14ac:dyDescent="0.25">
      <c r="A1604" s="13" t="s">
        <v>3722</v>
      </c>
      <c r="B1604" s="2" t="s">
        <v>222</v>
      </c>
      <c r="C1604" s="2" t="s">
        <v>3723</v>
      </c>
      <c r="D1604" s="2" t="s">
        <v>224</v>
      </c>
      <c r="E1604" s="2">
        <v>27.839200000000002</v>
      </c>
      <c r="F1604" s="2" t="s">
        <v>60</v>
      </c>
      <c r="G1604" s="2" t="s">
        <v>61</v>
      </c>
      <c r="H1604" s="6" t="s">
        <v>3722</v>
      </c>
    </row>
    <row r="1605" spans="1:8" ht="33.75" customHeight="1" x14ac:dyDescent="0.25">
      <c r="A1605" s="14" t="s">
        <v>3724</v>
      </c>
      <c r="B1605" s="3" t="s">
        <v>3128</v>
      </c>
      <c r="C1605" s="3" t="s">
        <v>3725</v>
      </c>
      <c r="D1605" s="3" t="s">
        <v>3130</v>
      </c>
      <c r="E1605" s="3">
        <v>31.986000000000001</v>
      </c>
      <c r="F1605" s="3" t="s">
        <v>60</v>
      </c>
      <c r="G1605" s="3" t="s">
        <v>61</v>
      </c>
      <c r="H1605" s="6" t="s">
        <v>3724</v>
      </c>
    </row>
    <row r="1606" spans="1:8" ht="33.75" customHeight="1" x14ac:dyDescent="0.25">
      <c r="A1606" s="13" t="s">
        <v>3726</v>
      </c>
      <c r="B1606" s="2" t="s">
        <v>3132</v>
      </c>
      <c r="C1606" s="2" t="s">
        <v>3727</v>
      </c>
      <c r="D1606" s="2" t="s">
        <v>3134</v>
      </c>
      <c r="E1606" s="2">
        <v>32.676000000000002</v>
      </c>
      <c r="F1606" s="2" t="s">
        <v>60</v>
      </c>
      <c r="G1606" s="2" t="s">
        <v>61</v>
      </c>
      <c r="H1606" s="6" t="s">
        <v>3726</v>
      </c>
    </row>
    <row r="1607" spans="1:8" ht="33.75" customHeight="1" x14ac:dyDescent="0.25">
      <c r="A1607" s="14" t="s">
        <v>3728</v>
      </c>
      <c r="B1607" s="3" t="s">
        <v>3729</v>
      </c>
      <c r="C1607" s="3" t="s">
        <v>3730</v>
      </c>
      <c r="D1607" s="3" t="s">
        <v>3731</v>
      </c>
      <c r="E1607" s="3">
        <v>32.112000000000002</v>
      </c>
      <c r="F1607" s="3" t="s">
        <v>60</v>
      </c>
      <c r="G1607" s="3" t="s">
        <v>61</v>
      </c>
      <c r="H1607" s="6" t="s">
        <v>3728</v>
      </c>
    </row>
    <row r="1608" spans="1:8" ht="33.75" customHeight="1" x14ac:dyDescent="0.25">
      <c r="A1608" s="13" t="s">
        <v>3732</v>
      </c>
      <c r="B1608" s="2" t="s">
        <v>3733</v>
      </c>
      <c r="C1608" s="2" t="s">
        <v>3734</v>
      </c>
      <c r="D1608" s="2" t="s">
        <v>3735</v>
      </c>
      <c r="E1608" s="2">
        <v>28.206</v>
      </c>
      <c r="F1608" s="2" t="s">
        <v>60</v>
      </c>
      <c r="G1608" s="2" t="s">
        <v>61</v>
      </c>
      <c r="H1608" s="6" t="s">
        <v>3732</v>
      </c>
    </row>
    <row r="1609" spans="1:8" ht="45" customHeight="1" x14ac:dyDescent="0.25">
      <c r="A1609" s="14" t="s">
        <v>3736</v>
      </c>
      <c r="B1609" s="3" t="s">
        <v>142</v>
      </c>
      <c r="C1609" s="3" t="s">
        <v>3737</v>
      </c>
      <c r="D1609" s="3" t="s">
        <v>144</v>
      </c>
      <c r="E1609" s="3"/>
      <c r="F1609" s="3" t="s">
        <v>145</v>
      </c>
      <c r="G1609" s="3" t="s">
        <v>146</v>
      </c>
      <c r="H1609" s="6" t="s">
        <v>3736</v>
      </c>
    </row>
    <row r="1610" spans="1:8" ht="45" customHeight="1" x14ac:dyDescent="0.25">
      <c r="A1610" s="13" t="s">
        <v>3738</v>
      </c>
      <c r="B1610" s="2" t="s">
        <v>142</v>
      </c>
      <c r="C1610" s="2" t="s">
        <v>3739</v>
      </c>
      <c r="D1610" s="2" t="s">
        <v>144</v>
      </c>
      <c r="E1610" s="2"/>
      <c r="F1610" s="2" t="s">
        <v>145</v>
      </c>
      <c r="G1610" s="2" t="s">
        <v>146</v>
      </c>
      <c r="H1610" s="6" t="s">
        <v>3738</v>
      </c>
    </row>
    <row r="1611" spans="1:8" ht="22.5" customHeight="1" x14ac:dyDescent="0.25">
      <c r="A1611" s="14" t="s">
        <v>3740</v>
      </c>
      <c r="B1611" s="3" t="s">
        <v>404</v>
      </c>
      <c r="C1611" s="3" t="s">
        <v>3741</v>
      </c>
      <c r="D1611" s="3" t="s">
        <v>406</v>
      </c>
      <c r="E1611" s="3">
        <v>29.999199999999998</v>
      </c>
      <c r="F1611" s="3" t="s">
        <v>60</v>
      </c>
      <c r="G1611" s="3" t="s">
        <v>61</v>
      </c>
      <c r="H1611" s="6" t="s">
        <v>3740</v>
      </c>
    </row>
    <row r="1612" spans="1:8" ht="33.75" customHeight="1" x14ac:dyDescent="0.25">
      <c r="A1612" s="13" t="s">
        <v>3742</v>
      </c>
      <c r="B1612" s="2" t="s">
        <v>89</v>
      </c>
      <c r="C1612" s="2" t="s">
        <v>3743</v>
      </c>
      <c r="D1612" s="2" t="s">
        <v>91</v>
      </c>
      <c r="E1612" s="2">
        <v>32.389200000000002</v>
      </c>
      <c r="F1612" s="2" t="s">
        <v>60</v>
      </c>
      <c r="G1612" s="2" t="s">
        <v>61</v>
      </c>
      <c r="H1612" s="6" t="s">
        <v>3742</v>
      </c>
    </row>
    <row r="1613" spans="1:8" ht="33.75" customHeight="1" x14ac:dyDescent="0.25">
      <c r="A1613" s="14" t="s">
        <v>3744</v>
      </c>
      <c r="B1613" s="3" t="s">
        <v>277</v>
      </c>
      <c r="C1613" s="3" t="s">
        <v>3745</v>
      </c>
      <c r="D1613" s="3" t="s">
        <v>279</v>
      </c>
      <c r="E1613" s="3">
        <v>29.7592</v>
      </c>
      <c r="F1613" s="3" t="s">
        <v>60</v>
      </c>
      <c r="G1613" s="3" t="s">
        <v>61</v>
      </c>
      <c r="H1613" s="6" t="s">
        <v>3744</v>
      </c>
    </row>
    <row r="1614" spans="1:8" ht="33.75" customHeight="1" x14ac:dyDescent="0.25">
      <c r="A1614" s="13" t="s">
        <v>3746</v>
      </c>
      <c r="B1614" s="2" t="s">
        <v>277</v>
      </c>
      <c r="C1614" s="2" t="s">
        <v>3747</v>
      </c>
      <c r="D1614" s="2" t="s">
        <v>279</v>
      </c>
      <c r="E1614" s="2">
        <v>29.7592</v>
      </c>
      <c r="F1614" s="2" t="s">
        <v>60</v>
      </c>
      <c r="G1614" s="2" t="s">
        <v>61</v>
      </c>
      <c r="H1614" s="6" t="s">
        <v>3746</v>
      </c>
    </row>
    <row r="1615" spans="1:8" ht="22.5" customHeight="1" x14ac:dyDescent="0.25">
      <c r="A1615" s="14" t="s">
        <v>3748</v>
      </c>
      <c r="B1615" s="3" t="s">
        <v>3749</v>
      </c>
      <c r="C1615" s="3" t="s">
        <v>3750</v>
      </c>
      <c r="D1615" s="3" t="s">
        <v>3751</v>
      </c>
      <c r="E1615" s="3">
        <v>50.456000000000003</v>
      </c>
      <c r="F1615" s="3" t="s">
        <v>60</v>
      </c>
      <c r="G1615" s="3" t="s">
        <v>61</v>
      </c>
      <c r="H1615" s="6" t="s">
        <v>3748</v>
      </c>
    </row>
    <row r="1616" spans="1:8" ht="22.5" customHeight="1" x14ac:dyDescent="0.25">
      <c r="A1616" s="13" t="s">
        <v>3752</v>
      </c>
      <c r="B1616" s="2" t="s">
        <v>3753</v>
      </c>
      <c r="C1616" s="2" t="s">
        <v>3754</v>
      </c>
      <c r="D1616" s="2" t="s">
        <v>3755</v>
      </c>
      <c r="E1616" s="2">
        <v>47.335999999999999</v>
      </c>
      <c r="F1616" s="2" t="s">
        <v>60</v>
      </c>
      <c r="G1616" s="2" t="s">
        <v>61</v>
      </c>
      <c r="H1616" s="6" t="s">
        <v>3752</v>
      </c>
    </row>
    <row r="1617" spans="1:8" ht="22.5" customHeight="1" x14ac:dyDescent="0.25">
      <c r="A1617" s="14" t="s">
        <v>3756</v>
      </c>
      <c r="B1617" s="3" t="s">
        <v>324</v>
      </c>
      <c r="C1617" s="3" t="s">
        <v>3757</v>
      </c>
      <c r="D1617" s="3" t="s">
        <v>326</v>
      </c>
      <c r="E1617" s="3">
        <v>29.719200000000001</v>
      </c>
      <c r="F1617" s="3" t="s">
        <v>60</v>
      </c>
      <c r="G1617" s="3" t="s">
        <v>61</v>
      </c>
      <c r="H1617" s="6" t="s">
        <v>3756</v>
      </c>
    </row>
    <row r="1618" spans="1:8" ht="22.5" customHeight="1" x14ac:dyDescent="0.25">
      <c r="A1618" s="13" t="s">
        <v>3758</v>
      </c>
      <c r="B1618" s="2" t="s">
        <v>400</v>
      </c>
      <c r="C1618" s="2" t="s">
        <v>3759</v>
      </c>
      <c r="D1618" s="2" t="s">
        <v>402</v>
      </c>
      <c r="E1618" s="2">
        <v>34.332239999999999</v>
      </c>
      <c r="F1618" s="2" t="s">
        <v>60</v>
      </c>
      <c r="G1618" s="2" t="s">
        <v>61</v>
      </c>
      <c r="H1618" s="6" t="s">
        <v>3758</v>
      </c>
    </row>
    <row r="1619" spans="1:8" ht="22.5" customHeight="1" x14ac:dyDescent="0.25">
      <c r="A1619" s="14" t="s">
        <v>3760</v>
      </c>
      <c r="B1619" s="3" t="s">
        <v>386</v>
      </c>
      <c r="C1619" s="3" t="s">
        <v>3761</v>
      </c>
      <c r="D1619" s="3" t="s">
        <v>388</v>
      </c>
      <c r="E1619" s="3">
        <v>33.783799999999999</v>
      </c>
      <c r="F1619" s="3" t="s">
        <v>60</v>
      </c>
      <c r="G1619" s="3" t="s">
        <v>61</v>
      </c>
      <c r="H1619" s="6" t="s">
        <v>3760</v>
      </c>
    </row>
    <row r="1620" spans="1:8" ht="22.5" customHeight="1" x14ac:dyDescent="0.25">
      <c r="A1620" s="13" t="s">
        <v>3762</v>
      </c>
      <c r="B1620" s="2" t="s">
        <v>214</v>
      </c>
      <c r="C1620" s="2" t="s">
        <v>3763</v>
      </c>
      <c r="D1620" s="2" t="s">
        <v>216</v>
      </c>
      <c r="E1620" s="2">
        <v>27.839200000000002</v>
      </c>
      <c r="F1620" s="2" t="s">
        <v>60</v>
      </c>
      <c r="G1620" s="2" t="s">
        <v>61</v>
      </c>
      <c r="H1620" s="6" t="s">
        <v>3762</v>
      </c>
    </row>
    <row r="1621" spans="1:8" ht="33.75" customHeight="1" x14ac:dyDescent="0.25">
      <c r="A1621" s="14" t="s">
        <v>3764</v>
      </c>
      <c r="B1621" s="3" t="s">
        <v>3765</v>
      </c>
      <c r="C1621" s="3" t="s">
        <v>3766</v>
      </c>
      <c r="D1621" s="3" t="s">
        <v>3767</v>
      </c>
      <c r="E1621" s="3">
        <v>27.839200000000002</v>
      </c>
      <c r="F1621" s="3" t="s">
        <v>60</v>
      </c>
      <c r="G1621" s="3" t="s">
        <v>61</v>
      </c>
      <c r="H1621" s="6" t="s">
        <v>3764</v>
      </c>
    </row>
    <row r="1622" spans="1:8" ht="33.75" customHeight="1" x14ac:dyDescent="0.25">
      <c r="A1622" s="13" t="s">
        <v>3768</v>
      </c>
      <c r="B1622" s="2" t="s">
        <v>3769</v>
      </c>
      <c r="C1622" s="2" t="s">
        <v>3770</v>
      </c>
      <c r="D1622" s="2" t="s">
        <v>3771</v>
      </c>
      <c r="E1622" s="2">
        <v>25.589960000000001</v>
      </c>
      <c r="F1622" s="2" t="s">
        <v>60</v>
      </c>
      <c r="G1622" s="2" t="s">
        <v>61</v>
      </c>
      <c r="H1622" s="6" t="s">
        <v>3768</v>
      </c>
    </row>
    <row r="1623" spans="1:8" ht="33.75" customHeight="1" x14ac:dyDescent="0.25">
      <c r="A1623" s="14" t="s">
        <v>3772</v>
      </c>
      <c r="B1623" s="3" t="s">
        <v>390</v>
      </c>
      <c r="C1623" s="3" t="s">
        <v>3773</v>
      </c>
      <c r="D1623" s="3" t="s">
        <v>392</v>
      </c>
      <c r="E1623" s="3">
        <v>35.367600000000003</v>
      </c>
      <c r="F1623" s="3" t="s">
        <v>60</v>
      </c>
      <c r="G1623" s="3" t="s">
        <v>61</v>
      </c>
      <c r="H1623" s="6" t="s">
        <v>3772</v>
      </c>
    </row>
    <row r="1624" spans="1:8" ht="22.5" customHeight="1" x14ac:dyDescent="0.25">
      <c r="A1624" s="13" t="s">
        <v>3774</v>
      </c>
      <c r="B1624" s="2" t="s">
        <v>414</v>
      </c>
      <c r="C1624" s="2" t="s">
        <v>3775</v>
      </c>
      <c r="D1624" s="2" t="s">
        <v>416</v>
      </c>
      <c r="E1624" s="2">
        <v>31.0092</v>
      </c>
      <c r="F1624" s="2" t="s">
        <v>60</v>
      </c>
      <c r="G1624" s="2" t="s">
        <v>61</v>
      </c>
      <c r="H1624" s="6" t="s">
        <v>3774</v>
      </c>
    </row>
    <row r="1625" spans="1:8" ht="22.5" customHeight="1" x14ac:dyDescent="0.25">
      <c r="A1625" s="14" t="s">
        <v>3776</v>
      </c>
      <c r="B1625" s="3" t="s">
        <v>418</v>
      </c>
      <c r="C1625" s="3" t="s">
        <v>3310</v>
      </c>
      <c r="D1625" s="3" t="s">
        <v>420</v>
      </c>
      <c r="E1625" s="3">
        <v>30.655200000000001</v>
      </c>
      <c r="F1625" s="3" t="s">
        <v>60</v>
      </c>
      <c r="G1625" s="3" t="s">
        <v>61</v>
      </c>
      <c r="H1625" s="6" t="s">
        <v>3776</v>
      </c>
    </row>
    <row r="1626" spans="1:8" ht="22.5" customHeight="1" x14ac:dyDescent="0.25">
      <c r="A1626" s="13" t="s">
        <v>3777</v>
      </c>
      <c r="B1626" s="2" t="s">
        <v>588</v>
      </c>
      <c r="C1626" s="2" t="s">
        <v>3314</v>
      </c>
      <c r="D1626" s="2" t="s">
        <v>590</v>
      </c>
      <c r="E1626" s="2">
        <v>29.869199999999999</v>
      </c>
      <c r="F1626" s="2" t="s">
        <v>60</v>
      </c>
      <c r="G1626" s="2" t="s">
        <v>61</v>
      </c>
      <c r="H1626" s="6" t="s">
        <v>3777</v>
      </c>
    </row>
    <row r="1627" spans="1:8" ht="22.5" customHeight="1" x14ac:dyDescent="0.25">
      <c r="A1627" s="14" t="s">
        <v>3778</v>
      </c>
      <c r="B1627" s="3" t="s">
        <v>390</v>
      </c>
      <c r="C1627" s="3" t="s">
        <v>3779</v>
      </c>
      <c r="D1627" s="3" t="s">
        <v>392</v>
      </c>
      <c r="E1627" s="3">
        <v>35.367600000000003</v>
      </c>
      <c r="F1627" s="3" t="s">
        <v>60</v>
      </c>
      <c r="G1627" s="3" t="s">
        <v>61</v>
      </c>
      <c r="H1627" s="6" t="s">
        <v>3778</v>
      </c>
    </row>
    <row r="1628" spans="1:8" ht="33.75" customHeight="1" x14ac:dyDescent="0.25">
      <c r="A1628" s="13" t="s">
        <v>3780</v>
      </c>
      <c r="B1628" s="2" t="s">
        <v>57</v>
      </c>
      <c r="C1628" s="2" t="s">
        <v>3781</v>
      </c>
      <c r="D1628" s="2" t="s">
        <v>59</v>
      </c>
      <c r="E1628" s="2">
        <v>31.825199999999999</v>
      </c>
      <c r="F1628" s="2" t="s">
        <v>60</v>
      </c>
      <c r="G1628" s="2" t="s">
        <v>61</v>
      </c>
      <c r="H1628" s="6" t="s">
        <v>3780</v>
      </c>
    </row>
    <row r="1629" spans="1:8" ht="22.5" customHeight="1" x14ac:dyDescent="0.25">
      <c r="A1629" s="14" t="s">
        <v>3782</v>
      </c>
      <c r="B1629" s="3" t="s">
        <v>390</v>
      </c>
      <c r="C1629" s="3" t="s">
        <v>3783</v>
      </c>
      <c r="D1629" s="3" t="s">
        <v>392</v>
      </c>
      <c r="E1629" s="3">
        <v>35.367600000000003</v>
      </c>
      <c r="F1629" s="3" t="s">
        <v>60</v>
      </c>
      <c r="G1629" s="3" t="s">
        <v>61</v>
      </c>
      <c r="H1629" s="6" t="s">
        <v>3782</v>
      </c>
    </row>
    <row r="1630" spans="1:8" ht="22.5" customHeight="1" x14ac:dyDescent="0.25">
      <c r="A1630" s="13" t="s">
        <v>3784</v>
      </c>
      <c r="B1630" s="2" t="s">
        <v>390</v>
      </c>
      <c r="C1630" s="2" t="s">
        <v>3785</v>
      </c>
      <c r="D1630" s="2" t="s">
        <v>392</v>
      </c>
      <c r="E1630" s="2">
        <v>35.367600000000003</v>
      </c>
      <c r="F1630" s="2" t="s">
        <v>60</v>
      </c>
      <c r="G1630" s="2" t="s">
        <v>61</v>
      </c>
      <c r="H1630" s="6" t="s">
        <v>3784</v>
      </c>
    </row>
    <row r="1631" spans="1:8" ht="22.5" customHeight="1" x14ac:dyDescent="0.25">
      <c r="A1631" s="14" t="s">
        <v>3786</v>
      </c>
      <c r="B1631" s="3" t="s">
        <v>390</v>
      </c>
      <c r="C1631" s="3" t="s">
        <v>3787</v>
      </c>
      <c r="D1631" s="3" t="s">
        <v>392</v>
      </c>
      <c r="E1631" s="3">
        <v>35.367600000000003</v>
      </c>
      <c r="F1631" s="3" t="s">
        <v>60</v>
      </c>
      <c r="G1631" s="3" t="s">
        <v>61</v>
      </c>
      <c r="H1631" s="6" t="s">
        <v>3786</v>
      </c>
    </row>
    <row r="1632" spans="1:8" ht="45" customHeight="1" x14ac:dyDescent="0.25">
      <c r="A1632" s="13" t="s">
        <v>3788</v>
      </c>
      <c r="B1632" s="2" t="s">
        <v>142</v>
      </c>
      <c r="C1632" s="2" t="s">
        <v>3789</v>
      </c>
      <c r="D1632" s="2" t="s">
        <v>144</v>
      </c>
      <c r="E1632" s="2"/>
      <c r="F1632" s="2" t="s">
        <v>145</v>
      </c>
      <c r="G1632" s="2" t="s">
        <v>146</v>
      </c>
      <c r="H1632" s="6" t="s">
        <v>3788</v>
      </c>
    </row>
    <row r="1633" spans="1:8" ht="22.5" customHeight="1" x14ac:dyDescent="0.25">
      <c r="A1633" s="14" t="s">
        <v>3790</v>
      </c>
      <c r="B1633" s="3" t="s">
        <v>3791</v>
      </c>
      <c r="C1633" s="3" t="s">
        <v>3792</v>
      </c>
      <c r="D1633" s="3" t="s">
        <v>3793</v>
      </c>
      <c r="E1633" s="3">
        <v>29.449200000000001</v>
      </c>
      <c r="F1633" s="3" t="s">
        <v>60</v>
      </c>
      <c r="G1633" s="3" t="s">
        <v>61</v>
      </c>
      <c r="H1633" s="6" t="s">
        <v>3790</v>
      </c>
    </row>
    <row r="1634" spans="1:8" ht="22.5" customHeight="1" x14ac:dyDescent="0.25">
      <c r="A1634" s="13" t="s">
        <v>3794</v>
      </c>
      <c r="B1634" s="2" t="s">
        <v>2391</v>
      </c>
      <c r="C1634" s="2" t="s">
        <v>3795</v>
      </c>
      <c r="D1634" s="2" t="s">
        <v>2393</v>
      </c>
      <c r="E1634" s="2">
        <v>32.3872</v>
      </c>
      <c r="F1634" s="2" t="s">
        <v>60</v>
      </c>
      <c r="G1634" s="2" t="s">
        <v>61</v>
      </c>
      <c r="H1634" s="6" t="s">
        <v>3794</v>
      </c>
    </row>
    <row r="1635" spans="1:8" ht="22.5" customHeight="1" x14ac:dyDescent="0.25">
      <c r="A1635" s="14" t="s">
        <v>3796</v>
      </c>
      <c r="B1635" s="3" t="s">
        <v>2391</v>
      </c>
      <c r="C1635" s="3" t="s">
        <v>3797</v>
      </c>
      <c r="D1635" s="3" t="s">
        <v>2393</v>
      </c>
      <c r="E1635" s="3">
        <v>32.3872</v>
      </c>
      <c r="F1635" s="3" t="s">
        <v>60</v>
      </c>
      <c r="G1635" s="3" t="s">
        <v>61</v>
      </c>
      <c r="H1635" s="6" t="s">
        <v>3796</v>
      </c>
    </row>
    <row r="1636" spans="1:8" ht="22.5" customHeight="1" x14ac:dyDescent="0.25">
      <c r="A1636" s="13" t="s">
        <v>3798</v>
      </c>
      <c r="B1636" s="2" t="s">
        <v>366</v>
      </c>
      <c r="C1636" s="2" t="s">
        <v>3799</v>
      </c>
      <c r="D1636" s="2" t="s">
        <v>368</v>
      </c>
      <c r="E1636" s="2">
        <v>32.983400000000003</v>
      </c>
      <c r="F1636" s="2" t="s">
        <v>60</v>
      </c>
      <c r="G1636" s="2" t="s">
        <v>61</v>
      </c>
      <c r="H1636" s="6" t="s">
        <v>3798</v>
      </c>
    </row>
    <row r="1637" spans="1:8" ht="22.5" customHeight="1" x14ac:dyDescent="0.25">
      <c r="A1637" s="14" t="s">
        <v>3800</v>
      </c>
      <c r="B1637" s="3" t="s">
        <v>372</v>
      </c>
      <c r="C1637" s="3" t="s">
        <v>3801</v>
      </c>
      <c r="D1637" s="3" t="s">
        <v>374</v>
      </c>
      <c r="E1637" s="3">
        <v>32.852400000000003</v>
      </c>
      <c r="F1637" s="3" t="s">
        <v>60</v>
      </c>
      <c r="G1637" s="3" t="s">
        <v>61</v>
      </c>
      <c r="H1637" s="6" t="s">
        <v>3800</v>
      </c>
    </row>
    <row r="1638" spans="1:8" ht="22.5" customHeight="1" x14ac:dyDescent="0.25">
      <c r="A1638" s="13" t="s">
        <v>3802</v>
      </c>
      <c r="B1638" s="2" t="s">
        <v>372</v>
      </c>
      <c r="C1638" s="2" t="s">
        <v>3803</v>
      </c>
      <c r="D1638" s="2" t="s">
        <v>374</v>
      </c>
      <c r="E1638" s="2">
        <v>32.852400000000003</v>
      </c>
      <c r="F1638" s="2" t="s">
        <v>60</v>
      </c>
      <c r="G1638" s="2" t="s">
        <v>61</v>
      </c>
      <c r="H1638" s="6" t="s">
        <v>3802</v>
      </c>
    </row>
    <row r="1639" spans="1:8" ht="22.5" customHeight="1" x14ac:dyDescent="0.25">
      <c r="A1639" s="14" t="s">
        <v>3804</v>
      </c>
      <c r="B1639" s="3" t="s">
        <v>2037</v>
      </c>
      <c r="C1639" s="3" t="s">
        <v>3805</v>
      </c>
      <c r="D1639" s="3" t="s">
        <v>2039</v>
      </c>
      <c r="E1639" s="3">
        <v>31.226199999999999</v>
      </c>
      <c r="F1639" s="3" t="s">
        <v>60</v>
      </c>
      <c r="G1639" s="3" t="s">
        <v>61</v>
      </c>
      <c r="H1639" s="6" t="s">
        <v>3804</v>
      </c>
    </row>
    <row r="1640" spans="1:8" ht="22.5" customHeight="1" x14ac:dyDescent="0.25">
      <c r="A1640" s="13" t="s">
        <v>3806</v>
      </c>
      <c r="B1640" s="2" t="s">
        <v>422</v>
      </c>
      <c r="C1640" s="2" t="s">
        <v>3807</v>
      </c>
      <c r="D1640" s="2" t="s">
        <v>424</v>
      </c>
      <c r="E1640" s="2">
        <v>30.7272</v>
      </c>
      <c r="F1640" s="2" t="s">
        <v>60</v>
      </c>
      <c r="G1640" s="2" t="s">
        <v>61</v>
      </c>
      <c r="H1640" s="6" t="s">
        <v>3806</v>
      </c>
    </row>
    <row r="1641" spans="1:8" ht="22.5" customHeight="1" x14ac:dyDescent="0.25">
      <c r="A1641" s="14" t="s">
        <v>3808</v>
      </c>
      <c r="B1641" s="3" t="s">
        <v>422</v>
      </c>
      <c r="C1641" s="3" t="s">
        <v>3809</v>
      </c>
      <c r="D1641" s="3" t="s">
        <v>424</v>
      </c>
      <c r="E1641" s="3">
        <v>30.7272</v>
      </c>
      <c r="F1641" s="3" t="s">
        <v>60</v>
      </c>
      <c r="G1641" s="3" t="s">
        <v>61</v>
      </c>
      <c r="H1641" s="6" t="s">
        <v>3808</v>
      </c>
    </row>
    <row r="1642" spans="1:8" ht="22.5" customHeight="1" x14ac:dyDescent="0.25">
      <c r="A1642" s="13" t="s">
        <v>3810</v>
      </c>
      <c r="B1642" s="2" t="s">
        <v>846</v>
      </c>
      <c r="C1642" s="2" t="s">
        <v>3811</v>
      </c>
      <c r="D1642" s="2" t="s">
        <v>848</v>
      </c>
      <c r="E1642" s="2">
        <v>29.944199999999999</v>
      </c>
      <c r="F1642" s="2" t="s">
        <v>60</v>
      </c>
      <c r="G1642" s="2" t="s">
        <v>61</v>
      </c>
      <c r="H1642" s="6" t="s">
        <v>3810</v>
      </c>
    </row>
    <row r="1643" spans="1:8" ht="22.5" customHeight="1" x14ac:dyDescent="0.25">
      <c r="A1643" s="14" t="s">
        <v>3812</v>
      </c>
      <c r="B1643" s="3" t="s">
        <v>273</v>
      </c>
      <c r="C1643" s="3" t="s">
        <v>3813</v>
      </c>
      <c r="D1643" s="3" t="s">
        <v>275</v>
      </c>
      <c r="E1643" s="3">
        <v>30.084199999999999</v>
      </c>
      <c r="F1643" s="3" t="s">
        <v>60</v>
      </c>
      <c r="G1643" s="3" t="s">
        <v>61</v>
      </c>
      <c r="H1643" s="6" t="s">
        <v>3812</v>
      </c>
    </row>
    <row r="1644" spans="1:8" ht="22.5" customHeight="1" x14ac:dyDescent="0.25">
      <c r="A1644" s="13" t="s">
        <v>3814</v>
      </c>
      <c r="B1644" s="2" t="s">
        <v>277</v>
      </c>
      <c r="C1644" s="2" t="s">
        <v>3815</v>
      </c>
      <c r="D1644" s="2" t="s">
        <v>279</v>
      </c>
      <c r="E1644" s="2">
        <v>29.7592</v>
      </c>
      <c r="F1644" s="2" t="s">
        <v>60</v>
      </c>
      <c r="G1644" s="2" t="s">
        <v>61</v>
      </c>
      <c r="H1644" s="6" t="s">
        <v>3814</v>
      </c>
    </row>
    <row r="1645" spans="1:8" ht="33.75" customHeight="1" x14ac:dyDescent="0.25">
      <c r="A1645" s="14" t="s">
        <v>3816</v>
      </c>
      <c r="B1645" s="3" t="s">
        <v>226</v>
      </c>
      <c r="C1645" s="3" t="s">
        <v>3817</v>
      </c>
      <c r="D1645" s="3" t="s">
        <v>228</v>
      </c>
      <c r="E1645" s="3">
        <v>30.6632</v>
      </c>
      <c r="F1645" s="3" t="s">
        <v>60</v>
      </c>
      <c r="G1645" s="3" t="s">
        <v>61</v>
      </c>
      <c r="H1645" s="6" t="s">
        <v>3816</v>
      </c>
    </row>
    <row r="1646" spans="1:8" ht="33.75" customHeight="1" x14ac:dyDescent="0.25">
      <c r="A1646" s="13" t="s">
        <v>3818</v>
      </c>
      <c r="B1646" s="2" t="s">
        <v>226</v>
      </c>
      <c r="C1646" s="2" t="s">
        <v>3819</v>
      </c>
      <c r="D1646" s="2" t="s">
        <v>228</v>
      </c>
      <c r="E1646" s="2">
        <v>30.6632</v>
      </c>
      <c r="F1646" s="2" t="s">
        <v>60</v>
      </c>
      <c r="G1646" s="2" t="s">
        <v>61</v>
      </c>
      <c r="H1646" s="6" t="s">
        <v>3818</v>
      </c>
    </row>
    <row r="1647" spans="1:8" ht="33.75" customHeight="1" x14ac:dyDescent="0.25">
      <c r="A1647" s="14" t="s">
        <v>3820</v>
      </c>
      <c r="B1647" s="3" t="s">
        <v>112</v>
      </c>
      <c r="C1647" s="3" t="s">
        <v>3821</v>
      </c>
      <c r="D1647" s="3" t="s">
        <v>114</v>
      </c>
      <c r="E1647" s="3">
        <v>30.7682</v>
      </c>
      <c r="F1647" s="3" t="s">
        <v>60</v>
      </c>
      <c r="G1647" s="3" t="s">
        <v>61</v>
      </c>
      <c r="H1647" s="6" t="s">
        <v>3820</v>
      </c>
    </row>
    <row r="1648" spans="1:8" ht="33.75" customHeight="1" x14ac:dyDescent="0.25">
      <c r="A1648" s="13" t="s">
        <v>3822</v>
      </c>
      <c r="B1648" s="2" t="s">
        <v>156</v>
      </c>
      <c r="C1648" s="2" t="s">
        <v>3823</v>
      </c>
      <c r="D1648" s="2" t="s">
        <v>158</v>
      </c>
      <c r="E1648" s="2">
        <v>30.987200000000001</v>
      </c>
      <c r="F1648" s="2" t="s">
        <v>60</v>
      </c>
      <c r="G1648" s="2" t="s">
        <v>61</v>
      </c>
      <c r="H1648" s="6" t="s">
        <v>3822</v>
      </c>
    </row>
    <row r="1649" spans="1:8" ht="33.75" customHeight="1" x14ac:dyDescent="0.25">
      <c r="A1649" s="14" t="s">
        <v>3824</v>
      </c>
      <c r="B1649" s="3" t="s">
        <v>156</v>
      </c>
      <c r="C1649" s="3" t="s">
        <v>3825</v>
      </c>
      <c r="D1649" s="3" t="s">
        <v>158</v>
      </c>
      <c r="E1649" s="3">
        <v>30.987200000000001</v>
      </c>
      <c r="F1649" s="3" t="s">
        <v>60</v>
      </c>
      <c r="G1649" s="3" t="s">
        <v>61</v>
      </c>
      <c r="H1649" s="6" t="s">
        <v>3824</v>
      </c>
    </row>
    <row r="1650" spans="1:8" ht="33.75" customHeight="1" x14ac:dyDescent="0.25">
      <c r="A1650" s="13" t="s">
        <v>3826</v>
      </c>
      <c r="B1650" s="2" t="s">
        <v>324</v>
      </c>
      <c r="C1650" s="2" t="s">
        <v>3827</v>
      </c>
      <c r="D1650" s="2" t="s">
        <v>326</v>
      </c>
      <c r="E1650" s="2">
        <v>29.719200000000001</v>
      </c>
      <c r="F1650" s="2" t="s">
        <v>60</v>
      </c>
      <c r="G1650" s="2" t="s">
        <v>61</v>
      </c>
      <c r="H1650" s="6" t="s">
        <v>3826</v>
      </c>
    </row>
    <row r="1651" spans="1:8" ht="33.75" customHeight="1" x14ac:dyDescent="0.25">
      <c r="A1651" s="14" t="s">
        <v>3828</v>
      </c>
      <c r="B1651" s="3" t="s">
        <v>418</v>
      </c>
      <c r="C1651" s="3" t="s">
        <v>3597</v>
      </c>
      <c r="D1651" s="3" t="s">
        <v>420</v>
      </c>
      <c r="E1651" s="3">
        <v>30.655200000000001</v>
      </c>
      <c r="F1651" s="3" t="s">
        <v>60</v>
      </c>
      <c r="G1651" s="3" t="s">
        <v>61</v>
      </c>
      <c r="H1651" s="6" t="s">
        <v>3828</v>
      </c>
    </row>
    <row r="1652" spans="1:8" ht="22.5" customHeight="1" x14ac:dyDescent="0.25">
      <c r="A1652" s="13" t="s">
        <v>3829</v>
      </c>
      <c r="B1652" s="2" t="s">
        <v>1008</v>
      </c>
      <c r="C1652" s="2" t="s">
        <v>3830</v>
      </c>
      <c r="D1652" s="2" t="s">
        <v>1010</v>
      </c>
      <c r="E1652" s="2">
        <v>30.4892</v>
      </c>
      <c r="F1652" s="2" t="s">
        <v>60</v>
      </c>
      <c r="G1652" s="2" t="s">
        <v>61</v>
      </c>
      <c r="H1652" s="6" t="s">
        <v>3829</v>
      </c>
    </row>
    <row r="1653" spans="1:8" ht="22.5" customHeight="1" x14ac:dyDescent="0.25">
      <c r="A1653" s="14" t="s">
        <v>3831</v>
      </c>
      <c r="B1653" s="3" t="s">
        <v>418</v>
      </c>
      <c r="C1653" s="3" t="s">
        <v>3832</v>
      </c>
      <c r="D1653" s="3" t="s">
        <v>420</v>
      </c>
      <c r="E1653" s="3">
        <v>30.655200000000001</v>
      </c>
      <c r="F1653" s="3" t="s">
        <v>60</v>
      </c>
      <c r="G1653" s="3" t="s">
        <v>61</v>
      </c>
      <c r="H1653" s="6" t="s">
        <v>3831</v>
      </c>
    </row>
    <row r="1654" spans="1:8" ht="22.5" customHeight="1" x14ac:dyDescent="0.25">
      <c r="A1654" s="13" t="s">
        <v>3833</v>
      </c>
      <c r="B1654" s="2" t="s">
        <v>418</v>
      </c>
      <c r="C1654" s="2" t="s">
        <v>3834</v>
      </c>
      <c r="D1654" s="2" t="s">
        <v>420</v>
      </c>
      <c r="E1654" s="2">
        <v>30.655200000000001</v>
      </c>
      <c r="F1654" s="2" t="s">
        <v>60</v>
      </c>
      <c r="G1654" s="2" t="s">
        <v>61</v>
      </c>
      <c r="H1654" s="6" t="s">
        <v>3833</v>
      </c>
    </row>
    <row r="1655" spans="1:8" ht="22.5" customHeight="1" x14ac:dyDescent="0.25">
      <c r="A1655" s="14" t="s">
        <v>3835</v>
      </c>
      <c r="B1655" s="3" t="s">
        <v>418</v>
      </c>
      <c r="C1655" s="3" t="s">
        <v>3836</v>
      </c>
      <c r="D1655" s="3" t="s">
        <v>420</v>
      </c>
      <c r="E1655" s="3">
        <v>30.655200000000001</v>
      </c>
      <c r="F1655" s="3" t="s">
        <v>60</v>
      </c>
      <c r="G1655" s="3" t="s">
        <v>61</v>
      </c>
      <c r="H1655" s="6" t="s">
        <v>3835</v>
      </c>
    </row>
    <row r="1656" spans="1:8" ht="22.5" customHeight="1" x14ac:dyDescent="0.25">
      <c r="A1656" s="13" t="s">
        <v>3837</v>
      </c>
      <c r="B1656" s="2" t="s">
        <v>418</v>
      </c>
      <c r="C1656" s="2" t="s">
        <v>3838</v>
      </c>
      <c r="D1656" s="2" t="s">
        <v>420</v>
      </c>
      <c r="E1656" s="2">
        <v>30.655200000000001</v>
      </c>
      <c r="F1656" s="2" t="s">
        <v>60</v>
      </c>
      <c r="G1656" s="2" t="s">
        <v>61</v>
      </c>
      <c r="H1656" s="6" t="s">
        <v>3837</v>
      </c>
    </row>
    <row r="1657" spans="1:8" ht="22.5" customHeight="1" x14ac:dyDescent="0.25">
      <c r="A1657" s="14" t="s">
        <v>3839</v>
      </c>
      <c r="B1657" s="3" t="s">
        <v>404</v>
      </c>
      <c r="C1657" s="3" t="s">
        <v>3840</v>
      </c>
      <c r="D1657" s="3" t="s">
        <v>406</v>
      </c>
      <c r="E1657" s="3">
        <v>29.999199999999998</v>
      </c>
      <c r="F1657" s="3" t="s">
        <v>60</v>
      </c>
      <c r="G1657" s="3" t="s">
        <v>61</v>
      </c>
      <c r="H1657" s="6" t="s">
        <v>3839</v>
      </c>
    </row>
    <row r="1658" spans="1:8" ht="33.75" customHeight="1" x14ac:dyDescent="0.25">
      <c r="A1658" s="13" t="s">
        <v>3841</v>
      </c>
      <c r="B1658" s="2" t="s">
        <v>390</v>
      </c>
      <c r="C1658" s="2" t="s">
        <v>3842</v>
      </c>
      <c r="D1658" s="2" t="s">
        <v>392</v>
      </c>
      <c r="E1658" s="2">
        <v>35.367600000000003</v>
      </c>
      <c r="F1658" s="2" t="s">
        <v>60</v>
      </c>
      <c r="G1658" s="2" t="s">
        <v>61</v>
      </c>
      <c r="H1658" s="6" t="s">
        <v>3841</v>
      </c>
    </row>
    <row r="1659" spans="1:8" ht="33.75" customHeight="1" x14ac:dyDescent="0.25">
      <c r="A1659" s="14" t="s">
        <v>3843</v>
      </c>
      <c r="B1659" s="3" t="s">
        <v>382</v>
      </c>
      <c r="C1659" s="3" t="s">
        <v>3844</v>
      </c>
      <c r="D1659" s="3" t="s">
        <v>384</v>
      </c>
      <c r="E1659" s="3">
        <v>35.3172</v>
      </c>
      <c r="F1659" s="3" t="s">
        <v>60</v>
      </c>
      <c r="G1659" s="3" t="s">
        <v>61</v>
      </c>
      <c r="H1659" s="6" t="s">
        <v>3843</v>
      </c>
    </row>
    <row r="1660" spans="1:8" ht="33.75" customHeight="1" x14ac:dyDescent="0.25">
      <c r="A1660" s="13" t="s">
        <v>3845</v>
      </c>
      <c r="B1660" s="2" t="s">
        <v>794</v>
      </c>
      <c r="C1660" s="2" t="s">
        <v>3846</v>
      </c>
      <c r="D1660" s="2" t="s">
        <v>796</v>
      </c>
      <c r="E1660" s="2">
        <v>34.151200000000003</v>
      </c>
      <c r="F1660" s="2" t="s">
        <v>60</v>
      </c>
      <c r="G1660" s="2" t="s">
        <v>61</v>
      </c>
      <c r="H1660" s="6" t="s">
        <v>3845</v>
      </c>
    </row>
    <row r="1661" spans="1:8" ht="22.5" customHeight="1" x14ac:dyDescent="0.25">
      <c r="A1661" s="14" t="s">
        <v>3847</v>
      </c>
      <c r="B1661" s="3" t="s">
        <v>404</v>
      </c>
      <c r="C1661" s="3" t="s">
        <v>3848</v>
      </c>
      <c r="D1661" s="3" t="s">
        <v>406</v>
      </c>
      <c r="E1661" s="3">
        <v>29.999199999999998</v>
      </c>
      <c r="F1661" s="3" t="s">
        <v>60</v>
      </c>
      <c r="G1661" s="3" t="s">
        <v>61</v>
      </c>
      <c r="H1661" s="6" t="s">
        <v>3847</v>
      </c>
    </row>
    <row r="1662" spans="1:8" ht="22.5" customHeight="1" x14ac:dyDescent="0.25">
      <c r="A1662" s="13" t="s">
        <v>3849</v>
      </c>
      <c r="B1662" s="2" t="s">
        <v>990</v>
      </c>
      <c r="C1662" s="2" t="s">
        <v>3850</v>
      </c>
      <c r="D1662" s="2" t="s">
        <v>992</v>
      </c>
      <c r="E1662" s="2">
        <v>29.755199999999999</v>
      </c>
      <c r="F1662" s="2" t="s">
        <v>60</v>
      </c>
      <c r="G1662" s="2" t="s">
        <v>61</v>
      </c>
      <c r="H1662" s="6" t="s">
        <v>3849</v>
      </c>
    </row>
    <row r="1663" spans="1:8" ht="22.5" customHeight="1" x14ac:dyDescent="0.25">
      <c r="A1663" s="14" t="s">
        <v>3851</v>
      </c>
      <c r="B1663" s="3" t="s">
        <v>418</v>
      </c>
      <c r="C1663" s="3" t="s">
        <v>3852</v>
      </c>
      <c r="D1663" s="3" t="s">
        <v>420</v>
      </c>
      <c r="E1663" s="3">
        <v>30.655200000000001</v>
      </c>
      <c r="F1663" s="3" t="s">
        <v>60</v>
      </c>
      <c r="G1663" s="3" t="s">
        <v>61</v>
      </c>
      <c r="H1663" s="6" t="s">
        <v>3851</v>
      </c>
    </row>
    <row r="1664" spans="1:8" ht="22.5" customHeight="1" x14ac:dyDescent="0.25">
      <c r="A1664" s="13" t="s">
        <v>3853</v>
      </c>
      <c r="B1664" s="2" t="s">
        <v>404</v>
      </c>
      <c r="C1664" s="2" t="s">
        <v>3854</v>
      </c>
      <c r="D1664" s="2" t="s">
        <v>406</v>
      </c>
      <c r="E1664" s="2">
        <v>29.999199999999998</v>
      </c>
      <c r="F1664" s="2" t="s">
        <v>60</v>
      </c>
      <c r="G1664" s="2" t="s">
        <v>61</v>
      </c>
      <c r="H1664" s="6" t="s">
        <v>3853</v>
      </c>
    </row>
    <row r="1665" spans="1:8" ht="22.5" customHeight="1" x14ac:dyDescent="0.25">
      <c r="A1665" s="14" t="s">
        <v>3855</v>
      </c>
      <c r="B1665" s="3" t="s">
        <v>990</v>
      </c>
      <c r="C1665" s="3" t="s">
        <v>3856</v>
      </c>
      <c r="D1665" s="3" t="s">
        <v>992</v>
      </c>
      <c r="E1665" s="3">
        <v>29.755199999999999</v>
      </c>
      <c r="F1665" s="3" t="s">
        <v>60</v>
      </c>
      <c r="G1665" s="3" t="s">
        <v>61</v>
      </c>
      <c r="H1665" s="6" t="s">
        <v>3855</v>
      </c>
    </row>
    <row r="1666" spans="1:8" ht="22.5" customHeight="1" x14ac:dyDescent="0.25">
      <c r="A1666" s="13" t="s">
        <v>3857</v>
      </c>
      <c r="B1666" s="2" t="s">
        <v>324</v>
      </c>
      <c r="C1666" s="2" t="s">
        <v>3858</v>
      </c>
      <c r="D1666" s="2" t="s">
        <v>326</v>
      </c>
      <c r="E1666" s="2">
        <v>29.719200000000001</v>
      </c>
      <c r="F1666" s="2" t="s">
        <v>60</v>
      </c>
      <c r="G1666" s="2" t="s">
        <v>61</v>
      </c>
      <c r="H1666" s="6" t="s">
        <v>3857</v>
      </c>
    </row>
    <row r="1667" spans="1:8" ht="33.75" customHeight="1" x14ac:dyDescent="0.25">
      <c r="A1667" s="14" t="s">
        <v>3859</v>
      </c>
      <c r="B1667" s="3" t="s">
        <v>3860</v>
      </c>
      <c r="C1667" s="3" t="s">
        <v>3861</v>
      </c>
      <c r="D1667" s="3" t="s">
        <v>3862</v>
      </c>
      <c r="E1667" s="3">
        <v>30.039200000000001</v>
      </c>
      <c r="F1667" s="3" t="s">
        <v>60</v>
      </c>
      <c r="G1667" s="3" t="s">
        <v>61</v>
      </c>
      <c r="H1667" s="6" t="s">
        <v>3859</v>
      </c>
    </row>
    <row r="1668" spans="1:8" ht="33.75" customHeight="1" x14ac:dyDescent="0.25">
      <c r="A1668" s="13" t="s">
        <v>3863</v>
      </c>
      <c r="B1668" s="2" t="s">
        <v>3860</v>
      </c>
      <c r="C1668" s="2" t="s">
        <v>3864</v>
      </c>
      <c r="D1668" s="2" t="s">
        <v>3862</v>
      </c>
      <c r="E1668" s="2">
        <v>30.039200000000001</v>
      </c>
      <c r="F1668" s="2" t="s">
        <v>60</v>
      </c>
      <c r="G1668" s="2" t="s">
        <v>61</v>
      </c>
      <c r="H1668" s="6" t="s">
        <v>3863</v>
      </c>
    </row>
    <row r="1669" spans="1:8" ht="33.75" customHeight="1" x14ac:dyDescent="0.25">
      <c r="A1669" s="14" t="s">
        <v>3865</v>
      </c>
      <c r="B1669" s="3" t="s">
        <v>3866</v>
      </c>
      <c r="C1669" s="3" t="s">
        <v>3867</v>
      </c>
      <c r="D1669" s="3" t="s">
        <v>3868</v>
      </c>
      <c r="E1669" s="3">
        <v>30.039200000000001</v>
      </c>
      <c r="F1669" s="3" t="s">
        <v>60</v>
      </c>
      <c r="G1669" s="3" t="s">
        <v>61</v>
      </c>
      <c r="H1669" s="6" t="s">
        <v>3865</v>
      </c>
    </row>
    <row r="1670" spans="1:8" ht="33.75" customHeight="1" x14ac:dyDescent="0.25">
      <c r="A1670" s="13" t="s">
        <v>3869</v>
      </c>
      <c r="B1670" s="2" t="s">
        <v>3860</v>
      </c>
      <c r="C1670" s="2" t="s">
        <v>3870</v>
      </c>
      <c r="D1670" s="2" t="s">
        <v>3862</v>
      </c>
      <c r="E1670" s="2">
        <v>30.039200000000001</v>
      </c>
      <c r="F1670" s="2" t="s">
        <v>60</v>
      </c>
      <c r="G1670" s="2" t="s">
        <v>61</v>
      </c>
      <c r="H1670" s="6" t="s">
        <v>3869</v>
      </c>
    </row>
    <row r="1671" spans="1:8" ht="33.75" customHeight="1" x14ac:dyDescent="0.25">
      <c r="A1671" s="14" t="s">
        <v>3871</v>
      </c>
      <c r="B1671" s="3" t="s">
        <v>3860</v>
      </c>
      <c r="C1671" s="3" t="s">
        <v>3872</v>
      </c>
      <c r="D1671" s="3" t="s">
        <v>3862</v>
      </c>
      <c r="E1671" s="3">
        <v>30.039200000000001</v>
      </c>
      <c r="F1671" s="3" t="s">
        <v>60</v>
      </c>
      <c r="G1671" s="3" t="s">
        <v>61</v>
      </c>
      <c r="H1671" s="6" t="s">
        <v>3871</v>
      </c>
    </row>
    <row r="1672" spans="1:8" ht="33.75" customHeight="1" x14ac:dyDescent="0.25">
      <c r="A1672" s="13" t="s">
        <v>3873</v>
      </c>
      <c r="B1672" s="2" t="s">
        <v>3866</v>
      </c>
      <c r="C1672" s="2" t="s">
        <v>3874</v>
      </c>
      <c r="D1672" s="2" t="s">
        <v>3868</v>
      </c>
      <c r="E1672" s="2">
        <v>30.039200000000001</v>
      </c>
      <c r="F1672" s="2" t="s">
        <v>60</v>
      </c>
      <c r="G1672" s="2" t="s">
        <v>61</v>
      </c>
      <c r="H1672" s="6" t="s">
        <v>3873</v>
      </c>
    </row>
    <row r="1673" spans="1:8" ht="33.75" customHeight="1" x14ac:dyDescent="0.25">
      <c r="A1673" s="14" t="s">
        <v>3875</v>
      </c>
      <c r="B1673" s="3" t="s">
        <v>3860</v>
      </c>
      <c r="C1673" s="3" t="s">
        <v>3876</v>
      </c>
      <c r="D1673" s="3" t="s">
        <v>3862</v>
      </c>
      <c r="E1673" s="3">
        <v>30.039200000000001</v>
      </c>
      <c r="F1673" s="3" t="s">
        <v>60</v>
      </c>
      <c r="G1673" s="3" t="s">
        <v>61</v>
      </c>
      <c r="H1673" s="6" t="s">
        <v>3875</v>
      </c>
    </row>
    <row r="1674" spans="1:8" ht="33.75" customHeight="1" x14ac:dyDescent="0.25">
      <c r="A1674" s="13" t="s">
        <v>3877</v>
      </c>
      <c r="B1674" s="2" t="s">
        <v>3878</v>
      </c>
      <c r="C1674" s="2" t="s">
        <v>3879</v>
      </c>
      <c r="D1674" s="2" t="s">
        <v>3880</v>
      </c>
      <c r="E1674" s="2">
        <v>29.039200000000001</v>
      </c>
      <c r="F1674" s="2" t="s">
        <v>60</v>
      </c>
      <c r="G1674" s="2" t="s">
        <v>61</v>
      </c>
      <c r="H1674" s="6" t="s">
        <v>3877</v>
      </c>
    </row>
    <row r="1675" spans="1:8" ht="33.75" customHeight="1" x14ac:dyDescent="0.25">
      <c r="A1675" s="14" t="s">
        <v>3881</v>
      </c>
      <c r="B1675" s="3" t="s">
        <v>3860</v>
      </c>
      <c r="C1675" s="3" t="s">
        <v>3882</v>
      </c>
      <c r="D1675" s="3" t="s">
        <v>3862</v>
      </c>
      <c r="E1675" s="3">
        <v>30.039200000000001</v>
      </c>
      <c r="F1675" s="3" t="s">
        <v>60</v>
      </c>
      <c r="G1675" s="3" t="s">
        <v>61</v>
      </c>
      <c r="H1675" s="6" t="s">
        <v>3881</v>
      </c>
    </row>
    <row r="1676" spans="1:8" ht="33.75" customHeight="1" x14ac:dyDescent="0.25">
      <c r="A1676" s="13" t="s">
        <v>3883</v>
      </c>
      <c r="B1676" s="2" t="s">
        <v>3860</v>
      </c>
      <c r="C1676" s="2" t="s">
        <v>3884</v>
      </c>
      <c r="D1676" s="2" t="s">
        <v>3862</v>
      </c>
      <c r="E1676" s="2">
        <v>30.039200000000001</v>
      </c>
      <c r="F1676" s="2" t="s">
        <v>60</v>
      </c>
      <c r="G1676" s="2" t="s">
        <v>61</v>
      </c>
      <c r="H1676" s="6" t="s">
        <v>3883</v>
      </c>
    </row>
    <row r="1677" spans="1:8" ht="33.75" customHeight="1" x14ac:dyDescent="0.25">
      <c r="A1677" s="14" t="s">
        <v>3885</v>
      </c>
      <c r="B1677" s="3" t="s">
        <v>3866</v>
      </c>
      <c r="C1677" s="3" t="s">
        <v>3886</v>
      </c>
      <c r="D1677" s="3" t="s">
        <v>3868</v>
      </c>
      <c r="E1677" s="3">
        <v>30.039200000000001</v>
      </c>
      <c r="F1677" s="3" t="s">
        <v>60</v>
      </c>
      <c r="G1677" s="3" t="s">
        <v>61</v>
      </c>
      <c r="H1677" s="6" t="s">
        <v>3885</v>
      </c>
    </row>
    <row r="1678" spans="1:8" ht="33.75" customHeight="1" x14ac:dyDescent="0.25">
      <c r="A1678" s="13" t="s">
        <v>3887</v>
      </c>
      <c r="B1678" s="2" t="s">
        <v>3860</v>
      </c>
      <c r="C1678" s="2" t="s">
        <v>3888</v>
      </c>
      <c r="D1678" s="2" t="s">
        <v>3862</v>
      </c>
      <c r="E1678" s="2">
        <v>30.039200000000001</v>
      </c>
      <c r="F1678" s="2" t="s">
        <v>60</v>
      </c>
      <c r="G1678" s="2" t="s">
        <v>61</v>
      </c>
      <c r="H1678" s="6" t="s">
        <v>3887</v>
      </c>
    </row>
    <row r="1679" spans="1:8" ht="33.75" customHeight="1" x14ac:dyDescent="0.25">
      <c r="A1679" s="14" t="s">
        <v>3889</v>
      </c>
      <c r="B1679" s="3" t="s">
        <v>3860</v>
      </c>
      <c r="C1679" s="3" t="s">
        <v>3890</v>
      </c>
      <c r="D1679" s="3" t="s">
        <v>3862</v>
      </c>
      <c r="E1679" s="3">
        <v>30.039200000000001</v>
      </c>
      <c r="F1679" s="3" t="s">
        <v>60</v>
      </c>
      <c r="G1679" s="3" t="s">
        <v>61</v>
      </c>
      <c r="H1679" s="6" t="s">
        <v>3889</v>
      </c>
    </row>
    <row r="1680" spans="1:8" ht="33.75" customHeight="1" x14ac:dyDescent="0.25">
      <c r="A1680" s="13" t="s">
        <v>3891</v>
      </c>
      <c r="B1680" s="2" t="s">
        <v>3866</v>
      </c>
      <c r="C1680" s="2" t="s">
        <v>3892</v>
      </c>
      <c r="D1680" s="2" t="s">
        <v>3868</v>
      </c>
      <c r="E1680" s="2">
        <v>30.039200000000001</v>
      </c>
      <c r="F1680" s="2" t="s">
        <v>60</v>
      </c>
      <c r="G1680" s="2" t="s">
        <v>61</v>
      </c>
      <c r="H1680" s="6" t="s">
        <v>3891</v>
      </c>
    </row>
    <row r="1681" spans="1:8" ht="33.75" customHeight="1" x14ac:dyDescent="0.25">
      <c r="A1681" s="14" t="s">
        <v>3893</v>
      </c>
      <c r="B1681" s="3" t="s">
        <v>3860</v>
      </c>
      <c r="C1681" s="3" t="s">
        <v>3894</v>
      </c>
      <c r="D1681" s="3" t="s">
        <v>3862</v>
      </c>
      <c r="E1681" s="3">
        <v>30.039200000000001</v>
      </c>
      <c r="F1681" s="3" t="s">
        <v>60</v>
      </c>
      <c r="G1681" s="3" t="s">
        <v>61</v>
      </c>
      <c r="H1681" s="6" t="s">
        <v>3893</v>
      </c>
    </row>
    <row r="1682" spans="1:8" ht="33.75" customHeight="1" x14ac:dyDescent="0.25">
      <c r="A1682" s="13" t="s">
        <v>3895</v>
      </c>
      <c r="B1682" s="2" t="s">
        <v>3878</v>
      </c>
      <c r="C1682" s="2" t="s">
        <v>3896</v>
      </c>
      <c r="D1682" s="2" t="s">
        <v>3880</v>
      </c>
      <c r="E1682" s="2">
        <v>29.039200000000001</v>
      </c>
      <c r="F1682" s="2" t="s">
        <v>60</v>
      </c>
      <c r="G1682" s="2" t="s">
        <v>61</v>
      </c>
      <c r="H1682" s="6" t="s">
        <v>3895</v>
      </c>
    </row>
    <row r="1683" spans="1:8" ht="22.5" customHeight="1" x14ac:dyDescent="0.25">
      <c r="A1683" s="14" t="s">
        <v>3897</v>
      </c>
      <c r="B1683" s="3" t="s">
        <v>422</v>
      </c>
      <c r="C1683" s="3" t="s">
        <v>3807</v>
      </c>
      <c r="D1683" s="3" t="s">
        <v>424</v>
      </c>
      <c r="E1683" s="3">
        <v>30.7272</v>
      </c>
      <c r="F1683" s="3" t="s">
        <v>60</v>
      </c>
      <c r="G1683" s="3" t="s">
        <v>61</v>
      </c>
      <c r="H1683" s="6" t="s">
        <v>3897</v>
      </c>
    </row>
    <row r="1684" spans="1:8" ht="22.5" customHeight="1" x14ac:dyDescent="0.25">
      <c r="A1684" s="13" t="s">
        <v>3898</v>
      </c>
      <c r="B1684" s="2" t="s">
        <v>422</v>
      </c>
      <c r="C1684" s="2" t="s">
        <v>3899</v>
      </c>
      <c r="D1684" s="2" t="s">
        <v>424</v>
      </c>
      <c r="E1684" s="2">
        <v>30.7272</v>
      </c>
      <c r="F1684" s="2" t="s">
        <v>60</v>
      </c>
      <c r="G1684" s="2" t="s">
        <v>61</v>
      </c>
      <c r="H1684" s="6" t="s">
        <v>3898</v>
      </c>
    </row>
    <row r="1685" spans="1:8" ht="22.5" customHeight="1" x14ac:dyDescent="0.25">
      <c r="A1685" s="14" t="s">
        <v>3900</v>
      </c>
      <c r="B1685" s="3" t="s">
        <v>324</v>
      </c>
      <c r="C1685" s="3" t="s">
        <v>3901</v>
      </c>
      <c r="D1685" s="3" t="s">
        <v>326</v>
      </c>
      <c r="E1685" s="3">
        <v>29.719200000000001</v>
      </c>
      <c r="F1685" s="3" t="s">
        <v>60</v>
      </c>
      <c r="G1685" s="3" t="s">
        <v>61</v>
      </c>
      <c r="H1685" s="6" t="s">
        <v>3900</v>
      </c>
    </row>
    <row r="1686" spans="1:8" ht="33.75" customHeight="1" x14ac:dyDescent="0.25">
      <c r="A1686" s="13" t="s">
        <v>3902</v>
      </c>
      <c r="B1686" s="2" t="s">
        <v>386</v>
      </c>
      <c r="C1686" s="2" t="s">
        <v>3903</v>
      </c>
      <c r="D1686" s="2" t="s">
        <v>388</v>
      </c>
      <c r="E1686" s="2">
        <v>33.783799999999999</v>
      </c>
      <c r="F1686" s="2" t="s">
        <v>60</v>
      </c>
      <c r="G1686" s="2" t="s">
        <v>61</v>
      </c>
      <c r="H1686" s="6" t="s">
        <v>3902</v>
      </c>
    </row>
    <row r="1687" spans="1:8" ht="22.5" customHeight="1" x14ac:dyDescent="0.25">
      <c r="A1687" s="14" t="s">
        <v>3904</v>
      </c>
      <c r="B1687" s="3" t="s">
        <v>386</v>
      </c>
      <c r="C1687" s="3" t="s">
        <v>3905</v>
      </c>
      <c r="D1687" s="3" t="s">
        <v>388</v>
      </c>
      <c r="E1687" s="3">
        <v>33.783799999999999</v>
      </c>
      <c r="F1687" s="3" t="s">
        <v>60</v>
      </c>
      <c r="G1687" s="3" t="s">
        <v>61</v>
      </c>
      <c r="H1687" s="6" t="s">
        <v>3904</v>
      </c>
    </row>
    <row r="1688" spans="1:8" ht="33.75" customHeight="1" x14ac:dyDescent="0.25">
      <c r="A1688" s="13" t="s">
        <v>3906</v>
      </c>
      <c r="B1688" s="2" t="s">
        <v>77</v>
      </c>
      <c r="C1688" s="2" t="s">
        <v>3907</v>
      </c>
      <c r="D1688" s="2" t="s">
        <v>79</v>
      </c>
      <c r="E1688" s="2">
        <v>31.699200000000001</v>
      </c>
      <c r="F1688" s="2" t="s">
        <v>60</v>
      </c>
      <c r="G1688" s="2" t="s">
        <v>61</v>
      </c>
      <c r="H1688" s="6" t="s">
        <v>3906</v>
      </c>
    </row>
    <row r="1689" spans="1:8" ht="33.75" customHeight="1" x14ac:dyDescent="0.25">
      <c r="A1689" s="14" t="s">
        <v>3908</v>
      </c>
      <c r="B1689" s="3" t="s">
        <v>120</v>
      </c>
      <c r="C1689" s="3" t="s">
        <v>3909</v>
      </c>
      <c r="D1689" s="3" t="s">
        <v>122</v>
      </c>
      <c r="E1689" s="3">
        <v>33.349800000000002</v>
      </c>
      <c r="F1689" s="3" t="s">
        <v>60</v>
      </c>
      <c r="G1689" s="3" t="s">
        <v>61</v>
      </c>
      <c r="H1689" s="6" t="s">
        <v>3908</v>
      </c>
    </row>
    <row r="1690" spans="1:8" ht="33.75" customHeight="1" x14ac:dyDescent="0.25">
      <c r="A1690" s="13" t="s">
        <v>3910</v>
      </c>
      <c r="B1690" s="2" t="s">
        <v>650</v>
      </c>
      <c r="C1690" s="2" t="s">
        <v>3911</v>
      </c>
      <c r="D1690" s="2" t="s">
        <v>652</v>
      </c>
      <c r="E1690" s="2">
        <v>33.497</v>
      </c>
      <c r="F1690" s="2" t="s">
        <v>60</v>
      </c>
      <c r="G1690" s="2" t="s">
        <v>61</v>
      </c>
      <c r="H1690" s="6" t="s">
        <v>3910</v>
      </c>
    </row>
    <row r="1691" spans="1:8" ht="22.5" customHeight="1" x14ac:dyDescent="0.25">
      <c r="A1691" s="14" t="s">
        <v>3912</v>
      </c>
      <c r="B1691" s="3" t="s">
        <v>222</v>
      </c>
      <c r="C1691" s="3" t="s">
        <v>3913</v>
      </c>
      <c r="D1691" s="3" t="s">
        <v>224</v>
      </c>
      <c r="E1691" s="3">
        <v>27.839200000000002</v>
      </c>
      <c r="F1691" s="3" t="s">
        <v>60</v>
      </c>
      <c r="G1691" s="3" t="s">
        <v>61</v>
      </c>
      <c r="H1691" s="6" t="s">
        <v>3912</v>
      </c>
    </row>
    <row r="1692" spans="1:8" ht="22.5" customHeight="1" x14ac:dyDescent="0.25">
      <c r="A1692" s="13" t="s">
        <v>3914</v>
      </c>
      <c r="B1692" s="2" t="s">
        <v>515</v>
      </c>
      <c r="C1692" s="2" t="s">
        <v>3915</v>
      </c>
      <c r="D1692" s="2" t="s">
        <v>517</v>
      </c>
      <c r="E1692" s="2">
        <v>29.3124</v>
      </c>
      <c r="F1692" s="2" t="s">
        <v>60</v>
      </c>
      <c r="G1692" s="2" t="s">
        <v>61</v>
      </c>
      <c r="H1692" s="6" t="s">
        <v>3914</v>
      </c>
    </row>
    <row r="1693" spans="1:8" ht="22.5" customHeight="1" x14ac:dyDescent="0.25">
      <c r="A1693" s="14" t="s">
        <v>3916</v>
      </c>
      <c r="B1693" s="3" t="s">
        <v>515</v>
      </c>
      <c r="C1693" s="3" t="s">
        <v>3917</v>
      </c>
      <c r="D1693" s="3" t="s">
        <v>517</v>
      </c>
      <c r="E1693" s="3">
        <v>29.3124</v>
      </c>
      <c r="F1693" s="3" t="s">
        <v>60</v>
      </c>
      <c r="G1693" s="3" t="s">
        <v>61</v>
      </c>
      <c r="H1693" s="6" t="s">
        <v>3916</v>
      </c>
    </row>
    <row r="1694" spans="1:8" ht="33.75" customHeight="1" x14ac:dyDescent="0.25">
      <c r="A1694" s="13" t="s">
        <v>3918</v>
      </c>
      <c r="B1694" s="2" t="s">
        <v>2037</v>
      </c>
      <c r="C1694" s="2" t="s">
        <v>3919</v>
      </c>
      <c r="D1694" s="2" t="s">
        <v>2039</v>
      </c>
      <c r="E1694" s="2">
        <v>31.226199999999999</v>
      </c>
      <c r="F1694" s="2" t="s">
        <v>60</v>
      </c>
      <c r="G1694" s="2" t="s">
        <v>61</v>
      </c>
      <c r="H1694" s="6" t="s">
        <v>3918</v>
      </c>
    </row>
    <row r="1695" spans="1:8" ht="33.75" customHeight="1" x14ac:dyDescent="0.25">
      <c r="A1695" s="14" t="s">
        <v>3920</v>
      </c>
      <c r="B1695" s="3" t="s">
        <v>3921</v>
      </c>
      <c r="C1695" s="3" t="s">
        <v>3922</v>
      </c>
      <c r="D1695" s="3" t="s">
        <v>3923</v>
      </c>
      <c r="E1695" s="3">
        <v>46.670200000000001</v>
      </c>
      <c r="F1695" s="3" t="s">
        <v>60</v>
      </c>
      <c r="G1695" s="3" t="s">
        <v>61</v>
      </c>
      <c r="H1695" s="6" t="s">
        <v>3920</v>
      </c>
    </row>
    <row r="1696" spans="1:8" ht="33.75" customHeight="1" x14ac:dyDescent="0.25">
      <c r="A1696" s="13" t="s">
        <v>3924</v>
      </c>
      <c r="B1696" s="2" t="s">
        <v>3925</v>
      </c>
      <c r="C1696" s="2" t="s">
        <v>3926</v>
      </c>
      <c r="D1696" s="2" t="s">
        <v>3927</v>
      </c>
      <c r="E1696" s="2">
        <v>44.006799999999998</v>
      </c>
      <c r="F1696" s="2" t="s">
        <v>60</v>
      </c>
      <c r="G1696" s="2" t="s">
        <v>61</v>
      </c>
      <c r="H1696" s="6" t="s">
        <v>3924</v>
      </c>
    </row>
    <row r="1697" spans="1:8" ht="33.75" customHeight="1" x14ac:dyDescent="0.25">
      <c r="A1697" s="14" t="s">
        <v>3928</v>
      </c>
      <c r="B1697" s="3" t="s">
        <v>3929</v>
      </c>
      <c r="C1697" s="3" t="s">
        <v>3930</v>
      </c>
      <c r="D1697" s="3" t="s">
        <v>3931</v>
      </c>
      <c r="E1697" s="3">
        <v>30.045999999999999</v>
      </c>
      <c r="F1697" s="3" t="s">
        <v>60</v>
      </c>
      <c r="G1697" s="3" t="s">
        <v>61</v>
      </c>
      <c r="H1697" s="6" t="s">
        <v>3928</v>
      </c>
    </row>
    <row r="1698" spans="1:8" ht="33.75" customHeight="1" x14ac:dyDescent="0.25">
      <c r="A1698" s="13" t="s">
        <v>3932</v>
      </c>
      <c r="B1698" s="2" t="s">
        <v>1817</v>
      </c>
      <c r="C1698" s="2" t="s">
        <v>3933</v>
      </c>
      <c r="D1698" s="2" t="s">
        <v>1819</v>
      </c>
      <c r="E1698" s="2">
        <v>29.366</v>
      </c>
      <c r="F1698" s="2" t="s">
        <v>60</v>
      </c>
      <c r="G1698" s="2" t="s">
        <v>61</v>
      </c>
      <c r="H1698" s="6" t="s">
        <v>3932</v>
      </c>
    </row>
    <row r="1699" spans="1:8" ht="22.5" customHeight="1" x14ac:dyDescent="0.25">
      <c r="A1699" s="14" t="s">
        <v>3934</v>
      </c>
      <c r="B1699" s="3" t="s">
        <v>222</v>
      </c>
      <c r="C1699" s="3" t="s">
        <v>3935</v>
      </c>
      <c r="D1699" s="3" t="s">
        <v>224</v>
      </c>
      <c r="E1699" s="3">
        <v>27.839200000000002</v>
      </c>
      <c r="F1699" s="3" t="s">
        <v>60</v>
      </c>
      <c r="G1699" s="3" t="s">
        <v>61</v>
      </c>
      <c r="H1699" s="6" t="s">
        <v>3934</v>
      </c>
    </row>
    <row r="1700" spans="1:8" ht="22.5" customHeight="1" x14ac:dyDescent="0.25">
      <c r="A1700" s="13" t="s">
        <v>3936</v>
      </c>
      <c r="B1700" s="2" t="s">
        <v>3630</v>
      </c>
      <c r="C1700" s="2" t="s">
        <v>3937</v>
      </c>
      <c r="D1700" s="2" t="s">
        <v>3632</v>
      </c>
      <c r="E1700" s="2">
        <v>27.506</v>
      </c>
      <c r="F1700" s="2" t="s">
        <v>60</v>
      </c>
      <c r="G1700" s="2" t="s">
        <v>61</v>
      </c>
      <c r="H1700" s="6" t="s">
        <v>3936</v>
      </c>
    </row>
    <row r="1701" spans="1:8" ht="22.5" customHeight="1" x14ac:dyDescent="0.25">
      <c r="A1701" s="14" t="s">
        <v>3938</v>
      </c>
      <c r="B1701" s="3" t="s">
        <v>3626</v>
      </c>
      <c r="C1701" s="3" t="s">
        <v>3939</v>
      </c>
      <c r="D1701" s="3" t="s">
        <v>3628</v>
      </c>
      <c r="E1701" s="3">
        <v>27.506</v>
      </c>
      <c r="F1701" s="3" t="s">
        <v>60</v>
      </c>
      <c r="G1701" s="3" t="s">
        <v>61</v>
      </c>
      <c r="H1701" s="6" t="s">
        <v>3938</v>
      </c>
    </row>
    <row r="1702" spans="1:8" ht="22.5" customHeight="1" x14ac:dyDescent="0.25">
      <c r="A1702" s="13" t="s">
        <v>3940</v>
      </c>
      <c r="B1702" s="2" t="s">
        <v>3941</v>
      </c>
      <c r="C1702" s="2" t="s">
        <v>3942</v>
      </c>
      <c r="D1702" s="2" t="s">
        <v>3943</v>
      </c>
      <c r="E1702" s="2">
        <v>29.3062</v>
      </c>
      <c r="F1702" s="2" t="s">
        <v>60</v>
      </c>
      <c r="G1702" s="2" t="s">
        <v>61</v>
      </c>
      <c r="H1702" s="6" t="s">
        <v>3940</v>
      </c>
    </row>
    <row r="1703" spans="1:8" ht="22.5" customHeight="1" x14ac:dyDescent="0.25">
      <c r="A1703" s="14" t="s">
        <v>3944</v>
      </c>
      <c r="B1703" s="3" t="s">
        <v>3945</v>
      </c>
      <c r="C1703" s="3" t="s">
        <v>3946</v>
      </c>
      <c r="D1703" s="3" t="s">
        <v>3947</v>
      </c>
      <c r="E1703" s="3">
        <v>29.1432</v>
      </c>
      <c r="F1703" s="3" t="s">
        <v>60</v>
      </c>
      <c r="G1703" s="3" t="s">
        <v>61</v>
      </c>
      <c r="H1703" s="6" t="s">
        <v>3944</v>
      </c>
    </row>
    <row r="1704" spans="1:8" ht="22.5" customHeight="1" x14ac:dyDescent="0.25">
      <c r="A1704" s="13" t="s">
        <v>3948</v>
      </c>
      <c r="B1704" s="2" t="s">
        <v>418</v>
      </c>
      <c r="C1704" s="2" t="s">
        <v>3949</v>
      </c>
      <c r="D1704" s="2" t="s">
        <v>420</v>
      </c>
      <c r="E1704" s="2">
        <v>30.655200000000001</v>
      </c>
      <c r="F1704" s="2" t="s">
        <v>60</v>
      </c>
      <c r="G1704" s="2" t="s">
        <v>61</v>
      </c>
      <c r="H1704" s="6" t="s">
        <v>3948</v>
      </c>
    </row>
    <row r="1705" spans="1:8" ht="22.5" customHeight="1" x14ac:dyDescent="0.25">
      <c r="A1705" s="14" t="s">
        <v>3950</v>
      </c>
      <c r="B1705" s="3" t="s">
        <v>404</v>
      </c>
      <c r="C1705" s="3" t="s">
        <v>3951</v>
      </c>
      <c r="D1705" s="3" t="s">
        <v>406</v>
      </c>
      <c r="E1705" s="3">
        <v>29.999199999999998</v>
      </c>
      <c r="F1705" s="3" t="s">
        <v>60</v>
      </c>
      <c r="G1705" s="3" t="s">
        <v>61</v>
      </c>
      <c r="H1705" s="6" t="s">
        <v>3950</v>
      </c>
    </row>
    <row r="1706" spans="1:8" ht="22.5" customHeight="1" x14ac:dyDescent="0.25">
      <c r="A1706" s="13" t="s">
        <v>3952</v>
      </c>
      <c r="B1706" s="2" t="s">
        <v>990</v>
      </c>
      <c r="C1706" s="2" t="s">
        <v>3953</v>
      </c>
      <c r="D1706" s="2" t="s">
        <v>992</v>
      </c>
      <c r="E1706" s="2">
        <v>29.755199999999999</v>
      </c>
      <c r="F1706" s="2" t="s">
        <v>60</v>
      </c>
      <c r="G1706" s="2" t="s">
        <v>61</v>
      </c>
      <c r="H1706" s="6" t="s">
        <v>3952</v>
      </c>
    </row>
    <row r="1707" spans="1:8" ht="33.75" customHeight="1" x14ac:dyDescent="0.25">
      <c r="A1707" s="14" t="s">
        <v>3954</v>
      </c>
      <c r="B1707" s="3" t="s">
        <v>470</v>
      </c>
      <c r="C1707" s="3" t="s">
        <v>3955</v>
      </c>
      <c r="D1707" s="3" t="s">
        <v>472</v>
      </c>
      <c r="E1707" s="3">
        <v>30.052320000000002</v>
      </c>
      <c r="F1707" s="3" t="s">
        <v>60</v>
      </c>
      <c r="G1707" s="3" t="s">
        <v>61</v>
      </c>
      <c r="H1707" s="6" t="s">
        <v>3954</v>
      </c>
    </row>
    <row r="1708" spans="1:8" ht="33.75" customHeight="1" x14ac:dyDescent="0.25">
      <c r="A1708" s="13" t="s">
        <v>3956</v>
      </c>
      <c r="B1708" s="2" t="s">
        <v>650</v>
      </c>
      <c r="C1708" s="2" t="s">
        <v>3957</v>
      </c>
      <c r="D1708" s="2" t="s">
        <v>652</v>
      </c>
      <c r="E1708" s="2">
        <v>33.497</v>
      </c>
      <c r="F1708" s="2" t="s">
        <v>60</v>
      </c>
      <c r="G1708" s="2" t="s">
        <v>61</v>
      </c>
      <c r="H1708" s="6" t="s">
        <v>3956</v>
      </c>
    </row>
    <row r="1709" spans="1:8" ht="33.75" customHeight="1" x14ac:dyDescent="0.25">
      <c r="A1709" s="14" t="s">
        <v>3958</v>
      </c>
      <c r="B1709" s="3" t="s">
        <v>386</v>
      </c>
      <c r="C1709" s="3" t="s">
        <v>3959</v>
      </c>
      <c r="D1709" s="3" t="s">
        <v>388</v>
      </c>
      <c r="E1709" s="3">
        <v>33.783799999999999</v>
      </c>
      <c r="F1709" s="3" t="s">
        <v>60</v>
      </c>
      <c r="G1709" s="3" t="s">
        <v>61</v>
      </c>
      <c r="H1709" s="6" t="s">
        <v>3958</v>
      </c>
    </row>
    <row r="1710" spans="1:8" ht="33.75" customHeight="1" x14ac:dyDescent="0.25">
      <c r="A1710" s="13" t="s">
        <v>3960</v>
      </c>
      <c r="B1710" s="2" t="s">
        <v>644</v>
      </c>
      <c r="C1710" s="2" t="s">
        <v>3961</v>
      </c>
      <c r="D1710" s="2" t="s">
        <v>646</v>
      </c>
      <c r="E1710" s="2">
        <v>33.864400000000003</v>
      </c>
      <c r="F1710" s="2" t="s">
        <v>60</v>
      </c>
      <c r="G1710" s="2" t="s">
        <v>61</v>
      </c>
      <c r="H1710" s="6" t="s">
        <v>3960</v>
      </c>
    </row>
    <row r="1711" spans="1:8" ht="22.5" customHeight="1" x14ac:dyDescent="0.25">
      <c r="A1711" s="14" t="s">
        <v>3962</v>
      </c>
      <c r="B1711" s="3" t="s">
        <v>422</v>
      </c>
      <c r="C1711" s="3" t="s">
        <v>3809</v>
      </c>
      <c r="D1711" s="3" t="s">
        <v>424</v>
      </c>
      <c r="E1711" s="3">
        <v>30.7272</v>
      </c>
      <c r="F1711" s="3" t="s">
        <v>60</v>
      </c>
      <c r="G1711" s="3" t="s">
        <v>61</v>
      </c>
      <c r="H1711" s="6" t="s">
        <v>3962</v>
      </c>
    </row>
    <row r="1712" spans="1:8" ht="22.5" customHeight="1" x14ac:dyDescent="0.25">
      <c r="A1712" s="13" t="s">
        <v>3963</v>
      </c>
      <c r="B1712" s="2" t="s">
        <v>2379</v>
      </c>
      <c r="C1712" s="2" t="s">
        <v>3964</v>
      </c>
      <c r="D1712" s="2" t="s">
        <v>2381</v>
      </c>
      <c r="E1712" s="2">
        <v>31.98368</v>
      </c>
      <c r="F1712" s="2" t="s">
        <v>60</v>
      </c>
      <c r="G1712" s="2" t="s">
        <v>61</v>
      </c>
      <c r="H1712" s="6" t="s">
        <v>3963</v>
      </c>
    </row>
    <row r="1713" spans="1:8" ht="33.75" customHeight="1" x14ac:dyDescent="0.25">
      <c r="A1713" s="14" t="s">
        <v>3965</v>
      </c>
      <c r="B1713" s="3" t="s">
        <v>226</v>
      </c>
      <c r="C1713" s="3" t="s">
        <v>3966</v>
      </c>
      <c r="D1713" s="3" t="s">
        <v>228</v>
      </c>
      <c r="E1713" s="3">
        <v>30.6632</v>
      </c>
      <c r="F1713" s="3" t="s">
        <v>60</v>
      </c>
      <c r="G1713" s="3" t="s">
        <v>61</v>
      </c>
      <c r="H1713" s="6" t="s">
        <v>3965</v>
      </c>
    </row>
    <row r="1714" spans="1:8" ht="33.75" customHeight="1" x14ac:dyDescent="0.25">
      <c r="A1714" s="13" t="s">
        <v>3967</v>
      </c>
      <c r="B1714" s="2" t="s">
        <v>112</v>
      </c>
      <c r="C1714" s="2" t="s">
        <v>3968</v>
      </c>
      <c r="D1714" s="2" t="s">
        <v>114</v>
      </c>
      <c r="E1714" s="2">
        <v>30.7682</v>
      </c>
      <c r="F1714" s="2" t="s">
        <v>60</v>
      </c>
      <c r="G1714" s="2" t="s">
        <v>61</v>
      </c>
      <c r="H1714" s="6" t="s">
        <v>3967</v>
      </c>
    </row>
    <row r="1715" spans="1:8" ht="33.75" customHeight="1" x14ac:dyDescent="0.25">
      <c r="A1715" s="14" t="s">
        <v>3969</v>
      </c>
      <c r="B1715" s="3" t="s">
        <v>156</v>
      </c>
      <c r="C1715" s="3" t="s">
        <v>3970</v>
      </c>
      <c r="D1715" s="3" t="s">
        <v>158</v>
      </c>
      <c r="E1715" s="3">
        <v>30.987200000000001</v>
      </c>
      <c r="F1715" s="3" t="s">
        <v>60</v>
      </c>
      <c r="G1715" s="3" t="s">
        <v>61</v>
      </c>
      <c r="H1715" s="6" t="s">
        <v>3969</v>
      </c>
    </row>
    <row r="1716" spans="1:8" ht="33.75" customHeight="1" x14ac:dyDescent="0.25">
      <c r="A1716" s="13" t="s">
        <v>3971</v>
      </c>
      <c r="B1716" s="2" t="s">
        <v>2634</v>
      </c>
      <c r="C1716" s="2" t="s">
        <v>3972</v>
      </c>
      <c r="D1716" s="2" t="s">
        <v>2636</v>
      </c>
      <c r="E1716" s="2">
        <v>30.0852</v>
      </c>
      <c r="F1716" s="2" t="s">
        <v>60</v>
      </c>
      <c r="G1716" s="2" t="s">
        <v>61</v>
      </c>
      <c r="H1716" s="6" t="s">
        <v>3971</v>
      </c>
    </row>
    <row r="1717" spans="1:8" ht="22.5" customHeight="1" x14ac:dyDescent="0.25">
      <c r="A1717" s="14" t="s">
        <v>3973</v>
      </c>
      <c r="B1717" s="3" t="s">
        <v>1948</v>
      </c>
      <c r="C1717" s="3" t="s">
        <v>3974</v>
      </c>
      <c r="D1717" s="3" t="s">
        <v>1950</v>
      </c>
      <c r="E1717" s="3">
        <v>27.513280000000002</v>
      </c>
      <c r="F1717" s="3" t="s">
        <v>60</v>
      </c>
      <c r="G1717" s="3" t="s">
        <v>61</v>
      </c>
      <c r="H1717" s="6" t="s">
        <v>3973</v>
      </c>
    </row>
    <row r="1718" spans="1:8" ht="33.75" customHeight="1" x14ac:dyDescent="0.25">
      <c r="A1718" s="13" t="s">
        <v>3975</v>
      </c>
      <c r="B1718" s="2" t="s">
        <v>112</v>
      </c>
      <c r="C1718" s="2" t="s">
        <v>3585</v>
      </c>
      <c r="D1718" s="2" t="s">
        <v>114</v>
      </c>
      <c r="E1718" s="2">
        <v>30.7682</v>
      </c>
      <c r="F1718" s="2" t="s">
        <v>60</v>
      </c>
      <c r="G1718" s="2" t="s">
        <v>61</v>
      </c>
      <c r="H1718" s="6" t="s">
        <v>3975</v>
      </c>
    </row>
    <row r="1719" spans="1:8" ht="22.5" customHeight="1" x14ac:dyDescent="0.25">
      <c r="A1719" s="14" t="s">
        <v>3976</v>
      </c>
      <c r="B1719" s="3" t="s">
        <v>665</v>
      </c>
      <c r="C1719" s="3" t="s">
        <v>3977</v>
      </c>
      <c r="D1719" s="3" t="s">
        <v>667</v>
      </c>
      <c r="E1719" s="3">
        <v>29.432400000000001</v>
      </c>
      <c r="F1719" s="3" t="s">
        <v>60</v>
      </c>
      <c r="G1719" s="3" t="s">
        <v>61</v>
      </c>
      <c r="H1719" s="6" t="s">
        <v>3976</v>
      </c>
    </row>
    <row r="1720" spans="1:8" ht="22.5" customHeight="1" x14ac:dyDescent="0.25">
      <c r="A1720" s="13" t="s">
        <v>3978</v>
      </c>
      <c r="B1720" s="2" t="s">
        <v>665</v>
      </c>
      <c r="C1720" s="2" t="s">
        <v>3979</v>
      </c>
      <c r="D1720" s="2" t="s">
        <v>667</v>
      </c>
      <c r="E1720" s="2">
        <v>29.432400000000001</v>
      </c>
      <c r="F1720" s="2" t="s">
        <v>60</v>
      </c>
      <c r="G1720" s="2" t="s">
        <v>61</v>
      </c>
      <c r="H1720" s="6" t="s">
        <v>3978</v>
      </c>
    </row>
    <row r="1721" spans="1:8" ht="22.5" customHeight="1" x14ac:dyDescent="0.25">
      <c r="A1721" s="14" t="s">
        <v>3980</v>
      </c>
      <c r="B1721" s="3" t="s">
        <v>665</v>
      </c>
      <c r="C1721" s="3" t="s">
        <v>3981</v>
      </c>
      <c r="D1721" s="3" t="s">
        <v>667</v>
      </c>
      <c r="E1721" s="3">
        <v>29.432400000000001</v>
      </c>
      <c r="F1721" s="3" t="s">
        <v>60</v>
      </c>
      <c r="G1721" s="3" t="s">
        <v>61</v>
      </c>
      <c r="H1721" s="6" t="s">
        <v>3980</v>
      </c>
    </row>
    <row r="1722" spans="1:8" ht="33.75" customHeight="1" x14ac:dyDescent="0.25">
      <c r="A1722" s="13" t="s">
        <v>3982</v>
      </c>
      <c r="B1722" s="2" t="s">
        <v>418</v>
      </c>
      <c r="C1722" s="2" t="s">
        <v>3983</v>
      </c>
      <c r="D1722" s="2" t="s">
        <v>420</v>
      </c>
      <c r="E1722" s="2">
        <v>30.655200000000001</v>
      </c>
      <c r="F1722" s="2" t="s">
        <v>60</v>
      </c>
      <c r="G1722" s="2" t="s">
        <v>61</v>
      </c>
      <c r="H1722" s="6" t="s">
        <v>3982</v>
      </c>
    </row>
    <row r="1723" spans="1:8" ht="33.75" customHeight="1" x14ac:dyDescent="0.25">
      <c r="A1723" s="14" t="s">
        <v>3984</v>
      </c>
      <c r="B1723" s="3" t="s">
        <v>600</v>
      </c>
      <c r="C1723" s="3" t="s">
        <v>3985</v>
      </c>
      <c r="D1723" s="3" t="s">
        <v>602</v>
      </c>
      <c r="E1723" s="3">
        <v>30.269200000000001</v>
      </c>
      <c r="F1723" s="3" t="s">
        <v>60</v>
      </c>
      <c r="G1723" s="3" t="s">
        <v>61</v>
      </c>
      <c r="H1723" s="6" t="s">
        <v>3984</v>
      </c>
    </row>
    <row r="1724" spans="1:8" ht="33.75" customHeight="1" x14ac:dyDescent="0.25">
      <c r="A1724" s="13" t="s">
        <v>3986</v>
      </c>
      <c r="B1724" s="2" t="s">
        <v>990</v>
      </c>
      <c r="C1724" s="2" t="s">
        <v>3987</v>
      </c>
      <c r="D1724" s="2" t="s">
        <v>992</v>
      </c>
      <c r="E1724" s="2">
        <v>29.755199999999999</v>
      </c>
      <c r="F1724" s="2" t="s">
        <v>60</v>
      </c>
      <c r="G1724" s="2" t="s">
        <v>61</v>
      </c>
      <c r="H1724" s="6" t="s">
        <v>3986</v>
      </c>
    </row>
    <row r="1725" spans="1:8" ht="33.75" customHeight="1" x14ac:dyDescent="0.25">
      <c r="A1725" s="14" t="s">
        <v>3988</v>
      </c>
      <c r="B1725" s="3" t="s">
        <v>324</v>
      </c>
      <c r="C1725" s="3" t="s">
        <v>3989</v>
      </c>
      <c r="D1725" s="3" t="s">
        <v>326</v>
      </c>
      <c r="E1725" s="3">
        <v>29.719200000000001</v>
      </c>
      <c r="F1725" s="3" t="s">
        <v>60</v>
      </c>
      <c r="G1725" s="3" t="s">
        <v>61</v>
      </c>
      <c r="H1725" s="6" t="s">
        <v>3988</v>
      </c>
    </row>
    <row r="1726" spans="1:8" ht="33.75" customHeight="1" x14ac:dyDescent="0.25">
      <c r="A1726" s="13" t="s">
        <v>3990</v>
      </c>
      <c r="B1726" s="2" t="s">
        <v>356</v>
      </c>
      <c r="C1726" s="2" t="s">
        <v>3991</v>
      </c>
      <c r="D1726" s="2" t="s">
        <v>358</v>
      </c>
      <c r="E1726" s="2">
        <v>29.5992</v>
      </c>
      <c r="F1726" s="2" t="s">
        <v>60</v>
      </c>
      <c r="G1726" s="2" t="s">
        <v>61</v>
      </c>
      <c r="H1726" s="6" t="s">
        <v>3990</v>
      </c>
    </row>
    <row r="1727" spans="1:8" ht="22.5" customHeight="1" x14ac:dyDescent="0.25">
      <c r="A1727" s="14" t="s">
        <v>3992</v>
      </c>
      <c r="B1727" s="3" t="s">
        <v>1294</v>
      </c>
      <c r="C1727" s="3" t="s">
        <v>3993</v>
      </c>
      <c r="D1727" s="3" t="s">
        <v>1296</v>
      </c>
      <c r="E1727" s="3">
        <v>27.925999999999998</v>
      </c>
      <c r="F1727" s="3" t="s">
        <v>60</v>
      </c>
      <c r="G1727" s="3" t="s">
        <v>61</v>
      </c>
      <c r="H1727" s="6" t="s">
        <v>3992</v>
      </c>
    </row>
    <row r="1728" spans="1:8" ht="22.5" customHeight="1" x14ac:dyDescent="0.25">
      <c r="A1728" s="13" t="s">
        <v>3994</v>
      </c>
      <c r="B1728" s="2" t="s">
        <v>878</v>
      </c>
      <c r="C1728" s="2" t="s">
        <v>3995</v>
      </c>
      <c r="D1728" s="2" t="s">
        <v>880</v>
      </c>
      <c r="E1728" s="2">
        <v>27.925999999999998</v>
      </c>
      <c r="F1728" s="2" t="s">
        <v>60</v>
      </c>
      <c r="G1728" s="2" t="s">
        <v>61</v>
      </c>
      <c r="H1728" s="6" t="s">
        <v>3994</v>
      </c>
    </row>
    <row r="1729" spans="1:8" ht="22.5" customHeight="1" x14ac:dyDescent="0.25">
      <c r="A1729" s="14" t="s">
        <v>3996</v>
      </c>
      <c r="B1729" s="3" t="s">
        <v>2137</v>
      </c>
      <c r="C1729" s="3" t="s">
        <v>3997</v>
      </c>
      <c r="D1729" s="3" t="s">
        <v>2139</v>
      </c>
      <c r="E1729" s="3">
        <v>27.925999999999998</v>
      </c>
      <c r="F1729" s="3" t="s">
        <v>60</v>
      </c>
      <c r="G1729" s="3" t="s">
        <v>61</v>
      </c>
      <c r="H1729" s="6" t="s">
        <v>3996</v>
      </c>
    </row>
    <row r="1730" spans="1:8" ht="33.75" customHeight="1" x14ac:dyDescent="0.25">
      <c r="A1730" s="13" t="s">
        <v>3998</v>
      </c>
      <c r="B1730" s="2" t="s">
        <v>334</v>
      </c>
      <c r="C1730" s="2" t="s">
        <v>335</v>
      </c>
      <c r="D1730" s="2" t="s">
        <v>336</v>
      </c>
      <c r="E1730" s="2">
        <v>27.925999999999998</v>
      </c>
      <c r="F1730" s="2" t="s">
        <v>60</v>
      </c>
      <c r="G1730" s="2" t="s">
        <v>61</v>
      </c>
      <c r="H1730" s="6" t="s">
        <v>3998</v>
      </c>
    </row>
    <row r="1731" spans="1:8" ht="33.75" customHeight="1" x14ac:dyDescent="0.25">
      <c r="A1731" s="14" t="s">
        <v>3999</v>
      </c>
      <c r="B1731" s="3" t="s">
        <v>188</v>
      </c>
      <c r="C1731" s="3" t="s">
        <v>4000</v>
      </c>
      <c r="D1731" s="3" t="s">
        <v>190</v>
      </c>
      <c r="E1731" s="3">
        <v>30.700399999999998</v>
      </c>
      <c r="F1731" s="3" t="s">
        <v>60</v>
      </c>
      <c r="G1731" s="3" t="s">
        <v>61</v>
      </c>
      <c r="H1731" s="6" t="s">
        <v>3999</v>
      </c>
    </row>
    <row r="1732" spans="1:8" ht="33.75" customHeight="1" x14ac:dyDescent="0.25">
      <c r="A1732" s="13" t="s">
        <v>4001</v>
      </c>
      <c r="B1732" s="2" t="s">
        <v>182</v>
      </c>
      <c r="C1732" s="2" t="s">
        <v>4002</v>
      </c>
      <c r="D1732" s="2" t="s">
        <v>184</v>
      </c>
      <c r="E1732" s="2">
        <v>29.185759999999998</v>
      </c>
      <c r="F1732" s="2" t="s">
        <v>60</v>
      </c>
      <c r="G1732" s="2" t="s">
        <v>61</v>
      </c>
      <c r="H1732" s="6" t="s">
        <v>4001</v>
      </c>
    </row>
    <row r="1733" spans="1:8" ht="33.75" customHeight="1" x14ac:dyDescent="0.25">
      <c r="A1733" s="14" t="s">
        <v>4003</v>
      </c>
      <c r="B1733" s="3" t="s">
        <v>188</v>
      </c>
      <c r="C1733" s="3" t="s">
        <v>4004</v>
      </c>
      <c r="D1733" s="3" t="s">
        <v>190</v>
      </c>
      <c r="E1733" s="3">
        <v>30.700399999999998</v>
      </c>
      <c r="F1733" s="3" t="s">
        <v>60</v>
      </c>
      <c r="G1733" s="3" t="s">
        <v>61</v>
      </c>
      <c r="H1733" s="6" t="s">
        <v>4003</v>
      </c>
    </row>
    <row r="1734" spans="1:8" ht="33.75" customHeight="1" x14ac:dyDescent="0.25">
      <c r="A1734" s="13" t="s">
        <v>4005</v>
      </c>
      <c r="B1734" s="2" t="s">
        <v>178</v>
      </c>
      <c r="C1734" s="2" t="s">
        <v>4006</v>
      </c>
      <c r="D1734" s="2" t="s">
        <v>180</v>
      </c>
      <c r="E1734" s="2">
        <v>28.922239999999999</v>
      </c>
      <c r="F1734" s="2" t="s">
        <v>60</v>
      </c>
      <c r="G1734" s="2" t="s">
        <v>61</v>
      </c>
      <c r="H1734" s="6" t="s">
        <v>4005</v>
      </c>
    </row>
    <row r="1735" spans="1:8" ht="33.75" customHeight="1" x14ac:dyDescent="0.25">
      <c r="A1735" s="14" t="s">
        <v>4007</v>
      </c>
      <c r="B1735" s="3" t="s">
        <v>182</v>
      </c>
      <c r="C1735" s="3" t="s">
        <v>4008</v>
      </c>
      <c r="D1735" s="3" t="s">
        <v>184</v>
      </c>
      <c r="E1735" s="3">
        <v>29.185759999999998</v>
      </c>
      <c r="F1735" s="3" t="s">
        <v>60</v>
      </c>
      <c r="G1735" s="3" t="s">
        <v>61</v>
      </c>
      <c r="H1735" s="6" t="s">
        <v>4007</v>
      </c>
    </row>
    <row r="1736" spans="1:8" ht="33.75" customHeight="1" x14ac:dyDescent="0.25">
      <c r="A1736" s="13" t="s">
        <v>4009</v>
      </c>
      <c r="B1736" s="2" t="s">
        <v>188</v>
      </c>
      <c r="C1736" s="2" t="s">
        <v>4010</v>
      </c>
      <c r="D1736" s="2" t="s">
        <v>190</v>
      </c>
      <c r="E1736" s="2">
        <v>30.700399999999998</v>
      </c>
      <c r="F1736" s="2" t="s">
        <v>60</v>
      </c>
      <c r="G1736" s="2" t="s">
        <v>61</v>
      </c>
      <c r="H1736" s="6" t="s">
        <v>4009</v>
      </c>
    </row>
    <row r="1737" spans="1:8" ht="33.75" customHeight="1" x14ac:dyDescent="0.25">
      <c r="A1737" s="14" t="s">
        <v>4011</v>
      </c>
      <c r="B1737" s="3" t="s">
        <v>178</v>
      </c>
      <c r="C1737" s="3" t="s">
        <v>4012</v>
      </c>
      <c r="D1737" s="3" t="s">
        <v>180</v>
      </c>
      <c r="E1737" s="3">
        <v>28.922239999999999</v>
      </c>
      <c r="F1737" s="3" t="s">
        <v>60</v>
      </c>
      <c r="G1737" s="3" t="s">
        <v>61</v>
      </c>
      <c r="H1737" s="6" t="s">
        <v>4011</v>
      </c>
    </row>
    <row r="1738" spans="1:8" ht="33.75" customHeight="1" x14ac:dyDescent="0.25">
      <c r="A1738" s="13" t="s">
        <v>4013</v>
      </c>
      <c r="B1738" s="2" t="s">
        <v>182</v>
      </c>
      <c r="C1738" s="2" t="s">
        <v>4014</v>
      </c>
      <c r="D1738" s="2" t="s">
        <v>184</v>
      </c>
      <c r="E1738" s="2">
        <v>29.185759999999998</v>
      </c>
      <c r="F1738" s="2" t="s">
        <v>60</v>
      </c>
      <c r="G1738" s="2" t="s">
        <v>61</v>
      </c>
      <c r="H1738" s="6" t="s">
        <v>4013</v>
      </c>
    </row>
    <row r="1739" spans="1:8" ht="33.75" customHeight="1" x14ac:dyDescent="0.25">
      <c r="A1739" s="14" t="s">
        <v>4015</v>
      </c>
      <c r="B1739" s="3" t="s">
        <v>182</v>
      </c>
      <c r="C1739" s="3" t="s">
        <v>4016</v>
      </c>
      <c r="D1739" s="3" t="s">
        <v>184</v>
      </c>
      <c r="E1739" s="3">
        <v>29.185759999999998</v>
      </c>
      <c r="F1739" s="3" t="s">
        <v>60</v>
      </c>
      <c r="G1739" s="3" t="s">
        <v>61</v>
      </c>
      <c r="H1739" s="6" t="s">
        <v>4015</v>
      </c>
    </row>
    <row r="1740" spans="1:8" ht="33.75" customHeight="1" x14ac:dyDescent="0.25">
      <c r="A1740" s="13" t="s">
        <v>4017</v>
      </c>
      <c r="B1740" s="2" t="s">
        <v>188</v>
      </c>
      <c r="C1740" s="2" t="s">
        <v>4018</v>
      </c>
      <c r="D1740" s="2" t="s">
        <v>190</v>
      </c>
      <c r="E1740" s="2">
        <v>30.700399999999998</v>
      </c>
      <c r="F1740" s="2" t="s">
        <v>60</v>
      </c>
      <c r="G1740" s="2" t="s">
        <v>61</v>
      </c>
      <c r="H1740" s="6" t="s">
        <v>4017</v>
      </c>
    </row>
    <row r="1741" spans="1:8" ht="22.5" customHeight="1" x14ac:dyDescent="0.25">
      <c r="A1741" s="14" t="s">
        <v>4019</v>
      </c>
      <c r="B1741" s="3" t="s">
        <v>826</v>
      </c>
      <c r="C1741" s="3" t="s">
        <v>2125</v>
      </c>
      <c r="D1741" s="3" t="s">
        <v>828</v>
      </c>
      <c r="E1741" s="3">
        <v>28.366</v>
      </c>
      <c r="F1741" s="3" t="s">
        <v>60</v>
      </c>
      <c r="G1741" s="3" t="s">
        <v>61</v>
      </c>
      <c r="H1741" s="6" t="s">
        <v>4019</v>
      </c>
    </row>
    <row r="1742" spans="1:8" ht="22.5" customHeight="1" x14ac:dyDescent="0.25">
      <c r="A1742" s="13" t="s">
        <v>4020</v>
      </c>
      <c r="B1742" s="2" t="s">
        <v>826</v>
      </c>
      <c r="C1742" s="2" t="s">
        <v>2127</v>
      </c>
      <c r="D1742" s="2" t="s">
        <v>828</v>
      </c>
      <c r="E1742" s="2">
        <v>28.366</v>
      </c>
      <c r="F1742" s="2" t="s">
        <v>60</v>
      </c>
      <c r="G1742" s="2" t="s">
        <v>61</v>
      </c>
      <c r="H1742" s="6" t="s">
        <v>4020</v>
      </c>
    </row>
    <row r="1743" spans="1:8" ht="22.5" customHeight="1" x14ac:dyDescent="0.25">
      <c r="A1743" s="14" t="s">
        <v>4021</v>
      </c>
      <c r="B1743" s="3" t="s">
        <v>826</v>
      </c>
      <c r="C1743" s="3" t="s">
        <v>2129</v>
      </c>
      <c r="D1743" s="3" t="s">
        <v>828</v>
      </c>
      <c r="E1743" s="3">
        <v>28.366</v>
      </c>
      <c r="F1743" s="3" t="s">
        <v>60</v>
      </c>
      <c r="G1743" s="3" t="s">
        <v>61</v>
      </c>
      <c r="H1743" s="6" t="s">
        <v>4021</v>
      </c>
    </row>
    <row r="1744" spans="1:8" ht="22.5" customHeight="1" x14ac:dyDescent="0.25">
      <c r="A1744" s="13" t="s">
        <v>4022</v>
      </c>
      <c r="B1744" s="2" t="s">
        <v>1294</v>
      </c>
      <c r="C1744" s="2" t="s">
        <v>2131</v>
      </c>
      <c r="D1744" s="2" t="s">
        <v>1296</v>
      </c>
      <c r="E1744" s="2">
        <v>27.925999999999998</v>
      </c>
      <c r="F1744" s="2" t="s">
        <v>60</v>
      </c>
      <c r="G1744" s="2" t="s">
        <v>61</v>
      </c>
      <c r="H1744" s="6" t="s">
        <v>4022</v>
      </c>
    </row>
    <row r="1745" spans="1:8" ht="22.5" customHeight="1" x14ac:dyDescent="0.25">
      <c r="A1745" s="14" t="s">
        <v>4023</v>
      </c>
      <c r="B1745" s="3" t="s">
        <v>830</v>
      </c>
      <c r="C1745" s="3" t="s">
        <v>2133</v>
      </c>
      <c r="D1745" s="3" t="s">
        <v>832</v>
      </c>
      <c r="E1745" s="3">
        <v>27.925999999999998</v>
      </c>
      <c r="F1745" s="3" t="s">
        <v>60</v>
      </c>
      <c r="G1745" s="3" t="s">
        <v>61</v>
      </c>
      <c r="H1745" s="6" t="s">
        <v>4023</v>
      </c>
    </row>
    <row r="1746" spans="1:8" ht="22.5" customHeight="1" x14ac:dyDescent="0.25">
      <c r="A1746" s="13" t="s">
        <v>4024</v>
      </c>
      <c r="B1746" s="2" t="s">
        <v>830</v>
      </c>
      <c r="C1746" s="2" t="s">
        <v>2135</v>
      </c>
      <c r="D1746" s="2" t="s">
        <v>832</v>
      </c>
      <c r="E1746" s="2">
        <v>27.925999999999998</v>
      </c>
      <c r="F1746" s="2" t="s">
        <v>60</v>
      </c>
      <c r="G1746" s="2" t="s">
        <v>61</v>
      </c>
      <c r="H1746" s="6" t="s">
        <v>4024</v>
      </c>
    </row>
    <row r="1747" spans="1:8" ht="33.75" customHeight="1" x14ac:dyDescent="0.25">
      <c r="A1747" s="14" t="s">
        <v>4025</v>
      </c>
      <c r="B1747" s="3" t="s">
        <v>57</v>
      </c>
      <c r="C1747" s="3" t="s">
        <v>529</v>
      </c>
      <c r="D1747" s="3" t="s">
        <v>59</v>
      </c>
      <c r="E1747" s="3">
        <v>31.825199999999999</v>
      </c>
      <c r="F1747" s="3" t="s">
        <v>60</v>
      </c>
      <c r="G1747" s="3" t="s">
        <v>61</v>
      </c>
      <c r="H1747" s="6" t="s">
        <v>4025</v>
      </c>
    </row>
    <row r="1748" spans="1:8" ht="33.75" customHeight="1" x14ac:dyDescent="0.25">
      <c r="A1748" s="13" t="s">
        <v>4026</v>
      </c>
      <c r="B1748" s="2" t="s">
        <v>588</v>
      </c>
      <c r="C1748" s="2" t="s">
        <v>4027</v>
      </c>
      <c r="D1748" s="2" t="s">
        <v>590</v>
      </c>
      <c r="E1748" s="2">
        <v>29.869199999999999</v>
      </c>
      <c r="F1748" s="2" t="s">
        <v>60</v>
      </c>
      <c r="G1748" s="2" t="s">
        <v>61</v>
      </c>
      <c r="H1748" s="6" t="s">
        <v>4026</v>
      </c>
    </row>
    <row r="1749" spans="1:8" ht="33.75" customHeight="1" x14ac:dyDescent="0.25">
      <c r="A1749" s="14" t="s">
        <v>4028</v>
      </c>
      <c r="B1749" s="3" t="s">
        <v>1151</v>
      </c>
      <c r="C1749" s="3" t="s">
        <v>4029</v>
      </c>
      <c r="D1749" s="3" t="s">
        <v>1153</v>
      </c>
      <c r="E1749" s="3">
        <v>30.6372</v>
      </c>
      <c r="F1749" s="3" t="s">
        <v>60</v>
      </c>
      <c r="G1749" s="3" t="s">
        <v>61</v>
      </c>
      <c r="H1749" s="6" t="s">
        <v>4028</v>
      </c>
    </row>
    <row r="1750" spans="1:8" ht="33.75" customHeight="1" x14ac:dyDescent="0.25">
      <c r="A1750" s="13" t="s">
        <v>4030</v>
      </c>
      <c r="B1750" s="2" t="s">
        <v>356</v>
      </c>
      <c r="C1750" s="2" t="s">
        <v>4031</v>
      </c>
      <c r="D1750" s="2" t="s">
        <v>358</v>
      </c>
      <c r="E1750" s="2">
        <v>29.5992</v>
      </c>
      <c r="F1750" s="2" t="s">
        <v>60</v>
      </c>
      <c r="G1750" s="2" t="s">
        <v>61</v>
      </c>
      <c r="H1750" s="6" t="s">
        <v>4030</v>
      </c>
    </row>
    <row r="1751" spans="1:8" ht="33.75" customHeight="1" x14ac:dyDescent="0.25">
      <c r="A1751" s="14" t="s">
        <v>4032</v>
      </c>
      <c r="B1751" s="3" t="s">
        <v>390</v>
      </c>
      <c r="C1751" s="3" t="s">
        <v>4033</v>
      </c>
      <c r="D1751" s="3" t="s">
        <v>392</v>
      </c>
      <c r="E1751" s="3">
        <v>35.367600000000003</v>
      </c>
      <c r="F1751" s="3" t="s">
        <v>60</v>
      </c>
      <c r="G1751" s="3" t="s">
        <v>61</v>
      </c>
      <c r="H1751" s="6" t="s">
        <v>4032</v>
      </c>
    </row>
    <row r="1752" spans="1:8" ht="33.75" customHeight="1" x14ac:dyDescent="0.25">
      <c r="A1752" s="13" t="s">
        <v>4034</v>
      </c>
      <c r="B1752" s="2" t="s">
        <v>89</v>
      </c>
      <c r="C1752" s="2" t="s">
        <v>4035</v>
      </c>
      <c r="D1752" s="2" t="s">
        <v>91</v>
      </c>
      <c r="E1752" s="2">
        <v>32.389200000000002</v>
      </c>
      <c r="F1752" s="2" t="s">
        <v>60</v>
      </c>
      <c r="G1752" s="2" t="s">
        <v>61</v>
      </c>
      <c r="H1752" s="6" t="s">
        <v>4034</v>
      </c>
    </row>
    <row r="1753" spans="1:8" ht="33.75" customHeight="1" x14ac:dyDescent="0.25">
      <c r="A1753" s="14" t="s">
        <v>4036</v>
      </c>
      <c r="B1753" s="3" t="s">
        <v>1715</v>
      </c>
      <c r="C1753" s="3" t="s">
        <v>4037</v>
      </c>
      <c r="D1753" s="3" t="s">
        <v>1717</v>
      </c>
      <c r="E1753" s="3">
        <v>29.805199999999999</v>
      </c>
      <c r="F1753" s="3" t="s">
        <v>60</v>
      </c>
      <c r="G1753" s="3" t="s">
        <v>61</v>
      </c>
      <c r="H1753" s="6" t="s">
        <v>4036</v>
      </c>
    </row>
    <row r="1754" spans="1:8" ht="33.75" customHeight="1" x14ac:dyDescent="0.25">
      <c r="A1754" s="13" t="s">
        <v>4038</v>
      </c>
      <c r="B1754" s="2" t="s">
        <v>1715</v>
      </c>
      <c r="C1754" s="2" t="s">
        <v>4039</v>
      </c>
      <c r="D1754" s="2" t="s">
        <v>1717</v>
      </c>
      <c r="E1754" s="2">
        <v>29.805199999999999</v>
      </c>
      <c r="F1754" s="2" t="s">
        <v>60</v>
      </c>
      <c r="G1754" s="2" t="s">
        <v>61</v>
      </c>
      <c r="H1754" s="6" t="s">
        <v>4038</v>
      </c>
    </row>
    <row r="1755" spans="1:8" ht="33.75" customHeight="1" x14ac:dyDescent="0.25">
      <c r="A1755" s="14" t="s">
        <v>4040</v>
      </c>
      <c r="B1755" s="3" t="s">
        <v>1715</v>
      </c>
      <c r="C1755" s="3" t="s">
        <v>4041</v>
      </c>
      <c r="D1755" s="3" t="s">
        <v>1717</v>
      </c>
      <c r="E1755" s="3">
        <v>29.805199999999999</v>
      </c>
      <c r="F1755" s="3" t="s">
        <v>60</v>
      </c>
      <c r="G1755" s="3" t="s">
        <v>61</v>
      </c>
      <c r="H1755" s="6" t="s">
        <v>4040</v>
      </c>
    </row>
    <row r="1756" spans="1:8" ht="33.75" customHeight="1" x14ac:dyDescent="0.25">
      <c r="A1756" s="13" t="s">
        <v>4042</v>
      </c>
      <c r="B1756" s="2" t="s">
        <v>4043</v>
      </c>
      <c r="C1756" s="2" t="s">
        <v>4044</v>
      </c>
      <c r="D1756" s="2" t="s">
        <v>4045</v>
      </c>
      <c r="E1756" s="2">
        <v>29.2182</v>
      </c>
      <c r="F1756" s="2" t="s">
        <v>60</v>
      </c>
      <c r="G1756" s="2" t="s">
        <v>61</v>
      </c>
      <c r="H1756" s="6" t="s">
        <v>4042</v>
      </c>
    </row>
    <row r="1757" spans="1:8" ht="33.75" customHeight="1" x14ac:dyDescent="0.25">
      <c r="A1757" s="14" t="s">
        <v>4046</v>
      </c>
      <c r="B1757" s="3" t="s">
        <v>1719</v>
      </c>
      <c r="C1757" s="3" t="s">
        <v>4047</v>
      </c>
      <c r="D1757" s="3" t="s">
        <v>1721</v>
      </c>
      <c r="E1757" s="3">
        <v>29.3232</v>
      </c>
      <c r="F1757" s="3" t="s">
        <v>60</v>
      </c>
      <c r="G1757" s="3" t="s">
        <v>61</v>
      </c>
      <c r="H1757" s="6" t="s">
        <v>4046</v>
      </c>
    </row>
    <row r="1758" spans="1:8" ht="33.75" customHeight="1" x14ac:dyDescent="0.25">
      <c r="A1758" s="13" t="s">
        <v>4048</v>
      </c>
      <c r="B1758" s="2" t="s">
        <v>1723</v>
      </c>
      <c r="C1758" s="2" t="s">
        <v>4049</v>
      </c>
      <c r="D1758" s="2" t="s">
        <v>1725</v>
      </c>
      <c r="E1758" s="2">
        <v>29.0672</v>
      </c>
      <c r="F1758" s="2" t="s">
        <v>60</v>
      </c>
      <c r="G1758" s="2" t="s">
        <v>61</v>
      </c>
      <c r="H1758" s="6" t="s">
        <v>4048</v>
      </c>
    </row>
    <row r="1759" spans="1:8" ht="33.75" customHeight="1" x14ac:dyDescent="0.25">
      <c r="A1759" s="14" t="s">
        <v>4050</v>
      </c>
      <c r="B1759" s="3" t="s">
        <v>1723</v>
      </c>
      <c r="C1759" s="3" t="s">
        <v>4051</v>
      </c>
      <c r="D1759" s="3" t="s">
        <v>1725</v>
      </c>
      <c r="E1759" s="3">
        <v>29.0672</v>
      </c>
      <c r="F1759" s="3" t="s">
        <v>60</v>
      </c>
      <c r="G1759" s="3" t="s">
        <v>61</v>
      </c>
      <c r="H1759" s="6" t="s">
        <v>4050</v>
      </c>
    </row>
    <row r="1760" spans="1:8" ht="33.75" customHeight="1" x14ac:dyDescent="0.25">
      <c r="A1760" s="13" t="s">
        <v>4052</v>
      </c>
      <c r="B1760" s="2" t="s">
        <v>1727</v>
      </c>
      <c r="C1760" s="2" t="s">
        <v>4053</v>
      </c>
      <c r="D1760" s="2" t="s">
        <v>1729</v>
      </c>
      <c r="E1760" s="2">
        <v>29.0792</v>
      </c>
      <c r="F1760" s="2" t="s">
        <v>60</v>
      </c>
      <c r="G1760" s="2" t="s">
        <v>61</v>
      </c>
      <c r="H1760" s="6" t="s">
        <v>4052</v>
      </c>
    </row>
    <row r="1761" spans="1:8" ht="22.5" customHeight="1" x14ac:dyDescent="0.25">
      <c r="A1761" s="14" t="s">
        <v>4054</v>
      </c>
      <c r="B1761" s="3" t="s">
        <v>418</v>
      </c>
      <c r="C1761" s="3" t="s">
        <v>4055</v>
      </c>
      <c r="D1761" s="3" t="s">
        <v>420</v>
      </c>
      <c r="E1761" s="3">
        <v>30.655200000000001</v>
      </c>
      <c r="F1761" s="3" t="s">
        <v>60</v>
      </c>
      <c r="G1761" s="3" t="s">
        <v>61</v>
      </c>
      <c r="H1761" s="6" t="s">
        <v>4054</v>
      </c>
    </row>
    <row r="1762" spans="1:8" ht="22.5" customHeight="1" x14ac:dyDescent="0.25">
      <c r="A1762" s="13" t="s">
        <v>4056</v>
      </c>
      <c r="B1762" s="2" t="s">
        <v>1008</v>
      </c>
      <c r="C1762" s="2" t="s">
        <v>4057</v>
      </c>
      <c r="D1762" s="2" t="s">
        <v>1010</v>
      </c>
      <c r="E1762" s="2">
        <v>30.4892</v>
      </c>
      <c r="F1762" s="2" t="s">
        <v>60</v>
      </c>
      <c r="G1762" s="2" t="s">
        <v>61</v>
      </c>
      <c r="H1762" s="6" t="s">
        <v>4056</v>
      </c>
    </row>
    <row r="1763" spans="1:8" ht="22.5" customHeight="1" x14ac:dyDescent="0.25">
      <c r="A1763" s="14" t="s">
        <v>4058</v>
      </c>
      <c r="B1763" s="3" t="s">
        <v>2137</v>
      </c>
      <c r="C1763" s="3" t="s">
        <v>2138</v>
      </c>
      <c r="D1763" s="3" t="s">
        <v>2139</v>
      </c>
      <c r="E1763" s="3">
        <v>27.925999999999998</v>
      </c>
      <c r="F1763" s="3" t="s">
        <v>60</v>
      </c>
      <c r="G1763" s="3" t="s">
        <v>61</v>
      </c>
      <c r="H1763" s="6" t="s">
        <v>4058</v>
      </c>
    </row>
    <row r="1764" spans="1:8" ht="22.5" customHeight="1" x14ac:dyDescent="0.25">
      <c r="A1764" s="13" t="s">
        <v>4059</v>
      </c>
      <c r="B1764" s="2" t="s">
        <v>2141</v>
      </c>
      <c r="C1764" s="2" t="s">
        <v>2142</v>
      </c>
      <c r="D1764" s="2" t="s">
        <v>2143</v>
      </c>
      <c r="E1764" s="2">
        <v>30.326000000000001</v>
      </c>
      <c r="F1764" s="2" t="s">
        <v>60</v>
      </c>
      <c r="G1764" s="2" t="s">
        <v>61</v>
      </c>
      <c r="H1764" s="6" t="s">
        <v>4059</v>
      </c>
    </row>
    <row r="1765" spans="1:8" ht="22.5" customHeight="1" x14ac:dyDescent="0.25">
      <c r="A1765" s="14" t="s">
        <v>4060</v>
      </c>
      <c r="B1765" s="3" t="s">
        <v>2141</v>
      </c>
      <c r="C1765" s="3" t="s">
        <v>2145</v>
      </c>
      <c r="D1765" s="3" t="s">
        <v>2143</v>
      </c>
      <c r="E1765" s="3">
        <v>30.326000000000001</v>
      </c>
      <c r="F1765" s="3" t="s">
        <v>60</v>
      </c>
      <c r="G1765" s="3" t="s">
        <v>61</v>
      </c>
      <c r="H1765" s="6" t="s">
        <v>4060</v>
      </c>
    </row>
    <row r="1766" spans="1:8" ht="22.5" customHeight="1" x14ac:dyDescent="0.25">
      <c r="A1766" s="13" t="s">
        <v>4061</v>
      </c>
      <c r="B1766" s="2" t="s">
        <v>2147</v>
      </c>
      <c r="C1766" s="2" t="s">
        <v>2148</v>
      </c>
      <c r="D1766" s="2" t="s">
        <v>2149</v>
      </c>
      <c r="E1766" s="2">
        <v>30.326000000000001</v>
      </c>
      <c r="F1766" s="2" t="s">
        <v>60</v>
      </c>
      <c r="G1766" s="2" t="s">
        <v>61</v>
      </c>
      <c r="H1766" s="6" t="s">
        <v>4061</v>
      </c>
    </row>
    <row r="1767" spans="1:8" ht="22.5" customHeight="1" x14ac:dyDescent="0.25">
      <c r="A1767" s="14" t="s">
        <v>4062</v>
      </c>
      <c r="B1767" s="3" t="s">
        <v>2147</v>
      </c>
      <c r="C1767" s="3" t="s">
        <v>2151</v>
      </c>
      <c r="D1767" s="3" t="s">
        <v>2149</v>
      </c>
      <c r="E1767" s="3">
        <v>30.326000000000001</v>
      </c>
      <c r="F1767" s="3" t="s">
        <v>60</v>
      </c>
      <c r="G1767" s="3" t="s">
        <v>61</v>
      </c>
      <c r="H1767" s="6" t="s">
        <v>4062</v>
      </c>
    </row>
    <row r="1768" spans="1:8" ht="22.5" customHeight="1" x14ac:dyDescent="0.25">
      <c r="A1768" s="13" t="s">
        <v>4063</v>
      </c>
      <c r="B1768" s="2" t="s">
        <v>2153</v>
      </c>
      <c r="C1768" s="2" t="s">
        <v>2157</v>
      </c>
      <c r="D1768" s="2" t="s">
        <v>2155</v>
      </c>
      <c r="E1768" s="2">
        <v>30.326000000000001</v>
      </c>
      <c r="F1768" s="2" t="s">
        <v>60</v>
      </c>
      <c r="G1768" s="2" t="s">
        <v>61</v>
      </c>
      <c r="H1768" s="6" t="s">
        <v>4063</v>
      </c>
    </row>
    <row r="1769" spans="1:8" ht="22.5" customHeight="1" x14ac:dyDescent="0.25">
      <c r="A1769" s="14" t="s">
        <v>4064</v>
      </c>
      <c r="B1769" s="3" t="s">
        <v>2153</v>
      </c>
      <c r="C1769" s="3" t="s">
        <v>2154</v>
      </c>
      <c r="D1769" s="3" t="s">
        <v>2155</v>
      </c>
      <c r="E1769" s="3">
        <v>30.326000000000001</v>
      </c>
      <c r="F1769" s="3" t="s">
        <v>60</v>
      </c>
      <c r="G1769" s="3" t="s">
        <v>61</v>
      </c>
      <c r="H1769" s="6" t="s">
        <v>4064</v>
      </c>
    </row>
    <row r="1770" spans="1:8" ht="22.5" customHeight="1" x14ac:dyDescent="0.25">
      <c r="A1770" s="13" t="s">
        <v>4065</v>
      </c>
      <c r="B1770" s="2" t="s">
        <v>1644</v>
      </c>
      <c r="C1770" s="2" t="s">
        <v>4066</v>
      </c>
      <c r="D1770" s="2" t="s">
        <v>1646</v>
      </c>
      <c r="E1770" s="2">
        <v>33.118510000000001</v>
      </c>
      <c r="F1770" s="2" t="s">
        <v>60</v>
      </c>
      <c r="G1770" s="2" t="s">
        <v>61</v>
      </c>
      <c r="H1770" s="6" t="s">
        <v>4065</v>
      </c>
    </row>
    <row r="1771" spans="1:8" ht="22.5" customHeight="1" x14ac:dyDescent="0.25">
      <c r="A1771" s="14" t="s">
        <v>4067</v>
      </c>
      <c r="B1771" s="3" t="s">
        <v>418</v>
      </c>
      <c r="C1771" s="3" t="s">
        <v>4068</v>
      </c>
      <c r="D1771" s="3" t="s">
        <v>420</v>
      </c>
      <c r="E1771" s="3">
        <v>30.655200000000001</v>
      </c>
      <c r="F1771" s="3" t="s">
        <v>60</v>
      </c>
      <c r="G1771" s="3" t="s">
        <v>61</v>
      </c>
      <c r="H1771" s="6" t="s">
        <v>4067</v>
      </c>
    </row>
    <row r="1772" spans="1:8" ht="22.5" customHeight="1" x14ac:dyDescent="0.25">
      <c r="A1772" s="13" t="s">
        <v>4069</v>
      </c>
      <c r="B1772" s="2" t="s">
        <v>404</v>
      </c>
      <c r="C1772" s="2" t="s">
        <v>4070</v>
      </c>
      <c r="D1772" s="2" t="s">
        <v>406</v>
      </c>
      <c r="E1772" s="2">
        <v>29.999199999999998</v>
      </c>
      <c r="F1772" s="2" t="s">
        <v>60</v>
      </c>
      <c r="G1772" s="2" t="s">
        <v>61</v>
      </c>
      <c r="H1772" s="6" t="s">
        <v>4069</v>
      </c>
    </row>
    <row r="1773" spans="1:8" ht="22.5" customHeight="1" x14ac:dyDescent="0.25">
      <c r="A1773" s="14" t="s">
        <v>4071</v>
      </c>
      <c r="B1773" s="3" t="s">
        <v>2556</v>
      </c>
      <c r="C1773" s="3" t="s">
        <v>4072</v>
      </c>
      <c r="D1773" s="3" t="s">
        <v>2558</v>
      </c>
      <c r="E1773" s="3">
        <v>30.3672</v>
      </c>
      <c r="F1773" s="3" t="s">
        <v>60</v>
      </c>
      <c r="G1773" s="3" t="s">
        <v>61</v>
      </c>
      <c r="H1773" s="6" t="s">
        <v>4071</v>
      </c>
    </row>
    <row r="1774" spans="1:8" ht="22.5" customHeight="1" x14ac:dyDescent="0.25">
      <c r="A1774" s="13" t="s">
        <v>4073</v>
      </c>
      <c r="B1774" s="2" t="s">
        <v>324</v>
      </c>
      <c r="C1774" s="2" t="s">
        <v>3757</v>
      </c>
      <c r="D1774" s="2" t="s">
        <v>326</v>
      </c>
      <c r="E1774" s="2">
        <v>29.719200000000001</v>
      </c>
      <c r="F1774" s="2" t="s">
        <v>60</v>
      </c>
      <c r="G1774" s="2" t="s">
        <v>61</v>
      </c>
      <c r="H1774" s="6" t="s">
        <v>4073</v>
      </c>
    </row>
    <row r="1775" spans="1:8" ht="33.75" customHeight="1" x14ac:dyDescent="0.25">
      <c r="A1775" s="14" t="s">
        <v>4074</v>
      </c>
      <c r="B1775" s="3" t="s">
        <v>77</v>
      </c>
      <c r="C1775" s="3" t="s">
        <v>4075</v>
      </c>
      <c r="D1775" s="3" t="s">
        <v>79</v>
      </c>
      <c r="E1775" s="3">
        <v>31.699200000000001</v>
      </c>
      <c r="F1775" s="3" t="s">
        <v>60</v>
      </c>
      <c r="G1775" s="3" t="s">
        <v>61</v>
      </c>
      <c r="H1775" s="6" t="s">
        <v>4074</v>
      </c>
    </row>
    <row r="1776" spans="1:8" ht="33.75" customHeight="1" x14ac:dyDescent="0.25">
      <c r="A1776" s="13" t="s">
        <v>4076</v>
      </c>
      <c r="B1776" s="2" t="s">
        <v>89</v>
      </c>
      <c r="C1776" s="2" t="s">
        <v>4077</v>
      </c>
      <c r="D1776" s="2" t="s">
        <v>91</v>
      </c>
      <c r="E1776" s="2">
        <v>32.389200000000002</v>
      </c>
      <c r="F1776" s="2" t="s">
        <v>60</v>
      </c>
      <c r="G1776" s="2" t="s">
        <v>61</v>
      </c>
      <c r="H1776" s="6" t="s">
        <v>4076</v>
      </c>
    </row>
    <row r="1777" spans="1:8" ht="33.75" customHeight="1" x14ac:dyDescent="0.25">
      <c r="A1777" s="14" t="s">
        <v>4078</v>
      </c>
      <c r="B1777" s="3" t="s">
        <v>77</v>
      </c>
      <c r="C1777" s="3" t="s">
        <v>4079</v>
      </c>
      <c r="D1777" s="3" t="s">
        <v>79</v>
      </c>
      <c r="E1777" s="3">
        <v>31.699200000000001</v>
      </c>
      <c r="F1777" s="3" t="s">
        <v>60</v>
      </c>
      <c r="G1777" s="3" t="s">
        <v>61</v>
      </c>
      <c r="H1777" s="6" t="s">
        <v>4078</v>
      </c>
    </row>
    <row r="1778" spans="1:8" ht="33.75" customHeight="1" x14ac:dyDescent="0.25">
      <c r="A1778" s="13" t="s">
        <v>4080</v>
      </c>
      <c r="B1778" s="2" t="s">
        <v>386</v>
      </c>
      <c r="C1778" s="2" t="s">
        <v>4081</v>
      </c>
      <c r="D1778" s="2" t="s">
        <v>388</v>
      </c>
      <c r="E1778" s="2">
        <v>33.783799999999999</v>
      </c>
      <c r="F1778" s="2" t="s">
        <v>60</v>
      </c>
      <c r="G1778" s="2" t="s">
        <v>61</v>
      </c>
      <c r="H1778" s="6" t="s">
        <v>4080</v>
      </c>
    </row>
    <row r="1779" spans="1:8" ht="22.5" customHeight="1" x14ac:dyDescent="0.25">
      <c r="A1779" s="14" t="s">
        <v>4082</v>
      </c>
      <c r="B1779" s="3" t="s">
        <v>2556</v>
      </c>
      <c r="C1779" s="3" t="s">
        <v>4083</v>
      </c>
      <c r="D1779" s="3" t="s">
        <v>2558</v>
      </c>
      <c r="E1779" s="3">
        <v>30.3672</v>
      </c>
      <c r="F1779" s="3" t="s">
        <v>60</v>
      </c>
      <c r="G1779" s="3" t="s">
        <v>61</v>
      </c>
      <c r="H1779" s="6" t="s">
        <v>4082</v>
      </c>
    </row>
    <row r="1780" spans="1:8" ht="33.75" customHeight="1" x14ac:dyDescent="0.25">
      <c r="A1780" s="13" t="s">
        <v>4084</v>
      </c>
      <c r="B1780" s="2" t="s">
        <v>794</v>
      </c>
      <c r="C1780" s="2" t="s">
        <v>4085</v>
      </c>
      <c r="D1780" s="2" t="s">
        <v>796</v>
      </c>
      <c r="E1780" s="2">
        <v>34.151200000000003</v>
      </c>
      <c r="F1780" s="2" t="s">
        <v>60</v>
      </c>
      <c r="G1780" s="2" t="s">
        <v>61</v>
      </c>
      <c r="H1780" s="6" t="s">
        <v>4084</v>
      </c>
    </row>
    <row r="1781" spans="1:8" ht="22.5" customHeight="1" x14ac:dyDescent="0.25">
      <c r="A1781" s="14" t="s">
        <v>4086</v>
      </c>
      <c r="B1781" s="3" t="s">
        <v>404</v>
      </c>
      <c r="C1781" s="3" t="s">
        <v>4087</v>
      </c>
      <c r="D1781" s="3" t="s">
        <v>406</v>
      </c>
      <c r="E1781" s="3">
        <v>29.999199999999998</v>
      </c>
      <c r="F1781" s="3" t="s">
        <v>60</v>
      </c>
      <c r="G1781" s="3" t="s">
        <v>61</v>
      </c>
      <c r="H1781" s="6" t="s">
        <v>4086</v>
      </c>
    </row>
    <row r="1782" spans="1:8" ht="22.5" customHeight="1" x14ac:dyDescent="0.25">
      <c r="A1782" s="13" t="s">
        <v>4088</v>
      </c>
      <c r="B1782" s="2" t="s">
        <v>386</v>
      </c>
      <c r="C1782" s="2" t="s">
        <v>4089</v>
      </c>
      <c r="D1782" s="2" t="s">
        <v>388</v>
      </c>
      <c r="E1782" s="2">
        <v>33.783799999999999</v>
      </c>
      <c r="F1782" s="2" t="s">
        <v>60</v>
      </c>
      <c r="G1782" s="2" t="s">
        <v>61</v>
      </c>
      <c r="H1782" s="6" t="s">
        <v>4088</v>
      </c>
    </row>
    <row r="1783" spans="1:8" ht="22.5" customHeight="1" x14ac:dyDescent="0.25">
      <c r="A1783" s="14" t="s">
        <v>4090</v>
      </c>
      <c r="B1783" s="3" t="s">
        <v>2556</v>
      </c>
      <c r="C1783" s="3" t="s">
        <v>4091</v>
      </c>
      <c r="D1783" s="3" t="s">
        <v>2558</v>
      </c>
      <c r="E1783" s="3">
        <v>30.3672</v>
      </c>
      <c r="F1783" s="3" t="s">
        <v>60</v>
      </c>
      <c r="G1783" s="3" t="s">
        <v>61</v>
      </c>
      <c r="H1783" s="6" t="s">
        <v>4090</v>
      </c>
    </row>
    <row r="1784" spans="1:8" ht="33.75" customHeight="1" x14ac:dyDescent="0.25">
      <c r="A1784" s="13" t="s">
        <v>4092</v>
      </c>
      <c r="B1784" s="2" t="s">
        <v>404</v>
      </c>
      <c r="C1784" s="2" t="s">
        <v>4093</v>
      </c>
      <c r="D1784" s="2" t="s">
        <v>406</v>
      </c>
      <c r="E1784" s="2">
        <v>29.999199999999998</v>
      </c>
      <c r="F1784" s="2" t="s">
        <v>60</v>
      </c>
      <c r="G1784" s="2" t="s">
        <v>61</v>
      </c>
      <c r="H1784" s="6" t="s">
        <v>4092</v>
      </c>
    </row>
    <row r="1785" spans="1:8" ht="22.5" customHeight="1" x14ac:dyDescent="0.25">
      <c r="A1785" s="14" t="s">
        <v>4094</v>
      </c>
      <c r="B1785" s="3" t="s">
        <v>2454</v>
      </c>
      <c r="C1785" s="3" t="s">
        <v>4095</v>
      </c>
      <c r="D1785" s="3" t="s">
        <v>2456</v>
      </c>
      <c r="E1785" s="3">
        <v>28.565999999999999</v>
      </c>
      <c r="F1785" s="3" t="s">
        <v>60</v>
      </c>
      <c r="G1785" s="3" t="s">
        <v>61</v>
      </c>
      <c r="H1785" s="6" t="s">
        <v>4094</v>
      </c>
    </row>
    <row r="1786" spans="1:8" ht="22.5" customHeight="1" x14ac:dyDescent="0.25">
      <c r="A1786" s="13" t="s">
        <v>4096</v>
      </c>
      <c r="B1786" s="2" t="s">
        <v>2454</v>
      </c>
      <c r="C1786" s="2" t="s">
        <v>4097</v>
      </c>
      <c r="D1786" s="2" t="s">
        <v>2456</v>
      </c>
      <c r="E1786" s="2">
        <v>28.565999999999999</v>
      </c>
      <c r="F1786" s="2" t="s">
        <v>60</v>
      </c>
      <c r="G1786" s="2" t="s">
        <v>61</v>
      </c>
      <c r="H1786" s="6" t="s">
        <v>4096</v>
      </c>
    </row>
    <row r="1787" spans="1:8" ht="22.5" customHeight="1" x14ac:dyDescent="0.25">
      <c r="A1787" s="14" t="s">
        <v>4098</v>
      </c>
      <c r="B1787" s="3" t="s">
        <v>2458</v>
      </c>
      <c r="C1787" s="3" t="s">
        <v>3537</v>
      </c>
      <c r="D1787" s="3" t="s">
        <v>2460</v>
      </c>
      <c r="E1787" s="3">
        <v>28.126000000000001</v>
      </c>
      <c r="F1787" s="3" t="s">
        <v>60</v>
      </c>
      <c r="G1787" s="3" t="s">
        <v>61</v>
      </c>
      <c r="H1787" s="6" t="s">
        <v>4098</v>
      </c>
    </row>
    <row r="1788" spans="1:8" ht="22.5" customHeight="1" x14ac:dyDescent="0.25">
      <c r="A1788" s="13" t="s">
        <v>4099</v>
      </c>
      <c r="B1788" s="2" t="s">
        <v>2458</v>
      </c>
      <c r="C1788" s="2" t="s">
        <v>4100</v>
      </c>
      <c r="D1788" s="2" t="s">
        <v>2460</v>
      </c>
      <c r="E1788" s="2">
        <v>28.126000000000001</v>
      </c>
      <c r="F1788" s="2" t="s">
        <v>60</v>
      </c>
      <c r="G1788" s="2" t="s">
        <v>61</v>
      </c>
      <c r="H1788" s="6" t="s">
        <v>4099</v>
      </c>
    </row>
    <row r="1789" spans="1:8" ht="22.5" customHeight="1" x14ac:dyDescent="0.25">
      <c r="A1789" s="14" t="s">
        <v>4101</v>
      </c>
      <c r="B1789" s="3" t="s">
        <v>2462</v>
      </c>
      <c r="C1789" s="3" t="s">
        <v>3541</v>
      </c>
      <c r="D1789" s="3" t="s">
        <v>2464</v>
      </c>
      <c r="E1789" s="3">
        <v>28.126000000000001</v>
      </c>
      <c r="F1789" s="3" t="s">
        <v>60</v>
      </c>
      <c r="G1789" s="3" t="s">
        <v>61</v>
      </c>
      <c r="H1789" s="6" t="s">
        <v>4101</v>
      </c>
    </row>
    <row r="1790" spans="1:8" ht="22.5" customHeight="1" x14ac:dyDescent="0.25">
      <c r="A1790" s="13" t="s">
        <v>4102</v>
      </c>
      <c r="B1790" s="2" t="s">
        <v>2462</v>
      </c>
      <c r="C1790" s="2" t="s">
        <v>4103</v>
      </c>
      <c r="D1790" s="2" t="s">
        <v>2464</v>
      </c>
      <c r="E1790" s="2">
        <v>28.126000000000001</v>
      </c>
      <c r="F1790" s="2" t="s">
        <v>60</v>
      </c>
      <c r="G1790" s="2" t="s">
        <v>61</v>
      </c>
      <c r="H1790" s="6" t="s">
        <v>4102</v>
      </c>
    </row>
    <row r="1791" spans="1:8" ht="22.5" customHeight="1" x14ac:dyDescent="0.25">
      <c r="A1791" s="14" t="s">
        <v>4104</v>
      </c>
      <c r="B1791" s="3" t="s">
        <v>2700</v>
      </c>
      <c r="C1791" s="3" t="s">
        <v>3545</v>
      </c>
      <c r="D1791" s="3" t="s">
        <v>2702</v>
      </c>
      <c r="E1791" s="3">
        <v>28.126000000000001</v>
      </c>
      <c r="F1791" s="3" t="s">
        <v>60</v>
      </c>
      <c r="G1791" s="3" t="s">
        <v>61</v>
      </c>
      <c r="H1791" s="6" t="s">
        <v>4104</v>
      </c>
    </row>
    <row r="1792" spans="1:8" ht="22.5" customHeight="1" x14ac:dyDescent="0.25">
      <c r="A1792" s="13" t="s">
        <v>4105</v>
      </c>
      <c r="B1792" s="2" t="s">
        <v>2700</v>
      </c>
      <c r="C1792" s="2" t="s">
        <v>4106</v>
      </c>
      <c r="D1792" s="2" t="s">
        <v>2702</v>
      </c>
      <c r="E1792" s="2">
        <v>28.126000000000001</v>
      </c>
      <c r="F1792" s="2" t="s">
        <v>60</v>
      </c>
      <c r="G1792" s="2" t="s">
        <v>61</v>
      </c>
      <c r="H1792" s="6" t="s">
        <v>4105</v>
      </c>
    </row>
    <row r="1793" spans="1:8" ht="22.5" customHeight="1" x14ac:dyDescent="0.25">
      <c r="A1793" s="14" t="s">
        <v>4107</v>
      </c>
      <c r="B1793" s="3" t="s">
        <v>3547</v>
      </c>
      <c r="C1793" s="3" t="s">
        <v>4108</v>
      </c>
      <c r="D1793" s="3" t="s">
        <v>3549</v>
      </c>
      <c r="E1793" s="3">
        <v>28.126000000000001</v>
      </c>
      <c r="F1793" s="3" t="s">
        <v>60</v>
      </c>
      <c r="G1793" s="3" t="s">
        <v>61</v>
      </c>
      <c r="H1793" s="6" t="s">
        <v>4107</v>
      </c>
    </row>
    <row r="1794" spans="1:8" ht="22.5" customHeight="1" x14ac:dyDescent="0.25">
      <c r="A1794" s="13" t="s">
        <v>4109</v>
      </c>
      <c r="B1794" s="2" t="s">
        <v>2137</v>
      </c>
      <c r="C1794" s="2" t="s">
        <v>4110</v>
      </c>
      <c r="D1794" s="2" t="s">
        <v>2139</v>
      </c>
      <c r="E1794" s="2">
        <v>27.925999999999998</v>
      </c>
      <c r="F1794" s="2" t="s">
        <v>60</v>
      </c>
      <c r="G1794" s="2" t="s">
        <v>61</v>
      </c>
      <c r="H1794" s="6" t="s">
        <v>4109</v>
      </c>
    </row>
    <row r="1795" spans="1:8" ht="22.5" customHeight="1" x14ac:dyDescent="0.25">
      <c r="A1795" s="14" t="s">
        <v>4111</v>
      </c>
      <c r="B1795" s="3" t="s">
        <v>794</v>
      </c>
      <c r="C1795" s="3" t="s">
        <v>4112</v>
      </c>
      <c r="D1795" s="3" t="s">
        <v>796</v>
      </c>
      <c r="E1795" s="3">
        <v>34.151200000000003</v>
      </c>
      <c r="F1795" s="3" t="s">
        <v>60</v>
      </c>
      <c r="G1795" s="3" t="s">
        <v>61</v>
      </c>
      <c r="H1795" s="6" t="s">
        <v>4111</v>
      </c>
    </row>
    <row r="1796" spans="1:8" ht="33.75" customHeight="1" x14ac:dyDescent="0.25">
      <c r="A1796" s="13" t="s">
        <v>4113</v>
      </c>
      <c r="B1796" s="2" t="s">
        <v>226</v>
      </c>
      <c r="C1796" s="2" t="s">
        <v>4114</v>
      </c>
      <c r="D1796" s="2" t="s">
        <v>228</v>
      </c>
      <c r="E1796" s="2">
        <v>30.6632</v>
      </c>
      <c r="F1796" s="2" t="s">
        <v>60</v>
      </c>
      <c r="G1796" s="2" t="s">
        <v>61</v>
      </c>
      <c r="H1796" s="6" t="s">
        <v>4113</v>
      </c>
    </row>
    <row r="1797" spans="1:8" ht="33.75" customHeight="1" x14ac:dyDescent="0.25">
      <c r="A1797" s="14" t="s">
        <v>4115</v>
      </c>
      <c r="B1797" s="3" t="s">
        <v>112</v>
      </c>
      <c r="C1797" s="3" t="s">
        <v>4116</v>
      </c>
      <c r="D1797" s="3" t="s">
        <v>114</v>
      </c>
      <c r="E1797" s="3">
        <v>30.7682</v>
      </c>
      <c r="F1797" s="3" t="s">
        <v>60</v>
      </c>
      <c r="G1797" s="3" t="s">
        <v>61</v>
      </c>
      <c r="H1797" s="6" t="s">
        <v>4115</v>
      </c>
    </row>
    <row r="1798" spans="1:8" ht="33.75" customHeight="1" x14ac:dyDescent="0.25">
      <c r="A1798" s="13" t="s">
        <v>4117</v>
      </c>
      <c r="B1798" s="2" t="s">
        <v>112</v>
      </c>
      <c r="C1798" s="2" t="s">
        <v>3968</v>
      </c>
      <c r="D1798" s="2" t="s">
        <v>114</v>
      </c>
      <c r="E1798" s="2">
        <v>30.7682</v>
      </c>
      <c r="F1798" s="2" t="s">
        <v>60</v>
      </c>
      <c r="G1798" s="2" t="s">
        <v>61</v>
      </c>
      <c r="H1798" s="6" t="s">
        <v>4117</v>
      </c>
    </row>
    <row r="1799" spans="1:8" ht="33.75" customHeight="1" x14ac:dyDescent="0.25">
      <c r="A1799" s="14" t="s">
        <v>4118</v>
      </c>
      <c r="B1799" s="3" t="s">
        <v>89</v>
      </c>
      <c r="C1799" s="3" t="s">
        <v>4119</v>
      </c>
      <c r="D1799" s="3" t="s">
        <v>91</v>
      </c>
      <c r="E1799" s="3">
        <v>32.389200000000002</v>
      </c>
      <c r="F1799" s="3" t="s">
        <v>60</v>
      </c>
      <c r="G1799" s="3" t="s">
        <v>61</v>
      </c>
      <c r="H1799" s="6" t="s">
        <v>4118</v>
      </c>
    </row>
    <row r="1800" spans="1:8" ht="22.5" customHeight="1" x14ac:dyDescent="0.25">
      <c r="A1800" s="13" t="s">
        <v>4120</v>
      </c>
      <c r="B1800" s="2" t="s">
        <v>3124</v>
      </c>
      <c r="C1800" s="2" t="s">
        <v>4121</v>
      </c>
      <c r="D1800" s="2" t="s">
        <v>3126</v>
      </c>
      <c r="E1800" s="2">
        <v>34.070599999999999</v>
      </c>
      <c r="F1800" s="2" t="s">
        <v>60</v>
      </c>
      <c r="G1800" s="2" t="s">
        <v>61</v>
      </c>
      <c r="H1800" s="6" t="s">
        <v>4120</v>
      </c>
    </row>
    <row r="1801" spans="1:8" ht="22.5" customHeight="1" x14ac:dyDescent="0.25">
      <c r="A1801" s="14" t="s">
        <v>4122</v>
      </c>
      <c r="B1801" s="3" t="s">
        <v>665</v>
      </c>
      <c r="C1801" s="3" t="s">
        <v>4123</v>
      </c>
      <c r="D1801" s="3" t="s">
        <v>667</v>
      </c>
      <c r="E1801" s="3">
        <v>29.432400000000001</v>
      </c>
      <c r="F1801" s="3" t="s">
        <v>60</v>
      </c>
      <c r="G1801" s="3" t="s">
        <v>61</v>
      </c>
      <c r="H1801" s="6" t="s">
        <v>4122</v>
      </c>
    </row>
    <row r="1802" spans="1:8" ht="22.5" customHeight="1" x14ac:dyDescent="0.25">
      <c r="A1802" s="13" t="s">
        <v>4124</v>
      </c>
      <c r="B1802" s="2" t="s">
        <v>677</v>
      </c>
      <c r="C1802" s="2" t="s">
        <v>4125</v>
      </c>
      <c r="D1802" s="2" t="s">
        <v>679</v>
      </c>
      <c r="E1802" s="2">
        <v>30.3504</v>
      </c>
      <c r="F1802" s="2" t="s">
        <v>60</v>
      </c>
      <c r="G1802" s="2" t="s">
        <v>61</v>
      </c>
      <c r="H1802" s="6" t="s">
        <v>4124</v>
      </c>
    </row>
    <row r="1803" spans="1:8" ht="22.5" customHeight="1" x14ac:dyDescent="0.25">
      <c r="A1803" s="14" t="s">
        <v>4126</v>
      </c>
      <c r="B1803" s="3" t="s">
        <v>650</v>
      </c>
      <c r="C1803" s="3" t="s">
        <v>4127</v>
      </c>
      <c r="D1803" s="3" t="s">
        <v>652</v>
      </c>
      <c r="E1803" s="3">
        <v>33.497</v>
      </c>
      <c r="F1803" s="3" t="s">
        <v>60</v>
      </c>
      <c r="G1803" s="3" t="s">
        <v>61</v>
      </c>
      <c r="H1803" s="6" t="s">
        <v>4126</v>
      </c>
    </row>
    <row r="1804" spans="1:8" ht="22.5" customHeight="1" x14ac:dyDescent="0.25">
      <c r="A1804" s="13" t="s">
        <v>4128</v>
      </c>
      <c r="B1804" s="2" t="s">
        <v>4129</v>
      </c>
      <c r="C1804" s="2" t="s">
        <v>4130</v>
      </c>
      <c r="D1804" s="2" t="s">
        <v>4131</v>
      </c>
      <c r="E1804" s="2">
        <v>28.007480000000001</v>
      </c>
      <c r="F1804" s="2" t="s">
        <v>60</v>
      </c>
      <c r="G1804" s="2" t="s">
        <v>61</v>
      </c>
      <c r="H1804" s="6" t="s">
        <v>4128</v>
      </c>
    </row>
    <row r="1805" spans="1:8" ht="22.5" customHeight="1" x14ac:dyDescent="0.25">
      <c r="A1805" s="14" t="s">
        <v>4132</v>
      </c>
      <c r="B1805" s="3" t="s">
        <v>4129</v>
      </c>
      <c r="C1805" s="3" t="s">
        <v>4133</v>
      </c>
      <c r="D1805" s="3" t="s">
        <v>4131</v>
      </c>
      <c r="E1805" s="3">
        <v>28.007480000000001</v>
      </c>
      <c r="F1805" s="3" t="s">
        <v>60</v>
      </c>
      <c r="G1805" s="3" t="s">
        <v>61</v>
      </c>
      <c r="H1805" s="6" t="s">
        <v>4132</v>
      </c>
    </row>
    <row r="1806" spans="1:8" ht="22.5" customHeight="1" x14ac:dyDescent="0.25">
      <c r="A1806" s="13" t="s">
        <v>4134</v>
      </c>
      <c r="B1806" s="2" t="s">
        <v>4135</v>
      </c>
      <c r="C1806" s="2" t="s">
        <v>4136</v>
      </c>
      <c r="D1806" s="2" t="s">
        <v>4137</v>
      </c>
      <c r="E1806" s="2">
        <v>28.257760000000001</v>
      </c>
      <c r="F1806" s="2" t="s">
        <v>60</v>
      </c>
      <c r="G1806" s="2" t="s">
        <v>61</v>
      </c>
      <c r="H1806" s="6" t="s">
        <v>4134</v>
      </c>
    </row>
    <row r="1807" spans="1:8" ht="22.5" customHeight="1" x14ac:dyDescent="0.25">
      <c r="A1807" s="14" t="s">
        <v>4138</v>
      </c>
      <c r="B1807" s="3" t="s">
        <v>4139</v>
      </c>
      <c r="C1807" s="3" t="s">
        <v>4140</v>
      </c>
      <c r="D1807" s="3" t="s">
        <v>4141</v>
      </c>
      <c r="E1807" s="3">
        <v>27.981560000000002</v>
      </c>
      <c r="F1807" s="3" t="s">
        <v>60</v>
      </c>
      <c r="G1807" s="3" t="s">
        <v>61</v>
      </c>
      <c r="H1807" s="6" t="s">
        <v>4138</v>
      </c>
    </row>
    <row r="1808" spans="1:8" ht="33.75" customHeight="1" x14ac:dyDescent="0.25">
      <c r="A1808" s="13" t="s">
        <v>4142</v>
      </c>
      <c r="B1808" s="2" t="s">
        <v>4143</v>
      </c>
      <c r="C1808" s="2" t="s">
        <v>4144</v>
      </c>
      <c r="D1808" s="2" t="s">
        <v>4145</v>
      </c>
      <c r="E1808" s="2">
        <v>27.7424</v>
      </c>
      <c r="F1808" s="2" t="s">
        <v>60</v>
      </c>
      <c r="G1808" s="2" t="s">
        <v>61</v>
      </c>
      <c r="H1808" s="6" t="s">
        <v>4142</v>
      </c>
    </row>
    <row r="1809" spans="1:8" ht="33.75" customHeight="1" x14ac:dyDescent="0.25">
      <c r="A1809" s="14" t="s">
        <v>4146</v>
      </c>
      <c r="B1809" s="3" t="s">
        <v>156</v>
      </c>
      <c r="C1809" s="3" t="s">
        <v>4147</v>
      </c>
      <c r="D1809" s="3" t="s">
        <v>158</v>
      </c>
      <c r="E1809" s="3">
        <v>30.987200000000001</v>
      </c>
      <c r="F1809" s="3" t="s">
        <v>60</v>
      </c>
      <c r="G1809" s="3" t="s">
        <v>61</v>
      </c>
      <c r="H1809" s="6" t="s">
        <v>4146</v>
      </c>
    </row>
    <row r="1810" spans="1:8" ht="22.5" customHeight="1" x14ac:dyDescent="0.25">
      <c r="A1810" s="13" t="s">
        <v>4148</v>
      </c>
      <c r="B1810" s="2" t="s">
        <v>632</v>
      </c>
      <c r="C1810" s="2" t="s">
        <v>4149</v>
      </c>
      <c r="D1810" s="2" t="s">
        <v>634</v>
      </c>
      <c r="E1810" s="2">
        <v>27.795079999999999</v>
      </c>
      <c r="F1810" s="2" t="s">
        <v>60</v>
      </c>
      <c r="G1810" s="2" t="s">
        <v>61</v>
      </c>
      <c r="H1810" s="6" t="s">
        <v>4148</v>
      </c>
    </row>
    <row r="1811" spans="1:8" ht="33.75" customHeight="1" x14ac:dyDescent="0.25">
      <c r="A1811" s="14" t="s">
        <v>4150</v>
      </c>
      <c r="B1811" s="3" t="s">
        <v>1813</v>
      </c>
      <c r="C1811" s="3" t="s">
        <v>4151</v>
      </c>
      <c r="D1811" s="3" t="s">
        <v>1815</v>
      </c>
      <c r="E1811" s="3">
        <v>27.785360000000001</v>
      </c>
      <c r="F1811" s="3" t="s">
        <v>60</v>
      </c>
      <c r="G1811" s="3" t="s">
        <v>61</v>
      </c>
      <c r="H1811" s="6" t="s">
        <v>4150</v>
      </c>
    </row>
    <row r="1812" spans="1:8" ht="22.5" customHeight="1" x14ac:dyDescent="0.25">
      <c r="A1812" s="13" t="s">
        <v>4152</v>
      </c>
      <c r="B1812" s="2" t="s">
        <v>1813</v>
      </c>
      <c r="C1812" s="2" t="s">
        <v>4153</v>
      </c>
      <c r="D1812" s="2" t="s">
        <v>1815</v>
      </c>
      <c r="E1812" s="2">
        <v>27.785360000000001</v>
      </c>
      <c r="F1812" s="2" t="s">
        <v>60</v>
      </c>
      <c r="G1812" s="2" t="s">
        <v>61</v>
      </c>
      <c r="H1812" s="6" t="s">
        <v>4152</v>
      </c>
    </row>
    <row r="1813" spans="1:8" ht="22.5" customHeight="1" x14ac:dyDescent="0.25">
      <c r="A1813" s="14" t="s">
        <v>4154</v>
      </c>
      <c r="B1813" s="3" t="s">
        <v>4155</v>
      </c>
      <c r="C1813" s="3" t="s">
        <v>4156</v>
      </c>
      <c r="D1813" s="3" t="s">
        <v>4157</v>
      </c>
      <c r="E1813" s="3">
        <v>27.97184</v>
      </c>
      <c r="F1813" s="3" t="s">
        <v>60</v>
      </c>
      <c r="G1813" s="3" t="s">
        <v>61</v>
      </c>
      <c r="H1813" s="6" t="s">
        <v>4154</v>
      </c>
    </row>
    <row r="1814" spans="1:8" ht="22.5" customHeight="1" x14ac:dyDescent="0.25">
      <c r="A1814" s="13" t="s">
        <v>4158</v>
      </c>
      <c r="B1814" s="2" t="s">
        <v>1817</v>
      </c>
      <c r="C1814" s="2" t="s">
        <v>4159</v>
      </c>
      <c r="D1814" s="2" t="s">
        <v>1819</v>
      </c>
      <c r="E1814" s="2">
        <v>29.366</v>
      </c>
      <c r="F1814" s="2" t="s">
        <v>60</v>
      </c>
      <c r="G1814" s="2" t="s">
        <v>61</v>
      </c>
      <c r="H1814" s="6" t="s">
        <v>4158</v>
      </c>
    </row>
    <row r="1815" spans="1:8" ht="33.75" customHeight="1" x14ac:dyDescent="0.25">
      <c r="A1815" s="14" t="s">
        <v>4160</v>
      </c>
      <c r="B1815" s="3" t="s">
        <v>1817</v>
      </c>
      <c r="C1815" s="3" t="s">
        <v>4161</v>
      </c>
      <c r="D1815" s="3" t="s">
        <v>1819</v>
      </c>
      <c r="E1815" s="3">
        <v>29.366</v>
      </c>
      <c r="F1815" s="3" t="s">
        <v>60</v>
      </c>
      <c r="G1815" s="3" t="s">
        <v>61</v>
      </c>
      <c r="H1815" s="6" t="s">
        <v>4160</v>
      </c>
    </row>
    <row r="1816" spans="1:8" ht="33.75" customHeight="1" x14ac:dyDescent="0.25">
      <c r="A1816" s="13" t="s">
        <v>4162</v>
      </c>
      <c r="B1816" s="2" t="s">
        <v>1817</v>
      </c>
      <c r="C1816" s="2" t="s">
        <v>4163</v>
      </c>
      <c r="D1816" s="2" t="s">
        <v>1819</v>
      </c>
      <c r="E1816" s="2">
        <v>29.366</v>
      </c>
      <c r="F1816" s="2" t="s">
        <v>60</v>
      </c>
      <c r="G1816" s="2" t="s">
        <v>61</v>
      </c>
      <c r="H1816" s="6" t="s">
        <v>4162</v>
      </c>
    </row>
    <row r="1817" spans="1:8" ht="22.5" customHeight="1" x14ac:dyDescent="0.25">
      <c r="A1817" s="14" t="s">
        <v>4164</v>
      </c>
      <c r="B1817" s="3" t="s">
        <v>4165</v>
      </c>
      <c r="C1817" s="3" t="s">
        <v>4166</v>
      </c>
      <c r="D1817" s="3" t="s">
        <v>4167</v>
      </c>
      <c r="E1817" s="3">
        <v>27.958880000000001</v>
      </c>
      <c r="F1817" s="3" t="s">
        <v>60</v>
      </c>
      <c r="G1817" s="3" t="s">
        <v>61</v>
      </c>
      <c r="H1817" s="6" t="s">
        <v>4164</v>
      </c>
    </row>
    <row r="1818" spans="1:8" ht="22.5" customHeight="1" x14ac:dyDescent="0.25">
      <c r="A1818" s="13" t="s">
        <v>4168</v>
      </c>
      <c r="B1818" s="2" t="s">
        <v>1817</v>
      </c>
      <c r="C1818" s="2" t="s">
        <v>4169</v>
      </c>
      <c r="D1818" s="2" t="s">
        <v>1819</v>
      </c>
      <c r="E1818" s="2">
        <v>29.366</v>
      </c>
      <c r="F1818" s="2" t="s">
        <v>60</v>
      </c>
      <c r="G1818" s="2" t="s">
        <v>61</v>
      </c>
      <c r="H1818" s="6" t="s">
        <v>4168</v>
      </c>
    </row>
    <row r="1819" spans="1:8" ht="22.5" customHeight="1" x14ac:dyDescent="0.25">
      <c r="A1819" s="14" t="s">
        <v>4170</v>
      </c>
      <c r="B1819" s="3" t="s">
        <v>4171</v>
      </c>
      <c r="C1819" s="3" t="s">
        <v>4172</v>
      </c>
      <c r="D1819" s="3" t="s">
        <v>4173</v>
      </c>
      <c r="E1819" s="3">
        <v>27.378879999999999</v>
      </c>
      <c r="F1819" s="3" t="s">
        <v>60</v>
      </c>
      <c r="G1819" s="3" t="s">
        <v>61</v>
      </c>
      <c r="H1819" s="6" t="s">
        <v>4170</v>
      </c>
    </row>
    <row r="1820" spans="1:8" ht="33.75" customHeight="1" x14ac:dyDescent="0.25">
      <c r="A1820" s="13" t="s">
        <v>4174</v>
      </c>
      <c r="B1820" s="2" t="s">
        <v>4175</v>
      </c>
      <c r="C1820" s="2" t="s">
        <v>4176</v>
      </c>
      <c r="D1820" s="2" t="s">
        <v>4177</v>
      </c>
      <c r="E1820" s="2">
        <v>29.469919999999998</v>
      </c>
      <c r="F1820" s="2" t="s">
        <v>60</v>
      </c>
      <c r="G1820" s="2" t="s">
        <v>61</v>
      </c>
      <c r="H1820" s="6" t="s">
        <v>4174</v>
      </c>
    </row>
    <row r="1821" spans="1:8" ht="33.75" customHeight="1" x14ac:dyDescent="0.25">
      <c r="A1821" s="14" t="s">
        <v>4178</v>
      </c>
      <c r="B1821" s="3" t="s">
        <v>4179</v>
      </c>
      <c r="C1821" s="3" t="s">
        <v>4180</v>
      </c>
      <c r="D1821" s="3" t="s">
        <v>4181</v>
      </c>
      <c r="E1821" s="3">
        <v>29.73668</v>
      </c>
      <c r="F1821" s="3" t="s">
        <v>60</v>
      </c>
      <c r="G1821" s="3" t="s">
        <v>61</v>
      </c>
      <c r="H1821" s="6" t="s">
        <v>4178</v>
      </c>
    </row>
    <row r="1822" spans="1:8" ht="33.75" customHeight="1" x14ac:dyDescent="0.25">
      <c r="A1822" s="13" t="s">
        <v>4182</v>
      </c>
      <c r="B1822" s="2" t="s">
        <v>4183</v>
      </c>
      <c r="C1822" s="2" t="s">
        <v>4184</v>
      </c>
      <c r="D1822" s="2" t="s">
        <v>4185</v>
      </c>
      <c r="E1822" s="2">
        <v>30.027439999999999</v>
      </c>
      <c r="F1822" s="2" t="s">
        <v>60</v>
      </c>
      <c r="G1822" s="2" t="s">
        <v>61</v>
      </c>
      <c r="H1822" s="6" t="s">
        <v>4182</v>
      </c>
    </row>
    <row r="1823" spans="1:8" ht="22.5" customHeight="1" x14ac:dyDescent="0.25">
      <c r="A1823" s="14" t="s">
        <v>4186</v>
      </c>
      <c r="B1823" s="3" t="s">
        <v>4135</v>
      </c>
      <c r="C1823" s="3" t="s">
        <v>4187</v>
      </c>
      <c r="D1823" s="3" t="s">
        <v>4137</v>
      </c>
      <c r="E1823" s="3">
        <v>28.257760000000001</v>
      </c>
      <c r="F1823" s="3" t="s">
        <v>60</v>
      </c>
      <c r="G1823" s="3" t="s">
        <v>61</v>
      </c>
      <c r="H1823" s="6" t="s">
        <v>4186</v>
      </c>
    </row>
    <row r="1824" spans="1:8" ht="22.5" customHeight="1" x14ac:dyDescent="0.25">
      <c r="A1824" s="13" t="s">
        <v>4188</v>
      </c>
      <c r="B1824" s="2" t="s">
        <v>4135</v>
      </c>
      <c r="C1824" s="2" t="s">
        <v>4189</v>
      </c>
      <c r="D1824" s="2" t="s">
        <v>4137</v>
      </c>
      <c r="E1824" s="2">
        <v>28.257760000000001</v>
      </c>
      <c r="F1824" s="2" t="s">
        <v>60</v>
      </c>
      <c r="G1824" s="2" t="s">
        <v>61</v>
      </c>
      <c r="H1824" s="6" t="s">
        <v>4188</v>
      </c>
    </row>
    <row r="1825" spans="1:8" ht="22.5" customHeight="1" x14ac:dyDescent="0.25">
      <c r="A1825" s="14" t="s">
        <v>4190</v>
      </c>
      <c r="B1825" s="3" t="s">
        <v>4135</v>
      </c>
      <c r="C1825" s="3" t="s">
        <v>4191</v>
      </c>
      <c r="D1825" s="3" t="s">
        <v>4137</v>
      </c>
      <c r="E1825" s="3">
        <v>28.257760000000001</v>
      </c>
      <c r="F1825" s="3" t="s">
        <v>60</v>
      </c>
      <c r="G1825" s="3" t="s">
        <v>61</v>
      </c>
      <c r="H1825" s="6" t="s">
        <v>4190</v>
      </c>
    </row>
    <row r="1826" spans="1:8" ht="22.5" customHeight="1" x14ac:dyDescent="0.25">
      <c r="A1826" s="13" t="s">
        <v>4192</v>
      </c>
      <c r="B1826" s="2" t="s">
        <v>4193</v>
      </c>
      <c r="C1826" s="2" t="s">
        <v>4194</v>
      </c>
      <c r="D1826" s="2" t="s">
        <v>4195</v>
      </c>
      <c r="E1826" s="2">
        <v>27.988040000000002</v>
      </c>
      <c r="F1826" s="2" t="s">
        <v>60</v>
      </c>
      <c r="G1826" s="2" t="s">
        <v>61</v>
      </c>
      <c r="H1826" s="6" t="s">
        <v>4192</v>
      </c>
    </row>
    <row r="1827" spans="1:8" ht="33.75" customHeight="1" x14ac:dyDescent="0.25">
      <c r="A1827" s="14" t="s">
        <v>4196</v>
      </c>
      <c r="B1827" s="3" t="s">
        <v>632</v>
      </c>
      <c r="C1827" s="3" t="s">
        <v>4197</v>
      </c>
      <c r="D1827" s="3" t="s">
        <v>634</v>
      </c>
      <c r="E1827" s="3">
        <v>27.795079999999999</v>
      </c>
      <c r="F1827" s="3" t="s">
        <v>60</v>
      </c>
      <c r="G1827" s="3" t="s">
        <v>61</v>
      </c>
      <c r="H1827" s="6" t="s">
        <v>4196</v>
      </c>
    </row>
    <row r="1828" spans="1:8" ht="22.5" customHeight="1" x14ac:dyDescent="0.25">
      <c r="A1828" s="13" t="s">
        <v>4198</v>
      </c>
      <c r="B1828" s="2" t="s">
        <v>1813</v>
      </c>
      <c r="C1828" s="2" t="s">
        <v>1814</v>
      </c>
      <c r="D1828" s="2" t="s">
        <v>1815</v>
      </c>
      <c r="E1828" s="2">
        <v>27.785360000000001</v>
      </c>
      <c r="F1828" s="2" t="s">
        <v>60</v>
      </c>
      <c r="G1828" s="2" t="s">
        <v>61</v>
      </c>
      <c r="H1828" s="6" t="s">
        <v>4198</v>
      </c>
    </row>
    <row r="1829" spans="1:8" ht="22.5" customHeight="1" x14ac:dyDescent="0.25">
      <c r="A1829" s="14" t="s">
        <v>4199</v>
      </c>
      <c r="B1829" s="3" t="s">
        <v>404</v>
      </c>
      <c r="C1829" s="3" t="s">
        <v>4200</v>
      </c>
      <c r="D1829" s="3" t="s">
        <v>406</v>
      </c>
      <c r="E1829" s="3">
        <v>29.999199999999998</v>
      </c>
      <c r="F1829" s="3" t="s">
        <v>60</v>
      </c>
      <c r="G1829" s="3" t="s">
        <v>61</v>
      </c>
      <c r="H1829" s="6" t="s">
        <v>4199</v>
      </c>
    </row>
    <row r="1830" spans="1:8" ht="22.5" customHeight="1" x14ac:dyDescent="0.25">
      <c r="A1830" s="13" t="s">
        <v>4201</v>
      </c>
      <c r="B1830" s="2" t="s">
        <v>356</v>
      </c>
      <c r="C1830" s="2" t="s">
        <v>4202</v>
      </c>
      <c r="D1830" s="2" t="s">
        <v>358</v>
      </c>
      <c r="E1830" s="2">
        <v>29.5992</v>
      </c>
      <c r="F1830" s="2" t="s">
        <v>60</v>
      </c>
      <c r="G1830" s="2" t="s">
        <v>61</v>
      </c>
      <c r="H1830" s="6" t="s">
        <v>4201</v>
      </c>
    </row>
    <row r="1831" spans="1:8" ht="22.5" customHeight="1" x14ac:dyDescent="0.25">
      <c r="A1831" s="14" t="s">
        <v>4203</v>
      </c>
      <c r="B1831" s="3" t="s">
        <v>418</v>
      </c>
      <c r="C1831" s="3" t="s">
        <v>4204</v>
      </c>
      <c r="D1831" s="3" t="s">
        <v>420</v>
      </c>
      <c r="E1831" s="3">
        <v>30.655200000000001</v>
      </c>
      <c r="F1831" s="3" t="s">
        <v>60</v>
      </c>
      <c r="G1831" s="3" t="s">
        <v>61</v>
      </c>
      <c r="H1831" s="6" t="s">
        <v>4203</v>
      </c>
    </row>
    <row r="1832" spans="1:8" ht="33.75" customHeight="1" x14ac:dyDescent="0.25">
      <c r="A1832" s="13" t="s">
        <v>4205</v>
      </c>
      <c r="B1832" s="2" t="s">
        <v>324</v>
      </c>
      <c r="C1832" s="2" t="s">
        <v>4206</v>
      </c>
      <c r="D1832" s="2" t="s">
        <v>326</v>
      </c>
      <c r="E1832" s="2">
        <v>29.719200000000001</v>
      </c>
      <c r="F1832" s="2" t="s">
        <v>60</v>
      </c>
      <c r="G1832" s="2" t="s">
        <v>61</v>
      </c>
      <c r="H1832" s="6" t="s">
        <v>4205</v>
      </c>
    </row>
    <row r="1833" spans="1:8" ht="22.5" customHeight="1" x14ac:dyDescent="0.25">
      <c r="A1833" s="14" t="s">
        <v>4207</v>
      </c>
      <c r="B1833" s="3" t="s">
        <v>324</v>
      </c>
      <c r="C1833" s="3" t="s">
        <v>4208</v>
      </c>
      <c r="D1833" s="3" t="s">
        <v>326</v>
      </c>
      <c r="E1833" s="3">
        <v>29.719200000000001</v>
      </c>
      <c r="F1833" s="3" t="s">
        <v>60</v>
      </c>
      <c r="G1833" s="3" t="s">
        <v>61</v>
      </c>
      <c r="H1833" s="6" t="s">
        <v>4207</v>
      </c>
    </row>
    <row r="1834" spans="1:8" ht="22.5" customHeight="1" x14ac:dyDescent="0.25">
      <c r="A1834" s="13" t="s">
        <v>4209</v>
      </c>
      <c r="B1834" s="2" t="s">
        <v>1008</v>
      </c>
      <c r="C1834" s="2" t="s">
        <v>4210</v>
      </c>
      <c r="D1834" s="2" t="s">
        <v>1010</v>
      </c>
      <c r="E1834" s="2">
        <v>30.4892</v>
      </c>
      <c r="F1834" s="2" t="s">
        <v>60</v>
      </c>
      <c r="G1834" s="2" t="s">
        <v>61</v>
      </c>
      <c r="H1834" s="6" t="s">
        <v>4209</v>
      </c>
    </row>
    <row r="1835" spans="1:8" ht="33.75" customHeight="1" x14ac:dyDescent="0.25">
      <c r="A1835" s="14" t="s">
        <v>4211</v>
      </c>
      <c r="B1835" s="3" t="s">
        <v>57</v>
      </c>
      <c r="C1835" s="3" t="s">
        <v>4212</v>
      </c>
      <c r="D1835" s="3" t="s">
        <v>59</v>
      </c>
      <c r="E1835" s="3">
        <v>31.825199999999999</v>
      </c>
      <c r="F1835" s="3" t="s">
        <v>60</v>
      </c>
      <c r="G1835" s="3" t="s">
        <v>61</v>
      </c>
      <c r="H1835" s="6" t="s">
        <v>4211</v>
      </c>
    </row>
    <row r="1836" spans="1:8" ht="33.75" customHeight="1" x14ac:dyDescent="0.25">
      <c r="A1836" s="13" t="s">
        <v>4213</v>
      </c>
      <c r="B1836" s="2" t="s">
        <v>372</v>
      </c>
      <c r="C1836" s="2" t="s">
        <v>4214</v>
      </c>
      <c r="D1836" s="2" t="s">
        <v>374</v>
      </c>
      <c r="E1836" s="2">
        <v>32.852400000000003</v>
      </c>
      <c r="F1836" s="2" t="s">
        <v>60</v>
      </c>
      <c r="G1836" s="2" t="s">
        <v>61</v>
      </c>
      <c r="H1836" s="6" t="s">
        <v>4213</v>
      </c>
    </row>
    <row r="1837" spans="1:8" ht="33.75" customHeight="1" x14ac:dyDescent="0.25">
      <c r="A1837" s="14" t="s">
        <v>4215</v>
      </c>
      <c r="B1837" s="3" t="s">
        <v>390</v>
      </c>
      <c r="C1837" s="3" t="s">
        <v>4216</v>
      </c>
      <c r="D1837" s="3" t="s">
        <v>392</v>
      </c>
      <c r="E1837" s="3">
        <v>35.367600000000003</v>
      </c>
      <c r="F1837" s="3" t="s">
        <v>60</v>
      </c>
      <c r="G1837" s="3" t="s">
        <v>61</v>
      </c>
      <c r="H1837" s="6" t="s">
        <v>4215</v>
      </c>
    </row>
    <row r="1838" spans="1:8" ht="22.5" customHeight="1" x14ac:dyDescent="0.25">
      <c r="A1838" s="13" t="s">
        <v>4217</v>
      </c>
      <c r="B1838" s="2" t="s">
        <v>1084</v>
      </c>
      <c r="C1838" s="2" t="s">
        <v>4218</v>
      </c>
      <c r="D1838" s="2" t="s">
        <v>1086</v>
      </c>
      <c r="E1838" s="2">
        <v>47.458399999999997</v>
      </c>
      <c r="F1838" s="2" t="s">
        <v>60</v>
      </c>
      <c r="G1838" s="2" t="s">
        <v>61</v>
      </c>
      <c r="H1838" s="6" t="s">
        <v>4217</v>
      </c>
    </row>
    <row r="1839" spans="1:8" ht="33.75" customHeight="1" x14ac:dyDescent="0.25">
      <c r="A1839" s="14" t="s">
        <v>4219</v>
      </c>
      <c r="B1839" s="3" t="s">
        <v>1151</v>
      </c>
      <c r="C1839" s="3" t="s">
        <v>4220</v>
      </c>
      <c r="D1839" s="3" t="s">
        <v>1153</v>
      </c>
      <c r="E1839" s="3">
        <v>30.6372</v>
      </c>
      <c r="F1839" s="3" t="s">
        <v>60</v>
      </c>
      <c r="G1839" s="3" t="s">
        <v>61</v>
      </c>
      <c r="H1839" s="6" t="s">
        <v>4219</v>
      </c>
    </row>
    <row r="1840" spans="1:8" ht="22.5" customHeight="1" x14ac:dyDescent="0.25">
      <c r="A1840" s="13" t="s">
        <v>4221</v>
      </c>
      <c r="B1840" s="2" t="s">
        <v>1151</v>
      </c>
      <c r="C1840" s="2" t="s">
        <v>4222</v>
      </c>
      <c r="D1840" s="2" t="s">
        <v>1153</v>
      </c>
      <c r="E1840" s="2">
        <v>30.6372</v>
      </c>
      <c r="F1840" s="2" t="s">
        <v>60</v>
      </c>
      <c r="G1840" s="2" t="s">
        <v>61</v>
      </c>
      <c r="H1840" s="6" t="s">
        <v>4221</v>
      </c>
    </row>
    <row r="1841" spans="1:8" ht="22.5" customHeight="1" x14ac:dyDescent="0.25">
      <c r="A1841" s="14" t="s">
        <v>4223</v>
      </c>
      <c r="B1841" s="3" t="s">
        <v>400</v>
      </c>
      <c r="C1841" s="3" t="s">
        <v>4224</v>
      </c>
      <c r="D1841" s="3" t="s">
        <v>402</v>
      </c>
      <c r="E1841" s="3">
        <v>34.332239999999999</v>
      </c>
      <c r="F1841" s="3" t="s">
        <v>60</v>
      </c>
      <c r="G1841" s="3" t="s">
        <v>61</v>
      </c>
      <c r="H1841" s="6" t="s">
        <v>4223</v>
      </c>
    </row>
    <row r="1842" spans="1:8" ht="33.75" customHeight="1" x14ac:dyDescent="0.25">
      <c r="A1842" s="13" t="s">
        <v>4225</v>
      </c>
      <c r="B1842" s="2" t="s">
        <v>3309</v>
      </c>
      <c r="C1842" s="2" t="s">
        <v>4226</v>
      </c>
      <c r="D1842" s="2" t="s">
        <v>3311</v>
      </c>
      <c r="E1842" s="2">
        <v>27.9192</v>
      </c>
      <c r="F1842" s="2" t="s">
        <v>60</v>
      </c>
      <c r="G1842" s="2" t="s">
        <v>61</v>
      </c>
      <c r="H1842" s="6" t="s">
        <v>4225</v>
      </c>
    </row>
    <row r="1843" spans="1:8" ht="33.75" customHeight="1" x14ac:dyDescent="0.25">
      <c r="A1843" s="14" t="s">
        <v>4227</v>
      </c>
      <c r="B1843" s="3" t="s">
        <v>1294</v>
      </c>
      <c r="C1843" s="3" t="s">
        <v>4228</v>
      </c>
      <c r="D1843" s="3" t="s">
        <v>1296</v>
      </c>
      <c r="E1843" s="3">
        <v>27.925999999999998</v>
      </c>
      <c r="F1843" s="3" t="s">
        <v>60</v>
      </c>
      <c r="G1843" s="3" t="s">
        <v>61</v>
      </c>
      <c r="H1843" s="6" t="s">
        <v>4227</v>
      </c>
    </row>
    <row r="1844" spans="1:8" ht="33.75" customHeight="1" x14ac:dyDescent="0.25">
      <c r="A1844" s="13" t="s">
        <v>4229</v>
      </c>
      <c r="B1844" s="2" t="s">
        <v>1294</v>
      </c>
      <c r="C1844" s="2" t="s">
        <v>4230</v>
      </c>
      <c r="D1844" s="2" t="s">
        <v>1296</v>
      </c>
      <c r="E1844" s="2">
        <v>27.925999999999998</v>
      </c>
      <c r="F1844" s="2" t="s">
        <v>60</v>
      </c>
      <c r="G1844" s="2" t="s">
        <v>61</v>
      </c>
      <c r="H1844" s="6" t="s">
        <v>4229</v>
      </c>
    </row>
    <row r="1845" spans="1:8" ht="33.75" customHeight="1" x14ac:dyDescent="0.25">
      <c r="A1845" s="14" t="s">
        <v>4231</v>
      </c>
      <c r="B1845" s="3" t="s">
        <v>878</v>
      </c>
      <c r="C1845" s="3" t="s">
        <v>4232</v>
      </c>
      <c r="D1845" s="3" t="s">
        <v>880</v>
      </c>
      <c r="E1845" s="3">
        <v>27.925999999999998</v>
      </c>
      <c r="F1845" s="3" t="s">
        <v>60</v>
      </c>
      <c r="G1845" s="3" t="s">
        <v>61</v>
      </c>
      <c r="H1845" s="6" t="s">
        <v>4231</v>
      </c>
    </row>
    <row r="1846" spans="1:8" ht="33.75" customHeight="1" x14ac:dyDescent="0.25">
      <c r="A1846" s="13" t="s">
        <v>4233</v>
      </c>
      <c r="B1846" s="2" t="s">
        <v>878</v>
      </c>
      <c r="C1846" s="2" t="s">
        <v>4234</v>
      </c>
      <c r="D1846" s="2" t="s">
        <v>880</v>
      </c>
      <c r="E1846" s="2">
        <v>27.925999999999998</v>
      </c>
      <c r="F1846" s="2" t="s">
        <v>60</v>
      </c>
      <c r="G1846" s="2" t="s">
        <v>61</v>
      </c>
      <c r="H1846" s="6" t="s">
        <v>4233</v>
      </c>
    </row>
    <row r="1847" spans="1:8" ht="33.75" customHeight="1" x14ac:dyDescent="0.25">
      <c r="A1847" s="14" t="s">
        <v>4235</v>
      </c>
      <c r="B1847" s="3" t="s">
        <v>1781</v>
      </c>
      <c r="C1847" s="3" t="s">
        <v>4236</v>
      </c>
      <c r="D1847" s="3" t="s">
        <v>1783</v>
      </c>
      <c r="E1847" s="3">
        <v>27.925999999999998</v>
      </c>
      <c r="F1847" s="3" t="s">
        <v>60</v>
      </c>
      <c r="G1847" s="3" t="s">
        <v>61</v>
      </c>
      <c r="H1847" s="6" t="s">
        <v>4235</v>
      </c>
    </row>
    <row r="1848" spans="1:8" ht="33.75" customHeight="1" x14ac:dyDescent="0.25">
      <c r="A1848" s="13" t="s">
        <v>4237</v>
      </c>
      <c r="B1848" s="2" t="s">
        <v>2137</v>
      </c>
      <c r="C1848" s="2" t="s">
        <v>4238</v>
      </c>
      <c r="D1848" s="2" t="s">
        <v>2139</v>
      </c>
      <c r="E1848" s="2">
        <v>27.925999999999998</v>
      </c>
      <c r="F1848" s="2" t="s">
        <v>60</v>
      </c>
      <c r="G1848" s="2" t="s">
        <v>61</v>
      </c>
      <c r="H1848" s="6" t="s">
        <v>4237</v>
      </c>
    </row>
    <row r="1849" spans="1:8" ht="33.75" customHeight="1" x14ac:dyDescent="0.25">
      <c r="A1849" s="14" t="s">
        <v>4239</v>
      </c>
      <c r="B1849" s="3" t="s">
        <v>324</v>
      </c>
      <c r="C1849" s="3" t="s">
        <v>4240</v>
      </c>
      <c r="D1849" s="3" t="s">
        <v>326</v>
      </c>
      <c r="E1849" s="3">
        <v>29.719200000000001</v>
      </c>
      <c r="F1849" s="3" t="s">
        <v>60</v>
      </c>
      <c r="G1849" s="3" t="s">
        <v>61</v>
      </c>
      <c r="H1849" s="6" t="s">
        <v>4239</v>
      </c>
    </row>
    <row r="1850" spans="1:8" ht="33.75" customHeight="1" x14ac:dyDescent="0.25">
      <c r="A1850" s="13" t="s">
        <v>4241</v>
      </c>
      <c r="B1850" s="2" t="s">
        <v>57</v>
      </c>
      <c r="C1850" s="2" t="s">
        <v>4242</v>
      </c>
      <c r="D1850" s="2" t="s">
        <v>59</v>
      </c>
      <c r="E1850" s="2">
        <v>31.825199999999999</v>
      </c>
      <c r="F1850" s="2" t="s">
        <v>60</v>
      </c>
      <c r="G1850" s="2" t="s">
        <v>61</v>
      </c>
      <c r="H1850" s="6" t="s">
        <v>4241</v>
      </c>
    </row>
    <row r="1851" spans="1:8" ht="22.5" customHeight="1" x14ac:dyDescent="0.25">
      <c r="A1851" s="14" t="s">
        <v>4243</v>
      </c>
      <c r="B1851" s="3" t="s">
        <v>418</v>
      </c>
      <c r="C1851" s="3" t="s">
        <v>4244</v>
      </c>
      <c r="D1851" s="3" t="s">
        <v>420</v>
      </c>
      <c r="E1851" s="3">
        <v>30.655200000000001</v>
      </c>
      <c r="F1851" s="3" t="s">
        <v>60</v>
      </c>
      <c r="G1851" s="3" t="s">
        <v>61</v>
      </c>
      <c r="H1851" s="6" t="s">
        <v>4243</v>
      </c>
    </row>
    <row r="1852" spans="1:8" ht="33.75" customHeight="1" x14ac:dyDescent="0.25">
      <c r="A1852" s="13" t="s">
        <v>4245</v>
      </c>
      <c r="B1852" s="2" t="s">
        <v>418</v>
      </c>
      <c r="C1852" s="2" t="s">
        <v>4246</v>
      </c>
      <c r="D1852" s="2" t="s">
        <v>420</v>
      </c>
      <c r="E1852" s="2">
        <v>30.655200000000001</v>
      </c>
      <c r="F1852" s="2" t="s">
        <v>60</v>
      </c>
      <c r="G1852" s="2" t="s">
        <v>61</v>
      </c>
      <c r="H1852" s="6" t="s">
        <v>4245</v>
      </c>
    </row>
    <row r="1853" spans="1:8" ht="33.75" customHeight="1" x14ac:dyDescent="0.25">
      <c r="A1853" s="14" t="s">
        <v>4247</v>
      </c>
      <c r="B1853" s="3" t="s">
        <v>404</v>
      </c>
      <c r="C1853" s="3" t="s">
        <v>3464</v>
      </c>
      <c r="D1853" s="3" t="s">
        <v>406</v>
      </c>
      <c r="E1853" s="3">
        <v>29.999199999999998</v>
      </c>
      <c r="F1853" s="3" t="s">
        <v>60</v>
      </c>
      <c r="G1853" s="3" t="s">
        <v>61</v>
      </c>
      <c r="H1853" s="6" t="s">
        <v>4247</v>
      </c>
    </row>
    <row r="1854" spans="1:8" ht="33.75" customHeight="1" x14ac:dyDescent="0.25">
      <c r="A1854" s="13" t="s">
        <v>4248</v>
      </c>
      <c r="B1854" s="2" t="s">
        <v>418</v>
      </c>
      <c r="C1854" s="2" t="s">
        <v>4249</v>
      </c>
      <c r="D1854" s="2" t="s">
        <v>420</v>
      </c>
      <c r="E1854" s="2">
        <v>30.655200000000001</v>
      </c>
      <c r="F1854" s="2" t="s">
        <v>60</v>
      </c>
      <c r="G1854" s="2" t="s">
        <v>61</v>
      </c>
      <c r="H1854" s="6" t="s">
        <v>4248</v>
      </c>
    </row>
    <row r="1855" spans="1:8" ht="22.5" customHeight="1" x14ac:dyDescent="0.25">
      <c r="A1855" s="14" t="s">
        <v>4250</v>
      </c>
      <c r="B1855" s="3" t="s">
        <v>2458</v>
      </c>
      <c r="C1855" s="3" t="s">
        <v>4251</v>
      </c>
      <c r="D1855" s="3" t="s">
        <v>2460</v>
      </c>
      <c r="E1855" s="3">
        <v>28.126000000000001</v>
      </c>
      <c r="F1855" s="3" t="s">
        <v>60</v>
      </c>
      <c r="G1855" s="3" t="s">
        <v>61</v>
      </c>
      <c r="H1855" s="6" t="s">
        <v>4250</v>
      </c>
    </row>
    <row r="1856" spans="1:8" ht="22.5" customHeight="1" x14ac:dyDescent="0.25">
      <c r="A1856" s="13" t="s">
        <v>4252</v>
      </c>
      <c r="B1856" s="2" t="s">
        <v>2462</v>
      </c>
      <c r="C1856" s="2" t="s">
        <v>4253</v>
      </c>
      <c r="D1856" s="2" t="s">
        <v>2464</v>
      </c>
      <c r="E1856" s="2">
        <v>28.126000000000001</v>
      </c>
      <c r="F1856" s="2" t="s">
        <v>60</v>
      </c>
      <c r="G1856" s="2" t="s">
        <v>61</v>
      </c>
      <c r="H1856" s="6" t="s">
        <v>4252</v>
      </c>
    </row>
    <row r="1857" spans="1:8" ht="22.5" customHeight="1" x14ac:dyDescent="0.25">
      <c r="A1857" s="14" t="s">
        <v>4254</v>
      </c>
      <c r="B1857" s="3" t="s">
        <v>2700</v>
      </c>
      <c r="C1857" s="3" t="s">
        <v>4255</v>
      </c>
      <c r="D1857" s="3" t="s">
        <v>2702</v>
      </c>
      <c r="E1857" s="3">
        <v>28.126000000000001</v>
      </c>
      <c r="F1857" s="3" t="s">
        <v>60</v>
      </c>
      <c r="G1857" s="3" t="s">
        <v>61</v>
      </c>
      <c r="H1857" s="6" t="s">
        <v>4254</v>
      </c>
    </row>
    <row r="1858" spans="1:8" ht="22.5" customHeight="1" x14ac:dyDescent="0.25">
      <c r="A1858" s="13" t="s">
        <v>4256</v>
      </c>
      <c r="B1858" s="2" t="s">
        <v>3547</v>
      </c>
      <c r="C1858" s="2" t="s">
        <v>4257</v>
      </c>
      <c r="D1858" s="2" t="s">
        <v>3549</v>
      </c>
      <c r="E1858" s="2">
        <v>28.126000000000001</v>
      </c>
      <c r="F1858" s="2" t="s">
        <v>60</v>
      </c>
      <c r="G1858" s="2" t="s">
        <v>61</v>
      </c>
      <c r="H1858" s="6" t="s">
        <v>4256</v>
      </c>
    </row>
    <row r="1859" spans="1:8" ht="33.75" customHeight="1" x14ac:dyDescent="0.25">
      <c r="A1859" s="14" t="s">
        <v>4258</v>
      </c>
      <c r="B1859" s="3" t="s">
        <v>4259</v>
      </c>
      <c r="C1859" s="3" t="s">
        <v>4260</v>
      </c>
      <c r="D1859" s="3" t="s">
        <v>4261</v>
      </c>
      <c r="E1859" s="3">
        <v>32.433999999999997</v>
      </c>
      <c r="F1859" s="3" t="s">
        <v>60</v>
      </c>
      <c r="G1859" s="3" t="s">
        <v>61</v>
      </c>
      <c r="H1859" s="6" t="s">
        <v>4258</v>
      </c>
    </row>
    <row r="1860" spans="1:8" ht="22.5" customHeight="1" x14ac:dyDescent="0.25">
      <c r="A1860" s="13" t="s">
        <v>4262</v>
      </c>
      <c r="B1860" s="2" t="s">
        <v>366</v>
      </c>
      <c r="C1860" s="2" t="s">
        <v>4263</v>
      </c>
      <c r="D1860" s="2" t="s">
        <v>368</v>
      </c>
      <c r="E1860" s="2">
        <v>32.983400000000003</v>
      </c>
      <c r="F1860" s="2" t="s">
        <v>60</v>
      </c>
      <c r="G1860" s="2" t="s">
        <v>61</v>
      </c>
      <c r="H1860" s="6" t="s">
        <v>4262</v>
      </c>
    </row>
    <row r="1861" spans="1:8" ht="33.75" customHeight="1" x14ac:dyDescent="0.25">
      <c r="A1861" s="14" t="s">
        <v>4264</v>
      </c>
      <c r="B1861" s="3" t="s">
        <v>1638</v>
      </c>
      <c r="C1861" s="3" t="s">
        <v>4265</v>
      </c>
      <c r="D1861" s="3" t="s">
        <v>1640</v>
      </c>
      <c r="E1861" s="3">
        <v>33.259399999999999</v>
      </c>
      <c r="F1861" s="3" t="s">
        <v>60</v>
      </c>
      <c r="G1861" s="3" t="s">
        <v>61</v>
      </c>
      <c r="H1861" s="6" t="s">
        <v>4264</v>
      </c>
    </row>
    <row r="1862" spans="1:8" ht="33.75" customHeight="1" x14ac:dyDescent="0.25">
      <c r="A1862" s="13" t="s">
        <v>4266</v>
      </c>
      <c r="B1862" s="2" t="s">
        <v>1638</v>
      </c>
      <c r="C1862" s="2" t="s">
        <v>4267</v>
      </c>
      <c r="D1862" s="2" t="s">
        <v>1640</v>
      </c>
      <c r="E1862" s="2">
        <v>33.259399999999999</v>
      </c>
      <c r="F1862" s="2" t="s">
        <v>60</v>
      </c>
      <c r="G1862" s="2" t="s">
        <v>61</v>
      </c>
      <c r="H1862" s="6" t="s">
        <v>4266</v>
      </c>
    </row>
    <row r="1863" spans="1:8" ht="22.5" customHeight="1" x14ac:dyDescent="0.25">
      <c r="A1863" s="14" t="s">
        <v>4268</v>
      </c>
      <c r="B1863" s="3" t="s">
        <v>1888</v>
      </c>
      <c r="C1863" s="3" t="s">
        <v>4269</v>
      </c>
      <c r="D1863" s="3" t="s">
        <v>1890</v>
      </c>
      <c r="E1863" s="3">
        <v>27.859200000000001</v>
      </c>
      <c r="F1863" s="3" t="s">
        <v>60</v>
      </c>
      <c r="G1863" s="3" t="s">
        <v>61</v>
      </c>
      <c r="H1863" s="6" t="s">
        <v>4268</v>
      </c>
    </row>
    <row r="1864" spans="1:8" ht="33.75" customHeight="1" x14ac:dyDescent="0.25">
      <c r="A1864" s="13" t="s">
        <v>4270</v>
      </c>
      <c r="B1864" s="2" t="s">
        <v>1888</v>
      </c>
      <c r="C1864" s="2" t="s">
        <v>4271</v>
      </c>
      <c r="D1864" s="2" t="s">
        <v>1890</v>
      </c>
      <c r="E1864" s="2">
        <v>27.859200000000001</v>
      </c>
      <c r="F1864" s="2" t="s">
        <v>60</v>
      </c>
      <c r="G1864" s="2" t="s">
        <v>61</v>
      </c>
      <c r="H1864" s="6" t="s">
        <v>4270</v>
      </c>
    </row>
    <row r="1865" spans="1:8" ht="33.75" customHeight="1" x14ac:dyDescent="0.25">
      <c r="A1865" s="14" t="s">
        <v>4272</v>
      </c>
      <c r="B1865" s="3" t="s">
        <v>1888</v>
      </c>
      <c r="C1865" s="3" t="s">
        <v>4273</v>
      </c>
      <c r="D1865" s="3" t="s">
        <v>1890</v>
      </c>
      <c r="E1865" s="3">
        <v>27.859200000000001</v>
      </c>
      <c r="F1865" s="3" t="s">
        <v>60</v>
      </c>
      <c r="G1865" s="3" t="s">
        <v>61</v>
      </c>
      <c r="H1865" s="6" t="s">
        <v>4272</v>
      </c>
    </row>
    <row r="1866" spans="1:8" ht="22.5" customHeight="1" x14ac:dyDescent="0.25">
      <c r="A1866" s="13" t="s">
        <v>4274</v>
      </c>
      <c r="B1866" s="2" t="s">
        <v>820</v>
      </c>
      <c r="C1866" s="2" t="s">
        <v>4275</v>
      </c>
      <c r="D1866" s="2" t="s">
        <v>822</v>
      </c>
      <c r="E1866" s="2">
        <v>27.639199999999999</v>
      </c>
      <c r="F1866" s="2" t="s">
        <v>60</v>
      </c>
      <c r="G1866" s="2" t="s">
        <v>61</v>
      </c>
      <c r="H1866" s="6" t="s">
        <v>4274</v>
      </c>
    </row>
    <row r="1867" spans="1:8" ht="33.75" customHeight="1" x14ac:dyDescent="0.25">
      <c r="A1867" s="14" t="s">
        <v>4276</v>
      </c>
      <c r="B1867" s="3" t="s">
        <v>820</v>
      </c>
      <c r="C1867" s="3" t="s">
        <v>4277</v>
      </c>
      <c r="D1867" s="3" t="s">
        <v>822</v>
      </c>
      <c r="E1867" s="3">
        <v>27.639199999999999</v>
      </c>
      <c r="F1867" s="3" t="s">
        <v>60</v>
      </c>
      <c r="G1867" s="3" t="s">
        <v>61</v>
      </c>
      <c r="H1867" s="6" t="s">
        <v>4276</v>
      </c>
    </row>
    <row r="1868" spans="1:8" ht="33.75" customHeight="1" x14ac:dyDescent="0.25">
      <c r="A1868" s="13" t="s">
        <v>4278</v>
      </c>
      <c r="B1868" s="2" t="s">
        <v>1878</v>
      </c>
      <c r="C1868" s="2" t="s">
        <v>4279</v>
      </c>
      <c r="D1868" s="2" t="s">
        <v>1880</v>
      </c>
      <c r="E1868" s="2">
        <v>27.639199999999999</v>
      </c>
      <c r="F1868" s="2" t="s">
        <v>60</v>
      </c>
      <c r="G1868" s="2" t="s">
        <v>61</v>
      </c>
      <c r="H1868" s="6" t="s">
        <v>4278</v>
      </c>
    </row>
    <row r="1869" spans="1:8" ht="22.5" customHeight="1" x14ac:dyDescent="0.25">
      <c r="A1869" s="14" t="s">
        <v>4280</v>
      </c>
      <c r="B1869" s="3" t="s">
        <v>1878</v>
      </c>
      <c r="C1869" s="3" t="s">
        <v>4281</v>
      </c>
      <c r="D1869" s="3" t="s">
        <v>1880</v>
      </c>
      <c r="E1869" s="3">
        <v>27.639199999999999</v>
      </c>
      <c r="F1869" s="3" t="s">
        <v>60</v>
      </c>
      <c r="G1869" s="3" t="s">
        <v>61</v>
      </c>
      <c r="H1869" s="6" t="s">
        <v>4280</v>
      </c>
    </row>
    <row r="1870" spans="1:8" ht="22.5" customHeight="1" x14ac:dyDescent="0.25">
      <c r="A1870" s="13" t="s">
        <v>4282</v>
      </c>
      <c r="B1870" s="2" t="s">
        <v>1884</v>
      </c>
      <c r="C1870" s="2" t="s">
        <v>4283</v>
      </c>
      <c r="D1870" s="2" t="s">
        <v>1886</v>
      </c>
      <c r="E1870" s="2">
        <v>27.639199999999999</v>
      </c>
      <c r="F1870" s="2" t="s">
        <v>60</v>
      </c>
      <c r="G1870" s="2" t="s">
        <v>61</v>
      </c>
      <c r="H1870" s="6" t="s">
        <v>4282</v>
      </c>
    </row>
    <row r="1871" spans="1:8" ht="33.75" customHeight="1" x14ac:dyDescent="0.25">
      <c r="A1871" s="14" t="s">
        <v>4284</v>
      </c>
      <c r="B1871" s="3" t="s">
        <v>1884</v>
      </c>
      <c r="C1871" s="3" t="s">
        <v>4285</v>
      </c>
      <c r="D1871" s="3" t="s">
        <v>1886</v>
      </c>
      <c r="E1871" s="3">
        <v>27.639199999999999</v>
      </c>
      <c r="F1871" s="3" t="s">
        <v>60</v>
      </c>
      <c r="G1871" s="3" t="s">
        <v>61</v>
      </c>
      <c r="H1871" s="6" t="s">
        <v>4284</v>
      </c>
    </row>
    <row r="1872" spans="1:8" ht="33.75" customHeight="1" x14ac:dyDescent="0.25">
      <c r="A1872" s="13" t="s">
        <v>4286</v>
      </c>
      <c r="B1872" s="2" t="s">
        <v>2696</v>
      </c>
      <c r="C1872" s="2" t="s">
        <v>4287</v>
      </c>
      <c r="D1872" s="2" t="s">
        <v>2698</v>
      </c>
      <c r="E1872" s="2">
        <v>27.639199999999999</v>
      </c>
      <c r="F1872" s="2" t="s">
        <v>60</v>
      </c>
      <c r="G1872" s="2" t="s">
        <v>61</v>
      </c>
      <c r="H1872" s="6" t="s">
        <v>4286</v>
      </c>
    </row>
    <row r="1873" spans="1:8" ht="22.5" customHeight="1" x14ac:dyDescent="0.25">
      <c r="A1873" s="14" t="s">
        <v>4288</v>
      </c>
      <c r="B1873" s="3" t="s">
        <v>390</v>
      </c>
      <c r="C1873" s="3" t="s">
        <v>4289</v>
      </c>
      <c r="D1873" s="3" t="s">
        <v>392</v>
      </c>
      <c r="E1873" s="3">
        <v>35.367600000000003</v>
      </c>
      <c r="F1873" s="3" t="s">
        <v>60</v>
      </c>
      <c r="G1873" s="3" t="s">
        <v>61</v>
      </c>
      <c r="H1873" s="6" t="s">
        <v>4288</v>
      </c>
    </row>
    <row r="1874" spans="1:8" ht="22.5" customHeight="1" x14ac:dyDescent="0.25">
      <c r="A1874" s="13" t="s">
        <v>4290</v>
      </c>
      <c r="B1874" s="2" t="s">
        <v>382</v>
      </c>
      <c r="C1874" s="2" t="s">
        <v>4291</v>
      </c>
      <c r="D1874" s="2" t="s">
        <v>384</v>
      </c>
      <c r="E1874" s="2">
        <v>35.3172</v>
      </c>
      <c r="F1874" s="2" t="s">
        <v>60</v>
      </c>
      <c r="G1874" s="2" t="s">
        <v>61</v>
      </c>
      <c r="H1874" s="6" t="s">
        <v>4290</v>
      </c>
    </row>
    <row r="1875" spans="1:8" ht="22.5" customHeight="1" x14ac:dyDescent="0.25">
      <c r="A1875" s="14" t="s">
        <v>4292</v>
      </c>
      <c r="B1875" s="3" t="s">
        <v>418</v>
      </c>
      <c r="C1875" s="3" t="s">
        <v>4293</v>
      </c>
      <c r="D1875" s="3" t="s">
        <v>420</v>
      </c>
      <c r="E1875" s="3">
        <v>30.655200000000001</v>
      </c>
      <c r="F1875" s="3" t="s">
        <v>60</v>
      </c>
      <c r="G1875" s="3" t="s">
        <v>61</v>
      </c>
      <c r="H1875" s="6" t="s">
        <v>4292</v>
      </c>
    </row>
    <row r="1876" spans="1:8" ht="22.5" customHeight="1" x14ac:dyDescent="0.25">
      <c r="A1876" s="13" t="s">
        <v>4294</v>
      </c>
      <c r="B1876" s="2" t="s">
        <v>404</v>
      </c>
      <c r="C1876" s="2" t="s">
        <v>4295</v>
      </c>
      <c r="D1876" s="2" t="s">
        <v>406</v>
      </c>
      <c r="E1876" s="2">
        <v>29.999199999999998</v>
      </c>
      <c r="F1876" s="2" t="s">
        <v>60</v>
      </c>
      <c r="G1876" s="2" t="s">
        <v>61</v>
      </c>
      <c r="H1876" s="6" t="s">
        <v>4294</v>
      </c>
    </row>
    <row r="1877" spans="1:8" ht="22.5" customHeight="1" x14ac:dyDescent="0.25">
      <c r="A1877" s="14" t="s">
        <v>4296</v>
      </c>
      <c r="B1877" s="3" t="s">
        <v>794</v>
      </c>
      <c r="C1877" s="3" t="s">
        <v>4297</v>
      </c>
      <c r="D1877" s="3" t="s">
        <v>796</v>
      </c>
      <c r="E1877" s="3">
        <v>34.151200000000003</v>
      </c>
      <c r="F1877" s="3" t="s">
        <v>60</v>
      </c>
      <c r="G1877" s="3" t="s">
        <v>61</v>
      </c>
      <c r="H1877" s="6" t="s">
        <v>4296</v>
      </c>
    </row>
    <row r="1878" spans="1:8" ht="22.5" customHeight="1" x14ac:dyDescent="0.25">
      <c r="A1878" s="13" t="s">
        <v>4298</v>
      </c>
      <c r="B1878" s="2" t="s">
        <v>386</v>
      </c>
      <c r="C1878" s="2" t="s">
        <v>4299</v>
      </c>
      <c r="D1878" s="2" t="s">
        <v>388</v>
      </c>
      <c r="E1878" s="2">
        <v>33.783799999999999</v>
      </c>
      <c r="F1878" s="2" t="s">
        <v>60</v>
      </c>
      <c r="G1878" s="2" t="s">
        <v>61</v>
      </c>
      <c r="H1878" s="6" t="s">
        <v>4298</v>
      </c>
    </row>
    <row r="1879" spans="1:8" ht="22.5" customHeight="1" x14ac:dyDescent="0.25">
      <c r="A1879" s="14" t="s">
        <v>4300</v>
      </c>
      <c r="B1879" s="3" t="s">
        <v>324</v>
      </c>
      <c r="C1879" s="3" t="s">
        <v>4301</v>
      </c>
      <c r="D1879" s="3" t="s">
        <v>326</v>
      </c>
      <c r="E1879" s="3">
        <v>29.719200000000001</v>
      </c>
      <c r="F1879" s="3" t="s">
        <v>60</v>
      </c>
      <c r="G1879" s="3" t="s">
        <v>61</v>
      </c>
      <c r="H1879" s="6" t="s">
        <v>4300</v>
      </c>
    </row>
    <row r="1880" spans="1:8" ht="33.75" customHeight="1" x14ac:dyDescent="0.25">
      <c r="A1880" s="13" t="s">
        <v>4302</v>
      </c>
      <c r="B1880" s="2" t="s">
        <v>226</v>
      </c>
      <c r="C1880" s="2" t="s">
        <v>4303</v>
      </c>
      <c r="D1880" s="2" t="s">
        <v>228</v>
      </c>
      <c r="E1880" s="2">
        <v>30.6632</v>
      </c>
      <c r="F1880" s="2" t="s">
        <v>60</v>
      </c>
      <c r="G1880" s="2" t="s">
        <v>61</v>
      </c>
      <c r="H1880" s="6" t="s">
        <v>4302</v>
      </c>
    </row>
    <row r="1881" spans="1:8" ht="33.75" customHeight="1" x14ac:dyDescent="0.25">
      <c r="A1881" s="14" t="s">
        <v>4304</v>
      </c>
      <c r="B1881" s="3" t="s">
        <v>112</v>
      </c>
      <c r="C1881" s="3" t="s">
        <v>4305</v>
      </c>
      <c r="D1881" s="3" t="s">
        <v>114</v>
      </c>
      <c r="E1881" s="3">
        <v>30.7682</v>
      </c>
      <c r="F1881" s="3" t="s">
        <v>60</v>
      </c>
      <c r="G1881" s="3" t="s">
        <v>61</v>
      </c>
      <c r="H1881" s="6" t="s">
        <v>4304</v>
      </c>
    </row>
    <row r="1882" spans="1:8" ht="33.75" customHeight="1" x14ac:dyDescent="0.25">
      <c r="A1882" s="13" t="s">
        <v>4306</v>
      </c>
      <c r="B1882" s="2" t="s">
        <v>156</v>
      </c>
      <c r="C1882" s="2" t="s">
        <v>4307</v>
      </c>
      <c r="D1882" s="2" t="s">
        <v>158</v>
      </c>
      <c r="E1882" s="2">
        <v>30.987200000000001</v>
      </c>
      <c r="F1882" s="2" t="s">
        <v>60</v>
      </c>
      <c r="G1882" s="2" t="s">
        <v>61</v>
      </c>
      <c r="H1882" s="6" t="s">
        <v>4306</v>
      </c>
    </row>
    <row r="1883" spans="1:8" ht="22.5" customHeight="1" x14ac:dyDescent="0.25">
      <c r="A1883" s="14" t="s">
        <v>4308</v>
      </c>
      <c r="B1883" s="3" t="s">
        <v>418</v>
      </c>
      <c r="C1883" s="3" t="s">
        <v>4309</v>
      </c>
      <c r="D1883" s="3" t="s">
        <v>420</v>
      </c>
      <c r="E1883" s="3">
        <v>30.655200000000001</v>
      </c>
      <c r="F1883" s="3" t="s">
        <v>60</v>
      </c>
      <c r="G1883" s="3" t="s">
        <v>61</v>
      </c>
      <c r="H1883" s="6" t="s">
        <v>4308</v>
      </c>
    </row>
    <row r="1884" spans="1:8" ht="22.5" customHeight="1" x14ac:dyDescent="0.25">
      <c r="A1884" s="13" t="s">
        <v>4310</v>
      </c>
      <c r="B1884" s="2" t="s">
        <v>390</v>
      </c>
      <c r="C1884" s="2" t="s">
        <v>4311</v>
      </c>
      <c r="D1884" s="2" t="s">
        <v>392</v>
      </c>
      <c r="E1884" s="2">
        <v>35.367600000000003</v>
      </c>
      <c r="F1884" s="2" t="s">
        <v>60</v>
      </c>
      <c r="G1884" s="2" t="s">
        <v>61</v>
      </c>
      <c r="H1884" s="6" t="s">
        <v>4310</v>
      </c>
    </row>
    <row r="1885" spans="1:8" ht="22.5" customHeight="1" x14ac:dyDescent="0.25">
      <c r="A1885" s="14" t="s">
        <v>4312</v>
      </c>
      <c r="B1885" s="3" t="s">
        <v>390</v>
      </c>
      <c r="C1885" s="3" t="s">
        <v>4313</v>
      </c>
      <c r="D1885" s="3" t="s">
        <v>392</v>
      </c>
      <c r="E1885" s="3">
        <v>35.367600000000003</v>
      </c>
      <c r="F1885" s="3" t="s">
        <v>60</v>
      </c>
      <c r="G1885" s="3" t="s">
        <v>61</v>
      </c>
      <c r="H1885" s="6" t="s">
        <v>4312</v>
      </c>
    </row>
    <row r="1886" spans="1:8" ht="22.5" customHeight="1" x14ac:dyDescent="0.25">
      <c r="A1886" s="13" t="s">
        <v>4314</v>
      </c>
      <c r="B1886" s="2" t="s">
        <v>390</v>
      </c>
      <c r="C1886" s="2" t="s">
        <v>4315</v>
      </c>
      <c r="D1886" s="2" t="s">
        <v>392</v>
      </c>
      <c r="E1886" s="2">
        <v>35.367600000000003</v>
      </c>
      <c r="F1886" s="2" t="s">
        <v>60</v>
      </c>
      <c r="G1886" s="2" t="s">
        <v>61</v>
      </c>
      <c r="H1886" s="6" t="s">
        <v>4314</v>
      </c>
    </row>
    <row r="1887" spans="1:8" ht="22.5" customHeight="1" x14ac:dyDescent="0.25">
      <c r="A1887" s="14" t="s">
        <v>4316</v>
      </c>
      <c r="B1887" s="3" t="s">
        <v>382</v>
      </c>
      <c r="C1887" s="3" t="s">
        <v>1680</v>
      </c>
      <c r="D1887" s="3" t="s">
        <v>384</v>
      </c>
      <c r="E1887" s="3">
        <v>35.3172</v>
      </c>
      <c r="F1887" s="3" t="s">
        <v>60</v>
      </c>
      <c r="G1887" s="3" t="s">
        <v>61</v>
      </c>
      <c r="H1887" s="6" t="s">
        <v>4316</v>
      </c>
    </row>
    <row r="1888" spans="1:8" ht="22.5" customHeight="1" x14ac:dyDescent="0.25">
      <c r="A1888" s="13" t="s">
        <v>4317</v>
      </c>
      <c r="B1888" s="2" t="s">
        <v>382</v>
      </c>
      <c r="C1888" s="2" t="s">
        <v>4318</v>
      </c>
      <c r="D1888" s="2" t="s">
        <v>384</v>
      </c>
      <c r="E1888" s="2">
        <v>35.3172</v>
      </c>
      <c r="F1888" s="2" t="s">
        <v>60</v>
      </c>
      <c r="G1888" s="2" t="s">
        <v>61</v>
      </c>
      <c r="H1888" s="6" t="s">
        <v>4317</v>
      </c>
    </row>
    <row r="1889" spans="1:8" ht="22.5" customHeight="1" x14ac:dyDescent="0.25">
      <c r="A1889" s="14" t="s">
        <v>4319</v>
      </c>
      <c r="B1889" s="3" t="s">
        <v>400</v>
      </c>
      <c r="C1889" s="3" t="s">
        <v>4320</v>
      </c>
      <c r="D1889" s="3" t="s">
        <v>402</v>
      </c>
      <c r="E1889" s="3">
        <v>34.332239999999999</v>
      </c>
      <c r="F1889" s="3" t="s">
        <v>60</v>
      </c>
      <c r="G1889" s="3" t="s">
        <v>61</v>
      </c>
      <c r="H1889" s="6" t="s">
        <v>4319</v>
      </c>
    </row>
    <row r="1890" spans="1:8" ht="22.5" customHeight="1" x14ac:dyDescent="0.25">
      <c r="A1890" s="13" t="s">
        <v>4321</v>
      </c>
      <c r="B1890" s="2" t="s">
        <v>794</v>
      </c>
      <c r="C1890" s="2" t="s">
        <v>4322</v>
      </c>
      <c r="D1890" s="2" t="s">
        <v>796</v>
      </c>
      <c r="E1890" s="2">
        <v>34.151200000000003</v>
      </c>
      <c r="F1890" s="2" t="s">
        <v>60</v>
      </c>
      <c r="G1890" s="2" t="s">
        <v>61</v>
      </c>
      <c r="H1890" s="6" t="s">
        <v>4321</v>
      </c>
    </row>
    <row r="1891" spans="1:8" ht="22.5" customHeight="1" x14ac:dyDescent="0.25">
      <c r="A1891" s="14" t="s">
        <v>4323</v>
      </c>
      <c r="B1891" s="3" t="s">
        <v>794</v>
      </c>
      <c r="C1891" s="3" t="s">
        <v>4324</v>
      </c>
      <c r="D1891" s="3" t="s">
        <v>796</v>
      </c>
      <c r="E1891" s="3">
        <v>34.151200000000003</v>
      </c>
      <c r="F1891" s="3" t="s">
        <v>60</v>
      </c>
      <c r="G1891" s="3" t="s">
        <v>61</v>
      </c>
      <c r="H1891" s="6" t="s">
        <v>4323</v>
      </c>
    </row>
    <row r="1892" spans="1:8" ht="22.5" customHeight="1" x14ac:dyDescent="0.25">
      <c r="A1892" s="13" t="s">
        <v>4325</v>
      </c>
      <c r="B1892" s="2" t="s">
        <v>386</v>
      </c>
      <c r="C1892" s="2" t="s">
        <v>4326</v>
      </c>
      <c r="D1892" s="2" t="s">
        <v>388</v>
      </c>
      <c r="E1892" s="2">
        <v>33.783799999999999</v>
      </c>
      <c r="F1892" s="2" t="s">
        <v>60</v>
      </c>
      <c r="G1892" s="2" t="s">
        <v>61</v>
      </c>
      <c r="H1892" s="6" t="s">
        <v>4325</v>
      </c>
    </row>
    <row r="1893" spans="1:8" ht="22.5" customHeight="1" x14ac:dyDescent="0.25">
      <c r="A1893" s="14" t="s">
        <v>4327</v>
      </c>
      <c r="B1893" s="3" t="s">
        <v>386</v>
      </c>
      <c r="C1893" s="3" t="s">
        <v>4328</v>
      </c>
      <c r="D1893" s="3" t="s">
        <v>388</v>
      </c>
      <c r="E1893" s="3">
        <v>33.783799999999999</v>
      </c>
      <c r="F1893" s="3" t="s">
        <v>60</v>
      </c>
      <c r="G1893" s="3" t="s">
        <v>61</v>
      </c>
      <c r="H1893" s="6" t="s">
        <v>4327</v>
      </c>
    </row>
    <row r="1894" spans="1:8" ht="22.5" customHeight="1" x14ac:dyDescent="0.25">
      <c r="A1894" s="13" t="s">
        <v>4329</v>
      </c>
      <c r="B1894" s="2" t="s">
        <v>386</v>
      </c>
      <c r="C1894" s="2" t="s">
        <v>4330</v>
      </c>
      <c r="D1894" s="2" t="s">
        <v>388</v>
      </c>
      <c r="E1894" s="2">
        <v>33.783799999999999</v>
      </c>
      <c r="F1894" s="2" t="s">
        <v>60</v>
      </c>
      <c r="G1894" s="2" t="s">
        <v>61</v>
      </c>
      <c r="H1894" s="6" t="s">
        <v>4329</v>
      </c>
    </row>
    <row r="1895" spans="1:8" ht="22.5" customHeight="1" x14ac:dyDescent="0.25">
      <c r="A1895" s="14" t="s">
        <v>4331</v>
      </c>
      <c r="B1895" s="3" t="s">
        <v>324</v>
      </c>
      <c r="C1895" s="3" t="s">
        <v>4332</v>
      </c>
      <c r="D1895" s="3" t="s">
        <v>326</v>
      </c>
      <c r="E1895" s="3">
        <v>29.719200000000001</v>
      </c>
      <c r="F1895" s="3" t="s">
        <v>60</v>
      </c>
      <c r="G1895" s="3" t="s">
        <v>61</v>
      </c>
      <c r="H1895" s="6" t="s">
        <v>4331</v>
      </c>
    </row>
    <row r="1896" spans="1:8" ht="22.5" customHeight="1" x14ac:dyDescent="0.25">
      <c r="A1896" s="13" t="s">
        <v>4333</v>
      </c>
      <c r="B1896" s="2" t="s">
        <v>400</v>
      </c>
      <c r="C1896" s="2" t="s">
        <v>4334</v>
      </c>
      <c r="D1896" s="2" t="s">
        <v>402</v>
      </c>
      <c r="E1896" s="2">
        <v>34.332239999999999</v>
      </c>
      <c r="F1896" s="2" t="s">
        <v>60</v>
      </c>
      <c r="G1896" s="2" t="s">
        <v>61</v>
      </c>
      <c r="H1896" s="6" t="s">
        <v>4333</v>
      </c>
    </row>
    <row r="1897" spans="1:8" ht="33.75" customHeight="1" x14ac:dyDescent="0.25">
      <c r="A1897" s="14" t="s">
        <v>4335</v>
      </c>
      <c r="B1897" s="3" t="s">
        <v>77</v>
      </c>
      <c r="C1897" s="3" t="s">
        <v>4336</v>
      </c>
      <c r="D1897" s="3" t="s">
        <v>79</v>
      </c>
      <c r="E1897" s="3">
        <v>31.699200000000001</v>
      </c>
      <c r="F1897" s="3" t="s">
        <v>60</v>
      </c>
      <c r="G1897" s="3" t="s">
        <v>61</v>
      </c>
      <c r="H1897" s="6" t="s">
        <v>4335</v>
      </c>
    </row>
    <row r="1898" spans="1:8" ht="33.75" customHeight="1" x14ac:dyDescent="0.25">
      <c r="A1898" s="13" t="s">
        <v>4337</v>
      </c>
      <c r="B1898" s="2" t="s">
        <v>57</v>
      </c>
      <c r="C1898" s="2" t="s">
        <v>4338</v>
      </c>
      <c r="D1898" s="2" t="s">
        <v>59</v>
      </c>
      <c r="E1898" s="2">
        <v>31.825199999999999</v>
      </c>
      <c r="F1898" s="2" t="s">
        <v>60</v>
      </c>
      <c r="G1898" s="2" t="s">
        <v>61</v>
      </c>
      <c r="H1898" s="6" t="s">
        <v>4337</v>
      </c>
    </row>
    <row r="1899" spans="1:8" ht="33.75" customHeight="1" x14ac:dyDescent="0.25">
      <c r="A1899" s="14" t="s">
        <v>4339</v>
      </c>
      <c r="B1899" s="3" t="s">
        <v>77</v>
      </c>
      <c r="C1899" s="3" t="s">
        <v>4340</v>
      </c>
      <c r="D1899" s="3" t="s">
        <v>79</v>
      </c>
      <c r="E1899" s="3">
        <v>31.699200000000001</v>
      </c>
      <c r="F1899" s="3" t="s">
        <v>60</v>
      </c>
      <c r="G1899" s="3" t="s">
        <v>61</v>
      </c>
      <c r="H1899" s="6" t="s">
        <v>4339</v>
      </c>
    </row>
    <row r="1900" spans="1:8" ht="33.75" customHeight="1" x14ac:dyDescent="0.25">
      <c r="A1900" s="13" t="s">
        <v>4341</v>
      </c>
      <c r="B1900" s="2" t="s">
        <v>89</v>
      </c>
      <c r="C1900" s="2" t="s">
        <v>4342</v>
      </c>
      <c r="D1900" s="2" t="s">
        <v>91</v>
      </c>
      <c r="E1900" s="2">
        <v>32.389200000000002</v>
      </c>
      <c r="F1900" s="2" t="s">
        <v>60</v>
      </c>
      <c r="G1900" s="2" t="s">
        <v>61</v>
      </c>
      <c r="H1900" s="6" t="s">
        <v>4341</v>
      </c>
    </row>
    <row r="1901" spans="1:8" ht="22.5" customHeight="1" x14ac:dyDescent="0.25">
      <c r="A1901" s="14" t="s">
        <v>4343</v>
      </c>
      <c r="B1901" s="3" t="s">
        <v>120</v>
      </c>
      <c r="C1901" s="3" t="s">
        <v>4344</v>
      </c>
      <c r="D1901" s="3" t="s">
        <v>122</v>
      </c>
      <c r="E1901" s="3">
        <v>33.349800000000002</v>
      </c>
      <c r="F1901" s="3" t="s">
        <v>60</v>
      </c>
      <c r="G1901" s="3" t="s">
        <v>61</v>
      </c>
      <c r="H1901" s="6" t="s">
        <v>4343</v>
      </c>
    </row>
    <row r="1902" spans="1:8" ht="22.5" customHeight="1" x14ac:dyDescent="0.25">
      <c r="A1902" s="13" t="s">
        <v>4345</v>
      </c>
      <c r="B1902" s="2" t="s">
        <v>990</v>
      </c>
      <c r="C1902" s="2" t="s">
        <v>4346</v>
      </c>
      <c r="D1902" s="2" t="s">
        <v>992</v>
      </c>
      <c r="E1902" s="2">
        <v>29.755199999999999</v>
      </c>
      <c r="F1902" s="2" t="s">
        <v>60</v>
      </c>
      <c r="G1902" s="2" t="s">
        <v>61</v>
      </c>
      <c r="H1902" s="6" t="s">
        <v>4345</v>
      </c>
    </row>
    <row r="1903" spans="1:8" ht="22.5" customHeight="1" x14ac:dyDescent="0.25">
      <c r="A1903" s="14" t="s">
        <v>4347</v>
      </c>
      <c r="B1903" s="3" t="s">
        <v>404</v>
      </c>
      <c r="C1903" s="3" t="s">
        <v>4348</v>
      </c>
      <c r="D1903" s="3" t="s">
        <v>406</v>
      </c>
      <c r="E1903" s="3">
        <v>29.999199999999998</v>
      </c>
      <c r="F1903" s="3" t="s">
        <v>60</v>
      </c>
      <c r="G1903" s="3" t="s">
        <v>61</v>
      </c>
      <c r="H1903" s="6" t="s">
        <v>4347</v>
      </c>
    </row>
    <row r="1904" spans="1:8" ht="33.75" customHeight="1" x14ac:dyDescent="0.25">
      <c r="A1904" s="13" t="s">
        <v>4349</v>
      </c>
      <c r="B1904" s="2" t="s">
        <v>57</v>
      </c>
      <c r="C1904" s="2" t="s">
        <v>4350</v>
      </c>
      <c r="D1904" s="2" t="s">
        <v>59</v>
      </c>
      <c r="E1904" s="2">
        <v>31.825199999999999</v>
      </c>
      <c r="F1904" s="2" t="s">
        <v>60</v>
      </c>
      <c r="G1904" s="2" t="s">
        <v>61</v>
      </c>
      <c r="H1904" s="6" t="s">
        <v>4349</v>
      </c>
    </row>
    <row r="1905" spans="1:8" ht="22.5" customHeight="1" x14ac:dyDescent="0.25">
      <c r="A1905" s="14" t="s">
        <v>4351</v>
      </c>
      <c r="B1905" s="3" t="s">
        <v>990</v>
      </c>
      <c r="C1905" s="3" t="s">
        <v>4352</v>
      </c>
      <c r="D1905" s="3" t="s">
        <v>992</v>
      </c>
      <c r="E1905" s="3">
        <v>29.755199999999999</v>
      </c>
      <c r="F1905" s="3" t="s">
        <v>60</v>
      </c>
      <c r="G1905" s="3" t="s">
        <v>61</v>
      </c>
      <c r="H1905" s="6" t="s">
        <v>4351</v>
      </c>
    </row>
    <row r="1906" spans="1:8" ht="22.5" customHeight="1" x14ac:dyDescent="0.25">
      <c r="A1906" s="13" t="s">
        <v>4353</v>
      </c>
      <c r="B1906" s="2" t="s">
        <v>404</v>
      </c>
      <c r="C1906" s="2" t="s">
        <v>4354</v>
      </c>
      <c r="D1906" s="2" t="s">
        <v>406</v>
      </c>
      <c r="E1906" s="2">
        <v>29.999199999999998</v>
      </c>
      <c r="F1906" s="2" t="s">
        <v>60</v>
      </c>
      <c r="G1906" s="2" t="s">
        <v>61</v>
      </c>
      <c r="H1906" s="6" t="s">
        <v>4353</v>
      </c>
    </row>
    <row r="1907" spans="1:8" ht="22.5" customHeight="1" x14ac:dyDescent="0.25">
      <c r="A1907" s="14" t="s">
        <v>4355</v>
      </c>
      <c r="B1907" s="3" t="s">
        <v>588</v>
      </c>
      <c r="C1907" s="3" t="s">
        <v>4356</v>
      </c>
      <c r="D1907" s="3" t="s">
        <v>590</v>
      </c>
      <c r="E1907" s="3">
        <v>29.869199999999999</v>
      </c>
      <c r="F1907" s="3" t="s">
        <v>60</v>
      </c>
      <c r="G1907" s="3" t="s">
        <v>61</v>
      </c>
      <c r="H1907" s="6" t="s">
        <v>4355</v>
      </c>
    </row>
    <row r="1908" spans="1:8" ht="22.5" customHeight="1" x14ac:dyDescent="0.25">
      <c r="A1908" s="13" t="s">
        <v>4357</v>
      </c>
      <c r="B1908" s="2" t="s">
        <v>990</v>
      </c>
      <c r="C1908" s="2" t="s">
        <v>4358</v>
      </c>
      <c r="D1908" s="2" t="s">
        <v>992</v>
      </c>
      <c r="E1908" s="2">
        <v>29.755199999999999</v>
      </c>
      <c r="F1908" s="2" t="s">
        <v>60</v>
      </c>
      <c r="G1908" s="2" t="s">
        <v>61</v>
      </c>
      <c r="H1908" s="6" t="s">
        <v>4357</v>
      </c>
    </row>
    <row r="1909" spans="1:8" ht="22.5" customHeight="1" x14ac:dyDescent="0.25">
      <c r="A1909" s="14" t="s">
        <v>4359</v>
      </c>
      <c r="B1909" s="3" t="s">
        <v>1008</v>
      </c>
      <c r="C1909" s="3" t="s">
        <v>4360</v>
      </c>
      <c r="D1909" s="3" t="s">
        <v>1010</v>
      </c>
      <c r="E1909" s="3">
        <v>30.4892</v>
      </c>
      <c r="F1909" s="3" t="s">
        <v>60</v>
      </c>
      <c r="G1909" s="3" t="s">
        <v>61</v>
      </c>
      <c r="H1909" s="6" t="s">
        <v>4359</v>
      </c>
    </row>
    <row r="1910" spans="1:8" ht="22.5" customHeight="1" x14ac:dyDescent="0.25">
      <c r="A1910" s="13" t="s">
        <v>4361</v>
      </c>
      <c r="B1910" s="2" t="s">
        <v>588</v>
      </c>
      <c r="C1910" s="2" t="s">
        <v>4362</v>
      </c>
      <c r="D1910" s="2" t="s">
        <v>590</v>
      </c>
      <c r="E1910" s="2">
        <v>29.869199999999999</v>
      </c>
      <c r="F1910" s="2" t="s">
        <v>60</v>
      </c>
      <c r="G1910" s="2" t="s">
        <v>61</v>
      </c>
      <c r="H1910" s="6" t="s">
        <v>4361</v>
      </c>
    </row>
    <row r="1911" spans="1:8" ht="22.5" customHeight="1" x14ac:dyDescent="0.25">
      <c r="A1911" s="14" t="s">
        <v>4363</v>
      </c>
      <c r="B1911" s="3" t="s">
        <v>990</v>
      </c>
      <c r="C1911" s="3" t="s">
        <v>4364</v>
      </c>
      <c r="D1911" s="3" t="s">
        <v>992</v>
      </c>
      <c r="E1911" s="3">
        <v>29.755199999999999</v>
      </c>
      <c r="F1911" s="3" t="s">
        <v>60</v>
      </c>
      <c r="G1911" s="3" t="s">
        <v>61</v>
      </c>
      <c r="H1911" s="6" t="s">
        <v>4363</v>
      </c>
    </row>
    <row r="1912" spans="1:8" ht="33.75" customHeight="1" x14ac:dyDescent="0.25">
      <c r="A1912" s="13" t="s">
        <v>4365</v>
      </c>
      <c r="B1912" s="2" t="s">
        <v>112</v>
      </c>
      <c r="C1912" s="2" t="s">
        <v>4366</v>
      </c>
      <c r="D1912" s="2" t="s">
        <v>114</v>
      </c>
      <c r="E1912" s="2">
        <v>30.7682</v>
      </c>
      <c r="F1912" s="2" t="s">
        <v>60</v>
      </c>
      <c r="G1912" s="2" t="s">
        <v>61</v>
      </c>
      <c r="H1912" s="6" t="s">
        <v>4365</v>
      </c>
    </row>
    <row r="1913" spans="1:8" ht="33.75" customHeight="1" x14ac:dyDescent="0.25">
      <c r="A1913" s="14" t="s">
        <v>4367</v>
      </c>
      <c r="B1913" s="3" t="s">
        <v>156</v>
      </c>
      <c r="C1913" s="3" t="s">
        <v>4368</v>
      </c>
      <c r="D1913" s="3" t="s">
        <v>158</v>
      </c>
      <c r="E1913" s="3">
        <v>30.987200000000001</v>
      </c>
      <c r="F1913" s="3" t="s">
        <v>60</v>
      </c>
      <c r="G1913" s="3" t="s">
        <v>61</v>
      </c>
      <c r="H1913" s="6" t="s">
        <v>4367</v>
      </c>
    </row>
    <row r="1914" spans="1:8" ht="22.5" customHeight="1" x14ac:dyDescent="0.25">
      <c r="A1914" s="13" t="s">
        <v>4369</v>
      </c>
      <c r="B1914" s="2" t="s">
        <v>2450</v>
      </c>
      <c r="C1914" s="2" t="s">
        <v>4370</v>
      </c>
      <c r="D1914" s="2" t="s">
        <v>2452</v>
      </c>
      <c r="E1914" s="2">
        <v>28.126000000000001</v>
      </c>
      <c r="F1914" s="2" t="s">
        <v>60</v>
      </c>
      <c r="G1914" s="2" t="s">
        <v>61</v>
      </c>
      <c r="H1914" s="6" t="s">
        <v>4369</v>
      </c>
    </row>
    <row r="1915" spans="1:8" ht="22.5" customHeight="1" x14ac:dyDescent="0.25">
      <c r="A1915" s="14" t="s">
        <v>4371</v>
      </c>
      <c r="B1915" s="3" t="s">
        <v>2037</v>
      </c>
      <c r="C1915" s="3" t="s">
        <v>4372</v>
      </c>
      <c r="D1915" s="3" t="s">
        <v>2039</v>
      </c>
      <c r="E1915" s="3">
        <v>31.226199999999999</v>
      </c>
      <c r="F1915" s="3" t="s">
        <v>60</v>
      </c>
      <c r="G1915" s="3" t="s">
        <v>61</v>
      </c>
      <c r="H1915" s="6" t="s">
        <v>4371</v>
      </c>
    </row>
    <row r="1916" spans="1:8" ht="33.75" customHeight="1" x14ac:dyDescent="0.25">
      <c r="A1916" s="13" t="s">
        <v>4373</v>
      </c>
      <c r="B1916" s="2" t="s">
        <v>4374</v>
      </c>
      <c r="C1916" s="2" t="s">
        <v>4375</v>
      </c>
      <c r="D1916" s="2" t="s">
        <v>4376</v>
      </c>
      <c r="E1916" s="2">
        <v>29.326000000000001</v>
      </c>
      <c r="F1916" s="2" t="s">
        <v>60</v>
      </c>
      <c r="G1916" s="2" t="s">
        <v>61</v>
      </c>
      <c r="H1916" s="6" t="s">
        <v>4373</v>
      </c>
    </row>
    <row r="1917" spans="1:8" ht="33.75" customHeight="1" x14ac:dyDescent="0.25">
      <c r="A1917" s="14" t="s">
        <v>4377</v>
      </c>
      <c r="B1917" s="3" t="s">
        <v>57</v>
      </c>
      <c r="C1917" s="3" t="s">
        <v>4378</v>
      </c>
      <c r="D1917" s="3" t="s">
        <v>59</v>
      </c>
      <c r="E1917" s="3">
        <v>31.825199999999999</v>
      </c>
      <c r="F1917" s="3" t="s">
        <v>60</v>
      </c>
      <c r="G1917" s="3" t="s">
        <v>61</v>
      </c>
      <c r="H1917" s="6" t="s">
        <v>4377</v>
      </c>
    </row>
    <row r="1918" spans="1:8" ht="22.5" customHeight="1" x14ac:dyDescent="0.25">
      <c r="A1918" s="13" t="s">
        <v>4379</v>
      </c>
      <c r="B1918" s="2" t="s">
        <v>878</v>
      </c>
      <c r="C1918" s="2" t="s">
        <v>4380</v>
      </c>
      <c r="D1918" s="2" t="s">
        <v>880</v>
      </c>
      <c r="E1918" s="2">
        <v>27.925999999999998</v>
      </c>
      <c r="F1918" s="2" t="s">
        <v>60</v>
      </c>
      <c r="G1918" s="2" t="s">
        <v>61</v>
      </c>
      <c r="H1918" s="6" t="s">
        <v>4379</v>
      </c>
    </row>
    <row r="1919" spans="1:8" ht="22.5" customHeight="1" x14ac:dyDescent="0.25">
      <c r="A1919" s="14" t="s">
        <v>4381</v>
      </c>
      <c r="B1919" s="3" t="s">
        <v>878</v>
      </c>
      <c r="C1919" s="3" t="s">
        <v>4382</v>
      </c>
      <c r="D1919" s="3" t="s">
        <v>880</v>
      </c>
      <c r="E1919" s="3">
        <v>27.925999999999998</v>
      </c>
      <c r="F1919" s="3" t="s">
        <v>60</v>
      </c>
      <c r="G1919" s="3" t="s">
        <v>61</v>
      </c>
      <c r="H1919" s="6" t="s">
        <v>4381</v>
      </c>
    </row>
    <row r="1920" spans="1:8" ht="22.5" customHeight="1" x14ac:dyDescent="0.25">
      <c r="A1920" s="13" t="s">
        <v>4383</v>
      </c>
      <c r="B1920" s="2" t="s">
        <v>826</v>
      </c>
      <c r="C1920" s="2" t="s">
        <v>4384</v>
      </c>
      <c r="D1920" s="2" t="s">
        <v>828</v>
      </c>
      <c r="E1920" s="2">
        <v>28.366</v>
      </c>
      <c r="F1920" s="2" t="s">
        <v>60</v>
      </c>
      <c r="G1920" s="2" t="s">
        <v>61</v>
      </c>
      <c r="H1920" s="6" t="s">
        <v>4383</v>
      </c>
    </row>
    <row r="1921" spans="1:8" ht="22.5" customHeight="1" x14ac:dyDescent="0.25">
      <c r="A1921" s="14" t="s">
        <v>4385</v>
      </c>
      <c r="B1921" s="3" t="s">
        <v>826</v>
      </c>
      <c r="C1921" s="3" t="s">
        <v>4386</v>
      </c>
      <c r="D1921" s="3" t="s">
        <v>828</v>
      </c>
      <c r="E1921" s="3">
        <v>28.366</v>
      </c>
      <c r="F1921" s="3" t="s">
        <v>60</v>
      </c>
      <c r="G1921" s="3" t="s">
        <v>61</v>
      </c>
      <c r="H1921" s="6" t="s">
        <v>4385</v>
      </c>
    </row>
    <row r="1922" spans="1:8" ht="22.5" customHeight="1" x14ac:dyDescent="0.25">
      <c r="A1922" s="13" t="s">
        <v>4387</v>
      </c>
      <c r="B1922" s="2" t="s">
        <v>1294</v>
      </c>
      <c r="C1922" s="2" t="s">
        <v>4388</v>
      </c>
      <c r="D1922" s="2" t="s">
        <v>1296</v>
      </c>
      <c r="E1922" s="2">
        <v>27.925999999999998</v>
      </c>
      <c r="F1922" s="2" t="s">
        <v>60</v>
      </c>
      <c r="G1922" s="2" t="s">
        <v>61</v>
      </c>
      <c r="H1922" s="6" t="s">
        <v>4387</v>
      </c>
    </row>
    <row r="1923" spans="1:8" ht="22.5" customHeight="1" x14ac:dyDescent="0.25">
      <c r="A1923" s="14" t="s">
        <v>4389</v>
      </c>
      <c r="B1923" s="3" t="s">
        <v>2141</v>
      </c>
      <c r="C1923" s="3" t="s">
        <v>4390</v>
      </c>
      <c r="D1923" s="3" t="s">
        <v>2143</v>
      </c>
      <c r="E1923" s="3">
        <v>30.326000000000001</v>
      </c>
      <c r="F1923" s="3" t="s">
        <v>60</v>
      </c>
      <c r="G1923" s="3" t="s">
        <v>61</v>
      </c>
      <c r="H1923" s="6" t="s">
        <v>4389</v>
      </c>
    </row>
    <row r="1924" spans="1:8" ht="22.5" customHeight="1" x14ac:dyDescent="0.25">
      <c r="A1924" s="13" t="s">
        <v>4391</v>
      </c>
      <c r="B1924" s="2" t="s">
        <v>2147</v>
      </c>
      <c r="C1924" s="2" t="s">
        <v>4392</v>
      </c>
      <c r="D1924" s="2" t="s">
        <v>2149</v>
      </c>
      <c r="E1924" s="2">
        <v>30.326000000000001</v>
      </c>
      <c r="F1924" s="2" t="s">
        <v>60</v>
      </c>
      <c r="G1924" s="2" t="s">
        <v>61</v>
      </c>
      <c r="H1924" s="6" t="s">
        <v>4391</v>
      </c>
    </row>
    <row r="1925" spans="1:8" ht="22.5" customHeight="1" x14ac:dyDescent="0.25">
      <c r="A1925" s="14" t="s">
        <v>4393</v>
      </c>
      <c r="B1925" s="3" t="s">
        <v>2147</v>
      </c>
      <c r="C1925" s="3" t="s">
        <v>4394</v>
      </c>
      <c r="D1925" s="3" t="s">
        <v>2149</v>
      </c>
      <c r="E1925" s="3">
        <v>30.326000000000001</v>
      </c>
      <c r="F1925" s="3" t="s">
        <v>60</v>
      </c>
      <c r="G1925" s="3" t="s">
        <v>61</v>
      </c>
      <c r="H1925" s="6" t="s">
        <v>4393</v>
      </c>
    </row>
    <row r="1926" spans="1:8" ht="22.5" customHeight="1" x14ac:dyDescent="0.25">
      <c r="A1926" s="13" t="s">
        <v>4395</v>
      </c>
      <c r="B1926" s="2" t="s">
        <v>878</v>
      </c>
      <c r="C1926" s="2" t="s">
        <v>4396</v>
      </c>
      <c r="D1926" s="2" t="s">
        <v>880</v>
      </c>
      <c r="E1926" s="2">
        <v>27.925999999999998</v>
      </c>
      <c r="F1926" s="2" t="s">
        <v>60</v>
      </c>
      <c r="G1926" s="2" t="s">
        <v>61</v>
      </c>
      <c r="H1926" s="6" t="s">
        <v>4395</v>
      </c>
    </row>
    <row r="1927" spans="1:8" ht="22.5" customHeight="1" x14ac:dyDescent="0.25">
      <c r="A1927" s="14" t="s">
        <v>4397</v>
      </c>
      <c r="B1927" s="3" t="s">
        <v>878</v>
      </c>
      <c r="C1927" s="3" t="s">
        <v>4398</v>
      </c>
      <c r="D1927" s="3" t="s">
        <v>880</v>
      </c>
      <c r="E1927" s="3">
        <v>27.925999999999998</v>
      </c>
      <c r="F1927" s="3" t="s">
        <v>60</v>
      </c>
      <c r="G1927" s="3" t="s">
        <v>61</v>
      </c>
      <c r="H1927" s="6" t="s">
        <v>4397</v>
      </c>
    </row>
    <row r="1928" spans="1:8" ht="22.5" customHeight="1" x14ac:dyDescent="0.25">
      <c r="A1928" s="13" t="s">
        <v>4399</v>
      </c>
      <c r="B1928" s="2" t="s">
        <v>830</v>
      </c>
      <c r="C1928" s="2" t="s">
        <v>4400</v>
      </c>
      <c r="D1928" s="2" t="s">
        <v>832</v>
      </c>
      <c r="E1928" s="2">
        <v>27.925999999999998</v>
      </c>
      <c r="F1928" s="2" t="s">
        <v>60</v>
      </c>
      <c r="G1928" s="2" t="s">
        <v>61</v>
      </c>
      <c r="H1928" s="6" t="s">
        <v>4399</v>
      </c>
    </row>
    <row r="1929" spans="1:8" ht="22.5" customHeight="1" x14ac:dyDescent="0.25">
      <c r="A1929" s="14" t="s">
        <v>4401</v>
      </c>
      <c r="B1929" s="3" t="s">
        <v>2137</v>
      </c>
      <c r="C1929" s="3" t="s">
        <v>4402</v>
      </c>
      <c r="D1929" s="3" t="s">
        <v>2139</v>
      </c>
      <c r="E1929" s="3">
        <v>27.925999999999998</v>
      </c>
      <c r="F1929" s="3" t="s">
        <v>60</v>
      </c>
      <c r="G1929" s="3" t="s">
        <v>61</v>
      </c>
      <c r="H1929" s="6" t="s">
        <v>4401</v>
      </c>
    </row>
    <row r="1930" spans="1:8" ht="22.5" customHeight="1" x14ac:dyDescent="0.25">
      <c r="A1930" s="13" t="s">
        <v>4403</v>
      </c>
      <c r="B1930" s="2" t="s">
        <v>2153</v>
      </c>
      <c r="C1930" s="2" t="s">
        <v>4404</v>
      </c>
      <c r="D1930" s="2" t="s">
        <v>2155</v>
      </c>
      <c r="E1930" s="2">
        <v>30.326000000000001</v>
      </c>
      <c r="F1930" s="2" t="s">
        <v>60</v>
      </c>
      <c r="G1930" s="2" t="s">
        <v>61</v>
      </c>
      <c r="H1930" s="6" t="s">
        <v>4403</v>
      </c>
    </row>
    <row r="1931" spans="1:8" ht="22.5" customHeight="1" x14ac:dyDescent="0.25">
      <c r="A1931" s="14" t="s">
        <v>4405</v>
      </c>
      <c r="B1931" s="3" t="s">
        <v>2153</v>
      </c>
      <c r="C1931" s="3" t="s">
        <v>4406</v>
      </c>
      <c r="D1931" s="3" t="s">
        <v>2155</v>
      </c>
      <c r="E1931" s="3">
        <v>30.326000000000001</v>
      </c>
      <c r="F1931" s="3" t="s">
        <v>60</v>
      </c>
      <c r="G1931" s="3" t="s">
        <v>61</v>
      </c>
      <c r="H1931" s="6" t="s">
        <v>4405</v>
      </c>
    </row>
    <row r="1932" spans="1:8" ht="22.5" customHeight="1" x14ac:dyDescent="0.25">
      <c r="A1932" s="13" t="s">
        <v>4407</v>
      </c>
      <c r="B1932" s="2" t="s">
        <v>390</v>
      </c>
      <c r="C1932" s="2" t="s">
        <v>4408</v>
      </c>
      <c r="D1932" s="2" t="s">
        <v>392</v>
      </c>
      <c r="E1932" s="2">
        <v>35.367600000000003</v>
      </c>
      <c r="F1932" s="2" t="s">
        <v>60</v>
      </c>
      <c r="G1932" s="2" t="s">
        <v>61</v>
      </c>
      <c r="H1932" s="6" t="s">
        <v>4407</v>
      </c>
    </row>
    <row r="1933" spans="1:8" ht="22.5" customHeight="1" x14ac:dyDescent="0.25">
      <c r="A1933" s="14" t="s">
        <v>4409</v>
      </c>
      <c r="B1933" s="3" t="s">
        <v>1008</v>
      </c>
      <c r="C1933" s="3" t="s">
        <v>4410</v>
      </c>
      <c r="D1933" s="3" t="s">
        <v>1010</v>
      </c>
      <c r="E1933" s="3">
        <v>30.4892</v>
      </c>
      <c r="F1933" s="3" t="s">
        <v>60</v>
      </c>
      <c r="G1933" s="3" t="s">
        <v>61</v>
      </c>
      <c r="H1933" s="6" t="s">
        <v>4409</v>
      </c>
    </row>
    <row r="1934" spans="1:8" ht="22.5" customHeight="1" x14ac:dyDescent="0.25">
      <c r="A1934" s="13" t="s">
        <v>4411</v>
      </c>
      <c r="B1934" s="2" t="s">
        <v>418</v>
      </c>
      <c r="C1934" s="2" t="s">
        <v>4412</v>
      </c>
      <c r="D1934" s="2" t="s">
        <v>420</v>
      </c>
      <c r="E1934" s="2">
        <v>30.655200000000001</v>
      </c>
      <c r="F1934" s="2" t="s">
        <v>60</v>
      </c>
      <c r="G1934" s="2" t="s">
        <v>61</v>
      </c>
      <c r="H1934" s="6" t="s">
        <v>4411</v>
      </c>
    </row>
    <row r="1935" spans="1:8" ht="22.5" customHeight="1" x14ac:dyDescent="0.25">
      <c r="A1935" s="14" t="s">
        <v>4413</v>
      </c>
      <c r="B1935" s="3" t="s">
        <v>588</v>
      </c>
      <c r="C1935" s="3" t="s">
        <v>4414</v>
      </c>
      <c r="D1935" s="3" t="s">
        <v>590</v>
      </c>
      <c r="E1935" s="3">
        <v>29.869199999999999</v>
      </c>
      <c r="F1935" s="3" t="s">
        <v>60</v>
      </c>
      <c r="G1935" s="3" t="s">
        <v>61</v>
      </c>
      <c r="H1935" s="6" t="s">
        <v>4413</v>
      </c>
    </row>
    <row r="1936" spans="1:8" ht="33.75" customHeight="1" x14ac:dyDescent="0.25">
      <c r="A1936" s="13" t="s">
        <v>4415</v>
      </c>
      <c r="B1936" s="2" t="s">
        <v>3860</v>
      </c>
      <c r="C1936" s="2" t="s">
        <v>3870</v>
      </c>
      <c r="D1936" s="2" t="s">
        <v>3862</v>
      </c>
      <c r="E1936" s="2">
        <v>30.039200000000001</v>
      </c>
      <c r="F1936" s="2" t="s">
        <v>60</v>
      </c>
      <c r="G1936" s="2" t="s">
        <v>61</v>
      </c>
      <c r="H1936" s="6" t="s">
        <v>4415</v>
      </c>
    </row>
    <row r="1937" spans="1:8" ht="33.75" customHeight="1" x14ac:dyDescent="0.25">
      <c r="A1937" s="14" t="s">
        <v>4416</v>
      </c>
      <c r="B1937" s="3" t="s">
        <v>3860</v>
      </c>
      <c r="C1937" s="3" t="s">
        <v>3872</v>
      </c>
      <c r="D1937" s="3" t="s">
        <v>3862</v>
      </c>
      <c r="E1937" s="3">
        <v>30.039200000000001</v>
      </c>
      <c r="F1937" s="3" t="s">
        <v>60</v>
      </c>
      <c r="G1937" s="3" t="s">
        <v>61</v>
      </c>
      <c r="H1937" s="6" t="s">
        <v>4416</v>
      </c>
    </row>
    <row r="1938" spans="1:8" ht="33.75" customHeight="1" x14ac:dyDescent="0.25">
      <c r="A1938" s="13" t="s">
        <v>4417</v>
      </c>
      <c r="B1938" s="2" t="s">
        <v>3866</v>
      </c>
      <c r="C1938" s="2" t="s">
        <v>3874</v>
      </c>
      <c r="D1938" s="2" t="s">
        <v>3868</v>
      </c>
      <c r="E1938" s="2">
        <v>30.039200000000001</v>
      </c>
      <c r="F1938" s="2" t="s">
        <v>60</v>
      </c>
      <c r="G1938" s="2" t="s">
        <v>61</v>
      </c>
      <c r="H1938" s="6" t="s">
        <v>4417</v>
      </c>
    </row>
    <row r="1939" spans="1:8" ht="33.75" customHeight="1" x14ac:dyDescent="0.25">
      <c r="A1939" s="14" t="s">
        <v>4418</v>
      </c>
      <c r="B1939" s="3" t="s">
        <v>3860</v>
      </c>
      <c r="C1939" s="3" t="s">
        <v>3876</v>
      </c>
      <c r="D1939" s="3" t="s">
        <v>3862</v>
      </c>
      <c r="E1939" s="3">
        <v>30.039200000000001</v>
      </c>
      <c r="F1939" s="3" t="s">
        <v>60</v>
      </c>
      <c r="G1939" s="3" t="s">
        <v>61</v>
      </c>
      <c r="H1939" s="6" t="s">
        <v>4418</v>
      </c>
    </row>
    <row r="1940" spans="1:8" ht="33.75" customHeight="1" x14ac:dyDescent="0.25">
      <c r="A1940" s="13" t="s">
        <v>4419</v>
      </c>
      <c r="B1940" s="2" t="s">
        <v>3860</v>
      </c>
      <c r="C1940" s="2" t="s">
        <v>3888</v>
      </c>
      <c r="D1940" s="2" t="s">
        <v>3862</v>
      </c>
      <c r="E1940" s="2">
        <v>30.039200000000001</v>
      </c>
      <c r="F1940" s="2" t="s">
        <v>60</v>
      </c>
      <c r="G1940" s="2" t="s">
        <v>61</v>
      </c>
      <c r="H1940" s="6" t="s">
        <v>4419</v>
      </c>
    </row>
    <row r="1941" spans="1:8" ht="33.75" customHeight="1" x14ac:dyDescent="0.25">
      <c r="A1941" s="14" t="s">
        <v>4420</v>
      </c>
      <c r="B1941" s="3" t="s">
        <v>3860</v>
      </c>
      <c r="C1941" s="3" t="s">
        <v>3890</v>
      </c>
      <c r="D1941" s="3" t="s">
        <v>3862</v>
      </c>
      <c r="E1941" s="3">
        <v>30.039200000000001</v>
      </c>
      <c r="F1941" s="3" t="s">
        <v>60</v>
      </c>
      <c r="G1941" s="3" t="s">
        <v>61</v>
      </c>
      <c r="H1941" s="6" t="s">
        <v>4420</v>
      </c>
    </row>
    <row r="1942" spans="1:8" ht="33.75" customHeight="1" x14ac:dyDescent="0.25">
      <c r="A1942" s="13" t="s">
        <v>4421</v>
      </c>
      <c r="B1942" s="2" t="s">
        <v>3866</v>
      </c>
      <c r="C1942" s="2" t="s">
        <v>3892</v>
      </c>
      <c r="D1942" s="2" t="s">
        <v>3868</v>
      </c>
      <c r="E1942" s="2">
        <v>30.039200000000001</v>
      </c>
      <c r="F1942" s="2" t="s">
        <v>60</v>
      </c>
      <c r="G1942" s="2" t="s">
        <v>61</v>
      </c>
      <c r="H1942" s="6" t="s">
        <v>4421</v>
      </c>
    </row>
    <row r="1943" spans="1:8" ht="33.75" customHeight="1" x14ac:dyDescent="0.25">
      <c r="A1943" s="14" t="s">
        <v>4422</v>
      </c>
      <c r="B1943" s="3" t="s">
        <v>3860</v>
      </c>
      <c r="C1943" s="3" t="s">
        <v>3894</v>
      </c>
      <c r="D1943" s="3" t="s">
        <v>3862</v>
      </c>
      <c r="E1943" s="3">
        <v>30.039200000000001</v>
      </c>
      <c r="F1943" s="3" t="s">
        <v>60</v>
      </c>
      <c r="G1943" s="3" t="s">
        <v>61</v>
      </c>
      <c r="H1943" s="6" t="s">
        <v>4422</v>
      </c>
    </row>
    <row r="1944" spans="1:8" ht="22.5" customHeight="1" x14ac:dyDescent="0.25">
      <c r="A1944" s="13" t="s">
        <v>4423</v>
      </c>
      <c r="B1944" s="2" t="s">
        <v>414</v>
      </c>
      <c r="C1944" s="2" t="s">
        <v>4424</v>
      </c>
      <c r="D1944" s="2" t="s">
        <v>416</v>
      </c>
      <c r="E1944" s="2">
        <v>31.0092</v>
      </c>
      <c r="F1944" s="2" t="s">
        <v>60</v>
      </c>
      <c r="G1944" s="2" t="s">
        <v>61</v>
      </c>
      <c r="H1944" s="6" t="s">
        <v>4423</v>
      </c>
    </row>
    <row r="1945" spans="1:8" ht="22.5" customHeight="1" x14ac:dyDescent="0.25">
      <c r="A1945" s="14" t="s">
        <v>4425</v>
      </c>
      <c r="B1945" s="3" t="s">
        <v>4426</v>
      </c>
      <c r="C1945" s="3" t="s">
        <v>4427</v>
      </c>
      <c r="D1945" s="3" t="s">
        <v>4428</v>
      </c>
      <c r="E1945" s="3">
        <v>28.2624</v>
      </c>
      <c r="F1945" s="3" t="s">
        <v>60</v>
      </c>
      <c r="G1945" s="3" t="s">
        <v>61</v>
      </c>
      <c r="H1945" s="6" t="s">
        <v>4425</v>
      </c>
    </row>
    <row r="1946" spans="1:8" ht="22.5" customHeight="1" x14ac:dyDescent="0.25">
      <c r="A1946" s="13" t="s">
        <v>4429</v>
      </c>
      <c r="B1946" s="2" t="s">
        <v>830</v>
      </c>
      <c r="C1946" s="2" t="s">
        <v>4430</v>
      </c>
      <c r="D1946" s="2" t="s">
        <v>832</v>
      </c>
      <c r="E1946" s="2">
        <v>27.925999999999998</v>
      </c>
      <c r="F1946" s="2" t="s">
        <v>60</v>
      </c>
      <c r="G1946" s="2" t="s">
        <v>61</v>
      </c>
      <c r="H1946" s="6" t="s">
        <v>4429</v>
      </c>
    </row>
    <row r="1947" spans="1:8" ht="22.5" customHeight="1" x14ac:dyDescent="0.25">
      <c r="A1947" s="14" t="s">
        <v>4431</v>
      </c>
      <c r="B1947" s="3" t="s">
        <v>830</v>
      </c>
      <c r="C1947" s="3" t="s">
        <v>4432</v>
      </c>
      <c r="D1947" s="3" t="s">
        <v>832</v>
      </c>
      <c r="E1947" s="3">
        <v>27.925999999999998</v>
      </c>
      <c r="F1947" s="3" t="s">
        <v>60</v>
      </c>
      <c r="G1947" s="3" t="s">
        <v>61</v>
      </c>
      <c r="H1947" s="6" t="s">
        <v>4431</v>
      </c>
    </row>
    <row r="1948" spans="1:8" ht="22.5" customHeight="1" x14ac:dyDescent="0.25">
      <c r="A1948" s="13" t="s">
        <v>4433</v>
      </c>
      <c r="B1948" s="2" t="s">
        <v>826</v>
      </c>
      <c r="C1948" s="2" t="s">
        <v>4434</v>
      </c>
      <c r="D1948" s="2" t="s">
        <v>828</v>
      </c>
      <c r="E1948" s="2">
        <v>28.366</v>
      </c>
      <c r="F1948" s="2" t="s">
        <v>60</v>
      </c>
      <c r="G1948" s="2" t="s">
        <v>61</v>
      </c>
      <c r="H1948" s="6" t="s">
        <v>4433</v>
      </c>
    </row>
    <row r="1949" spans="1:8" ht="22.5" customHeight="1" x14ac:dyDescent="0.25">
      <c r="A1949" s="14" t="s">
        <v>4435</v>
      </c>
      <c r="B1949" s="3" t="s">
        <v>826</v>
      </c>
      <c r="C1949" s="3" t="s">
        <v>4436</v>
      </c>
      <c r="D1949" s="3" t="s">
        <v>828</v>
      </c>
      <c r="E1949" s="3">
        <v>28.366</v>
      </c>
      <c r="F1949" s="3" t="s">
        <v>60</v>
      </c>
      <c r="G1949" s="3" t="s">
        <v>61</v>
      </c>
      <c r="H1949" s="6" t="s">
        <v>4435</v>
      </c>
    </row>
    <row r="1950" spans="1:8" ht="22.5" customHeight="1" x14ac:dyDescent="0.25">
      <c r="A1950" s="13" t="s">
        <v>4437</v>
      </c>
      <c r="B1950" s="2" t="s">
        <v>826</v>
      </c>
      <c r="C1950" s="2" t="s">
        <v>4438</v>
      </c>
      <c r="D1950" s="2" t="s">
        <v>828</v>
      </c>
      <c r="E1950" s="2">
        <v>28.366</v>
      </c>
      <c r="F1950" s="2" t="s">
        <v>60</v>
      </c>
      <c r="G1950" s="2" t="s">
        <v>61</v>
      </c>
      <c r="H1950" s="6" t="s">
        <v>4437</v>
      </c>
    </row>
    <row r="1951" spans="1:8" ht="22.5" customHeight="1" x14ac:dyDescent="0.25">
      <c r="A1951" s="14" t="s">
        <v>4439</v>
      </c>
      <c r="B1951" s="3" t="s">
        <v>1294</v>
      </c>
      <c r="C1951" s="3" t="s">
        <v>4440</v>
      </c>
      <c r="D1951" s="3" t="s">
        <v>1296</v>
      </c>
      <c r="E1951" s="3">
        <v>27.925999999999998</v>
      </c>
      <c r="F1951" s="3" t="s">
        <v>60</v>
      </c>
      <c r="G1951" s="3" t="s">
        <v>61</v>
      </c>
      <c r="H1951" s="6" t="s">
        <v>4439</v>
      </c>
    </row>
    <row r="1952" spans="1:8" ht="22.5" customHeight="1" x14ac:dyDescent="0.25">
      <c r="A1952" s="13" t="s">
        <v>4441</v>
      </c>
      <c r="B1952" s="2" t="s">
        <v>1294</v>
      </c>
      <c r="C1952" s="2" t="s">
        <v>4442</v>
      </c>
      <c r="D1952" s="2" t="s">
        <v>1296</v>
      </c>
      <c r="E1952" s="2">
        <v>27.925999999999998</v>
      </c>
      <c r="F1952" s="2" t="s">
        <v>60</v>
      </c>
      <c r="G1952" s="2" t="s">
        <v>61</v>
      </c>
      <c r="H1952" s="6" t="s">
        <v>4441</v>
      </c>
    </row>
    <row r="1953" spans="1:8" ht="22.5" customHeight="1" x14ac:dyDescent="0.25">
      <c r="A1953" s="14" t="s">
        <v>4443</v>
      </c>
      <c r="B1953" s="3" t="s">
        <v>1294</v>
      </c>
      <c r="C1953" s="3" t="s">
        <v>4444</v>
      </c>
      <c r="D1953" s="3" t="s">
        <v>1296</v>
      </c>
      <c r="E1953" s="3">
        <v>27.925999999999998</v>
      </c>
      <c r="F1953" s="3" t="s">
        <v>60</v>
      </c>
      <c r="G1953" s="3" t="s">
        <v>61</v>
      </c>
      <c r="H1953" s="6" t="s">
        <v>4443</v>
      </c>
    </row>
    <row r="1954" spans="1:8" ht="33.75" customHeight="1" x14ac:dyDescent="0.25">
      <c r="A1954" s="13" t="s">
        <v>4445</v>
      </c>
      <c r="B1954" s="2" t="s">
        <v>1294</v>
      </c>
      <c r="C1954" s="2" t="s">
        <v>4230</v>
      </c>
      <c r="D1954" s="2" t="s">
        <v>1296</v>
      </c>
      <c r="E1954" s="2">
        <v>27.925999999999998</v>
      </c>
      <c r="F1954" s="2" t="s">
        <v>60</v>
      </c>
      <c r="G1954" s="2" t="s">
        <v>61</v>
      </c>
      <c r="H1954" s="6" t="s">
        <v>4445</v>
      </c>
    </row>
    <row r="1955" spans="1:8" ht="22.5" customHeight="1" x14ac:dyDescent="0.25">
      <c r="A1955" s="14" t="s">
        <v>4446</v>
      </c>
      <c r="B1955" s="3" t="s">
        <v>1781</v>
      </c>
      <c r="C1955" s="3" t="s">
        <v>4447</v>
      </c>
      <c r="D1955" s="3" t="s">
        <v>1783</v>
      </c>
      <c r="E1955" s="3">
        <v>27.925999999999998</v>
      </c>
      <c r="F1955" s="3" t="s">
        <v>60</v>
      </c>
      <c r="G1955" s="3" t="s">
        <v>61</v>
      </c>
      <c r="H1955" s="6" t="s">
        <v>4446</v>
      </c>
    </row>
    <row r="1956" spans="1:8" ht="22.5" customHeight="1" x14ac:dyDescent="0.25">
      <c r="A1956" s="13" t="s">
        <v>4448</v>
      </c>
      <c r="B1956" s="2" t="s">
        <v>1781</v>
      </c>
      <c r="C1956" s="2" t="s">
        <v>4449</v>
      </c>
      <c r="D1956" s="2" t="s">
        <v>1783</v>
      </c>
      <c r="E1956" s="2">
        <v>27.925999999999998</v>
      </c>
      <c r="F1956" s="2" t="s">
        <v>60</v>
      </c>
      <c r="G1956" s="2" t="s">
        <v>61</v>
      </c>
      <c r="H1956" s="6" t="s">
        <v>4448</v>
      </c>
    </row>
    <row r="1957" spans="1:8" ht="22.5" customHeight="1" x14ac:dyDescent="0.25">
      <c r="A1957" s="14" t="s">
        <v>4450</v>
      </c>
      <c r="B1957" s="3" t="s">
        <v>1781</v>
      </c>
      <c r="C1957" s="3" t="s">
        <v>4451</v>
      </c>
      <c r="D1957" s="3" t="s">
        <v>1783</v>
      </c>
      <c r="E1957" s="3">
        <v>27.925999999999998</v>
      </c>
      <c r="F1957" s="3" t="s">
        <v>60</v>
      </c>
      <c r="G1957" s="3" t="s">
        <v>61</v>
      </c>
      <c r="H1957" s="6" t="s">
        <v>4450</v>
      </c>
    </row>
    <row r="1958" spans="1:8" ht="33.75" customHeight="1" x14ac:dyDescent="0.25">
      <c r="A1958" s="13" t="s">
        <v>4452</v>
      </c>
      <c r="B1958" s="2" t="s">
        <v>1781</v>
      </c>
      <c r="C1958" s="2" t="s">
        <v>4236</v>
      </c>
      <c r="D1958" s="2" t="s">
        <v>1783</v>
      </c>
      <c r="E1958" s="2">
        <v>27.925999999999998</v>
      </c>
      <c r="F1958" s="2" t="s">
        <v>60</v>
      </c>
      <c r="G1958" s="2" t="s">
        <v>61</v>
      </c>
      <c r="H1958" s="6" t="s">
        <v>4452</v>
      </c>
    </row>
    <row r="1959" spans="1:8" ht="22.5" customHeight="1" x14ac:dyDescent="0.25">
      <c r="A1959" s="14" t="s">
        <v>4453</v>
      </c>
      <c r="B1959" s="3" t="s">
        <v>878</v>
      </c>
      <c r="C1959" s="3" t="s">
        <v>4454</v>
      </c>
      <c r="D1959" s="3" t="s">
        <v>880</v>
      </c>
      <c r="E1959" s="3">
        <v>27.925999999999998</v>
      </c>
      <c r="F1959" s="3" t="s">
        <v>60</v>
      </c>
      <c r="G1959" s="3" t="s">
        <v>61</v>
      </c>
      <c r="H1959" s="6" t="s">
        <v>4453</v>
      </c>
    </row>
    <row r="1960" spans="1:8" ht="33.75" customHeight="1" x14ac:dyDescent="0.25">
      <c r="A1960" s="13" t="s">
        <v>4455</v>
      </c>
      <c r="B1960" s="2" t="s">
        <v>878</v>
      </c>
      <c r="C1960" s="2" t="s">
        <v>4456</v>
      </c>
      <c r="D1960" s="2" t="s">
        <v>880</v>
      </c>
      <c r="E1960" s="2">
        <v>27.925999999999998</v>
      </c>
      <c r="F1960" s="2" t="s">
        <v>60</v>
      </c>
      <c r="G1960" s="2" t="s">
        <v>61</v>
      </c>
      <c r="H1960" s="6" t="s">
        <v>4455</v>
      </c>
    </row>
    <row r="1961" spans="1:8" ht="22.5" customHeight="1" x14ac:dyDescent="0.25">
      <c r="A1961" s="14" t="s">
        <v>4457</v>
      </c>
      <c r="B1961" s="3" t="s">
        <v>878</v>
      </c>
      <c r="C1961" s="3" t="s">
        <v>4458</v>
      </c>
      <c r="D1961" s="3" t="s">
        <v>880</v>
      </c>
      <c r="E1961" s="3">
        <v>27.925999999999998</v>
      </c>
      <c r="F1961" s="3" t="s">
        <v>60</v>
      </c>
      <c r="G1961" s="3" t="s">
        <v>61</v>
      </c>
      <c r="H1961" s="6" t="s">
        <v>4457</v>
      </c>
    </row>
    <row r="1962" spans="1:8" ht="22.5" customHeight="1" x14ac:dyDescent="0.25">
      <c r="A1962" s="13" t="s">
        <v>4459</v>
      </c>
      <c r="B1962" s="2" t="s">
        <v>830</v>
      </c>
      <c r="C1962" s="2" t="s">
        <v>4460</v>
      </c>
      <c r="D1962" s="2" t="s">
        <v>832</v>
      </c>
      <c r="E1962" s="2">
        <v>27.925999999999998</v>
      </c>
      <c r="F1962" s="2" t="s">
        <v>60</v>
      </c>
      <c r="G1962" s="2" t="s">
        <v>61</v>
      </c>
      <c r="H1962" s="6" t="s">
        <v>4459</v>
      </c>
    </row>
    <row r="1963" spans="1:8" ht="22.5" customHeight="1" x14ac:dyDescent="0.25">
      <c r="A1963" s="14" t="s">
        <v>4461</v>
      </c>
      <c r="B1963" s="3" t="s">
        <v>830</v>
      </c>
      <c r="C1963" s="3" t="s">
        <v>4462</v>
      </c>
      <c r="D1963" s="3" t="s">
        <v>832</v>
      </c>
      <c r="E1963" s="3">
        <v>27.925999999999998</v>
      </c>
      <c r="F1963" s="3" t="s">
        <v>60</v>
      </c>
      <c r="G1963" s="3" t="s">
        <v>61</v>
      </c>
      <c r="H1963" s="6" t="s">
        <v>4461</v>
      </c>
    </row>
    <row r="1964" spans="1:8" ht="22.5" customHeight="1" x14ac:dyDescent="0.25">
      <c r="A1964" s="13" t="s">
        <v>4463</v>
      </c>
      <c r="B1964" s="2" t="s">
        <v>830</v>
      </c>
      <c r="C1964" s="2" t="s">
        <v>4464</v>
      </c>
      <c r="D1964" s="2" t="s">
        <v>832</v>
      </c>
      <c r="E1964" s="2">
        <v>27.925999999999998</v>
      </c>
      <c r="F1964" s="2" t="s">
        <v>60</v>
      </c>
      <c r="G1964" s="2" t="s">
        <v>61</v>
      </c>
      <c r="H1964" s="6" t="s">
        <v>4463</v>
      </c>
    </row>
    <row r="1965" spans="1:8" ht="22.5" customHeight="1" x14ac:dyDescent="0.25">
      <c r="A1965" s="14" t="s">
        <v>4465</v>
      </c>
      <c r="B1965" s="3" t="s">
        <v>830</v>
      </c>
      <c r="C1965" s="3" t="s">
        <v>4466</v>
      </c>
      <c r="D1965" s="3" t="s">
        <v>832</v>
      </c>
      <c r="E1965" s="3">
        <v>27.925999999999998</v>
      </c>
      <c r="F1965" s="3" t="s">
        <v>60</v>
      </c>
      <c r="G1965" s="3" t="s">
        <v>61</v>
      </c>
      <c r="H1965" s="6" t="s">
        <v>4465</v>
      </c>
    </row>
    <row r="1966" spans="1:8" ht="22.5" customHeight="1" x14ac:dyDescent="0.25">
      <c r="A1966" s="13" t="s">
        <v>4467</v>
      </c>
      <c r="B1966" s="2" t="s">
        <v>830</v>
      </c>
      <c r="C1966" s="2" t="s">
        <v>4468</v>
      </c>
      <c r="D1966" s="2" t="s">
        <v>832</v>
      </c>
      <c r="E1966" s="2">
        <v>27.925999999999998</v>
      </c>
      <c r="F1966" s="2" t="s">
        <v>60</v>
      </c>
      <c r="G1966" s="2" t="s">
        <v>61</v>
      </c>
      <c r="H1966" s="6" t="s">
        <v>4467</v>
      </c>
    </row>
    <row r="1967" spans="1:8" ht="33.75" customHeight="1" x14ac:dyDescent="0.25">
      <c r="A1967" s="14" t="s">
        <v>4469</v>
      </c>
      <c r="B1967" s="3" t="s">
        <v>830</v>
      </c>
      <c r="C1967" s="3" t="s">
        <v>4470</v>
      </c>
      <c r="D1967" s="3" t="s">
        <v>832</v>
      </c>
      <c r="E1967" s="3">
        <v>27.925999999999998</v>
      </c>
      <c r="F1967" s="3" t="s">
        <v>60</v>
      </c>
      <c r="G1967" s="3" t="s">
        <v>61</v>
      </c>
      <c r="H1967" s="6" t="s">
        <v>4469</v>
      </c>
    </row>
    <row r="1968" spans="1:8" ht="22.5" customHeight="1" x14ac:dyDescent="0.25">
      <c r="A1968" s="13" t="s">
        <v>4471</v>
      </c>
      <c r="B1968" s="2" t="s">
        <v>2137</v>
      </c>
      <c r="C1968" s="2" t="s">
        <v>4472</v>
      </c>
      <c r="D1968" s="2" t="s">
        <v>2139</v>
      </c>
      <c r="E1968" s="2">
        <v>27.925999999999998</v>
      </c>
      <c r="F1968" s="2" t="s">
        <v>60</v>
      </c>
      <c r="G1968" s="2" t="s">
        <v>61</v>
      </c>
      <c r="H1968" s="6" t="s">
        <v>4471</v>
      </c>
    </row>
    <row r="1969" spans="1:8" ht="22.5" customHeight="1" x14ac:dyDescent="0.25">
      <c r="A1969" s="14" t="s">
        <v>4473</v>
      </c>
      <c r="B1969" s="3" t="s">
        <v>2137</v>
      </c>
      <c r="C1969" s="3" t="s">
        <v>4474</v>
      </c>
      <c r="D1969" s="3" t="s">
        <v>2139</v>
      </c>
      <c r="E1969" s="3">
        <v>27.925999999999998</v>
      </c>
      <c r="F1969" s="3" t="s">
        <v>60</v>
      </c>
      <c r="G1969" s="3" t="s">
        <v>61</v>
      </c>
      <c r="H1969" s="6" t="s">
        <v>4473</v>
      </c>
    </row>
    <row r="1970" spans="1:8" ht="33.75" customHeight="1" x14ac:dyDescent="0.25">
      <c r="A1970" s="13" t="s">
        <v>4475</v>
      </c>
      <c r="B1970" s="2" t="s">
        <v>2137</v>
      </c>
      <c r="C1970" s="2" t="s">
        <v>4476</v>
      </c>
      <c r="D1970" s="2" t="s">
        <v>2139</v>
      </c>
      <c r="E1970" s="2">
        <v>27.925999999999998</v>
      </c>
      <c r="F1970" s="2" t="s">
        <v>60</v>
      </c>
      <c r="G1970" s="2" t="s">
        <v>61</v>
      </c>
      <c r="H1970" s="6" t="s">
        <v>4475</v>
      </c>
    </row>
    <row r="1971" spans="1:8" ht="22.5" customHeight="1" x14ac:dyDescent="0.25">
      <c r="A1971" s="14" t="s">
        <v>4477</v>
      </c>
      <c r="B1971" s="3" t="s">
        <v>1294</v>
      </c>
      <c r="C1971" s="3" t="s">
        <v>2765</v>
      </c>
      <c r="D1971" s="3" t="s">
        <v>1296</v>
      </c>
      <c r="E1971" s="3">
        <v>27.925999999999998</v>
      </c>
      <c r="F1971" s="3" t="s">
        <v>60</v>
      </c>
      <c r="G1971" s="3" t="s">
        <v>61</v>
      </c>
      <c r="H1971" s="6" t="s">
        <v>4477</v>
      </c>
    </row>
    <row r="1972" spans="1:8" ht="22.5" customHeight="1" x14ac:dyDescent="0.25">
      <c r="A1972" s="13" t="s">
        <v>4478</v>
      </c>
      <c r="B1972" s="2" t="s">
        <v>1294</v>
      </c>
      <c r="C1972" s="2" t="s">
        <v>4479</v>
      </c>
      <c r="D1972" s="2" t="s">
        <v>1296</v>
      </c>
      <c r="E1972" s="2">
        <v>27.925999999999998</v>
      </c>
      <c r="F1972" s="2" t="s">
        <v>60</v>
      </c>
      <c r="G1972" s="2" t="s">
        <v>61</v>
      </c>
      <c r="H1972" s="6" t="s">
        <v>4478</v>
      </c>
    </row>
    <row r="1973" spans="1:8" ht="22.5" customHeight="1" x14ac:dyDescent="0.25">
      <c r="A1973" s="14" t="s">
        <v>4480</v>
      </c>
      <c r="B1973" s="3" t="s">
        <v>1294</v>
      </c>
      <c r="C1973" s="3" t="s">
        <v>4481</v>
      </c>
      <c r="D1973" s="3" t="s">
        <v>1296</v>
      </c>
      <c r="E1973" s="3">
        <v>27.925999999999998</v>
      </c>
      <c r="F1973" s="3" t="s">
        <v>60</v>
      </c>
      <c r="G1973" s="3" t="s">
        <v>61</v>
      </c>
      <c r="H1973" s="6" t="s">
        <v>4480</v>
      </c>
    </row>
    <row r="1974" spans="1:8" ht="22.5" customHeight="1" x14ac:dyDescent="0.25">
      <c r="A1974" s="13" t="s">
        <v>4482</v>
      </c>
      <c r="B1974" s="2" t="s">
        <v>3019</v>
      </c>
      <c r="C1974" s="2" t="s">
        <v>3020</v>
      </c>
      <c r="D1974" s="2" t="s">
        <v>3021</v>
      </c>
      <c r="E1974" s="2">
        <v>27.925999999999998</v>
      </c>
      <c r="F1974" s="2" t="s">
        <v>60</v>
      </c>
      <c r="G1974" s="2" t="s">
        <v>61</v>
      </c>
      <c r="H1974" s="6" t="s">
        <v>4482</v>
      </c>
    </row>
    <row r="1975" spans="1:8" ht="22.5" customHeight="1" x14ac:dyDescent="0.25">
      <c r="A1975" s="14" t="s">
        <v>4483</v>
      </c>
      <c r="B1975" s="3" t="s">
        <v>3019</v>
      </c>
      <c r="C1975" s="3" t="s">
        <v>4484</v>
      </c>
      <c r="D1975" s="3" t="s">
        <v>3021</v>
      </c>
      <c r="E1975" s="3">
        <v>27.925999999999998</v>
      </c>
      <c r="F1975" s="3" t="s">
        <v>60</v>
      </c>
      <c r="G1975" s="3" t="s">
        <v>61</v>
      </c>
      <c r="H1975" s="6" t="s">
        <v>4483</v>
      </c>
    </row>
    <row r="1976" spans="1:8" ht="22.5" customHeight="1" x14ac:dyDescent="0.25">
      <c r="A1976" s="13" t="s">
        <v>4485</v>
      </c>
      <c r="B1976" s="2" t="s">
        <v>3019</v>
      </c>
      <c r="C1976" s="2" t="s">
        <v>4486</v>
      </c>
      <c r="D1976" s="2" t="s">
        <v>3021</v>
      </c>
      <c r="E1976" s="2">
        <v>27.925999999999998</v>
      </c>
      <c r="F1976" s="2" t="s">
        <v>60</v>
      </c>
      <c r="G1976" s="2" t="s">
        <v>61</v>
      </c>
      <c r="H1976" s="6" t="s">
        <v>4485</v>
      </c>
    </row>
    <row r="1977" spans="1:8" ht="33.75" customHeight="1" x14ac:dyDescent="0.25">
      <c r="A1977" s="14" t="s">
        <v>4487</v>
      </c>
      <c r="B1977" s="3" t="s">
        <v>878</v>
      </c>
      <c r="C1977" s="3" t="s">
        <v>4488</v>
      </c>
      <c r="D1977" s="3" t="s">
        <v>880</v>
      </c>
      <c r="E1977" s="3">
        <v>27.925999999999998</v>
      </c>
      <c r="F1977" s="3" t="s">
        <v>60</v>
      </c>
      <c r="G1977" s="3" t="s">
        <v>61</v>
      </c>
      <c r="H1977" s="6" t="s">
        <v>4487</v>
      </c>
    </row>
    <row r="1978" spans="1:8" ht="22.5" customHeight="1" x14ac:dyDescent="0.25">
      <c r="A1978" s="13" t="s">
        <v>4489</v>
      </c>
      <c r="B1978" s="2" t="s">
        <v>878</v>
      </c>
      <c r="C1978" s="2" t="s">
        <v>4490</v>
      </c>
      <c r="D1978" s="2" t="s">
        <v>880</v>
      </c>
      <c r="E1978" s="2">
        <v>27.925999999999998</v>
      </c>
      <c r="F1978" s="2" t="s">
        <v>60</v>
      </c>
      <c r="G1978" s="2" t="s">
        <v>61</v>
      </c>
      <c r="H1978" s="6" t="s">
        <v>4489</v>
      </c>
    </row>
    <row r="1979" spans="1:8" ht="22.5" customHeight="1" x14ac:dyDescent="0.25">
      <c r="A1979" s="14" t="s">
        <v>4491</v>
      </c>
      <c r="B1979" s="3" t="s">
        <v>878</v>
      </c>
      <c r="C1979" s="3" t="s">
        <v>4492</v>
      </c>
      <c r="D1979" s="3" t="s">
        <v>880</v>
      </c>
      <c r="E1979" s="3">
        <v>27.925999999999998</v>
      </c>
      <c r="F1979" s="3" t="s">
        <v>60</v>
      </c>
      <c r="G1979" s="3" t="s">
        <v>61</v>
      </c>
      <c r="H1979" s="6" t="s">
        <v>4491</v>
      </c>
    </row>
    <row r="1980" spans="1:8" ht="33.75" customHeight="1" x14ac:dyDescent="0.25">
      <c r="A1980" s="13" t="s">
        <v>4493</v>
      </c>
      <c r="B1980" s="2" t="s">
        <v>830</v>
      </c>
      <c r="C1980" s="2" t="s">
        <v>4494</v>
      </c>
      <c r="D1980" s="2" t="s">
        <v>832</v>
      </c>
      <c r="E1980" s="2">
        <v>27.925999999999998</v>
      </c>
      <c r="F1980" s="2" t="s">
        <v>60</v>
      </c>
      <c r="G1980" s="2" t="s">
        <v>61</v>
      </c>
      <c r="H1980" s="6" t="s">
        <v>4493</v>
      </c>
    </row>
    <row r="1981" spans="1:8" ht="22.5" customHeight="1" x14ac:dyDescent="0.25">
      <c r="A1981" s="14" t="s">
        <v>4495</v>
      </c>
      <c r="B1981" s="3" t="s">
        <v>830</v>
      </c>
      <c r="C1981" s="3" t="s">
        <v>4496</v>
      </c>
      <c r="D1981" s="3" t="s">
        <v>832</v>
      </c>
      <c r="E1981" s="3">
        <v>27.925999999999998</v>
      </c>
      <c r="F1981" s="3" t="s">
        <v>60</v>
      </c>
      <c r="G1981" s="3" t="s">
        <v>61</v>
      </c>
      <c r="H1981" s="6" t="s">
        <v>4495</v>
      </c>
    </row>
    <row r="1982" spans="1:8" ht="22.5" customHeight="1" x14ac:dyDescent="0.25">
      <c r="A1982" s="13" t="s">
        <v>4497</v>
      </c>
      <c r="B1982" s="2" t="s">
        <v>830</v>
      </c>
      <c r="C1982" s="2" t="s">
        <v>4498</v>
      </c>
      <c r="D1982" s="2" t="s">
        <v>832</v>
      </c>
      <c r="E1982" s="2">
        <v>27.925999999999998</v>
      </c>
      <c r="F1982" s="2" t="s">
        <v>60</v>
      </c>
      <c r="G1982" s="2" t="s">
        <v>61</v>
      </c>
      <c r="H1982" s="6" t="s">
        <v>4497</v>
      </c>
    </row>
    <row r="1983" spans="1:8" ht="22.5" customHeight="1" x14ac:dyDescent="0.25">
      <c r="A1983" s="14" t="s">
        <v>4499</v>
      </c>
      <c r="B1983" s="3" t="s">
        <v>2137</v>
      </c>
      <c r="C1983" s="3" t="s">
        <v>3015</v>
      </c>
      <c r="D1983" s="3" t="s">
        <v>2139</v>
      </c>
      <c r="E1983" s="3">
        <v>27.925999999999998</v>
      </c>
      <c r="F1983" s="3" t="s">
        <v>60</v>
      </c>
      <c r="G1983" s="3" t="s">
        <v>61</v>
      </c>
      <c r="H1983" s="6" t="s">
        <v>4499</v>
      </c>
    </row>
    <row r="1984" spans="1:8" ht="33.75" customHeight="1" x14ac:dyDescent="0.25">
      <c r="A1984" s="13" t="s">
        <v>4500</v>
      </c>
      <c r="B1984" s="2" t="s">
        <v>2137</v>
      </c>
      <c r="C1984" s="2" t="s">
        <v>4501</v>
      </c>
      <c r="D1984" s="2" t="s">
        <v>2139</v>
      </c>
      <c r="E1984" s="2">
        <v>27.925999999999998</v>
      </c>
      <c r="F1984" s="2" t="s">
        <v>60</v>
      </c>
      <c r="G1984" s="2" t="s">
        <v>61</v>
      </c>
      <c r="H1984" s="6" t="s">
        <v>4500</v>
      </c>
    </row>
    <row r="1985" spans="1:8" ht="22.5" customHeight="1" x14ac:dyDescent="0.25">
      <c r="A1985" s="14" t="s">
        <v>4502</v>
      </c>
      <c r="B1985" s="3" t="s">
        <v>2137</v>
      </c>
      <c r="C1985" s="3" t="s">
        <v>4503</v>
      </c>
      <c r="D1985" s="3" t="s">
        <v>2139</v>
      </c>
      <c r="E1985" s="3">
        <v>27.925999999999998</v>
      </c>
      <c r="F1985" s="3" t="s">
        <v>60</v>
      </c>
      <c r="G1985" s="3" t="s">
        <v>61</v>
      </c>
      <c r="H1985" s="6" t="s">
        <v>4502</v>
      </c>
    </row>
    <row r="1986" spans="1:8" ht="22.5" customHeight="1" x14ac:dyDescent="0.25">
      <c r="A1986" s="13" t="s">
        <v>4504</v>
      </c>
      <c r="B1986" s="2" t="s">
        <v>1928</v>
      </c>
      <c r="C1986" s="2" t="s">
        <v>4505</v>
      </c>
      <c r="D1986" s="2" t="s">
        <v>1930</v>
      </c>
      <c r="E1986" s="2">
        <v>27.530560000000001</v>
      </c>
      <c r="F1986" s="2" t="s">
        <v>60</v>
      </c>
      <c r="G1986" s="2" t="s">
        <v>61</v>
      </c>
      <c r="H1986" s="6" t="s">
        <v>4504</v>
      </c>
    </row>
    <row r="1987" spans="1:8" ht="22.5" customHeight="1" x14ac:dyDescent="0.25">
      <c r="A1987" s="14" t="s">
        <v>4506</v>
      </c>
      <c r="B1987" s="3" t="s">
        <v>414</v>
      </c>
      <c r="C1987" s="3" t="s">
        <v>4507</v>
      </c>
      <c r="D1987" s="3" t="s">
        <v>416</v>
      </c>
      <c r="E1987" s="3">
        <v>31.0092</v>
      </c>
      <c r="F1987" s="3" t="s">
        <v>60</v>
      </c>
      <c r="G1987" s="3" t="s">
        <v>61</v>
      </c>
      <c r="H1987" s="6" t="s">
        <v>4506</v>
      </c>
    </row>
    <row r="1988" spans="1:8" ht="22.5" customHeight="1" x14ac:dyDescent="0.25">
      <c r="A1988" s="13" t="s">
        <v>4508</v>
      </c>
      <c r="B1988" s="2" t="s">
        <v>418</v>
      </c>
      <c r="C1988" s="2" t="s">
        <v>4509</v>
      </c>
      <c r="D1988" s="2" t="s">
        <v>420</v>
      </c>
      <c r="E1988" s="2">
        <v>30.655200000000001</v>
      </c>
      <c r="F1988" s="2" t="s">
        <v>60</v>
      </c>
      <c r="G1988" s="2" t="s">
        <v>61</v>
      </c>
      <c r="H1988" s="6" t="s">
        <v>4508</v>
      </c>
    </row>
    <row r="1989" spans="1:8" ht="33.75" customHeight="1" x14ac:dyDescent="0.25">
      <c r="A1989" s="14" t="s">
        <v>4510</v>
      </c>
      <c r="B1989" s="3" t="s">
        <v>89</v>
      </c>
      <c r="C1989" s="3" t="s">
        <v>4511</v>
      </c>
      <c r="D1989" s="3" t="s">
        <v>91</v>
      </c>
      <c r="E1989" s="3">
        <v>32.389200000000002</v>
      </c>
      <c r="F1989" s="3" t="s">
        <v>60</v>
      </c>
      <c r="G1989" s="3" t="s">
        <v>61</v>
      </c>
      <c r="H1989" s="6" t="s">
        <v>4510</v>
      </c>
    </row>
    <row r="1990" spans="1:8" ht="33.75" customHeight="1" x14ac:dyDescent="0.25">
      <c r="A1990" s="13" t="s">
        <v>4512</v>
      </c>
      <c r="B1990" s="2" t="s">
        <v>57</v>
      </c>
      <c r="C1990" s="2" t="s">
        <v>4513</v>
      </c>
      <c r="D1990" s="2" t="s">
        <v>59</v>
      </c>
      <c r="E1990" s="2">
        <v>31.825199999999999</v>
      </c>
      <c r="F1990" s="2" t="s">
        <v>60</v>
      </c>
      <c r="G1990" s="2" t="s">
        <v>61</v>
      </c>
      <c r="H1990" s="6" t="s">
        <v>4512</v>
      </c>
    </row>
    <row r="1991" spans="1:8" ht="22.5" customHeight="1" x14ac:dyDescent="0.25">
      <c r="A1991" s="14" t="s">
        <v>4514</v>
      </c>
      <c r="B1991" s="3" t="s">
        <v>826</v>
      </c>
      <c r="C1991" s="3" t="s">
        <v>4515</v>
      </c>
      <c r="D1991" s="3" t="s">
        <v>828</v>
      </c>
      <c r="E1991" s="3">
        <v>28.366</v>
      </c>
      <c r="F1991" s="3" t="s">
        <v>60</v>
      </c>
      <c r="G1991" s="3" t="s">
        <v>61</v>
      </c>
      <c r="H1991" s="6" t="s">
        <v>4514</v>
      </c>
    </row>
    <row r="1992" spans="1:8" ht="33.75" customHeight="1" x14ac:dyDescent="0.25">
      <c r="A1992" s="13" t="s">
        <v>4516</v>
      </c>
      <c r="B1992" s="2" t="s">
        <v>4517</v>
      </c>
      <c r="C1992" s="2" t="s">
        <v>4518</v>
      </c>
      <c r="D1992" s="2" t="s">
        <v>4519</v>
      </c>
      <c r="E1992" s="2">
        <v>27.7424</v>
      </c>
      <c r="F1992" s="2" t="s">
        <v>60</v>
      </c>
      <c r="G1992" s="2" t="s">
        <v>61</v>
      </c>
      <c r="H1992" s="6" t="s">
        <v>4516</v>
      </c>
    </row>
    <row r="1993" spans="1:8" ht="22.5" customHeight="1" x14ac:dyDescent="0.25">
      <c r="A1993" s="14" t="s">
        <v>4520</v>
      </c>
      <c r="B1993" s="3" t="s">
        <v>1967</v>
      </c>
      <c r="C1993" s="3" t="s">
        <v>4521</v>
      </c>
      <c r="D1993" s="3" t="s">
        <v>1969</v>
      </c>
      <c r="E1993" s="3">
        <v>30.68432</v>
      </c>
      <c r="F1993" s="3" t="s">
        <v>60</v>
      </c>
      <c r="G1993" s="3" t="s">
        <v>61</v>
      </c>
      <c r="H1993" s="6" t="s">
        <v>4520</v>
      </c>
    </row>
    <row r="1994" spans="1:8" ht="33.75" customHeight="1" x14ac:dyDescent="0.25">
      <c r="A1994" s="13" t="s">
        <v>4522</v>
      </c>
      <c r="B1994" s="2" t="s">
        <v>112</v>
      </c>
      <c r="C1994" s="2" t="s">
        <v>4523</v>
      </c>
      <c r="D1994" s="2" t="s">
        <v>114</v>
      </c>
      <c r="E1994" s="2">
        <v>30.7682</v>
      </c>
      <c r="F1994" s="2" t="s">
        <v>60</v>
      </c>
      <c r="G1994" s="2" t="s">
        <v>61</v>
      </c>
      <c r="H1994" s="6" t="s">
        <v>4522</v>
      </c>
    </row>
    <row r="1995" spans="1:8" ht="33.75" customHeight="1" x14ac:dyDescent="0.25">
      <c r="A1995" s="14" t="s">
        <v>4524</v>
      </c>
      <c r="B1995" s="3" t="s">
        <v>57</v>
      </c>
      <c r="C1995" s="3" t="s">
        <v>4525</v>
      </c>
      <c r="D1995" s="3" t="s">
        <v>59</v>
      </c>
      <c r="E1995" s="3">
        <v>31.825199999999999</v>
      </c>
      <c r="F1995" s="3" t="s">
        <v>60</v>
      </c>
      <c r="G1995" s="3" t="s">
        <v>61</v>
      </c>
      <c r="H1995" s="6" t="s">
        <v>4524</v>
      </c>
    </row>
    <row r="1996" spans="1:8" ht="22.5" customHeight="1" x14ac:dyDescent="0.25">
      <c r="A1996" s="13" t="s">
        <v>4526</v>
      </c>
      <c r="B1996" s="2" t="s">
        <v>1888</v>
      </c>
      <c r="C1996" s="2" t="s">
        <v>4527</v>
      </c>
      <c r="D1996" s="2" t="s">
        <v>1890</v>
      </c>
      <c r="E1996" s="2">
        <v>27.859200000000001</v>
      </c>
      <c r="F1996" s="2" t="s">
        <v>60</v>
      </c>
      <c r="G1996" s="2" t="s">
        <v>61</v>
      </c>
      <c r="H1996" s="6" t="s">
        <v>4526</v>
      </c>
    </row>
    <row r="1997" spans="1:8" ht="22.5" customHeight="1" x14ac:dyDescent="0.25">
      <c r="A1997" s="14" t="s">
        <v>4528</v>
      </c>
      <c r="B1997" s="3" t="s">
        <v>820</v>
      </c>
      <c r="C1997" s="3" t="s">
        <v>4529</v>
      </c>
      <c r="D1997" s="3" t="s">
        <v>822</v>
      </c>
      <c r="E1997" s="3">
        <v>27.639199999999999</v>
      </c>
      <c r="F1997" s="3" t="s">
        <v>60</v>
      </c>
      <c r="G1997" s="3" t="s">
        <v>61</v>
      </c>
      <c r="H1997" s="6" t="s">
        <v>4528</v>
      </c>
    </row>
    <row r="1998" spans="1:8" ht="33.75" customHeight="1" x14ac:dyDescent="0.25">
      <c r="A1998" s="13" t="s">
        <v>4530</v>
      </c>
      <c r="B1998" s="2" t="s">
        <v>1878</v>
      </c>
      <c r="C1998" s="2" t="s">
        <v>4279</v>
      </c>
      <c r="D1998" s="2" t="s">
        <v>1880</v>
      </c>
      <c r="E1998" s="2">
        <v>27.639199999999999</v>
      </c>
      <c r="F1998" s="2" t="s">
        <v>60</v>
      </c>
      <c r="G1998" s="2" t="s">
        <v>61</v>
      </c>
      <c r="H1998" s="6" t="s">
        <v>4530</v>
      </c>
    </row>
    <row r="1999" spans="1:8" ht="22.5" customHeight="1" x14ac:dyDescent="0.25">
      <c r="A1999" s="14" t="s">
        <v>4531</v>
      </c>
      <c r="B1999" s="3" t="s">
        <v>1878</v>
      </c>
      <c r="C1999" s="3" t="s">
        <v>4532</v>
      </c>
      <c r="D1999" s="3" t="s">
        <v>1880</v>
      </c>
      <c r="E1999" s="3">
        <v>27.639199999999999</v>
      </c>
      <c r="F1999" s="3" t="s">
        <v>60</v>
      </c>
      <c r="G1999" s="3" t="s">
        <v>61</v>
      </c>
      <c r="H1999" s="6" t="s">
        <v>4531</v>
      </c>
    </row>
    <row r="2000" spans="1:8" ht="22.5" customHeight="1" x14ac:dyDescent="0.25">
      <c r="A2000" s="13" t="s">
        <v>4533</v>
      </c>
      <c r="B2000" s="2" t="s">
        <v>4534</v>
      </c>
      <c r="C2000" s="2" t="s">
        <v>4535</v>
      </c>
      <c r="D2000" s="2" t="s">
        <v>4536</v>
      </c>
      <c r="E2000" s="2">
        <v>28.206</v>
      </c>
      <c r="F2000" s="2" t="s">
        <v>60</v>
      </c>
      <c r="G2000" s="2" t="s">
        <v>61</v>
      </c>
      <c r="H2000" s="6" t="s">
        <v>4533</v>
      </c>
    </row>
    <row r="2001" spans="1:8" ht="33.75" customHeight="1" x14ac:dyDescent="0.25">
      <c r="A2001" s="14" t="s">
        <v>4537</v>
      </c>
      <c r="B2001" s="3" t="s">
        <v>4538</v>
      </c>
      <c r="C2001" s="3" t="s">
        <v>4539</v>
      </c>
      <c r="D2001" s="3" t="s">
        <v>4540</v>
      </c>
      <c r="E2001" s="3">
        <v>27.707999999999998</v>
      </c>
      <c r="F2001" s="3" t="s">
        <v>60</v>
      </c>
      <c r="G2001" s="3" t="s">
        <v>61</v>
      </c>
      <c r="H2001" s="6" t="s">
        <v>4537</v>
      </c>
    </row>
    <row r="2002" spans="1:8" ht="33.75" customHeight="1" x14ac:dyDescent="0.25">
      <c r="A2002" s="13" t="s">
        <v>4541</v>
      </c>
      <c r="B2002" s="2" t="s">
        <v>2367</v>
      </c>
      <c r="C2002" s="2" t="s">
        <v>4542</v>
      </c>
      <c r="D2002" s="2" t="s">
        <v>2369</v>
      </c>
      <c r="E2002" s="2">
        <v>27.707999999999998</v>
      </c>
      <c r="F2002" s="2" t="s">
        <v>60</v>
      </c>
      <c r="G2002" s="2" t="s">
        <v>61</v>
      </c>
      <c r="H2002" s="6" t="s">
        <v>4541</v>
      </c>
    </row>
    <row r="2003" spans="1:8" ht="33.75" customHeight="1" x14ac:dyDescent="0.25">
      <c r="A2003" s="14" t="s">
        <v>4543</v>
      </c>
      <c r="B2003" s="3" t="s">
        <v>1727</v>
      </c>
      <c r="C2003" s="3" t="s">
        <v>4544</v>
      </c>
      <c r="D2003" s="3" t="s">
        <v>1729</v>
      </c>
      <c r="E2003" s="3">
        <v>29.0792</v>
      </c>
      <c r="F2003" s="3" t="s">
        <v>60</v>
      </c>
      <c r="G2003" s="3" t="s">
        <v>61</v>
      </c>
      <c r="H2003" s="6" t="s">
        <v>4543</v>
      </c>
    </row>
    <row r="2004" spans="1:8" ht="22.5" customHeight="1" x14ac:dyDescent="0.25">
      <c r="A2004" s="13" t="s">
        <v>4545</v>
      </c>
      <c r="B2004" s="2" t="s">
        <v>400</v>
      </c>
      <c r="C2004" s="2" t="s">
        <v>4546</v>
      </c>
      <c r="D2004" s="2" t="s">
        <v>402</v>
      </c>
      <c r="E2004" s="2">
        <v>34.332239999999999</v>
      </c>
      <c r="F2004" s="2" t="s">
        <v>60</v>
      </c>
      <c r="G2004" s="2" t="s">
        <v>61</v>
      </c>
      <c r="H2004" s="6" t="s">
        <v>4545</v>
      </c>
    </row>
    <row r="2005" spans="1:8" ht="22.5" customHeight="1" x14ac:dyDescent="0.25">
      <c r="A2005" s="14" t="s">
        <v>4547</v>
      </c>
      <c r="B2005" s="3" t="s">
        <v>418</v>
      </c>
      <c r="C2005" s="3" t="s">
        <v>4548</v>
      </c>
      <c r="D2005" s="3" t="s">
        <v>420</v>
      </c>
      <c r="E2005" s="3">
        <v>30.655200000000001</v>
      </c>
      <c r="F2005" s="3" t="s">
        <v>60</v>
      </c>
      <c r="G2005" s="3" t="s">
        <v>61</v>
      </c>
      <c r="H2005" s="6" t="s">
        <v>4547</v>
      </c>
    </row>
    <row r="2006" spans="1:8" ht="22.5" customHeight="1" x14ac:dyDescent="0.25">
      <c r="A2006" s="13" t="s">
        <v>4549</v>
      </c>
      <c r="B2006" s="2" t="s">
        <v>386</v>
      </c>
      <c r="C2006" s="2" t="s">
        <v>4550</v>
      </c>
      <c r="D2006" s="2" t="s">
        <v>388</v>
      </c>
      <c r="E2006" s="2">
        <v>33.783799999999999</v>
      </c>
      <c r="F2006" s="2" t="s">
        <v>60</v>
      </c>
      <c r="G2006" s="2" t="s">
        <v>61</v>
      </c>
      <c r="H2006" s="6" t="s">
        <v>4549</v>
      </c>
    </row>
    <row r="2007" spans="1:8" ht="22.5" customHeight="1" x14ac:dyDescent="0.25">
      <c r="A2007" s="14" t="s">
        <v>4551</v>
      </c>
      <c r="B2007" s="3" t="s">
        <v>2458</v>
      </c>
      <c r="C2007" s="3" t="s">
        <v>4552</v>
      </c>
      <c r="D2007" s="3" t="s">
        <v>2460</v>
      </c>
      <c r="E2007" s="3">
        <v>28.126000000000001</v>
      </c>
      <c r="F2007" s="3" t="s">
        <v>60</v>
      </c>
      <c r="G2007" s="3" t="s">
        <v>61</v>
      </c>
      <c r="H2007" s="6" t="s">
        <v>4551</v>
      </c>
    </row>
    <row r="2008" spans="1:8" ht="22.5" customHeight="1" x14ac:dyDescent="0.25">
      <c r="A2008" s="13" t="s">
        <v>4553</v>
      </c>
      <c r="B2008" s="2" t="s">
        <v>2462</v>
      </c>
      <c r="C2008" s="2" t="s">
        <v>4554</v>
      </c>
      <c r="D2008" s="2" t="s">
        <v>2464</v>
      </c>
      <c r="E2008" s="2">
        <v>28.126000000000001</v>
      </c>
      <c r="F2008" s="2" t="s">
        <v>60</v>
      </c>
      <c r="G2008" s="2" t="s">
        <v>61</v>
      </c>
      <c r="H2008" s="6" t="s">
        <v>4553</v>
      </c>
    </row>
    <row r="2009" spans="1:8" ht="22.5" customHeight="1" x14ac:dyDescent="0.25">
      <c r="A2009" s="14" t="s">
        <v>4555</v>
      </c>
      <c r="B2009" s="3" t="s">
        <v>2700</v>
      </c>
      <c r="C2009" s="3" t="s">
        <v>4556</v>
      </c>
      <c r="D2009" s="3" t="s">
        <v>2702</v>
      </c>
      <c r="E2009" s="3">
        <v>28.126000000000001</v>
      </c>
      <c r="F2009" s="3" t="s">
        <v>60</v>
      </c>
      <c r="G2009" s="3" t="s">
        <v>61</v>
      </c>
      <c r="H2009" s="6" t="s">
        <v>4555</v>
      </c>
    </row>
    <row r="2010" spans="1:8" ht="22.5" customHeight="1" x14ac:dyDescent="0.25">
      <c r="A2010" s="13" t="s">
        <v>4557</v>
      </c>
      <c r="B2010" s="2" t="s">
        <v>3547</v>
      </c>
      <c r="C2010" s="2" t="s">
        <v>4558</v>
      </c>
      <c r="D2010" s="2" t="s">
        <v>3549</v>
      </c>
      <c r="E2010" s="2">
        <v>28.126000000000001</v>
      </c>
      <c r="F2010" s="2" t="s">
        <v>60</v>
      </c>
      <c r="G2010" s="2" t="s">
        <v>61</v>
      </c>
      <c r="H2010" s="6" t="s">
        <v>4557</v>
      </c>
    </row>
    <row r="2011" spans="1:8" ht="22.5" customHeight="1" x14ac:dyDescent="0.25">
      <c r="A2011" s="14" t="s">
        <v>4559</v>
      </c>
      <c r="B2011" s="3" t="s">
        <v>1781</v>
      </c>
      <c r="C2011" s="3" t="s">
        <v>4560</v>
      </c>
      <c r="D2011" s="3" t="s">
        <v>1783</v>
      </c>
      <c r="E2011" s="3">
        <v>27.925999999999998</v>
      </c>
      <c r="F2011" s="3" t="s">
        <v>60</v>
      </c>
      <c r="G2011" s="3" t="s">
        <v>61</v>
      </c>
      <c r="H2011" s="6" t="s">
        <v>4559</v>
      </c>
    </row>
    <row r="2012" spans="1:8" ht="22.5" customHeight="1" x14ac:dyDescent="0.25">
      <c r="A2012" s="13" t="s">
        <v>4561</v>
      </c>
      <c r="B2012" s="2" t="s">
        <v>878</v>
      </c>
      <c r="C2012" s="2" t="s">
        <v>4562</v>
      </c>
      <c r="D2012" s="2" t="s">
        <v>880</v>
      </c>
      <c r="E2012" s="2">
        <v>27.925999999999998</v>
      </c>
      <c r="F2012" s="2" t="s">
        <v>60</v>
      </c>
      <c r="G2012" s="2" t="s">
        <v>61</v>
      </c>
      <c r="H2012" s="6" t="s">
        <v>4561</v>
      </c>
    </row>
    <row r="2013" spans="1:8" ht="33.75" customHeight="1" x14ac:dyDescent="0.25">
      <c r="A2013" s="14" t="s">
        <v>4563</v>
      </c>
      <c r="B2013" s="3" t="s">
        <v>1781</v>
      </c>
      <c r="C2013" s="3" t="s">
        <v>4564</v>
      </c>
      <c r="D2013" s="3" t="s">
        <v>1783</v>
      </c>
      <c r="E2013" s="3">
        <v>27.925999999999998</v>
      </c>
      <c r="F2013" s="3" t="s">
        <v>60</v>
      </c>
      <c r="G2013" s="3" t="s">
        <v>61</v>
      </c>
      <c r="H2013" s="6" t="s">
        <v>4563</v>
      </c>
    </row>
    <row r="2014" spans="1:8" ht="33.75" customHeight="1" x14ac:dyDescent="0.25">
      <c r="A2014" s="13" t="s">
        <v>4565</v>
      </c>
      <c r="B2014" s="2" t="s">
        <v>830</v>
      </c>
      <c r="C2014" s="2" t="s">
        <v>4566</v>
      </c>
      <c r="D2014" s="2" t="s">
        <v>832</v>
      </c>
      <c r="E2014" s="2">
        <v>27.925999999999998</v>
      </c>
      <c r="F2014" s="2" t="s">
        <v>60</v>
      </c>
      <c r="G2014" s="2" t="s">
        <v>61</v>
      </c>
      <c r="H2014" s="6" t="s">
        <v>4565</v>
      </c>
    </row>
    <row r="2015" spans="1:8" ht="33.75" customHeight="1" x14ac:dyDescent="0.25">
      <c r="A2015" s="14" t="s">
        <v>4567</v>
      </c>
      <c r="B2015" s="3" t="s">
        <v>794</v>
      </c>
      <c r="C2015" s="3" t="s">
        <v>4568</v>
      </c>
      <c r="D2015" s="3" t="s">
        <v>796</v>
      </c>
      <c r="E2015" s="3">
        <v>34.151200000000003</v>
      </c>
      <c r="F2015" s="3" t="s">
        <v>60</v>
      </c>
      <c r="G2015" s="3" t="s">
        <v>61</v>
      </c>
      <c r="H2015" s="6" t="s">
        <v>4567</v>
      </c>
    </row>
    <row r="2016" spans="1:8" ht="33.75" customHeight="1" x14ac:dyDescent="0.25">
      <c r="A2016" s="13" t="s">
        <v>4569</v>
      </c>
      <c r="B2016" s="2" t="s">
        <v>386</v>
      </c>
      <c r="C2016" s="2" t="s">
        <v>4570</v>
      </c>
      <c r="D2016" s="2" t="s">
        <v>388</v>
      </c>
      <c r="E2016" s="2">
        <v>33.783799999999999</v>
      </c>
      <c r="F2016" s="2" t="s">
        <v>60</v>
      </c>
      <c r="G2016" s="2" t="s">
        <v>61</v>
      </c>
      <c r="H2016" s="6" t="s">
        <v>4569</v>
      </c>
    </row>
    <row r="2017" spans="1:8" ht="33.75" customHeight="1" x14ac:dyDescent="0.25">
      <c r="A2017" s="14" t="s">
        <v>4571</v>
      </c>
      <c r="B2017" s="3" t="s">
        <v>386</v>
      </c>
      <c r="C2017" s="3" t="s">
        <v>4081</v>
      </c>
      <c r="D2017" s="3" t="s">
        <v>388</v>
      </c>
      <c r="E2017" s="3">
        <v>33.783799999999999</v>
      </c>
      <c r="F2017" s="3" t="s">
        <v>60</v>
      </c>
      <c r="G2017" s="3" t="s">
        <v>61</v>
      </c>
      <c r="H2017" s="6" t="s">
        <v>4571</v>
      </c>
    </row>
    <row r="2018" spans="1:8" ht="22.5" customHeight="1" x14ac:dyDescent="0.25">
      <c r="A2018" s="13" t="s">
        <v>4572</v>
      </c>
      <c r="B2018" s="2" t="s">
        <v>990</v>
      </c>
      <c r="C2018" s="2" t="s">
        <v>4573</v>
      </c>
      <c r="D2018" s="2" t="s">
        <v>992</v>
      </c>
      <c r="E2018" s="2">
        <v>29.755199999999999</v>
      </c>
      <c r="F2018" s="2" t="s">
        <v>60</v>
      </c>
      <c r="G2018" s="2" t="s">
        <v>61</v>
      </c>
      <c r="H2018" s="6" t="s">
        <v>4572</v>
      </c>
    </row>
    <row r="2019" spans="1:8" ht="22.5" customHeight="1" x14ac:dyDescent="0.25">
      <c r="A2019" s="14" t="s">
        <v>4574</v>
      </c>
      <c r="B2019" s="3" t="s">
        <v>400</v>
      </c>
      <c r="C2019" s="3" t="s">
        <v>4575</v>
      </c>
      <c r="D2019" s="3" t="s">
        <v>402</v>
      </c>
      <c r="E2019" s="3">
        <v>34.332239999999999</v>
      </c>
      <c r="F2019" s="3" t="s">
        <v>60</v>
      </c>
      <c r="G2019" s="3" t="s">
        <v>61</v>
      </c>
      <c r="H2019" s="6" t="s">
        <v>4574</v>
      </c>
    </row>
    <row r="2020" spans="1:8" ht="33.75" customHeight="1" x14ac:dyDescent="0.25">
      <c r="A2020" s="13" t="s">
        <v>4576</v>
      </c>
      <c r="B2020" s="2" t="s">
        <v>77</v>
      </c>
      <c r="C2020" s="2" t="s">
        <v>4577</v>
      </c>
      <c r="D2020" s="2" t="s">
        <v>79</v>
      </c>
      <c r="E2020" s="2">
        <v>31.699200000000001</v>
      </c>
      <c r="F2020" s="2" t="s">
        <v>60</v>
      </c>
      <c r="G2020" s="2" t="s">
        <v>61</v>
      </c>
      <c r="H2020" s="6" t="s">
        <v>4576</v>
      </c>
    </row>
    <row r="2021" spans="1:8" ht="33.75" customHeight="1" x14ac:dyDescent="0.25">
      <c r="A2021" s="14" t="s">
        <v>4578</v>
      </c>
      <c r="B2021" s="3" t="s">
        <v>89</v>
      </c>
      <c r="C2021" s="3" t="s">
        <v>4579</v>
      </c>
      <c r="D2021" s="3" t="s">
        <v>91</v>
      </c>
      <c r="E2021" s="3">
        <v>32.389200000000002</v>
      </c>
      <c r="F2021" s="3" t="s">
        <v>60</v>
      </c>
      <c r="G2021" s="3" t="s">
        <v>61</v>
      </c>
      <c r="H2021" s="6" t="s">
        <v>4578</v>
      </c>
    </row>
    <row r="2022" spans="1:8" ht="22.5" customHeight="1" x14ac:dyDescent="0.25">
      <c r="A2022" s="13" t="s">
        <v>4580</v>
      </c>
      <c r="B2022" s="2" t="s">
        <v>324</v>
      </c>
      <c r="C2022" s="2" t="s">
        <v>4581</v>
      </c>
      <c r="D2022" s="2" t="s">
        <v>326</v>
      </c>
      <c r="E2022" s="2">
        <v>29.719200000000001</v>
      </c>
      <c r="F2022" s="2" t="s">
        <v>60</v>
      </c>
      <c r="G2022" s="2" t="s">
        <v>61</v>
      </c>
      <c r="H2022" s="6" t="s">
        <v>4580</v>
      </c>
    </row>
    <row r="2023" spans="1:8" ht="22.5" customHeight="1" x14ac:dyDescent="0.25">
      <c r="A2023" s="14" t="s">
        <v>4582</v>
      </c>
      <c r="B2023" s="3" t="s">
        <v>356</v>
      </c>
      <c r="C2023" s="3" t="s">
        <v>4583</v>
      </c>
      <c r="D2023" s="3" t="s">
        <v>358</v>
      </c>
      <c r="E2023" s="3">
        <v>29.5992</v>
      </c>
      <c r="F2023" s="3" t="s">
        <v>60</v>
      </c>
      <c r="G2023" s="3" t="s">
        <v>61</v>
      </c>
      <c r="H2023" s="6" t="s">
        <v>4582</v>
      </c>
    </row>
    <row r="2024" spans="1:8" ht="22.5" customHeight="1" x14ac:dyDescent="0.25">
      <c r="A2024" s="13" t="s">
        <v>4584</v>
      </c>
      <c r="B2024" s="2" t="s">
        <v>120</v>
      </c>
      <c r="C2024" s="2" t="s">
        <v>4585</v>
      </c>
      <c r="D2024" s="2" t="s">
        <v>122</v>
      </c>
      <c r="E2024" s="2">
        <v>33.349800000000002</v>
      </c>
      <c r="F2024" s="2" t="s">
        <v>60</v>
      </c>
      <c r="G2024" s="2" t="s">
        <v>61</v>
      </c>
      <c r="H2024" s="6" t="s">
        <v>4584</v>
      </c>
    </row>
    <row r="2025" spans="1:8" ht="33.75" customHeight="1" x14ac:dyDescent="0.25">
      <c r="A2025" s="14" t="s">
        <v>4586</v>
      </c>
      <c r="B2025" s="3" t="s">
        <v>57</v>
      </c>
      <c r="C2025" s="3" t="s">
        <v>4587</v>
      </c>
      <c r="D2025" s="3" t="s">
        <v>59</v>
      </c>
      <c r="E2025" s="3">
        <v>31.825199999999999</v>
      </c>
      <c r="F2025" s="3" t="s">
        <v>60</v>
      </c>
      <c r="G2025" s="3" t="s">
        <v>61</v>
      </c>
      <c r="H2025" s="6" t="s">
        <v>4586</v>
      </c>
    </row>
    <row r="2026" spans="1:8" ht="33.75" customHeight="1" x14ac:dyDescent="0.25">
      <c r="A2026" s="13" t="s">
        <v>4588</v>
      </c>
      <c r="B2026" s="2" t="s">
        <v>418</v>
      </c>
      <c r="C2026" s="2" t="s">
        <v>4589</v>
      </c>
      <c r="D2026" s="2" t="s">
        <v>420</v>
      </c>
      <c r="E2026" s="2">
        <v>30.655200000000001</v>
      </c>
      <c r="F2026" s="2" t="s">
        <v>60</v>
      </c>
      <c r="G2026" s="2" t="s">
        <v>61</v>
      </c>
      <c r="H2026" s="6" t="s">
        <v>4588</v>
      </c>
    </row>
    <row r="2027" spans="1:8" ht="22.5" customHeight="1" x14ac:dyDescent="0.25">
      <c r="A2027" s="14" t="s">
        <v>4590</v>
      </c>
      <c r="B2027" s="3" t="s">
        <v>612</v>
      </c>
      <c r="C2027" s="3" t="s">
        <v>4591</v>
      </c>
      <c r="D2027" s="3" t="s">
        <v>614</v>
      </c>
      <c r="E2027" s="3">
        <v>29.712399999999999</v>
      </c>
      <c r="F2027" s="3" t="s">
        <v>60</v>
      </c>
      <c r="G2027" s="3" t="s">
        <v>61</v>
      </c>
      <c r="H2027" s="6" t="s">
        <v>4590</v>
      </c>
    </row>
    <row r="2028" spans="1:8" ht="22.5" customHeight="1" x14ac:dyDescent="0.25">
      <c r="A2028" s="13" t="s">
        <v>4592</v>
      </c>
      <c r="B2028" s="2" t="s">
        <v>677</v>
      </c>
      <c r="C2028" s="2" t="s">
        <v>4593</v>
      </c>
      <c r="D2028" s="2" t="s">
        <v>679</v>
      </c>
      <c r="E2028" s="2">
        <v>30.3504</v>
      </c>
      <c r="F2028" s="2" t="s">
        <v>60</v>
      </c>
      <c r="G2028" s="2" t="s">
        <v>61</v>
      </c>
      <c r="H2028" s="6" t="s">
        <v>4592</v>
      </c>
    </row>
    <row r="2029" spans="1:8" ht="33.75" customHeight="1" x14ac:dyDescent="0.25">
      <c r="A2029" s="14" t="s">
        <v>4594</v>
      </c>
      <c r="B2029" s="3" t="s">
        <v>57</v>
      </c>
      <c r="C2029" s="3" t="s">
        <v>4595</v>
      </c>
      <c r="D2029" s="3" t="s">
        <v>59</v>
      </c>
      <c r="E2029" s="3">
        <v>31.825199999999999</v>
      </c>
      <c r="F2029" s="3" t="s">
        <v>60</v>
      </c>
      <c r="G2029" s="3" t="s">
        <v>61</v>
      </c>
      <c r="H2029" s="6" t="s">
        <v>4594</v>
      </c>
    </row>
    <row r="2030" spans="1:8" ht="22.5" customHeight="1" x14ac:dyDescent="0.25">
      <c r="A2030" s="13" t="s">
        <v>4596</v>
      </c>
      <c r="B2030" s="2" t="s">
        <v>418</v>
      </c>
      <c r="C2030" s="2" t="s">
        <v>4597</v>
      </c>
      <c r="D2030" s="2" t="s">
        <v>420</v>
      </c>
      <c r="E2030" s="2">
        <v>30.655200000000001</v>
      </c>
      <c r="F2030" s="2" t="s">
        <v>60</v>
      </c>
      <c r="G2030" s="2" t="s">
        <v>61</v>
      </c>
      <c r="H2030" s="6" t="s">
        <v>4596</v>
      </c>
    </row>
    <row r="2031" spans="1:8" ht="22.5" customHeight="1" x14ac:dyDescent="0.25">
      <c r="A2031" s="14" t="s">
        <v>4598</v>
      </c>
      <c r="B2031" s="3" t="s">
        <v>404</v>
      </c>
      <c r="C2031" s="3" t="s">
        <v>4599</v>
      </c>
      <c r="D2031" s="3" t="s">
        <v>406</v>
      </c>
      <c r="E2031" s="3">
        <v>29.999199999999998</v>
      </c>
      <c r="F2031" s="3" t="s">
        <v>60</v>
      </c>
      <c r="G2031" s="3" t="s">
        <v>61</v>
      </c>
      <c r="H2031" s="6" t="s">
        <v>4598</v>
      </c>
    </row>
    <row r="2032" spans="1:8" ht="33.75" customHeight="1" x14ac:dyDescent="0.25">
      <c r="A2032" s="13" t="s">
        <v>4600</v>
      </c>
      <c r="B2032" s="2" t="s">
        <v>3648</v>
      </c>
      <c r="C2032" s="2" t="s">
        <v>4601</v>
      </c>
      <c r="D2032" s="2" t="s">
        <v>3650</v>
      </c>
      <c r="E2032" s="2">
        <v>30.335999999999999</v>
      </c>
      <c r="F2032" s="2" t="s">
        <v>60</v>
      </c>
      <c r="G2032" s="2" t="s">
        <v>61</v>
      </c>
      <c r="H2032" s="6" t="s">
        <v>4600</v>
      </c>
    </row>
    <row r="2033" spans="1:8" ht="33.75" customHeight="1" x14ac:dyDescent="0.25">
      <c r="A2033" s="14" t="s">
        <v>4602</v>
      </c>
      <c r="B2033" s="3" t="s">
        <v>4603</v>
      </c>
      <c r="C2033" s="3" t="s">
        <v>4604</v>
      </c>
      <c r="D2033" s="3" t="s">
        <v>4605</v>
      </c>
      <c r="E2033" s="3">
        <v>30.9392</v>
      </c>
      <c r="F2033" s="3" t="s">
        <v>60</v>
      </c>
      <c r="G2033" s="3" t="s">
        <v>61</v>
      </c>
      <c r="H2033" s="6" t="s">
        <v>4602</v>
      </c>
    </row>
    <row r="2034" spans="1:8" ht="22.5" customHeight="1" x14ac:dyDescent="0.25">
      <c r="A2034" s="13" t="s">
        <v>4606</v>
      </c>
      <c r="B2034" s="2" t="s">
        <v>2634</v>
      </c>
      <c r="C2034" s="2" t="s">
        <v>4607</v>
      </c>
      <c r="D2034" s="2" t="s">
        <v>2636</v>
      </c>
      <c r="E2034" s="2">
        <v>30.0852</v>
      </c>
      <c r="F2034" s="2" t="s">
        <v>60</v>
      </c>
      <c r="G2034" s="2" t="s">
        <v>61</v>
      </c>
      <c r="H2034" s="6" t="s">
        <v>4606</v>
      </c>
    </row>
    <row r="2035" spans="1:8" ht="22.5" customHeight="1" x14ac:dyDescent="0.25">
      <c r="A2035" s="14" t="s">
        <v>4608</v>
      </c>
      <c r="B2035" s="3" t="s">
        <v>1719</v>
      </c>
      <c r="C2035" s="3" t="s">
        <v>4609</v>
      </c>
      <c r="D2035" s="3" t="s">
        <v>1721</v>
      </c>
      <c r="E2035" s="3">
        <v>29.3232</v>
      </c>
      <c r="F2035" s="3" t="s">
        <v>60</v>
      </c>
      <c r="G2035" s="3" t="s">
        <v>61</v>
      </c>
      <c r="H2035" s="6" t="s">
        <v>4608</v>
      </c>
    </row>
    <row r="2036" spans="1:8" ht="22.5" customHeight="1" x14ac:dyDescent="0.25">
      <c r="A2036" s="13" t="s">
        <v>4610</v>
      </c>
      <c r="B2036" s="2" t="s">
        <v>1638</v>
      </c>
      <c r="C2036" s="2" t="s">
        <v>4611</v>
      </c>
      <c r="D2036" s="2" t="s">
        <v>1640</v>
      </c>
      <c r="E2036" s="2">
        <v>33.259399999999999</v>
      </c>
      <c r="F2036" s="2" t="s">
        <v>60</v>
      </c>
      <c r="G2036" s="2" t="s">
        <v>61</v>
      </c>
      <c r="H2036" s="6" t="s">
        <v>4610</v>
      </c>
    </row>
    <row r="2037" spans="1:8" ht="22.5" customHeight="1" x14ac:dyDescent="0.25">
      <c r="A2037" s="14" t="s">
        <v>4612</v>
      </c>
      <c r="B2037" s="3" t="s">
        <v>366</v>
      </c>
      <c r="C2037" s="3" t="s">
        <v>4613</v>
      </c>
      <c r="D2037" s="3" t="s">
        <v>368</v>
      </c>
      <c r="E2037" s="3">
        <v>32.983400000000003</v>
      </c>
      <c r="F2037" s="3" t="s">
        <v>60</v>
      </c>
      <c r="G2037" s="3" t="s">
        <v>61</v>
      </c>
      <c r="H2037" s="6" t="s">
        <v>4612</v>
      </c>
    </row>
    <row r="2038" spans="1:8" ht="22.5" customHeight="1" x14ac:dyDescent="0.25">
      <c r="A2038" s="13" t="s">
        <v>4614</v>
      </c>
      <c r="B2038" s="2" t="s">
        <v>2391</v>
      </c>
      <c r="C2038" s="2" t="s">
        <v>4615</v>
      </c>
      <c r="D2038" s="2" t="s">
        <v>2393</v>
      </c>
      <c r="E2038" s="2">
        <v>32.3872</v>
      </c>
      <c r="F2038" s="2" t="s">
        <v>60</v>
      </c>
      <c r="G2038" s="2" t="s">
        <v>61</v>
      </c>
      <c r="H2038" s="6" t="s">
        <v>4614</v>
      </c>
    </row>
    <row r="2039" spans="1:8" ht="22.5" customHeight="1" x14ac:dyDescent="0.25">
      <c r="A2039" s="14" t="s">
        <v>4616</v>
      </c>
      <c r="B2039" s="3" t="s">
        <v>372</v>
      </c>
      <c r="C2039" s="3" t="s">
        <v>4617</v>
      </c>
      <c r="D2039" s="3" t="s">
        <v>374</v>
      </c>
      <c r="E2039" s="3">
        <v>32.852400000000003</v>
      </c>
      <c r="F2039" s="3" t="s">
        <v>60</v>
      </c>
      <c r="G2039" s="3" t="s">
        <v>61</v>
      </c>
      <c r="H2039" s="6" t="s">
        <v>4616</v>
      </c>
    </row>
    <row r="2040" spans="1:8" ht="22.5" customHeight="1" x14ac:dyDescent="0.25">
      <c r="A2040" s="13" t="s">
        <v>4618</v>
      </c>
      <c r="B2040" s="2" t="s">
        <v>372</v>
      </c>
      <c r="C2040" s="2" t="s">
        <v>4619</v>
      </c>
      <c r="D2040" s="2" t="s">
        <v>374</v>
      </c>
      <c r="E2040" s="2">
        <v>32.852400000000003</v>
      </c>
      <c r="F2040" s="2" t="s">
        <v>60</v>
      </c>
      <c r="G2040" s="2" t="s">
        <v>61</v>
      </c>
      <c r="H2040" s="6" t="s">
        <v>4618</v>
      </c>
    </row>
    <row r="2041" spans="1:8" ht="33.75" customHeight="1" x14ac:dyDescent="0.25">
      <c r="A2041" s="14" t="s">
        <v>4620</v>
      </c>
      <c r="B2041" s="3" t="s">
        <v>382</v>
      </c>
      <c r="C2041" s="3" t="s">
        <v>4621</v>
      </c>
      <c r="D2041" s="3" t="s">
        <v>384</v>
      </c>
      <c r="E2041" s="3">
        <v>35.3172</v>
      </c>
      <c r="F2041" s="3" t="s">
        <v>60</v>
      </c>
      <c r="G2041" s="3" t="s">
        <v>61</v>
      </c>
      <c r="H2041" s="6" t="s">
        <v>4620</v>
      </c>
    </row>
    <row r="2042" spans="1:8" ht="45" customHeight="1" x14ac:dyDescent="0.25">
      <c r="A2042" s="13" t="s">
        <v>4622</v>
      </c>
      <c r="B2042" s="2" t="s">
        <v>142</v>
      </c>
      <c r="C2042" s="2" t="s">
        <v>4623</v>
      </c>
      <c r="D2042" s="2" t="s">
        <v>144</v>
      </c>
      <c r="E2042" s="2"/>
      <c r="F2042" s="2" t="s">
        <v>145</v>
      </c>
      <c r="G2042" s="2" t="s">
        <v>146</v>
      </c>
      <c r="H2042" s="6" t="s">
        <v>4622</v>
      </c>
    </row>
    <row r="2043" spans="1:8" ht="22.5" customHeight="1" x14ac:dyDescent="0.25">
      <c r="A2043" s="14" t="s">
        <v>4624</v>
      </c>
      <c r="B2043" s="3" t="s">
        <v>386</v>
      </c>
      <c r="C2043" s="3" t="s">
        <v>4089</v>
      </c>
      <c r="D2043" s="3" t="s">
        <v>388</v>
      </c>
      <c r="E2043" s="3">
        <v>33.783799999999999</v>
      </c>
      <c r="F2043" s="3" t="s">
        <v>60</v>
      </c>
      <c r="G2043" s="3" t="s">
        <v>61</v>
      </c>
      <c r="H2043" s="6" t="s">
        <v>4624</v>
      </c>
    </row>
    <row r="2044" spans="1:8" ht="22.5" customHeight="1" x14ac:dyDescent="0.25">
      <c r="A2044" s="13" t="s">
        <v>4625</v>
      </c>
      <c r="B2044" s="2" t="s">
        <v>2391</v>
      </c>
      <c r="C2044" s="2" t="s">
        <v>4626</v>
      </c>
      <c r="D2044" s="2" t="s">
        <v>2393</v>
      </c>
      <c r="E2044" s="2">
        <v>32.3872</v>
      </c>
      <c r="F2044" s="2" t="s">
        <v>60</v>
      </c>
      <c r="G2044" s="2" t="s">
        <v>61</v>
      </c>
      <c r="H2044" s="6" t="s">
        <v>4625</v>
      </c>
    </row>
    <row r="2045" spans="1:8" ht="22.5" customHeight="1" x14ac:dyDescent="0.25">
      <c r="A2045" s="14" t="s">
        <v>4627</v>
      </c>
      <c r="B2045" s="3" t="s">
        <v>2391</v>
      </c>
      <c r="C2045" s="3" t="s">
        <v>4628</v>
      </c>
      <c r="D2045" s="3" t="s">
        <v>2393</v>
      </c>
      <c r="E2045" s="3">
        <v>32.3872</v>
      </c>
      <c r="F2045" s="3" t="s">
        <v>60</v>
      </c>
      <c r="G2045" s="3" t="s">
        <v>61</v>
      </c>
      <c r="H2045" s="6" t="s">
        <v>4627</v>
      </c>
    </row>
    <row r="2046" spans="1:8" ht="22.5" customHeight="1" x14ac:dyDescent="0.25">
      <c r="A2046" s="13" t="s">
        <v>4629</v>
      </c>
      <c r="B2046" s="2" t="s">
        <v>324</v>
      </c>
      <c r="C2046" s="2" t="s">
        <v>4630</v>
      </c>
      <c r="D2046" s="2" t="s">
        <v>326</v>
      </c>
      <c r="E2046" s="2">
        <v>29.719200000000001</v>
      </c>
      <c r="F2046" s="2" t="s">
        <v>60</v>
      </c>
      <c r="G2046" s="2" t="s">
        <v>61</v>
      </c>
      <c r="H2046" s="6" t="s">
        <v>4629</v>
      </c>
    </row>
    <row r="2047" spans="1:8" ht="33.75" customHeight="1" x14ac:dyDescent="0.25">
      <c r="A2047" s="14" t="s">
        <v>4631</v>
      </c>
      <c r="B2047" s="3" t="s">
        <v>57</v>
      </c>
      <c r="C2047" s="3" t="s">
        <v>4632</v>
      </c>
      <c r="D2047" s="3" t="s">
        <v>59</v>
      </c>
      <c r="E2047" s="3">
        <v>31.825199999999999</v>
      </c>
      <c r="F2047" s="3" t="s">
        <v>60</v>
      </c>
      <c r="G2047" s="3" t="s">
        <v>61</v>
      </c>
      <c r="H2047" s="6" t="s">
        <v>4631</v>
      </c>
    </row>
  </sheetData>
  <autoFilter ref="A1:G2047" xr:uid="{00000000-0009-0000-0000-000002000000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0" customWidth="1"/>
    <col min="3" max="3" width="23" customWidth="1"/>
    <col min="4" max="4" width="19" customWidth="1"/>
    <col min="5" max="5" width="25" customWidth="1"/>
    <col min="6" max="6" width="24" customWidth="1"/>
    <col min="7" max="7" width="19" customWidth="1"/>
    <col min="8" max="8" width="14" customWidth="1"/>
    <col min="9" max="9" width="27" customWidth="1"/>
    <col min="10" max="10" width="14" customWidth="1"/>
    <col min="11" max="11" width="13" customWidth="1"/>
    <col min="12" max="12" width="22" customWidth="1"/>
  </cols>
  <sheetData>
    <row r="1" spans="1:12" ht="21.95" customHeight="1" x14ac:dyDescent="0.25">
      <c r="A1" s="1" t="s">
        <v>42</v>
      </c>
      <c r="B1" s="1" t="s">
        <v>43</v>
      </c>
      <c r="C1" s="1" t="s">
        <v>4633</v>
      </c>
      <c r="D1" s="1" t="s">
        <v>4634</v>
      </c>
      <c r="E1" s="1" t="s">
        <v>4635</v>
      </c>
      <c r="F1" s="1" t="s">
        <v>4636</v>
      </c>
      <c r="G1" s="1" t="s">
        <v>4637</v>
      </c>
      <c r="H1" s="1" t="s">
        <v>4638</v>
      </c>
      <c r="I1" s="1" t="s">
        <v>4639</v>
      </c>
      <c r="J1" s="1" t="s">
        <v>4640</v>
      </c>
      <c r="K1" s="1" t="s">
        <v>4641</v>
      </c>
      <c r="L1" s="1" t="s">
        <v>4642</v>
      </c>
    </row>
    <row r="2" spans="1:12" ht="33.75" customHeight="1" x14ac:dyDescent="0.25">
      <c r="A2" s="13" t="s">
        <v>56</v>
      </c>
      <c r="B2" s="2" t="s">
        <v>57</v>
      </c>
      <c r="C2" s="2" t="s">
        <v>58</v>
      </c>
      <c r="D2" s="2"/>
      <c r="E2" s="2" t="s">
        <v>4643</v>
      </c>
      <c r="F2" s="2" t="s">
        <v>59</v>
      </c>
      <c r="G2" s="2">
        <v>31.825199999999999</v>
      </c>
      <c r="H2" s="2" t="s">
        <v>4644</v>
      </c>
      <c r="I2" s="2" t="s">
        <v>4645</v>
      </c>
      <c r="J2" s="2" t="s">
        <v>4646</v>
      </c>
      <c r="K2" s="2">
        <v>21</v>
      </c>
      <c r="L2" s="2" t="s">
        <v>4647</v>
      </c>
    </row>
    <row r="3" spans="1:12" ht="33.75" customHeight="1" x14ac:dyDescent="0.25">
      <c r="A3" s="14" t="s">
        <v>62</v>
      </c>
      <c r="B3" s="3" t="s">
        <v>63</v>
      </c>
      <c r="C3" s="3" t="s">
        <v>64</v>
      </c>
      <c r="D3" s="3" t="s">
        <v>4648</v>
      </c>
      <c r="E3" s="3" t="s">
        <v>4649</v>
      </c>
      <c r="F3" s="3" t="s">
        <v>65</v>
      </c>
      <c r="G3" s="3">
        <v>31.412400000000002</v>
      </c>
      <c r="H3" s="3" t="s">
        <v>4644</v>
      </c>
      <c r="I3" s="3" t="s">
        <v>4645</v>
      </c>
      <c r="J3" s="3" t="s">
        <v>4650</v>
      </c>
      <c r="K3" s="3">
        <v>30</v>
      </c>
      <c r="L3" s="3" t="s">
        <v>4647</v>
      </c>
    </row>
    <row r="4" spans="1:12" ht="33.75" customHeight="1" x14ac:dyDescent="0.25">
      <c r="A4" s="13" t="s">
        <v>66</v>
      </c>
      <c r="B4" s="2" t="s">
        <v>63</v>
      </c>
      <c r="C4" s="2" t="s">
        <v>67</v>
      </c>
      <c r="D4" s="2" t="s">
        <v>4648</v>
      </c>
      <c r="E4" s="2" t="s">
        <v>4649</v>
      </c>
      <c r="F4" s="2" t="s">
        <v>65</v>
      </c>
      <c r="G4" s="2">
        <v>31.412400000000002</v>
      </c>
      <c r="H4" s="2" t="s">
        <v>4644</v>
      </c>
      <c r="I4" s="2" t="s">
        <v>4645</v>
      </c>
      <c r="J4" s="2" t="s">
        <v>4650</v>
      </c>
      <c r="K4" s="2">
        <v>30</v>
      </c>
      <c r="L4" s="2" t="s">
        <v>4647</v>
      </c>
    </row>
    <row r="5" spans="1:12" ht="33.75" customHeight="1" x14ac:dyDescent="0.25">
      <c r="A5" s="14" t="s">
        <v>68</v>
      </c>
      <c r="B5" s="3" t="s">
        <v>69</v>
      </c>
      <c r="C5" s="3" t="s">
        <v>70</v>
      </c>
      <c r="D5" s="3" t="s">
        <v>4648</v>
      </c>
      <c r="E5" s="3" t="s">
        <v>4651</v>
      </c>
      <c r="F5" s="3" t="s">
        <v>71</v>
      </c>
      <c r="G5" s="3">
        <v>32.102400000000003</v>
      </c>
      <c r="H5" s="3" t="s">
        <v>4644</v>
      </c>
      <c r="I5" s="3" t="s">
        <v>4645</v>
      </c>
      <c r="J5" s="3" t="s">
        <v>4652</v>
      </c>
      <c r="K5" s="3">
        <v>30</v>
      </c>
      <c r="L5" s="3" t="s">
        <v>4647</v>
      </c>
    </row>
    <row r="6" spans="1:12" ht="33.75" customHeight="1" x14ac:dyDescent="0.25">
      <c r="A6" s="13" t="s">
        <v>72</v>
      </c>
      <c r="B6" s="2" t="s">
        <v>73</v>
      </c>
      <c r="C6" s="2" t="s">
        <v>74</v>
      </c>
      <c r="D6" s="2" t="s">
        <v>4648</v>
      </c>
      <c r="E6" s="2" t="s">
        <v>4653</v>
      </c>
      <c r="F6" s="2" t="s">
        <v>75</v>
      </c>
      <c r="G6" s="2">
        <v>31.538399999999999</v>
      </c>
      <c r="H6" s="2" t="s">
        <v>4644</v>
      </c>
      <c r="I6" s="2" t="s">
        <v>4645</v>
      </c>
      <c r="J6" s="2" t="s">
        <v>4646</v>
      </c>
      <c r="K6" s="2">
        <v>21</v>
      </c>
      <c r="L6" s="2" t="s">
        <v>4647</v>
      </c>
    </row>
    <row r="7" spans="1:12" ht="33.75" customHeight="1" x14ac:dyDescent="0.25">
      <c r="A7" s="14" t="s">
        <v>76</v>
      </c>
      <c r="B7" s="3" t="s">
        <v>77</v>
      </c>
      <c r="C7" s="3" t="s">
        <v>78</v>
      </c>
      <c r="D7" s="3"/>
      <c r="E7" s="3" t="s">
        <v>4654</v>
      </c>
      <c r="F7" s="3" t="s">
        <v>79</v>
      </c>
      <c r="G7" s="3">
        <v>31.699200000000001</v>
      </c>
      <c r="H7" s="3" t="s">
        <v>4644</v>
      </c>
      <c r="I7" s="3" t="s">
        <v>4645</v>
      </c>
      <c r="J7" s="3" t="s">
        <v>4650</v>
      </c>
      <c r="K7" s="3">
        <v>30</v>
      </c>
      <c r="L7" s="3" t="s">
        <v>4647</v>
      </c>
    </row>
    <row r="8" spans="1:12" ht="33.75" customHeight="1" x14ac:dyDescent="0.25">
      <c r="A8" s="13" t="s">
        <v>80</v>
      </c>
      <c r="B8" s="2" t="s">
        <v>73</v>
      </c>
      <c r="C8" s="2" t="s">
        <v>81</v>
      </c>
      <c r="D8" s="2" t="s">
        <v>4648</v>
      </c>
      <c r="E8" s="2" t="s">
        <v>4653</v>
      </c>
      <c r="F8" s="2" t="s">
        <v>75</v>
      </c>
      <c r="G8" s="2">
        <v>31.538399999999999</v>
      </c>
      <c r="H8" s="2" t="s">
        <v>4644</v>
      </c>
      <c r="I8" s="2" t="s">
        <v>4645</v>
      </c>
      <c r="J8" s="2" t="s">
        <v>4646</v>
      </c>
      <c r="K8" s="2">
        <v>21</v>
      </c>
      <c r="L8" s="2" t="s">
        <v>4647</v>
      </c>
    </row>
    <row r="9" spans="1:12" ht="33.75" customHeight="1" x14ac:dyDescent="0.25">
      <c r="A9" s="14" t="s">
        <v>82</v>
      </c>
      <c r="B9" s="3" t="s">
        <v>83</v>
      </c>
      <c r="C9" s="3" t="s">
        <v>84</v>
      </c>
      <c r="D9" s="3" t="s">
        <v>4648</v>
      </c>
      <c r="E9" s="3" t="s">
        <v>4655</v>
      </c>
      <c r="F9" s="3" t="s">
        <v>85</v>
      </c>
      <c r="G9" s="3">
        <v>33.063000000000002</v>
      </c>
      <c r="H9" s="3" t="s">
        <v>4644</v>
      </c>
      <c r="I9" s="3" t="s">
        <v>4645</v>
      </c>
      <c r="J9" s="3" t="s">
        <v>4656</v>
      </c>
      <c r="K9" s="3">
        <v>45</v>
      </c>
      <c r="L9" s="3" t="s">
        <v>4647</v>
      </c>
    </row>
    <row r="10" spans="1:12" ht="33.75" customHeight="1" x14ac:dyDescent="0.25">
      <c r="A10" s="13" t="s">
        <v>86</v>
      </c>
      <c r="B10" s="2" t="s">
        <v>83</v>
      </c>
      <c r="C10" s="2" t="s">
        <v>87</v>
      </c>
      <c r="D10" s="2" t="s">
        <v>4648</v>
      </c>
      <c r="E10" s="2" t="s">
        <v>4655</v>
      </c>
      <c r="F10" s="2" t="s">
        <v>85</v>
      </c>
      <c r="G10" s="2">
        <v>33.063000000000002</v>
      </c>
      <c r="H10" s="2" t="s">
        <v>4644</v>
      </c>
      <c r="I10" s="2" t="s">
        <v>4645</v>
      </c>
      <c r="J10" s="2" t="s">
        <v>4657</v>
      </c>
      <c r="K10" s="2">
        <v>45</v>
      </c>
      <c r="L10" s="2" t="s">
        <v>4647</v>
      </c>
    </row>
    <row r="11" spans="1:12" ht="33.75" customHeight="1" x14ac:dyDescent="0.25">
      <c r="A11" s="14" t="s">
        <v>88</v>
      </c>
      <c r="B11" s="3" t="s">
        <v>89</v>
      </c>
      <c r="C11" s="3" t="s">
        <v>90</v>
      </c>
      <c r="D11" s="3" t="s">
        <v>4658</v>
      </c>
      <c r="E11" s="3" t="s">
        <v>4659</v>
      </c>
      <c r="F11" s="3" t="s">
        <v>91</v>
      </c>
      <c r="G11" s="3">
        <v>32.389200000000002</v>
      </c>
      <c r="H11" s="3" t="s">
        <v>4644</v>
      </c>
      <c r="I11" s="3" t="s">
        <v>4645</v>
      </c>
      <c r="J11" s="3" t="s">
        <v>4652</v>
      </c>
      <c r="K11" s="3">
        <v>30</v>
      </c>
      <c r="L11" s="3" t="s">
        <v>4647</v>
      </c>
    </row>
    <row r="12" spans="1:12" ht="33.75" customHeight="1" x14ac:dyDescent="0.25">
      <c r="A12" s="13" t="s">
        <v>92</v>
      </c>
      <c r="B12" s="2" t="s">
        <v>89</v>
      </c>
      <c r="C12" s="2" t="s">
        <v>93</v>
      </c>
      <c r="D12" s="2"/>
      <c r="E12" s="2" t="s">
        <v>4659</v>
      </c>
      <c r="F12" s="2" t="s">
        <v>91</v>
      </c>
      <c r="G12" s="2">
        <v>32.389200000000002</v>
      </c>
      <c r="H12" s="2" t="s">
        <v>4644</v>
      </c>
      <c r="I12" s="2" t="s">
        <v>4645</v>
      </c>
      <c r="J12" s="2" t="s">
        <v>4652</v>
      </c>
      <c r="K12" s="2">
        <v>30</v>
      </c>
      <c r="L12" s="2" t="s">
        <v>4647</v>
      </c>
    </row>
    <row r="13" spans="1:12" ht="33.75" customHeight="1" x14ac:dyDescent="0.25">
      <c r="A13" s="14" t="s">
        <v>94</v>
      </c>
      <c r="B13" s="3" t="s">
        <v>77</v>
      </c>
      <c r="C13" s="3" t="s">
        <v>95</v>
      </c>
      <c r="D13" s="3"/>
      <c r="E13" s="3" t="s">
        <v>4654</v>
      </c>
      <c r="F13" s="3" t="s">
        <v>79</v>
      </c>
      <c r="G13" s="3">
        <v>31.699200000000001</v>
      </c>
      <c r="H13" s="3" t="s">
        <v>4644</v>
      </c>
      <c r="I13" s="3" t="s">
        <v>4645</v>
      </c>
      <c r="J13" s="3" t="s">
        <v>4650</v>
      </c>
      <c r="K13" s="3">
        <v>30</v>
      </c>
      <c r="L13" s="3" t="s">
        <v>4647</v>
      </c>
    </row>
    <row r="14" spans="1:12" ht="33.75" customHeight="1" x14ac:dyDescent="0.25">
      <c r="A14" s="13" t="s">
        <v>96</v>
      </c>
      <c r="B14" s="2" t="s">
        <v>77</v>
      </c>
      <c r="C14" s="2" t="s">
        <v>97</v>
      </c>
      <c r="D14" s="2"/>
      <c r="E14" s="2" t="s">
        <v>4654</v>
      </c>
      <c r="F14" s="2" t="s">
        <v>79</v>
      </c>
      <c r="G14" s="2">
        <v>31.699200000000001</v>
      </c>
      <c r="H14" s="2" t="s">
        <v>4644</v>
      </c>
      <c r="I14" s="2" t="s">
        <v>4645</v>
      </c>
      <c r="J14" s="2" t="s">
        <v>4650</v>
      </c>
      <c r="K14" s="2">
        <v>30</v>
      </c>
      <c r="L14" s="2" t="s">
        <v>4647</v>
      </c>
    </row>
    <row r="15" spans="1:12" ht="33.75" customHeight="1" x14ac:dyDescent="0.25">
      <c r="A15" s="14" t="s">
        <v>98</v>
      </c>
      <c r="B15" s="3" t="s">
        <v>57</v>
      </c>
      <c r="C15" s="3" t="s">
        <v>99</v>
      </c>
      <c r="D15" s="3"/>
      <c r="E15" s="3" t="s">
        <v>4643</v>
      </c>
      <c r="F15" s="3" t="s">
        <v>59</v>
      </c>
      <c r="G15" s="3">
        <v>31.825199999999999</v>
      </c>
      <c r="H15" s="3" t="s">
        <v>4644</v>
      </c>
      <c r="I15" s="3" t="s">
        <v>4645</v>
      </c>
      <c r="J15" s="3" t="s">
        <v>4646</v>
      </c>
      <c r="K15" s="3">
        <v>21</v>
      </c>
      <c r="L15" s="3" t="s">
        <v>4647</v>
      </c>
    </row>
    <row r="16" spans="1:12" ht="33.75" customHeight="1" x14ac:dyDescent="0.25">
      <c r="A16" s="13" t="s">
        <v>100</v>
      </c>
      <c r="B16" s="2" t="s">
        <v>89</v>
      </c>
      <c r="C16" s="2" t="s">
        <v>101</v>
      </c>
      <c r="D16" s="2"/>
      <c r="E16" s="2" t="s">
        <v>4659</v>
      </c>
      <c r="F16" s="2" t="s">
        <v>91</v>
      </c>
      <c r="G16" s="2">
        <v>32.389200000000002</v>
      </c>
      <c r="H16" s="2" t="s">
        <v>4644</v>
      </c>
      <c r="I16" s="2" t="s">
        <v>4645</v>
      </c>
      <c r="J16" s="2" t="s">
        <v>4652</v>
      </c>
      <c r="K16" s="2">
        <v>30</v>
      </c>
      <c r="L16" s="2" t="s">
        <v>4647</v>
      </c>
    </row>
    <row r="17" spans="1:12" ht="33.75" customHeight="1" x14ac:dyDescent="0.25">
      <c r="A17" s="14" t="s">
        <v>102</v>
      </c>
      <c r="B17" s="3" t="s">
        <v>89</v>
      </c>
      <c r="C17" s="3" t="s">
        <v>101</v>
      </c>
      <c r="D17" s="3"/>
      <c r="E17" s="3" t="s">
        <v>4659</v>
      </c>
      <c r="F17" s="3" t="s">
        <v>91</v>
      </c>
      <c r="G17" s="3">
        <v>32.389200000000002</v>
      </c>
      <c r="H17" s="3" t="s">
        <v>4644</v>
      </c>
      <c r="I17" s="3" t="s">
        <v>4645</v>
      </c>
      <c r="J17" s="3" t="s">
        <v>4652</v>
      </c>
      <c r="K17" s="3">
        <v>30</v>
      </c>
      <c r="L17" s="3" t="s">
        <v>4647</v>
      </c>
    </row>
    <row r="18" spans="1:12" ht="33.75" customHeight="1" x14ac:dyDescent="0.25">
      <c r="A18" s="13" t="s">
        <v>103</v>
      </c>
      <c r="B18" s="2" t="s">
        <v>77</v>
      </c>
      <c r="C18" s="2" t="s">
        <v>104</v>
      </c>
      <c r="D18" s="2"/>
      <c r="E18" s="2" t="s">
        <v>4654</v>
      </c>
      <c r="F18" s="2" t="s">
        <v>79</v>
      </c>
      <c r="G18" s="2">
        <v>31.699200000000001</v>
      </c>
      <c r="H18" s="2" t="s">
        <v>4644</v>
      </c>
      <c r="I18" s="2" t="s">
        <v>4645</v>
      </c>
      <c r="J18" s="2" t="s">
        <v>4650</v>
      </c>
      <c r="K18" s="2">
        <v>30</v>
      </c>
      <c r="L18" s="2" t="s">
        <v>4647</v>
      </c>
    </row>
    <row r="19" spans="1:12" ht="33.75" customHeight="1" x14ac:dyDescent="0.25">
      <c r="A19" s="14" t="s">
        <v>105</v>
      </c>
      <c r="B19" s="3" t="s">
        <v>57</v>
      </c>
      <c r="C19" s="3" t="s">
        <v>106</v>
      </c>
      <c r="D19" s="3"/>
      <c r="E19" s="3" t="s">
        <v>4643</v>
      </c>
      <c r="F19" s="3" t="s">
        <v>59</v>
      </c>
      <c r="G19" s="3">
        <v>31.825199999999999</v>
      </c>
      <c r="H19" s="3" t="s">
        <v>4644</v>
      </c>
      <c r="I19" s="3" t="s">
        <v>4645</v>
      </c>
      <c r="J19" s="3" t="s">
        <v>4646</v>
      </c>
      <c r="K19" s="3">
        <v>21</v>
      </c>
      <c r="L19" s="3" t="s">
        <v>4647</v>
      </c>
    </row>
    <row r="20" spans="1:12" ht="33.75" customHeight="1" x14ac:dyDescent="0.25">
      <c r="A20" s="13" t="s">
        <v>107</v>
      </c>
      <c r="B20" s="2" t="s">
        <v>73</v>
      </c>
      <c r="C20" s="2" t="s">
        <v>108</v>
      </c>
      <c r="D20" s="2" t="s">
        <v>4648</v>
      </c>
      <c r="E20" s="2" t="s">
        <v>4653</v>
      </c>
      <c r="F20" s="2" t="s">
        <v>75</v>
      </c>
      <c r="G20" s="2">
        <v>31.538399999999999</v>
      </c>
      <c r="H20" s="2" t="s">
        <v>4644</v>
      </c>
      <c r="I20" s="2" t="s">
        <v>4645</v>
      </c>
      <c r="J20" s="2" t="s">
        <v>4646</v>
      </c>
      <c r="K20" s="2">
        <v>21</v>
      </c>
      <c r="L20" s="2" t="s">
        <v>4647</v>
      </c>
    </row>
    <row r="21" spans="1:12" ht="33.75" customHeight="1" x14ac:dyDescent="0.25">
      <c r="A21" s="14" t="s">
        <v>109</v>
      </c>
      <c r="B21" s="3" t="s">
        <v>89</v>
      </c>
      <c r="C21" s="3" t="s">
        <v>110</v>
      </c>
      <c r="D21" s="3"/>
      <c r="E21" s="3" t="s">
        <v>4659</v>
      </c>
      <c r="F21" s="3" t="s">
        <v>91</v>
      </c>
      <c r="G21" s="3">
        <v>32.389200000000002</v>
      </c>
      <c r="H21" s="3" t="s">
        <v>4644</v>
      </c>
      <c r="I21" s="3" t="s">
        <v>4645</v>
      </c>
      <c r="J21" s="3" t="s">
        <v>4652</v>
      </c>
      <c r="K21" s="3">
        <v>30</v>
      </c>
      <c r="L21" s="3" t="s">
        <v>4647</v>
      </c>
    </row>
    <row r="22" spans="1:12" ht="33.75" customHeight="1" x14ac:dyDescent="0.25">
      <c r="A22" s="13" t="s">
        <v>111</v>
      </c>
      <c r="B22" s="2" t="s">
        <v>112</v>
      </c>
      <c r="C22" s="2" t="s">
        <v>113</v>
      </c>
      <c r="D22" s="2"/>
      <c r="E22" s="2" t="s">
        <v>4660</v>
      </c>
      <c r="F22" s="2" t="s">
        <v>114</v>
      </c>
      <c r="G22" s="2">
        <v>30.7682</v>
      </c>
      <c r="H22" s="2" t="s">
        <v>4644</v>
      </c>
      <c r="I22" s="2" t="s">
        <v>4645</v>
      </c>
      <c r="J22" s="2" t="s">
        <v>4652</v>
      </c>
      <c r="K22" s="2">
        <v>21</v>
      </c>
      <c r="L22" s="2" t="s">
        <v>4647</v>
      </c>
    </row>
    <row r="23" spans="1:12" ht="33.75" customHeight="1" x14ac:dyDescent="0.25">
      <c r="A23" s="14" t="s">
        <v>115</v>
      </c>
      <c r="B23" s="3" t="s">
        <v>89</v>
      </c>
      <c r="C23" s="3" t="s">
        <v>116</v>
      </c>
      <c r="D23" s="3"/>
      <c r="E23" s="3" t="s">
        <v>4659</v>
      </c>
      <c r="F23" s="3" t="s">
        <v>91</v>
      </c>
      <c r="G23" s="3">
        <v>32.389200000000002</v>
      </c>
      <c r="H23" s="3" t="s">
        <v>4644</v>
      </c>
      <c r="I23" s="3" t="s">
        <v>4645</v>
      </c>
      <c r="J23" s="3" t="s">
        <v>4652</v>
      </c>
      <c r="K23" s="3">
        <v>30</v>
      </c>
      <c r="L23" s="3" t="s">
        <v>4647</v>
      </c>
    </row>
    <row r="24" spans="1:12" ht="33.75" customHeight="1" x14ac:dyDescent="0.25">
      <c r="A24" s="13" t="s">
        <v>117</v>
      </c>
      <c r="B24" s="2" t="s">
        <v>83</v>
      </c>
      <c r="C24" s="2" t="s">
        <v>118</v>
      </c>
      <c r="D24" s="2" t="s">
        <v>4648</v>
      </c>
      <c r="E24" s="2" t="s">
        <v>4655</v>
      </c>
      <c r="F24" s="2" t="s">
        <v>85</v>
      </c>
      <c r="G24" s="2">
        <v>33.063000000000002</v>
      </c>
      <c r="H24" s="2" t="s">
        <v>4644</v>
      </c>
      <c r="I24" s="2" t="s">
        <v>4645</v>
      </c>
      <c r="J24" s="2" t="s">
        <v>4656</v>
      </c>
      <c r="K24" s="2">
        <v>45</v>
      </c>
      <c r="L24" s="2" t="s">
        <v>4647</v>
      </c>
    </row>
    <row r="25" spans="1:12" ht="33.75" customHeight="1" x14ac:dyDescent="0.25">
      <c r="A25" s="14" t="s">
        <v>119</v>
      </c>
      <c r="B25" s="3" t="s">
        <v>120</v>
      </c>
      <c r="C25" s="3" t="s">
        <v>121</v>
      </c>
      <c r="D25" s="3" t="s">
        <v>4661</v>
      </c>
      <c r="E25" s="3" t="s">
        <v>4662</v>
      </c>
      <c r="F25" s="3" t="s">
        <v>122</v>
      </c>
      <c r="G25" s="3">
        <v>33.349800000000002</v>
      </c>
      <c r="H25" s="3" t="s">
        <v>4644</v>
      </c>
      <c r="I25" s="3" t="s">
        <v>4645</v>
      </c>
      <c r="J25" s="3" t="s">
        <v>4656</v>
      </c>
      <c r="K25" s="3">
        <v>45</v>
      </c>
      <c r="L25" s="3" t="s">
        <v>4647</v>
      </c>
    </row>
    <row r="26" spans="1:12" ht="33.75" customHeight="1" x14ac:dyDescent="0.25">
      <c r="A26" s="13" t="s">
        <v>123</v>
      </c>
      <c r="B26" s="2" t="s">
        <v>120</v>
      </c>
      <c r="C26" s="2" t="s">
        <v>124</v>
      </c>
      <c r="D26" s="2"/>
      <c r="E26" s="2" t="s">
        <v>4662</v>
      </c>
      <c r="F26" s="2" t="s">
        <v>122</v>
      </c>
      <c r="G26" s="2">
        <v>33.349800000000002</v>
      </c>
      <c r="H26" s="2" t="s">
        <v>4644</v>
      </c>
      <c r="I26" s="2" t="s">
        <v>4645</v>
      </c>
      <c r="J26" s="2" t="s">
        <v>4656</v>
      </c>
      <c r="K26" s="2">
        <v>45</v>
      </c>
      <c r="L26" s="2" t="s">
        <v>4647</v>
      </c>
    </row>
    <row r="27" spans="1:12" ht="33.75" customHeight="1" x14ac:dyDescent="0.25">
      <c r="A27" s="14" t="s">
        <v>125</v>
      </c>
      <c r="B27" s="3" t="s">
        <v>69</v>
      </c>
      <c r="C27" s="3" t="s">
        <v>126</v>
      </c>
      <c r="D27" s="3" t="s">
        <v>4648</v>
      </c>
      <c r="E27" s="3" t="s">
        <v>4651</v>
      </c>
      <c r="F27" s="3" t="s">
        <v>71</v>
      </c>
      <c r="G27" s="3">
        <v>32.102400000000003</v>
      </c>
      <c r="H27" s="3" t="s">
        <v>4644</v>
      </c>
      <c r="I27" s="3" t="s">
        <v>4645</v>
      </c>
      <c r="J27" s="3" t="s">
        <v>4652</v>
      </c>
      <c r="K27" s="3">
        <v>30</v>
      </c>
      <c r="L27" s="3" t="s">
        <v>4647</v>
      </c>
    </row>
    <row r="28" spans="1:12" ht="33.75" customHeight="1" x14ac:dyDescent="0.25">
      <c r="A28" s="13" t="s">
        <v>127</v>
      </c>
      <c r="B28" s="2" t="s">
        <v>89</v>
      </c>
      <c r="C28" s="2" t="s">
        <v>128</v>
      </c>
      <c r="D28" s="2"/>
      <c r="E28" s="2" t="s">
        <v>4659</v>
      </c>
      <c r="F28" s="2" t="s">
        <v>91</v>
      </c>
      <c r="G28" s="2">
        <v>32.389200000000002</v>
      </c>
      <c r="H28" s="2" t="s">
        <v>4644</v>
      </c>
      <c r="I28" s="2" t="s">
        <v>4645</v>
      </c>
      <c r="J28" s="2" t="s">
        <v>4652</v>
      </c>
      <c r="K28" s="2">
        <v>30</v>
      </c>
      <c r="L28" s="2" t="s">
        <v>4647</v>
      </c>
    </row>
    <row r="29" spans="1:12" ht="33.75" customHeight="1" x14ac:dyDescent="0.25">
      <c r="A29" s="14" t="s">
        <v>129</v>
      </c>
      <c r="B29" s="3" t="s">
        <v>89</v>
      </c>
      <c r="C29" s="3" t="s">
        <v>130</v>
      </c>
      <c r="D29" s="3" t="s">
        <v>4663</v>
      </c>
      <c r="E29" s="3" t="s">
        <v>4659</v>
      </c>
      <c r="F29" s="3" t="s">
        <v>91</v>
      </c>
      <c r="G29" s="3">
        <v>32.389200000000002</v>
      </c>
      <c r="H29" s="3" t="s">
        <v>4644</v>
      </c>
      <c r="I29" s="3" t="s">
        <v>4645</v>
      </c>
      <c r="J29" s="3" t="s">
        <v>4652</v>
      </c>
      <c r="K29" s="3">
        <v>30</v>
      </c>
      <c r="L29" s="3" t="s">
        <v>4647</v>
      </c>
    </row>
    <row r="30" spans="1:12" ht="33.75" customHeight="1" x14ac:dyDescent="0.25">
      <c r="A30" s="13" t="s">
        <v>131</v>
      </c>
      <c r="B30" s="2" t="s">
        <v>69</v>
      </c>
      <c r="C30" s="2" t="s">
        <v>132</v>
      </c>
      <c r="D30" s="2" t="s">
        <v>4648</v>
      </c>
      <c r="E30" s="2" t="s">
        <v>4651</v>
      </c>
      <c r="F30" s="2" t="s">
        <v>71</v>
      </c>
      <c r="G30" s="2">
        <v>32.102400000000003</v>
      </c>
      <c r="H30" s="2" t="s">
        <v>4644</v>
      </c>
      <c r="I30" s="2" t="s">
        <v>4645</v>
      </c>
      <c r="J30" s="2" t="s">
        <v>4652</v>
      </c>
      <c r="K30" s="2">
        <v>30</v>
      </c>
      <c r="L30" s="2" t="s">
        <v>4647</v>
      </c>
    </row>
    <row r="31" spans="1:12" ht="33.75" customHeight="1" x14ac:dyDescent="0.25">
      <c r="A31" s="14" t="s">
        <v>133</v>
      </c>
      <c r="B31" s="3" t="s">
        <v>63</v>
      </c>
      <c r="C31" s="3" t="s">
        <v>134</v>
      </c>
      <c r="D31" s="3" t="s">
        <v>4648</v>
      </c>
      <c r="E31" s="3" t="s">
        <v>4649</v>
      </c>
      <c r="F31" s="3" t="s">
        <v>65</v>
      </c>
      <c r="G31" s="3">
        <v>31.412400000000002</v>
      </c>
      <c r="H31" s="3" t="s">
        <v>4644</v>
      </c>
      <c r="I31" s="3" t="s">
        <v>4645</v>
      </c>
      <c r="J31" s="3" t="s">
        <v>4650</v>
      </c>
      <c r="K31" s="3">
        <v>30</v>
      </c>
      <c r="L31" s="3" t="s">
        <v>4647</v>
      </c>
    </row>
    <row r="32" spans="1:12" ht="33.75" customHeight="1" x14ac:dyDescent="0.25">
      <c r="A32" s="13" t="s">
        <v>135</v>
      </c>
      <c r="B32" s="2" t="s">
        <v>69</v>
      </c>
      <c r="C32" s="2" t="s">
        <v>136</v>
      </c>
      <c r="D32" s="2" t="s">
        <v>4648</v>
      </c>
      <c r="E32" s="2" t="s">
        <v>4651</v>
      </c>
      <c r="F32" s="2" t="s">
        <v>71</v>
      </c>
      <c r="G32" s="2">
        <v>32.102400000000003</v>
      </c>
      <c r="H32" s="2" t="s">
        <v>4644</v>
      </c>
      <c r="I32" s="2" t="s">
        <v>4645</v>
      </c>
      <c r="J32" s="2" t="s">
        <v>4652</v>
      </c>
      <c r="K32" s="2">
        <v>30</v>
      </c>
      <c r="L32" s="2" t="s">
        <v>4647</v>
      </c>
    </row>
    <row r="33" spans="1:12" ht="33.75" customHeight="1" x14ac:dyDescent="0.25">
      <c r="A33" s="14" t="s">
        <v>137</v>
      </c>
      <c r="B33" s="3" t="s">
        <v>73</v>
      </c>
      <c r="C33" s="3" t="s">
        <v>138</v>
      </c>
      <c r="D33" s="3" t="s">
        <v>4648</v>
      </c>
      <c r="E33" s="3" t="s">
        <v>4653</v>
      </c>
      <c r="F33" s="3" t="s">
        <v>75</v>
      </c>
      <c r="G33" s="3">
        <v>31.538399999999999</v>
      </c>
      <c r="H33" s="3" t="s">
        <v>4644</v>
      </c>
      <c r="I33" s="3" t="s">
        <v>4645</v>
      </c>
      <c r="J33" s="3" t="s">
        <v>4646</v>
      </c>
      <c r="K33" s="3">
        <v>21</v>
      </c>
      <c r="L33" s="3" t="s">
        <v>4647</v>
      </c>
    </row>
    <row r="34" spans="1:12" ht="33.75" customHeight="1" x14ac:dyDescent="0.25">
      <c r="A34" s="13" t="s">
        <v>139</v>
      </c>
      <c r="B34" s="2" t="s">
        <v>77</v>
      </c>
      <c r="C34" s="2" t="s">
        <v>140</v>
      </c>
      <c r="D34" s="2"/>
      <c r="E34" s="2" t="s">
        <v>4654</v>
      </c>
      <c r="F34" s="2" t="s">
        <v>79</v>
      </c>
      <c r="G34" s="2">
        <v>31.699200000000001</v>
      </c>
      <c r="H34" s="2" t="s">
        <v>4644</v>
      </c>
      <c r="I34" s="2" t="s">
        <v>4645</v>
      </c>
      <c r="J34" s="2" t="s">
        <v>4650</v>
      </c>
      <c r="K34" s="2">
        <v>30</v>
      </c>
      <c r="L34" s="2" t="s">
        <v>4647</v>
      </c>
    </row>
    <row r="35" spans="1:12" ht="33.75" customHeight="1" x14ac:dyDescent="0.25">
      <c r="A35" s="14" t="s">
        <v>141</v>
      </c>
      <c r="B35" s="3" t="s">
        <v>142</v>
      </c>
      <c r="C35" s="3" t="s">
        <v>143</v>
      </c>
      <c r="D35" s="3" t="s">
        <v>4664</v>
      </c>
      <c r="E35" s="3" t="s">
        <v>4665</v>
      </c>
      <c r="F35" s="3" t="s">
        <v>144</v>
      </c>
      <c r="G35" s="3"/>
      <c r="H35" s="3" t="s">
        <v>4666</v>
      </c>
      <c r="I35" s="3" t="s">
        <v>4667</v>
      </c>
      <c r="J35" s="3" t="s">
        <v>4657</v>
      </c>
      <c r="K35" s="3">
        <v>12</v>
      </c>
      <c r="L35" s="3" t="s">
        <v>4668</v>
      </c>
    </row>
    <row r="36" spans="1:12" ht="33.75" customHeight="1" x14ac:dyDescent="0.25">
      <c r="A36" s="13" t="s">
        <v>147</v>
      </c>
      <c r="B36" s="2" t="s">
        <v>142</v>
      </c>
      <c r="C36" s="2" t="s">
        <v>148</v>
      </c>
      <c r="D36" s="2" t="s">
        <v>4664</v>
      </c>
      <c r="E36" s="2" t="s">
        <v>4665</v>
      </c>
      <c r="F36" s="2" t="s">
        <v>144</v>
      </c>
      <c r="G36" s="2"/>
      <c r="H36" s="2" t="s">
        <v>4666</v>
      </c>
      <c r="I36" s="2" t="s">
        <v>4667</v>
      </c>
      <c r="J36" s="2" t="s">
        <v>4656</v>
      </c>
      <c r="K36" s="2">
        <v>12</v>
      </c>
      <c r="L36" s="2" t="s">
        <v>4668</v>
      </c>
    </row>
    <row r="37" spans="1:12" ht="33.75" customHeight="1" x14ac:dyDescent="0.25">
      <c r="A37" s="14" t="s">
        <v>149</v>
      </c>
      <c r="B37" s="3" t="s">
        <v>142</v>
      </c>
      <c r="C37" s="3" t="s">
        <v>150</v>
      </c>
      <c r="D37" s="3" t="s">
        <v>4669</v>
      </c>
      <c r="E37" s="3" t="s">
        <v>4665</v>
      </c>
      <c r="F37" s="3" t="s">
        <v>144</v>
      </c>
      <c r="G37" s="3"/>
      <c r="H37" s="3" t="s">
        <v>4666</v>
      </c>
      <c r="I37" s="3" t="s">
        <v>4667</v>
      </c>
      <c r="J37" s="3" t="s">
        <v>4656</v>
      </c>
      <c r="K37" s="3">
        <v>12</v>
      </c>
      <c r="L37" s="3" t="s">
        <v>4668</v>
      </c>
    </row>
    <row r="38" spans="1:12" ht="33.75" customHeight="1" x14ac:dyDescent="0.25">
      <c r="A38" s="13" t="s">
        <v>151</v>
      </c>
      <c r="B38" s="2" t="s">
        <v>142</v>
      </c>
      <c r="C38" s="2" t="s">
        <v>152</v>
      </c>
      <c r="D38" s="2" t="s">
        <v>4669</v>
      </c>
      <c r="E38" s="2" t="s">
        <v>4665</v>
      </c>
      <c r="F38" s="2" t="s">
        <v>144</v>
      </c>
      <c r="G38" s="2"/>
      <c r="H38" s="2" t="s">
        <v>4666</v>
      </c>
      <c r="I38" s="2" t="s">
        <v>4667</v>
      </c>
      <c r="J38" s="2" t="s">
        <v>4656</v>
      </c>
      <c r="K38" s="2">
        <v>12</v>
      </c>
      <c r="L38" s="2" t="s">
        <v>4668</v>
      </c>
    </row>
    <row r="39" spans="1:12" ht="33.75" customHeight="1" x14ac:dyDescent="0.25">
      <c r="A39" s="14" t="s">
        <v>153</v>
      </c>
      <c r="B39" s="3" t="s">
        <v>112</v>
      </c>
      <c r="C39" s="3" t="s">
        <v>154</v>
      </c>
      <c r="D39" s="3"/>
      <c r="E39" s="3" t="s">
        <v>4660</v>
      </c>
      <c r="F39" s="3" t="s">
        <v>114</v>
      </c>
      <c r="G39" s="3">
        <v>30.7682</v>
      </c>
      <c r="H39" s="3" t="s">
        <v>4644</v>
      </c>
      <c r="I39" s="3" t="s">
        <v>4645</v>
      </c>
      <c r="J39" s="3" t="s">
        <v>4652</v>
      </c>
      <c r="K39" s="3">
        <v>21</v>
      </c>
      <c r="L39" s="3" t="s">
        <v>4647</v>
      </c>
    </row>
    <row r="40" spans="1:12" ht="33.75" customHeight="1" x14ac:dyDescent="0.25">
      <c r="A40" s="13" t="s">
        <v>155</v>
      </c>
      <c r="B40" s="2" t="s">
        <v>156</v>
      </c>
      <c r="C40" s="2" t="s">
        <v>157</v>
      </c>
      <c r="D40" s="2"/>
      <c r="E40" s="2" t="s">
        <v>4670</v>
      </c>
      <c r="F40" s="2" t="s">
        <v>158</v>
      </c>
      <c r="G40" s="2">
        <v>30.987200000000001</v>
      </c>
      <c r="H40" s="2" t="s">
        <v>4644</v>
      </c>
      <c r="I40" s="2" t="s">
        <v>4645</v>
      </c>
      <c r="J40" s="2" t="s">
        <v>4646</v>
      </c>
      <c r="K40" s="2">
        <v>18</v>
      </c>
      <c r="L40" s="2" t="s">
        <v>4647</v>
      </c>
    </row>
    <row r="41" spans="1:12" ht="33.75" customHeight="1" x14ac:dyDescent="0.25">
      <c r="A41" s="14" t="s">
        <v>159</v>
      </c>
      <c r="B41" s="3" t="s">
        <v>160</v>
      </c>
      <c r="C41" s="3" t="s">
        <v>161</v>
      </c>
      <c r="D41" s="3" t="s">
        <v>4671</v>
      </c>
      <c r="E41" s="3" t="s">
        <v>4672</v>
      </c>
      <c r="F41" s="3" t="s">
        <v>162</v>
      </c>
      <c r="G41" s="3">
        <v>30.14864</v>
      </c>
      <c r="H41" s="3" t="s">
        <v>4644</v>
      </c>
      <c r="I41" s="3" t="s">
        <v>4645</v>
      </c>
      <c r="J41" s="3" t="s">
        <v>4656</v>
      </c>
      <c r="K41" s="3">
        <v>36</v>
      </c>
      <c r="L41" s="3" t="s">
        <v>4668</v>
      </c>
    </row>
    <row r="42" spans="1:12" ht="33.75" customHeight="1" x14ac:dyDescent="0.25">
      <c r="A42" s="13" t="s">
        <v>163</v>
      </c>
      <c r="B42" s="2" t="s">
        <v>142</v>
      </c>
      <c r="C42" s="2" t="s">
        <v>164</v>
      </c>
      <c r="D42" s="2" t="s">
        <v>4669</v>
      </c>
      <c r="E42" s="2" t="s">
        <v>4673</v>
      </c>
      <c r="F42" s="2" t="s">
        <v>144</v>
      </c>
      <c r="G42" s="2"/>
      <c r="H42" s="2" t="s">
        <v>4666</v>
      </c>
      <c r="I42" s="2" t="s">
        <v>4667</v>
      </c>
      <c r="J42" s="2" t="s">
        <v>4646</v>
      </c>
      <c r="K42" s="2">
        <v>4</v>
      </c>
      <c r="L42" s="2" t="s">
        <v>4668</v>
      </c>
    </row>
    <row r="43" spans="1:12" ht="33.75" customHeight="1" x14ac:dyDescent="0.25">
      <c r="A43" s="14" t="s">
        <v>165</v>
      </c>
      <c r="B43" s="3" t="s">
        <v>142</v>
      </c>
      <c r="C43" s="3" t="s">
        <v>166</v>
      </c>
      <c r="D43" s="3" t="s">
        <v>4674</v>
      </c>
      <c r="E43" s="3" t="s">
        <v>4673</v>
      </c>
      <c r="F43" s="3" t="s">
        <v>144</v>
      </c>
      <c r="G43" s="3"/>
      <c r="H43" s="3" t="s">
        <v>4666</v>
      </c>
      <c r="I43" s="3" t="s">
        <v>4667</v>
      </c>
      <c r="J43" s="3" t="s">
        <v>4646</v>
      </c>
      <c r="K43" s="3">
        <v>4</v>
      </c>
      <c r="L43" s="3" t="s">
        <v>4668</v>
      </c>
    </row>
    <row r="44" spans="1:12" ht="33.75" customHeight="1" x14ac:dyDescent="0.25">
      <c r="A44" s="13" t="s">
        <v>167</v>
      </c>
      <c r="B44" s="2" t="s">
        <v>142</v>
      </c>
      <c r="C44" s="2" t="s">
        <v>168</v>
      </c>
      <c r="D44" s="2" t="s">
        <v>4674</v>
      </c>
      <c r="E44" s="2" t="s">
        <v>4673</v>
      </c>
      <c r="F44" s="2" t="s">
        <v>144</v>
      </c>
      <c r="G44" s="2"/>
      <c r="H44" s="2" t="s">
        <v>4666</v>
      </c>
      <c r="I44" s="2" t="s">
        <v>4667</v>
      </c>
      <c r="J44" s="2" t="s">
        <v>4646</v>
      </c>
      <c r="K44" s="2">
        <v>4</v>
      </c>
      <c r="L44" s="2" t="s">
        <v>4668</v>
      </c>
    </row>
    <row r="45" spans="1:12" ht="33.75" customHeight="1" x14ac:dyDescent="0.25">
      <c r="A45" s="14" t="s">
        <v>169</v>
      </c>
      <c r="B45" s="3" t="s">
        <v>142</v>
      </c>
      <c r="C45" s="3" t="s">
        <v>170</v>
      </c>
      <c r="D45" s="3" t="s">
        <v>4674</v>
      </c>
      <c r="E45" s="3" t="s">
        <v>4675</v>
      </c>
      <c r="F45" s="3" t="s">
        <v>144</v>
      </c>
      <c r="G45" s="3"/>
      <c r="H45" s="3" t="s">
        <v>4666</v>
      </c>
      <c r="I45" s="3" t="s">
        <v>4667</v>
      </c>
      <c r="J45" s="3" t="s">
        <v>4652</v>
      </c>
      <c r="K45" s="3">
        <v>6</v>
      </c>
      <c r="L45" s="3" t="s">
        <v>4668</v>
      </c>
    </row>
    <row r="46" spans="1:12" ht="33.75" customHeight="1" x14ac:dyDescent="0.25">
      <c r="A46" s="13" t="s">
        <v>171</v>
      </c>
      <c r="B46" s="2" t="s">
        <v>142</v>
      </c>
      <c r="C46" s="2" t="s">
        <v>172</v>
      </c>
      <c r="D46" s="2" t="s">
        <v>4674</v>
      </c>
      <c r="E46" s="2" t="s">
        <v>4675</v>
      </c>
      <c r="F46" s="2" t="s">
        <v>144</v>
      </c>
      <c r="G46" s="2"/>
      <c r="H46" s="2" t="s">
        <v>4666</v>
      </c>
      <c r="I46" s="2" t="s">
        <v>4667</v>
      </c>
      <c r="J46" s="2" t="s">
        <v>4652</v>
      </c>
      <c r="K46" s="2">
        <v>6</v>
      </c>
      <c r="L46" s="2" t="s">
        <v>4668</v>
      </c>
    </row>
    <row r="47" spans="1:12" ht="33.75" customHeight="1" x14ac:dyDescent="0.25">
      <c r="A47" s="14" t="s">
        <v>173</v>
      </c>
      <c r="B47" s="3" t="s">
        <v>142</v>
      </c>
      <c r="C47" s="3" t="s">
        <v>174</v>
      </c>
      <c r="D47" s="3" t="s">
        <v>4676</v>
      </c>
      <c r="E47" s="3" t="s">
        <v>4665</v>
      </c>
      <c r="F47" s="3" t="s">
        <v>144</v>
      </c>
      <c r="G47" s="3"/>
      <c r="H47" s="3" t="s">
        <v>4666</v>
      </c>
      <c r="I47" s="3" t="s">
        <v>4667</v>
      </c>
      <c r="J47" s="3" t="s">
        <v>4656</v>
      </c>
      <c r="K47" s="3">
        <v>12</v>
      </c>
      <c r="L47" s="3" t="s">
        <v>4668</v>
      </c>
    </row>
    <row r="48" spans="1:12" ht="33.75" customHeight="1" x14ac:dyDescent="0.25">
      <c r="A48" s="13" t="s">
        <v>175</v>
      </c>
      <c r="B48" s="2" t="s">
        <v>142</v>
      </c>
      <c r="C48" s="2" t="s">
        <v>176</v>
      </c>
      <c r="D48" s="2" t="s">
        <v>4676</v>
      </c>
      <c r="E48" s="2" t="s">
        <v>4665</v>
      </c>
      <c r="F48" s="2" t="s">
        <v>144</v>
      </c>
      <c r="G48" s="2"/>
      <c r="H48" s="2" t="s">
        <v>4666</v>
      </c>
      <c r="I48" s="2" t="s">
        <v>4667</v>
      </c>
      <c r="J48" s="2" t="s">
        <v>4656</v>
      </c>
      <c r="K48" s="2">
        <v>12</v>
      </c>
      <c r="L48" s="2" t="s">
        <v>4668</v>
      </c>
    </row>
    <row r="49" spans="1:12" ht="33.75" customHeight="1" x14ac:dyDescent="0.25">
      <c r="A49" s="14" t="s">
        <v>177</v>
      </c>
      <c r="B49" s="3" t="s">
        <v>178</v>
      </c>
      <c r="C49" s="3" t="s">
        <v>179</v>
      </c>
      <c r="D49" s="3" t="s">
        <v>4671</v>
      </c>
      <c r="E49" s="3" t="s">
        <v>4677</v>
      </c>
      <c r="F49" s="3" t="s">
        <v>180</v>
      </c>
      <c r="G49" s="3">
        <v>28.922239999999999</v>
      </c>
      <c r="H49" s="3" t="s">
        <v>4644</v>
      </c>
      <c r="I49" s="3" t="s">
        <v>4645</v>
      </c>
      <c r="J49" s="3" t="s">
        <v>4650</v>
      </c>
      <c r="K49" s="3">
        <v>24</v>
      </c>
      <c r="L49" s="3" t="s">
        <v>4668</v>
      </c>
    </row>
    <row r="50" spans="1:12" ht="33.75" customHeight="1" x14ac:dyDescent="0.25">
      <c r="A50" s="13" t="s">
        <v>181</v>
      </c>
      <c r="B50" s="2" t="s">
        <v>182</v>
      </c>
      <c r="C50" s="2" t="s">
        <v>183</v>
      </c>
      <c r="D50" s="2" t="s">
        <v>4671</v>
      </c>
      <c r="E50" s="2" t="s">
        <v>4678</v>
      </c>
      <c r="F50" s="2" t="s">
        <v>184</v>
      </c>
      <c r="G50" s="2">
        <v>29.185759999999998</v>
      </c>
      <c r="H50" s="2" t="s">
        <v>4644</v>
      </c>
      <c r="I50" s="2" t="s">
        <v>4645</v>
      </c>
      <c r="J50" s="2" t="s">
        <v>4652</v>
      </c>
      <c r="K50" s="2">
        <v>21</v>
      </c>
      <c r="L50" s="2" t="s">
        <v>4668</v>
      </c>
    </row>
    <row r="51" spans="1:12" ht="33.75" customHeight="1" x14ac:dyDescent="0.25">
      <c r="A51" s="14" t="s">
        <v>185</v>
      </c>
      <c r="B51" s="3" t="s">
        <v>182</v>
      </c>
      <c r="C51" s="3" t="s">
        <v>186</v>
      </c>
      <c r="D51" s="3" t="s">
        <v>4671</v>
      </c>
      <c r="E51" s="3" t="s">
        <v>4678</v>
      </c>
      <c r="F51" s="3" t="s">
        <v>184</v>
      </c>
      <c r="G51" s="3">
        <v>29.185759999999998</v>
      </c>
      <c r="H51" s="3" t="s">
        <v>4644</v>
      </c>
      <c r="I51" s="3" t="s">
        <v>4645</v>
      </c>
      <c r="J51" s="3" t="s">
        <v>4652</v>
      </c>
      <c r="K51" s="3">
        <v>21</v>
      </c>
      <c r="L51" s="3" t="s">
        <v>4668</v>
      </c>
    </row>
    <row r="52" spans="1:12" ht="33.75" customHeight="1" x14ac:dyDescent="0.25">
      <c r="A52" s="13" t="s">
        <v>187</v>
      </c>
      <c r="B52" s="2" t="s">
        <v>188</v>
      </c>
      <c r="C52" s="2" t="s">
        <v>189</v>
      </c>
      <c r="D52" s="2" t="s">
        <v>4671</v>
      </c>
      <c r="E52" s="2" t="s">
        <v>4679</v>
      </c>
      <c r="F52" s="2" t="s">
        <v>190</v>
      </c>
      <c r="G52" s="2">
        <v>30.700399999999998</v>
      </c>
      <c r="H52" s="2" t="s">
        <v>4644</v>
      </c>
      <c r="I52" s="2" t="s">
        <v>4645</v>
      </c>
      <c r="J52" s="2" t="s">
        <v>4646</v>
      </c>
      <c r="K52" s="2">
        <v>18</v>
      </c>
      <c r="L52" s="2" t="s">
        <v>4647</v>
      </c>
    </row>
    <row r="53" spans="1:12" ht="33.75" customHeight="1" x14ac:dyDescent="0.25">
      <c r="A53" s="14" t="s">
        <v>191</v>
      </c>
      <c r="B53" s="3" t="s">
        <v>188</v>
      </c>
      <c r="C53" s="3" t="s">
        <v>192</v>
      </c>
      <c r="D53" s="3" t="s">
        <v>4671</v>
      </c>
      <c r="E53" s="3" t="s">
        <v>4679</v>
      </c>
      <c r="F53" s="3" t="s">
        <v>190</v>
      </c>
      <c r="G53" s="3">
        <v>30.700399999999998</v>
      </c>
      <c r="H53" s="3" t="s">
        <v>4644</v>
      </c>
      <c r="I53" s="3" t="s">
        <v>4645</v>
      </c>
      <c r="J53" s="3" t="s">
        <v>4646</v>
      </c>
      <c r="K53" s="3">
        <v>18</v>
      </c>
      <c r="L53" s="3" t="s">
        <v>4647</v>
      </c>
    </row>
    <row r="54" spans="1:12" ht="33.75" customHeight="1" x14ac:dyDescent="0.25">
      <c r="A54" s="13" t="s">
        <v>193</v>
      </c>
      <c r="B54" s="2" t="s">
        <v>142</v>
      </c>
      <c r="C54" s="2" t="s">
        <v>194</v>
      </c>
      <c r="D54" s="2" t="s">
        <v>4674</v>
      </c>
      <c r="E54" s="2" t="s">
        <v>4673</v>
      </c>
      <c r="F54" s="2" t="s">
        <v>144</v>
      </c>
      <c r="G54" s="2"/>
      <c r="H54" s="2" t="s">
        <v>4666</v>
      </c>
      <c r="I54" s="2" t="s">
        <v>4667</v>
      </c>
      <c r="J54" s="2" t="s">
        <v>4646</v>
      </c>
      <c r="K54" s="2">
        <v>4</v>
      </c>
      <c r="L54" s="2" t="s">
        <v>4668</v>
      </c>
    </row>
    <row r="55" spans="1:12" ht="33.75" customHeight="1" x14ac:dyDescent="0.25">
      <c r="A55" s="14" t="s">
        <v>195</v>
      </c>
      <c r="B55" s="3" t="s">
        <v>77</v>
      </c>
      <c r="C55" s="3" t="s">
        <v>196</v>
      </c>
      <c r="D55" s="3"/>
      <c r="E55" s="3" t="s">
        <v>4654</v>
      </c>
      <c r="F55" s="3" t="s">
        <v>79</v>
      </c>
      <c r="G55" s="3">
        <v>31.699200000000001</v>
      </c>
      <c r="H55" s="3" t="s">
        <v>4644</v>
      </c>
      <c r="I55" s="3" t="s">
        <v>4645</v>
      </c>
      <c r="J55" s="3" t="s">
        <v>4650</v>
      </c>
      <c r="K55" s="3">
        <v>30</v>
      </c>
      <c r="L55" s="3" t="s">
        <v>4647</v>
      </c>
    </row>
    <row r="56" spans="1:12" ht="33.75" customHeight="1" x14ac:dyDescent="0.25">
      <c r="A56" s="13" t="s">
        <v>197</v>
      </c>
      <c r="B56" s="2" t="s">
        <v>77</v>
      </c>
      <c r="C56" s="2" t="s">
        <v>198</v>
      </c>
      <c r="D56" s="2"/>
      <c r="E56" s="2" t="s">
        <v>4654</v>
      </c>
      <c r="F56" s="2" t="s">
        <v>79</v>
      </c>
      <c r="G56" s="2">
        <v>31.699200000000001</v>
      </c>
      <c r="H56" s="2" t="s">
        <v>4644</v>
      </c>
      <c r="I56" s="2" t="s">
        <v>4645</v>
      </c>
      <c r="J56" s="2" t="s">
        <v>4650</v>
      </c>
      <c r="K56" s="2">
        <v>30</v>
      </c>
      <c r="L56" s="2" t="s">
        <v>4647</v>
      </c>
    </row>
    <row r="57" spans="1:12" ht="33.75" customHeight="1" x14ac:dyDescent="0.25">
      <c r="A57" s="14" t="s">
        <v>199</v>
      </c>
      <c r="B57" s="3" t="s">
        <v>77</v>
      </c>
      <c r="C57" s="3" t="s">
        <v>200</v>
      </c>
      <c r="D57" s="3"/>
      <c r="E57" s="3" t="s">
        <v>4654</v>
      </c>
      <c r="F57" s="3" t="s">
        <v>79</v>
      </c>
      <c r="G57" s="3">
        <v>31.699200000000001</v>
      </c>
      <c r="H57" s="3" t="s">
        <v>4644</v>
      </c>
      <c r="I57" s="3" t="s">
        <v>4645</v>
      </c>
      <c r="J57" s="3" t="s">
        <v>4650</v>
      </c>
      <c r="K57" s="3">
        <v>30</v>
      </c>
      <c r="L57" s="3" t="s">
        <v>4647</v>
      </c>
    </row>
    <row r="58" spans="1:12" ht="33.75" customHeight="1" x14ac:dyDescent="0.25">
      <c r="A58" s="13" t="s">
        <v>201</v>
      </c>
      <c r="B58" s="2" t="s">
        <v>89</v>
      </c>
      <c r="C58" s="2" t="s">
        <v>202</v>
      </c>
      <c r="D58" s="2" t="s">
        <v>4658</v>
      </c>
      <c r="E58" s="2" t="s">
        <v>4659</v>
      </c>
      <c r="F58" s="2" t="s">
        <v>91</v>
      </c>
      <c r="G58" s="2">
        <v>32.389200000000002</v>
      </c>
      <c r="H58" s="2" t="s">
        <v>4644</v>
      </c>
      <c r="I58" s="2" t="s">
        <v>4645</v>
      </c>
      <c r="J58" s="2" t="s">
        <v>4652</v>
      </c>
      <c r="K58" s="2">
        <v>30</v>
      </c>
      <c r="L58" s="2" t="s">
        <v>4647</v>
      </c>
    </row>
    <row r="59" spans="1:12" ht="33.75" customHeight="1" x14ac:dyDescent="0.25">
      <c r="A59" s="14" t="s">
        <v>203</v>
      </c>
      <c r="B59" s="3" t="s">
        <v>89</v>
      </c>
      <c r="C59" s="3" t="s">
        <v>204</v>
      </c>
      <c r="D59" s="3"/>
      <c r="E59" s="3" t="s">
        <v>4659</v>
      </c>
      <c r="F59" s="3" t="s">
        <v>91</v>
      </c>
      <c r="G59" s="3">
        <v>32.389200000000002</v>
      </c>
      <c r="H59" s="3" t="s">
        <v>4644</v>
      </c>
      <c r="I59" s="3" t="s">
        <v>4645</v>
      </c>
      <c r="J59" s="3" t="s">
        <v>4652</v>
      </c>
      <c r="K59" s="3">
        <v>30</v>
      </c>
      <c r="L59" s="3" t="s">
        <v>4647</v>
      </c>
    </row>
    <row r="60" spans="1:12" ht="33.75" customHeight="1" x14ac:dyDescent="0.25">
      <c r="A60" s="13" t="s">
        <v>205</v>
      </c>
      <c r="B60" s="2" t="s">
        <v>89</v>
      </c>
      <c r="C60" s="2" t="s">
        <v>206</v>
      </c>
      <c r="D60" s="2" t="s">
        <v>4661</v>
      </c>
      <c r="E60" s="2" t="s">
        <v>4659</v>
      </c>
      <c r="F60" s="2" t="s">
        <v>91</v>
      </c>
      <c r="G60" s="2">
        <v>32.389200000000002</v>
      </c>
      <c r="H60" s="2" t="s">
        <v>4644</v>
      </c>
      <c r="I60" s="2" t="s">
        <v>4645</v>
      </c>
      <c r="J60" s="2" t="s">
        <v>4652</v>
      </c>
      <c r="K60" s="2">
        <v>30</v>
      </c>
      <c r="L60" s="2" t="s">
        <v>4647</v>
      </c>
    </row>
    <row r="61" spans="1:12" ht="33.75" customHeight="1" x14ac:dyDescent="0.25">
      <c r="A61" s="14" t="s">
        <v>207</v>
      </c>
      <c r="B61" s="3" t="s">
        <v>57</v>
      </c>
      <c r="C61" s="3" t="s">
        <v>208</v>
      </c>
      <c r="D61" s="3"/>
      <c r="E61" s="3" t="s">
        <v>4643</v>
      </c>
      <c r="F61" s="3" t="s">
        <v>59</v>
      </c>
      <c r="G61" s="3">
        <v>31.825199999999999</v>
      </c>
      <c r="H61" s="3" t="s">
        <v>4644</v>
      </c>
      <c r="I61" s="3" t="s">
        <v>4645</v>
      </c>
      <c r="J61" s="3" t="s">
        <v>4646</v>
      </c>
      <c r="K61" s="3">
        <v>21</v>
      </c>
      <c r="L61" s="3" t="s">
        <v>4647</v>
      </c>
    </row>
    <row r="62" spans="1:12" ht="33.75" customHeight="1" x14ac:dyDescent="0.25">
      <c r="A62" s="13" t="s">
        <v>209</v>
      </c>
      <c r="B62" s="2" t="s">
        <v>57</v>
      </c>
      <c r="C62" s="2" t="s">
        <v>210</v>
      </c>
      <c r="D62" s="2"/>
      <c r="E62" s="2" t="s">
        <v>4643</v>
      </c>
      <c r="F62" s="2" t="s">
        <v>59</v>
      </c>
      <c r="G62" s="2">
        <v>31.825199999999999</v>
      </c>
      <c r="H62" s="2" t="s">
        <v>4644</v>
      </c>
      <c r="I62" s="2" t="s">
        <v>4645</v>
      </c>
      <c r="J62" s="2" t="s">
        <v>4646</v>
      </c>
      <c r="K62" s="2">
        <v>21</v>
      </c>
      <c r="L62" s="2" t="s">
        <v>4647</v>
      </c>
    </row>
    <row r="63" spans="1:12" ht="33.75" customHeight="1" x14ac:dyDescent="0.25">
      <c r="A63" s="14" t="s">
        <v>211</v>
      </c>
      <c r="B63" s="3" t="s">
        <v>77</v>
      </c>
      <c r="C63" s="3" t="s">
        <v>212</v>
      </c>
      <c r="D63" s="3"/>
      <c r="E63" s="3" t="s">
        <v>4654</v>
      </c>
      <c r="F63" s="3" t="s">
        <v>79</v>
      </c>
      <c r="G63" s="3">
        <v>31.699200000000001</v>
      </c>
      <c r="H63" s="3" t="s">
        <v>4644</v>
      </c>
      <c r="I63" s="3" t="s">
        <v>4645</v>
      </c>
      <c r="J63" s="3" t="s">
        <v>4650</v>
      </c>
      <c r="K63" s="3">
        <v>30</v>
      </c>
      <c r="L63" s="3" t="s">
        <v>4647</v>
      </c>
    </row>
    <row r="64" spans="1:12" ht="33.75" customHeight="1" x14ac:dyDescent="0.25">
      <c r="A64" s="13" t="s">
        <v>213</v>
      </c>
      <c r="B64" s="2" t="s">
        <v>214</v>
      </c>
      <c r="C64" s="2" t="s">
        <v>215</v>
      </c>
      <c r="D64" s="2" t="s">
        <v>4680</v>
      </c>
      <c r="E64" s="2" t="s">
        <v>4681</v>
      </c>
      <c r="F64" s="2" t="s">
        <v>216</v>
      </c>
      <c r="G64" s="2">
        <v>27.839200000000002</v>
      </c>
      <c r="H64" s="2" t="s">
        <v>4644</v>
      </c>
      <c r="I64" s="2" t="s">
        <v>4645</v>
      </c>
      <c r="J64" s="2" t="s">
        <v>4682</v>
      </c>
      <c r="K64" s="2">
        <v>76</v>
      </c>
      <c r="L64" s="2" t="s">
        <v>4647</v>
      </c>
    </row>
    <row r="65" spans="1:12" ht="33.75" customHeight="1" x14ac:dyDescent="0.25">
      <c r="A65" s="14" t="s">
        <v>217</v>
      </c>
      <c r="B65" s="3" t="s">
        <v>218</v>
      </c>
      <c r="C65" s="3" t="s">
        <v>219</v>
      </c>
      <c r="D65" s="3" t="s">
        <v>4680</v>
      </c>
      <c r="E65" s="3" t="s">
        <v>4683</v>
      </c>
      <c r="F65" s="3" t="s">
        <v>220</v>
      </c>
      <c r="G65" s="3">
        <v>27.839200000000002</v>
      </c>
      <c r="H65" s="3" t="s">
        <v>4644</v>
      </c>
      <c r="I65" s="3" t="s">
        <v>4645</v>
      </c>
      <c r="J65" s="3" t="s">
        <v>4684</v>
      </c>
      <c r="K65" s="3">
        <v>68</v>
      </c>
      <c r="L65" s="3" t="s">
        <v>4647</v>
      </c>
    </row>
    <row r="66" spans="1:12" ht="33.75" customHeight="1" x14ac:dyDescent="0.25">
      <c r="A66" s="13" t="s">
        <v>221</v>
      </c>
      <c r="B66" s="2" t="s">
        <v>222</v>
      </c>
      <c r="C66" s="2" t="s">
        <v>223</v>
      </c>
      <c r="D66" s="2" t="s">
        <v>4680</v>
      </c>
      <c r="E66" s="2" t="s">
        <v>4685</v>
      </c>
      <c r="F66" s="2" t="s">
        <v>224</v>
      </c>
      <c r="G66" s="2">
        <v>27.839200000000002</v>
      </c>
      <c r="H66" s="2" t="s">
        <v>4644</v>
      </c>
      <c r="I66" s="2" t="s">
        <v>4645</v>
      </c>
      <c r="J66" s="2" t="s">
        <v>4686</v>
      </c>
      <c r="K66" s="2">
        <v>48</v>
      </c>
      <c r="L66" s="2" t="s">
        <v>4647</v>
      </c>
    </row>
    <row r="67" spans="1:12" ht="33.75" customHeight="1" x14ac:dyDescent="0.25">
      <c r="A67" s="14" t="s">
        <v>225</v>
      </c>
      <c r="B67" s="3" t="s">
        <v>226</v>
      </c>
      <c r="C67" s="3" t="s">
        <v>227</v>
      </c>
      <c r="D67" s="3" t="s">
        <v>4687</v>
      </c>
      <c r="E67" s="3" t="s">
        <v>4688</v>
      </c>
      <c r="F67" s="3" t="s">
        <v>228</v>
      </c>
      <c r="G67" s="3">
        <v>30.6632</v>
      </c>
      <c r="H67" s="3" t="s">
        <v>4644</v>
      </c>
      <c r="I67" s="3" t="s">
        <v>4645</v>
      </c>
      <c r="J67" s="3" t="s">
        <v>4650</v>
      </c>
      <c r="K67" s="3">
        <v>24</v>
      </c>
      <c r="L67" s="3" t="s">
        <v>4647</v>
      </c>
    </row>
    <row r="68" spans="1:12" ht="33.75" customHeight="1" x14ac:dyDescent="0.25">
      <c r="A68" s="13" t="s">
        <v>229</v>
      </c>
      <c r="B68" s="2" t="s">
        <v>112</v>
      </c>
      <c r="C68" s="2" t="s">
        <v>230</v>
      </c>
      <c r="D68" s="2" t="s">
        <v>4687</v>
      </c>
      <c r="E68" s="2" t="s">
        <v>4660</v>
      </c>
      <c r="F68" s="2" t="s">
        <v>114</v>
      </c>
      <c r="G68" s="2">
        <v>30.7682</v>
      </c>
      <c r="H68" s="2" t="s">
        <v>4644</v>
      </c>
      <c r="I68" s="2" t="s">
        <v>4645</v>
      </c>
      <c r="J68" s="2" t="s">
        <v>4652</v>
      </c>
      <c r="K68" s="2">
        <v>21</v>
      </c>
      <c r="L68" s="2" t="s">
        <v>4647</v>
      </c>
    </row>
    <row r="69" spans="1:12" ht="33.75" customHeight="1" x14ac:dyDescent="0.25">
      <c r="A69" s="14" t="s">
        <v>231</v>
      </c>
      <c r="B69" s="3" t="s">
        <v>57</v>
      </c>
      <c r="C69" s="3" t="s">
        <v>208</v>
      </c>
      <c r="D69" s="3"/>
      <c r="E69" s="3" t="s">
        <v>4643</v>
      </c>
      <c r="F69" s="3" t="s">
        <v>59</v>
      </c>
      <c r="G69" s="3">
        <v>31.825199999999999</v>
      </c>
      <c r="H69" s="3" t="s">
        <v>4644</v>
      </c>
      <c r="I69" s="3" t="s">
        <v>4645</v>
      </c>
      <c r="J69" s="3" t="s">
        <v>4646</v>
      </c>
      <c r="K69" s="3">
        <v>21</v>
      </c>
      <c r="L69" s="3" t="s">
        <v>4647</v>
      </c>
    </row>
    <row r="70" spans="1:12" ht="33.75" customHeight="1" x14ac:dyDescent="0.25">
      <c r="A70" s="13" t="s">
        <v>232</v>
      </c>
      <c r="B70" s="2" t="s">
        <v>77</v>
      </c>
      <c r="C70" s="2" t="s">
        <v>233</v>
      </c>
      <c r="D70" s="2"/>
      <c r="E70" s="2" t="s">
        <v>4654</v>
      </c>
      <c r="F70" s="2" t="s">
        <v>79</v>
      </c>
      <c r="G70" s="2">
        <v>31.699200000000001</v>
      </c>
      <c r="H70" s="2" t="s">
        <v>4644</v>
      </c>
      <c r="I70" s="2" t="s">
        <v>4645</v>
      </c>
      <c r="J70" s="2" t="s">
        <v>4650</v>
      </c>
      <c r="K70" s="2">
        <v>30</v>
      </c>
      <c r="L70" s="2" t="s">
        <v>4647</v>
      </c>
    </row>
    <row r="71" spans="1:12" ht="33.75" customHeight="1" x14ac:dyDescent="0.25">
      <c r="A71" s="14" t="s">
        <v>234</v>
      </c>
      <c r="B71" s="3" t="s">
        <v>120</v>
      </c>
      <c r="C71" s="3" t="s">
        <v>235</v>
      </c>
      <c r="D71" s="3" t="s">
        <v>4663</v>
      </c>
      <c r="E71" s="3" t="s">
        <v>4662</v>
      </c>
      <c r="F71" s="3" t="s">
        <v>122</v>
      </c>
      <c r="G71" s="3">
        <v>33.349800000000002</v>
      </c>
      <c r="H71" s="3" t="s">
        <v>4644</v>
      </c>
      <c r="I71" s="3" t="s">
        <v>4645</v>
      </c>
      <c r="J71" s="3" t="s">
        <v>4656</v>
      </c>
      <c r="K71" s="3">
        <v>45</v>
      </c>
      <c r="L71" s="3" t="s">
        <v>4647</v>
      </c>
    </row>
    <row r="72" spans="1:12" ht="33.75" customHeight="1" x14ac:dyDescent="0.25">
      <c r="A72" s="13" t="s">
        <v>236</v>
      </c>
      <c r="B72" s="2" t="s">
        <v>77</v>
      </c>
      <c r="C72" s="2" t="s">
        <v>237</v>
      </c>
      <c r="D72" s="2" t="s">
        <v>4663</v>
      </c>
      <c r="E72" s="2" t="s">
        <v>4654</v>
      </c>
      <c r="F72" s="2" t="s">
        <v>79</v>
      </c>
      <c r="G72" s="2">
        <v>31.699200000000001</v>
      </c>
      <c r="H72" s="2" t="s">
        <v>4644</v>
      </c>
      <c r="I72" s="2" t="s">
        <v>4645</v>
      </c>
      <c r="J72" s="2" t="s">
        <v>4650</v>
      </c>
      <c r="K72" s="2">
        <v>30</v>
      </c>
      <c r="L72" s="2" t="s">
        <v>4647</v>
      </c>
    </row>
    <row r="73" spans="1:12" ht="33.75" customHeight="1" x14ac:dyDescent="0.25">
      <c r="A73" s="14" t="s">
        <v>238</v>
      </c>
      <c r="B73" s="3" t="s">
        <v>77</v>
      </c>
      <c r="C73" s="3" t="s">
        <v>239</v>
      </c>
      <c r="D73" s="3" t="s">
        <v>4663</v>
      </c>
      <c r="E73" s="3" t="s">
        <v>4654</v>
      </c>
      <c r="F73" s="3" t="s">
        <v>79</v>
      </c>
      <c r="G73" s="3">
        <v>31.699200000000001</v>
      </c>
      <c r="H73" s="3" t="s">
        <v>4644</v>
      </c>
      <c r="I73" s="3" t="s">
        <v>4645</v>
      </c>
      <c r="J73" s="3" t="s">
        <v>4650</v>
      </c>
      <c r="K73" s="3">
        <v>30</v>
      </c>
      <c r="L73" s="3" t="s">
        <v>4647</v>
      </c>
    </row>
    <row r="74" spans="1:12" ht="33.75" customHeight="1" x14ac:dyDescent="0.25">
      <c r="A74" s="13" t="s">
        <v>240</v>
      </c>
      <c r="B74" s="2" t="s">
        <v>89</v>
      </c>
      <c r="C74" s="2" t="s">
        <v>241</v>
      </c>
      <c r="D74" s="2" t="s">
        <v>4663</v>
      </c>
      <c r="E74" s="2" t="s">
        <v>4659</v>
      </c>
      <c r="F74" s="2" t="s">
        <v>91</v>
      </c>
      <c r="G74" s="2">
        <v>32.389200000000002</v>
      </c>
      <c r="H74" s="2" t="s">
        <v>4644</v>
      </c>
      <c r="I74" s="2" t="s">
        <v>4645</v>
      </c>
      <c r="J74" s="2" t="s">
        <v>4652</v>
      </c>
      <c r="K74" s="2">
        <v>30</v>
      </c>
      <c r="L74" s="2" t="s">
        <v>4647</v>
      </c>
    </row>
    <row r="75" spans="1:12" ht="33.75" customHeight="1" x14ac:dyDescent="0.25">
      <c r="A75" s="14" t="s">
        <v>242</v>
      </c>
      <c r="B75" s="3" t="s">
        <v>77</v>
      </c>
      <c r="C75" s="3" t="s">
        <v>243</v>
      </c>
      <c r="D75" s="3" t="s">
        <v>4663</v>
      </c>
      <c r="E75" s="3" t="s">
        <v>4654</v>
      </c>
      <c r="F75" s="3" t="s">
        <v>79</v>
      </c>
      <c r="G75" s="3">
        <v>31.699200000000001</v>
      </c>
      <c r="H75" s="3" t="s">
        <v>4644</v>
      </c>
      <c r="I75" s="3" t="s">
        <v>4645</v>
      </c>
      <c r="J75" s="3" t="s">
        <v>4650</v>
      </c>
      <c r="K75" s="3">
        <v>30</v>
      </c>
      <c r="L75" s="3" t="s">
        <v>4647</v>
      </c>
    </row>
    <row r="76" spans="1:12" ht="33.75" customHeight="1" x14ac:dyDescent="0.25">
      <c r="A76" s="13" t="s">
        <v>244</v>
      </c>
      <c r="B76" s="2" t="s">
        <v>120</v>
      </c>
      <c r="C76" s="2" t="s">
        <v>245</v>
      </c>
      <c r="D76" s="2" t="s">
        <v>4663</v>
      </c>
      <c r="E76" s="2" t="s">
        <v>4662</v>
      </c>
      <c r="F76" s="2" t="s">
        <v>122</v>
      </c>
      <c r="G76" s="2">
        <v>33.349800000000002</v>
      </c>
      <c r="H76" s="2" t="s">
        <v>4644</v>
      </c>
      <c r="I76" s="2" t="s">
        <v>4645</v>
      </c>
      <c r="J76" s="2" t="s">
        <v>4656</v>
      </c>
      <c r="K76" s="2">
        <v>45</v>
      </c>
      <c r="L76" s="2" t="s">
        <v>4647</v>
      </c>
    </row>
    <row r="77" spans="1:12" ht="33.75" customHeight="1" x14ac:dyDescent="0.25">
      <c r="A77" s="14" t="s">
        <v>246</v>
      </c>
      <c r="B77" s="3" t="s">
        <v>89</v>
      </c>
      <c r="C77" s="3" t="s">
        <v>247</v>
      </c>
      <c r="D77" s="3" t="s">
        <v>4663</v>
      </c>
      <c r="E77" s="3" t="s">
        <v>4659</v>
      </c>
      <c r="F77" s="3" t="s">
        <v>91</v>
      </c>
      <c r="G77" s="3">
        <v>32.389200000000002</v>
      </c>
      <c r="H77" s="3" t="s">
        <v>4644</v>
      </c>
      <c r="I77" s="3" t="s">
        <v>4645</v>
      </c>
      <c r="J77" s="3" t="s">
        <v>4652</v>
      </c>
      <c r="K77" s="3">
        <v>30</v>
      </c>
      <c r="L77" s="3" t="s">
        <v>4647</v>
      </c>
    </row>
    <row r="78" spans="1:12" ht="33.75" customHeight="1" x14ac:dyDescent="0.25">
      <c r="A78" s="13" t="s">
        <v>248</v>
      </c>
      <c r="B78" s="2" t="s">
        <v>120</v>
      </c>
      <c r="C78" s="2" t="s">
        <v>249</v>
      </c>
      <c r="D78" s="2" t="s">
        <v>4663</v>
      </c>
      <c r="E78" s="2" t="s">
        <v>4662</v>
      </c>
      <c r="F78" s="2" t="s">
        <v>122</v>
      </c>
      <c r="G78" s="2">
        <v>33.349800000000002</v>
      </c>
      <c r="H78" s="2" t="s">
        <v>4644</v>
      </c>
      <c r="I78" s="2" t="s">
        <v>4645</v>
      </c>
      <c r="J78" s="2" t="s">
        <v>4656</v>
      </c>
      <c r="K78" s="2">
        <v>45</v>
      </c>
      <c r="L78" s="2" t="s">
        <v>4647</v>
      </c>
    </row>
    <row r="79" spans="1:12" ht="33.75" customHeight="1" x14ac:dyDescent="0.25">
      <c r="A79" s="14" t="s">
        <v>250</v>
      </c>
      <c r="B79" s="3" t="s">
        <v>57</v>
      </c>
      <c r="C79" s="3" t="s">
        <v>251</v>
      </c>
      <c r="D79" s="3" t="s">
        <v>4663</v>
      </c>
      <c r="E79" s="3" t="s">
        <v>4643</v>
      </c>
      <c r="F79" s="3" t="s">
        <v>59</v>
      </c>
      <c r="G79" s="3">
        <v>31.825199999999999</v>
      </c>
      <c r="H79" s="3" t="s">
        <v>4644</v>
      </c>
      <c r="I79" s="3" t="s">
        <v>4645</v>
      </c>
      <c r="J79" s="3" t="s">
        <v>4646</v>
      </c>
      <c r="K79" s="3">
        <v>21</v>
      </c>
      <c r="L79" s="3" t="s">
        <v>4647</v>
      </c>
    </row>
    <row r="80" spans="1:12" ht="33.75" customHeight="1" x14ac:dyDescent="0.25">
      <c r="A80" s="13" t="s">
        <v>252</v>
      </c>
      <c r="B80" s="2" t="s">
        <v>156</v>
      </c>
      <c r="C80" s="2" t="s">
        <v>253</v>
      </c>
      <c r="D80" s="2"/>
      <c r="E80" s="2" t="s">
        <v>4670</v>
      </c>
      <c r="F80" s="2" t="s">
        <v>158</v>
      </c>
      <c r="G80" s="2">
        <v>30.987200000000001</v>
      </c>
      <c r="H80" s="2" t="s">
        <v>4644</v>
      </c>
      <c r="I80" s="2" t="s">
        <v>4645</v>
      </c>
      <c r="J80" s="2" t="s">
        <v>4646</v>
      </c>
      <c r="K80" s="2">
        <v>18</v>
      </c>
      <c r="L80" s="2" t="s">
        <v>4647</v>
      </c>
    </row>
    <row r="81" spans="1:12" ht="33.75" customHeight="1" x14ac:dyDescent="0.25">
      <c r="A81" s="14" t="s">
        <v>254</v>
      </c>
      <c r="B81" s="3" t="s">
        <v>226</v>
      </c>
      <c r="C81" s="3" t="s">
        <v>255</v>
      </c>
      <c r="D81" s="3"/>
      <c r="E81" s="3" t="s">
        <v>4688</v>
      </c>
      <c r="F81" s="3" t="s">
        <v>228</v>
      </c>
      <c r="G81" s="3">
        <v>30.6632</v>
      </c>
      <c r="H81" s="3" t="s">
        <v>4644</v>
      </c>
      <c r="I81" s="3" t="s">
        <v>4645</v>
      </c>
      <c r="J81" s="3" t="s">
        <v>4650</v>
      </c>
      <c r="K81" s="3">
        <v>24</v>
      </c>
      <c r="L81" s="3" t="s">
        <v>4647</v>
      </c>
    </row>
    <row r="82" spans="1:12" ht="33.75" customHeight="1" x14ac:dyDescent="0.25">
      <c r="A82" s="13" t="s">
        <v>256</v>
      </c>
      <c r="B82" s="2" t="s">
        <v>142</v>
      </c>
      <c r="C82" s="2" t="s">
        <v>257</v>
      </c>
      <c r="D82" s="2" t="s">
        <v>4669</v>
      </c>
      <c r="E82" s="2" t="s">
        <v>4675</v>
      </c>
      <c r="F82" s="2" t="s">
        <v>144</v>
      </c>
      <c r="G82" s="2"/>
      <c r="H82" s="2" t="s">
        <v>4666</v>
      </c>
      <c r="I82" s="2" t="s">
        <v>4667</v>
      </c>
      <c r="J82" s="2" t="s">
        <v>4652</v>
      </c>
      <c r="K82" s="2">
        <v>6</v>
      </c>
      <c r="L82" s="2" t="s">
        <v>4668</v>
      </c>
    </row>
    <row r="83" spans="1:12" ht="33.75" customHeight="1" x14ac:dyDescent="0.25">
      <c r="A83" s="14" t="s">
        <v>258</v>
      </c>
      <c r="B83" s="3" t="s">
        <v>259</v>
      </c>
      <c r="C83" s="3" t="s">
        <v>260</v>
      </c>
      <c r="D83" s="3" t="s">
        <v>4689</v>
      </c>
      <c r="E83" s="3" t="s">
        <v>4690</v>
      </c>
      <c r="F83" s="3" t="s">
        <v>261</v>
      </c>
      <c r="G83" s="3">
        <v>27.018239999999999</v>
      </c>
      <c r="H83" s="3" t="s">
        <v>4644</v>
      </c>
      <c r="I83" s="3" t="s">
        <v>4645</v>
      </c>
      <c r="J83" s="3" t="s">
        <v>4691</v>
      </c>
      <c r="K83" s="3">
        <v>24</v>
      </c>
      <c r="L83" s="3" t="s">
        <v>4668</v>
      </c>
    </row>
    <row r="84" spans="1:12" ht="33.75" customHeight="1" x14ac:dyDescent="0.25">
      <c r="A84" s="13" t="s">
        <v>262</v>
      </c>
      <c r="B84" s="2" t="s">
        <v>142</v>
      </c>
      <c r="C84" s="2" t="s">
        <v>263</v>
      </c>
      <c r="D84" s="2" t="s">
        <v>4669</v>
      </c>
      <c r="E84" s="2" t="s">
        <v>4673</v>
      </c>
      <c r="F84" s="2" t="s">
        <v>144</v>
      </c>
      <c r="G84" s="2"/>
      <c r="H84" s="2" t="s">
        <v>4666</v>
      </c>
      <c r="I84" s="2" t="s">
        <v>4667</v>
      </c>
      <c r="J84" s="2" t="s">
        <v>4646</v>
      </c>
      <c r="K84" s="2">
        <v>4</v>
      </c>
      <c r="L84" s="2" t="s">
        <v>4668</v>
      </c>
    </row>
    <row r="85" spans="1:12" ht="33.75" customHeight="1" x14ac:dyDescent="0.25">
      <c r="A85" s="14" t="s">
        <v>264</v>
      </c>
      <c r="B85" s="3" t="s">
        <v>265</v>
      </c>
      <c r="C85" s="3" t="s">
        <v>266</v>
      </c>
      <c r="D85" s="3" t="s">
        <v>4680</v>
      </c>
      <c r="E85" s="3" t="s">
        <v>4692</v>
      </c>
      <c r="F85" s="3" t="s">
        <v>267</v>
      </c>
      <c r="G85" s="3">
        <v>27.839200000000002</v>
      </c>
      <c r="H85" s="3" t="s">
        <v>4644</v>
      </c>
      <c r="I85" s="3" t="s">
        <v>4645</v>
      </c>
      <c r="J85" s="3" t="s">
        <v>4693</v>
      </c>
      <c r="K85" s="3">
        <v>56</v>
      </c>
      <c r="L85" s="3" t="s">
        <v>4647</v>
      </c>
    </row>
    <row r="86" spans="1:12" ht="33.75" customHeight="1" x14ac:dyDescent="0.25">
      <c r="A86" s="13" t="s">
        <v>268</v>
      </c>
      <c r="B86" s="2" t="s">
        <v>142</v>
      </c>
      <c r="C86" s="2" t="s">
        <v>269</v>
      </c>
      <c r="D86" s="2" t="s">
        <v>4669</v>
      </c>
      <c r="E86" s="2" t="s">
        <v>4675</v>
      </c>
      <c r="F86" s="2" t="s">
        <v>144</v>
      </c>
      <c r="G86" s="2"/>
      <c r="H86" s="2" t="s">
        <v>4666</v>
      </c>
      <c r="I86" s="2" t="s">
        <v>4667</v>
      </c>
      <c r="J86" s="2" t="s">
        <v>4652</v>
      </c>
      <c r="K86" s="2">
        <v>6</v>
      </c>
      <c r="L86" s="2" t="s">
        <v>4668</v>
      </c>
    </row>
    <row r="87" spans="1:12" ht="33.75" customHeight="1" x14ac:dyDescent="0.25">
      <c r="A87" s="14" t="s">
        <v>270</v>
      </c>
      <c r="B87" s="3" t="s">
        <v>142</v>
      </c>
      <c r="C87" s="3" t="s">
        <v>271</v>
      </c>
      <c r="D87" s="3" t="s">
        <v>4669</v>
      </c>
      <c r="E87" s="3" t="s">
        <v>4673</v>
      </c>
      <c r="F87" s="3" t="s">
        <v>144</v>
      </c>
      <c r="G87" s="3"/>
      <c r="H87" s="3" t="s">
        <v>4666</v>
      </c>
      <c r="I87" s="3" t="s">
        <v>4667</v>
      </c>
      <c r="J87" s="3" t="s">
        <v>4646</v>
      </c>
      <c r="K87" s="3">
        <v>4</v>
      </c>
      <c r="L87" s="3" t="s">
        <v>4668</v>
      </c>
    </row>
    <row r="88" spans="1:12" ht="33.75" customHeight="1" x14ac:dyDescent="0.25">
      <c r="A88" s="13" t="s">
        <v>272</v>
      </c>
      <c r="B88" s="2" t="s">
        <v>273</v>
      </c>
      <c r="C88" s="2" t="s">
        <v>274</v>
      </c>
      <c r="D88" s="2"/>
      <c r="E88" s="2" t="s">
        <v>4694</v>
      </c>
      <c r="F88" s="2" t="s">
        <v>275</v>
      </c>
      <c r="G88" s="2">
        <v>30.084199999999999</v>
      </c>
      <c r="H88" s="2" t="s">
        <v>4644</v>
      </c>
      <c r="I88" s="2" t="s">
        <v>4645</v>
      </c>
      <c r="J88" s="2" t="s">
        <v>4695</v>
      </c>
      <c r="K88" s="2">
        <v>68</v>
      </c>
      <c r="L88" s="2" t="s">
        <v>4647</v>
      </c>
    </row>
    <row r="89" spans="1:12" ht="33.75" customHeight="1" x14ac:dyDescent="0.25">
      <c r="A89" s="14" t="s">
        <v>276</v>
      </c>
      <c r="B89" s="3" t="s">
        <v>277</v>
      </c>
      <c r="C89" s="3" t="s">
        <v>278</v>
      </c>
      <c r="D89" s="3"/>
      <c r="E89" s="3" t="s">
        <v>4696</v>
      </c>
      <c r="F89" s="3" t="s">
        <v>279</v>
      </c>
      <c r="G89" s="3">
        <v>29.7592</v>
      </c>
      <c r="H89" s="3" t="s">
        <v>4644</v>
      </c>
      <c r="I89" s="3" t="s">
        <v>4645</v>
      </c>
      <c r="J89" s="3" t="s">
        <v>4697</v>
      </c>
      <c r="K89" s="3">
        <v>48</v>
      </c>
      <c r="L89" s="3" t="s">
        <v>4647</v>
      </c>
    </row>
    <row r="90" spans="1:12" ht="33.75" customHeight="1" x14ac:dyDescent="0.25">
      <c r="A90" s="13" t="s">
        <v>280</v>
      </c>
      <c r="B90" s="2" t="s">
        <v>57</v>
      </c>
      <c r="C90" s="2" t="s">
        <v>281</v>
      </c>
      <c r="D90" s="2"/>
      <c r="E90" s="2" t="s">
        <v>4643</v>
      </c>
      <c r="F90" s="2" t="s">
        <v>59</v>
      </c>
      <c r="G90" s="2">
        <v>31.825199999999999</v>
      </c>
      <c r="H90" s="2" t="s">
        <v>4644</v>
      </c>
      <c r="I90" s="2" t="s">
        <v>4645</v>
      </c>
      <c r="J90" s="2" t="s">
        <v>4646</v>
      </c>
      <c r="K90" s="2">
        <v>21</v>
      </c>
      <c r="L90" s="2" t="s">
        <v>4647</v>
      </c>
    </row>
    <row r="91" spans="1:12" ht="33.75" customHeight="1" x14ac:dyDescent="0.25">
      <c r="A91" s="14" t="s">
        <v>282</v>
      </c>
      <c r="B91" s="3" t="s">
        <v>142</v>
      </c>
      <c r="C91" s="3" t="s">
        <v>283</v>
      </c>
      <c r="D91" s="3" t="s">
        <v>4669</v>
      </c>
      <c r="E91" s="3" t="s">
        <v>4673</v>
      </c>
      <c r="F91" s="3" t="s">
        <v>144</v>
      </c>
      <c r="G91" s="3"/>
      <c r="H91" s="3" t="s">
        <v>4666</v>
      </c>
      <c r="I91" s="3" t="s">
        <v>4667</v>
      </c>
      <c r="J91" s="3" t="s">
        <v>4646</v>
      </c>
      <c r="K91" s="3">
        <v>4</v>
      </c>
      <c r="L91" s="3" t="s">
        <v>4668</v>
      </c>
    </row>
    <row r="92" spans="1:12" ht="33.75" customHeight="1" x14ac:dyDescent="0.25">
      <c r="A92" s="13" t="s">
        <v>284</v>
      </c>
      <c r="B92" s="2" t="s">
        <v>83</v>
      </c>
      <c r="C92" s="2" t="s">
        <v>84</v>
      </c>
      <c r="D92" s="2" t="s">
        <v>4648</v>
      </c>
      <c r="E92" s="2" t="s">
        <v>4655</v>
      </c>
      <c r="F92" s="2" t="s">
        <v>85</v>
      </c>
      <c r="G92" s="2">
        <v>33.063000000000002</v>
      </c>
      <c r="H92" s="2" t="s">
        <v>4644</v>
      </c>
      <c r="I92" s="2" t="s">
        <v>4645</v>
      </c>
      <c r="J92" s="2" t="s">
        <v>4656</v>
      </c>
      <c r="K92" s="2">
        <v>45</v>
      </c>
      <c r="L92" s="2" t="s">
        <v>4647</v>
      </c>
    </row>
    <row r="93" spans="1:12" ht="33.75" customHeight="1" x14ac:dyDescent="0.25">
      <c r="A93" s="14" t="s">
        <v>285</v>
      </c>
      <c r="B93" s="3" t="s">
        <v>89</v>
      </c>
      <c r="C93" s="3" t="s">
        <v>286</v>
      </c>
      <c r="D93" s="3"/>
      <c r="E93" s="3" t="s">
        <v>4659</v>
      </c>
      <c r="F93" s="3" t="s">
        <v>91</v>
      </c>
      <c r="G93" s="3">
        <v>32.389200000000002</v>
      </c>
      <c r="H93" s="3" t="s">
        <v>4644</v>
      </c>
      <c r="I93" s="3" t="s">
        <v>4645</v>
      </c>
      <c r="J93" s="3" t="s">
        <v>4652</v>
      </c>
      <c r="K93" s="3">
        <v>30</v>
      </c>
      <c r="L93" s="3" t="s">
        <v>4647</v>
      </c>
    </row>
    <row r="94" spans="1:12" ht="33.75" customHeight="1" x14ac:dyDescent="0.25">
      <c r="A94" s="13" t="s">
        <v>287</v>
      </c>
      <c r="B94" s="2" t="s">
        <v>57</v>
      </c>
      <c r="C94" s="2" t="s">
        <v>288</v>
      </c>
      <c r="D94" s="2" t="s">
        <v>4698</v>
      </c>
      <c r="E94" s="2" t="s">
        <v>4643</v>
      </c>
      <c r="F94" s="2" t="s">
        <v>59</v>
      </c>
      <c r="G94" s="2">
        <v>31.825199999999999</v>
      </c>
      <c r="H94" s="2" t="s">
        <v>4644</v>
      </c>
      <c r="I94" s="2" t="s">
        <v>4645</v>
      </c>
      <c r="J94" s="2" t="s">
        <v>4646</v>
      </c>
      <c r="K94" s="2">
        <v>21</v>
      </c>
      <c r="L94" s="2" t="s">
        <v>4647</v>
      </c>
    </row>
    <row r="95" spans="1:12" ht="33.75" customHeight="1" x14ac:dyDescent="0.25">
      <c r="A95" s="14" t="s">
        <v>289</v>
      </c>
      <c r="B95" s="3" t="s">
        <v>77</v>
      </c>
      <c r="C95" s="3" t="s">
        <v>290</v>
      </c>
      <c r="D95" s="3" t="s">
        <v>4698</v>
      </c>
      <c r="E95" s="3" t="s">
        <v>4654</v>
      </c>
      <c r="F95" s="3" t="s">
        <v>79</v>
      </c>
      <c r="G95" s="3">
        <v>31.699200000000001</v>
      </c>
      <c r="H95" s="3" t="s">
        <v>4644</v>
      </c>
      <c r="I95" s="3" t="s">
        <v>4645</v>
      </c>
      <c r="J95" s="3" t="s">
        <v>4650</v>
      </c>
      <c r="K95" s="3">
        <v>30</v>
      </c>
      <c r="L95" s="3" t="s">
        <v>4647</v>
      </c>
    </row>
    <row r="96" spans="1:12" ht="33.75" customHeight="1" x14ac:dyDescent="0.25">
      <c r="A96" s="13" t="s">
        <v>291</v>
      </c>
      <c r="B96" s="2" t="s">
        <v>292</v>
      </c>
      <c r="C96" s="2" t="s">
        <v>293</v>
      </c>
      <c r="D96" s="2" t="s">
        <v>4699</v>
      </c>
      <c r="E96" s="2" t="s">
        <v>4700</v>
      </c>
      <c r="F96" s="2" t="s">
        <v>294</v>
      </c>
      <c r="G96" s="2">
        <v>27.526</v>
      </c>
      <c r="H96" s="2" t="s">
        <v>4644</v>
      </c>
      <c r="I96" s="2" t="s">
        <v>4645</v>
      </c>
      <c r="J96" s="2" t="s">
        <v>4691</v>
      </c>
      <c r="K96" s="2">
        <v>12</v>
      </c>
      <c r="L96" s="2" t="s">
        <v>4647</v>
      </c>
    </row>
    <row r="97" spans="1:12" ht="33.75" customHeight="1" x14ac:dyDescent="0.25">
      <c r="A97" s="14" t="s">
        <v>295</v>
      </c>
      <c r="B97" s="3" t="s">
        <v>83</v>
      </c>
      <c r="C97" s="3" t="s">
        <v>296</v>
      </c>
      <c r="D97" s="3" t="s">
        <v>4648</v>
      </c>
      <c r="E97" s="3" t="s">
        <v>4655</v>
      </c>
      <c r="F97" s="3" t="s">
        <v>85</v>
      </c>
      <c r="G97" s="3">
        <v>33.063000000000002</v>
      </c>
      <c r="H97" s="3" t="s">
        <v>4644</v>
      </c>
      <c r="I97" s="3" t="s">
        <v>4645</v>
      </c>
      <c r="J97" s="3" t="s">
        <v>4656</v>
      </c>
      <c r="K97" s="3">
        <v>45</v>
      </c>
      <c r="L97" s="3" t="s">
        <v>4647</v>
      </c>
    </row>
    <row r="98" spans="1:12" ht="33.75" customHeight="1" x14ac:dyDescent="0.25">
      <c r="A98" s="13" t="s">
        <v>297</v>
      </c>
      <c r="B98" s="2" t="s">
        <v>120</v>
      </c>
      <c r="C98" s="2" t="s">
        <v>298</v>
      </c>
      <c r="D98" s="2" t="s">
        <v>4698</v>
      </c>
      <c r="E98" s="2" t="s">
        <v>4662</v>
      </c>
      <c r="F98" s="2" t="s">
        <v>122</v>
      </c>
      <c r="G98" s="2">
        <v>33.349800000000002</v>
      </c>
      <c r="H98" s="2" t="s">
        <v>4644</v>
      </c>
      <c r="I98" s="2" t="s">
        <v>4645</v>
      </c>
      <c r="J98" s="2" t="s">
        <v>4657</v>
      </c>
      <c r="K98" s="2">
        <v>45</v>
      </c>
      <c r="L98" s="2" t="s">
        <v>4647</v>
      </c>
    </row>
    <row r="99" spans="1:12" ht="33.75" customHeight="1" x14ac:dyDescent="0.25">
      <c r="A99" s="14" t="s">
        <v>299</v>
      </c>
      <c r="B99" s="3" t="s">
        <v>142</v>
      </c>
      <c r="C99" s="3" t="s">
        <v>300</v>
      </c>
      <c r="D99" s="3" t="s">
        <v>4674</v>
      </c>
      <c r="E99" s="3" t="s">
        <v>4665</v>
      </c>
      <c r="F99" s="3" t="s">
        <v>144</v>
      </c>
      <c r="G99" s="3"/>
      <c r="H99" s="3" t="s">
        <v>4666</v>
      </c>
      <c r="I99" s="3" t="s">
        <v>4667</v>
      </c>
      <c r="J99" s="3" t="s">
        <v>4691</v>
      </c>
      <c r="K99" s="3">
        <v>12</v>
      </c>
      <c r="L99" s="3" t="s">
        <v>4668</v>
      </c>
    </row>
    <row r="100" spans="1:12" ht="33.75" customHeight="1" x14ac:dyDescent="0.25">
      <c r="A100" s="13" t="s">
        <v>301</v>
      </c>
      <c r="B100" s="2" t="s">
        <v>142</v>
      </c>
      <c r="C100" s="2" t="s">
        <v>302</v>
      </c>
      <c r="D100" s="2" t="s">
        <v>4676</v>
      </c>
      <c r="E100" s="2" t="s">
        <v>4665</v>
      </c>
      <c r="F100" s="2" t="s">
        <v>144</v>
      </c>
      <c r="G100" s="2"/>
      <c r="H100" s="2" t="s">
        <v>4666</v>
      </c>
      <c r="I100" s="2" t="s">
        <v>4667</v>
      </c>
      <c r="J100" s="2" t="s">
        <v>4657</v>
      </c>
      <c r="K100" s="2">
        <v>12</v>
      </c>
      <c r="L100" s="2" t="s">
        <v>4668</v>
      </c>
    </row>
    <row r="101" spans="1:12" ht="33.75" customHeight="1" x14ac:dyDescent="0.25">
      <c r="A101" s="14" t="s">
        <v>303</v>
      </c>
      <c r="B101" s="3" t="s">
        <v>112</v>
      </c>
      <c r="C101" s="3" t="s">
        <v>304</v>
      </c>
      <c r="D101" s="3"/>
      <c r="E101" s="3" t="s">
        <v>4660</v>
      </c>
      <c r="F101" s="3" t="s">
        <v>114</v>
      </c>
      <c r="G101" s="3">
        <v>30.7682</v>
      </c>
      <c r="H101" s="3" t="s">
        <v>4644</v>
      </c>
      <c r="I101" s="3" t="s">
        <v>4645</v>
      </c>
      <c r="J101" s="3" t="s">
        <v>4652</v>
      </c>
      <c r="K101" s="3">
        <v>21</v>
      </c>
      <c r="L101" s="3" t="s">
        <v>4647</v>
      </c>
    </row>
    <row r="102" spans="1:12" ht="33.75" customHeight="1" x14ac:dyDescent="0.25">
      <c r="A102" s="13" t="s">
        <v>305</v>
      </c>
      <c r="B102" s="2" t="s">
        <v>57</v>
      </c>
      <c r="C102" s="2" t="s">
        <v>306</v>
      </c>
      <c r="D102" s="2"/>
      <c r="E102" s="2" t="s">
        <v>4643</v>
      </c>
      <c r="F102" s="2" t="s">
        <v>59</v>
      </c>
      <c r="G102" s="2">
        <v>31.825199999999999</v>
      </c>
      <c r="H102" s="2" t="s">
        <v>4644</v>
      </c>
      <c r="I102" s="2" t="s">
        <v>4645</v>
      </c>
      <c r="J102" s="2" t="s">
        <v>4646</v>
      </c>
      <c r="K102" s="2">
        <v>21</v>
      </c>
      <c r="L102" s="2" t="s">
        <v>4647</v>
      </c>
    </row>
    <row r="103" spans="1:12" ht="33.75" customHeight="1" x14ac:dyDescent="0.25">
      <c r="A103" s="14" t="s">
        <v>307</v>
      </c>
      <c r="B103" s="3" t="s">
        <v>57</v>
      </c>
      <c r="C103" s="3" t="s">
        <v>308</v>
      </c>
      <c r="D103" s="3" t="s">
        <v>4701</v>
      </c>
      <c r="E103" s="3" t="s">
        <v>4643</v>
      </c>
      <c r="F103" s="3" t="s">
        <v>59</v>
      </c>
      <c r="G103" s="3">
        <v>31.825199999999999</v>
      </c>
      <c r="H103" s="3" t="s">
        <v>4644</v>
      </c>
      <c r="I103" s="3" t="s">
        <v>4645</v>
      </c>
      <c r="J103" s="3" t="s">
        <v>4646</v>
      </c>
      <c r="K103" s="3">
        <v>21</v>
      </c>
      <c r="L103" s="3" t="s">
        <v>4647</v>
      </c>
    </row>
    <row r="104" spans="1:12" ht="33.75" customHeight="1" x14ac:dyDescent="0.25">
      <c r="A104" s="13" t="s">
        <v>309</v>
      </c>
      <c r="B104" s="2" t="s">
        <v>57</v>
      </c>
      <c r="C104" s="2" t="s">
        <v>310</v>
      </c>
      <c r="D104" s="2" t="s">
        <v>4701</v>
      </c>
      <c r="E104" s="2" t="s">
        <v>4643</v>
      </c>
      <c r="F104" s="2" t="s">
        <v>59</v>
      </c>
      <c r="G104" s="2">
        <v>31.825199999999999</v>
      </c>
      <c r="H104" s="2" t="s">
        <v>4644</v>
      </c>
      <c r="I104" s="2" t="s">
        <v>4645</v>
      </c>
      <c r="J104" s="2" t="s">
        <v>4646</v>
      </c>
      <c r="K104" s="2">
        <v>21</v>
      </c>
      <c r="L104" s="2" t="s">
        <v>4647</v>
      </c>
    </row>
    <row r="105" spans="1:12" ht="33.75" customHeight="1" x14ac:dyDescent="0.25">
      <c r="A105" s="14" t="s">
        <v>311</v>
      </c>
      <c r="B105" s="3" t="s">
        <v>57</v>
      </c>
      <c r="C105" s="3" t="s">
        <v>312</v>
      </c>
      <c r="D105" s="3" t="s">
        <v>4702</v>
      </c>
      <c r="E105" s="3" t="s">
        <v>4643</v>
      </c>
      <c r="F105" s="3" t="s">
        <v>59</v>
      </c>
      <c r="G105" s="3">
        <v>31.825199999999999</v>
      </c>
      <c r="H105" s="3" t="s">
        <v>4644</v>
      </c>
      <c r="I105" s="3" t="s">
        <v>4645</v>
      </c>
      <c r="J105" s="3" t="s">
        <v>4646</v>
      </c>
      <c r="K105" s="3">
        <v>21</v>
      </c>
      <c r="L105" s="3" t="s">
        <v>4647</v>
      </c>
    </row>
    <row r="106" spans="1:12" ht="33.75" customHeight="1" x14ac:dyDescent="0.25">
      <c r="A106" s="13" t="s">
        <v>313</v>
      </c>
      <c r="B106" s="2" t="s">
        <v>89</v>
      </c>
      <c r="C106" s="2" t="s">
        <v>314</v>
      </c>
      <c r="D106" s="2" t="s">
        <v>4701</v>
      </c>
      <c r="E106" s="2" t="s">
        <v>4659</v>
      </c>
      <c r="F106" s="2" t="s">
        <v>91</v>
      </c>
      <c r="G106" s="2">
        <v>32.389200000000002</v>
      </c>
      <c r="H106" s="2" t="s">
        <v>4644</v>
      </c>
      <c r="I106" s="2" t="s">
        <v>4645</v>
      </c>
      <c r="J106" s="2" t="s">
        <v>4652</v>
      </c>
      <c r="K106" s="2">
        <v>30</v>
      </c>
      <c r="L106" s="2" t="s">
        <v>4647</v>
      </c>
    </row>
    <row r="107" spans="1:12" ht="33.75" customHeight="1" x14ac:dyDescent="0.25">
      <c r="A107" s="14" t="s">
        <v>315</v>
      </c>
      <c r="B107" s="3" t="s">
        <v>89</v>
      </c>
      <c r="C107" s="3" t="s">
        <v>316</v>
      </c>
      <c r="D107" s="3" t="s">
        <v>4702</v>
      </c>
      <c r="E107" s="3" t="s">
        <v>4659</v>
      </c>
      <c r="F107" s="3" t="s">
        <v>91</v>
      </c>
      <c r="G107" s="3">
        <v>32.389200000000002</v>
      </c>
      <c r="H107" s="3" t="s">
        <v>4644</v>
      </c>
      <c r="I107" s="3" t="s">
        <v>4645</v>
      </c>
      <c r="J107" s="3" t="s">
        <v>4652</v>
      </c>
      <c r="K107" s="3">
        <v>30</v>
      </c>
      <c r="L107" s="3" t="s">
        <v>4647</v>
      </c>
    </row>
    <row r="108" spans="1:12" ht="33.75" customHeight="1" x14ac:dyDescent="0.25">
      <c r="A108" s="13" t="s">
        <v>317</v>
      </c>
      <c r="B108" s="2" t="s">
        <v>69</v>
      </c>
      <c r="C108" s="2" t="s">
        <v>318</v>
      </c>
      <c r="D108" s="2" t="s">
        <v>4703</v>
      </c>
      <c r="E108" s="2" t="s">
        <v>4651</v>
      </c>
      <c r="F108" s="2" t="s">
        <v>71</v>
      </c>
      <c r="G108" s="2">
        <v>32.102400000000003</v>
      </c>
      <c r="H108" s="2" t="s">
        <v>4644</v>
      </c>
      <c r="I108" s="2" t="s">
        <v>4645</v>
      </c>
      <c r="J108" s="2" t="s">
        <v>4652</v>
      </c>
      <c r="K108" s="2">
        <v>30</v>
      </c>
      <c r="L108" s="2" t="s">
        <v>4647</v>
      </c>
    </row>
    <row r="109" spans="1:12" ht="33.75" customHeight="1" x14ac:dyDescent="0.25">
      <c r="A109" s="14" t="s">
        <v>319</v>
      </c>
      <c r="B109" s="3" t="s">
        <v>69</v>
      </c>
      <c r="C109" s="3" t="s">
        <v>320</v>
      </c>
      <c r="D109" s="3" t="s">
        <v>4703</v>
      </c>
      <c r="E109" s="3" t="s">
        <v>4651</v>
      </c>
      <c r="F109" s="3" t="s">
        <v>71</v>
      </c>
      <c r="G109" s="3">
        <v>32.102400000000003</v>
      </c>
      <c r="H109" s="3" t="s">
        <v>4644</v>
      </c>
      <c r="I109" s="3" t="s">
        <v>4645</v>
      </c>
      <c r="J109" s="3" t="s">
        <v>4652</v>
      </c>
      <c r="K109" s="3">
        <v>30</v>
      </c>
      <c r="L109" s="3" t="s">
        <v>4647</v>
      </c>
    </row>
    <row r="110" spans="1:12" ht="33.75" customHeight="1" x14ac:dyDescent="0.25">
      <c r="A110" s="13" t="s">
        <v>321</v>
      </c>
      <c r="B110" s="2" t="s">
        <v>73</v>
      </c>
      <c r="C110" s="2" t="s">
        <v>322</v>
      </c>
      <c r="D110" s="2" t="s">
        <v>4703</v>
      </c>
      <c r="E110" s="2" t="s">
        <v>4653</v>
      </c>
      <c r="F110" s="2" t="s">
        <v>75</v>
      </c>
      <c r="G110" s="2">
        <v>31.538399999999999</v>
      </c>
      <c r="H110" s="2" t="s">
        <v>4644</v>
      </c>
      <c r="I110" s="2" t="s">
        <v>4645</v>
      </c>
      <c r="J110" s="2" t="s">
        <v>4646</v>
      </c>
      <c r="K110" s="2">
        <v>21</v>
      </c>
      <c r="L110" s="2" t="s">
        <v>4647</v>
      </c>
    </row>
    <row r="111" spans="1:12" ht="33.75" customHeight="1" x14ac:dyDescent="0.25">
      <c r="A111" s="14" t="s">
        <v>323</v>
      </c>
      <c r="B111" s="3" t="s">
        <v>324</v>
      </c>
      <c r="C111" s="3" t="s">
        <v>325</v>
      </c>
      <c r="D111" s="3" t="s">
        <v>4698</v>
      </c>
      <c r="E111" s="3" t="s">
        <v>4704</v>
      </c>
      <c r="F111" s="3" t="s">
        <v>326</v>
      </c>
      <c r="G111" s="3">
        <v>29.719200000000001</v>
      </c>
      <c r="H111" s="3" t="s">
        <v>4644</v>
      </c>
      <c r="I111" s="3" t="s">
        <v>4645</v>
      </c>
      <c r="J111" s="3" t="s">
        <v>4697</v>
      </c>
      <c r="K111" s="3">
        <v>45</v>
      </c>
      <c r="L111" s="3" t="s">
        <v>4647</v>
      </c>
    </row>
    <row r="112" spans="1:12" ht="33.75" customHeight="1" x14ac:dyDescent="0.25">
      <c r="A112" s="13" t="s">
        <v>327</v>
      </c>
      <c r="B112" s="2" t="s">
        <v>89</v>
      </c>
      <c r="C112" s="2" t="s">
        <v>328</v>
      </c>
      <c r="D112" s="2" t="s">
        <v>4705</v>
      </c>
      <c r="E112" s="2" t="s">
        <v>4659</v>
      </c>
      <c r="F112" s="2" t="s">
        <v>91</v>
      </c>
      <c r="G112" s="2">
        <v>32.389200000000002</v>
      </c>
      <c r="H112" s="2" t="s">
        <v>4644</v>
      </c>
      <c r="I112" s="2" t="s">
        <v>4645</v>
      </c>
      <c r="J112" s="2" t="s">
        <v>4652</v>
      </c>
      <c r="K112" s="2">
        <v>30</v>
      </c>
      <c r="L112" s="2" t="s">
        <v>4647</v>
      </c>
    </row>
    <row r="113" spans="1:12" ht="33.75" customHeight="1" x14ac:dyDescent="0.25">
      <c r="A113" s="14" t="s">
        <v>329</v>
      </c>
      <c r="B113" s="3" t="s">
        <v>57</v>
      </c>
      <c r="C113" s="3" t="s">
        <v>330</v>
      </c>
      <c r="D113" s="3" t="s">
        <v>4705</v>
      </c>
      <c r="E113" s="3" t="s">
        <v>4643</v>
      </c>
      <c r="F113" s="3" t="s">
        <v>59</v>
      </c>
      <c r="G113" s="3">
        <v>31.825199999999999</v>
      </c>
      <c r="H113" s="3" t="s">
        <v>4644</v>
      </c>
      <c r="I113" s="3" t="s">
        <v>4645</v>
      </c>
      <c r="J113" s="3" t="s">
        <v>4646</v>
      </c>
      <c r="K113" s="3">
        <v>21</v>
      </c>
      <c r="L113" s="3" t="s">
        <v>4647</v>
      </c>
    </row>
    <row r="114" spans="1:12" ht="33.75" customHeight="1" x14ac:dyDescent="0.25">
      <c r="A114" s="13" t="s">
        <v>331</v>
      </c>
      <c r="B114" s="2" t="s">
        <v>89</v>
      </c>
      <c r="C114" s="2" t="s">
        <v>332</v>
      </c>
      <c r="D114" s="2" t="s">
        <v>4698</v>
      </c>
      <c r="E114" s="2" t="s">
        <v>4659</v>
      </c>
      <c r="F114" s="2" t="s">
        <v>91</v>
      </c>
      <c r="G114" s="2">
        <v>32.389200000000002</v>
      </c>
      <c r="H114" s="2" t="s">
        <v>4644</v>
      </c>
      <c r="I114" s="2" t="s">
        <v>4645</v>
      </c>
      <c r="J114" s="2" t="s">
        <v>4652</v>
      </c>
      <c r="K114" s="2">
        <v>30</v>
      </c>
      <c r="L114" s="2" t="s">
        <v>4647</v>
      </c>
    </row>
    <row r="115" spans="1:12" ht="33.75" customHeight="1" x14ac:dyDescent="0.25">
      <c r="A115" s="14" t="s">
        <v>333</v>
      </c>
      <c r="B115" s="3" t="s">
        <v>334</v>
      </c>
      <c r="C115" s="3" t="s">
        <v>335</v>
      </c>
      <c r="D115" s="3" t="s">
        <v>4706</v>
      </c>
      <c r="E115" s="3" t="s">
        <v>4707</v>
      </c>
      <c r="F115" s="3" t="s">
        <v>336</v>
      </c>
      <c r="G115" s="3">
        <v>27.925999999999998</v>
      </c>
      <c r="H115" s="3" t="s">
        <v>4644</v>
      </c>
      <c r="I115" s="3" t="s">
        <v>4645</v>
      </c>
      <c r="J115" s="3" t="s">
        <v>4708</v>
      </c>
      <c r="K115" s="3">
        <v>72</v>
      </c>
      <c r="L115" s="3" t="s">
        <v>4647</v>
      </c>
    </row>
    <row r="116" spans="1:12" ht="33.75" customHeight="1" x14ac:dyDescent="0.25">
      <c r="A116" s="13" t="s">
        <v>337</v>
      </c>
      <c r="B116" s="2" t="s">
        <v>57</v>
      </c>
      <c r="C116" s="2" t="s">
        <v>338</v>
      </c>
      <c r="D116" s="2" t="s">
        <v>4658</v>
      </c>
      <c r="E116" s="2" t="s">
        <v>4643</v>
      </c>
      <c r="F116" s="2" t="s">
        <v>59</v>
      </c>
      <c r="G116" s="2">
        <v>31.825199999999999</v>
      </c>
      <c r="H116" s="2" t="s">
        <v>4644</v>
      </c>
      <c r="I116" s="2" t="s">
        <v>4645</v>
      </c>
      <c r="J116" s="2" t="s">
        <v>4646</v>
      </c>
      <c r="K116" s="2">
        <v>21</v>
      </c>
      <c r="L116" s="2" t="s">
        <v>4647</v>
      </c>
    </row>
    <row r="117" spans="1:12" ht="33.75" customHeight="1" x14ac:dyDescent="0.25">
      <c r="A117" s="14" t="s">
        <v>339</v>
      </c>
      <c r="B117" s="3" t="s">
        <v>340</v>
      </c>
      <c r="C117" s="3" t="s">
        <v>341</v>
      </c>
      <c r="D117" s="3" t="s">
        <v>4680</v>
      </c>
      <c r="E117" s="3" t="s">
        <v>4709</v>
      </c>
      <c r="F117" s="3" t="s">
        <v>342</v>
      </c>
      <c r="G117" s="3">
        <v>28.059200000000001</v>
      </c>
      <c r="H117" s="3" t="s">
        <v>4644</v>
      </c>
      <c r="I117" s="3" t="s">
        <v>4645</v>
      </c>
      <c r="J117" s="3" t="s">
        <v>4710</v>
      </c>
      <c r="K117" s="3">
        <v>96</v>
      </c>
      <c r="L117" s="3" t="s">
        <v>4647</v>
      </c>
    </row>
    <row r="118" spans="1:12" ht="33.75" customHeight="1" x14ac:dyDescent="0.25">
      <c r="A118" s="13" t="s">
        <v>343</v>
      </c>
      <c r="B118" s="2" t="s">
        <v>344</v>
      </c>
      <c r="C118" s="2" t="s">
        <v>345</v>
      </c>
      <c r="D118" s="2" t="s">
        <v>4711</v>
      </c>
      <c r="E118" s="2" t="s">
        <v>4712</v>
      </c>
      <c r="F118" s="2" t="s">
        <v>346</v>
      </c>
      <c r="G118" s="2">
        <v>30.781500000000001</v>
      </c>
      <c r="H118" s="2" t="s">
        <v>4644</v>
      </c>
      <c r="I118" s="2" t="s">
        <v>4645</v>
      </c>
      <c r="J118" s="2" t="s">
        <v>4652</v>
      </c>
      <c r="K118" s="2">
        <v>30</v>
      </c>
      <c r="L118" s="2" t="s">
        <v>4668</v>
      </c>
    </row>
    <row r="119" spans="1:12" ht="33.75" customHeight="1" x14ac:dyDescent="0.25">
      <c r="A119" s="14" t="s">
        <v>347</v>
      </c>
      <c r="B119" s="3" t="s">
        <v>348</v>
      </c>
      <c r="C119" s="3" t="s">
        <v>349</v>
      </c>
      <c r="D119" s="3" t="s">
        <v>4711</v>
      </c>
      <c r="E119" s="3" t="s">
        <v>4713</v>
      </c>
      <c r="F119" s="3" t="s">
        <v>350</v>
      </c>
      <c r="G119" s="3">
        <v>31.77318</v>
      </c>
      <c r="H119" s="3" t="s">
        <v>4644</v>
      </c>
      <c r="I119" s="3" t="s">
        <v>4645</v>
      </c>
      <c r="J119" s="3" t="s">
        <v>4646</v>
      </c>
      <c r="K119" s="3">
        <v>21</v>
      </c>
      <c r="L119" s="3" t="s">
        <v>4668</v>
      </c>
    </row>
    <row r="120" spans="1:12" ht="33.75" customHeight="1" x14ac:dyDescent="0.25">
      <c r="A120" s="13" t="s">
        <v>351</v>
      </c>
      <c r="B120" s="2" t="s">
        <v>273</v>
      </c>
      <c r="C120" s="2" t="s">
        <v>352</v>
      </c>
      <c r="D120" s="2" t="s">
        <v>4714</v>
      </c>
      <c r="E120" s="2" t="s">
        <v>4694</v>
      </c>
      <c r="F120" s="2" t="s">
        <v>275</v>
      </c>
      <c r="G120" s="2">
        <v>30.084199999999999</v>
      </c>
      <c r="H120" s="2" t="s">
        <v>4644</v>
      </c>
      <c r="I120" s="2" t="s">
        <v>4645</v>
      </c>
      <c r="J120" s="2" t="s">
        <v>4695</v>
      </c>
      <c r="K120" s="2">
        <v>68</v>
      </c>
      <c r="L120" s="2" t="s">
        <v>4647</v>
      </c>
    </row>
    <row r="121" spans="1:12" ht="33.75" customHeight="1" x14ac:dyDescent="0.25">
      <c r="A121" s="14" t="s">
        <v>353</v>
      </c>
      <c r="B121" s="3" t="s">
        <v>142</v>
      </c>
      <c r="C121" s="3" t="s">
        <v>354</v>
      </c>
      <c r="D121" s="3" t="s">
        <v>4674</v>
      </c>
      <c r="E121" s="3" t="s">
        <v>4673</v>
      </c>
      <c r="F121" s="3" t="s">
        <v>144</v>
      </c>
      <c r="G121" s="3"/>
      <c r="H121" s="3" t="s">
        <v>4666</v>
      </c>
      <c r="I121" s="3" t="s">
        <v>4667</v>
      </c>
      <c r="J121" s="3" t="s">
        <v>4646</v>
      </c>
      <c r="K121" s="3">
        <v>4</v>
      </c>
      <c r="L121" s="3" t="s">
        <v>4668</v>
      </c>
    </row>
    <row r="122" spans="1:12" ht="33.75" customHeight="1" x14ac:dyDescent="0.25">
      <c r="A122" s="13" t="s">
        <v>355</v>
      </c>
      <c r="B122" s="2" t="s">
        <v>356</v>
      </c>
      <c r="C122" s="2" t="s">
        <v>357</v>
      </c>
      <c r="D122" s="2" t="s">
        <v>4715</v>
      </c>
      <c r="E122" s="2" t="s">
        <v>4716</v>
      </c>
      <c r="F122" s="2" t="s">
        <v>358</v>
      </c>
      <c r="G122" s="2">
        <v>29.5992</v>
      </c>
      <c r="H122" s="2" t="s">
        <v>4644</v>
      </c>
      <c r="I122" s="2" t="s">
        <v>4645</v>
      </c>
      <c r="J122" s="2" t="s">
        <v>4691</v>
      </c>
      <c r="K122" s="2">
        <v>42</v>
      </c>
      <c r="L122" s="2" t="s">
        <v>4647</v>
      </c>
    </row>
    <row r="123" spans="1:12" ht="33.75" customHeight="1" x14ac:dyDescent="0.25">
      <c r="A123" s="14" t="s">
        <v>359</v>
      </c>
      <c r="B123" s="3" t="s">
        <v>83</v>
      </c>
      <c r="C123" s="3" t="s">
        <v>360</v>
      </c>
      <c r="D123" s="3" t="s">
        <v>4717</v>
      </c>
      <c r="E123" s="3" t="s">
        <v>4655</v>
      </c>
      <c r="F123" s="3" t="s">
        <v>85</v>
      </c>
      <c r="G123" s="3">
        <v>33.063000000000002</v>
      </c>
      <c r="H123" s="3" t="s">
        <v>4644</v>
      </c>
      <c r="I123" s="3" t="s">
        <v>4645</v>
      </c>
      <c r="J123" s="3" t="s">
        <v>4656</v>
      </c>
      <c r="K123" s="3">
        <v>45</v>
      </c>
      <c r="L123" s="3" t="s">
        <v>4647</v>
      </c>
    </row>
    <row r="124" spans="1:12" ht="33.75" customHeight="1" x14ac:dyDescent="0.25">
      <c r="A124" s="13" t="s">
        <v>361</v>
      </c>
      <c r="B124" s="2" t="s">
        <v>120</v>
      </c>
      <c r="C124" s="2" t="s">
        <v>362</v>
      </c>
      <c r="D124" s="2" t="s">
        <v>4664</v>
      </c>
      <c r="E124" s="2" t="s">
        <v>4662</v>
      </c>
      <c r="F124" s="2" t="s">
        <v>122</v>
      </c>
      <c r="G124" s="2">
        <v>33.349800000000002</v>
      </c>
      <c r="H124" s="2" t="s">
        <v>4644</v>
      </c>
      <c r="I124" s="2" t="s">
        <v>4645</v>
      </c>
      <c r="J124" s="2" t="s">
        <v>4657</v>
      </c>
      <c r="K124" s="2">
        <v>45</v>
      </c>
      <c r="L124" s="2" t="s">
        <v>4647</v>
      </c>
    </row>
    <row r="125" spans="1:12" ht="33.75" customHeight="1" x14ac:dyDescent="0.25">
      <c r="A125" s="14" t="s">
        <v>363</v>
      </c>
      <c r="B125" s="3" t="s">
        <v>120</v>
      </c>
      <c r="C125" s="3" t="s">
        <v>364</v>
      </c>
      <c r="D125" s="3" t="s">
        <v>4664</v>
      </c>
      <c r="E125" s="3" t="s">
        <v>4662</v>
      </c>
      <c r="F125" s="3" t="s">
        <v>122</v>
      </c>
      <c r="G125" s="3">
        <v>33.349800000000002</v>
      </c>
      <c r="H125" s="3" t="s">
        <v>4644</v>
      </c>
      <c r="I125" s="3" t="s">
        <v>4645</v>
      </c>
      <c r="J125" s="3" t="s">
        <v>4656</v>
      </c>
      <c r="K125" s="3">
        <v>45</v>
      </c>
      <c r="L125" s="3" t="s">
        <v>4647</v>
      </c>
    </row>
    <row r="126" spans="1:12" ht="33.75" customHeight="1" x14ac:dyDescent="0.25">
      <c r="A126" s="13" t="s">
        <v>365</v>
      </c>
      <c r="B126" s="2" t="s">
        <v>366</v>
      </c>
      <c r="C126" s="2" t="s">
        <v>367</v>
      </c>
      <c r="D126" s="2" t="s">
        <v>4714</v>
      </c>
      <c r="E126" s="2" t="s">
        <v>4718</v>
      </c>
      <c r="F126" s="2" t="s">
        <v>368</v>
      </c>
      <c r="G126" s="2">
        <v>32.983400000000003</v>
      </c>
      <c r="H126" s="2" t="s">
        <v>4644</v>
      </c>
      <c r="I126" s="2" t="s">
        <v>4645</v>
      </c>
      <c r="J126" s="2" t="s">
        <v>4719</v>
      </c>
      <c r="K126" s="2">
        <v>60</v>
      </c>
      <c r="L126" s="2" t="s">
        <v>4647</v>
      </c>
    </row>
    <row r="127" spans="1:12" ht="33.75" customHeight="1" x14ac:dyDescent="0.25">
      <c r="A127" s="14" t="s">
        <v>369</v>
      </c>
      <c r="B127" s="3" t="s">
        <v>277</v>
      </c>
      <c r="C127" s="3" t="s">
        <v>370</v>
      </c>
      <c r="D127" s="3" t="s">
        <v>4714</v>
      </c>
      <c r="E127" s="3" t="s">
        <v>4696</v>
      </c>
      <c r="F127" s="3" t="s">
        <v>279</v>
      </c>
      <c r="G127" s="3">
        <v>29.7592</v>
      </c>
      <c r="H127" s="3" t="s">
        <v>4644</v>
      </c>
      <c r="I127" s="3" t="s">
        <v>4645</v>
      </c>
      <c r="J127" s="3" t="s">
        <v>4697</v>
      </c>
      <c r="K127" s="3">
        <v>48</v>
      </c>
      <c r="L127" s="3" t="s">
        <v>4647</v>
      </c>
    </row>
    <row r="128" spans="1:12" ht="33.75" customHeight="1" x14ac:dyDescent="0.25">
      <c r="A128" s="13" t="s">
        <v>371</v>
      </c>
      <c r="B128" s="2" t="s">
        <v>372</v>
      </c>
      <c r="C128" s="2" t="s">
        <v>373</v>
      </c>
      <c r="D128" s="2" t="s">
        <v>4714</v>
      </c>
      <c r="E128" s="2" t="s">
        <v>4720</v>
      </c>
      <c r="F128" s="2" t="s">
        <v>374</v>
      </c>
      <c r="G128" s="2">
        <v>32.852400000000003</v>
      </c>
      <c r="H128" s="2" t="s">
        <v>4644</v>
      </c>
      <c r="I128" s="2" t="s">
        <v>4645</v>
      </c>
      <c r="J128" s="2" t="s">
        <v>4721</v>
      </c>
      <c r="K128" s="2">
        <v>48</v>
      </c>
      <c r="L128" s="2" t="s">
        <v>4647</v>
      </c>
    </row>
    <row r="129" spans="1:12" ht="33.75" customHeight="1" x14ac:dyDescent="0.25">
      <c r="A129" s="14" t="s">
        <v>375</v>
      </c>
      <c r="B129" s="3" t="s">
        <v>372</v>
      </c>
      <c r="C129" s="3" t="s">
        <v>376</v>
      </c>
      <c r="D129" s="3" t="s">
        <v>4714</v>
      </c>
      <c r="E129" s="3" t="s">
        <v>4720</v>
      </c>
      <c r="F129" s="3" t="s">
        <v>374</v>
      </c>
      <c r="G129" s="3">
        <v>32.852400000000003</v>
      </c>
      <c r="H129" s="3" t="s">
        <v>4644</v>
      </c>
      <c r="I129" s="3" t="s">
        <v>4645</v>
      </c>
      <c r="J129" s="3" t="s">
        <v>4721</v>
      </c>
      <c r="K129" s="3">
        <v>48</v>
      </c>
      <c r="L129" s="3" t="s">
        <v>4647</v>
      </c>
    </row>
    <row r="130" spans="1:12" ht="33.75" customHeight="1" x14ac:dyDescent="0.25">
      <c r="A130" s="13" t="s">
        <v>377</v>
      </c>
      <c r="B130" s="2" t="s">
        <v>378</v>
      </c>
      <c r="C130" s="2" t="s">
        <v>379</v>
      </c>
      <c r="D130" s="2" t="s">
        <v>4714</v>
      </c>
      <c r="E130" s="2" t="s">
        <v>4722</v>
      </c>
      <c r="F130" s="2" t="s">
        <v>380</v>
      </c>
      <c r="G130" s="2">
        <v>29.743200000000002</v>
      </c>
      <c r="H130" s="2" t="s">
        <v>4644</v>
      </c>
      <c r="I130" s="2" t="s">
        <v>4645</v>
      </c>
      <c r="J130" s="2" t="s">
        <v>4723</v>
      </c>
      <c r="K130" s="2">
        <v>56</v>
      </c>
      <c r="L130" s="2" t="s">
        <v>4647</v>
      </c>
    </row>
    <row r="131" spans="1:12" ht="33.75" customHeight="1" x14ac:dyDescent="0.25">
      <c r="A131" s="14" t="s">
        <v>381</v>
      </c>
      <c r="B131" s="3" t="s">
        <v>382</v>
      </c>
      <c r="C131" s="3" t="s">
        <v>383</v>
      </c>
      <c r="D131" s="3" t="s">
        <v>4724</v>
      </c>
      <c r="E131" s="3" t="s">
        <v>4725</v>
      </c>
      <c r="F131" s="3" t="s">
        <v>384</v>
      </c>
      <c r="G131" s="3">
        <v>35.3172</v>
      </c>
      <c r="H131" s="3" t="s">
        <v>4644</v>
      </c>
      <c r="I131" s="3" t="s">
        <v>4645</v>
      </c>
      <c r="J131" s="3" t="s">
        <v>4726</v>
      </c>
      <c r="K131" s="3">
        <v>96</v>
      </c>
      <c r="L131" s="3" t="s">
        <v>4647</v>
      </c>
    </row>
    <row r="132" spans="1:12" ht="33.75" customHeight="1" x14ac:dyDescent="0.25">
      <c r="A132" s="13" t="s">
        <v>385</v>
      </c>
      <c r="B132" s="2" t="s">
        <v>386</v>
      </c>
      <c r="C132" s="2" t="s">
        <v>387</v>
      </c>
      <c r="D132" s="2" t="s">
        <v>4724</v>
      </c>
      <c r="E132" s="2" t="s">
        <v>4727</v>
      </c>
      <c r="F132" s="2" t="s">
        <v>388</v>
      </c>
      <c r="G132" s="2">
        <v>33.783799999999999</v>
      </c>
      <c r="H132" s="2" t="s">
        <v>4644</v>
      </c>
      <c r="I132" s="2" t="s">
        <v>4645</v>
      </c>
      <c r="J132" s="2" t="s">
        <v>4721</v>
      </c>
      <c r="K132" s="2">
        <v>54</v>
      </c>
      <c r="L132" s="2" t="s">
        <v>4647</v>
      </c>
    </row>
    <row r="133" spans="1:12" ht="33.75" customHeight="1" x14ac:dyDescent="0.25">
      <c r="A133" s="14" t="s">
        <v>389</v>
      </c>
      <c r="B133" s="3" t="s">
        <v>390</v>
      </c>
      <c r="C133" s="3" t="s">
        <v>391</v>
      </c>
      <c r="D133" s="3" t="s">
        <v>4724</v>
      </c>
      <c r="E133" s="3" t="s">
        <v>4728</v>
      </c>
      <c r="F133" s="3" t="s">
        <v>392</v>
      </c>
      <c r="G133" s="3">
        <v>35.367600000000003</v>
      </c>
      <c r="H133" s="3" t="s">
        <v>4644</v>
      </c>
      <c r="I133" s="3" t="s">
        <v>4645</v>
      </c>
      <c r="J133" s="3" t="s">
        <v>4729</v>
      </c>
      <c r="K133" s="3">
        <v>120</v>
      </c>
      <c r="L133" s="3" t="s">
        <v>4647</v>
      </c>
    </row>
    <row r="134" spans="1:12" ht="33.75" customHeight="1" x14ac:dyDescent="0.25">
      <c r="A134" s="13" t="s">
        <v>393</v>
      </c>
      <c r="B134" s="2" t="s">
        <v>386</v>
      </c>
      <c r="C134" s="2" t="s">
        <v>394</v>
      </c>
      <c r="D134" s="2" t="s">
        <v>4724</v>
      </c>
      <c r="E134" s="2" t="s">
        <v>4727</v>
      </c>
      <c r="F134" s="2" t="s">
        <v>388</v>
      </c>
      <c r="G134" s="2">
        <v>33.783799999999999</v>
      </c>
      <c r="H134" s="2" t="s">
        <v>4644</v>
      </c>
      <c r="I134" s="2" t="s">
        <v>4645</v>
      </c>
      <c r="J134" s="2" t="s">
        <v>4721</v>
      </c>
      <c r="K134" s="2">
        <v>54</v>
      </c>
      <c r="L134" s="2" t="s">
        <v>4647</v>
      </c>
    </row>
    <row r="135" spans="1:12" ht="33.75" customHeight="1" x14ac:dyDescent="0.25">
      <c r="A135" s="14" t="s">
        <v>395</v>
      </c>
      <c r="B135" s="3" t="s">
        <v>386</v>
      </c>
      <c r="C135" s="3" t="s">
        <v>396</v>
      </c>
      <c r="D135" s="3" t="s">
        <v>4724</v>
      </c>
      <c r="E135" s="3" t="s">
        <v>4727</v>
      </c>
      <c r="F135" s="3" t="s">
        <v>388</v>
      </c>
      <c r="G135" s="3">
        <v>33.783799999999999</v>
      </c>
      <c r="H135" s="3" t="s">
        <v>4644</v>
      </c>
      <c r="I135" s="3" t="s">
        <v>4645</v>
      </c>
      <c r="J135" s="3" t="s">
        <v>4721</v>
      </c>
      <c r="K135" s="3">
        <v>54</v>
      </c>
      <c r="L135" s="3" t="s">
        <v>4647</v>
      </c>
    </row>
    <row r="136" spans="1:12" ht="33.75" customHeight="1" x14ac:dyDescent="0.25">
      <c r="A136" s="13" t="s">
        <v>397</v>
      </c>
      <c r="B136" s="2" t="s">
        <v>324</v>
      </c>
      <c r="C136" s="2" t="s">
        <v>398</v>
      </c>
      <c r="D136" s="2" t="s">
        <v>4724</v>
      </c>
      <c r="E136" s="2" t="s">
        <v>4704</v>
      </c>
      <c r="F136" s="2" t="s">
        <v>326</v>
      </c>
      <c r="G136" s="2">
        <v>29.719200000000001</v>
      </c>
      <c r="H136" s="2" t="s">
        <v>4644</v>
      </c>
      <c r="I136" s="2" t="s">
        <v>4645</v>
      </c>
      <c r="J136" s="2" t="s">
        <v>4697</v>
      </c>
      <c r="K136" s="2">
        <v>45</v>
      </c>
      <c r="L136" s="2" t="s">
        <v>4647</v>
      </c>
    </row>
    <row r="137" spans="1:12" ht="33.75" customHeight="1" x14ac:dyDescent="0.25">
      <c r="A137" s="14" t="s">
        <v>399</v>
      </c>
      <c r="B137" s="3" t="s">
        <v>400</v>
      </c>
      <c r="C137" s="3" t="s">
        <v>401</v>
      </c>
      <c r="D137" s="3" t="s">
        <v>4724</v>
      </c>
      <c r="E137" s="3" t="s">
        <v>4730</v>
      </c>
      <c r="F137" s="3" t="s">
        <v>402</v>
      </c>
      <c r="G137" s="3">
        <v>34.332239999999999</v>
      </c>
      <c r="H137" s="3" t="s">
        <v>4644</v>
      </c>
      <c r="I137" s="3" t="s">
        <v>4645</v>
      </c>
      <c r="J137" s="3" t="s">
        <v>4719</v>
      </c>
      <c r="K137" s="3">
        <v>72</v>
      </c>
      <c r="L137" s="3" t="s">
        <v>4647</v>
      </c>
    </row>
    <row r="138" spans="1:12" ht="33.75" customHeight="1" x14ac:dyDescent="0.25">
      <c r="A138" s="13" t="s">
        <v>403</v>
      </c>
      <c r="B138" s="2" t="s">
        <v>404</v>
      </c>
      <c r="C138" s="2" t="s">
        <v>405</v>
      </c>
      <c r="D138" s="2" t="s">
        <v>4724</v>
      </c>
      <c r="E138" s="2" t="s">
        <v>4731</v>
      </c>
      <c r="F138" s="2" t="s">
        <v>406</v>
      </c>
      <c r="G138" s="2">
        <v>29.999199999999998</v>
      </c>
      <c r="H138" s="2" t="s">
        <v>4644</v>
      </c>
      <c r="I138" s="2" t="s">
        <v>4645</v>
      </c>
      <c r="J138" s="2" t="s">
        <v>4695</v>
      </c>
      <c r="K138" s="2">
        <v>63</v>
      </c>
      <c r="L138" s="2" t="s">
        <v>4647</v>
      </c>
    </row>
    <row r="139" spans="1:12" ht="33.75" customHeight="1" x14ac:dyDescent="0.25">
      <c r="A139" s="14" t="s">
        <v>407</v>
      </c>
      <c r="B139" s="3" t="s">
        <v>89</v>
      </c>
      <c r="C139" s="3" t="s">
        <v>408</v>
      </c>
      <c r="D139" s="3" t="s">
        <v>4724</v>
      </c>
      <c r="E139" s="3" t="s">
        <v>4659</v>
      </c>
      <c r="F139" s="3" t="s">
        <v>91</v>
      </c>
      <c r="G139" s="3">
        <v>32.389200000000002</v>
      </c>
      <c r="H139" s="3" t="s">
        <v>4644</v>
      </c>
      <c r="I139" s="3" t="s">
        <v>4645</v>
      </c>
      <c r="J139" s="3" t="s">
        <v>4652</v>
      </c>
      <c r="K139" s="3">
        <v>30</v>
      </c>
      <c r="L139" s="3" t="s">
        <v>4647</v>
      </c>
    </row>
    <row r="140" spans="1:12" ht="33.75" customHeight="1" x14ac:dyDescent="0.25">
      <c r="A140" s="13" t="s">
        <v>409</v>
      </c>
      <c r="B140" s="2" t="s">
        <v>77</v>
      </c>
      <c r="C140" s="2" t="s">
        <v>410</v>
      </c>
      <c r="D140" s="2" t="s">
        <v>4724</v>
      </c>
      <c r="E140" s="2" t="s">
        <v>4654</v>
      </c>
      <c r="F140" s="2" t="s">
        <v>79</v>
      </c>
      <c r="G140" s="2">
        <v>31.699200000000001</v>
      </c>
      <c r="H140" s="2" t="s">
        <v>4644</v>
      </c>
      <c r="I140" s="2" t="s">
        <v>4645</v>
      </c>
      <c r="J140" s="2" t="s">
        <v>4650</v>
      </c>
      <c r="K140" s="2">
        <v>30</v>
      </c>
      <c r="L140" s="2" t="s">
        <v>4647</v>
      </c>
    </row>
    <row r="141" spans="1:12" ht="33.75" customHeight="1" x14ac:dyDescent="0.25">
      <c r="A141" s="14" t="s">
        <v>411</v>
      </c>
      <c r="B141" s="3" t="s">
        <v>57</v>
      </c>
      <c r="C141" s="3" t="s">
        <v>412</v>
      </c>
      <c r="D141" s="3" t="s">
        <v>4724</v>
      </c>
      <c r="E141" s="3" t="s">
        <v>4643</v>
      </c>
      <c r="F141" s="3" t="s">
        <v>59</v>
      </c>
      <c r="G141" s="3">
        <v>31.825199999999999</v>
      </c>
      <c r="H141" s="3" t="s">
        <v>4644</v>
      </c>
      <c r="I141" s="3" t="s">
        <v>4645</v>
      </c>
      <c r="J141" s="3" t="s">
        <v>4646</v>
      </c>
      <c r="K141" s="3">
        <v>21</v>
      </c>
      <c r="L141" s="3" t="s">
        <v>4647</v>
      </c>
    </row>
    <row r="142" spans="1:12" ht="33.75" customHeight="1" x14ac:dyDescent="0.25">
      <c r="A142" s="13" t="s">
        <v>413</v>
      </c>
      <c r="B142" s="2" t="s">
        <v>414</v>
      </c>
      <c r="C142" s="2" t="s">
        <v>415</v>
      </c>
      <c r="D142" s="2" t="s">
        <v>4724</v>
      </c>
      <c r="E142" s="2" t="s">
        <v>4732</v>
      </c>
      <c r="F142" s="2" t="s">
        <v>416</v>
      </c>
      <c r="G142" s="2">
        <v>31.0092</v>
      </c>
      <c r="H142" s="2" t="s">
        <v>4644</v>
      </c>
      <c r="I142" s="2" t="s">
        <v>4645</v>
      </c>
      <c r="J142" s="2" t="s">
        <v>4733</v>
      </c>
      <c r="K142" s="2">
        <v>87</v>
      </c>
      <c r="L142" s="2" t="s">
        <v>4647</v>
      </c>
    </row>
    <row r="143" spans="1:12" ht="33.75" customHeight="1" x14ac:dyDescent="0.25">
      <c r="A143" s="14" t="s">
        <v>417</v>
      </c>
      <c r="B143" s="3" t="s">
        <v>418</v>
      </c>
      <c r="C143" s="3" t="s">
        <v>419</v>
      </c>
      <c r="D143" s="3" t="s">
        <v>4724</v>
      </c>
      <c r="E143" s="3" t="s">
        <v>4734</v>
      </c>
      <c r="F143" s="3" t="s">
        <v>420</v>
      </c>
      <c r="G143" s="3">
        <v>30.655200000000001</v>
      </c>
      <c r="H143" s="3" t="s">
        <v>4644</v>
      </c>
      <c r="I143" s="3" t="s">
        <v>4645</v>
      </c>
      <c r="J143" s="3" t="s">
        <v>4735</v>
      </c>
      <c r="K143" s="3">
        <v>72</v>
      </c>
      <c r="L143" s="3" t="s">
        <v>4647</v>
      </c>
    </row>
    <row r="144" spans="1:12" ht="33.75" customHeight="1" x14ac:dyDescent="0.25">
      <c r="A144" s="13" t="s">
        <v>421</v>
      </c>
      <c r="B144" s="2" t="s">
        <v>422</v>
      </c>
      <c r="C144" s="2" t="s">
        <v>423</v>
      </c>
      <c r="D144" s="2" t="s">
        <v>4714</v>
      </c>
      <c r="E144" s="2" t="s">
        <v>4736</v>
      </c>
      <c r="F144" s="2" t="s">
        <v>424</v>
      </c>
      <c r="G144" s="2">
        <v>30.7272</v>
      </c>
      <c r="H144" s="2" t="s">
        <v>4644</v>
      </c>
      <c r="I144" s="2" t="s">
        <v>4645</v>
      </c>
      <c r="J144" s="2" t="s">
        <v>4682</v>
      </c>
      <c r="K144" s="2">
        <v>76</v>
      </c>
      <c r="L144" s="2" t="s">
        <v>4647</v>
      </c>
    </row>
    <row r="145" spans="1:12" ht="33.75" customHeight="1" x14ac:dyDescent="0.25">
      <c r="A145" s="14" t="s">
        <v>425</v>
      </c>
      <c r="B145" s="3" t="s">
        <v>426</v>
      </c>
      <c r="C145" s="3" t="s">
        <v>427</v>
      </c>
      <c r="D145" s="3" t="s">
        <v>4737</v>
      </c>
      <c r="E145" s="3" t="s">
        <v>4738</v>
      </c>
      <c r="F145" s="3" t="s">
        <v>428</v>
      </c>
      <c r="G145" s="3">
        <v>31.157</v>
      </c>
      <c r="H145" s="3" t="s">
        <v>4644</v>
      </c>
      <c r="I145" s="3" t="s">
        <v>4645</v>
      </c>
      <c r="J145" s="3" t="s">
        <v>4652</v>
      </c>
      <c r="K145" s="3">
        <v>30</v>
      </c>
      <c r="L145" s="3" t="s">
        <v>4647</v>
      </c>
    </row>
    <row r="146" spans="1:12" ht="33.75" customHeight="1" x14ac:dyDescent="0.25">
      <c r="A146" s="13" t="s">
        <v>429</v>
      </c>
      <c r="B146" s="2" t="s">
        <v>430</v>
      </c>
      <c r="C146" s="2" t="s">
        <v>431</v>
      </c>
      <c r="D146" s="2" t="s">
        <v>4737</v>
      </c>
      <c r="E146" s="2" t="s">
        <v>4739</v>
      </c>
      <c r="F146" s="2" t="s">
        <v>432</v>
      </c>
      <c r="G146" s="2">
        <v>30.983000000000001</v>
      </c>
      <c r="H146" s="2" t="s">
        <v>4644</v>
      </c>
      <c r="I146" s="2" t="s">
        <v>4645</v>
      </c>
      <c r="J146" s="2" t="s">
        <v>4646</v>
      </c>
      <c r="K146" s="2">
        <v>21</v>
      </c>
      <c r="L146" s="2" t="s">
        <v>4647</v>
      </c>
    </row>
    <row r="147" spans="1:12" ht="33.75" customHeight="1" x14ac:dyDescent="0.25">
      <c r="A147" s="14" t="s">
        <v>433</v>
      </c>
      <c r="B147" s="3" t="s">
        <v>426</v>
      </c>
      <c r="C147" s="3" t="s">
        <v>434</v>
      </c>
      <c r="D147" s="3" t="s">
        <v>4737</v>
      </c>
      <c r="E147" s="3" t="s">
        <v>4738</v>
      </c>
      <c r="F147" s="3" t="s">
        <v>428</v>
      </c>
      <c r="G147" s="3">
        <v>31.157</v>
      </c>
      <c r="H147" s="3" t="s">
        <v>4644</v>
      </c>
      <c r="I147" s="3" t="s">
        <v>4645</v>
      </c>
      <c r="J147" s="3" t="s">
        <v>4652</v>
      </c>
      <c r="K147" s="3">
        <v>30</v>
      </c>
      <c r="L147" s="3" t="s">
        <v>4647</v>
      </c>
    </row>
    <row r="148" spans="1:12" ht="33.75" customHeight="1" x14ac:dyDescent="0.25">
      <c r="A148" s="13" t="s">
        <v>435</v>
      </c>
      <c r="B148" s="2" t="s">
        <v>436</v>
      </c>
      <c r="C148" s="2" t="s">
        <v>437</v>
      </c>
      <c r="D148" s="2" t="s">
        <v>4737</v>
      </c>
      <c r="E148" s="2" t="s">
        <v>4740</v>
      </c>
      <c r="F148" s="2" t="s">
        <v>438</v>
      </c>
      <c r="G148" s="2">
        <v>30.466999999999999</v>
      </c>
      <c r="H148" s="2" t="s">
        <v>4644</v>
      </c>
      <c r="I148" s="2" t="s">
        <v>4645</v>
      </c>
      <c r="J148" s="2" t="s">
        <v>4650</v>
      </c>
      <c r="K148" s="2">
        <v>30</v>
      </c>
      <c r="L148" s="2" t="s">
        <v>4647</v>
      </c>
    </row>
    <row r="149" spans="1:12" ht="33.75" customHeight="1" x14ac:dyDescent="0.25">
      <c r="A149" s="14" t="s">
        <v>439</v>
      </c>
      <c r="B149" s="3" t="s">
        <v>324</v>
      </c>
      <c r="C149" s="3" t="s">
        <v>440</v>
      </c>
      <c r="D149" s="3" t="s">
        <v>4711</v>
      </c>
      <c r="E149" s="3" t="s">
        <v>4704</v>
      </c>
      <c r="F149" s="3" t="s">
        <v>326</v>
      </c>
      <c r="G149" s="3">
        <v>29.719200000000001</v>
      </c>
      <c r="H149" s="3" t="s">
        <v>4644</v>
      </c>
      <c r="I149" s="3" t="s">
        <v>4645</v>
      </c>
      <c r="J149" s="3" t="s">
        <v>4697</v>
      </c>
      <c r="K149" s="3">
        <v>45</v>
      </c>
      <c r="L149" s="3" t="s">
        <v>4647</v>
      </c>
    </row>
    <row r="150" spans="1:12" ht="33.75" customHeight="1" x14ac:dyDescent="0.25">
      <c r="A150" s="13" t="s">
        <v>441</v>
      </c>
      <c r="B150" s="2" t="s">
        <v>404</v>
      </c>
      <c r="C150" s="2" t="s">
        <v>442</v>
      </c>
      <c r="D150" s="2" t="s">
        <v>4711</v>
      </c>
      <c r="E150" s="2" t="s">
        <v>4731</v>
      </c>
      <c r="F150" s="2" t="s">
        <v>406</v>
      </c>
      <c r="G150" s="2">
        <v>29.999199999999998</v>
      </c>
      <c r="H150" s="2" t="s">
        <v>4644</v>
      </c>
      <c r="I150" s="2" t="s">
        <v>4645</v>
      </c>
      <c r="J150" s="2" t="s">
        <v>4695</v>
      </c>
      <c r="K150" s="2">
        <v>63</v>
      </c>
      <c r="L150" s="2" t="s">
        <v>4647</v>
      </c>
    </row>
    <row r="151" spans="1:12" ht="33.75" customHeight="1" x14ac:dyDescent="0.25">
      <c r="A151" s="14" t="s">
        <v>443</v>
      </c>
      <c r="B151" s="3" t="s">
        <v>386</v>
      </c>
      <c r="C151" s="3" t="s">
        <v>444</v>
      </c>
      <c r="D151" s="3" t="s">
        <v>4724</v>
      </c>
      <c r="E151" s="3" t="s">
        <v>4727</v>
      </c>
      <c r="F151" s="3" t="s">
        <v>388</v>
      </c>
      <c r="G151" s="3">
        <v>33.783799999999999</v>
      </c>
      <c r="H151" s="3" t="s">
        <v>4644</v>
      </c>
      <c r="I151" s="3" t="s">
        <v>4645</v>
      </c>
      <c r="J151" s="3" t="s">
        <v>4721</v>
      </c>
      <c r="K151" s="3">
        <v>54</v>
      </c>
      <c r="L151" s="3" t="s">
        <v>4647</v>
      </c>
    </row>
    <row r="152" spans="1:12" ht="33.75" customHeight="1" x14ac:dyDescent="0.25">
      <c r="A152" s="13" t="s">
        <v>445</v>
      </c>
      <c r="B152" s="2" t="s">
        <v>77</v>
      </c>
      <c r="C152" s="2" t="s">
        <v>446</v>
      </c>
      <c r="D152" s="2" t="s">
        <v>4724</v>
      </c>
      <c r="E152" s="2" t="s">
        <v>4654</v>
      </c>
      <c r="F152" s="2" t="s">
        <v>79</v>
      </c>
      <c r="G152" s="2">
        <v>31.699200000000001</v>
      </c>
      <c r="H152" s="2" t="s">
        <v>4644</v>
      </c>
      <c r="I152" s="2" t="s">
        <v>4645</v>
      </c>
      <c r="J152" s="2" t="s">
        <v>4650</v>
      </c>
      <c r="K152" s="2">
        <v>30</v>
      </c>
      <c r="L152" s="2" t="s">
        <v>4647</v>
      </c>
    </row>
    <row r="153" spans="1:12" ht="33.75" customHeight="1" x14ac:dyDescent="0.25">
      <c r="A153" s="14" t="s">
        <v>447</v>
      </c>
      <c r="B153" s="3" t="s">
        <v>89</v>
      </c>
      <c r="C153" s="3" t="s">
        <v>448</v>
      </c>
      <c r="D153" s="3" t="s">
        <v>4724</v>
      </c>
      <c r="E153" s="3" t="s">
        <v>4659</v>
      </c>
      <c r="F153" s="3" t="s">
        <v>91</v>
      </c>
      <c r="G153" s="3">
        <v>32.389200000000002</v>
      </c>
      <c r="H153" s="3" t="s">
        <v>4644</v>
      </c>
      <c r="I153" s="3" t="s">
        <v>4645</v>
      </c>
      <c r="J153" s="3" t="s">
        <v>4652</v>
      </c>
      <c r="K153" s="3">
        <v>30</v>
      </c>
      <c r="L153" s="3" t="s">
        <v>4647</v>
      </c>
    </row>
    <row r="154" spans="1:12" ht="33.75" customHeight="1" x14ac:dyDescent="0.25">
      <c r="A154" s="13" t="s">
        <v>449</v>
      </c>
      <c r="B154" s="2" t="s">
        <v>386</v>
      </c>
      <c r="C154" s="2" t="s">
        <v>450</v>
      </c>
      <c r="D154" s="2" t="s">
        <v>4724</v>
      </c>
      <c r="E154" s="2" t="s">
        <v>4727</v>
      </c>
      <c r="F154" s="2" t="s">
        <v>388</v>
      </c>
      <c r="G154" s="2">
        <v>33.783799999999999</v>
      </c>
      <c r="H154" s="2" t="s">
        <v>4644</v>
      </c>
      <c r="I154" s="2" t="s">
        <v>4645</v>
      </c>
      <c r="J154" s="2" t="s">
        <v>4721</v>
      </c>
      <c r="K154" s="2">
        <v>54</v>
      </c>
      <c r="L154" s="2" t="s">
        <v>4647</v>
      </c>
    </row>
    <row r="155" spans="1:12" ht="33.75" customHeight="1" x14ac:dyDescent="0.25">
      <c r="A155" s="14" t="s">
        <v>451</v>
      </c>
      <c r="B155" s="3" t="s">
        <v>452</v>
      </c>
      <c r="C155" s="3" t="s">
        <v>453</v>
      </c>
      <c r="D155" s="3" t="s">
        <v>4741</v>
      </c>
      <c r="E155" s="3" t="s">
        <v>4742</v>
      </c>
      <c r="F155" s="3" t="s">
        <v>454</v>
      </c>
      <c r="G155" s="3">
        <v>36.725999999999999</v>
      </c>
      <c r="H155" s="3" t="s">
        <v>4644</v>
      </c>
      <c r="I155" s="3" t="s">
        <v>4645</v>
      </c>
      <c r="J155" s="3" t="s">
        <v>4657</v>
      </c>
      <c r="K155" s="3">
        <v>24</v>
      </c>
      <c r="L155" s="3" t="s">
        <v>4647</v>
      </c>
    </row>
    <row r="156" spans="1:12" ht="33.75" customHeight="1" x14ac:dyDescent="0.25">
      <c r="A156" s="13" t="s">
        <v>455</v>
      </c>
      <c r="B156" s="2" t="s">
        <v>83</v>
      </c>
      <c r="C156" s="2" t="s">
        <v>456</v>
      </c>
      <c r="D156" s="2" t="s">
        <v>4717</v>
      </c>
      <c r="E156" s="2" t="s">
        <v>4655</v>
      </c>
      <c r="F156" s="2" t="s">
        <v>85</v>
      </c>
      <c r="G156" s="2">
        <v>33.063000000000002</v>
      </c>
      <c r="H156" s="2" t="s">
        <v>4644</v>
      </c>
      <c r="I156" s="2" t="s">
        <v>4645</v>
      </c>
      <c r="J156" s="2" t="s">
        <v>4656</v>
      </c>
      <c r="K156" s="2">
        <v>45</v>
      </c>
      <c r="L156" s="2" t="s">
        <v>4647</v>
      </c>
    </row>
    <row r="157" spans="1:12" ht="33.75" customHeight="1" x14ac:dyDescent="0.25">
      <c r="A157" s="14" t="s">
        <v>457</v>
      </c>
      <c r="B157" s="3" t="s">
        <v>73</v>
      </c>
      <c r="C157" s="3" t="s">
        <v>458</v>
      </c>
      <c r="D157" s="3" t="s">
        <v>4717</v>
      </c>
      <c r="E157" s="3" t="s">
        <v>4653</v>
      </c>
      <c r="F157" s="3" t="s">
        <v>75</v>
      </c>
      <c r="G157" s="3">
        <v>31.538399999999999</v>
      </c>
      <c r="H157" s="3" t="s">
        <v>4644</v>
      </c>
      <c r="I157" s="3" t="s">
        <v>4645</v>
      </c>
      <c r="J157" s="3" t="s">
        <v>4646</v>
      </c>
      <c r="K157" s="3">
        <v>21</v>
      </c>
      <c r="L157" s="3" t="s">
        <v>4647</v>
      </c>
    </row>
    <row r="158" spans="1:12" ht="33.75" customHeight="1" x14ac:dyDescent="0.25">
      <c r="A158" s="13" t="s">
        <v>459</v>
      </c>
      <c r="B158" s="2" t="s">
        <v>77</v>
      </c>
      <c r="C158" s="2" t="s">
        <v>460</v>
      </c>
      <c r="D158" s="2" t="s">
        <v>4661</v>
      </c>
      <c r="E158" s="2" t="s">
        <v>4654</v>
      </c>
      <c r="F158" s="2" t="s">
        <v>79</v>
      </c>
      <c r="G158" s="2">
        <v>31.699200000000001</v>
      </c>
      <c r="H158" s="2" t="s">
        <v>4644</v>
      </c>
      <c r="I158" s="2" t="s">
        <v>4645</v>
      </c>
      <c r="J158" s="2" t="s">
        <v>4650</v>
      </c>
      <c r="K158" s="2">
        <v>30</v>
      </c>
      <c r="L158" s="2" t="s">
        <v>4647</v>
      </c>
    </row>
    <row r="159" spans="1:12" ht="33.75" customHeight="1" x14ac:dyDescent="0.25">
      <c r="A159" s="14" t="s">
        <v>461</v>
      </c>
      <c r="B159" s="3" t="s">
        <v>89</v>
      </c>
      <c r="C159" s="3" t="s">
        <v>462</v>
      </c>
      <c r="D159" s="3" t="s">
        <v>4661</v>
      </c>
      <c r="E159" s="3" t="s">
        <v>4659</v>
      </c>
      <c r="F159" s="3" t="s">
        <v>91</v>
      </c>
      <c r="G159" s="3">
        <v>32.389200000000002</v>
      </c>
      <c r="H159" s="3" t="s">
        <v>4644</v>
      </c>
      <c r="I159" s="3" t="s">
        <v>4645</v>
      </c>
      <c r="J159" s="3" t="s">
        <v>4652</v>
      </c>
      <c r="K159" s="3">
        <v>30</v>
      </c>
      <c r="L159" s="3" t="s">
        <v>4647</v>
      </c>
    </row>
    <row r="160" spans="1:12" ht="33.75" customHeight="1" x14ac:dyDescent="0.25">
      <c r="A160" s="13" t="s">
        <v>463</v>
      </c>
      <c r="B160" s="2" t="s">
        <v>57</v>
      </c>
      <c r="C160" s="2" t="s">
        <v>464</v>
      </c>
      <c r="D160" s="2" t="s">
        <v>4661</v>
      </c>
      <c r="E160" s="2" t="s">
        <v>4643</v>
      </c>
      <c r="F160" s="2" t="s">
        <v>59</v>
      </c>
      <c r="G160" s="2">
        <v>31.825199999999999</v>
      </c>
      <c r="H160" s="2" t="s">
        <v>4644</v>
      </c>
      <c r="I160" s="2" t="s">
        <v>4645</v>
      </c>
      <c r="J160" s="2" t="s">
        <v>4646</v>
      </c>
      <c r="K160" s="2">
        <v>21</v>
      </c>
      <c r="L160" s="2" t="s">
        <v>4647</v>
      </c>
    </row>
    <row r="161" spans="1:12" ht="33.75" customHeight="1" x14ac:dyDescent="0.25">
      <c r="A161" s="14" t="s">
        <v>465</v>
      </c>
      <c r="B161" s="3" t="s">
        <v>404</v>
      </c>
      <c r="C161" s="3" t="s">
        <v>466</v>
      </c>
      <c r="D161" s="3" t="s">
        <v>4661</v>
      </c>
      <c r="E161" s="3" t="s">
        <v>4731</v>
      </c>
      <c r="F161" s="3" t="s">
        <v>406</v>
      </c>
      <c r="G161" s="3">
        <v>29.999199999999998</v>
      </c>
      <c r="H161" s="3" t="s">
        <v>4644</v>
      </c>
      <c r="I161" s="3" t="s">
        <v>4645</v>
      </c>
      <c r="J161" s="3" t="s">
        <v>4695</v>
      </c>
      <c r="K161" s="3">
        <v>63</v>
      </c>
      <c r="L161" s="3" t="s">
        <v>4647</v>
      </c>
    </row>
    <row r="162" spans="1:12" ht="33.75" customHeight="1" x14ac:dyDescent="0.25">
      <c r="A162" s="13" t="s">
        <v>467</v>
      </c>
      <c r="B162" s="2" t="s">
        <v>324</v>
      </c>
      <c r="C162" s="2" t="s">
        <v>468</v>
      </c>
      <c r="D162" s="2" t="s">
        <v>4661</v>
      </c>
      <c r="E162" s="2" t="s">
        <v>4704</v>
      </c>
      <c r="F162" s="2" t="s">
        <v>326</v>
      </c>
      <c r="G162" s="2">
        <v>29.719200000000001</v>
      </c>
      <c r="H162" s="2" t="s">
        <v>4644</v>
      </c>
      <c r="I162" s="2" t="s">
        <v>4645</v>
      </c>
      <c r="J162" s="2" t="s">
        <v>4697</v>
      </c>
      <c r="K162" s="2">
        <v>45</v>
      </c>
      <c r="L162" s="2" t="s">
        <v>4647</v>
      </c>
    </row>
    <row r="163" spans="1:12" ht="33.75" customHeight="1" x14ac:dyDescent="0.25">
      <c r="A163" s="14" t="s">
        <v>469</v>
      </c>
      <c r="B163" s="3" t="s">
        <v>470</v>
      </c>
      <c r="C163" s="3" t="s">
        <v>471</v>
      </c>
      <c r="D163" s="3" t="s">
        <v>4648</v>
      </c>
      <c r="E163" s="3" t="s">
        <v>4743</v>
      </c>
      <c r="F163" s="3" t="s">
        <v>472</v>
      </c>
      <c r="G163" s="3">
        <v>30.052320000000002</v>
      </c>
      <c r="H163" s="3" t="s">
        <v>4644</v>
      </c>
      <c r="I163" s="3" t="s">
        <v>4645</v>
      </c>
      <c r="J163" s="3" t="s">
        <v>4744</v>
      </c>
      <c r="K163" s="3">
        <v>72</v>
      </c>
      <c r="L163" s="3" t="s">
        <v>4647</v>
      </c>
    </row>
    <row r="164" spans="1:12" ht="33.75" customHeight="1" x14ac:dyDescent="0.25">
      <c r="A164" s="13" t="s">
        <v>473</v>
      </c>
      <c r="B164" s="2" t="s">
        <v>470</v>
      </c>
      <c r="C164" s="2" t="s">
        <v>474</v>
      </c>
      <c r="D164" s="2" t="s">
        <v>4648</v>
      </c>
      <c r="E164" s="2" t="s">
        <v>4743</v>
      </c>
      <c r="F164" s="2" t="s">
        <v>472</v>
      </c>
      <c r="G164" s="2">
        <v>30.052320000000002</v>
      </c>
      <c r="H164" s="2" t="s">
        <v>4644</v>
      </c>
      <c r="I164" s="2" t="s">
        <v>4645</v>
      </c>
      <c r="J164" s="2" t="s">
        <v>4744</v>
      </c>
      <c r="K164" s="2">
        <v>72</v>
      </c>
      <c r="L164" s="2" t="s">
        <v>4647</v>
      </c>
    </row>
    <row r="165" spans="1:12" ht="33.75" customHeight="1" x14ac:dyDescent="0.25">
      <c r="A165" s="14" t="s">
        <v>475</v>
      </c>
      <c r="B165" s="3" t="s">
        <v>73</v>
      </c>
      <c r="C165" s="3" t="s">
        <v>476</v>
      </c>
      <c r="D165" s="3" t="s">
        <v>4648</v>
      </c>
      <c r="E165" s="3" t="s">
        <v>4653</v>
      </c>
      <c r="F165" s="3" t="s">
        <v>75</v>
      </c>
      <c r="G165" s="3">
        <v>31.538399999999999</v>
      </c>
      <c r="H165" s="3" t="s">
        <v>4644</v>
      </c>
      <c r="I165" s="3" t="s">
        <v>4645</v>
      </c>
      <c r="J165" s="3" t="s">
        <v>4646</v>
      </c>
      <c r="K165" s="3">
        <v>21</v>
      </c>
      <c r="L165" s="3" t="s">
        <v>4647</v>
      </c>
    </row>
    <row r="166" spans="1:12" ht="33.75" customHeight="1" x14ac:dyDescent="0.25">
      <c r="A166" s="13" t="s">
        <v>477</v>
      </c>
      <c r="B166" s="2" t="s">
        <v>478</v>
      </c>
      <c r="C166" s="2" t="s">
        <v>479</v>
      </c>
      <c r="D166" s="2" t="s">
        <v>4648</v>
      </c>
      <c r="E166" s="2" t="s">
        <v>4745</v>
      </c>
      <c r="F166" s="2" t="s">
        <v>480</v>
      </c>
      <c r="G166" s="2">
        <v>25.503160000000001</v>
      </c>
      <c r="H166" s="2" t="s">
        <v>4644</v>
      </c>
      <c r="I166" s="2" t="s">
        <v>4645</v>
      </c>
      <c r="J166" s="2" t="s">
        <v>4746</v>
      </c>
      <c r="K166" s="2">
        <v>27</v>
      </c>
      <c r="L166" s="2" t="s">
        <v>4647</v>
      </c>
    </row>
    <row r="167" spans="1:12" ht="33.75" customHeight="1" x14ac:dyDescent="0.25">
      <c r="A167" s="14" t="s">
        <v>481</v>
      </c>
      <c r="B167" s="3" t="s">
        <v>83</v>
      </c>
      <c r="C167" s="3" t="s">
        <v>482</v>
      </c>
      <c r="D167" s="3" t="s">
        <v>4648</v>
      </c>
      <c r="E167" s="3" t="s">
        <v>4655</v>
      </c>
      <c r="F167" s="3" t="s">
        <v>85</v>
      </c>
      <c r="G167" s="3">
        <v>33.063000000000002</v>
      </c>
      <c r="H167" s="3" t="s">
        <v>4644</v>
      </c>
      <c r="I167" s="3" t="s">
        <v>4645</v>
      </c>
      <c r="J167" s="3" t="s">
        <v>4656</v>
      </c>
      <c r="K167" s="3">
        <v>45</v>
      </c>
      <c r="L167" s="3" t="s">
        <v>4647</v>
      </c>
    </row>
    <row r="168" spans="1:12" ht="33.75" customHeight="1" x14ac:dyDescent="0.25">
      <c r="A168" s="13" t="s">
        <v>483</v>
      </c>
      <c r="B168" s="2" t="s">
        <v>83</v>
      </c>
      <c r="C168" s="2" t="s">
        <v>484</v>
      </c>
      <c r="D168" s="2" t="s">
        <v>4648</v>
      </c>
      <c r="E168" s="2" t="s">
        <v>4655</v>
      </c>
      <c r="F168" s="2" t="s">
        <v>85</v>
      </c>
      <c r="G168" s="2">
        <v>33.063000000000002</v>
      </c>
      <c r="H168" s="2" t="s">
        <v>4644</v>
      </c>
      <c r="I168" s="2" t="s">
        <v>4645</v>
      </c>
      <c r="J168" s="2" t="s">
        <v>4657</v>
      </c>
      <c r="K168" s="2">
        <v>45</v>
      </c>
      <c r="L168" s="2" t="s">
        <v>4647</v>
      </c>
    </row>
    <row r="169" spans="1:12" ht="33.75" customHeight="1" x14ac:dyDescent="0.25">
      <c r="A169" s="14" t="s">
        <v>485</v>
      </c>
      <c r="B169" s="3" t="s">
        <v>486</v>
      </c>
      <c r="C169" s="3" t="s">
        <v>487</v>
      </c>
      <c r="D169" s="3" t="s">
        <v>4648</v>
      </c>
      <c r="E169" s="3" t="s">
        <v>4747</v>
      </c>
      <c r="F169" s="3" t="s">
        <v>488</v>
      </c>
      <c r="G169" s="3">
        <v>44.812399999999997</v>
      </c>
      <c r="H169" s="3" t="s">
        <v>4644</v>
      </c>
      <c r="I169" s="3" t="s">
        <v>4645</v>
      </c>
      <c r="J169" s="3" t="s">
        <v>4695</v>
      </c>
      <c r="K169" s="3">
        <v>64</v>
      </c>
      <c r="L169" s="3" t="s">
        <v>4647</v>
      </c>
    </row>
    <row r="170" spans="1:12" ht="33.75" customHeight="1" x14ac:dyDescent="0.25">
      <c r="A170" s="13" t="s">
        <v>489</v>
      </c>
      <c r="B170" s="2" t="s">
        <v>490</v>
      </c>
      <c r="C170" s="2" t="s">
        <v>491</v>
      </c>
      <c r="D170" s="2" t="s">
        <v>4648</v>
      </c>
      <c r="E170" s="2" t="s">
        <v>4748</v>
      </c>
      <c r="F170" s="2" t="s">
        <v>492</v>
      </c>
      <c r="G170" s="2">
        <v>44.6524</v>
      </c>
      <c r="H170" s="2" t="s">
        <v>4644</v>
      </c>
      <c r="I170" s="2" t="s">
        <v>4645</v>
      </c>
      <c r="J170" s="2" t="s">
        <v>4697</v>
      </c>
      <c r="K170" s="2">
        <v>48</v>
      </c>
      <c r="L170" s="2" t="s">
        <v>4647</v>
      </c>
    </row>
    <row r="171" spans="1:12" ht="33.75" customHeight="1" x14ac:dyDescent="0.25">
      <c r="A171" s="14" t="s">
        <v>493</v>
      </c>
      <c r="B171" s="3" t="s">
        <v>69</v>
      </c>
      <c r="C171" s="3" t="s">
        <v>494</v>
      </c>
      <c r="D171" s="3" t="s">
        <v>4648</v>
      </c>
      <c r="E171" s="3" t="s">
        <v>4651</v>
      </c>
      <c r="F171" s="3" t="s">
        <v>71</v>
      </c>
      <c r="G171" s="3">
        <v>32.102400000000003</v>
      </c>
      <c r="H171" s="3" t="s">
        <v>4644</v>
      </c>
      <c r="I171" s="3" t="s">
        <v>4645</v>
      </c>
      <c r="J171" s="3" t="s">
        <v>4652</v>
      </c>
      <c r="K171" s="3">
        <v>30</v>
      </c>
      <c r="L171" s="3" t="s">
        <v>4647</v>
      </c>
    </row>
    <row r="172" spans="1:12" ht="33.75" customHeight="1" x14ac:dyDescent="0.25">
      <c r="A172" s="13" t="s">
        <v>495</v>
      </c>
      <c r="B172" s="2" t="s">
        <v>63</v>
      </c>
      <c r="C172" s="2" t="s">
        <v>496</v>
      </c>
      <c r="D172" s="2" t="s">
        <v>4648</v>
      </c>
      <c r="E172" s="2" t="s">
        <v>4649</v>
      </c>
      <c r="F172" s="2" t="s">
        <v>65</v>
      </c>
      <c r="G172" s="2">
        <v>31.412400000000002</v>
      </c>
      <c r="H172" s="2" t="s">
        <v>4644</v>
      </c>
      <c r="I172" s="2" t="s">
        <v>4645</v>
      </c>
      <c r="J172" s="2" t="s">
        <v>4650</v>
      </c>
      <c r="K172" s="2">
        <v>30</v>
      </c>
      <c r="L172" s="2" t="s">
        <v>4647</v>
      </c>
    </row>
    <row r="173" spans="1:12" ht="33.75" customHeight="1" x14ac:dyDescent="0.25">
      <c r="A173" s="14" t="s">
        <v>497</v>
      </c>
      <c r="B173" s="3" t="s">
        <v>69</v>
      </c>
      <c r="C173" s="3" t="s">
        <v>498</v>
      </c>
      <c r="D173" s="3" t="s">
        <v>4648</v>
      </c>
      <c r="E173" s="3" t="s">
        <v>4651</v>
      </c>
      <c r="F173" s="3" t="s">
        <v>71</v>
      </c>
      <c r="G173" s="3">
        <v>32.102400000000003</v>
      </c>
      <c r="H173" s="3" t="s">
        <v>4644</v>
      </c>
      <c r="I173" s="3" t="s">
        <v>4645</v>
      </c>
      <c r="J173" s="3" t="s">
        <v>4652</v>
      </c>
      <c r="K173" s="3">
        <v>30</v>
      </c>
      <c r="L173" s="3" t="s">
        <v>4647</v>
      </c>
    </row>
    <row r="174" spans="1:12" ht="33.75" customHeight="1" x14ac:dyDescent="0.25">
      <c r="A174" s="13" t="s">
        <v>499</v>
      </c>
      <c r="B174" s="2" t="s">
        <v>69</v>
      </c>
      <c r="C174" s="2" t="s">
        <v>500</v>
      </c>
      <c r="D174" s="2" t="s">
        <v>4648</v>
      </c>
      <c r="E174" s="2" t="s">
        <v>4651</v>
      </c>
      <c r="F174" s="2" t="s">
        <v>71</v>
      </c>
      <c r="G174" s="2">
        <v>32.102400000000003</v>
      </c>
      <c r="H174" s="2" t="s">
        <v>4644</v>
      </c>
      <c r="I174" s="2" t="s">
        <v>4645</v>
      </c>
      <c r="J174" s="2" t="s">
        <v>4652</v>
      </c>
      <c r="K174" s="2">
        <v>30</v>
      </c>
      <c r="L174" s="2" t="s">
        <v>4647</v>
      </c>
    </row>
    <row r="175" spans="1:12" ht="33.75" customHeight="1" x14ac:dyDescent="0.25">
      <c r="A175" s="14" t="s">
        <v>501</v>
      </c>
      <c r="B175" s="3" t="s">
        <v>73</v>
      </c>
      <c r="C175" s="3" t="s">
        <v>502</v>
      </c>
      <c r="D175" s="3" t="s">
        <v>4648</v>
      </c>
      <c r="E175" s="3" t="s">
        <v>4653</v>
      </c>
      <c r="F175" s="3" t="s">
        <v>75</v>
      </c>
      <c r="G175" s="3">
        <v>31.538399999999999</v>
      </c>
      <c r="H175" s="3" t="s">
        <v>4644</v>
      </c>
      <c r="I175" s="3" t="s">
        <v>4645</v>
      </c>
      <c r="J175" s="3" t="s">
        <v>4646</v>
      </c>
      <c r="K175" s="3">
        <v>21</v>
      </c>
      <c r="L175" s="3" t="s">
        <v>4647</v>
      </c>
    </row>
    <row r="176" spans="1:12" ht="33.75" customHeight="1" x14ac:dyDescent="0.25">
      <c r="A176" s="13" t="s">
        <v>503</v>
      </c>
      <c r="B176" s="2" t="s">
        <v>73</v>
      </c>
      <c r="C176" s="2" t="s">
        <v>504</v>
      </c>
      <c r="D176" s="2" t="s">
        <v>4648</v>
      </c>
      <c r="E176" s="2" t="s">
        <v>4653</v>
      </c>
      <c r="F176" s="2" t="s">
        <v>75</v>
      </c>
      <c r="G176" s="2">
        <v>31.538399999999999</v>
      </c>
      <c r="H176" s="2" t="s">
        <v>4644</v>
      </c>
      <c r="I176" s="2" t="s">
        <v>4645</v>
      </c>
      <c r="J176" s="2" t="s">
        <v>4646</v>
      </c>
      <c r="K176" s="2">
        <v>21</v>
      </c>
      <c r="L176" s="2" t="s">
        <v>4647</v>
      </c>
    </row>
    <row r="177" spans="1:12" ht="33.75" customHeight="1" x14ac:dyDescent="0.25">
      <c r="A177" s="14" t="s">
        <v>505</v>
      </c>
      <c r="B177" s="3" t="s">
        <v>73</v>
      </c>
      <c r="C177" s="3" t="s">
        <v>506</v>
      </c>
      <c r="D177" s="3" t="s">
        <v>4648</v>
      </c>
      <c r="E177" s="3" t="s">
        <v>4653</v>
      </c>
      <c r="F177" s="3" t="s">
        <v>75</v>
      </c>
      <c r="G177" s="3">
        <v>31.538399999999999</v>
      </c>
      <c r="H177" s="3" t="s">
        <v>4644</v>
      </c>
      <c r="I177" s="3" t="s">
        <v>4645</v>
      </c>
      <c r="J177" s="3" t="s">
        <v>4646</v>
      </c>
      <c r="K177" s="3">
        <v>21</v>
      </c>
      <c r="L177" s="3" t="s">
        <v>4647</v>
      </c>
    </row>
    <row r="178" spans="1:12" ht="33.75" customHeight="1" x14ac:dyDescent="0.25">
      <c r="A178" s="13" t="s">
        <v>507</v>
      </c>
      <c r="B178" s="2" t="s">
        <v>83</v>
      </c>
      <c r="C178" s="2" t="s">
        <v>508</v>
      </c>
      <c r="D178" s="2" t="s">
        <v>4648</v>
      </c>
      <c r="E178" s="2" t="s">
        <v>4655</v>
      </c>
      <c r="F178" s="2" t="s">
        <v>85</v>
      </c>
      <c r="G178" s="2">
        <v>33.063000000000002</v>
      </c>
      <c r="H178" s="2" t="s">
        <v>4644</v>
      </c>
      <c r="I178" s="2" t="s">
        <v>4645</v>
      </c>
      <c r="J178" s="2" t="s">
        <v>4656</v>
      </c>
      <c r="K178" s="2">
        <v>45</v>
      </c>
      <c r="L178" s="2" t="s">
        <v>4647</v>
      </c>
    </row>
    <row r="179" spans="1:12" ht="33.75" customHeight="1" x14ac:dyDescent="0.25">
      <c r="A179" s="14" t="s">
        <v>509</v>
      </c>
      <c r="B179" s="3" t="s">
        <v>63</v>
      </c>
      <c r="C179" s="3" t="s">
        <v>510</v>
      </c>
      <c r="D179" s="3" t="s">
        <v>4648</v>
      </c>
      <c r="E179" s="3" t="s">
        <v>4649</v>
      </c>
      <c r="F179" s="3" t="s">
        <v>65</v>
      </c>
      <c r="G179" s="3">
        <v>31.412400000000002</v>
      </c>
      <c r="H179" s="3" t="s">
        <v>4644</v>
      </c>
      <c r="I179" s="3" t="s">
        <v>4645</v>
      </c>
      <c r="J179" s="3" t="s">
        <v>4650</v>
      </c>
      <c r="K179" s="3">
        <v>30</v>
      </c>
      <c r="L179" s="3" t="s">
        <v>4647</v>
      </c>
    </row>
    <row r="180" spans="1:12" ht="33.75" customHeight="1" x14ac:dyDescent="0.25">
      <c r="A180" s="13" t="s">
        <v>511</v>
      </c>
      <c r="B180" s="2" t="s">
        <v>83</v>
      </c>
      <c r="C180" s="2" t="s">
        <v>512</v>
      </c>
      <c r="D180" s="2" t="s">
        <v>4648</v>
      </c>
      <c r="E180" s="2" t="s">
        <v>4655</v>
      </c>
      <c r="F180" s="2" t="s">
        <v>85</v>
      </c>
      <c r="G180" s="2">
        <v>33.063000000000002</v>
      </c>
      <c r="H180" s="2" t="s">
        <v>4644</v>
      </c>
      <c r="I180" s="2" t="s">
        <v>4645</v>
      </c>
      <c r="J180" s="2" t="s">
        <v>4657</v>
      </c>
      <c r="K180" s="2">
        <v>45</v>
      </c>
      <c r="L180" s="2" t="s">
        <v>4647</v>
      </c>
    </row>
    <row r="181" spans="1:12" ht="33.75" customHeight="1" x14ac:dyDescent="0.25">
      <c r="A181" s="14" t="s">
        <v>513</v>
      </c>
      <c r="B181" s="3" t="s">
        <v>83</v>
      </c>
      <c r="C181" s="3" t="s">
        <v>508</v>
      </c>
      <c r="D181" s="3" t="s">
        <v>4648</v>
      </c>
      <c r="E181" s="3" t="s">
        <v>4655</v>
      </c>
      <c r="F181" s="3" t="s">
        <v>85</v>
      </c>
      <c r="G181" s="3">
        <v>33.063000000000002</v>
      </c>
      <c r="H181" s="3" t="s">
        <v>4644</v>
      </c>
      <c r="I181" s="3" t="s">
        <v>4645</v>
      </c>
      <c r="J181" s="3" t="s">
        <v>4656</v>
      </c>
      <c r="K181" s="3">
        <v>45</v>
      </c>
      <c r="L181" s="3" t="s">
        <v>4647</v>
      </c>
    </row>
    <row r="182" spans="1:12" ht="33.75" customHeight="1" x14ac:dyDescent="0.25">
      <c r="A182" s="13" t="s">
        <v>514</v>
      </c>
      <c r="B182" s="2" t="s">
        <v>515</v>
      </c>
      <c r="C182" s="2" t="s">
        <v>516</v>
      </c>
      <c r="D182" s="2" t="s">
        <v>4648</v>
      </c>
      <c r="E182" s="2" t="s">
        <v>4749</v>
      </c>
      <c r="F182" s="2" t="s">
        <v>517</v>
      </c>
      <c r="G182" s="2">
        <v>29.3124</v>
      </c>
      <c r="H182" s="2" t="s">
        <v>4644</v>
      </c>
      <c r="I182" s="2" t="s">
        <v>4645</v>
      </c>
      <c r="J182" s="2" t="s">
        <v>4691</v>
      </c>
      <c r="K182" s="2">
        <v>42</v>
      </c>
      <c r="L182" s="2" t="s">
        <v>4647</v>
      </c>
    </row>
    <row r="183" spans="1:12" ht="33.75" customHeight="1" x14ac:dyDescent="0.25">
      <c r="A183" s="14" t="s">
        <v>518</v>
      </c>
      <c r="B183" s="3" t="s">
        <v>519</v>
      </c>
      <c r="C183" s="3" t="s">
        <v>520</v>
      </c>
      <c r="D183" s="3"/>
      <c r="E183" s="3" t="s">
        <v>4750</v>
      </c>
      <c r="F183" s="3" t="s">
        <v>521</v>
      </c>
      <c r="G183" s="3">
        <v>30.339120000000001</v>
      </c>
      <c r="H183" s="3" t="s">
        <v>4644</v>
      </c>
      <c r="I183" s="3" t="s">
        <v>4645</v>
      </c>
      <c r="J183" s="3" t="s">
        <v>4744</v>
      </c>
      <c r="K183" s="3">
        <v>72</v>
      </c>
      <c r="L183" s="3" t="s">
        <v>4647</v>
      </c>
    </row>
    <row r="184" spans="1:12" ht="33.75" customHeight="1" x14ac:dyDescent="0.25">
      <c r="A184" s="13" t="s">
        <v>522</v>
      </c>
      <c r="B184" s="2" t="s">
        <v>436</v>
      </c>
      <c r="C184" s="2" t="s">
        <v>523</v>
      </c>
      <c r="D184" s="2" t="s">
        <v>4737</v>
      </c>
      <c r="E184" s="2" t="s">
        <v>4740</v>
      </c>
      <c r="F184" s="2" t="s">
        <v>438</v>
      </c>
      <c r="G184" s="2">
        <v>30.466999999999999</v>
      </c>
      <c r="H184" s="2" t="s">
        <v>4644</v>
      </c>
      <c r="I184" s="2" t="s">
        <v>4645</v>
      </c>
      <c r="J184" s="2" t="s">
        <v>4650</v>
      </c>
      <c r="K184" s="2">
        <v>30</v>
      </c>
      <c r="L184" s="2" t="s">
        <v>4647</v>
      </c>
    </row>
    <row r="185" spans="1:12" ht="33.75" customHeight="1" x14ac:dyDescent="0.25">
      <c r="A185" s="14" t="s">
        <v>524</v>
      </c>
      <c r="B185" s="3" t="s">
        <v>426</v>
      </c>
      <c r="C185" s="3" t="s">
        <v>525</v>
      </c>
      <c r="D185" s="3" t="s">
        <v>4737</v>
      </c>
      <c r="E185" s="3" t="s">
        <v>4738</v>
      </c>
      <c r="F185" s="3" t="s">
        <v>428</v>
      </c>
      <c r="G185" s="3">
        <v>31.157</v>
      </c>
      <c r="H185" s="3" t="s">
        <v>4644</v>
      </c>
      <c r="I185" s="3" t="s">
        <v>4645</v>
      </c>
      <c r="J185" s="3" t="s">
        <v>4652</v>
      </c>
      <c r="K185" s="3">
        <v>30</v>
      </c>
      <c r="L185" s="3" t="s">
        <v>4647</v>
      </c>
    </row>
    <row r="186" spans="1:12" ht="33.75" customHeight="1" x14ac:dyDescent="0.25">
      <c r="A186" s="13" t="s">
        <v>526</v>
      </c>
      <c r="B186" s="2" t="s">
        <v>142</v>
      </c>
      <c r="C186" s="2" t="s">
        <v>527</v>
      </c>
      <c r="D186" s="2" t="s">
        <v>4674</v>
      </c>
      <c r="E186" s="2" t="s">
        <v>4675</v>
      </c>
      <c r="F186" s="2" t="s">
        <v>144</v>
      </c>
      <c r="G186" s="2"/>
      <c r="H186" s="2" t="s">
        <v>4666</v>
      </c>
      <c r="I186" s="2" t="s">
        <v>4667</v>
      </c>
      <c r="J186" s="2" t="s">
        <v>4652</v>
      </c>
      <c r="K186" s="2">
        <v>6</v>
      </c>
      <c r="L186" s="2" t="s">
        <v>4668</v>
      </c>
    </row>
    <row r="187" spans="1:12" ht="33.75" customHeight="1" x14ac:dyDescent="0.25">
      <c r="A187" s="14" t="s">
        <v>528</v>
      </c>
      <c r="B187" s="3" t="s">
        <v>57</v>
      </c>
      <c r="C187" s="3" t="s">
        <v>529</v>
      </c>
      <c r="D187" s="3" t="s">
        <v>4663</v>
      </c>
      <c r="E187" s="3" t="s">
        <v>4643</v>
      </c>
      <c r="F187" s="3" t="s">
        <v>59</v>
      </c>
      <c r="G187" s="3">
        <v>31.825199999999999</v>
      </c>
      <c r="H187" s="3" t="s">
        <v>4644</v>
      </c>
      <c r="I187" s="3" t="s">
        <v>4645</v>
      </c>
      <c r="J187" s="3" t="s">
        <v>4646</v>
      </c>
      <c r="K187" s="3">
        <v>21</v>
      </c>
      <c r="L187" s="3" t="s">
        <v>4647</v>
      </c>
    </row>
    <row r="188" spans="1:12" ht="33.75" customHeight="1" x14ac:dyDescent="0.25">
      <c r="A188" s="13" t="s">
        <v>530</v>
      </c>
      <c r="B188" s="2" t="s">
        <v>57</v>
      </c>
      <c r="C188" s="2" t="s">
        <v>531</v>
      </c>
      <c r="D188" s="2"/>
      <c r="E188" s="2" t="s">
        <v>4643</v>
      </c>
      <c r="F188" s="2" t="s">
        <v>59</v>
      </c>
      <c r="G188" s="2">
        <v>31.825199999999999</v>
      </c>
      <c r="H188" s="2" t="s">
        <v>4644</v>
      </c>
      <c r="I188" s="2" t="s">
        <v>4645</v>
      </c>
      <c r="J188" s="2" t="s">
        <v>4646</v>
      </c>
      <c r="K188" s="2">
        <v>21</v>
      </c>
      <c r="L188" s="2" t="s">
        <v>4647</v>
      </c>
    </row>
    <row r="189" spans="1:12" ht="33.75" customHeight="1" x14ac:dyDescent="0.25">
      <c r="A189" s="14" t="s">
        <v>532</v>
      </c>
      <c r="B189" s="3" t="s">
        <v>57</v>
      </c>
      <c r="C189" s="3" t="s">
        <v>533</v>
      </c>
      <c r="D189" s="3"/>
      <c r="E189" s="3" t="s">
        <v>4643</v>
      </c>
      <c r="F189" s="3" t="s">
        <v>59</v>
      </c>
      <c r="G189" s="3">
        <v>31.825199999999999</v>
      </c>
      <c r="H189" s="3" t="s">
        <v>4644</v>
      </c>
      <c r="I189" s="3" t="s">
        <v>4645</v>
      </c>
      <c r="J189" s="3" t="s">
        <v>4646</v>
      </c>
      <c r="K189" s="3">
        <v>21</v>
      </c>
      <c r="L189" s="3" t="s">
        <v>4647</v>
      </c>
    </row>
    <row r="190" spans="1:12" ht="33.75" customHeight="1" x14ac:dyDescent="0.25">
      <c r="A190" s="13" t="s">
        <v>534</v>
      </c>
      <c r="B190" s="2" t="s">
        <v>277</v>
      </c>
      <c r="C190" s="2" t="s">
        <v>535</v>
      </c>
      <c r="D190" s="2"/>
      <c r="E190" s="2" t="s">
        <v>4696</v>
      </c>
      <c r="F190" s="2" t="s">
        <v>279</v>
      </c>
      <c r="G190" s="2">
        <v>29.7592</v>
      </c>
      <c r="H190" s="2" t="s">
        <v>4644</v>
      </c>
      <c r="I190" s="2" t="s">
        <v>4645</v>
      </c>
      <c r="J190" s="2" t="s">
        <v>4697</v>
      </c>
      <c r="K190" s="2">
        <v>48</v>
      </c>
      <c r="L190" s="2" t="s">
        <v>4647</v>
      </c>
    </row>
    <row r="191" spans="1:12" ht="33.75" customHeight="1" x14ac:dyDescent="0.25">
      <c r="A191" s="14" t="s">
        <v>536</v>
      </c>
      <c r="B191" s="3" t="s">
        <v>89</v>
      </c>
      <c r="C191" s="3" t="s">
        <v>537</v>
      </c>
      <c r="D191" s="3"/>
      <c r="E191" s="3" t="s">
        <v>4659</v>
      </c>
      <c r="F191" s="3" t="s">
        <v>91</v>
      </c>
      <c r="G191" s="3">
        <v>32.389200000000002</v>
      </c>
      <c r="H191" s="3" t="s">
        <v>4644</v>
      </c>
      <c r="I191" s="3" t="s">
        <v>4645</v>
      </c>
      <c r="J191" s="3" t="s">
        <v>4652</v>
      </c>
      <c r="K191" s="3">
        <v>30</v>
      </c>
      <c r="L191" s="3" t="s">
        <v>4647</v>
      </c>
    </row>
    <row r="192" spans="1:12" ht="33.75" customHeight="1" x14ac:dyDescent="0.25">
      <c r="A192" s="13" t="s">
        <v>538</v>
      </c>
      <c r="B192" s="2" t="s">
        <v>89</v>
      </c>
      <c r="C192" s="2" t="s">
        <v>539</v>
      </c>
      <c r="D192" s="2"/>
      <c r="E192" s="2" t="s">
        <v>4659</v>
      </c>
      <c r="F192" s="2" t="s">
        <v>91</v>
      </c>
      <c r="G192" s="2">
        <v>32.389200000000002</v>
      </c>
      <c r="H192" s="2" t="s">
        <v>4644</v>
      </c>
      <c r="I192" s="2" t="s">
        <v>4645</v>
      </c>
      <c r="J192" s="2" t="s">
        <v>4652</v>
      </c>
      <c r="K192" s="2">
        <v>30</v>
      </c>
      <c r="L192" s="2" t="s">
        <v>4647</v>
      </c>
    </row>
    <row r="193" spans="1:12" ht="33.75" customHeight="1" x14ac:dyDescent="0.25">
      <c r="A193" s="14" t="s">
        <v>540</v>
      </c>
      <c r="B193" s="3" t="s">
        <v>77</v>
      </c>
      <c r="C193" s="3" t="s">
        <v>196</v>
      </c>
      <c r="D193" s="3"/>
      <c r="E193" s="3" t="s">
        <v>4654</v>
      </c>
      <c r="F193" s="3" t="s">
        <v>79</v>
      </c>
      <c r="G193" s="3">
        <v>31.699200000000001</v>
      </c>
      <c r="H193" s="3" t="s">
        <v>4644</v>
      </c>
      <c r="I193" s="3" t="s">
        <v>4645</v>
      </c>
      <c r="J193" s="3" t="s">
        <v>4650</v>
      </c>
      <c r="K193" s="3">
        <v>30</v>
      </c>
      <c r="L193" s="3" t="s">
        <v>4647</v>
      </c>
    </row>
    <row r="194" spans="1:12" ht="33.75" customHeight="1" x14ac:dyDescent="0.25">
      <c r="A194" s="13" t="s">
        <v>541</v>
      </c>
      <c r="B194" s="2" t="s">
        <v>57</v>
      </c>
      <c r="C194" s="2" t="s">
        <v>533</v>
      </c>
      <c r="D194" s="2"/>
      <c r="E194" s="2" t="s">
        <v>4643</v>
      </c>
      <c r="F194" s="2" t="s">
        <v>59</v>
      </c>
      <c r="G194" s="2">
        <v>31.825199999999999</v>
      </c>
      <c r="H194" s="2" t="s">
        <v>4644</v>
      </c>
      <c r="I194" s="2" t="s">
        <v>4645</v>
      </c>
      <c r="J194" s="2" t="s">
        <v>4646</v>
      </c>
      <c r="K194" s="2">
        <v>21</v>
      </c>
      <c r="L194" s="2" t="s">
        <v>4647</v>
      </c>
    </row>
    <row r="195" spans="1:12" ht="33.75" customHeight="1" x14ac:dyDescent="0.25">
      <c r="A195" s="14" t="s">
        <v>542</v>
      </c>
      <c r="B195" s="3" t="s">
        <v>57</v>
      </c>
      <c r="C195" s="3" t="s">
        <v>531</v>
      </c>
      <c r="D195" s="3"/>
      <c r="E195" s="3" t="s">
        <v>4643</v>
      </c>
      <c r="F195" s="3" t="s">
        <v>59</v>
      </c>
      <c r="G195" s="3">
        <v>31.825199999999999</v>
      </c>
      <c r="H195" s="3" t="s">
        <v>4644</v>
      </c>
      <c r="I195" s="3" t="s">
        <v>4645</v>
      </c>
      <c r="J195" s="3" t="s">
        <v>4646</v>
      </c>
      <c r="K195" s="3">
        <v>21</v>
      </c>
      <c r="L195" s="3" t="s">
        <v>4647</v>
      </c>
    </row>
    <row r="196" spans="1:12" ht="33.75" customHeight="1" x14ac:dyDescent="0.25">
      <c r="A196" s="13" t="s">
        <v>543</v>
      </c>
      <c r="B196" s="2" t="s">
        <v>89</v>
      </c>
      <c r="C196" s="2" t="s">
        <v>544</v>
      </c>
      <c r="D196" s="2"/>
      <c r="E196" s="2" t="s">
        <v>4659</v>
      </c>
      <c r="F196" s="2" t="s">
        <v>91</v>
      </c>
      <c r="G196" s="2">
        <v>32.389200000000002</v>
      </c>
      <c r="H196" s="2" t="s">
        <v>4644</v>
      </c>
      <c r="I196" s="2" t="s">
        <v>4645</v>
      </c>
      <c r="J196" s="2" t="s">
        <v>4652</v>
      </c>
      <c r="K196" s="2">
        <v>30</v>
      </c>
      <c r="L196" s="2" t="s">
        <v>4647</v>
      </c>
    </row>
    <row r="197" spans="1:12" ht="33.75" customHeight="1" x14ac:dyDescent="0.25">
      <c r="A197" s="14" t="s">
        <v>545</v>
      </c>
      <c r="B197" s="3" t="s">
        <v>120</v>
      </c>
      <c r="C197" s="3" t="s">
        <v>546</v>
      </c>
      <c r="D197" s="3"/>
      <c r="E197" s="3" t="s">
        <v>4662</v>
      </c>
      <c r="F197" s="3" t="s">
        <v>122</v>
      </c>
      <c r="G197" s="3">
        <v>33.349800000000002</v>
      </c>
      <c r="H197" s="3" t="s">
        <v>4644</v>
      </c>
      <c r="I197" s="3" t="s">
        <v>4645</v>
      </c>
      <c r="J197" s="3" t="s">
        <v>4657</v>
      </c>
      <c r="K197" s="3">
        <v>45</v>
      </c>
      <c r="L197" s="3" t="s">
        <v>4647</v>
      </c>
    </row>
    <row r="198" spans="1:12" ht="33.75" customHeight="1" x14ac:dyDescent="0.25">
      <c r="A198" s="13" t="s">
        <v>547</v>
      </c>
      <c r="B198" s="2" t="s">
        <v>120</v>
      </c>
      <c r="C198" s="2" t="s">
        <v>548</v>
      </c>
      <c r="D198" s="2" t="s">
        <v>4663</v>
      </c>
      <c r="E198" s="2" t="s">
        <v>4662</v>
      </c>
      <c r="F198" s="2" t="s">
        <v>122</v>
      </c>
      <c r="G198" s="2">
        <v>33.349800000000002</v>
      </c>
      <c r="H198" s="2" t="s">
        <v>4644</v>
      </c>
      <c r="I198" s="2" t="s">
        <v>4645</v>
      </c>
      <c r="J198" s="2" t="s">
        <v>4656</v>
      </c>
      <c r="K198" s="2">
        <v>45</v>
      </c>
      <c r="L198" s="2" t="s">
        <v>4647</v>
      </c>
    </row>
    <row r="199" spans="1:12" ht="33.75" customHeight="1" x14ac:dyDescent="0.25">
      <c r="A199" s="14" t="s">
        <v>549</v>
      </c>
      <c r="B199" s="3" t="s">
        <v>89</v>
      </c>
      <c r="C199" s="3" t="s">
        <v>550</v>
      </c>
      <c r="D199" s="3"/>
      <c r="E199" s="3" t="s">
        <v>4659</v>
      </c>
      <c r="F199" s="3" t="s">
        <v>91</v>
      </c>
      <c r="G199" s="3">
        <v>32.389200000000002</v>
      </c>
      <c r="H199" s="3" t="s">
        <v>4644</v>
      </c>
      <c r="I199" s="3" t="s">
        <v>4645</v>
      </c>
      <c r="J199" s="3" t="s">
        <v>4652</v>
      </c>
      <c r="K199" s="3">
        <v>30</v>
      </c>
      <c r="L199" s="3" t="s">
        <v>4647</v>
      </c>
    </row>
    <row r="200" spans="1:12" ht="33.75" customHeight="1" x14ac:dyDescent="0.25">
      <c r="A200" s="13" t="s">
        <v>551</v>
      </c>
      <c r="B200" s="2" t="s">
        <v>89</v>
      </c>
      <c r="C200" s="2" t="s">
        <v>552</v>
      </c>
      <c r="D200" s="2" t="s">
        <v>4751</v>
      </c>
      <c r="E200" s="2" t="s">
        <v>4659</v>
      </c>
      <c r="F200" s="2" t="s">
        <v>91</v>
      </c>
      <c r="G200" s="2">
        <v>32.389200000000002</v>
      </c>
      <c r="H200" s="2" t="s">
        <v>4644</v>
      </c>
      <c r="I200" s="2" t="s">
        <v>4645</v>
      </c>
      <c r="J200" s="2" t="s">
        <v>4652</v>
      </c>
      <c r="K200" s="2">
        <v>30</v>
      </c>
      <c r="L200" s="2" t="s">
        <v>4647</v>
      </c>
    </row>
    <row r="201" spans="1:12" ht="33.75" customHeight="1" x14ac:dyDescent="0.25">
      <c r="A201" s="14" t="s">
        <v>553</v>
      </c>
      <c r="B201" s="3" t="s">
        <v>77</v>
      </c>
      <c r="C201" s="3" t="s">
        <v>554</v>
      </c>
      <c r="D201" s="3"/>
      <c r="E201" s="3" t="s">
        <v>4654</v>
      </c>
      <c r="F201" s="3" t="s">
        <v>79</v>
      </c>
      <c r="G201" s="3">
        <v>31.699200000000001</v>
      </c>
      <c r="H201" s="3" t="s">
        <v>4644</v>
      </c>
      <c r="I201" s="3" t="s">
        <v>4645</v>
      </c>
      <c r="J201" s="3" t="s">
        <v>4650</v>
      </c>
      <c r="K201" s="3">
        <v>30</v>
      </c>
      <c r="L201" s="3" t="s">
        <v>4647</v>
      </c>
    </row>
    <row r="202" spans="1:12" ht="33.75" customHeight="1" x14ac:dyDescent="0.25">
      <c r="A202" s="13" t="s">
        <v>555</v>
      </c>
      <c r="B202" s="2" t="s">
        <v>89</v>
      </c>
      <c r="C202" s="2" t="s">
        <v>556</v>
      </c>
      <c r="D202" s="2"/>
      <c r="E202" s="2" t="s">
        <v>4659</v>
      </c>
      <c r="F202" s="2" t="s">
        <v>91</v>
      </c>
      <c r="G202" s="2">
        <v>32.389200000000002</v>
      </c>
      <c r="H202" s="2" t="s">
        <v>4644</v>
      </c>
      <c r="I202" s="2" t="s">
        <v>4645</v>
      </c>
      <c r="J202" s="2" t="s">
        <v>4652</v>
      </c>
      <c r="K202" s="2">
        <v>30</v>
      </c>
      <c r="L202" s="2" t="s">
        <v>4647</v>
      </c>
    </row>
    <row r="203" spans="1:12" ht="33.75" customHeight="1" x14ac:dyDescent="0.25">
      <c r="A203" s="14" t="s">
        <v>557</v>
      </c>
      <c r="B203" s="3" t="s">
        <v>57</v>
      </c>
      <c r="C203" s="3" t="s">
        <v>558</v>
      </c>
      <c r="D203" s="3" t="s">
        <v>4663</v>
      </c>
      <c r="E203" s="3" t="s">
        <v>4643</v>
      </c>
      <c r="F203" s="3" t="s">
        <v>59</v>
      </c>
      <c r="G203" s="3">
        <v>31.825199999999999</v>
      </c>
      <c r="H203" s="3" t="s">
        <v>4644</v>
      </c>
      <c r="I203" s="3" t="s">
        <v>4645</v>
      </c>
      <c r="J203" s="3" t="s">
        <v>4646</v>
      </c>
      <c r="K203" s="3">
        <v>21</v>
      </c>
      <c r="L203" s="3" t="s">
        <v>4647</v>
      </c>
    </row>
    <row r="204" spans="1:12" ht="33.75" customHeight="1" x14ac:dyDescent="0.25">
      <c r="A204" s="13" t="s">
        <v>559</v>
      </c>
      <c r="B204" s="2" t="s">
        <v>89</v>
      </c>
      <c r="C204" s="2" t="s">
        <v>560</v>
      </c>
      <c r="D204" s="2" t="s">
        <v>4663</v>
      </c>
      <c r="E204" s="2" t="s">
        <v>4659</v>
      </c>
      <c r="F204" s="2" t="s">
        <v>91</v>
      </c>
      <c r="G204" s="2">
        <v>32.389200000000002</v>
      </c>
      <c r="H204" s="2" t="s">
        <v>4644</v>
      </c>
      <c r="I204" s="2" t="s">
        <v>4645</v>
      </c>
      <c r="J204" s="2" t="s">
        <v>4652</v>
      </c>
      <c r="K204" s="2">
        <v>30</v>
      </c>
      <c r="L204" s="2" t="s">
        <v>4647</v>
      </c>
    </row>
    <row r="205" spans="1:12" ht="33.75" customHeight="1" x14ac:dyDescent="0.25">
      <c r="A205" s="14" t="s">
        <v>561</v>
      </c>
      <c r="B205" s="3" t="s">
        <v>562</v>
      </c>
      <c r="C205" s="3" t="s">
        <v>563</v>
      </c>
      <c r="D205" s="3" t="s">
        <v>4737</v>
      </c>
      <c r="E205" s="3" t="s">
        <v>4752</v>
      </c>
      <c r="F205" s="3" t="s">
        <v>564</v>
      </c>
      <c r="G205" s="3">
        <v>28.649000000000001</v>
      </c>
      <c r="H205" s="3" t="s">
        <v>4644</v>
      </c>
      <c r="I205" s="3" t="s">
        <v>4645</v>
      </c>
      <c r="J205" s="3" t="s">
        <v>4657</v>
      </c>
      <c r="K205" s="3">
        <v>45</v>
      </c>
      <c r="L205" s="3" t="s">
        <v>4647</v>
      </c>
    </row>
    <row r="206" spans="1:12" ht="33.75" customHeight="1" x14ac:dyDescent="0.25">
      <c r="A206" s="13" t="s">
        <v>565</v>
      </c>
      <c r="B206" s="2" t="s">
        <v>566</v>
      </c>
      <c r="C206" s="2" t="s">
        <v>567</v>
      </c>
      <c r="D206" s="2" t="s">
        <v>4753</v>
      </c>
      <c r="E206" s="2" t="s">
        <v>4754</v>
      </c>
      <c r="F206" s="2" t="s">
        <v>568</v>
      </c>
      <c r="G206" s="2">
        <v>32.401719999999997</v>
      </c>
      <c r="H206" s="2" t="s">
        <v>4644</v>
      </c>
      <c r="I206" s="2" t="s">
        <v>4645</v>
      </c>
      <c r="J206" s="2" t="s">
        <v>4646</v>
      </c>
      <c r="K206" s="2">
        <v>18</v>
      </c>
      <c r="L206" s="2" t="s">
        <v>4668</v>
      </c>
    </row>
    <row r="207" spans="1:12" ht="33.75" customHeight="1" x14ac:dyDescent="0.25">
      <c r="A207" s="14" t="s">
        <v>569</v>
      </c>
      <c r="B207" s="3" t="s">
        <v>570</v>
      </c>
      <c r="C207" s="3" t="s">
        <v>571</v>
      </c>
      <c r="D207" s="3" t="s">
        <v>4671</v>
      </c>
      <c r="E207" s="3" t="s">
        <v>4755</v>
      </c>
      <c r="F207" s="3" t="s">
        <v>572</v>
      </c>
      <c r="G207" s="3">
        <v>28.4544</v>
      </c>
      <c r="H207" s="3" t="s">
        <v>4644</v>
      </c>
      <c r="I207" s="3" t="s">
        <v>4645</v>
      </c>
      <c r="J207" s="3" t="s">
        <v>4695</v>
      </c>
      <c r="K207" s="3">
        <v>68</v>
      </c>
      <c r="L207" s="3" t="s">
        <v>4668</v>
      </c>
    </row>
    <row r="208" spans="1:12" ht="33.75" customHeight="1" x14ac:dyDescent="0.25">
      <c r="A208" s="13" t="s">
        <v>573</v>
      </c>
      <c r="B208" s="2" t="s">
        <v>574</v>
      </c>
      <c r="C208" s="2" t="s">
        <v>575</v>
      </c>
      <c r="D208" s="2" t="s">
        <v>4671</v>
      </c>
      <c r="E208" s="2" t="s">
        <v>4756</v>
      </c>
      <c r="F208" s="2" t="s">
        <v>576</v>
      </c>
      <c r="G208" s="2">
        <v>28.134399999999999</v>
      </c>
      <c r="H208" s="2" t="s">
        <v>4644</v>
      </c>
      <c r="I208" s="2" t="s">
        <v>4645</v>
      </c>
      <c r="J208" s="2" t="s">
        <v>4697</v>
      </c>
      <c r="K208" s="2">
        <v>48</v>
      </c>
      <c r="L208" s="2" t="s">
        <v>4668</v>
      </c>
    </row>
    <row r="209" spans="1:12" ht="33.75" customHeight="1" x14ac:dyDescent="0.25">
      <c r="A209" s="14" t="s">
        <v>577</v>
      </c>
      <c r="B209" s="3" t="s">
        <v>578</v>
      </c>
      <c r="C209" s="3" t="s">
        <v>579</v>
      </c>
      <c r="D209" s="3" t="s">
        <v>4757</v>
      </c>
      <c r="E209" s="3" t="s">
        <v>4758</v>
      </c>
      <c r="F209" s="3" t="s">
        <v>580</v>
      </c>
      <c r="G209" s="3">
        <v>32.374809999999997</v>
      </c>
      <c r="H209" s="3" t="s">
        <v>4644</v>
      </c>
      <c r="I209" s="3" t="s">
        <v>4645</v>
      </c>
      <c r="J209" s="3" t="s">
        <v>4652</v>
      </c>
      <c r="K209" s="3">
        <v>21</v>
      </c>
      <c r="L209" s="3" t="s">
        <v>4647</v>
      </c>
    </row>
    <row r="210" spans="1:12" ht="33.75" customHeight="1" x14ac:dyDescent="0.25">
      <c r="A210" s="13" t="s">
        <v>581</v>
      </c>
      <c r="B210" s="2" t="s">
        <v>582</v>
      </c>
      <c r="C210" s="2" t="s">
        <v>583</v>
      </c>
      <c r="D210" s="2" t="s">
        <v>4757</v>
      </c>
      <c r="E210" s="2" t="s">
        <v>4759</v>
      </c>
      <c r="F210" s="2" t="s">
        <v>584</v>
      </c>
      <c r="G210" s="2">
        <v>32.844639999999998</v>
      </c>
      <c r="H210" s="2" t="s">
        <v>4644</v>
      </c>
      <c r="I210" s="2" t="s">
        <v>4645</v>
      </c>
      <c r="J210" s="2" t="s">
        <v>4650</v>
      </c>
      <c r="K210" s="2">
        <v>24</v>
      </c>
      <c r="L210" s="2" t="s">
        <v>4647</v>
      </c>
    </row>
    <row r="211" spans="1:12" ht="33.75" customHeight="1" x14ac:dyDescent="0.25">
      <c r="A211" s="14" t="s">
        <v>585</v>
      </c>
      <c r="B211" s="3" t="s">
        <v>77</v>
      </c>
      <c r="C211" s="3" t="s">
        <v>586</v>
      </c>
      <c r="D211" s="3"/>
      <c r="E211" s="3" t="s">
        <v>4654</v>
      </c>
      <c r="F211" s="3" t="s">
        <v>79</v>
      </c>
      <c r="G211" s="3">
        <v>31.699200000000001</v>
      </c>
      <c r="H211" s="3" t="s">
        <v>4644</v>
      </c>
      <c r="I211" s="3" t="s">
        <v>4645</v>
      </c>
      <c r="J211" s="3" t="s">
        <v>4650</v>
      </c>
      <c r="K211" s="3">
        <v>30</v>
      </c>
      <c r="L211" s="3" t="s">
        <v>4647</v>
      </c>
    </row>
    <row r="212" spans="1:12" ht="33.75" customHeight="1" x14ac:dyDescent="0.25">
      <c r="A212" s="13" t="s">
        <v>587</v>
      </c>
      <c r="B212" s="2" t="s">
        <v>588</v>
      </c>
      <c r="C212" s="2" t="s">
        <v>589</v>
      </c>
      <c r="D212" s="2" t="s">
        <v>4760</v>
      </c>
      <c r="E212" s="2" t="s">
        <v>4761</v>
      </c>
      <c r="F212" s="2" t="s">
        <v>590</v>
      </c>
      <c r="G212" s="2">
        <v>29.869199999999999</v>
      </c>
      <c r="H212" s="2" t="s">
        <v>4644</v>
      </c>
      <c r="I212" s="2" t="s">
        <v>4645</v>
      </c>
      <c r="J212" s="2" t="s">
        <v>4684</v>
      </c>
      <c r="K212" s="2">
        <v>63</v>
      </c>
      <c r="L212" s="2" t="s">
        <v>4647</v>
      </c>
    </row>
    <row r="213" spans="1:12" ht="33.75" customHeight="1" x14ac:dyDescent="0.25">
      <c r="A213" s="14" t="s">
        <v>591</v>
      </c>
      <c r="B213" s="3" t="s">
        <v>386</v>
      </c>
      <c r="C213" s="3" t="s">
        <v>592</v>
      </c>
      <c r="D213" s="3" t="s">
        <v>4760</v>
      </c>
      <c r="E213" s="3" t="s">
        <v>4727</v>
      </c>
      <c r="F213" s="3" t="s">
        <v>388</v>
      </c>
      <c r="G213" s="3">
        <v>33.783799999999999</v>
      </c>
      <c r="H213" s="3" t="s">
        <v>4644</v>
      </c>
      <c r="I213" s="3" t="s">
        <v>4645</v>
      </c>
      <c r="J213" s="3" t="s">
        <v>4721</v>
      </c>
      <c r="K213" s="3">
        <v>54</v>
      </c>
      <c r="L213" s="3" t="s">
        <v>4647</v>
      </c>
    </row>
    <row r="214" spans="1:12" ht="33.75" customHeight="1" x14ac:dyDescent="0.25">
      <c r="A214" s="13" t="s">
        <v>593</v>
      </c>
      <c r="B214" s="2" t="s">
        <v>386</v>
      </c>
      <c r="C214" s="2" t="s">
        <v>594</v>
      </c>
      <c r="D214" s="2" t="s">
        <v>4760</v>
      </c>
      <c r="E214" s="2" t="s">
        <v>4727</v>
      </c>
      <c r="F214" s="2" t="s">
        <v>388</v>
      </c>
      <c r="G214" s="2">
        <v>33.783799999999999</v>
      </c>
      <c r="H214" s="2" t="s">
        <v>4644</v>
      </c>
      <c r="I214" s="2" t="s">
        <v>4645</v>
      </c>
      <c r="J214" s="2" t="s">
        <v>4721</v>
      </c>
      <c r="K214" s="2">
        <v>54</v>
      </c>
      <c r="L214" s="2" t="s">
        <v>4647</v>
      </c>
    </row>
    <row r="215" spans="1:12" ht="33.75" customHeight="1" x14ac:dyDescent="0.25">
      <c r="A215" s="14" t="s">
        <v>595</v>
      </c>
      <c r="B215" s="3" t="s">
        <v>324</v>
      </c>
      <c r="C215" s="3" t="s">
        <v>596</v>
      </c>
      <c r="D215" s="3" t="s">
        <v>4760</v>
      </c>
      <c r="E215" s="3" t="s">
        <v>4704</v>
      </c>
      <c r="F215" s="3" t="s">
        <v>326</v>
      </c>
      <c r="G215" s="3">
        <v>29.719200000000001</v>
      </c>
      <c r="H215" s="3" t="s">
        <v>4644</v>
      </c>
      <c r="I215" s="3" t="s">
        <v>4645</v>
      </c>
      <c r="J215" s="3" t="s">
        <v>4697</v>
      </c>
      <c r="K215" s="3">
        <v>45</v>
      </c>
      <c r="L215" s="3" t="s">
        <v>4647</v>
      </c>
    </row>
    <row r="216" spans="1:12" ht="33.75" customHeight="1" x14ac:dyDescent="0.25">
      <c r="A216" s="13" t="s">
        <v>597</v>
      </c>
      <c r="B216" s="2" t="s">
        <v>89</v>
      </c>
      <c r="C216" s="2" t="s">
        <v>598</v>
      </c>
      <c r="D216" s="2"/>
      <c r="E216" s="2" t="s">
        <v>4659</v>
      </c>
      <c r="F216" s="2" t="s">
        <v>91</v>
      </c>
      <c r="G216" s="2">
        <v>32.389200000000002</v>
      </c>
      <c r="H216" s="2" t="s">
        <v>4644</v>
      </c>
      <c r="I216" s="2" t="s">
        <v>4645</v>
      </c>
      <c r="J216" s="2" t="s">
        <v>4652</v>
      </c>
      <c r="K216" s="2">
        <v>30</v>
      </c>
      <c r="L216" s="2" t="s">
        <v>4647</v>
      </c>
    </row>
    <row r="217" spans="1:12" ht="33.75" customHeight="1" x14ac:dyDescent="0.25">
      <c r="A217" s="14" t="s">
        <v>599</v>
      </c>
      <c r="B217" s="3" t="s">
        <v>600</v>
      </c>
      <c r="C217" s="3" t="s">
        <v>601</v>
      </c>
      <c r="D217" s="3"/>
      <c r="E217" s="3" t="s">
        <v>4762</v>
      </c>
      <c r="F217" s="3" t="s">
        <v>602</v>
      </c>
      <c r="G217" s="3">
        <v>30.269200000000001</v>
      </c>
      <c r="H217" s="3" t="s">
        <v>4644</v>
      </c>
      <c r="I217" s="3" t="s">
        <v>4645</v>
      </c>
      <c r="J217" s="3" t="s">
        <v>4695</v>
      </c>
      <c r="K217" s="3">
        <v>63</v>
      </c>
      <c r="L217" s="3" t="s">
        <v>4647</v>
      </c>
    </row>
    <row r="218" spans="1:12" ht="33.75" customHeight="1" x14ac:dyDescent="0.25">
      <c r="A218" s="13" t="s">
        <v>603</v>
      </c>
      <c r="B218" s="2" t="s">
        <v>604</v>
      </c>
      <c r="C218" s="2" t="s">
        <v>605</v>
      </c>
      <c r="D218" s="2" t="s">
        <v>4663</v>
      </c>
      <c r="E218" s="2" t="s">
        <v>4763</v>
      </c>
      <c r="F218" s="2" t="s">
        <v>606</v>
      </c>
      <c r="G218" s="2">
        <v>31.8142</v>
      </c>
      <c r="H218" s="2" t="s">
        <v>4644</v>
      </c>
      <c r="I218" s="2" t="s">
        <v>4645</v>
      </c>
      <c r="J218" s="2" t="s">
        <v>4646</v>
      </c>
      <c r="K218" s="2">
        <v>21</v>
      </c>
      <c r="L218" s="2" t="s">
        <v>4647</v>
      </c>
    </row>
    <row r="219" spans="1:12" ht="33.75" customHeight="1" x14ac:dyDescent="0.25">
      <c r="A219" s="14" t="s">
        <v>607</v>
      </c>
      <c r="B219" s="3" t="s">
        <v>608</v>
      </c>
      <c r="C219" s="3" t="s">
        <v>609</v>
      </c>
      <c r="D219" s="3" t="s">
        <v>4648</v>
      </c>
      <c r="E219" s="3" t="s">
        <v>4764</v>
      </c>
      <c r="F219" s="3" t="s">
        <v>610</v>
      </c>
      <c r="G219" s="3">
        <v>50.456000000000003</v>
      </c>
      <c r="H219" s="3" t="s">
        <v>4644</v>
      </c>
      <c r="I219" s="3" t="s">
        <v>4645</v>
      </c>
      <c r="J219" s="3" t="s">
        <v>4735</v>
      </c>
      <c r="K219" s="3">
        <v>88</v>
      </c>
      <c r="L219" s="3" t="s">
        <v>4647</v>
      </c>
    </row>
    <row r="220" spans="1:12" ht="33.75" customHeight="1" x14ac:dyDescent="0.25">
      <c r="A220" s="13" t="s">
        <v>611</v>
      </c>
      <c r="B220" s="2" t="s">
        <v>612</v>
      </c>
      <c r="C220" s="2" t="s">
        <v>613</v>
      </c>
      <c r="D220" s="2" t="s">
        <v>4648</v>
      </c>
      <c r="E220" s="2" t="s">
        <v>4765</v>
      </c>
      <c r="F220" s="2" t="s">
        <v>614</v>
      </c>
      <c r="G220" s="2">
        <v>29.712399999999999</v>
      </c>
      <c r="H220" s="2" t="s">
        <v>4644</v>
      </c>
      <c r="I220" s="2" t="s">
        <v>4645</v>
      </c>
      <c r="J220" s="2" t="s">
        <v>4695</v>
      </c>
      <c r="K220" s="2">
        <v>63</v>
      </c>
      <c r="L220" s="2" t="s">
        <v>4647</v>
      </c>
    </row>
    <row r="221" spans="1:12" ht="33.75" customHeight="1" x14ac:dyDescent="0.25">
      <c r="A221" s="14" t="s">
        <v>615</v>
      </c>
      <c r="B221" s="3" t="s">
        <v>616</v>
      </c>
      <c r="C221" s="3" t="s">
        <v>617</v>
      </c>
      <c r="D221" s="3" t="s">
        <v>4648</v>
      </c>
      <c r="E221" s="3" t="s">
        <v>4766</v>
      </c>
      <c r="F221" s="3" t="s">
        <v>618</v>
      </c>
      <c r="G221" s="3">
        <v>49.136000000000003</v>
      </c>
      <c r="H221" s="3" t="s">
        <v>4644</v>
      </c>
      <c r="I221" s="3" t="s">
        <v>4645</v>
      </c>
      <c r="J221" s="3" t="s">
        <v>4697</v>
      </c>
      <c r="K221" s="3">
        <v>60</v>
      </c>
      <c r="L221" s="3" t="s">
        <v>4647</v>
      </c>
    </row>
    <row r="222" spans="1:12" ht="33.75" customHeight="1" x14ac:dyDescent="0.25">
      <c r="A222" s="13" t="s">
        <v>619</v>
      </c>
      <c r="B222" s="2" t="s">
        <v>620</v>
      </c>
      <c r="C222" s="2" t="s">
        <v>621</v>
      </c>
      <c r="D222" s="2" t="s">
        <v>4648</v>
      </c>
      <c r="E222" s="2" t="s">
        <v>4767</v>
      </c>
      <c r="F222" s="2" t="s">
        <v>622</v>
      </c>
      <c r="G222" s="2">
        <v>47.695999999999998</v>
      </c>
      <c r="H222" s="2" t="s">
        <v>4644</v>
      </c>
      <c r="I222" s="2" t="s">
        <v>4645</v>
      </c>
      <c r="J222" s="2" t="s">
        <v>4723</v>
      </c>
      <c r="K222" s="2">
        <v>68</v>
      </c>
      <c r="L222" s="2" t="s">
        <v>4647</v>
      </c>
    </row>
    <row r="223" spans="1:12" ht="33.75" customHeight="1" x14ac:dyDescent="0.25">
      <c r="A223" s="14" t="s">
        <v>623</v>
      </c>
      <c r="B223" s="3" t="s">
        <v>624</v>
      </c>
      <c r="C223" s="3" t="s">
        <v>625</v>
      </c>
      <c r="D223" s="3" t="s">
        <v>4648</v>
      </c>
      <c r="E223" s="3" t="s">
        <v>4768</v>
      </c>
      <c r="F223" s="3" t="s">
        <v>626</v>
      </c>
      <c r="G223" s="3">
        <v>47.403410000000001</v>
      </c>
      <c r="H223" s="3" t="s">
        <v>4644</v>
      </c>
      <c r="I223" s="3" t="s">
        <v>4645</v>
      </c>
      <c r="J223" s="3" t="s">
        <v>4719</v>
      </c>
      <c r="K223" s="3">
        <v>63</v>
      </c>
      <c r="L223" s="3" t="s">
        <v>4647</v>
      </c>
    </row>
    <row r="224" spans="1:12" ht="33.75" customHeight="1" x14ac:dyDescent="0.25">
      <c r="A224" s="13" t="s">
        <v>627</v>
      </c>
      <c r="B224" s="2" t="s">
        <v>628</v>
      </c>
      <c r="C224" s="2" t="s">
        <v>629</v>
      </c>
      <c r="D224" s="2" t="s">
        <v>4648</v>
      </c>
      <c r="E224" s="2" t="s">
        <v>4769</v>
      </c>
      <c r="F224" s="2" t="s">
        <v>630</v>
      </c>
      <c r="G224" s="2">
        <v>50.954000000000001</v>
      </c>
      <c r="H224" s="2" t="s">
        <v>4644</v>
      </c>
      <c r="I224" s="2" t="s">
        <v>4645</v>
      </c>
      <c r="J224" s="2" t="s">
        <v>4770</v>
      </c>
      <c r="K224" s="2">
        <v>57</v>
      </c>
      <c r="L224" s="2" t="s">
        <v>4647</v>
      </c>
    </row>
    <row r="225" spans="1:12" ht="33.75" customHeight="1" x14ac:dyDescent="0.25">
      <c r="A225" s="14" t="s">
        <v>631</v>
      </c>
      <c r="B225" s="3" t="s">
        <v>632</v>
      </c>
      <c r="C225" s="3" t="s">
        <v>633</v>
      </c>
      <c r="D225" s="3" t="s">
        <v>4771</v>
      </c>
      <c r="E225" s="3" t="s">
        <v>4772</v>
      </c>
      <c r="F225" s="3" t="s">
        <v>634</v>
      </c>
      <c r="G225" s="3">
        <v>27.795079999999999</v>
      </c>
      <c r="H225" s="3" t="s">
        <v>4644</v>
      </c>
      <c r="I225" s="3" t="s">
        <v>4645</v>
      </c>
      <c r="J225" s="3" t="s">
        <v>4695</v>
      </c>
      <c r="K225" s="3">
        <v>51</v>
      </c>
      <c r="L225" s="3" t="s">
        <v>4668</v>
      </c>
    </row>
    <row r="226" spans="1:12" ht="33.75" customHeight="1" x14ac:dyDescent="0.25">
      <c r="A226" s="13" t="s">
        <v>635</v>
      </c>
      <c r="B226" s="2" t="s">
        <v>120</v>
      </c>
      <c r="C226" s="2" t="s">
        <v>636</v>
      </c>
      <c r="D226" s="2" t="s">
        <v>4698</v>
      </c>
      <c r="E226" s="2" t="s">
        <v>4662</v>
      </c>
      <c r="F226" s="2" t="s">
        <v>122</v>
      </c>
      <c r="G226" s="2">
        <v>33.349800000000002</v>
      </c>
      <c r="H226" s="2" t="s">
        <v>4644</v>
      </c>
      <c r="I226" s="2" t="s">
        <v>4645</v>
      </c>
      <c r="J226" s="2" t="s">
        <v>4656</v>
      </c>
      <c r="K226" s="2">
        <v>45</v>
      </c>
      <c r="L226" s="2" t="s">
        <v>4647</v>
      </c>
    </row>
    <row r="227" spans="1:12" ht="33.75" customHeight="1" x14ac:dyDescent="0.25">
      <c r="A227" s="14" t="s">
        <v>637</v>
      </c>
      <c r="B227" s="3" t="s">
        <v>612</v>
      </c>
      <c r="C227" s="3" t="s">
        <v>638</v>
      </c>
      <c r="D227" s="3" t="s">
        <v>4648</v>
      </c>
      <c r="E227" s="3" t="s">
        <v>4765</v>
      </c>
      <c r="F227" s="3" t="s">
        <v>614</v>
      </c>
      <c r="G227" s="3">
        <v>29.712399999999999</v>
      </c>
      <c r="H227" s="3" t="s">
        <v>4644</v>
      </c>
      <c r="I227" s="3" t="s">
        <v>4645</v>
      </c>
      <c r="J227" s="3" t="s">
        <v>4695</v>
      </c>
      <c r="K227" s="3">
        <v>63</v>
      </c>
      <c r="L227" s="3" t="s">
        <v>4647</v>
      </c>
    </row>
    <row r="228" spans="1:12" ht="33.75" customHeight="1" x14ac:dyDescent="0.25">
      <c r="A228" s="13" t="s">
        <v>639</v>
      </c>
      <c r="B228" s="2" t="s">
        <v>404</v>
      </c>
      <c r="C228" s="2" t="s">
        <v>640</v>
      </c>
      <c r="D228" s="2" t="s">
        <v>4773</v>
      </c>
      <c r="E228" s="2" t="s">
        <v>4731</v>
      </c>
      <c r="F228" s="2" t="s">
        <v>406</v>
      </c>
      <c r="G228" s="2">
        <v>29.999199999999998</v>
      </c>
      <c r="H228" s="2" t="s">
        <v>4644</v>
      </c>
      <c r="I228" s="2" t="s">
        <v>4645</v>
      </c>
      <c r="J228" s="2" t="s">
        <v>4695</v>
      </c>
      <c r="K228" s="2">
        <v>63</v>
      </c>
      <c r="L228" s="2" t="s">
        <v>4647</v>
      </c>
    </row>
    <row r="229" spans="1:12" ht="33.75" customHeight="1" x14ac:dyDescent="0.25">
      <c r="A229" s="14" t="s">
        <v>641</v>
      </c>
      <c r="B229" s="3" t="s">
        <v>89</v>
      </c>
      <c r="C229" s="3" t="s">
        <v>642</v>
      </c>
      <c r="D229" s="3" t="s">
        <v>4773</v>
      </c>
      <c r="E229" s="3" t="s">
        <v>4659</v>
      </c>
      <c r="F229" s="3" t="s">
        <v>91</v>
      </c>
      <c r="G229" s="3">
        <v>32.389200000000002</v>
      </c>
      <c r="H229" s="3" t="s">
        <v>4644</v>
      </c>
      <c r="I229" s="3" t="s">
        <v>4645</v>
      </c>
      <c r="J229" s="3" t="s">
        <v>4652</v>
      </c>
      <c r="K229" s="3">
        <v>30</v>
      </c>
      <c r="L229" s="3" t="s">
        <v>4647</v>
      </c>
    </row>
    <row r="230" spans="1:12" ht="33.75" customHeight="1" x14ac:dyDescent="0.25">
      <c r="A230" s="13" t="s">
        <v>643</v>
      </c>
      <c r="B230" s="2" t="s">
        <v>644</v>
      </c>
      <c r="C230" s="2" t="s">
        <v>645</v>
      </c>
      <c r="D230" s="2" t="s">
        <v>4648</v>
      </c>
      <c r="E230" s="2" t="s">
        <v>4774</v>
      </c>
      <c r="F230" s="2" t="s">
        <v>646</v>
      </c>
      <c r="G230" s="2">
        <v>33.864400000000003</v>
      </c>
      <c r="H230" s="2" t="s">
        <v>4644</v>
      </c>
      <c r="I230" s="2" t="s">
        <v>4645</v>
      </c>
      <c r="J230" s="2" t="s">
        <v>4770</v>
      </c>
      <c r="K230" s="2">
        <v>63</v>
      </c>
      <c r="L230" s="2" t="s">
        <v>4647</v>
      </c>
    </row>
    <row r="231" spans="1:12" ht="33.75" customHeight="1" x14ac:dyDescent="0.25">
      <c r="A231" s="14" t="s">
        <v>647</v>
      </c>
      <c r="B231" s="3" t="s">
        <v>644</v>
      </c>
      <c r="C231" s="3" t="s">
        <v>648</v>
      </c>
      <c r="D231" s="3" t="s">
        <v>4648</v>
      </c>
      <c r="E231" s="3" t="s">
        <v>4774</v>
      </c>
      <c r="F231" s="3" t="s">
        <v>646</v>
      </c>
      <c r="G231" s="3">
        <v>33.864400000000003</v>
      </c>
      <c r="H231" s="3" t="s">
        <v>4644</v>
      </c>
      <c r="I231" s="3" t="s">
        <v>4645</v>
      </c>
      <c r="J231" s="3" t="s">
        <v>4770</v>
      </c>
      <c r="K231" s="3">
        <v>63</v>
      </c>
      <c r="L231" s="3" t="s">
        <v>4647</v>
      </c>
    </row>
    <row r="232" spans="1:12" ht="33.75" customHeight="1" x14ac:dyDescent="0.25">
      <c r="A232" s="13" t="s">
        <v>649</v>
      </c>
      <c r="B232" s="2" t="s">
        <v>650</v>
      </c>
      <c r="C232" s="2" t="s">
        <v>651</v>
      </c>
      <c r="D232" s="2" t="s">
        <v>4648</v>
      </c>
      <c r="E232" s="2" t="s">
        <v>4775</v>
      </c>
      <c r="F232" s="2" t="s">
        <v>652</v>
      </c>
      <c r="G232" s="2">
        <v>33.497</v>
      </c>
      <c r="H232" s="2" t="s">
        <v>4644</v>
      </c>
      <c r="I232" s="2" t="s">
        <v>4645</v>
      </c>
      <c r="J232" s="2" t="s">
        <v>4721</v>
      </c>
      <c r="K232" s="2">
        <v>54</v>
      </c>
      <c r="L232" s="2" t="s">
        <v>4647</v>
      </c>
    </row>
    <row r="233" spans="1:12" ht="33.75" customHeight="1" x14ac:dyDescent="0.25">
      <c r="A233" s="14" t="s">
        <v>653</v>
      </c>
      <c r="B233" s="3" t="s">
        <v>650</v>
      </c>
      <c r="C233" s="3" t="s">
        <v>654</v>
      </c>
      <c r="D233" s="3" t="s">
        <v>4648</v>
      </c>
      <c r="E233" s="3" t="s">
        <v>4775</v>
      </c>
      <c r="F233" s="3" t="s">
        <v>652</v>
      </c>
      <c r="G233" s="3">
        <v>33.497</v>
      </c>
      <c r="H233" s="3" t="s">
        <v>4644</v>
      </c>
      <c r="I233" s="3" t="s">
        <v>4645</v>
      </c>
      <c r="J233" s="3" t="s">
        <v>4721</v>
      </c>
      <c r="K233" s="3">
        <v>54</v>
      </c>
      <c r="L233" s="3" t="s">
        <v>4647</v>
      </c>
    </row>
    <row r="234" spans="1:12" ht="33.75" customHeight="1" x14ac:dyDescent="0.25">
      <c r="A234" s="13" t="s">
        <v>655</v>
      </c>
      <c r="B234" s="2" t="s">
        <v>656</v>
      </c>
      <c r="C234" s="2" t="s">
        <v>657</v>
      </c>
      <c r="D234" s="2" t="s">
        <v>4648</v>
      </c>
      <c r="E234" s="2" t="s">
        <v>4776</v>
      </c>
      <c r="F234" s="2" t="s">
        <v>658</v>
      </c>
      <c r="G234" s="2">
        <v>30.368400000000001</v>
      </c>
      <c r="H234" s="2" t="s">
        <v>4644</v>
      </c>
      <c r="I234" s="2" t="s">
        <v>4645</v>
      </c>
      <c r="J234" s="2" t="s">
        <v>4735</v>
      </c>
      <c r="K234" s="2">
        <v>72</v>
      </c>
      <c r="L234" s="2" t="s">
        <v>4647</v>
      </c>
    </row>
    <row r="235" spans="1:12" ht="33.75" customHeight="1" x14ac:dyDescent="0.25">
      <c r="A235" s="14" t="s">
        <v>659</v>
      </c>
      <c r="B235" s="3" t="s">
        <v>612</v>
      </c>
      <c r="C235" s="3" t="s">
        <v>660</v>
      </c>
      <c r="D235" s="3" t="s">
        <v>4648</v>
      </c>
      <c r="E235" s="3" t="s">
        <v>4765</v>
      </c>
      <c r="F235" s="3" t="s">
        <v>614</v>
      </c>
      <c r="G235" s="3">
        <v>29.712399999999999</v>
      </c>
      <c r="H235" s="3" t="s">
        <v>4644</v>
      </c>
      <c r="I235" s="3" t="s">
        <v>4645</v>
      </c>
      <c r="J235" s="3" t="s">
        <v>4695</v>
      </c>
      <c r="K235" s="3">
        <v>63</v>
      </c>
      <c r="L235" s="3" t="s">
        <v>4647</v>
      </c>
    </row>
    <row r="236" spans="1:12" ht="33.75" customHeight="1" x14ac:dyDescent="0.25">
      <c r="A236" s="13" t="s">
        <v>661</v>
      </c>
      <c r="B236" s="2" t="s">
        <v>612</v>
      </c>
      <c r="C236" s="2" t="s">
        <v>660</v>
      </c>
      <c r="D236" s="2" t="s">
        <v>4648</v>
      </c>
      <c r="E236" s="2" t="s">
        <v>4765</v>
      </c>
      <c r="F236" s="2" t="s">
        <v>614</v>
      </c>
      <c r="G236" s="2">
        <v>29.712399999999999</v>
      </c>
      <c r="H236" s="2" t="s">
        <v>4644</v>
      </c>
      <c r="I236" s="2" t="s">
        <v>4645</v>
      </c>
      <c r="J236" s="2" t="s">
        <v>4695</v>
      </c>
      <c r="K236" s="2">
        <v>63</v>
      </c>
      <c r="L236" s="2" t="s">
        <v>4647</v>
      </c>
    </row>
    <row r="237" spans="1:12" ht="33.75" customHeight="1" x14ac:dyDescent="0.25">
      <c r="A237" s="14" t="s">
        <v>662</v>
      </c>
      <c r="B237" s="3" t="s">
        <v>612</v>
      </c>
      <c r="C237" s="3" t="s">
        <v>663</v>
      </c>
      <c r="D237" s="3" t="s">
        <v>4648</v>
      </c>
      <c r="E237" s="3" t="s">
        <v>4765</v>
      </c>
      <c r="F237" s="3" t="s">
        <v>614</v>
      </c>
      <c r="G237" s="3">
        <v>29.712399999999999</v>
      </c>
      <c r="H237" s="3" t="s">
        <v>4644</v>
      </c>
      <c r="I237" s="3" t="s">
        <v>4645</v>
      </c>
      <c r="J237" s="3" t="s">
        <v>4695</v>
      </c>
      <c r="K237" s="3">
        <v>63</v>
      </c>
      <c r="L237" s="3" t="s">
        <v>4647</v>
      </c>
    </row>
    <row r="238" spans="1:12" ht="33.75" customHeight="1" x14ac:dyDescent="0.25">
      <c r="A238" s="13" t="s">
        <v>664</v>
      </c>
      <c r="B238" s="2" t="s">
        <v>665</v>
      </c>
      <c r="C238" s="2" t="s">
        <v>666</v>
      </c>
      <c r="D238" s="2" t="s">
        <v>4648</v>
      </c>
      <c r="E238" s="2" t="s">
        <v>4777</v>
      </c>
      <c r="F238" s="2" t="s">
        <v>667</v>
      </c>
      <c r="G238" s="2">
        <v>29.432400000000001</v>
      </c>
      <c r="H238" s="2" t="s">
        <v>4644</v>
      </c>
      <c r="I238" s="2" t="s">
        <v>4645</v>
      </c>
      <c r="J238" s="2" t="s">
        <v>4697</v>
      </c>
      <c r="K238" s="2">
        <v>45</v>
      </c>
      <c r="L238" s="2" t="s">
        <v>4647</v>
      </c>
    </row>
    <row r="239" spans="1:12" ht="33.75" customHeight="1" x14ac:dyDescent="0.25">
      <c r="A239" s="14" t="s">
        <v>668</v>
      </c>
      <c r="B239" s="3" t="s">
        <v>669</v>
      </c>
      <c r="C239" s="3" t="s">
        <v>670</v>
      </c>
      <c r="D239" s="3" t="s">
        <v>4648</v>
      </c>
      <c r="E239" s="3" t="s">
        <v>4778</v>
      </c>
      <c r="F239" s="3" t="s">
        <v>671</v>
      </c>
      <c r="G239" s="3">
        <v>29.982399999999998</v>
      </c>
      <c r="H239" s="3" t="s">
        <v>4644</v>
      </c>
      <c r="I239" s="3" t="s">
        <v>4645</v>
      </c>
      <c r="J239" s="3" t="s">
        <v>4710</v>
      </c>
      <c r="K239" s="3">
        <v>87</v>
      </c>
      <c r="L239" s="3" t="s">
        <v>4647</v>
      </c>
    </row>
    <row r="240" spans="1:12" ht="33.75" customHeight="1" x14ac:dyDescent="0.25">
      <c r="A240" s="13" t="s">
        <v>672</v>
      </c>
      <c r="B240" s="2" t="s">
        <v>673</v>
      </c>
      <c r="C240" s="2" t="s">
        <v>674</v>
      </c>
      <c r="D240" s="2" t="s">
        <v>4648</v>
      </c>
      <c r="E240" s="2" t="s">
        <v>4779</v>
      </c>
      <c r="F240" s="2" t="s">
        <v>675</v>
      </c>
      <c r="G240" s="2">
        <v>29.5824</v>
      </c>
      <c r="H240" s="2" t="s">
        <v>4644</v>
      </c>
      <c r="I240" s="2" t="s">
        <v>4645</v>
      </c>
      <c r="J240" s="2" t="s">
        <v>4684</v>
      </c>
      <c r="K240" s="2">
        <v>63</v>
      </c>
      <c r="L240" s="2" t="s">
        <v>4647</v>
      </c>
    </row>
    <row r="241" spans="1:12" ht="33.75" customHeight="1" x14ac:dyDescent="0.25">
      <c r="A241" s="14" t="s">
        <v>676</v>
      </c>
      <c r="B241" s="3" t="s">
        <v>677</v>
      </c>
      <c r="C241" s="3" t="s">
        <v>678</v>
      </c>
      <c r="D241" s="3" t="s">
        <v>4648</v>
      </c>
      <c r="E241" s="3" t="s">
        <v>4780</v>
      </c>
      <c r="F241" s="3" t="s">
        <v>679</v>
      </c>
      <c r="G241" s="3">
        <v>30.3504</v>
      </c>
      <c r="H241" s="3" t="s">
        <v>4644</v>
      </c>
      <c r="I241" s="3" t="s">
        <v>4645</v>
      </c>
      <c r="J241" s="3" t="s">
        <v>4693</v>
      </c>
      <c r="K241" s="3">
        <v>72</v>
      </c>
      <c r="L241" s="3" t="s">
        <v>4647</v>
      </c>
    </row>
    <row r="242" spans="1:12" ht="33.75" customHeight="1" x14ac:dyDescent="0.25">
      <c r="A242" s="13" t="s">
        <v>680</v>
      </c>
      <c r="B242" s="2" t="s">
        <v>681</v>
      </c>
      <c r="C242" s="2" t="s">
        <v>682</v>
      </c>
      <c r="D242" s="2" t="s">
        <v>4648</v>
      </c>
      <c r="E242" s="2" t="s">
        <v>4781</v>
      </c>
      <c r="F242" s="2" t="s">
        <v>683</v>
      </c>
      <c r="G242" s="2">
        <v>34.743600000000001</v>
      </c>
      <c r="H242" s="2" t="s">
        <v>4644</v>
      </c>
      <c r="I242" s="2" t="s">
        <v>4645</v>
      </c>
      <c r="J242" s="2" t="s">
        <v>4726</v>
      </c>
      <c r="K242" s="2">
        <v>96</v>
      </c>
      <c r="L242" s="2" t="s">
        <v>4647</v>
      </c>
    </row>
    <row r="243" spans="1:12" ht="33.75" customHeight="1" x14ac:dyDescent="0.25">
      <c r="A243" s="14" t="s">
        <v>684</v>
      </c>
      <c r="B243" s="3" t="s">
        <v>681</v>
      </c>
      <c r="C243" s="3" t="s">
        <v>685</v>
      </c>
      <c r="D243" s="3" t="s">
        <v>4648</v>
      </c>
      <c r="E243" s="3" t="s">
        <v>4781</v>
      </c>
      <c r="F243" s="3" t="s">
        <v>683</v>
      </c>
      <c r="G243" s="3">
        <v>34.743600000000001</v>
      </c>
      <c r="H243" s="3" t="s">
        <v>4644</v>
      </c>
      <c r="I243" s="3" t="s">
        <v>4645</v>
      </c>
      <c r="J243" s="3" t="s">
        <v>4726</v>
      </c>
      <c r="K243" s="3">
        <v>96</v>
      </c>
      <c r="L243" s="3" t="s">
        <v>4647</v>
      </c>
    </row>
    <row r="244" spans="1:12" ht="33.75" customHeight="1" x14ac:dyDescent="0.25">
      <c r="A244" s="13" t="s">
        <v>686</v>
      </c>
      <c r="B244" s="2" t="s">
        <v>687</v>
      </c>
      <c r="C244" s="2" t="s">
        <v>688</v>
      </c>
      <c r="D244" s="2" t="s">
        <v>4648</v>
      </c>
      <c r="E244" s="2" t="s">
        <v>4782</v>
      </c>
      <c r="F244" s="2" t="s">
        <v>689</v>
      </c>
      <c r="G244" s="2">
        <v>34.045439999999999</v>
      </c>
      <c r="H244" s="2" t="s">
        <v>4644</v>
      </c>
      <c r="I244" s="2" t="s">
        <v>4645</v>
      </c>
      <c r="J244" s="2" t="s">
        <v>4719</v>
      </c>
      <c r="K244" s="2">
        <v>72</v>
      </c>
      <c r="L244" s="2" t="s">
        <v>4647</v>
      </c>
    </row>
    <row r="245" spans="1:12" ht="33.75" customHeight="1" x14ac:dyDescent="0.25">
      <c r="A245" s="14" t="s">
        <v>690</v>
      </c>
      <c r="B245" s="3" t="s">
        <v>644</v>
      </c>
      <c r="C245" s="3" t="s">
        <v>691</v>
      </c>
      <c r="D245" s="3" t="s">
        <v>4648</v>
      </c>
      <c r="E245" s="3" t="s">
        <v>4774</v>
      </c>
      <c r="F245" s="3" t="s">
        <v>646</v>
      </c>
      <c r="G245" s="3">
        <v>33.864400000000003</v>
      </c>
      <c r="H245" s="3" t="s">
        <v>4644</v>
      </c>
      <c r="I245" s="3" t="s">
        <v>4645</v>
      </c>
      <c r="J245" s="3" t="s">
        <v>4770</v>
      </c>
      <c r="K245" s="3">
        <v>63</v>
      </c>
      <c r="L245" s="3" t="s">
        <v>4647</v>
      </c>
    </row>
    <row r="246" spans="1:12" ht="33.75" customHeight="1" x14ac:dyDescent="0.25">
      <c r="A246" s="13" t="s">
        <v>692</v>
      </c>
      <c r="B246" s="2" t="s">
        <v>650</v>
      </c>
      <c r="C246" s="2" t="s">
        <v>693</v>
      </c>
      <c r="D246" s="2" t="s">
        <v>4648</v>
      </c>
      <c r="E246" s="2" t="s">
        <v>4775</v>
      </c>
      <c r="F246" s="2" t="s">
        <v>652</v>
      </c>
      <c r="G246" s="2">
        <v>33.497</v>
      </c>
      <c r="H246" s="2" t="s">
        <v>4644</v>
      </c>
      <c r="I246" s="2" t="s">
        <v>4645</v>
      </c>
      <c r="J246" s="2" t="s">
        <v>4721</v>
      </c>
      <c r="K246" s="2">
        <v>54</v>
      </c>
      <c r="L246" s="2" t="s">
        <v>4647</v>
      </c>
    </row>
    <row r="247" spans="1:12" ht="33.75" customHeight="1" x14ac:dyDescent="0.25">
      <c r="A247" s="14" t="s">
        <v>694</v>
      </c>
      <c r="B247" s="3" t="s">
        <v>695</v>
      </c>
      <c r="C247" s="3" t="s">
        <v>696</v>
      </c>
      <c r="D247" s="3" t="s">
        <v>4648</v>
      </c>
      <c r="E247" s="3" t="s">
        <v>4783</v>
      </c>
      <c r="F247" s="3" t="s">
        <v>697</v>
      </c>
      <c r="G247" s="3">
        <v>30.502400000000002</v>
      </c>
      <c r="H247" s="3" t="s">
        <v>4644</v>
      </c>
      <c r="I247" s="3" t="s">
        <v>4645</v>
      </c>
      <c r="J247" s="3" t="s">
        <v>4733</v>
      </c>
      <c r="K247" s="3">
        <v>87</v>
      </c>
      <c r="L247" s="3" t="s">
        <v>4647</v>
      </c>
    </row>
    <row r="248" spans="1:12" ht="33.75" customHeight="1" x14ac:dyDescent="0.25">
      <c r="A248" s="13" t="s">
        <v>698</v>
      </c>
      <c r="B248" s="2" t="s">
        <v>695</v>
      </c>
      <c r="C248" s="2" t="s">
        <v>699</v>
      </c>
      <c r="D248" s="2" t="s">
        <v>4648</v>
      </c>
      <c r="E248" s="2" t="s">
        <v>4783</v>
      </c>
      <c r="F248" s="2" t="s">
        <v>697</v>
      </c>
      <c r="G248" s="2">
        <v>30.502400000000002</v>
      </c>
      <c r="H248" s="2" t="s">
        <v>4644</v>
      </c>
      <c r="I248" s="2" t="s">
        <v>4645</v>
      </c>
      <c r="J248" s="2" t="s">
        <v>4710</v>
      </c>
      <c r="K248" s="2">
        <v>87</v>
      </c>
      <c r="L248" s="2" t="s">
        <v>4647</v>
      </c>
    </row>
    <row r="249" spans="1:12" ht="33.75" customHeight="1" x14ac:dyDescent="0.25">
      <c r="A249" s="14" t="s">
        <v>700</v>
      </c>
      <c r="B249" s="3" t="s">
        <v>656</v>
      </c>
      <c r="C249" s="3" t="s">
        <v>701</v>
      </c>
      <c r="D249" s="3" t="s">
        <v>4648</v>
      </c>
      <c r="E249" s="3" t="s">
        <v>4776</v>
      </c>
      <c r="F249" s="3" t="s">
        <v>658</v>
      </c>
      <c r="G249" s="3">
        <v>30.368400000000001</v>
      </c>
      <c r="H249" s="3" t="s">
        <v>4644</v>
      </c>
      <c r="I249" s="3" t="s">
        <v>4645</v>
      </c>
      <c r="J249" s="3" t="s">
        <v>4735</v>
      </c>
      <c r="K249" s="3">
        <v>72</v>
      </c>
      <c r="L249" s="3" t="s">
        <v>4647</v>
      </c>
    </row>
    <row r="250" spans="1:12" ht="33.75" customHeight="1" x14ac:dyDescent="0.25">
      <c r="A250" s="13" t="s">
        <v>702</v>
      </c>
      <c r="B250" s="2" t="s">
        <v>656</v>
      </c>
      <c r="C250" s="2" t="s">
        <v>703</v>
      </c>
      <c r="D250" s="2" t="s">
        <v>4648</v>
      </c>
      <c r="E250" s="2" t="s">
        <v>4776</v>
      </c>
      <c r="F250" s="2" t="s">
        <v>658</v>
      </c>
      <c r="G250" s="2">
        <v>30.368400000000001</v>
      </c>
      <c r="H250" s="2" t="s">
        <v>4644</v>
      </c>
      <c r="I250" s="2" t="s">
        <v>4645</v>
      </c>
      <c r="J250" s="2" t="s">
        <v>4682</v>
      </c>
      <c r="K250" s="2">
        <v>72</v>
      </c>
      <c r="L250" s="2" t="s">
        <v>4647</v>
      </c>
    </row>
    <row r="251" spans="1:12" ht="33.75" customHeight="1" x14ac:dyDescent="0.25">
      <c r="A251" s="14" t="s">
        <v>704</v>
      </c>
      <c r="B251" s="3" t="s">
        <v>612</v>
      </c>
      <c r="C251" s="3" t="s">
        <v>705</v>
      </c>
      <c r="D251" s="3" t="s">
        <v>4648</v>
      </c>
      <c r="E251" s="3" t="s">
        <v>4765</v>
      </c>
      <c r="F251" s="3" t="s">
        <v>614</v>
      </c>
      <c r="G251" s="3">
        <v>29.712399999999999</v>
      </c>
      <c r="H251" s="3" t="s">
        <v>4644</v>
      </c>
      <c r="I251" s="3" t="s">
        <v>4645</v>
      </c>
      <c r="J251" s="3" t="s">
        <v>4695</v>
      </c>
      <c r="K251" s="3">
        <v>63</v>
      </c>
      <c r="L251" s="3" t="s">
        <v>4647</v>
      </c>
    </row>
    <row r="252" spans="1:12" ht="33.75" customHeight="1" x14ac:dyDescent="0.25">
      <c r="A252" s="13" t="s">
        <v>706</v>
      </c>
      <c r="B252" s="2" t="s">
        <v>612</v>
      </c>
      <c r="C252" s="2" t="s">
        <v>705</v>
      </c>
      <c r="D252" s="2" t="s">
        <v>4648</v>
      </c>
      <c r="E252" s="2" t="s">
        <v>4765</v>
      </c>
      <c r="F252" s="2" t="s">
        <v>614</v>
      </c>
      <c r="G252" s="2">
        <v>29.712399999999999</v>
      </c>
      <c r="H252" s="2" t="s">
        <v>4644</v>
      </c>
      <c r="I252" s="2" t="s">
        <v>4645</v>
      </c>
      <c r="J252" s="2" t="s">
        <v>4695</v>
      </c>
      <c r="K252" s="2">
        <v>63</v>
      </c>
      <c r="L252" s="2" t="s">
        <v>4647</v>
      </c>
    </row>
    <row r="253" spans="1:12" ht="33.75" customHeight="1" x14ac:dyDescent="0.25">
      <c r="A253" s="14" t="s">
        <v>707</v>
      </c>
      <c r="B253" s="3" t="s">
        <v>673</v>
      </c>
      <c r="C253" s="3" t="s">
        <v>708</v>
      </c>
      <c r="D253" s="3" t="s">
        <v>4648</v>
      </c>
      <c r="E253" s="3" t="s">
        <v>4779</v>
      </c>
      <c r="F253" s="3" t="s">
        <v>675</v>
      </c>
      <c r="G253" s="3">
        <v>29.5824</v>
      </c>
      <c r="H253" s="3" t="s">
        <v>4644</v>
      </c>
      <c r="I253" s="3" t="s">
        <v>4645</v>
      </c>
      <c r="J253" s="3" t="s">
        <v>4684</v>
      </c>
      <c r="K253" s="3">
        <v>63</v>
      </c>
      <c r="L253" s="3" t="s">
        <v>4647</v>
      </c>
    </row>
    <row r="254" spans="1:12" ht="33.75" customHeight="1" x14ac:dyDescent="0.25">
      <c r="A254" s="13" t="s">
        <v>709</v>
      </c>
      <c r="B254" s="2" t="s">
        <v>677</v>
      </c>
      <c r="C254" s="2" t="s">
        <v>710</v>
      </c>
      <c r="D254" s="2" t="s">
        <v>4648</v>
      </c>
      <c r="E254" s="2" t="s">
        <v>4780</v>
      </c>
      <c r="F254" s="2" t="s">
        <v>679</v>
      </c>
      <c r="G254" s="2">
        <v>30.3504</v>
      </c>
      <c r="H254" s="2" t="s">
        <v>4644</v>
      </c>
      <c r="I254" s="2" t="s">
        <v>4645</v>
      </c>
      <c r="J254" s="2" t="s">
        <v>4723</v>
      </c>
      <c r="K254" s="2">
        <v>72</v>
      </c>
      <c r="L254" s="2" t="s">
        <v>4647</v>
      </c>
    </row>
    <row r="255" spans="1:12" ht="33.75" customHeight="1" x14ac:dyDescent="0.25">
      <c r="A255" s="14" t="s">
        <v>711</v>
      </c>
      <c r="B255" s="3" t="s">
        <v>677</v>
      </c>
      <c r="C255" s="3" t="s">
        <v>712</v>
      </c>
      <c r="D255" s="3" t="s">
        <v>4648</v>
      </c>
      <c r="E255" s="3" t="s">
        <v>4780</v>
      </c>
      <c r="F255" s="3" t="s">
        <v>679</v>
      </c>
      <c r="G255" s="3">
        <v>30.3504</v>
      </c>
      <c r="H255" s="3" t="s">
        <v>4644</v>
      </c>
      <c r="I255" s="3" t="s">
        <v>4645</v>
      </c>
      <c r="J255" s="3" t="s">
        <v>4693</v>
      </c>
      <c r="K255" s="3">
        <v>72</v>
      </c>
      <c r="L255" s="3" t="s">
        <v>4647</v>
      </c>
    </row>
    <row r="256" spans="1:12" ht="33.75" customHeight="1" x14ac:dyDescent="0.25">
      <c r="A256" s="13" t="s">
        <v>713</v>
      </c>
      <c r="B256" s="2" t="s">
        <v>714</v>
      </c>
      <c r="C256" s="2" t="s">
        <v>715</v>
      </c>
      <c r="D256" s="2" t="s">
        <v>4648</v>
      </c>
      <c r="E256" s="2" t="s">
        <v>4784</v>
      </c>
      <c r="F256" s="2" t="s">
        <v>716</v>
      </c>
      <c r="G256" s="2">
        <v>34.793999999999997</v>
      </c>
      <c r="H256" s="2" t="s">
        <v>4644</v>
      </c>
      <c r="I256" s="2" t="s">
        <v>4645</v>
      </c>
      <c r="J256" s="2" t="s">
        <v>4729</v>
      </c>
      <c r="K256" s="2">
        <v>120</v>
      </c>
      <c r="L256" s="2" t="s">
        <v>4647</v>
      </c>
    </row>
    <row r="257" spans="1:12" ht="33.75" customHeight="1" x14ac:dyDescent="0.25">
      <c r="A257" s="14" t="s">
        <v>717</v>
      </c>
      <c r="B257" s="3" t="s">
        <v>681</v>
      </c>
      <c r="C257" s="3" t="s">
        <v>718</v>
      </c>
      <c r="D257" s="3" t="s">
        <v>4648</v>
      </c>
      <c r="E257" s="3" t="s">
        <v>4781</v>
      </c>
      <c r="F257" s="3" t="s">
        <v>683</v>
      </c>
      <c r="G257" s="3">
        <v>34.743600000000001</v>
      </c>
      <c r="H257" s="3" t="s">
        <v>4644</v>
      </c>
      <c r="I257" s="3" t="s">
        <v>4645</v>
      </c>
      <c r="J257" s="3" t="s">
        <v>4726</v>
      </c>
      <c r="K257" s="3">
        <v>96</v>
      </c>
      <c r="L257" s="3" t="s">
        <v>4647</v>
      </c>
    </row>
    <row r="258" spans="1:12" ht="33.75" customHeight="1" x14ac:dyDescent="0.25">
      <c r="A258" s="13" t="s">
        <v>719</v>
      </c>
      <c r="B258" s="2" t="s">
        <v>720</v>
      </c>
      <c r="C258" s="2" t="s">
        <v>721</v>
      </c>
      <c r="D258" s="2" t="s">
        <v>4648</v>
      </c>
      <c r="E258" s="2" t="s">
        <v>4785</v>
      </c>
      <c r="F258" s="2" t="s">
        <v>722</v>
      </c>
      <c r="G258" s="2">
        <v>50.456000000000003</v>
      </c>
      <c r="H258" s="2" t="s">
        <v>4644</v>
      </c>
      <c r="I258" s="2" t="s">
        <v>4645</v>
      </c>
      <c r="J258" s="2" t="s">
        <v>4735</v>
      </c>
      <c r="K258" s="2">
        <v>88</v>
      </c>
      <c r="L258" s="2" t="s">
        <v>4647</v>
      </c>
    </row>
    <row r="259" spans="1:12" ht="33.75" customHeight="1" x14ac:dyDescent="0.25">
      <c r="A259" s="14" t="s">
        <v>723</v>
      </c>
      <c r="B259" s="3" t="s">
        <v>724</v>
      </c>
      <c r="C259" s="3" t="s">
        <v>725</v>
      </c>
      <c r="D259" s="3" t="s">
        <v>4648</v>
      </c>
      <c r="E259" s="3" t="s">
        <v>4786</v>
      </c>
      <c r="F259" s="3" t="s">
        <v>726</v>
      </c>
      <c r="G259" s="3">
        <v>50.936</v>
      </c>
      <c r="H259" s="3" t="s">
        <v>4644</v>
      </c>
      <c r="I259" s="3" t="s">
        <v>4645</v>
      </c>
      <c r="J259" s="3" t="s">
        <v>4684</v>
      </c>
      <c r="K259" s="3">
        <v>72</v>
      </c>
      <c r="L259" s="3" t="s">
        <v>4647</v>
      </c>
    </row>
    <row r="260" spans="1:12" ht="33.75" customHeight="1" x14ac:dyDescent="0.25">
      <c r="A260" s="13" t="s">
        <v>727</v>
      </c>
      <c r="B260" s="2" t="s">
        <v>728</v>
      </c>
      <c r="C260" s="2" t="s">
        <v>729</v>
      </c>
      <c r="D260" s="2" t="s">
        <v>4648</v>
      </c>
      <c r="E260" s="2" t="s">
        <v>4787</v>
      </c>
      <c r="F260" s="2" t="s">
        <v>730</v>
      </c>
      <c r="G260" s="2">
        <v>47.335999999999999</v>
      </c>
      <c r="H260" s="2" t="s">
        <v>4644</v>
      </c>
      <c r="I260" s="2" t="s">
        <v>4645</v>
      </c>
      <c r="J260" s="2" t="s">
        <v>4695</v>
      </c>
      <c r="K260" s="2">
        <v>72</v>
      </c>
      <c r="L260" s="2" t="s">
        <v>4647</v>
      </c>
    </row>
    <row r="261" spans="1:12" ht="33.75" customHeight="1" x14ac:dyDescent="0.25">
      <c r="A261" s="14" t="s">
        <v>731</v>
      </c>
      <c r="B261" s="3" t="s">
        <v>732</v>
      </c>
      <c r="C261" s="3" t="s">
        <v>733</v>
      </c>
      <c r="D261" s="3" t="s">
        <v>4648</v>
      </c>
      <c r="E261" s="3" t="s">
        <v>4788</v>
      </c>
      <c r="F261" s="3" t="s">
        <v>734</v>
      </c>
      <c r="G261" s="3">
        <v>47.695999999999998</v>
      </c>
      <c r="H261" s="3" t="s">
        <v>4644</v>
      </c>
      <c r="I261" s="3" t="s">
        <v>4645</v>
      </c>
      <c r="J261" s="3" t="s">
        <v>4693</v>
      </c>
      <c r="K261" s="3">
        <v>68</v>
      </c>
      <c r="L261" s="3" t="s">
        <v>4647</v>
      </c>
    </row>
    <row r="262" spans="1:12" ht="33.75" customHeight="1" x14ac:dyDescent="0.25">
      <c r="A262" s="13" t="s">
        <v>735</v>
      </c>
      <c r="B262" s="2" t="s">
        <v>736</v>
      </c>
      <c r="C262" s="2" t="s">
        <v>737</v>
      </c>
      <c r="D262" s="2" t="s">
        <v>4648</v>
      </c>
      <c r="E262" s="2" t="s">
        <v>4789</v>
      </c>
      <c r="F262" s="2" t="s">
        <v>738</v>
      </c>
      <c r="G262" s="2">
        <v>47.695999999999998</v>
      </c>
      <c r="H262" s="2" t="s">
        <v>4644</v>
      </c>
      <c r="I262" s="2" t="s">
        <v>4645</v>
      </c>
      <c r="J262" s="2" t="s">
        <v>4723</v>
      </c>
      <c r="K262" s="2">
        <v>68</v>
      </c>
      <c r="L262" s="2" t="s">
        <v>4647</v>
      </c>
    </row>
    <row r="263" spans="1:12" ht="33.75" customHeight="1" x14ac:dyDescent="0.25">
      <c r="A263" s="14" t="s">
        <v>739</v>
      </c>
      <c r="B263" s="3" t="s">
        <v>740</v>
      </c>
      <c r="C263" s="3" t="s">
        <v>741</v>
      </c>
      <c r="D263" s="3" t="s">
        <v>4648</v>
      </c>
      <c r="E263" s="3" t="s">
        <v>4790</v>
      </c>
      <c r="F263" s="3" t="s">
        <v>742</v>
      </c>
      <c r="G263" s="3">
        <v>49.136000000000003</v>
      </c>
      <c r="H263" s="3" t="s">
        <v>4644</v>
      </c>
      <c r="I263" s="3" t="s">
        <v>4645</v>
      </c>
      <c r="J263" s="3" t="s">
        <v>4697</v>
      </c>
      <c r="K263" s="3">
        <v>60</v>
      </c>
      <c r="L263" s="3" t="s">
        <v>4647</v>
      </c>
    </row>
    <row r="264" spans="1:12" ht="33.75" customHeight="1" x14ac:dyDescent="0.25">
      <c r="A264" s="13" t="s">
        <v>743</v>
      </c>
      <c r="B264" s="2" t="s">
        <v>665</v>
      </c>
      <c r="C264" s="2" t="s">
        <v>744</v>
      </c>
      <c r="D264" s="2" t="s">
        <v>4648</v>
      </c>
      <c r="E264" s="2" t="s">
        <v>4777</v>
      </c>
      <c r="F264" s="2" t="s">
        <v>667</v>
      </c>
      <c r="G264" s="2">
        <v>29.432400000000001</v>
      </c>
      <c r="H264" s="2" t="s">
        <v>4644</v>
      </c>
      <c r="I264" s="2" t="s">
        <v>4645</v>
      </c>
      <c r="J264" s="2" t="s">
        <v>4697</v>
      </c>
      <c r="K264" s="2">
        <v>45</v>
      </c>
      <c r="L264" s="2" t="s">
        <v>4647</v>
      </c>
    </row>
    <row r="265" spans="1:12" ht="33.75" customHeight="1" x14ac:dyDescent="0.25">
      <c r="A265" s="14" t="s">
        <v>745</v>
      </c>
      <c r="B265" s="3" t="s">
        <v>656</v>
      </c>
      <c r="C265" s="3" t="s">
        <v>746</v>
      </c>
      <c r="D265" s="3" t="s">
        <v>4648</v>
      </c>
      <c r="E265" s="3" t="s">
        <v>4776</v>
      </c>
      <c r="F265" s="3" t="s">
        <v>658</v>
      </c>
      <c r="G265" s="3">
        <v>30.368400000000001</v>
      </c>
      <c r="H265" s="3" t="s">
        <v>4644</v>
      </c>
      <c r="I265" s="3" t="s">
        <v>4645</v>
      </c>
      <c r="J265" s="3" t="s">
        <v>4735</v>
      </c>
      <c r="K265" s="3">
        <v>72</v>
      </c>
      <c r="L265" s="3" t="s">
        <v>4647</v>
      </c>
    </row>
    <row r="266" spans="1:12" ht="33.75" customHeight="1" x14ac:dyDescent="0.25">
      <c r="A266" s="13" t="s">
        <v>747</v>
      </c>
      <c r="B266" s="2" t="s">
        <v>612</v>
      </c>
      <c r="C266" s="2" t="s">
        <v>748</v>
      </c>
      <c r="D266" s="2" t="s">
        <v>4648</v>
      </c>
      <c r="E266" s="2" t="s">
        <v>4765</v>
      </c>
      <c r="F266" s="2" t="s">
        <v>614</v>
      </c>
      <c r="G266" s="2">
        <v>29.712399999999999</v>
      </c>
      <c r="H266" s="2" t="s">
        <v>4644</v>
      </c>
      <c r="I266" s="2" t="s">
        <v>4645</v>
      </c>
      <c r="J266" s="2" t="s">
        <v>4695</v>
      </c>
      <c r="K266" s="2">
        <v>63</v>
      </c>
      <c r="L266" s="2" t="s">
        <v>4647</v>
      </c>
    </row>
    <row r="267" spans="1:12" ht="33.75" customHeight="1" x14ac:dyDescent="0.25">
      <c r="A267" s="14" t="s">
        <v>749</v>
      </c>
      <c r="B267" s="3" t="s">
        <v>644</v>
      </c>
      <c r="C267" s="3" t="s">
        <v>750</v>
      </c>
      <c r="D267" s="3" t="s">
        <v>4648</v>
      </c>
      <c r="E267" s="3" t="s">
        <v>4774</v>
      </c>
      <c r="F267" s="3" t="s">
        <v>646</v>
      </c>
      <c r="G267" s="3">
        <v>33.864400000000003</v>
      </c>
      <c r="H267" s="3" t="s">
        <v>4644</v>
      </c>
      <c r="I267" s="3" t="s">
        <v>4645</v>
      </c>
      <c r="J267" s="3" t="s">
        <v>4770</v>
      </c>
      <c r="K267" s="3">
        <v>63</v>
      </c>
      <c r="L267" s="3" t="s">
        <v>4647</v>
      </c>
    </row>
    <row r="268" spans="1:12" ht="33.75" customHeight="1" x14ac:dyDescent="0.25">
      <c r="A268" s="13" t="s">
        <v>751</v>
      </c>
      <c r="B268" s="2" t="s">
        <v>650</v>
      </c>
      <c r="C268" s="2" t="s">
        <v>752</v>
      </c>
      <c r="D268" s="2" t="s">
        <v>4648</v>
      </c>
      <c r="E268" s="2" t="s">
        <v>4775</v>
      </c>
      <c r="F268" s="2" t="s">
        <v>652</v>
      </c>
      <c r="G268" s="2">
        <v>33.497</v>
      </c>
      <c r="H268" s="2" t="s">
        <v>4644</v>
      </c>
      <c r="I268" s="2" t="s">
        <v>4645</v>
      </c>
      <c r="J268" s="2" t="s">
        <v>4721</v>
      </c>
      <c r="K268" s="2">
        <v>54</v>
      </c>
      <c r="L268" s="2" t="s">
        <v>4647</v>
      </c>
    </row>
    <row r="269" spans="1:12" ht="33.75" customHeight="1" x14ac:dyDescent="0.25">
      <c r="A269" s="14" t="s">
        <v>753</v>
      </c>
      <c r="B269" s="3" t="s">
        <v>650</v>
      </c>
      <c r="C269" s="3" t="s">
        <v>754</v>
      </c>
      <c r="D269" s="3" t="s">
        <v>4648</v>
      </c>
      <c r="E269" s="3" t="s">
        <v>4775</v>
      </c>
      <c r="F269" s="3" t="s">
        <v>652</v>
      </c>
      <c r="G269" s="3">
        <v>33.497</v>
      </c>
      <c r="H269" s="3" t="s">
        <v>4644</v>
      </c>
      <c r="I269" s="3" t="s">
        <v>4645</v>
      </c>
      <c r="J269" s="3" t="s">
        <v>4721</v>
      </c>
      <c r="K269" s="3">
        <v>54</v>
      </c>
      <c r="L269" s="3" t="s">
        <v>4647</v>
      </c>
    </row>
    <row r="270" spans="1:12" ht="33.75" customHeight="1" x14ac:dyDescent="0.25">
      <c r="A270" s="13" t="s">
        <v>755</v>
      </c>
      <c r="B270" s="2" t="s">
        <v>669</v>
      </c>
      <c r="C270" s="2" t="s">
        <v>756</v>
      </c>
      <c r="D270" s="2" t="s">
        <v>4648</v>
      </c>
      <c r="E270" s="2" t="s">
        <v>4778</v>
      </c>
      <c r="F270" s="2" t="s">
        <v>671</v>
      </c>
      <c r="G270" s="2">
        <v>29.982399999999998</v>
      </c>
      <c r="H270" s="2" t="s">
        <v>4644</v>
      </c>
      <c r="I270" s="2" t="s">
        <v>4645</v>
      </c>
      <c r="J270" s="2" t="s">
        <v>4710</v>
      </c>
      <c r="K270" s="2">
        <v>87</v>
      </c>
      <c r="L270" s="2" t="s">
        <v>4647</v>
      </c>
    </row>
    <row r="271" spans="1:12" ht="33.75" customHeight="1" x14ac:dyDescent="0.25">
      <c r="A271" s="14" t="s">
        <v>757</v>
      </c>
      <c r="B271" s="3" t="s">
        <v>656</v>
      </c>
      <c r="C271" s="3" t="s">
        <v>758</v>
      </c>
      <c r="D271" s="3" t="s">
        <v>4648</v>
      </c>
      <c r="E271" s="3" t="s">
        <v>4776</v>
      </c>
      <c r="F271" s="3" t="s">
        <v>658</v>
      </c>
      <c r="G271" s="3">
        <v>30.368400000000001</v>
      </c>
      <c r="H271" s="3" t="s">
        <v>4644</v>
      </c>
      <c r="I271" s="3" t="s">
        <v>4645</v>
      </c>
      <c r="J271" s="3" t="s">
        <v>4735</v>
      </c>
      <c r="K271" s="3">
        <v>72</v>
      </c>
      <c r="L271" s="3" t="s">
        <v>4647</v>
      </c>
    </row>
    <row r="272" spans="1:12" ht="33.75" customHeight="1" x14ac:dyDescent="0.25">
      <c r="A272" s="13" t="s">
        <v>759</v>
      </c>
      <c r="B272" s="2" t="s">
        <v>673</v>
      </c>
      <c r="C272" s="2" t="s">
        <v>760</v>
      </c>
      <c r="D272" s="2" t="s">
        <v>4648</v>
      </c>
      <c r="E272" s="2" t="s">
        <v>4779</v>
      </c>
      <c r="F272" s="2" t="s">
        <v>675</v>
      </c>
      <c r="G272" s="2">
        <v>29.5824</v>
      </c>
      <c r="H272" s="2" t="s">
        <v>4644</v>
      </c>
      <c r="I272" s="2" t="s">
        <v>4645</v>
      </c>
      <c r="J272" s="2" t="s">
        <v>4684</v>
      </c>
      <c r="K272" s="2">
        <v>63</v>
      </c>
      <c r="L272" s="2" t="s">
        <v>4647</v>
      </c>
    </row>
    <row r="273" spans="1:12" ht="33.75" customHeight="1" x14ac:dyDescent="0.25">
      <c r="A273" s="14" t="s">
        <v>761</v>
      </c>
      <c r="B273" s="3" t="s">
        <v>612</v>
      </c>
      <c r="C273" s="3" t="s">
        <v>762</v>
      </c>
      <c r="D273" s="3" t="s">
        <v>4648</v>
      </c>
      <c r="E273" s="3" t="s">
        <v>4765</v>
      </c>
      <c r="F273" s="3" t="s">
        <v>614</v>
      </c>
      <c r="G273" s="3">
        <v>29.712399999999999</v>
      </c>
      <c r="H273" s="3" t="s">
        <v>4644</v>
      </c>
      <c r="I273" s="3" t="s">
        <v>4645</v>
      </c>
      <c r="J273" s="3" t="s">
        <v>4695</v>
      </c>
      <c r="K273" s="3">
        <v>63</v>
      </c>
      <c r="L273" s="3" t="s">
        <v>4647</v>
      </c>
    </row>
    <row r="274" spans="1:12" ht="33.75" customHeight="1" x14ac:dyDescent="0.25">
      <c r="A274" s="13" t="s">
        <v>763</v>
      </c>
      <c r="B274" s="2" t="s">
        <v>612</v>
      </c>
      <c r="C274" s="2" t="s">
        <v>764</v>
      </c>
      <c r="D274" s="2" t="s">
        <v>4648</v>
      </c>
      <c r="E274" s="2" t="s">
        <v>4765</v>
      </c>
      <c r="F274" s="2" t="s">
        <v>614</v>
      </c>
      <c r="G274" s="2">
        <v>29.712399999999999</v>
      </c>
      <c r="H274" s="2" t="s">
        <v>4644</v>
      </c>
      <c r="I274" s="2" t="s">
        <v>4645</v>
      </c>
      <c r="J274" s="2" t="s">
        <v>4695</v>
      </c>
      <c r="K274" s="2">
        <v>63</v>
      </c>
      <c r="L274" s="2" t="s">
        <v>4647</v>
      </c>
    </row>
    <row r="275" spans="1:12" ht="33.75" customHeight="1" x14ac:dyDescent="0.25">
      <c r="A275" s="14" t="s">
        <v>765</v>
      </c>
      <c r="B275" s="3" t="s">
        <v>665</v>
      </c>
      <c r="C275" s="3" t="s">
        <v>766</v>
      </c>
      <c r="D275" s="3" t="s">
        <v>4648</v>
      </c>
      <c r="E275" s="3" t="s">
        <v>4777</v>
      </c>
      <c r="F275" s="3" t="s">
        <v>667</v>
      </c>
      <c r="G275" s="3">
        <v>29.432400000000001</v>
      </c>
      <c r="H275" s="3" t="s">
        <v>4644</v>
      </c>
      <c r="I275" s="3" t="s">
        <v>4645</v>
      </c>
      <c r="J275" s="3" t="s">
        <v>4697</v>
      </c>
      <c r="K275" s="3">
        <v>45</v>
      </c>
      <c r="L275" s="3" t="s">
        <v>4647</v>
      </c>
    </row>
    <row r="276" spans="1:12" ht="33.75" customHeight="1" x14ac:dyDescent="0.25">
      <c r="A276" s="13" t="s">
        <v>767</v>
      </c>
      <c r="B276" s="2" t="s">
        <v>677</v>
      </c>
      <c r="C276" s="2" t="s">
        <v>768</v>
      </c>
      <c r="D276" s="2" t="s">
        <v>4648</v>
      </c>
      <c r="E276" s="2" t="s">
        <v>4780</v>
      </c>
      <c r="F276" s="2" t="s">
        <v>679</v>
      </c>
      <c r="G276" s="2">
        <v>30.3504</v>
      </c>
      <c r="H276" s="2" t="s">
        <v>4644</v>
      </c>
      <c r="I276" s="2" t="s">
        <v>4645</v>
      </c>
      <c r="J276" s="2" t="s">
        <v>4693</v>
      </c>
      <c r="K276" s="2">
        <v>72</v>
      </c>
      <c r="L276" s="2" t="s">
        <v>4647</v>
      </c>
    </row>
    <row r="277" spans="1:12" ht="33.75" customHeight="1" x14ac:dyDescent="0.25">
      <c r="A277" s="14" t="s">
        <v>769</v>
      </c>
      <c r="B277" s="3" t="s">
        <v>681</v>
      </c>
      <c r="C277" s="3" t="s">
        <v>770</v>
      </c>
      <c r="D277" s="3" t="s">
        <v>4648</v>
      </c>
      <c r="E277" s="3" t="s">
        <v>4781</v>
      </c>
      <c r="F277" s="3" t="s">
        <v>683</v>
      </c>
      <c r="G277" s="3">
        <v>34.743600000000001</v>
      </c>
      <c r="H277" s="3" t="s">
        <v>4644</v>
      </c>
      <c r="I277" s="3" t="s">
        <v>4645</v>
      </c>
      <c r="J277" s="3" t="s">
        <v>4726</v>
      </c>
      <c r="K277" s="3">
        <v>96</v>
      </c>
      <c r="L277" s="3" t="s">
        <v>4647</v>
      </c>
    </row>
    <row r="278" spans="1:12" ht="33.75" customHeight="1" x14ac:dyDescent="0.25">
      <c r="A278" s="13" t="s">
        <v>771</v>
      </c>
      <c r="B278" s="2" t="s">
        <v>681</v>
      </c>
      <c r="C278" s="2" t="s">
        <v>772</v>
      </c>
      <c r="D278" s="2" t="s">
        <v>4648</v>
      </c>
      <c r="E278" s="2" t="s">
        <v>4781</v>
      </c>
      <c r="F278" s="2" t="s">
        <v>683</v>
      </c>
      <c r="G278" s="2">
        <v>34.743600000000001</v>
      </c>
      <c r="H278" s="2" t="s">
        <v>4644</v>
      </c>
      <c r="I278" s="2" t="s">
        <v>4645</v>
      </c>
      <c r="J278" s="2" t="s">
        <v>4726</v>
      </c>
      <c r="K278" s="2">
        <v>96</v>
      </c>
      <c r="L278" s="2" t="s">
        <v>4647</v>
      </c>
    </row>
    <row r="279" spans="1:12" ht="33.75" customHeight="1" x14ac:dyDescent="0.25">
      <c r="A279" s="14" t="s">
        <v>773</v>
      </c>
      <c r="B279" s="3" t="s">
        <v>656</v>
      </c>
      <c r="C279" s="3" t="s">
        <v>774</v>
      </c>
      <c r="D279" s="3" t="s">
        <v>4648</v>
      </c>
      <c r="E279" s="3" t="s">
        <v>4776</v>
      </c>
      <c r="F279" s="3" t="s">
        <v>658</v>
      </c>
      <c r="G279" s="3">
        <v>30.368400000000001</v>
      </c>
      <c r="H279" s="3" t="s">
        <v>4644</v>
      </c>
      <c r="I279" s="3" t="s">
        <v>4645</v>
      </c>
      <c r="J279" s="3" t="s">
        <v>4735</v>
      </c>
      <c r="K279" s="3">
        <v>72</v>
      </c>
      <c r="L279" s="3" t="s">
        <v>4647</v>
      </c>
    </row>
    <row r="280" spans="1:12" ht="33.75" customHeight="1" x14ac:dyDescent="0.25">
      <c r="A280" s="13" t="s">
        <v>775</v>
      </c>
      <c r="B280" s="2" t="s">
        <v>612</v>
      </c>
      <c r="C280" s="2" t="s">
        <v>776</v>
      </c>
      <c r="D280" s="2" t="s">
        <v>4648</v>
      </c>
      <c r="E280" s="2" t="s">
        <v>4765</v>
      </c>
      <c r="F280" s="2" t="s">
        <v>614</v>
      </c>
      <c r="G280" s="2">
        <v>29.712399999999999</v>
      </c>
      <c r="H280" s="2" t="s">
        <v>4644</v>
      </c>
      <c r="I280" s="2" t="s">
        <v>4645</v>
      </c>
      <c r="J280" s="2" t="s">
        <v>4695</v>
      </c>
      <c r="K280" s="2">
        <v>63</v>
      </c>
      <c r="L280" s="2" t="s">
        <v>4647</v>
      </c>
    </row>
    <row r="281" spans="1:12" ht="33.75" customHeight="1" x14ac:dyDescent="0.25">
      <c r="A281" s="14" t="s">
        <v>777</v>
      </c>
      <c r="B281" s="3" t="s">
        <v>650</v>
      </c>
      <c r="C281" s="3" t="s">
        <v>778</v>
      </c>
      <c r="D281" s="3" t="s">
        <v>4648</v>
      </c>
      <c r="E281" s="3" t="s">
        <v>4775</v>
      </c>
      <c r="F281" s="3" t="s">
        <v>652</v>
      </c>
      <c r="G281" s="3">
        <v>33.497</v>
      </c>
      <c r="H281" s="3" t="s">
        <v>4644</v>
      </c>
      <c r="I281" s="3" t="s">
        <v>4645</v>
      </c>
      <c r="J281" s="3" t="s">
        <v>4721</v>
      </c>
      <c r="K281" s="3">
        <v>54</v>
      </c>
      <c r="L281" s="3" t="s">
        <v>4647</v>
      </c>
    </row>
    <row r="282" spans="1:12" ht="33.75" customHeight="1" x14ac:dyDescent="0.25">
      <c r="A282" s="13" t="s">
        <v>779</v>
      </c>
      <c r="B282" s="2" t="s">
        <v>656</v>
      </c>
      <c r="C282" s="2" t="s">
        <v>780</v>
      </c>
      <c r="D282" s="2" t="s">
        <v>4648</v>
      </c>
      <c r="E282" s="2" t="s">
        <v>4776</v>
      </c>
      <c r="F282" s="2" t="s">
        <v>658</v>
      </c>
      <c r="G282" s="2">
        <v>30.368400000000001</v>
      </c>
      <c r="H282" s="2" t="s">
        <v>4644</v>
      </c>
      <c r="I282" s="2" t="s">
        <v>4645</v>
      </c>
      <c r="J282" s="2" t="s">
        <v>4682</v>
      </c>
      <c r="K282" s="2">
        <v>72</v>
      </c>
      <c r="L282" s="2" t="s">
        <v>4647</v>
      </c>
    </row>
    <row r="283" spans="1:12" ht="33.75" customHeight="1" x14ac:dyDescent="0.25">
      <c r="A283" s="14" t="s">
        <v>781</v>
      </c>
      <c r="B283" s="3" t="s">
        <v>656</v>
      </c>
      <c r="C283" s="3" t="s">
        <v>782</v>
      </c>
      <c r="D283" s="3" t="s">
        <v>4648</v>
      </c>
      <c r="E283" s="3" t="s">
        <v>4776</v>
      </c>
      <c r="F283" s="3" t="s">
        <v>658</v>
      </c>
      <c r="G283" s="3">
        <v>30.368400000000001</v>
      </c>
      <c r="H283" s="3" t="s">
        <v>4644</v>
      </c>
      <c r="I283" s="3" t="s">
        <v>4645</v>
      </c>
      <c r="J283" s="3" t="s">
        <v>4735</v>
      </c>
      <c r="K283" s="3">
        <v>72</v>
      </c>
      <c r="L283" s="3" t="s">
        <v>4647</v>
      </c>
    </row>
    <row r="284" spans="1:12" ht="33.75" customHeight="1" x14ac:dyDescent="0.25">
      <c r="A284" s="13" t="s">
        <v>783</v>
      </c>
      <c r="B284" s="2" t="s">
        <v>612</v>
      </c>
      <c r="C284" s="2" t="s">
        <v>784</v>
      </c>
      <c r="D284" s="2" t="s">
        <v>4648</v>
      </c>
      <c r="E284" s="2" t="s">
        <v>4765</v>
      </c>
      <c r="F284" s="2" t="s">
        <v>614</v>
      </c>
      <c r="G284" s="2">
        <v>29.712399999999999</v>
      </c>
      <c r="H284" s="2" t="s">
        <v>4644</v>
      </c>
      <c r="I284" s="2" t="s">
        <v>4645</v>
      </c>
      <c r="J284" s="2" t="s">
        <v>4695</v>
      </c>
      <c r="K284" s="2">
        <v>63</v>
      </c>
      <c r="L284" s="2" t="s">
        <v>4647</v>
      </c>
    </row>
    <row r="285" spans="1:12" ht="33.75" customHeight="1" x14ac:dyDescent="0.25">
      <c r="A285" s="14" t="s">
        <v>785</v>
      </c>
      <c r="B285" s="3" t="s">
        <v>665</v>
      </c>
      <c r="C285" s="3" t="s">
        <v>786</v>
      </c>
      <c r="D285" s="3" t="s">
        <v>4648</v>
      </c>
      <c r="E285" s="3" t="s">
        <v>4777</v>
      </c>
      <c r="F285" s="3" t="s">
        <v>667</v>
      </c>
      <c r="G285" s="3">
        <v>29.432400000000001</v>
      </c>
      <c r="H285" s="3" t="s">
        <v>4644</v>
      </c>
      <c r="I285" s="3" t="s">
        <v>4645</v>
      </c>
      <c r="J285" s="3" t="s">
        <v>4697</v>
      </c>
      <c r="K285" s="3">
        <v>45</v>
      </c>
      <c r="L285" s="3" t="s">
        <v>4647</v>
      </c>
    </row>
    <row r="286" spans="1:12" ht="33.75" customHeight="1" x14ac:dyDescent="0.25">
      <c r="A286" s="13" t="s">
        <v>787</v>
      </c>
      <c r="B286" s="2" t="s">
        <v>656</v>
      </c>
      <c r="C286" s="2" t="s">
        <v>788</v>
      </c>
      <c r="D286" s="2" t="s">
        <v>4717</v>
      </c>
      <c r="E286" s="2" t="s">
        <v>4776</v>
      </c>
      <c r="F286" s="2" t="s">
        <v>658</v>
      </c>
      <c r="G286" s="2">
        <v>30.368400000000001</v>
      </c>
      <c r="H286" s="2" t="s">
        <v>4644</v>
      </c>
      <c r="I286" s="2" t="s">
        <v>4645</v>
      </c>
      <c r="J286" s="2" t="s">
        <v>4735</v>
      </c>
      <c r="K286" s="2">
        <v>72</v>
      </c>
      <c r="L286" s="2" t="s">
        <v>4647</v>
      </c>
    </row>
    <row r="287" spans="1:12" ht="33.75" customHeight="1" x14ac:dyDescent="0.25">
      <c r="A287" s="14" t="s">
        <v>789</v>
      </c>
      <c r="B287" s="3" t="s">
        <v>612</v>
      </c>
      <c r="C287" s="3" t="s">
        <v>790</v>
      </c>
      <c r="D287" s="3" t="s">
        <v>4717</v>
      </c>
      <c r="E287" s="3" t="s">
        <v>4765</v>
      </c>
      <c r="F287" s="3" t="s">
        <v>614</v>
      </c>
      <c r="G287" s="3">
        <v>29.712399999999999</v>
      </c>
      <c r="H287" s="3" t="s">
        <v>4644</v>
      </c>
      <c r="I287" s="3" t="s">
        <v>4645</v>
      </c>
      <c r="J287" s="3" t="s">
        <v>4695</v>
      </c>
      <c r="K287" s="3">
        <v>63</v>
      </c>
      <c r="L287" s="3" t="s">
        <v>4647</v>
      </c>
    </row>
    <row r="288" spans="1:12" ht="33.75" customHeight="1" x14ac:dyDescent="0.25">
      <c r="A288" s="13" t="s">
        <v>791</v>
      </c>
      <c r="B288" s="2" t="s">
        <v>650</v>
      </c>
      <c r="C288" s="2" t="s">
        <v>792</v>
      </c>
      <c r="D288" s="2" t="s">
        <v>4717</v>
      </c>
      <c r="E288" s="2" t="s">
        <v>4775</v>
      </c>
      <c r="F288" s="2" t="s">
        <v>652</v>
      </c>
      <c r="G288" s="2">
        <v>33.497</v>
      </c>
      <c r="H288" s="2" t="s">
        <v>4644</v>
      </c>
      <c r="I288" s="2" t="s">
        <v>4645</v>
      </c>
      <c r="J288" s="2" t="s">
        <v>4721</v>
      </c>
      <c r="K288" s="2">
        <v>54</v>
      </c>
      <c r="L288" s="2" t="s">
        <v>4647</v>
      </c>
    </row>
    <row r="289" spans="1:12" ht="33.75" customHeight="1" x14ac:dyDescent="0.25">
      <c r="A289" s="14" t="s">
        <v>793</v>
      </c>
      <c r="B289" s="3" t="s">
        <v>794</v>
      </c>
      <c r="C289" s="3" t="s">
        <v>795</v>
      </c>
      <c r="D289" s="3" t="s">
        <v>4760</v>
      </c>
      <c r="E289" s="3" t="s">
        <v>4791</v>
      </c>
      <c r="F289" s="3" t="s">
        <v>796</v>
      </c>
      <c r="G289" s="3">
        <v>34.151200000000003</v>
      </c>
      <c r="H289" s="3" t="s">
        <v>4644</v>
      </c>
      <c r="I289" s="3" t="s">
        <v>4645</v>
      </c>
      <c r="J289" s="3" t="s">
        <v>4770</v>
      </c>
      <c r="K289" s="3">
        <v>63</v>
      </c>
      <c r="L289" s="3" t="s">
        <v>4647</v>
      </c>
    </row>
    <row r="290" spans="1:12" ht="33.75" customHeight="1" x14ac:dyDescent="0.25">
      <c r="A290" s="13" t="s">
        <v>797</v>
      </c>
      <c r="B290" s="2" t="s">
        <v>794</v>
      </c>
      <c r="C290" s="2" t="s">
        <v>798</v>
      </c>
      <c r="D290" s="2" t="s">
        <v>4724</v>
      </c>
      <c r="E290" s="2" t="s">
        <v>4791</v>
      </c>
      <c r="F290" s="2" t="s">
        <v>796</v>
      </c>
      <c r="G290" s="2">
        <v>34.151200000000003</v>
      </c>
      <c r="H290" s="2" t="s">
        <v>4644</v>
      </c>
      <c r="I290" s="2" t="s">
        <v>4645</v>
      </c>
      <c r="J290" s="2" t="s">
        <v>4770</v>
      </c>
      <c r="K290" s="2">
        <v>63</v>
      </c>
      <c r="L290" s="2" t="s">
        <v>4647</v>
      </c>
    </row>
    <row r="291" spans="1:12" ht="33.75" customHeight="1" x14ac:dyDescent="0.25">
      <c r="A291" s="14" t="s">
        <v>799</v>
      </c>
      <c r="B291" s="3" t="s">
        <v>794</v>
      </c>
      <c r="C291" s="3" t="s">
        <v>800</v>
      </c>
      <c r="D291" s="3" t="s">
        <v>4724</v>
      </c>
      <c r="E291" s="3" t="s">
        <v>4791</v>
      </c>
      <c r="F291" s="3" t="s">
        <v>796</v>
      </c>
      <c r="G291" s="3">
        <v>34.151200000000003</v>
      </c>
      <c r="H291" s="3" t="s">
        <v>4644</v>
      </c>
      <c r="I291" s="3" t="s">
        <v>4645</v>
      </c>
      <c r="J291" s="3" t="s">
        <v>4770</v>
      </c>
      <c r="K291" s="3">
        <v>63</v>
      </c>
      <c r="L291" s="3" t="s">
        <v>4647</v>
      </c>
    </row>
    <row r="292" spans="1:12" ht="33.75" customHeight="1" x14ac:dyDescent="0.25">
      <c r="A292" s="13" t="s">
        <v>801</v>
      </c>
      <c r="B292" s="2" t="s">
        <v>77</v>
      </c>
      <c r="C292" s="2" t="s">
        <v>802</v>
      </c>
      <c r="D292" s="2"/>
      <c r="E292" s="2" t="s">
        <v>4654</v>
      </c>
      <c r="F292" s="2" t="s">
        <v>79</v>
      </c>
      <c r="G292" s="2">
        <v>31.699200000000001</v>
      </c>
      <c r="H292" s="2" t="s">
        <v>4644</v>
      </c>
      <c r="I292" s="2" t="s">
        <v>4645</v>
      </c>
      <c r="J292" s="2" t="s">
        <v>4650</v>
      </c>
      <c r="K292" s="2">
        <v>30</v>
      </c>
      <c r="L292" s="2" t="s">
        <v>4647</v>
      </c>
    </row>
    <row r="293" spans="1:12" ht="33.75" customHeight="1" x14ac:dyDescent="0.25">
      <c r="A293" s="14" t="s">
        <v>803</v>
      </c>
      <c r="B293" s="3" t="s">
        <v>404</v>
      </c>
      <c r="C293" s="3" t="s">
        <v>804</v>
      </c>
      <c r="D293" s="3"/>
      <c r="E293" s="3" t="s">
        <v>4731</v>
      </c>
      <c r="F293" s="3" t="s">
        <v>406</v>
      </c>
      <c r="G293" s="3">
        <v>29.999199999999998</v>
      </c>
      <c r="H293" s="3" t="s">
        <v>4644</v>
      </c>
      <c r="I293" s="3" t="s">
        <v>4645</v>
      </c>
      <c r="J293" s="3" t="s">
        <v>4695</v>
      </c>
      <c r="K293" s="3">
        <v>63</v>
      </c>
      <c r="L293" s="3" t="s">
        <v>4647</v>
      </c>
    </row>
    <row r="294" spans="1:12" ht="33.75" customHeight="1" x14ac:dyDescent="0.25">
      <c r="A294" s="13" t="s">
        <v>805</v>
      </c>
      <c r="B294" s="2" t="s">
        <v>324</v>
      </c>
      <c r="C294" s="2" t="s">
        <v>806</v>
      </c>
      <c r="D294" s="2"/>
      <c r="E294" s="2" t="s">
        <v>4704</v>
      </c>
      <c r="F294" s="2" t="s">
        <v>326</v>
      </c>
      <c r="G294" s="2">
        <v>29.719200000000001</v>
      </c>
      <c r="H294" s="2" t="s">
        <v>4644</v>
      </c>
      <c r="I294" s="2" t="s">
        <v>4645</v>
      </c>
      <c r="J294" s="2" t="s">
        <v>4697</v>
      </c>
      <c r="K294" s="2">
        <v>45</v>
      </c>
      <c r="L294" s="2" t="s">
        <v>4647</v>
      </c>
    </row>
    <row r="295" spans="1:12" ht="33.75" customHeight="1" x14ac:dyDescent="0.25">
      <c r="A295" s="14" t="s">
        <v>807</v>
      </c>
      <c r="B295" s="3" t="s">
        <v>226</v>
      </c>
      <c r="C295" s="3" t="s">
        <v>808</v>
      </c>
      <c r="D295" s="3" t="s">
        <v>4792</v>
      </c>
      <c r="E295" s="3" t="s">
        <v>4688</v>
      </c>
      <c r="F295" s="3" t="s">
        <v>228</v>
      </c>
      <c r="G295" s="3">
        <v>30.6632</v>
      </c>
      <c r="H295" s="3" t="s">
        <v>4644</v>
      </c>
      <c r="I295" s="3" t="s">
        <v>4645</v>
      </c>
      <c r="J295" s="3" t="s">
        <v>4650</v>
      </c>
      <c r="K295" s="3">
        <v>24</v>
      </c>
      <c r="L295" s="3" t="s">
        <v>4647</v>
      </c>
    </row>
    <row r="296" spans="1:12" ht="33.75" customHeight="1" x14ac:dyDescent="0.25">
      <c r="A296" s="13" t="s">
        <v>809</v>
      </c>
      <c r="B296" s="2" t="s">
        <v>324</v>
      </c>
      <c r="C296" s="2" t="s">
        <v>810</v>
      </c>
      <c r="D296" s="2"/>
      <c r="E296" s="2" t="s">
        <v>4704</v>
      </c>
      <c r="F296" s="2" t="s">
        <v>326</v>
      </c>
      <c r="G296" s="2">
        <v>29.719200000000001</v>
      </c>
      <c r="H296" s="2" t="s">
        <v>4644</v>
      </c>
      <c r="I296" s="2" t="s">
        <v>4645</v>
      </c>
      <c r="J296" s="2" t="s">
        <v>4697</v>
      </c>
      <c r="K296" s="2">
        <v>45</v>
      </c>
      <c r="L296" s="2" t="s">
        <v>4647</v>
      </c>
    </row>
    <row r="297" spans="1:12" ht="33.75" customHeight="1" x14ac:dyDescent="0.25">
      <c r="A297" s="14" t="s">
        <v>811</v>
      </c>
      <c r="B297" s="3" t="s">
        <v>372</v>
      </c>
      <c r="C297" s="3" t="s">
        <v>812</v>
      </c>
      <c r="D297" s="3" t="s">
        <v>4793</v>
      </c>
      <c r="E297" s="3" t="s">
        <v>4720</v>
      </c>
      <c r="F297" s="3" t="s">
        <v>374</v>
      </c>
      <c r="G297" s="3">
        <v>32.852400000000003</v>
      </c>
      <c r="H297" s="3" t="s">
        <v>4644</v>
      </c>
      <c r="I297" s="3" t="s">
        <v>4645</v>
      </c>
      <c r="J297" s="3" t="s">
        <v>4721</v>
      </c>
      <c r="K297" s="3">
        <v>48</v>
      </c>
      <c r="L297" s="3" t="s">
        <v>4647</v>
      </c>
    </row>
    <row r="298" spans="1:12" ht="33.75" customHeight="1" x14ac:dyDescent="0.25">
      <c r="A298" s="13" t="s">
        <v>813</v>
      </c>
      <c r="B298" s="2" t="s">
        <v>372</v>
      </c>
      <c r="C298" s="2" t="s">
        <v>814</v>
      </c>
      <c r="D298" s="2" t="s">
        <v>4793</v>
      </c>
      <c r="E298" s="2" t="s">
        <v>4720</v>
      </c>
      <c r="F298" s="2" t="s">
        <v>374</v>
      </c>
      <c r="G298" s="2">
        <v>32.852400000000003</v>
      </c>
      <c r="H298" s="2" t="s">
        <v>4644</v>
      </c>
      <c r="I298" s="2" t="s">
        <v>4645</v>
      </c>
      <c r="J298" s="2" t="s">
        <v>4721</v>
      </c>
      <c r="K298" s="2">
        <v>48</v>
      </c>
      <c r="L298" s="2" t="s">
        <v>4647</v>
      </c>
    </row>
    <row r="299" spans="1:12" ht="33.75" customHeight="1" x14ac:dyDescent="0.25">
      <c r="A299" s="14" t="s">
        <v>815</v>
      </c>
      <c r="B299" s="3" t="s">
        <v>89</v>
      </c>
      <c r="C299" s="3" t="s">
        <v>816</v>
      </c>
      <c r="D299" s="3"/>
      <c r="E299" s="3" t="s">
        <v>4659</v>
      </c>
      <c r="F299" s="3" t="s">
        <v>91</v>
      </c>
      <c r="G299" s="3">
        <v>32.389200000000002</v>
      </c>
      <c r="H299" s="3" t="s">
        <v>4644</v>
      </c>
      <c r="I299" s="3" t="s">
        <v>4645</v>
      </c>
      <c r="J299" s="3" t="s">
        <v>4652</v>
      </c>
      <c r="K299" s="3">
        <v>30</v>
      </c>
      <c r="L299" s="3" t="s">
        <v>4647</v>
      </c>
    </row>
    <row r="300" spans="1:12" ht="33.75" customHeight="1" x14ac:dyDescent="0.25">
      <c r="A300" s="13" t="s">
        <v>817</v>
      </c>
      <c r="B300" s="2" t="s">
        <v>324</v>
      </c>
      <c r="C300" s="2" t="s">
        <v>818</v>
      </c>
      <c r="D300" s="2"/>
      <c r="E300" s="2" t="s">
        <v>4704</v>
      </c>
      <c r="F300" s="2" t="s">
        <v>326</v>
      </c>
      <c r="G300" s="2">
        <v>29.719200000000001</v>
      </c>
      <c r="H300" s="2" t="s">
        <v>4644</v>
      </c>
      <c r="I300" s="2" t="s">
        <v>4645</v>
      </c>
      <c r="J300" s="2" t="s">
        <v>4697</v>
      </c>
      <c r="K300" s="2">
        <v>45</v>
      </c>
      <c r="L300" s="2" t="s">
        <v>4647</v>
      </c>
    </row>
    <row r="301" spans="1:12" ht="33.75" customHeight="1" x14ac:dyDescent="0.25">
      <c r="A301" s="14" t="s">
        <v>819</v>
      </c>
      <c r="B301" s="3" t="s">
        <v>820</v>
      </c>
      <c r="C301" s="3" t="s">
        <v>821</v>
      </c>
      <c r="D301" s="3" t="s">
        <v>4794</v>
      </c>
      <c r="E301" s="3" t="s">
        <v>4795</v>
      </c>
      <c r="F301" s="3" t="s">
        <v>822</v>
      </c>
      <c r="G301" s="3">
        <v>27.639199999999999</v>
      </c>
      <c r="H301" s="3" t="s">
        <v>4644</v>
      </c>
      <c r="I301" s="3" t="s">
        <v>4645</v>
      </c>
      <c r="J301" s="3" t="s">
        <v>4735</v>
      </c>
      <c r="K301" s="3">
        <v>57</v>
      </c>
      <c r="L301" s="3" t="s">
        <v>4647</v>
      </c>
    </row>
    <row r="302" spans="1:12" ht="33.75" customHeight="1" x14ac:dyDescent="0.25">
      <c r="A302" s="13" t="s">
        <v>823</v>
      </c>
      <c r="B302" s="2" t="s">
        <v>142</v>
      </c>
      <c r="C302" s="2" t="s">
        <v>824</v>
      </c>
      <c r="D302" s="2" t="s">
        <v>4753</v>
      </c>
      <c r="E302" s="2" t="s">
        <v>4675</v>
      </c>
      <c r="F302" s="2" t="s">
        <v>144</v>
      </c>
      <c r="G302" s="2"/>
      <c r="H302" s="2" t="s">
        <v>4666</v>
      </c>
      <c r="I302" s="2" t="s">
        <v>4667</v>
      </c>
      <c r="J302" s="2" t="s">
        <v>4646</v>
      </c>
      <c r="K302" s="2">
        <v>6</v>
      </c>
      <c r="L302" s="2" t="s">
        <v>4668</v>
      </c>
    </row>
    <row r="303" spans="1:12" ht="33.75" customHeight="1" x14ac:dyDescent="0.25">
      <c r="A303" s="14" t="s">
        <v>825</v>
      </c>
      <c r="B303" s="3" t="s">
        <v>826</v>
      </c>
      <c r="C303" s="3" t="s">
        <v>827</v>
      </c>
      <c r="D303" s="3" t="s">
        <v>4741</v>
      </c>
      <c r="E303" s="3" t="s">
        <v>4796</v>
      </c>
      <c r="F303" s="3" t="s">
        <v>828</v>
      </c>
      <c r="G303" s="3">
        <v>28.366</v>
      </c>
      <c r="H303" s="3" t="s">
        <v>4644</v>
      </c>
      <c r="I303" s="3" t="s">
        <v>4645</v>
      </c>
      <c r="J303" s="3" t="s">
        <v>4733</v>
      </c>
      <c r="K303" s="3">
        <v>72</v>
      </c>
      <c r="L303" s="3" t="s">
        <v>4647</v>
      </c>
    </row>
    <row r="304" spans="1:12" ht="33.75" customHeight="1" x14ac:dyDescent="0.25">
      <c r="A304" s="13" t="s">
        <v>829</v>
      </c>
      <c r="B304" s="2" t="s">
        <v>830</v>
      </c>
      <c r="C304" s="2" t="s">
        <v>831</v>
      </c>
      <c r="D304" s="2" t="s">
        <v>4741</v>
      </c>
      <c r="E304" s="2" t="s">
        <v>4797</v>
      </c>
      <c r="F304" s="2" t="s">
        <v>832</v>
      </c>
      <c r="G304" s="2">
        <v>27.925999999999998</v>
      </c>
      <c r="H304" s="2" t="s">
        <v>4644</v>
      </c>
      <c r="I304" s="2" t="s">
        <v>4645</v>
      </c>
      <c r="J304" s="2" t="s">
        <v>4693</v>
      </c>
      <c r="K304" s="2">
        <v>42</v>
      </c>
      <c r="L304" s="2" t="s">
        <v>4647</v>
      </c>
    </row>
    <row r="305" spans="1:12" ht="33.75" customHeight="1" x14ac:dyDescent="0.25">
      <c r="A305" s="14" t="s">
        <v>833</v>
      </c>
      <c r="B305" s="3" t="s">
        <v>89</v>
      </c>
      <c r="C305" s="3" t="s">
        <v>834</v>
      </c>
      <c r="D305" s="3" t="s">
        <v>4663</v>
      </c>
      <c r="E305" s="3" t="s">
        <v>4659</v>
      </c>
      <c r="F305" s="3" t="s">
        <v>91</v>
      </c>
      <c r="G305" s="3">
        <v>32.389200000000002</v>
      </c>
      <c r="H305" s="3" t="s">
        <v>4644</v>
      </c>
      <c r="I305" s="3" t="s">
        <v>4645</v>
      </c>
      <c r="J305" s="3" t="s">
        <v>4652</v>
      </c>
      <c r="K305" s="3">
        <v>30</v>
      </c>
      <c r="L305" s="3" t="s">
        <v>4647</v>
      </c>
    </row>
    <row r="306" spans="1:12" ht="33.75" customHeight="1" x14ac:dyDescent="0.25">
      <c r="A306" s="13" t="s">
        <v>835</v>
      </c>
      <c r="B306" s="2" t="s">
        <v>142</v>
      </c>
      <c r="C306" s="2" t="s">
        <v>836</v>
      </c>
      <c r="D306" s="2" t="s">
        <v>4753</v>
      </c>
      <c r="E306" s="2" t="s">
        <v>4798</v>
      </c>
      <c r="F306" s="2" t="s">
        <v>144</v>
      </c>
      <c r="G306" s="2"/>
      <c r="H306" s="2" t="s">
        <v>4666</v>
      </c>
      <c r="I306" s="2" t="s">
        <v>4667</v>
      </c>
      <c r="J306" s="2" t="s">
        <v>4646</v>
      </c>
      <c r="K306" s="2">
        <v>18</v>
      </c>
      <c r="L306" s="2" t="s">
        <v>4668</v>
      </c>
    </row>
    <row r="307" spans="1:12" ht="33.75" customHeight="1" x14ac:dyDescent="0.25">
      <c r="A307" s="14" t="s">
        <v>837</v>
      </c>
      <c r="B307" s="3" t="s">
        <v>400</v>
      </c>
      <c r="C307" s="3" t="s">
        <v>838</v>
      </c>
      <c r="D307" s="3"/>
      <c r="E307" s="3" t="s">
        <v>4730</v>
      </c>
      <c r="F307" s="3" t="s">
        <v>402</v>
      </c>
      <c r="G307" s="3">
        <v>34.332239999999999</v>
      </c>
      <c r="H307" s="3" t="s">
        <v>4644</v>
      </c>
      <c r="I307" s="3" t="s">
        <v>4645</v>
      </c>
      <c r="J307" s="3" t="s">
        <v>4719</v>
      </c>
      <c r="K307" s="3">
        <v>72</v>
      </c>
      <c r="L307" s="3" t="s">
        <v>4647</v>
      </c>
    </row>
    <row r="308" spans="1:12" ht="33.75" customHeight="1" x14ac:dyDescent="0.25">
      <c r="A308" s="13" t="s">
        <v>839</v>
      </c>
      <c r="B308" s="2" t="s">
        <v>794</v>
      </c>
      <c r="C308" s="2" t="s">
        <v>840</v>
      </c>
      <c r="D308" s="2"/>
      <c r="E308" s="2" t="s">
        <v>4791</v>
      </c>
      <c r="F308" s="2" t="s">
        <v>796</v>
      </c>
      <c r="G308" s="2">
        <v>34.151200000000003</v>
      </c>
      <c r="H308" s="2" t="s">
        <v>4644</v>
      </c>
      <c r="I308" s="2" t="s">
        <v>4645</v>
      </c>
      <c r="J308" s="2" t="s">
        <v>4770</v>
      </c>
      <c r="K308" s="2">
        <v>63</v>
      </c>
      <c r="L308" s="2" t="s">
        <v>4647</v>
      </c>
    </row>
    <row r="309" spans="1:12" ht="33.75" customHeight="1" x14ac:dyDescent="0.25">
      <c r="A309" s="14" t="s">
        <v>841</v>
      </c>
      <c r="B309" s="3" t="s">
        <v>422</v>
      </c>
      <c r="C309" s="3" t="s">
        <v>842</v>
      </c>
      <c r="D309" s="3" t="s">
        <v>4799</v>
      </c>
      <c r="E309" s="3" t="s">
        <v>4736</v>
      </c>
      <c r="F309" s="3" t="s">
        <v>424</v>
      </c>
      <c r="G309" s="3">
        <v>30.7272</v>
      </c>
      <c r="H309" s="3" t="s">
        <v>4644</v>
      </c>
      <c r="I309" s="3" t="s">
        <v>4645</v>
      </c>
      <c r="J309" s="3" t="s">
        <v>4682</v>
      </c>
      <c r="K309" s="3">
        <v>76</v>
      </c>
      <c r="L309" s="3" t="s">
        <v>4647</v>
      </c>
    </row>
    <row r="310" spans="1:12" ht="33.75" customHeight="1" x14ac:dyDescent="0.25">
      <c r="A310" s="13" t="s">
        <v>843</v>
      </c>
      <c r="B310" s="2" t="s">
        <v>422</v>
      </c>
      <c r="C310" s="2" t="s">
        <v>844</v>
      </c>
      <c r="D310" s="2" t="s">
        <v>4799</v>
      </c>
      <c r="E310" s="2" t="s">
        <v>4736</v>
      </c>
      <c r="F310" s="2" t="s">
        <v>424</v>
      </c>
      <c r="G310" s="2">
        <v>30.7272</v>
      </c>
      <c r="H310" s="2" t="s">
        <v>4644</v>
      </c>
      <c r="I310" s="2" t="s">
        <v>4645</v>
      </c>
      <c r="J310" s="2" t="s">
        <v>4735</v>
      </c>
      <c r="K310" s="2">
        <v>76</v>
      </c>
      <c r="L310" s="2" t="s">
        <v>4647</v>
      </c>
    </row>
    <row r="311" spans="1:12" ht="33.75" customHeight="1" x14ac:dyDescent="0.25">
      <c r="A311" s="14" t="s">
        <v>845</v>
      </c>
      <c r="B311" s="3" t="s">
        <v>846</v>
      </c>
      <c r="C311" s="3" t="s">
        <v>847</v>
      </c>
      <c r="D311" s="3" t="s">
        <v>4799</v>
      </c>
      <c r="E311" s="3" t="s">
        <v>4800</v>
      </c>
      <c r="F311" s="3" t="s">
        <v>848</v>
      </c>
      <c r="G311" s="3">
        <v>29.944199999999999</v>
      </c>
      <c r="H311" s="3" t="s">
        <v>4644</v>
      </c>
      <c r="I311" s="3" t="s">
        <v>4645</v>
      </c>
      <c r="J311" s="3" t="s">
        <v>4684</v>
      </c>
      <c r="K311" s="3">
        <v>68</v>
      </c>
      <c r="L311" s="3" t="s">
        <v>4647</v>
      </c>
    </row>
    <row r="312" spans="1:12" ht="33.75" customHeight="1" x14ac:dyDescent="0.25">
      <c r="A312" s="13" t="s">
        <v>849</v>
      </c>
      <c r="B312" s="2" t="s">
        <v>273</v>
      </c>
      <c r="C312" s="2" t="s">
        <v>850</v>
      </c>
      <c r="D312" s="2" t="s">
        <v>4799</v>
      </c>
      <c r="E312" s="2" t="s">
        <v>4694</v>
      </c>
      <c r="F312" s="2" t="s">
        <v>275</v>
      </c>
      <c r="G312" s="2">
        <v>30.084199999999999</v>
      </c>
      <c r="H312" s="2" t="s">
        <v>4644</v>
      </c>
      <c r="I312" s="2" t="s">
        <v>4645</v>
      </c>
      <c r="J312" s="2" t="s">
        <v>4695</v>
      </c>
      <c r="K312" s="2">
        <v>68</v>
      </c>
      <c r="L312" s="2" t="s">
        <v>4647</v>
      </c>
    </row>
    <row r="313" spans="1:12" ht="33.75" customHeight="1" x14ac:dyDescent="0.25">
      <c r="A313" s="14" t="s">
        <v>851</v>
      </c>
      <c r="B313" s="3" t="s">
        <v>422</v>
      </c>
      <c r="C313" s="3" t="s">
        <v>852</v>
      </c>
      <c r="D313" s="3" t="s">
        <v>4799</v>
      </c>
      <c r="E313" s="3" t="s">
        <v>4736</v>
      </c>
      <c r="F313" s="3" t="s">
        <v>424</v>
      </c>
      <c r="G313" s="3">
        <v>30.7272</v>
      </c>
      <c r="H313" s="3" t="s">
        <v>4644</v>
      </c>
      <c r="I313" s="3" t="s">
        <v>4645</v>
      </c>
      <c r="J313" s="3" t="s">
        <v>4682</v>
      </c>
      <c r="K313" s="3">
        <v>76</v>
      </c>
      <c r="L313" s="3" t="s">
        <v>4647</v>
      </c>
    </row>
    <row r="314" spans="1:12" ht="33.75" customHeight="1" x14ac:dyDescent="0.25">
      <c r="A314" s="13" t="s">
        <v>853</v>
      </c>
      <c r="B314" s="2" t="s">
        <v>422</v>
      </c>
      <c r="C314" s="2" t="s">
        <v>854</v>
      </c>
      <c r="D314" s="2" t="s">
        <v>4799</v>
      </c>
      <c r="E314" s="2" t="s">
        <v>4736</v>
      </c>
      <c r="F314" s="2" t="s">
        <v>424</v>
      </c>
      <c r="G314" s="2">
        <v>30.7272</v>
      </c>
      <c r="H314" s="2" t="s">
        <v>4644</v>
      </c>
      <c r="I314" s="2" t="s">
        <v>4645</v>
      </c>
      <c r="J314" s="2" t="s">
        <v>4735</v>
      </c>
      <c r="K314" s="2">
        <v>76</v>
      </c>
      <c r="L314" s="2" t="s">
        <v>4647</v>
      </c>
    </row>
    <row r="315" spans="1:12" ht="33.75" customHeight="1" x14ac:dyDescent="0.25">
      <c r="A315" s="14" t="s">
        <v>855</v>
      </c>
      <c r="B315" s="3" t="s">
        <v>846</v>
      </c>
      <c r="C315" s="3" t="s">
        <v>856</v>
      </c>
      <c r="D315" s="3" t="s">
        <v>4799</v>
      </c>
      <c r="E315" s="3" t="s">
        <v>4800</v>
      </c>
      <c r="F315" s="3" t="s">
        <v>848</v>
      </c>
      <c r="G315" s="3">
        <v>29.944199999999999</v>
      </c>
      <c r="H315" s="3" t="s">
        <v>4644</v>
      </c>
      <c r="I315" s="3" t="s">
        <v>4645</v>
      </c>
      <c r="J315" s="3" t="s">
        <v>4684</v>
      </c>
      <c r="K315" s="3">
        <v>68</v>
      </c>
      <c r="L315" s="3" t="s">
        <v>4647</v>
      </c>
    </row>
    <row r="316" spans="1:12" ht="33.75" customHeight="1" x14ac:dyDescent="0.25">
      <c r="A316" s="13" t="s">
        <v>857</v>
      </c>
      <c r="B316" s="2" t="s">
        <v>273</v>
      </c>
      <c r="C316" s="2" t="s">
        <v>858</v>
      </c>
      <c r="D316" s="2" t="s">
        <v>4799</v>
      </c>
      <c r="E316" s="2" t="s">
        <v>4694</v>
      </c>
      <c r="F316" s="2" t="s">
        <v>275</v>
      </c>
      <c r="G316" s="2">
        <v>30.084199999999999</v>
      </c>
      <c r="H316" s="2" t="s">
        <v>4644</v>
      </c>
      <c r="I316" s="2" t="s">
        <v>4645</v>
      </c>
      <c r="J316" s="2" t="s">
        <v>4695</v>
      </c>
      <c r="K316" s="2">
        <v>68</v>
      </c>
      <c r="L316" s="2" t="s">
        <v>4647</v>
      </c>
    </row>
    <row r="317" spans="1:12" ht="33.75" customHeight="1" x14ac:dyDescent="0.25">
      <c r="A317" s="14" t="s">
        <v>859</v>
      </c>
      <c r="B317" s="3" t="s">
        <v>273</v>
      </c>
      <c r="C317" s="3" t="s">
        <v>860</v>
      </c>
      <c r="D317" s="3" t="s">
        <v>4799</v>
      </c>
      <c r="E317" s="3" t="s">
        <v>4694</v>
      </c>
      <c r="F317" s="3" t="s">
        <v>275</v>
      </c>
      <c r="G317" s="3">
        <v>30.084199999999999</v>
      </c>
      <c r="H317" s="3" t="s">
        <v>4644</v>
      </c>
      <c r="I317" s="3" t="s">
        <v>4645</v>
      </c>
      <c r="J317" s="3" t="s">
        <v>4695</v>
      </c>
      <c r="K317" s="3">
        <v>68</v>
      </c>
      <c r="L317" s="3" t="s">
        <v>4647</v>
      </c>
    </row>
    <row r="318" spans="1:12" ht="33.75" customHeight="1" x14ac:dyDescent="0.25">
      <c r="A318" s="13" t="s">
        <v>861</v>
      </c>
      <c r="B318" s="2" t="s">
        <v>277</v>
      </c>
      <c r="C318" s="2" t="s">
        <v>862</v>
      </c>
      <c r="D318" s="2" t="s">
        <v>4799</v>
      </c>
      <c r="E318" s="2" t="s">
        <v>4696</v>
      </c>
      <c r="F318" s="2" t="s">
        <v>279</v>
      </c>
      <c r="G318" s="2">
        <v>29.7592</v>
      </c>
      <c r="H318" s="2" t="s">
        <v>4644</v>
      </c>
      <c r="I318" s="2" t="s">
        <v>4645</v>
      </c>
      <c r="J318" s="2" t="s">
        <v>4697</v>
      </c>
      <c r="K318" s="2">
        <v>48</v>
      </c>
      <c r="L318" s="2" t="s">
        <v>4647</v>
      </c>
    </row>
    <row r="319" spans="1:12" ht="33.75" customHeight="1" x14ac:dyDescent="0.25">
      <c r="A319" s="14" t="s">
        <v>863</v>
      </c>
      <c r="B319" s="3" t="s">
        <v>864</v>
      </c>
      <c r="C319" s="3" t="s">
        <v>865</v>
      </c>
      <c r="D319" s="3" t="s">
        <v>4799</v>
      </c>
      <c r="E319" s="3" t="s">
        <v>4801</v>
      </c>
      <c r="F319" s="3" t="s">
        <v>866</v>
      </c>
      <c r="G319" s="3">
        <v>30.653199999999998</v>
      </c>
      <c r="H319" s="3" t="s">
        <v>4644</v>
      </c>
      <c r="I319" s="3" t="s">
        <v>4645</v>
      </c>
      <c r="J319" s="3" t="s">
        <v>4710</v>
      </c>
      <c r="K319" s="3">
        <v>96</v>
      </c>
      <c r="L319" s="3" t="s">
        <v>4647</v>
      </c>
    </row>
    <row r="320" spans="1:12" ht="33.75" customHeight="1" x14ac:dyDescent="0.25">
      <c r="A320" s="13" t="s">
        <v>867</v>
      </c>
      <c r="B320" s="2" t="s">
        <v>846</v>
      </c>
      <c r="C320" s="2" t="s">
        <v>868</v>
      </c>
      <c r="D320" s="2" t="s">
        <v>4799</v>
      </c>
      <c r="E320" s="2" t="s">
        <v>4800</v>
      </c>
      <c r="F320" s="2" t="s">
        <v>848</v>
      </c>
      <c r="G320" s="2">
        <v>29.944199999999999</v>
      </c>
      <c r="H320" s="2" t="s">
        <v>4644</v>
      </c>
      <c r="I320" s="2" t="s">
        <v>4645</v>
      </c>
      <c r="J320" s="2" t="s">
        <v>4684</v>
      </c>
      <c r="K320" s="2">
        <v>68</v>
      </c>
      <c r="L320" s="2" t="s">
        <v>4647</v>
      </c>
    </row>
    <row r="321" spans="1:12" ht="33.75" customHeight="1" x14ac:dyDescent="0.25">
      <c r="A321" s="14" t="s">
        <v>869</v>
      </c>
      <c r="B321" s="3" t="s">
        <v>277</v>
      </c>
      <c r="C321" s="3" t="s">
        <v>870</v>
      </c>
      <c r="D321" s="3" t="s">
        <v>4799</v>
      </c>
      <c r="E321" s="3" t="s">
        <v>4696</v>
      </c>
      <c r="F321" s="3" t="s">
        <v>279</v>
      </c>
      <c r="G321" s="3">
        <v>29.7592</v>
      </c>
      <c r="H321" s="3" t="s">
        <v>4644</v>
      </c>
      <c r="I321" s="3" t="s">
        <v>4645</v>
      </c>
      <c r="J321" s="3" t="s">
        <v>4697</v>
      </c>
      <c r="K321" s="3">
        <v>48</v>
      </c>
      <c r="L321" s="3" t="s">
        <v>4647</v>
      </c>
    </row>
    <row r="322" spans="1:12" ht="33.75" customHeight="1" x14ac:dyDescent="0.25">
      <c r="A322" s="13" t="s">
        <v>871</v>
      </c>
      <c r="B322" s="2" t="s">
        <v>372</v>
      </c>
      <c r="C322" s="2" t="s">
        <v>872</v>
      </c>
      <c r="D322" s="2" t="s">
        <v>4799</v>
      </c>
      <c r="E322" s="2" t="s">
        <v>4720</v>
      </c>
      <c r="F322" s="2" t="s">
        <v>374</v>
      </c>
      <c r="G322" s="2">
        <v>32.852400000000003</v>
      </c>
      <c r="H322" s="2" t="s">
        <v>4644</v>
      </c>
      <c r="I322" s="2" t="s">
        <v>4645</v>
      </c>
      <c r="J322" s="2" t="s">
        <v>4721</v>
      </c>
      <c r="K322" s="2">
        <v>48</v>
      </c>
      <c r="L322" s="2" t="s">
        <v>4647</v>
      </c>
    </row>
    <row r="323" spans="1:12" ht="33.75" customHeight="1" x14ac:dyDescent="0.25">
      <c r="A323" s="14" t="s">
        <v>873</v>
      </c>
      <c r="B323" s="3" t="s">
        <v>372</v>
      </c>
      <c r="C323" s="3" t="s">
        <v>874</v>
      </c>
      <c r="D323" s="3" t="s">
        <v>4799</v>
      </c>
      <c r="E323" s="3" t="s">
        <v>4720</v>
      </c>
      <c r="F323" s="3" t="s">
        <v>374</v>
      </c>
      <c r="G323" s="3">
        <v>32.852400000000003</v>
      </c>
      <c r="H323" s="3" t="s">
        <v>4644</v>
      </c>
      <c r="I323" s="3" t="s">
        <v>4645</v>
      </c>
      <c r="J323" s="3" t="s">
        <v>4721</v>
      </c>
      <c r="K323" s="3">
        <v>48</v>
      </c>
      <c r="L323" s="3" t="s">
        <v>4647</v>
      </c>
    </row>
    <row r="324" spans="1:12" ht="33.75" customHeight="1" x14ac:dyDescent="0.25">
      <c r="A324" s="13" t="s">
        <v>875</v>
      </c>
      <c r="B324" s="2" t="s">
        <v>226</v>
      </c>
      <c r="C324" s="2" t="s">
        <v>876</v>
      </c>
      <c r="D324" s="2" t="s">
        <v>4799</v>
      </c>
      <c r="E324" s="2" t="s">
        <v>4688</v>
      </c>
      <c r="F324" s="2" t="s">
        <v>228</v>
      </c>
      <c r="G324" s="2">
        <v>30.6632</v>
      </c>
      <c r="H324" s="2" t="s">
        <v>4644</v>
      </c>
      <c r="I324" s="2" t="s">
        <v>4645</v>
      </c>
      <c r="J324" s="2" t="s">
        <v>4650</v>
      </c>
      <c r="K324" s="2">
        <v>24</v>
      </c>
      <c r="L324" s="2" t="s">
        <v>4647</v>
      </c>
    </row>
    <row r="325" spans="1:12" ht="33.75" customHeight="1" x14ac:dyDescent="0.25">
      <c r="A325" s="14" t="s">
        <v>877</v>
      </c>
      <c r="B325" s="3" t="s">
        <v>878</v>
      </c>
      <c r="C325" s="3" t="s">
        <v>879</v>
      </c>
      <c r="D325" s="3" t="s">
        <v>4741</v>
      </c>
      <c r="E325" s="3" t="s">
        <v>4802</v>
      </c>
      <c r="F325" s="3" t="s">
        <v>880</v>
      </c>
      <c r="G325" s="3">
        <v>27.925999999999998</v>
      </c>
      <c r="H325" s="3" t="s">
        <v>4644</v>
      </c>
      <c r="I325" s="3" t="s">
        <v>4645</v>
      </c>
      <c r="J325" s="3" t="s">
        <v>4684</v>
      </c>
      <c r="K325" s="3">
        <v>51</v>
      </c>
      <c r="L325" s="3" t="s">
        <v>4647</v>
      </c>
    </row>
    <row r="326" spans="1:12" ht="33.75" customHeight="1" x14ac:dyDescent="0.25">
      <c r="A326" s="13" t="s">
        <v>881</v>
      </c>
      <c r="B326" s="2" t="s">
        <v>830</v>
      </c>
      <c r="C326" s="2" t="s">
        <v>882</v>
      </c>
      <c r="D326" s="2" t="s">
        <v>4741</v>
      </c>
      <c r="E326" s="2" t="s">
        <v>4797</v>
      </c>
      <c r="F326" s="2" t="s">
        <v>832</v>
      </c>
      <c r="G326" s="2">
        <v>27.925999999999998</v>
      </c>
      <c r="H326" s="2" t="s">
        <v>4644</v>
      </c>
      <c r="I326" s="2" t="s">
        <v>4645</v>
      </c>
      <c r="J326" s="2" t="s">
        <v>4693</v>
      </c>
      <c r="K326" s="2">
        <v>42</v>
      </c>
      <c r="L326" s="2" t="s">
        <v>4647</v>
      </c>
    </row>
    <row r="327" spans="1:12" ht="33.75" customHeight="1" x14ac:dyDescent="0.25">
      <c r="A327" s="14" t="s">
        <v>883</v>
      </c>
      <c r="B327" s="3" t="s">
        <v>400</v>
      </c>
      <c r="C327" s="3" t="s">
        <v>884</v>
      </c>
      <c r="D327" s="3" t="s">
        <v>4698</v>
      </c>
      <c r="E327" s="3" t="s">
        <v>4730</v>
      </c>
      <c r="F327" s="3" t="s">
        <v>402</v>
      </c>
      <c r="G327" s="3">
        <v>34.332239999999999</v>
      </c>
      <c r="H327" s="3" t="s">
        <v>4644</v>
      </c>
      <c r="I327" s="3" t="s">
        <v>4645</v>
      </c>
      <c r="J327" s="3" t="s">
        <v>4719</v>
      </c>
      <c r="K327" s="3">
        <v>72</v>
      </c>
      <c r="L327" s="3" t="s">
        <v>4647</v>
      </c>
    </row>
    <row r="328" spans="1:12" ht="33.75" customHeight="1" x14ac:dyDescent="0.25">
      <c r="A328" s="13" t="s">
        <v>885</v>
      </c>
      <c r="B328" s="2" t="s">
        <v>878</v>
      </c>
      <c r="C328" s="2" t="s">
        <v>886</v>
      </c>
      <c r="D328" s="2" t="s">
        <v>4741</v>
      </c>
      <c r="E328" s="2" t="s">
        <v>4802</v>
      </c>
      <c r="F328" s="2" t="s">
        <v>880</v>
      </c>
      <c r="G328" s="2">
        <v>27.925999999999998</v>
      </c>
      <c r="H328" s="2" t="s">
        <v>4644</v>
      </c>
      <c r="I328" s="2" t="s">
        <v>4645</v>
      </c>
      <c r="J328" s="2" t="s">
        <v>4684</v>
      </c>
      <c r="K328" s="2">
        <v>51</v>
      </c>
      <c r="L328" s="2" t="s">
        <v>4647</v>
      </c>
    </row>
    <row r="329" spans="1:12" ht="33.75" customHeight="1" x14ac:dyDescent="0.25">
      <c r="A329" s="14" t="s">
        <v>887</v>
      </c>
      <c r="B329" s="3" t="s">
        <v>830</v>
      </c>
      <c r="C329" s="3" t="s">
        <v>888</v>
      </c>
      <c r="D329" s="3" t="s">
        <v>4741</v>
      </c>
      <c r="E329" s="3" t="s">
        <v>4797</v>
      </c>
      <c r="F329" s="3" t="s">
        <v>832</v>
      </c>
      <c r="G329" s="3">
        <v>27.925999999999998</v>
      </c>
      <c r="H329" s="3" t="s">
        <v>4644</v>
      </c>
      <c r="I329" s="3" t="s">
        <v>4645</v>
      </c>
      <c r="J329" s="3" t="s">
        <v>4693</v>
      </c>
      <c r="K329" s="3">
        <v>42</v>
      </c>
      <c r="L329" s="3" t="s">
        <v>4647</v>
      </c>
    </row>
    <row r="330" spans="1:12" ht="33.75" customHeight="1" x14ac:dyDescent="0.25">
      <c r="A330" s="13" t="s">
        <v>889</v>
      </c>
      <c r="B330" s="2" t="s">
        <v>89</v>
      </c>
      <c r="C330" s="2" t="s">
        <v>890</v>
      </c>
      <c r="D330" s="2"/>
      <c r="E330" s="2" t="s">
        <v>4659</v>
      </c>
      <c r="F330" s="2" t="s">
        <v>91</v>
      </c>
      <c r="G330" s="2">
        <v>32.389200000000002</v>
      </c>
      <c r="H330" s="2" t="s">
        <v>4644</v>
      </c>
      <c r="I330" s="2" t="s">
        <v>4645</v>
      </c>
      <c r="J330" s="2" t="s">
        <v>4652</v>
      </c>
      <c r="K330" s="2">
        <v>30</v>
      </c>
      <c r="L330" s="2" t="s">
        <v>4647</v>
      </c>
    </row>
    <row r="331" spans="1:12" ht="33.75" customHeight="1" x14ac:dyDescent="0.25">
      <c r="A331" s="14" t="s">
        <v>891</v>
      </c>
      <c r="B331" s="3" t="s">
        <v>612</v>
      </c>
      <c r="C331" s="3" t="s">
        <v>892</v>
      </c>
      <c r="D331" s="3" t="s">
        <v>4648</v>
      </c>
      <c r="E331" s="3" t="s">
        <v>4765</v>
      </c>
      <c r="F331" s="3" t="s">
        <v>614</v>
      </c>
      <c r="G331" s="3">
        <v>29.712399999999999</v>
      </c>
      <c r="H331" s="3" t="s">
        <v>4644</v>
      </c>
      <c r="I331" s="3" t="s">
        <v>4645</v>
      </c>
      <c r="J331" s="3" t="s">
        <v>4684</v>
      </c>
      <c r="K331" s="3">
        <v>63</v>
      </c>
      <c r="L331" s="3" t="s">
        <v>4647</v>
      </c>
    </row>
    <row r="332" spans="1:12" ht="33.75" customHeight="1" x14ac:dyDescent="0.25">
      <c r="A332" s="13" t="s">
        <v>893</v>
      </c>
      <c r="B332" s="2" t="s">
        <v>378</v>
      </c>
      <c r="C332" s="2" t="s">
        <v>894</v>
      </c>
      <c r="D332" s="2" t="s">
        <v>4714</v>
      </c>
      <c r="E332" s="2" t="s">
        <v>4722</v>
      </c>
      <c r="F332" s="2" t="s">
        <v>380</v>
      </c>
      <c r="G332" s="2">
        <v>29.743200000000002</v>
      </c>
      <c r="H332" s="2" t="s">
        <v>4644</v>
      </c>
      <c r="I332" s="2" t="s">
        <v>4645</v>
      </c>
      <c r="J332" s="2" t="s">
        <v>4723</v>
      </c>
      <c r="K332" s="2">
        <v>56</v>
      </c>
      <c r="L332" s="2" t="s">
        <v>4647</v>
      </c>
    </row>
    <row r="333" spans="1:12" ht="33.75" customHeight="1" x14ac:dyDescent="0.25">
      <c r="A333" s="14" t="s">
        <v>895</v>
      </c>
      <c r="B333" s="3" t="s">
        <v>665</v>
      </c>
      <c r="C333" s="3" t="s">
        <v>896</v>
      </c>
      <c r="D333" s="3" t="s">
        <v>4717</v>
      </c>
      <c r="E333" s="3" t="s">
        <v>4777</v>
      </c>
      <c r="F333" s="3" t="s">
        <v>667</v>
      </c>
      <c r="G333" s="3">
        <v>29.432400000000001</v>
      </c>
      <c r="H333" s="3" t="s">
        <v>4644</v>
      </c>
      <c r="I333" s="3" t="s">
        <v>4645</v>
      </c>
      <c r="J333" s="3" t="s">
        <v>4697</v>
      </c>
      <c r="K333" s="3">
        <v>45</v>
      </c>
      <c r="L333" s="3" t="s">
        <v>4647</v>
      </c>
    </row>
    <row r="334" spans="1:12" ht="33.75" customHeight="1" x14ac:dyDescent="0.25">
      <c r="A334" s="13" t="s">
        <v>897</v>
      </c>
      <c r="B334" s="2" t="s">
        <v>273</v>
      </c>
      <c r="C334" s="2" t="s">
        <v>898</v>
      </c>
      <c r="D334" s="2"/>
      <c r="E334" s="2" t="s">
        <v>4694</v>
      </c>
      <c r="F334" s="2" t="s">
        <v>275</v>
      </c>
      <c r="G334" s="2">
        <v>30.084199999999999</v>
      </c>
      <c r="H334" s="2" t="s">
        <v>4644</v>
      </c>
      <c r="I334" s="2" t="s">
        <v>4645</v>
      </c>
      <c r="J334" s="2" t="s">
        <v>4695</v>
      </c>
      <c r="K334" s="2">
        <v>68</v>
      </c>
      <c r="L334" s="2" t="s">
        <v>4647</v>
      </c>
    </row>
    <row r="335" spans="1:12" ht="33.75" customHeight="1" x14ac:dyDescent="0.25">
      <c r="A335" s="14" t="s">
        <v>899</v>
      </c>
      <c r="B335" s="3" t="s">
        <v>89</v>
      </c>
      <c r="C335" s="3" t="s">
        <v>900</v>
      </c>
      <c r="D335" s="3" t="s">
        <v>4773</v>
      </c>
      <c r="E335" s="3" t="s">
        <v>4659</v>
      </c>
      <c r="F335" s="3" t="s">
        <v>91</v>
      </c>
      <c r="G335" s="3">
        <v>32.389200000000002</v>
      </c>
      <c r="H335" s="3" t="s">
        <v>4644</v>
      </c>
      <c r="I335" s="3" t="s">
        <v>4645</v>
      </c>
      <c r="J335" s="3" t="s">
        <v>4652</v>
      </c>
      <c r="K335" s="3">
        <v>30</v>
      </c>
      <c r="L335" s="3" t="s">
        <v>4647</v>
      </c>
    </row>
    <row r="336" spans="1:12" ht="33.75" customHeight="1" x14ac:dyDescent="0.25">
      <c r="A336" s="13" t="s">
        <v>901</v>
      </c>
      <c r="B336" s="2" t="s">
        <v>656</v>
      </c>
      <c r="C336" s="2" t="s">
        <v>902</v>
      </c>
      <c r="D336" s="2" t="s">
        <v>4648</v>
      </c>
      <c r="E336" s="2" t="s">
        <v>4776</v>
      </c>
      <c r="F336" s="2" t="s">
        <v>658</v>
      </c>
      <c r="G336" s="2">
        <v>30.368400000000001</v>
      </c>
      <c r="H336" s="2" t="s">
        <v>4644</v>
      </c>
      <c r="I336" s="2" t="s">
        <v>4645</v>
      </c>
      <c r="J336" s="2" t="s">
        <v>4735</v>
      </c>
      <c r="K336" s="2">
        <v>72</v>
      </c>
      <c r="L336" s="2" t="s">
        <v>4647</v>
      </c>
    </row>
    <row r="337" spans="1:12" ht="33.75" customHeight="1" x14ac:dyDescent="0.25">
      <c r="A337" s="14" t="s">
        <v>903</v>
      </c>
      <c r="B337" s="3" t="s">
        <v>612</v>
      </c>
      <c r="C337" s="3" t="s">
        <v>904</v>
      </c>
      <c r="D337" s="3" t="s">
        <v>4648</v>
      </c>
      <c r="E337" s="3" t="s">
        <v>4765</v>
      </c>
      <c r="F337" s="3" t="s">
        <v>614</v>
      </c>
      <c r="G337" s="3">
        <v>29.712399999999999</v>
      </c>
      <c r="H337" s="3" t="s">
        <v>4644</v>
      </c>
      <c r="I337" s="3" t="s">
        <v>4645</v>
      </c>
      <c r="J337" s="3" t="s">
        <v>4695</v>
      </c>
      <c r="K337" s="3">
        <v>63</v>
      </c>
      <c r="L337" s="3" t="s">
        <v>4647</v>
      </c>
    </row>
    <row r="338" spans="1:12" ht="33.75" customHeight="1" x14ac:dyDescent="0.25">
      <c r="A338" s="13" t="s">
        <v>905</v>
      </c>
      <c r="B338" s="2" t="s">
        <v>906</v>
      </c>
      <c r="C338" s="2" t="s">
        <v>907</v>
      </c>
      <c r="D338" s="2" t="s">
        <v>4648</v>
      </c>
      <c r="E338" s="2" t="s">
        <v>4803</v>
      </c>
      <c r="F338" s="2" t="s">
        <v>908</v>
      </c>
      <c r="G338" s="2">
        <v>29.468399999999999</v>
      </c>
      <c r="H338" s="2" t="s">
        <v>4644</v>
      </c>
      <c r="I338" s="2" t="s">
        <v>4645</v>
      </c>
      <c r="J338" s="2" t="s">
        <v>4723</v>
      </c>
      <c r="K338" s="2">
        <v>54</v>
      </c>
      <c r="L338" s="2" t="s">
        <v>4647</v>
      </c>
    </row>
    <row r="339" spans="1:12" ht="33.75" customHeight="1" x14ac:dyDescent="0.25">
      <c r="A339" s="14" t="s">
        <v>909</v>
      </c>
      <c r="B339" s="3" t="s">
        <v>673</v>
      </c>
      <c r="C339" s="3" t="s">
        <v>910</v>
      </c>
      <c r="D339" s="3" t="s">
        <v>4648</v>
      </c>
      <c r="E339" s="3" t="s">
        <v>4779</v>
      </c>
      <c r="F339" s="3" t="s">
        <v>675</v>
      </c>
      <c r="G339" s="3">
        <v>29.5824</v>
      </c>
      <c r="H339" s="3" t="s">
        <v>4644</v>
      </c>
      <c r="I339" s="3" t="s">
        <v>4645</v>
      </c>
      <c r="J339" s="3" t="s">
        <v>4684</v>
      </c>
      <c r="K339" s="3">
        <v>63</v>
      </c>
      <c r="L339" s="3" t="s">
        <v>4647</v>
      </c>
    </row>
    <row r="340" spans="1:12" ht="33.75" customHeight="1" x14ac:dyDescent="0.25">
      <c r="A340" s="13" t="s">
        <v>911</v>
      </c>
      <c r="B340" s="2" t="s">
        <v>906</v>
      </c>
      <c r="C340" s="2" t="s">
        <v>912</v>
      </c>
      <c r="D340" s="2" t="s">
        <v>4648</v>
      </c>
      <c r="E340" s="2" t="s">
        <v>4803</v>
      </c>
      <c r="F340" s="2" t="s">
        <v>908</v>
      </c>
      <c r="G340" s="2">
        <v>29.468399999999999</v>
      </c>
      <c r="H340" s="2" t="s">
        <v>4644</v>
      </c>
      <c r="I340" s="2" t="s">
        <v>4645</v>
      </c>
      <c r="J340" s="2" t="s">
        <v>4693</v>
      </c>
      <c r="K340" s="2">
        <v>54</v>
      </c>
      <c r="L340" s="2" t="s">
        <v>4647</v>
      </c>
    </row>
    <row r="341" spans="1:12" ht="33.75" customHeight="1" x14ac:dyDescent="0.25">
      <c r="A341" s="14" t="s">
        <v>913</v>
      </c>
      <c r="B341" s="3" t="s">
        <v>400</v>
      </c>
      <c r="C341" s="3" t="s">
        <v>914</v>
      </c>
      <c r="D341" s="3" t="s">
        <v>4698</v>
      </c>
      <c r="E341" s="3" t="s">
        <v>4730</v>
      </c>
      <c r="F341" s="3" t="s">
        <v>402</v>
      </c>
      <c r="G341" s="3">
        <v>34.332239999999999</v>
      </c>
      <c r="H341" s="3" t="s">
        <v>4644</v>
      </c>
      <c r="I341" s="3" t="s">
        <v>4645</v>
      </c>
      <c r="J341" s="3" t="s">
        <v>4719</v>
      </c>
      <c r="K341" s="3">
        <v>72</v>
      </c>
      <c r="L341" s="3" t="s">
        <v>4647</v>
      </c>
    </row>
    <row r="342" spans="1:12" ht="33.75" customHeight="1" x14ac:dyDescent="0.25">
      <c r="A342" s="13" t="s">
        <v>915</v>
      </c>
      <c r="B342" s="2" t="s">
        <v>400</v>
      </c>
      <c r="C342" s="2" t="s">
        <v>916</v>
      </c>
      <c r="D342" s="2"/>
      <c r="E342" s="2" t="s">
        <v>4730</v>
      </c>
      <c r="F342" s="2" t="s">
        <v>402</v>
      </c>
      <c r="G342" s="2">
        <v>34.332239999999999</v>
      </c>
      <c r="H342" s="2" t="s">
        <v>4644</v>
      </c>
      <c r="I342" s="2" t="s">
        <v>4645</v>
      </c>
      <c r="J342" s="2" t="s">
        <v>4719</v>
      </c>
      <c r="K342" s="2">
        <v>72</v>
      </c>
      <c r="L342" s="2" t="s">
        <v>4647</v>
      </c>
    </row>
    <row r="343" spans="1:12" ht="33.75" customHeight="1" x14ac:dyDescent="0.25">
      <c r="A343" s="14" t="s">
        <v>917</v>
      </c>
      <c r="B343" s="3" t="s">
        <v>400</v>
      </c>
      <c r="C343" s="3" t="s">
        <v>918</v>
      </c>
      <c r="D343" s="3"/>
      <c r="E343" s="3" t="s">
        <v>4730</v>
      </c>
      <c r="F343" s="3" t="s">
        <v>402</v>
      </c>
      <c r="G343" s="3">
        <v>34.332239999999999</v>
      </c>
      <c r="H343" s="3" t="s">
        <v>4644</v>
      </c>
      <c r="I343" s="3" t="s">
        <v>4645</v>
      </c>
      <c r="J343" s="3" t="s">
        <v>4719</v>
      </c>
      <c r="K343" s="3">
        <v>72</v>
      </c>
      <c r="L343" s="3" t="s">
        <v>4647</v>
      </c>
    </row>
    <row r="344" spans="1:12" ht="33.75" customHeight="1" x14ac:dyDescent="0.25">
      <c r="A344" s="13" t="s">
        <v>919</v>
      </c>
      <c r="B344" s="2" t="s">
        <v>400</v>
      </c>
      <c r="C344" s="2" t="s">
        <v>920</v>
      </c>
      <c r="D344" s="2" t="s">
        <v>4661</v>
      </c>
      <c r="E344" s="2" t="s">
        <v>4730</v>
      </c>
      <c r="F344" s="2" t="s">
        <v>402</v>
      </c>
      <c r="G344" s="2">
        <v>34.332239999999999</v>
      </c>
      <c r="H344" s="2" t="s">
        <v>4644</v>
      </c>
      <c r="I344" s="2" t="s">
        <v>4645</v>
      </c>
      <c r="J344" s="2" t="s">
        <v>4719</v>
      </c>
      <c r="K344" s="2">
        <v>72</v>
      </c>
      <c r="L344" s="2" t="s">
        <v>4647</v>
      </c>
    </row>
    <row r="345" spans="1:12" ht="33.75" customHeight="1" x14ac:dyDescent="0.25">
      <c r="A345" s="14" t="s">
        <v>921</v>
      </c>
      <c r="B345" s="3" t="s">
        <v>400</v>
      </c>
      <c r="C345" s="3" t="s">
        <v>922</v>
      </c>
      <c r="D345" s="3"/>
      <c r="E345" s="3" t="s">
        <v>4730</v>
      </c>
      <c r="F345" s="3" t="s">
        <v>402</v>
      </c>
      <c r="G345" s="3">
        <v>34.332239999999999</v>
      </c>
      <c r="H345" s="3" t="s">
        <v>4644</v>
      </c>
      <c r="I345" s="3" t="s">
        <v>4645</v>
      </c>
      <c r="J345" s="3" t="s">
        <v>4719</v>
      </c>
      <c r="K345" s="3">
        <v>72</v>
      </c>
      <c r="L345" s="3" t="s">
        <v>4647</v>
      </c>
    </row>
    <row r="346" spans="1:12" ht="33.75" customHeight="1" x14ac:dyDescent="0.25">
      <c r="A346" s="13" t="s">
        <v>923</v>
      </c>
      <c r="B346" s="2" t="s">
        <v>400</v>
      </c>
      <c r="C346" s="2" t="s">
        <v>924</v>
      </c>
      <c r="D346" s="2"/>
      <c r="E346" s="2" t="s">
        <v>4730</v>
      </c>
      <c r="F346" s="2" t="s">
        <v>402</v>
      </c>
      <c r="G346" s="2">
        <v>34.332239999999999</v>
      </c>
      <c r="H346" s="2" t="s">
        <v>4644</v>
      </c>
      <c r="I346" s="2" t="s">
        <v>4645</v>
      </c>
      <c r="J346" s="2" t="s">
        <v>4719</v>
      </c>
      <c r="K346" s="2">
        <v>72</v>
      </c>
      <c r="L346" s="2" t="s">
        <v>4647</v>
      </c>
    </row>
    <row r="347" spans="1:12" ht="33.75" customHeight="1" x14ac:dyDescent="0.25">
      <c r="A347" s="14" t="s">
        <v>925</v>
      </c>
      <c r="B347" s="3" t="s">
        <v>400</v>
      </c>
      <c r="C347" s="3" t="s">
        <v>926</v>
      </c>
      <c r="D347" s="3" t="s">
        <v>4702</v>
      </c>
      <c r="E347" s="3" t="s">
        <v>4730</v>
      </c>
      <c r="F347" s="3" t="s">
        <v>402</v>
      </c>
      <c r="G347" s="3">
        <v>34.332239999999999</v>
      </c>
      <c r="H347" s="3" t="s">
        <v>4644</v>
      </c>
      <c r="I347" s="3" t="s">
        <v>4645</v>
      </c>
      <c r="J347" s="3" t="s">
        <v>4719</v>
      </c>
      <c r="K347" s="3">
        <v>72</v>
      </c>
      <c r="L347" s="3" t="s">
        <v>4647</v>
      </c>
    </row>
    <row r="348" spans="1:12" ht="33.75" customHeight="1" x14ac:dyDescent="0.25">
      <c r="A348" s="13" t="s">
        <v>927</v>
      </c>
      <c r="B348" s="2" t="s">
        <v>400</v>
      </c>
      <c r="C348" s="2" t="s">
        <v>928</v>
      </c>
      <c r="D348" s="2"/>
      <c r="E348" s="2" t="s">
        <v>4730</v>
      </c>
      <c r="F348" s="2" t="s">
        <v>402</v>
      </c>
      <c r="G348" s="2">
        <v>34.332239999999999</v>
      </c>
      <c r="H348" s="2" t="s">
        <v>4644</v>
      </c>
      <c r="I348" s="2" t="s">
        <v>4645</v>
      </c>
      <c r="J348" s="2" t="s">
        <v>4719</v>
      </c>
      <c r="K348" s="2">
        <v>72</v>
      </c>
      <c r="L348" s="2" t="s">
        <v>4647</v>
      </c>
    </row>
    <row r="349" spans="1:12" ht="33.75" customHeight="1" x14ac:dyDescent="0.25">
      <c r="A349" s="14" t="s">
        <v>929</v>
      </c>
      <c r="B349" s="3" t="s">
        <v>382</v>
      </c>
      <c r="C349" s="3" t="s">
        <v>930</v>
      </c>
      <c r="D349" s="3"/>
      <c r="E349" s="3" t="s">
        <v>4725</v>
      </c>
      <c r="F349" s="3" t="s">
        <v>384</v>
      </c>
      <c r="G349" s="3">
        <v>35.3172</v>
      </c>
      <c r="H349" s="3" t="s">
        <v>4644</v>
      </c>
      <c r="I349" s="3" t="s">
        <v>4645</v>
      </c>
      <c r="J349" s="3" t="s">
        <v>4726</v>
      </c>
      <c r="K349" s="3">
        <v>96</v>
      </c>
      <c r="L349" s="3" t="s">
        <v>4647</v>
      </c>
    </row>
    <row r="350" spans="1:12" ht="33.75" customHeight="1" x14ac:dyDescent="0.25">
      <c r="A350" s="13" t="s">
        <v>931</v>
      </c>
      <c r="B350" s="2" t="s">
        <v>382</v>
      </c>
      <c r="C350" s="2" t="s">
        <v>932</v>
      </c>
      <c r="D350" s="2"/>
      <c r="E350" s="2" t="s">
        <v>4725</v>
      </c>
      <c r="F350" s="2" t="s">
        <v>384</v>
      </c>
      <c r="G350" s="2">
        <v>35.3172</v>
      </c>
      <c r="H350" s="2" t="s">
        <v>4644</v>
      </c>
      <c r="I350" s="2" t="s">
        <v>4645</v>
      </c>
      <c r="J350" s="2" t="s">
        <v>4726</v>
      </c>
      <c r="K350" s="2">
        <v>96</v>
      </c>
      <c r="L350" s="2" t="s">
        <v>4647</v>
      </c>
    </row>
    <row r="351" spans="1:12" ht="33.75" customHeight="1" x14ac:dyDescent="0.25">
      <c r="A351" s="14" t="s">
        <v>933</v>
      </c>
      <c r="B351" s="3" t="s">
        <v>382</v>
      </c>
      <c r="C351" s="3" t="s">
        <v>934</v>
      </c>
      <c r="D351" s="3" t="s">
        <v>4698</v>
      </c>
      <c r="E351" s="3" t="s">
        <v>4725</v>
      </c>
      <c r="F351" s="3" t="s">
        <v>384</v>
      </c>
      <c r="G351" s="3">
        <v>35.3172</v>
      </c>
      <c r="H351" s="3" t="s">
        <v>4644</v>
      </c>
      <c r="I351" s="3" t="s">
        <v>4645</v>
      </c>
      <c r="J351" s="3" t="s">
        <v>4726</v>
      </c>
      <c r="K351" s="3">
        <v>96</v>
      </c>
      <c r="L351" s="3" t="s">
        <v>4647</v>
      </c>
    </row>
    <row r="352" spans="1:12" ht="33.75" customHeight="1" x14ac:dyDescent="0.25">
      <c r="A352" s="13" t="s">
        <v>935</v>
      </c>
      <c r="B352" s="2" t="s">
        <v>382</v>
      </c>
      <c r="C352" s="2" t="s">
        <v>936</v>
      </c>
      <c r="D352" s="2"/>
      <c r="E352" s="2" t="s">
        <v>4725</v>
      </c>
      <c r="F352" s="2" t="s">
        <v>384</v>
      </c>
      <c r="G352" s="2">
        <v>35.3172</v>
      </c>
      <c r="H352" s="2" t="s">
        <v>4644</v>
      </c>
      <c r="I352" s="2" t="s">
        <v>4645</v>
      </c>
      <c r="J352" s="2" t="s">
        <v>4726</v>
      </c>
      <c r="K352" s="2">
        <v>96</v>
      </c>
      <c r="L352" s="2" t="s">
        <v>4647</v>
      </c>
    </row>
    <row r="353" spans="1:12" ht="33.75" customHeight="1" x14ac:dyDescent="0.25">
      <c r="A353" s="14" t="s">
        <v>937</v>
      </c>
      <c r="B353" s="3" t="s">
        <v>382</v>
      </c>
      <c r="C353" s="3" t="s">
        <v>938</v>
      </c>
      <c r="D353" s="3"/>
      <c r="E353" s="3" t="s">
        <v>4725</v>
      </c>
      <c r="F353" s="3" t="s">
        <v>384</v>
      </c>
      <c r="G353" s="3">
        <v>35.3172</v>
      </c>
      <c r="H353" s="3" t="s">
        <v>4644</v>
      </c>
      <c r="I353" s="3" t="s">
        <v>4645</v>
      </c>
      <c r="J353" s="3" t="s">
        <v>4726</v>
      </c>
      <c r="K353" s="3">
        <v>96</v>
      </c>
      <c r="L353" s="3" t="s">
        <v>4647</v>
      </c>
    </row>
    <row r="354" spans="1:12" ht="33.75" customHeight="1" x14ac:dyDescent="0.25">
      <c r="A354" s="13" t="s">
        <v>939</v>
      </c>
      <c r="B354" s="2" t="s">
        <v>382</v>
      </c>
      <c r="C354" s="2" t="s">
        <v>940</v>
      </c>
      <c r="D354" s="2" t="s">
        <v>4701</v>
      </c>
      <c r="E354" s="2" t="s">
        <v>4725</v>
      </c>
      <c r="F354" s="2" t="s">
        <v>384</v>
      </c>
      <c r="G354" s="2">
        <v>35.3172</v>
      </c>
      <c r="H354" s="2" t="s">
        <v>4644</v>
      </c>
      <c r="I354" s="2" t="s">
        <v>4645</v>
      </c>
      <c r="J354" s="2" t="s">
        <v>4726</v>
      </c>
      <c r="K354" s="2">
        <v>96</v>
      </c>
      <c r="L354" s="2" t="s">
        <v>4647</v>
      </c>
    </row>
    <row r="355" spans="1:12" ht="33.75" customHeight="1" x14ac:dyDescent="0.25">
      <c r="A355" s="14" t="s">
        <v>941</v>
      </c>
      <c r="B355" s="3" t="s">
        <v>382</v>
      </c>
      <c r="C355" s="3" t="s">
        <v>942</v>
      </c>
      <c r="D355" s="3" t="s">
        <v>4702</v>
      </c>
      <c r="E355" s="3" t="s">
        <v>4725</v>
      </c>
      <c r="F355" s="3" t="s">
        <v>384</v>
      </c>
      <c r="G355" s="3">
        <v>35.3172</v>
      </c>
      <c r="H355" s="3" t="s">
        <v>4644</v>
      </c>
      <c r="I355" s="3" t="s">
        <v>4645</v>
      </c>
      <c r="J355" s="3" t="s">
        <v>4726</v>
      </c>
      <c r="K355" s="3">
        <v>96</v>
      </c>
      <c r="L355" s="3" t="s">
        <v>4647</v>
      </c>
    </row>
    <row r="356" spans="1:12" ht="33.75" customHeight="1" x14ac:dyDescent="0.25">
      <c r="A356" s="13" t="s">
        <v>943</v>
      </c>
      <c r="B356" s="2" t="s">
        <v>382</v>
      </c>
      <c r="C356" s="2" t="s">
        <v>944</v>
      </c>
      <c r="D356" s="2" t="s">
        <v>4701</v>
      </c>
      <c r="E356" s="2" t="s">
        <v>4725</v>
      </c>
      <c r="F356" s="2" t="s">
        <v>384</v>
      </c>
      <c r="G356" s="2">
        <v>35.3172</v>
      </c>
      <c r="H356" s="2" t="s">
        <v>4644</v>
      </c>
      <c r="I356" s="2" t="s">
        <v>4645</v>
      </c>
      <c r="J356" s="2" t="s">
        <v>4726</v>
      </c>
      <c r="K356" s="2">
        <v>96</v>
      </c>
      <c r="L356" s="2" t="s">
        <v>4647</v>
      </c>
    </row>
    <row r="357" spans="1:12" ht="33.75" customHeight="1" x14ac:dyDescent="0.25">
      <c r="A357" s="14" t="s">
        <v>945</v>
      </c>
      <c r="B357" s="3" t="s">
        <v>382</v>
      </c>
      <c r="C357" s="3" t="s">
        <v>946</v>
      </c>
      <c r="D357" s="3" t="s">
        <v>4702</v>
      </c>
      <c r="E357" s="3" t="s">
        <v>4725</v>
      </c>
      <c r="F357" s="3" t="s">
        <v>384</v>
      </c>
      <c r="G357" s="3">
        <v>35.3172</v>
      </c>
      <c r="H357" s="3" t="s">
        <v>4644</v>
      </c>
      <c r="I357" s="3" t="s">
        <v>4645</v>
      </c>
      <c r="J357" s="3" t="s">
        <v>4726</v>
      </c>
      <c r="K357" s="3">
        <v>96</v>
      </c>
      <c r="L357" s="3" t="s">
        <v>4647</v>
      </c>
    </row>
    <row r="358" spans="1:12" ht="33.75" customHeight="1" x14ac:dyDescent="0.25">
      <c r="A358" s="13" t="s">
        <v>947</v>
      </c>
      <c r="B358" s="2" t="s">
        <v>948</v>
      </c>
      <c r="C358" s="2" t="s">
        <v>949</v>
      </c>
      <c r="D358" s="2" t="s">
        <v>4705</v>
      </c>
      <c r="E358" s="2" t="s">
        <v>4804</v>
      </c>
      <c r="F358" s="2" t="s">
        <v>950</v>
      </c>
      <c r="G358" s="2">
        <v>49.658900000000003</v>
      </c>
      <c r="H358" s="2" t="s">
        <v>4644</v>
      </c>
      <c r="I358" s="2" t="s">
        <v>4645</v>
      </c>
      <c r="J358" s="2" t="s">
        <v>4726</v>
      </c>
      <c r="K358" s="2">
        <v>87</v>
      </c>
      <c r="L358" s="2" t="s">
        <v>4647</v>
      </c>
    </row>
    <row r="359" spans="1:12" ht="33.75" customHeight="1" x14ac:dyDescent="0.25">
      <c r="A359" s="14" t="s">
        <v>951</v>
      </c>
      <c r="B359" s="3" t="s">
        <v>382</v>
      </c>
      <c r="C359" s="3" t="s">
        <v>952</v>
      </c>
      <c r="D359" s="3" t="s">
        <v>4658</v>
      </c>
      <c r="E359" s="3" t="s">
        <v>4725</v>
      </c>
      <c r="F359" s="3" t="s">
        <v>384</v>
      </c>
      <c r="G359" s="3">
        <v>35.3172</v>
      </c>
      <c r="H359" s="3" t="s">
        <v>4644</v>
      </c>
      <c r="I359" s="3" t="s">
        <v>4645</v>
      </c>
      <c r="J359" s="3" t="s">
        <v>4726</v>
      </c>
      <c r="K359" s="3">
        <v>96</v>
      </c>
      <c r="L359" s="3" t="s">
        <v>4647</v>
      </c>
    </row>
    <row r="360" spans="1:12" ht="33.75" customHeight="1" x14ac:dyDescent="0.25">
      <c r="A360" s="13" t="s">
        <v>953</v>
      </c>
      <c r="B360" s="2" t="s">
        <v>382</v>
      </c>
      <c r="C360" s="2" t="s">
        <v>954</v>
      </c>
      <c r="D360" s="2"/>
      <c r="E360" s="2" t="s">
        <v>4725</v>
      </c>
      <c r="F360" s="2" t="s">
        <v>384</v>
      </c>
      <c r="G360" s="2">
        <v>35.3172</v>
      </c>
      <c r="H360" s="2" t="s">
        <v>4644</v>
      </c>
      <c r="I360" s="2" t="s">
        <v>4645</v>
      </c>
      <c r="J360" s="2" t="s">
        <v>4726</v>
      </c>
      <c r="K360" s="2">
        <v>96</v>
      </c>
      <c r="L360" s="2" t="s">
        <v>4647</v>
      </c>
    </row>
    <row r="361" spans="1:12" ht="33.75" customHeight="1" x14ac:dyDescent="0.25">
      <c r="A361" s="14" t="s">
        <v>955</v>
      </c>
      <c r="B361" s="3" t="s">
        <v>382</v>
      </c>
      <c r="C361" s="3" t="s">
        <v>956</v>
      </c>
      <c r="D361" s="3"/>
      <c r="E361" s="3" t="s">
        <v>4725</v>
      </c>
      <c r="F361" s="3" t="s">
        <v>384</v>
      </c>
      <c r="G361" s="3">
        <v>35.3172</v>
      </c>
      <c r="H361" s="3" t="s">
        <v>4644</v>
      </c>
      <c r="I361" s="3" t="s">
        <v>4645</v>
      </c>
      <c r="J361" s="3" t="s">
        <v>4726</v>
      </c>
      <c r="K361" s="3">
        <v>96</v>
      </c>
      <c r="L361" s="3" t="s">
        <v>4647</v>
      </c>
    </row>
    <row r="362" spans="1:12" ht="33.75" customHeight="1" x14ac:dyDescent="0.25">
      <c r="A362" s="13" t="s">
        <v>957</v>
      </c>
      <c r="B362" s="2" t="s">
        <v>382</v>
      </c>
      <c r="C362" s="2" t="s">
        <v>958</v>
      </c>
      <c r="D362" s="2" t="s">
        <v>4661</v>
      </c>
      <c r="E362" s="2" t="s">
        <v>4725</v>
      </c>
      <c r="F362" s="2" t="s">
        <v>384</v>
      </c>
      <c r="G362" s="2">
        <v>35.3172</v>
      </c>
      <c r="H362" s="2" t="s">
        <v>4644</v>
      </c>
      <c r="I362" s="2" t="s">
        <v>4645</v>
      </c>
      <c r="J362" s="2" t="s">
        <v>4726</v>
      </c>
      <c r="K362" s="2">
        <v>96</v>
      </c>
      <c r="L362" s="2" t="s">
        <v>4647</v>
      </c>
    </row>
    <row r="363" spans="1:12" ht="33.75" customHeight="1" x14ac:dyDescent="0.25">
      <c r="A363" s="14" t="s">
        <v>959</v>
      </c>
      <c r="B363" s="3" t="s">
        <v>390</v>
      </c>
      <c r="C363" s="3" t="s">
        <v>960</v>
      </c>
      <c r="D363" s="3" t="s">
        <v>4698</v>
      </c>
      <c r="E363" s="3" t="s">
        <v>4728</v>
      </c>
      <c r="F363" s="3" t="s">
        <v>392</v>
      </c>
      <c r="G363" s="3">
        <v>35.367600000000003</v>
      </c>
      <c r="H363" s="3" t="s">
        <v>4644</v>
      </c>
      <c r="I363" s="3" t="s">
        <v>4645</v>
      </c>
      <c r="J363" s="3" t="s">
        <v>4729</v>
      </c>
      <c r="K363" s="3">
        <v>120</v>
      </c>
      <c r="L363" s="3" t="s">
        <v>4647</v>
      </c>
    </row>
    <row r="364" spans="1:12" ht="33.75" customHeight="1" x14ac:dyDescent="0.25">
      <c r="A364" s="13" t="s">
        <v>961</v>
      </c>
      <c r="B364" s="2" t="s">
        <v>390</v>
      </c>
      <c r="C364" s="2" t="s">
        <v>962</v>
      </c>
      <c r="D364" s="2" t="s">
        <v>4702</v>
      </c>
      <c r="E364" s="2" t="s">
        <v>4728</v>
      </c>
      <c r="F364" s="2" t="s">
        <v>392</v>
      </c>
      <c r="G364" s="2">
        <v>35.367600000000003</v>
      </c>
      <c r="H364" s="2" t="s">
        <v>4644</v>
      </c>
      <c r="I364" s="2" t="s">
        <v>4645</v>
      </c>
      <c r="J364" s="2" t="s">
        <v>4729</v>
      </c>
      <c r="K364" s="2">
        <v>120</v>
      </c>
      <c r="L364" s="2" t="s">
        <v>4647</v>
      </c>
    </row>
    <row r="365" spans="1:12" ht="33.75" customHeight="1" x14ac:dyDescent="0.25">
      <c r="A365" s="14" t="s">
        <v>963</v>
      </c>
      <c r="B365" s="3" t="s">
        <v>390</v>
      </c>
      <c r="C365" s="3" t="s">
        <v>964</v>
      </c>
      <c r="D365" s="3" t="s">
        <v>4701</v>
      </c>
      <c r="E365" s="3" t="s">
        <v>4728</v>
      </c>
      <c r="F365" s="3" t="s">
        <v>392</v>
      </c>
      <c r="G365" s="3">
        <v>35.367600000000003</v>
      </c>
      <c r="H365" s="3" t="s">
        <v>4644</v>
      </c>
      <c r="I365" s="3" t="s">
        <v>4645</v>
      </c>
      <c r="J365" s="3" t="s">
        <v>4729</v>
      </c>
      <c r="K365" s="3">
        <v>120</v>
      </c>
      <c r="L365" s="3" t="s">
        <v>4647</v>
      </c>
    </row>
    <row r="366" spans="1:12" ht="33.75" customHeight="1" x14ac:dyDescent="0.25">
      <c r="A366" s="13" t="s">
        <v>965</v>
      </c>
      <c r="B366" s="2" t="s">
        <v>966</v>
      </c>
      <c r="C366" s="2" t="s">
        <v>967</v>
      </c>
      <c r="D366" s="2" t="s">
        <v>4705</v>
      </c>
      <c r="E366" s="2" t="s">
        <v>4805</v>
      </c>
      <c r="F366" s="2" t="s">
        <v>968</v>
      </c>
      <c r="G366" s="2">
        <v>54.972650000000002</v>
      </c>
      <c r="H366" s="2" t="s">
        <v>4644</v>
      </c>
      <c r="I366" s="2" t="s">
        <v>4645</v>
      </c>
      <c r="J366" s="2" t="s">
        <v>4729</v>
      </c>
      <c r="K366" s="2">
        <v>105</v>
      </c>
      <c r="L366" s="2" t="s">
        <v>4647</v>
      </c>
    </row>
    <row r="367" spans="1:12" ht="33.75" customHeight="1" x14ac:dyDescent="0.25">
      <c r="A367" s="14" t="s">
        <v>969</v>
      </c>
      <c r="B367" s="3" t="s">
        <v>390</v>
      </c>
      <c r="C367" s="3" t="s">
        <v>970</v>
      </c>
      <c r="D367" s="3" t="s">
        <v>4658</v>
      </c>
      <c r="E367" s="3" t="s">
        <v>4728</v>
      </c>
      <c r="F367" s="3" t="s">
        <v>392</v>
      </c>
      <c r="G367" s="3">
        <v>35.367600000000003</v>
      </c>
      <c r="H367" s="3" t="s">
        <v>4644</v>
      </c>
      <c r="I367" s="3" t="s">
        <v>4645</v>
      </c>
      <c r="J367" s="3" t="s">
        <v>4729</v>
      </c>
      <c r="K367" s="3">
        <v>120</v>
      </c>
      <c r="L367" s="3" t="s">
        <v>4647</v>
      </c>
    </row>
    <row r="368" spans="1:12" ht="33.75" customHeight="1" x14ac:dyDescent="0.25">
      <c r="A368" s="13" t="s">
        <v>971</v>
      </c>
      <c r="B368" s="2" t="s">
        <v>390</v>
      </c>
      <c r="C368" s="2" t="s">
        <v>972</v>
      </c>
      <c r="D368" s="2"/>
      <c r="E368" s="2" t="s">
        <v>4728</v>
      </c>
      <c r="F368" s="2" t="s">
        <v>392</v>
      </c>
      <c r="G368" s="2">
        <v>35.367600000000003</v>
      </c>
      <c r="H368" s="2" t="s">
        <v>4644</v>
      </c>
      <c r="I368" s="2" t="s">
        <v>4645</v>
      </c>
      <c r="J368" s="2" t="s">
        <v>4729</v>
      </c>
      <c r="K368" s="2">
        <v>120</v>
      </c>
      <c r="L368" s="2" t="s">
        <v>4647</v>
      </c>
    </row>
    <row r="369" spans="1:12" ht="33.75" customHeight="1" x14ac:dyDescent="0.25">
      <c r="A369" s="14" t="s">
        <v>973</v>
      </c>
      <c r="B369" s="3" t="s">
        <v>390</v>
      </c>
      <c r="C369" s="3" t="s">
        <v>974</v>
      </c>
      <c r="D369" s="3" t="s">
        <v>4661</v>
      </c>
      <c r="E369" s="3" t="s">
        <v>4728</v>
      </c>
      <c r="F369" s="3" t="s">
        <v>392</v>
      </c>
      <c r="G369" s="3">
        <v>35.367600000000003</v>
      </c>
      <c r="H369" s="3" t="s">
        <v>4644</v>
      </c>
      <c r="I369" s="3" t="s">
        <v>4645</v>
      </c>
      <c r="J369" s="3" t="s">
        <v>4729</v>
      </c>
      <c r="K369" s="3">
        <v>120</v>
      </c>
      <c r="L369" s="3" t="s">
        <v>4647</v>
      </c>
    </row>
    <row r="370" spans="1:12" ht="33.75" customHeight="1" x14ac:dyDescent="0.25">
      <c r="A370" s="13" t="s">
        <v>975</v>
      </c>
      <c r="B370" s="2" t="s">
        <v>390</v>
      </c>
      <c r="C370" s="2" t="s">
        <v>976</v>
      </c>
      <c r="D370" s="2" t="s">
        <v>4705</v>
      </c>
      <c r="E370" s="2" t="s">
        <v>4728</v>
      </c>
      <c r="F370" s="2" t="s">
        <v>392</v>
      </c>
      <c r="G370" s="2">
        <v>35.367600000000003</v>
      </c>
      <c r="H370" s="2" t="s">
        <v>4644</v>
      </c>
      <c r="I370" s="2" t="s">
        <v>4645</v>
      </c>
      <c r="J370" s="2" t="s">
        <v>4729</v>
      </c>
      <c r="K370" s="2">
        <v>120</v>
      </c>
      <c r="L370" s="2" t="s">
        <v>4647</v>
      </c>
    </row>
    <row r="371" spans="1:12" ht="33.75" customHeight="1" x14ac:dyDescent="0.25">
      <c r="A371" s="14" t="s">
        <v>977</v>
      </c>
      <c r="B371" s="3" t="s">
        <v>390</v>
      </c>
      <c r="C371" s="3" t="s">
        <v>978</v>
      </c>
      <c r="D371" s="3" t="s">
        <v>4701</v>
      </c>
      <c r="E371" s="3" t="s">
        <v>4728</v>
      </c>
      <c r="F371" s="3" t="s">
        <v>392</v>
      </c>
      <c r="G371" s="3">
        <v>35.367600000000003</v>
      </c>
      <c r="H371" s="3" t="s">
        <v>4644</v>
      </c>
      <c r="I371" s="3" t="s">
        <v>4645</v>
      </c>
      <c r="J371" s="3" t="s">
        <v>4729</v>
      </c>
      <c r="K371" s="3">
        <v>120</v>
      </c>
      <c r="L371" s="3" t="s">
        <v>4647</v>
      </c>
    </row>
    <row r="372" spans="1:12" ht="33.75" customHeight="1" x14ac:dyDescent="0.25">
      <c r="A372" s="13" t="s">
        <v>979</v>
      </c>
      <c r="B372" s="2" t="s">
        <v>390</v>
      </c>
      <c r="C372" s="2" t="s">
        <v>980</v>
      </c>
      <c r="D372" s="2" t="s">
        <v>4661</v>
      </c>
      <c r="E372" s="2" t="s">
        <v>4728</v>
      </c>
      <c r="F372" s="2" t="s">
        <v>392</v>
      </c>
      <c r="G372" s="2">
        <v>35.367600000000003</v>
      </c>
      <c r="H372" s="2" t="s">
        <v>4644</v>
      </c>
      <c r="I372" s="2" t="s">
        <v>4645</v>
      </c>
      <c r="J372" s="2" t="s">
        <v>4729</v>
      </c>
      <c r="K372" s="2">
        <v>120</v>
      </c>
      <c r="L372" s="2" t="s">
        <v>4647</v>
      </c>
    </row>
    <row r="373" spans="1:12" ht="33.75" customHeight="1" x14ac:dyDescent="0.25">
      <c r="A373" s="14" t="s">
        <v>981</v>
      </c>
      <c r="B373" s="3" t="s">
        <v>400</v>
      </c>
      <c r="C373" s="3" t="s">
        <v>982</v>
      </c>
      <c r="D373" s="3"/>
      <c r="E373" s="3" t="s">
        <v>4730</v>
      </c>
      <c r="F373" s="3" t="s">
        <v>402</v>
      </c>
      <c r="G373" s="3">
        <v>34.332239999999999</v>
      </c>
      <c r="H373" s="3" t="s">
        <v>4644</v>
      </c>
      <c r="I373" s="3" t="s">
        <v>4645</v>
      </c>
      <c r="J373" s="3" t="s">
        <v>4719</v>
      </c>
      <c r="K373" s="3">
        <v>72</v>
      </c>
      <c r="L373" s="3" t="s">
        <v>4647</v>
      </c>
    </row>
    <row r="374" spans="1:12" ht="33.75" customHeight="1" x14ac:dyDescent="0.25">
      <c r="A374" s="13" t="s">
        <v>983</v>
      </c>
      <c r="B374" s="2" t="s">
        <v>400</v>
      </c>
      <c r="C374" s="2" t="s">
        <v>984</v>
      </c>
      <c r="D374" s="2" t="s">
        <v>4701</v>
      </c>
      <c r="E374" s="2" t="s">
        <v>4730</v>
      </c>
      <c r="F374" s="2" t="s">
        <v>402</v>
      </c>
      <c r="G374" s="2">
        <v>34.332239999999999</v>
      </c>
      <c r="H374" s="2" t="s">
        <v>4644</v>
      </c>
      <c r="I374" s="2" t="s">
        <v>4645</v>
      </c>
      <c r="J374" s="2" t="s">
        <v>4719</v>
      </c>
      <c r="K374" s="2">
        <v>72</v>
      </c>
      <c r="L374" s="2" t="s">
        <v>4647</v>
      </c>
    </row>
    <row r="375" spans="1:12" ht="33.75" customHeight="1" x14ac:dyDescent="0.25">
      <c r="A375" s="14" t="s">
        <v>985</v>
      </c>
      <c r="B375" s="3" t="s">
        <v>400</v>
      </c>
      <c r="C375" s="3" t="s">
        <v>986</v>
      </c>
      <c r="D375" s="3"/>
      <c r="E375" s="3" t="s">
        <v>4730</v>
      </c>
      <c r="F375" s="3" t="s">
        <v>402</v>
      </c>
      <c r="G375" s="3">
        <v>34.332239999999999</v>
      </c>
      <c r="H375" s="3" t="s">
        <v>4644</v>
      </c>
      <c r="I375" s="3" t="s">
        <v>4645</v>
      </c>
      <c r="J375" s="3" t="s">
        <v>4719</v>
      </c>
      <c r="K375" s="3">
        <v>72</v>
      </c>
      <c r="L375" s="3" t="s">
        <v>4647</v>
      </c>
    </row>
    <row r="376" spans="1:12" ht="33.75" customHeight="1" x14ac:dyDescent="0.25">
      <c r="A376" s="13" t="s">
        <v>987</v>
      </c>
      <c r="B376" s="2" t="s">
        <v>400</v>
      </c>
      <c r="C376" s="2" t="s">
        <v>988</v>
      </c>
      <c r="D376" s="2"/>
      <c r="E376" s="2" t="s">
        <v>4730</v>
      </c>
      <c r="F376" s="2" t="s">
        <v>402</v>
      </c>
      <c r="G376" s="2">
        <v>34.332239999999999</v>
      </c>
      <c r="H376" s="2" t="s">
        <v>4644</v>
      </c>
      <c r="I376" s="2" t="s">
        <v>4645</v>
      </c>
      <c r="J376" s="2" t="s">
        <v>4719</v>
      </c>
      <c r="K376" s="2">
        <v>72</v>
      </c>
      <c r="L376" s="2" t="s">
        <v>4647</v>
      </c>
    </row>
    <row r="377" spans="1:12" ht="33.75" customHeight="1" x14ac:dyDescent="0.25">
      <c r="A377" s="14" t="s">
        <v>989</v>
      </c>
      <c r="B377" s="3" t="s">
        <v>990</v>
      </c>
      <c r="C377" s="3" t="s">
        <v>991</v>
      </c>
      <c r="D377" s="3"/>
      <c r="E377" s="3" t="s">
        <v>4806</v>
      </c>
      <c r="F377" s="3" t="s">
        <v>992</v>
      </c>
      <c r="G377" s="3">
        <v>29.755199999999999</v>
      </c>
      <c r="H377" s="3" t="s">
        <v>4644</v>
      </c>
      <c r="I377" s="3" t="s">
        <v>4645</v>
      </c>
      <c r="J377" s="3" t="s">
        <v>4693</v>
      </c>
      <c r="K377" s="3">
        <v>54</v>
      </c>
      <c r="L377" s="3" t="s">
        <v>4647</v>
      </c>
    </row>
    <row r="378" spans="1:12" ht="33.75" customHeight="1" x14ac:dyDescent="0.25">
      <c r="A378" s="13" t="s">
        <v>993</v>
      </c>
      <c r="B378" s="2" t="s">
        <v>400</v>
      </c>
      <c r="C378" s="2" t="s">
        <v>994</v>
      </c>
      <c r="D378" s="2" t="s">
        <v>4705</v>
      </c>
      <c r="E378" s="2" t="s">
        <v>4730</v>
      </c>
      <c r="F378" s="2" t="s">
        <v>402</v>
      </c>
      <c r="G378" s="2">
        <v>34.332239999999999</v>
      </c>
      <c r="H378" s="2" t="s">
        <v>4644</v>
      </c>
      <c r="I378" s="2" t="s">
        <v>4645</v>
      </c>
      <c r="J378" s="2" t="s">
        <v>4719</v>
      </c>
      <c r="K378" s="2">
        <v>72</v>
      </c>
      <c r="L378" s="2" t="s">
        <v>4647</v>
      </c>
    </row>
    <row r="379" spans="1:12" ht="33.75" customHeight="1" x14ac:dyDescent="0.25">
      <c r="A379" s="14" t="s">
        <v>995</v>
      </c>
      <c r="B379" s="3" t="s">
        <v>588</v>
      </c>
      <c r="C379" s="3" t="s">
        <v>996</v>
      </c>
      <c r="D379" s="3"/>
      <c r="E379" s="3" t="s">
        <v>4761</v>
      </c>
      <c r="F379" s="3" t="s">
        <v>590</v>
      </c>
      <c r="G379" s="3">
        <v>29.869199999999999</v>
      </c>
      <c r="H379" s="3" t="s">
        <v>4644</v>
      </c>
      <c r="I379" s="3" t="s">
        <v>4645</v>
      </c>
      <c r="J379" s="3" t="s">
        <v>4684</v>
      </c>
      <c r="K379" s="3">
        <v>63</v>
      </c>
      <c r="L379" s="3" t="s">
        <v>4647</v>
      </c>
    </row>
    <row r="380" spans="1:12" ht="33.75" customHeight="1" x14ac:dyDescent="0.25">
      <c r="A380" s="13" t="s">
        <v>997</v>
      </c>
      <c r="B380" s="2" t="s">
        <v>588</v>
      </c>
      <c r="C380" s="2" t="s">
        <v>998</v>
      </c>
      <c r="D380" s="2" t="s">
        <v>4698</v>
      </c>
      <c r="E380" s="2" t="s">
        <v>4761</v>
      </c>
      <c r="F380" s="2" t="s">
        <v>590</v>
      </c>
      <c r="G380" s="2">
        <v>29.869199999999999</v>
      </c>
      <c r="H380" s="2" t="s">
        <v>4644</v>
      </c>
      <c r="I380" s="2" t="s">
        <v>4645</v>
      </c>
      <c r="J380" s="2" t="s">
        <v>4684</v>
      </c>
      <c r="K380" s="2">
        <v>63</v>
      </c>
      <c r="L380" s="2" t="s">
        <v>4647</v>
      </c>
    </row>
    <row r="381" spans="1:12" ht="33.75" customHeight="1" x14ac:dyDescent="0.25">
      <c r="A381" s="14" t="s">
        <v>999</v>
      </c>
      <c r="B381" s="3" t="s">
        <v>588</v>
      </c>
      <c r="C381" s="3" t="s">
        <v>1000</v>
      </c>
      <c r="D381" s="3" t="s">
        <v>4702</v>
      </c>
      <c r="E381" s="3" t="s">
        <v>4761</v>
      </c>
      <c r="F381" s="3" t="s">
        <v>590</v>
      </c>
      <c r="G381" s="3">
        <v>29.869199999999999</v>
      </c>
      <c r="H381" s="3" t="s">
        <v>4644</v>
      </c>
      <c r="I381" s="3" t="s">
        <v>4645</v>
      </c>
      <c r="J381" s="3" t="s">
        <v>4684</v>
      </c>
      <c r="K381" s="3">
        <v>63</v>
      </c>
      <c r="L381" s="3" t="s">
        <v>4647</v>
      </c>
    </row>
    <row r="382" spans="1:12" ht="33.75" customHeight="1" x14ac:dyDescent="0.25">
      <c r="A382" s="13" t="s">
        <v>1001</v>
      </c>
      <c r="B382" s="2" t="s">
        <v>588</v>
      </c>
      <c r="C382" s="2" t="s">
        <v>1002</v>
      </c>
      <c r="D382" s="2" t="s">
        <v>4698</v>
      </c>
      <c r="E382" s="2" t="s">
        <v>4761</v>
      </c>
      <c r="F382" s="2" t="s">
        <v>590</v>
      </c>
      <c r="G382" s="2">
        <v>29.869199999999999</v>
      </c>
      <c r="H382" s="2" t="s">
        <v>4644</v>
      </c>
      <c r="I382" s="2" t="s">
        <v>4645</v>
      </c>
      <c r="J382" s="2" t="s">
        <v>4684</v>
      </c>
      <c r="K382" s="2">
        <v>63</v>
      </c>
      <c r="L382" s="2" t="s">
        <v>4647</v>
      </c>
    </row>
    <row r="383" spans="1:12" ht="33.75" customHeight="1" x14ac:dyDescent="0.25">
      <c r="A383" s="14" t="s">
        <v>1003</v>
      </c>
      <c r="B383" s="3" t="s">
        <v>588</v>
      </c>
      <c r="C383" s="3" t="s">
        <v>1004</v>
      </c>
      <c r="D383" s="3"/>
      <c r="E383" s="3" t="s">
        <v>4761</v>
      </c>
      <c r="F383" s="3" t="s">
        <v>590</v>
      </c>
      <c r="G383" s="3">
        <v>29.869199999999999</v>
      </c>
      <c r="H383" s="3" t="s">
        <v>4644</v>
      </c>
      <c r="I383" s="3" t="s">
        <v>4645</v>
      </c>
      <c r="J383" s="3" t="s">
        <v>4684</v>
      </c>
      <c r="K383" s="3">
        <v>63</v>
      </c>
      <c r="L383" s="3" t="s">
        <v>4647</v>
      </c>
    </row>
    <row r="384" spans="1:12" ht="33.75" customHeight="1" x14ac:dyDescent="0.25">
      <c r="A384" s="13" t="s">
        <v>1005</v>
      </c>
      <c r="B384" s="2" t="s">
        <v>418</v>
      </c>
      <c r="C384" s="2" t="s">
        <v>1006</v>
      </c>
      <c r="D384" s="2"/>
      <c r="E384" s="2" t="s">
        <v>4734</v>
      </c>
      <c r="F384" s="2" t="s">
        <v>420</v>
      </c>
      <c r="G384" s="2">
        <v>30.655200000000001</v>
      </c>
      <c r="H384" s="2" t="s">
        <v>4644</v>
      </c>
      <c r="I384" s="2" t="s">
        <v>4645</v>
      </c>
      <c r="J384" s="2" t="s">
        <v>4682</v>
      </c>
      <c r="K384" s="2">
        <v>72</v>
      </c>
      <c r="L384" s="2" t="s">
        <v>4647</v>
      </c>
    </row>
    <row r="385" spans="1:12" ht="33.75" customHeight="1" x14ac:dyDescent="0.25">
      <c r="A385" s="14" t="s">
        <v>1007</v>
      </c>
      <c r="B385" s="3" t="s">
        <v>1008</v>
      </c>
      <c r="C385" s="3" t="s">
        <v>1009</v>
      </c>
      <c r="D385" s="3"/>
      <c r="E385" s="3" t="s">
        <v>4807</v>
      </c>
      <c r="F385" s="3" t="s">
        <v>1010</v>
      </c>
      <c r="G385" s="3">
        <v>30.4892</v>
      </c>
      <c r="H385" s="3" t="s">
        <v>4644</v>
      </c>
      <c r="I385" s="3" t="s">
        <v>4645</v>
      </c>
      <c r="J385" s="3" t="s">
        <v>4710</v>
      </c>
      <c r="K385" s="3">
        <v>87</v>
      </c>
      <c r="L385" s="3" t="s">
        <v>4647</v>
      </c>
    </row>
    <row r="386" spans="1:12" ht="33.75" customHeight="1" x14ac:dyDescent="0.25">
      <c r="A386" s="13" t="s">
        <v>1011</v>
      </c>
      <c r="B386" s="2" t="s">
        <v>1008</v>
      </c>
      <c r="C386" s="2" t="s">
        <v>1012</v>
      </c>
      <c r="D386" s="2"/>
      <c r="E386" s="2" t="s">
        <v>4807</v>
      </c>
      <c r="F386" s="2" t="s">
        <v>1010</v>
      </c>
      <c r="G386" s="2">
        <v>30.4892</v>
      </c>
      <c r="H386" s="2" t="s">
        <v>4644</v>
      </c>
      <c r="I386" s="2" t="s">
        <v>4645</v>
      </c>
      <c r="J386" s="2" t="s">
        <v>4710</v>
      </c>
      <c r="K386" s="2">
        <v>87</v>
      </c>
      <c r="L386" s="2" t="s">
        <v>4647</v>
      </c>
    </row>
    <row r="387" spans="1:12" ht="33.75" customHeight="1" x14ac:dyDescent="0.25">
      <c r="A387" s="14" t="s">
        <v>1013</v>
      </c>
      <c r="B387" s="3" t="s">
        <v>794</v>
      </c>
      <c r="C387" s="3" t="s">
        <v>1014</v>
      </c>
      <c r="D387" s="3" t="s">
        <v>4661</v>
      </c>
      <c r="E387" s="3" t="s">
        <v>4791</v>
      </c>
      <c r="F387" s="3" t="s">
        <v>796</v>
      </c>
      <c r="G387" s="3">
        <v>34.151200000000003</v>
      </c>
      <c r="H387" s="3" t="s">
        <v>4644</v>
      </c>
      <c r="I387" s="3" t="s">
        <v>4645</v>
      </c>
      <c r="J387" s="3" t="s">
        <v>4770</v>
      </c>
      <c r="K387" s="3">
        <v>63</v>
      </c>
      <c r="L387" s="3" t="s">
        <v>4647</v>
      </c>
    </row>
    <row r="388" spans="1:12" ht="33.75" customHeight="1" x14ac:dyDescent="0.25">
      <c r="A388" s="13" t="s">
        <v>1015</v>
      </c>
      <c r="B388" s="2" t="s">
        <v>794</v>
      </c>
      <c r="C388" s="2" t="s">
        <v>1016</v>
      </c>
      <c r="D388" s="2" t="s">
        <v>4661</v>
      </c>
      <c r="E388" s="2" t="s">
        <v>4791</v>
      </c>
      <c r="F388" s="2" t="s">
        <v>796</v>
      </c>
      <c r="G388" s="2">
        <v>34.151200000000003</v>
      </c>
      <c r="H388" s="2" t="s">
        <v>4644</v>
      </c>
      <c r="I388" s="2" t="s">
        <v>4645</v>
      </c>
      <c r="J388" s="2" t="s">
        <v>4770</v>
      </c>
      <c r="K388" s="2">
        <v>63</v>
      </c>
      <c r="L388" s="2" t="s">
        <v>4647</v>
      </c>
    </row>
    <row r="389" spans="1:12" ht="33.75" customHeight="1" x14ac:dyDescent="0.25">
      <c r="A389" s="14" t="s">
        <v>1017</v>
      </c>
      <c r="B389" s="3" t="s">
        <v>794</v>
      </c>
      <c r="C389" s="3" t="s">
        <v>1018</v>
      </c>
      <c r="D389" s="3"/>
      <c r="E389" s="3" t="s">
        <v>4791</v>
      </c>
      <c r="F389" s="3" t="s">
        <v>796</v>
      </c>
      <c r="G389" s="3">
        <v>34.151200000000003</v>
      </c>
      <c r="H389" s="3" t="s">
        <v>4644</v>
      </c>
      <c r="I389" s="3" t="s">
        <v>4645</v>
      </c>
      <c r="J389" s="3" t="s">
        <v>4770</v>
      </c>
      <c r="K389" s="3">
        <v>63</v>
      </c>
      <c r="L389" s="3" t="s">
        <v>4647</v>
      </c>
    </row>
    <row r="390" spans="1:12" ht="33.75" customHeight="1" x14ac:dyDescent="0.25">
      <c r="A390" s="13" t="s">
        <v>1019</v>
      </c>
      <c r="B390" s="2" t="s">
        <v>794</v>
      </c>
      <c r="C390" s="2" t="s">
        <v>1020</v>
      </c>
      <c r="D390" s="2" t="s">
        <v>4701</v>
      </c>
      <c r="E390" s="2" t="s">
        <v>4791</v>
      </c>
      <c r="F390" s="2" t="s">
        <v>796</v>
      </c>
      <c r="G390" s="2">
        <v>34.151200000000003</v>
      </c>
      <c r="H390" s="2" t="s">
        <v>4644</v>
      </c>
      <c r="I390" s="2" t="s">
        <v>4645</v>
      </c>
      <c r="J390" s="2" t="s">
        <v>4770</v>
      </c>
      <c r="K390" s="2">
        <v>63</v>
      </c>
      <c r="L390" s="2" t="s">
        <v>4647</v>
      </c>
    </row>
    <row r="391" spans="1:12" ht="33.75" customHeight="1" x14ac:dyDescent="0.25">
      <c r="A391" s="14" t="s">
        <v>1021</v>
      </c>
      <c r="B391" s="3" t="s">
        <v>794</v>
      </c>
      <c r="C391" s="3" t="s">
        <v>1022</v>
      </c>
      <c r="D391" s="3" t="s">
        <v>4701</v>
      </c>
      <c r="E391" s="3" t="s">
        <v>4791</v>
      </c>
      <c r="F391" s="3" t="s">
        <v>796</v>
      </c>
      <c r="G391" s="3">
        <v>34.151200000000003</v>
      </c>
      <c r="H391" s="3" t="s">
        <v>4644</v>
      </c>
      <c r="I391" s="3" t="s">
        <v>4645</v>
      </c>
      <c r="J391" s="3" t="s">
        <v>4770</v>
      </c>
      <c r="K391" s="3">
        <v>63</v>
      </c>
      <c r="L391" s="3" t="s">
        <v>4647</v>
      </c>
    </row>
    <row r="392" spans="1:12" ht="33.75" customHeight="1" x14ac:dyDescent="0.25">
      <c r="A392" s="13" t="s">
        <v>1023</v>
      </c>
      <c r="B392" s="2" t="s">
        <v>794</v>
      </c>
      <c r="C392" s="2" t="s">
        <v>1024</v>
      </c>
      <c r="D392" s="2" t="s">
        <v>4663</v>
      </c>
      <c r="E392" s="2" t="s">
        <v>4791</v>
      </c>
      <c r="F392" s="2" t="s">
        <v>796</v>
      </c>
      <c r="G392" s="2">
        <v>34.151200000000003</v>
      </c>
      <c r="H392" s="2" t="s">
        <v>4644</v>
      </c>
      <c r="I392" s="2" t="s">
        <v>4645</v>
      </c>
      <c r="J392" s="2" t="s">
        <v>4770</v>
      </c>
      <c r="K392" s="2">
        <v>63</v>
      </c>
      <c r="L392" s="2" t="s">
        <v>4647</v>
      </c>
    </row>
    <row r="393" spans="1:12" ht="33.75" customHeight="1" x14ac:dyDescent="0.25">
      <c r="A393" s="14" t="s">
        <v>1025</v>
      </c>
      <c r="B393" s="3" t="s">
        <v>324</v>
      </c>
      <c r="C393" s="3" t="s">
        <v>1026</v>
      </c>
      <c r="D393" s="3" t="s">
        <v>4698</v>
      </c>
      <c r="E393" s="3" t="s">
        <v>4704</v>
      </c>
      <c r="F393" s="3" t="s">
        <v>326</v>
      </c>
      <c r="G393" s="3">
        <v>29.719200000000001</v>
      </c>
      <c r="H393" s="3" t="s">
        <v>4644</v>
      </c>
      <c r="I393" s="3" t="s">
        <v>4645</v>
      </c>
      <c r="J393" s="3" t="s">
        <v>4697</v>
      </c>
      <c r="K393" s="3">
        <v>45</v>
      </c>
      <c r="L393" s="3" t="s">
        <v>4647</v>
      </c>
    </row>
    <row r="394" spans="1:12" ht="33.75" customHeight="1" x14ac:dyDescent="0.25">
      <c r="A394" s="13" t="s">
        <v>1027</v>
      </c>
      <c r="B394" s="2" t="s">
        <v>324</v>
      </c>
      <c r="C394" s="2" t="s">
        <v>1028</v>
      </c>
      <c r="D394" s="2"/>
      <c r="E394" s="2" t="s">
        <v>4704</v>
      </c>
      <c r="F394" s="2" t="s">
        <v>326</v>
      </c>
      <c r="G394" s="2">
        <v>29.719200000000001</v>
      </c>
      <c r="H394" s="2" t="s">
        <v>4644</v>
      </c>
      <c r="I394" s="2" t="s">
        <v>4645</v>
      </c>
      <c r="J394" s="2" t="s">
        <v>4697</v>
      </c>
      <c r="K394" s="2">
        <v>45</v>
      </c>
      <c r="L394" s="2" t="s">
        <v>4647</v>
      </c>
    </row>
    <row r="395" spans="1:12" ht="33.75" customHeight="1" x14ac:dyDescent="0.25">
      <c r="A395" s="14" t="s">
        <v>1029</v>
      </c>
      <c r="B395" s="3" t="s">
        <v>324</v>
      </c>
      <c r="C395" s="3" t="s">
        <v>1030</v>
      </c>
      <c r="D395" s="3"/>
      <c r="E395" s="3" t="s">
        <v>4704</v>
      </c>
      <c r="F395" s="3" t="s">
        <v>326</v>
      </c>
      <c r="G395" s="3">
        <v>29.719200000000001</v>
      </c>
      <c r="H395" s="3" t="s">
        <v>4644</v>
      </c>
      <c r="I395" s="3" t="s">
        <v>4645</v>
      </c>
      <c r="J395" s="3" t="s">
        <v>4697</v>
      </c>
      <c r="K395" s="3">
        <v>45</v>
      </c>
      <c r="L395" s="3" t="s">
        <v>4647</v>
      </c>
    </row>
    <row r="396" spans="1:12" ht="33.75" customHeight="1" x14ac:dyDescent="0.25">
      <c r="A396" s="13" t="s">
        <v>1031</v>
      </c>
      <c r="B396" s="2" t="s">
        <v>794</v>
      </c>
      <c r="C396" s="2" t="s">
        <v>1032</v>
      </c>
      <c r="D396" s="2" t="s">
        <v>4698</v>
      </c>
      <c r="E396" s="2" t="s">
        <v>4791</v>
      </c>
      <c r="F396" s="2" t="s">
        <v>796</v>
      </c>
      <c r="G396" s="2">
        <v>34.151200000000003</v>
      </c>
      <c r="H396" s="2" t="s">
        <v>4644</v>
      </c>
      <c r="I396" s="2" t="s">
        <v>4645</v>
      </c>
      <c r="J396" s="2" t="s">
        <v>4770</v>
      </c>
      <c r="K396" s="2">
        <v>63</v>
      </c>
      <c r="L396" s="2" t="s">
        <v>4647</v>
      </c>
    </row>
    <row r="397" spans="1:12" ht="33.75" customHeight="1" x14ac:dyDescent="0.25">
      <c r="A397" s="14" t="s">
        <v>1033</v>
      </c>
      <c r="B397" s="3" t="s">
        <v>324</v>
      </c>
      <c r="C397" s="3" t="s">
        <v>1034</v>
      </c>
      <c r="D397" s="3"/>
      <c r="E397" s="3" t="s">
        <v>4704</v>
      </c>
      <c r="F397" s="3" t="s">
        <v>326</v>
      </c>
      <c r="G397" s="3">
        <v>29.719200000000001</v>
      </c>
      <c r="H397" s="3" t="s">
        <v>4644</v>
      </c>
      <c r="I397" s="3" t="s">
        <v>4645</v>
      </c>
      <c r="J397" s="3" t="s">
        <v>4697</v>
      </c>
      <c r="K397" s="3">
        <v>45</v>
      </c>
      <c r="L397" s="3" t="s">
        <v>4647</v>
      </c>
    </row>
    <row r="398" spans="1:12" ht="33.75" customHeight="1" x14ac:dyDescent="0.25">
      <c r="A398" s="13" t="s">
        <v>1035</v>
      </c>
      <c r="B398" s="2" t="s">
        <v>794</v>
      </c>
      <c r="C398" s="2" t="s">
        <v>1036</v>
      </c>
      <c r="D398" s="2" t="s">
        <v>4698</v>
      </c>
      <c r="E398" s="2" t="s">
        <v>4791</v>
      </c>
      <c r="F398" s="2" t="s">
        <v>796</v>
      </c>
      <c r="G398" s="2">
        <v>34.151200000000003</v>
      </c>
      <c r="H398" s="2" t="s">
        <v>4644</v>
      </c>
      <c r="I398" s="2" t="s">
        <v>4645</v>
      </c>
      <c r="J398" s="2" t="s">
        <v>4770</v>
      </c>
      <c r="K398" s="2">
        <v>63</v>
      </c>
      <c r="L398" s="2" t="s">
        <v>4647</v>
      </c>
    </row>
    <row r="399" spans="1:12" ht="33.75" customHeight="1" x14ac:dyDescent="0.25">
      <c r="A399" s="14" t="s">
        <v>1037</v>
      </c>
      <c r="B399" s="3" t="s">
        <v>324</v>
      </c>
      <c r="C399" s="3" t="s">
        <v>1038</v>
      </c>
      <c r="D399" s="3"/>
      <c r="E399" s="3" t="s">
        <v>4704</v>
      </c>
      <c r="F399" s="3" t="s">
        <v>326</v>
      </c>
      <c r="G399" s="3">
        <v>29.719200000000001</v>
      </c>
      <c r="H399" s="3" t="s">
        <v>4644</v>
      </c>
      <c r="I399" s="3" t="s">
        <v>4645</v>
      </c>
      <c r="J399" s="3" t="s">
        <v>4697</v>
      </c>
      <c r="K399" s="3">
        <v>45</v>
      </c>
      <c r="L399" s="3" t="s">
        <v>4647</v>
      </c>
    </row>
    <row r="400" spans="1:12" ht="33.75" customHeight="1" x14ac:dyDescent="0.25">
      <c r="A400" s="13" t="s">
        <v>1039</v>
      </c>
      <c r="B400" s="2" t="s">
        <v>794</v>
      </c>
      <c r="C400" s="2" t="s">
        <v>1040</v>
      </c>
      <c r="D400" s="2"/>
      <c r="E400" s="2" t="s">
        <v>4791</v>
      </c>
      <c r="F400" s="2" t="s">
        <v>796</v>
      </c>
      <c r="G400" s="2">
        <v>34.151200000000003</v>
      </c>
      <c r="H400" s="2" t="s">
        <v>4644</v>
      </c>
      <c r="I400" s="2" t="s">
        <v>4645</v>
      </c>
      <c r="J400" s="2" t="s">
        <v>4770</v>
      </c>
      <c r="K400" s="2">
        <v>63</v>
      </c>
      <c r="L400" s="2" t="s">
        <v>4647</v>
      </c>
    </row>
    <row r="401" spans="1:12" ht="33.75" customHeight="1" x14ac:dyDescent="0.25">
      <c r="A401" s="14" t="s">
        <v>1041</v>
      </c>
      <c r="B401" s="3" t="s">
        <v>324</v>
      </c>
      <c r="C401" s="3" t="s">
        <v>1042</v>
      </c>
      <c r="D401" s="3" t="s">
        <v>4661</v>
      </c>
      <c r="E401" s="3" t="s">
        <v>4704</v>
      </c>
      <c r="F401" s="3" t="s">
        <v>326</v>
      </c>
      <c r="G401" s="3">
        <v>29.719200000000001</v>
      </c>
      <c r="H401" s="3" t="s">
        <v>4644</v>
      </c>
      <c r="I401" s="3" t="s">
        <v>4645</v>
      </c>
      <c r="J401" s="3" t="s">
        <v>4697</v>
      </c>
      <c r="K401" s="3">
        <v>45</v>
      </c>
      <c r="L401" s="3" t="s">
        <v>4647</v>
      </c>
    </row>
    <row r="402" spans="1:12" ht="33.75" customHeight="1" x14ac:dyDescent="0.25">
      <c r="A402" s="13" t="s">
        <v>1043</v>
      </c>
      <c r="B402" s="2" t="s">
        <v>794</v>
      </c>
      <c r="C402" s="2" t="s">
        <v>1044</v>
      </c>
      <c r="D402" s="2" t="s">
        <v>4663</v>
      </c>
      <c r="E402" s="2" t="s">
        <v>4791</v>
      </c>
      <c r="F402" s="2" t="s">
        <v>796</v>
      </c>
      <c r="G402" s="2">
        <v>34.151200000000003</v>
      </c>
      <c r="H402" s="2" t="s">
        <v>4644</v>
      </c>
      <c r="I402" s="2" t="s">
        <v>4645</v>
      </c>
      <c r="J402" s="2" t="s">
        <v>4770</v>
      </c>
      <c r="K402" s="2">
        <v>63</v>
      </c>
      <c r="L402" s="2" t="s">
        <v>4647</v>
      </c>
    </row>
    <row r="403" spans="1:12" ht="33.75" customHeight="1" x14ac:dyDescent="0.25">
      <c r="A403" s="14" t="s">
        <v>1045</v>
      </c>
      <c r="B403" s="3" t="s">
        <v>794</v>
      </c>
      <c r="C403" s="3" t="s">
        <v>1046</v>
      </c>
      <c r="D403" s="3"/>
      <c r="E403" s="3" t="s">
        <v>4791</v>
      </c>
      <c r="F403" s="3" t="s">
        <v>796</v>
      </c>
      <c r="G403" s="3">
        <v>34.151200000000003</v>
      </c>
      <c r="H403" s="3" t="s">
        <v>4644</v>
      </c>
      <c r="I403" s="3" t="s">
        <v>4645</v>
      </c>
      <c r="J403" s="3" t="s">
        <v>4770</v>
      </c>
      <c r="K403" s="3">
        <v>63</v>
      </c>
      <c r="L403" s="3" t="s">
        <v>4647</v>
      </c>
    </row>
    <row r="404" spans="1:12" ht="33.75" customHeight="1" x14ac:dyDescent="0.25">
      <c r="A404" s="13" t="s">
        <v>1047</v>
      </c>
      <c r="B404" s="2" t="s">
        <v>794</v>
      </c>
      <c r="C404" s="2" t="s">
        <v>1048</v>
      </c>
      <c r="D404" s="2"/>
      <c r="E404" s="2" t="s">
        <v>4791</v>
      </c>
      <c r="F404" s="2" t="s">
        <v>796</v>
      </c>
      <c r="G404" s="2">
        <v>34.151200000000003</v>
      </c>
      <c r="H404" s="2" t="s">
        <v>4644</v>
      </c>
      <c r="I404" s="2" t="s">
        <v>4645</v>
      </c>
      <c r="J404" s="2" t="s">
        <v>4770</v>
      </c>
      <c r="K404" s="2">
        <v>63</v>
      </c>
      <c r="L404" s="2" t="s">
        <v>4647</v>
      </c>
    </row>
    <row r="405" spans="1:12" ht="33.75" customHeight="1" x14ac:dyDescent="0.25">
      <c r="A405" s="14" t="s">
        <v>1049</v>
      </c>
      <c r="B405" s="3" t="s">
        <v>794</v>
      </c>
      <c r="C405" s="3" t="s">
        <v>1050</v>
      </c>
      <c r="D405" s="3"/>
      <c r="E405" s="3" t="s">
        <v>4791</v>
      </c>
      <c r="F405" s="3" t="s">
        <v>796</v>
      </c>
      <c r="G405" s="3">
        <v>34.151200000000003</v>
      </c>
      <c r="H405" s="3" t="s">
        <v>4644</v>
      </c>
      <c r="I405" s="3" t="s">
        <v>4645</v>
      </c>
      <c r="J405" s="3" t="s">
        <v>4770</v>
      </c>
      <c r="K405" s="3">
        <v>63</v>
      </c>
      <c r="L405" s="3" t="s">
        <v>4647</v>
      </c>
    </row>
    <row r="406" spans="1:12" ht="33.75" customHeight="1" x14ac:dyDescent="0.25">
      <c r="A406" s="13" t="s">
        <v>1051</v>
      </c>
      <c r="B406" s="2" t="s">
        <v>794</v>
      </c>
      <c r="C406" s="2" t="s">
        <v>1052</v>
      </c>
      <c r="D406" s="2" t="s">
        <v>4702</v>
      </c>
      <c r="E406" s="2" t="s">
        <v>4791</v>
      </c>
      <c r="F406" s="2" t="s">
        <v>796</v>
      </c>
      <c r="G406" s="2">
        <v>34.151200000000003</v>
      </c>
      <c r="H406" s="2" t="s">
        <v>4644</v>
      </c>
      <c r="I406" s="2" t="s">
        <v>4645</v>
      </c>
      <c r="J406" s="2" t="s">
        <v>4770</v>
      </c>
      <c r="K406" s="2">
        <v>63</v>
      </c>
      <c r="L406" s="2" t="s">
        <v>4647</v>
      </c>
    </row>
    <row r="407" spans="1:12" ht="33.75" customHeight="1" x14ac:dyDescent="0.25">
      <c r="A407" s="14" t="s">
        <v>1053</v>
      </c>
      <c r="B407" s="3" t="s">
        <v>386</v>
      </c>
      <c r="C407" s="3" t="s">
        <v>1054</v>
      </c>
      <c r="D407" s="3"/>
      <c r="E407" s="3" t="s">
        <v>4727</v>
      </c>
      <c r="F407" s="3" t="s">
        <v>388</v>
      </c>
      <c r="G407" s="3">
        <v>33.783799999999999</v>
      </c>
      <c r="H407" s="3" t="s">
        <v>4644</v>
      </c>
      <c r="I407" s="3" t="s">
        <v>4645</v>
      </c>
      <c r="J407" s="3" t="s">
        <v>4721</v>
      </c>
      <c r="K407" s="3">
        <v>54</v>
      </c>
      <c r="L407" s="3" t="s">
        <v>4647</v>
      </c>
    </row>
    <row r="408" spans="1:12" ht="33.75" customHeight="1" x14ac:dyDescent="0.25">
      <c r="A408" s="13" t="s">
        <v>1055</v>
      </c>
      <c r="B408" s="2" t="s">
        <v>386</v>
      </c>
      <c r="C408" s="2" t="s">
        <v>1056</v>
      </c>
      <c r="D408" s="2"/>
      <c r="E408" s="2" t="s">
        <v>4727</v>
      </c>
      <c r="F408" s="2" t="s">
        <v>388</v>
      </c>
      <c r="G408" s="2">
        <v>33.783799999999999</v>
      </c>
      <c r="H408" s="2" t="s">
        <v>4644</v>
      </c>
      <c r="I408" s="2" t="s">
        <v>4645</v>
      </c>
      <c r="J408" s="2" t="s">
        <v>4721</v>
      </c>
      <c r="K408" s="2">
        <v>54</v>
      </c>
      <c r="L408" s="2" t="s">
        <v>4647</v>
      </c>
    </row>
    <row r="409" spans="1:12" ht="33.75" customHeight="1" x14ac:dyDescent="0.25">
      <c r="A409" s="14" t="s">
        <v>1057</v>
      </c>
      <c r="B409" s="3" t="s">
        <v>386</v>
      </c>
      <c r="C409" s="3" t="s">
        <v>1058</v>
      </c>
      <c r="D409" s="3"/>
      <c r="E409" s="3" t="s">
        <v>4727</v>
      </c>
      <c r="F409" s="3" t="s">
        <v>388</v>
      </c>
      <c r="G409" s="3">
        <v>33.783799999999999</v>
      </c>
      <c r="H409" s="3" t="s">
        <v>4644</v>
      </c>
      <c r="I409" s="3" t="s">
        <v>4645</v>
      </c>
      <c r="J409" s="3" t="s">
        <v>4721</v>
      </c>
      <c r="K409" s="3">
        <v>54</v>
      </c>
      <c r="L409" s="3" t="s">
        <v>4647</v>
      </c>
    </row>
    <row r="410" spans="1:12" ht="33.75" customHeight="1" x14ac:dyDescent="0.25">
      <c r="A410" s="13" t="s">
        <v>1059</v>
      </c>
      <c r="B410" s="2" t="s">
        <v>386</v>
      </c>
      <c r="C410" s="2" t="s">
        <v>1060</v>
      </c>
      <c r="D410" s="2"/>
      <c r="E410" s="2" t="s">
        <v>4727</v>
      </c>
      <c r="F410" s="2" t="s">
        <v>388</v>
      </c>
      <c r="G410" s="2">
        <v>33.783799999999999</v>
      </c>
      <c r="H410" s="2" t="s">
        <v>4644</v>
      </c>
      <c r="I410" s="2" t="s">
        <v>4645</v>
      </c>
      <c r="J410" s="2" t="s">
        <v>4721</v>
      </c>
      <c r="K410" s="2">
        <v>54</v>
      </c>
      <c r="L410" s="2" t="s">
        <v>4647</v>
      </c>
    </row>
    <row r="411" spans="1:12" ht="33.75" customHeight="1" x14ac:dyDescent="0.25">
      <c r="A411" s="14" t="s">
        <v>1061</v>
      </c>
      <c r="B411" s="3" t="s">
        <v>1062</v>
      </c>
      <c r="C411" s="3" t="s">
        <v>1063</v>
      </c>
      <c r="D411" s="3" t="s">
        <v>4658</v>
      </c>
      <c r="E411" s="3" t="s">
        <v>4808</v>
      </c>
      <c r="F411" s="3" t="s">
        <v>1064</v>
      </c>
      <c r="G411" s="3">
        <v>47.728400000000001</v>
      </c>
      <c r="H411" s="3" t="s">
        <v>4644</v>
      </c>
      <c r="I411" s="3" t="s">
        <v>4645</v>
      </c>
      <c r="J411" s="3" t="s">
        <v>4721</v>
      </c>
      <c r="K411" s="3">
        <v>51</v>
      </c>
      <c r="L411" s="3" t="s">
        <v>4647</v>
      </c>
    </row>
    <row r="412" spans="1:12" ht="33.75" customHeight="1" x14ac:dyDescent="0.25">
      <c r="A412" s="13" t="s">
        <v>1065</v>
      </c>
      <c r="B412" s="2" t="s">
        <v>386</v>
      </c>
      <c r="C412" s="2" t="s">
        <v>1066</v>
      </c>
      <c r="D412" s="2"/>
      <c r="E412" s="2" t="s">
        <v>4727</v>
      </c>
      <c r="F412" s="2" t="s">
        <v>388</v>
      </c>
      <c r="G412" s="2">
        <v>33.783799999999999</v>
      </c>
      <c r="H412" s="2" t="s">
        <v>4644</v>
      </c>
      <c r="I412" s="2" t="s">
        <v>4645</v>
      </c>
      <c r="J412" s="2" t="s">
        <v>4721</v>
      </c>
      <c r="K412" s="2">
        <v>54</v>
      </c>
      <c r="L412" s="2" t="s">
        <v>4647</v>
      </c>
    </row>
    <row r="413" spans="1:12" ht="33.75" customHeight="1" x14ac:dyDescent="0.25">
      <c r="A413" s="14" t="s">
        <v>1067</v>
      </c>
      <c r="B413" s="3" t="s">
        <v>386</v>
      </c>
      <c r="C413" s="3" t="s">
        <v>1068</v>
      </c>
      <c r="D413" s="3"/>
      <c r="E413" s="3" t="s">
        <v>4727</v>
      </c>
      <c r="F413" s="3" t="s">
        <v>388</v>
      </c>
      <c r="G413" s="3">
        <v>33.783799999999999</v>
      </c>
      <c r="H413" s="3" t="s">
        <v>4644</v>
      </c>
      <c r="I413" s="3" t="s">
        <v>4645</v>
      </c>
      <c r="J413" s="3" t="s">
        <v>4721</v>
      </c>
      <c r="K413" s="3">
        <v>54</v>
      </c>
      <c r="L413" s="3" t="s">
        <v>4647</v>
      </c>
    </row>
    <row r="414" spans="1:12" ht="33.75" customHeight="1" x14ac:dyDescent="0.25">
      <c r="A414" s="13" t="s">
        <v>1069</v>
      </c>
      <c r="B414" s="2" t="s">
        <v>386</v>
      </c>
      <c r="C414" s="2" t="s">
        <v>1070</v>
      </c>
      <c r="D414" s="2" t="s">
        <v>4661</v>
      </c>
      <c r="E414" s="2" t="s">
        <v>4727</v>
      </c>
      <c r="F414" s="2" t="s">
        <v>388</v>
      </c>
      <c r="G414" s="2">
        <v>33.783799999999999</v>
      </c>
      <c r="H414" s="2" t="s">
        <v>4644</v>
      </c>
      <c r="I414" s="2" t="s">
        <v>4645</v>
      </c>
      <c r="J414" s="2" t="s">
        <v>4721</v>
      </c>
      <c r="K414" s="2">
        <v>54</v>
      </c>
      <c r="L414" s="2" t="s">
        <v>4647</v>
      </c>
    </row>
    <row r="415" spans="1:12" ht="33.75" customHeight="1" x14ac:dyDescent="0.25">
      <c r="A415" s="14" t="s">
        <v>1071</v>
      </c>
      <c r="B415" s="3" t="s">
        <v>386</v>
      </c>
      <c r="C415" s="3" t="s">
        <v>1072</v>
      </c>
      <c r="D415" s="3" t="s">
        <v>4661</v>
      </c>
      <c r="E415" s="3" t="s">
        <v>4727</v>
      </c>
      <c r="F415" s="3" t="s">
        <v>388</v>
      </c>
      <c r="G415" s="3">
        <v>33.783799999999999</v>
      </c>
      <c r="H415" s="3" t="s">
        <v>4644</v>
      </c>
      <c r="I415" s="3" t="s">
        <v>4645</v>
      </c>
      <c r="J415" s="3" t="s">
        <v>4721</v>
      </c>
      <c r="K415" s="3">
        <v>54</v>
      </c>
      <c r="L415" s="3" t="s">
        <v>4647</v>
      </c>
    </row>
    <row r="416" spans="1:12" ht="33.75" customHeight="1" x14ac:dyDescent="0.25">
      <c r="A416" s="13" t="s">
        <v>1073</v>
      </c>
      <c r="B416" s="2" t="s">
        <v>386</v>
      </c>
      <c r="C416" s="2" t="s">
        <v>1074</v>
      </c>
      <c r="D416" s="2"/>
      <c r="E416" s="2" t="s">
        <v>4727</v>
      </c>
      <c r="F416" s="2" t="s">
        <v>388</v>
      </c>
      <c r="G416" s="2">
        <v>33.783799999999999</v>
      </c>
      <c r="H416" s="2" t="s">
        <v>4644</v>
      </c>
      <c r="I416" s="2" t="s">
        <v>4645</v>
      </c>
      <c r="J416" s="2" t="s">
        <v>4721</v>
      </c>
      <c r="K416" s="2">
        <v>54</v>
      </c>
      <c r="L416" s="2" t="s">
        <v>4647</v>
      </c>
    </row>
    <row r="417" spans="1:12" ht="33.75" customHeight="1" x14ac:dyDescent="0.25">
      <c r="A417" s="14" t="s">
        <v>1075</v>
      </c>
      <c r="B417" s="3" t="s">
        <v>386</v>
      </c>
      <c r="C417" s="3" t="s">
        <v>1076</v>
      </c>
      <c r="D417" s="3"/>
      <c r="E417" s="3" t="s">
        <v>4727</v>
      </c>
      <c r="F417" s="3" t="s">
        <v>388</v>
      </c>
      <c r="G417" s="3">
        <v>33.783799999999999</v>
      </c>
      <c r="H417" s="3" t="s">
        <v>4644</v>
      </c>
      <c r="I417" s="3" t="s">
        <v>4645</v>
      </c>
      <c r="J417" s="3" t="s">
        <v>4721</v>
      </c>
      <c r="K417" s="3">
        <v>54</v>
      </c>
      <c r="L417" s="3" t="s">
        <v>4647</v>
      </c>
    </row>
    <row r="418" spans="1:12" ht="33.75" customHeight="1" x14ac:dyDescent="0.25">
      <c r="A418" s="13" t="s">
        <v>1077</v>
      </c>
      <c r="B418" s="2" t="s">
        <v>386</v>
      </c>
      <c r="C418" s="2" t="s">
        <v>1078</v>
      </c>
      <c r="D418" s="2" t="s">
        <v>4701</v>
      </c>
      <c r="E418" s="2" t="s">
        <v>4727</v>
      </c>
      <c r="F418" s="2" t="s">
        <v>388</v>
      </c>
      <c r="G418" s="2">
        <v>33.783799999999999</v>
      </c>
      <c r="H418" s="2" t="s">
        <v>4644</v>
      </c>
      <c r="I418" s="2" t="s">
        <v>4645</v>
      </c>
      <c r="J418" s="2" t="s">
        <v>4721</v>
      </c>
      <c r="K418" s="2">
        <v>54</v>
      </c>
      <c r="L418" s="2" t="s">
        <v>4647</v>
      </c>
    </row>
    <row r="419" spans="1:12" ht="33.75" customHeight="1" x14ac:dyDescent="0.25">
      <c r="A419" s="14" t="s">
        <v>1079</v>
      </c>
      <c r="B419" s="3" t="s">
        <v>386</v>
      </c>
      <c r="C419" s="3" t="s">
        <v>1080</v>
      </c>
      <c r="D419" s="3" t="s">
        <v>4701</v>
      </c>
      <c r="E419" s="3" t="s">
        <v>4727</v>
      </c>
      <c r="F419" s="3" t="s">
        <v>388</v>
      </c>
      <c r="G419" s="3">
        <v>33.783799999999999</v>
      </c>
      <c r="H419" s="3" t="s">
        <v>4644</v>
      </c>
      <c r="I419" s="3" t="s">
        <v>4645</v>
      </c>
      <c r="J419" s="3" t="s">
        <v>4721</v>
      </c>
      <c r="K419" s="3">
        <v>54</v>
      </c>
      <c r="L419" s="3" t="s">
        <v>4647</v>
      </c>
    </row>
    <row r="420" spans="1:12" ht="33.75" customHeight="1" x14ac:dyDescent="0.25">
      <c r="A420" s="13" t="s">
        <v>1081</v>
      </c>
      <c r="B420" s="2" t="s">
        <v>386</v>
      </c>
      <c r="C420" s="2" t="s">
        <v>1082</v>
      </c>
      <c r="D420" s="2" t="s">
        <v>4701</v>
      </c>
      <c r="E420" s="2" t="s">
        <v>4727</v>
      </c>
      <c r="F420" s="2" t="s">
        <v>388</v>
      </c>
      <c r="G420" s="2">
        <v>33.783799999999999</v>
      </c>
      <c r="H420" s="2" t="s">
        <v>4644</v>
      </c>
      <c r="I420" s="2" t="s">
        <v>4645</v>
      </c>
      <c r="J420" s="2" t="s">
        <v>4721</v>
      </c>
      <c r="K420" s="2">
        <v>54</v>
      </c>
      <c r="L420" s="2" t="s">
        <v>4647</v>
      </c>
    </row>
    <row r="421" spans="1:12" ht="33.75" customHeight="1" x14ac:dyDescent="0.25">
      <c r="A421" s="14" t="s">
        <v>1083</v>
      </c>
      <c r="B421" s="3" t="s">
        <v>1084</v>
      </c>
      <c r="C421" s="3" t="s">
        <v>1085</v>
      </c>
      <c r="D421" s="3" t="s">
        <v>4702</v>
      </c>
      <c r="E421" s="3" t="s">
        <v>4809</v>
      </c>
      <c r="F421" s="3" t="s">
        <v>1086</v>
      </c>
      <c r="G421" s="3">
        <v>47.458399999999997</v>
      </c>
      <c r="H421" s="3" t="s">
        <v>4644</v>
      </c>
      <c r="I421" s="3" t="s">
        <v>4645</v>
      </c>
      <c r="J421" s="3" t="s">
        <v>4721</v>
      </c>
      <c r="K421" s="3">
        <v>51</v>
      </c>
      <c r="L421" s="3" t="s">
        <v>4647</v>
      </c>
    </row>
    <row r="422" spans="1:12" ht="33.75" customHeight="1" x14ac:dyDescent="0.25">
      <c r="A422" s="13" t="s">
        <v>1087</v>
      </c>
      <c r="B422" s="2" t="s">
        <v>1084</v>
      </c>
      <c r="C422" s="2" t="s">
        <v>1088</v>
      </c>
      <c r="D422" s="2" t="s">
        <v>4702</v>
      </c>
      <c r="E422" s="2" t="s">
        <v>4809</v>
      </c>
      <c r="F422" s="2" t="s">
        <v>1086</v>
      </c>
      <c r="G422" s="2">
        <v>47.458399999999997</v>
      </c>
      <c r="H422" s="2" t="s">
        <v>4644</v>
      </c>
      <c r="I422" s="2" t="s">
        <v>4645</v>
      </c>
      <c r="J422" s="2" t="s">
        <v>4721</v>
      </c>
      <c r="K422" s="2">
        <v>51</v>
      </c>
      <c r="L422" s="2" t="s">
        <v>4647</v>
      </c>
    </row>
    <row r="423" spans="1:12" ht="33.75" customHeight="1" x14ac:dyDescent="0.25">
      <c r="A423" s="14" t="s">
        <v>1089</v>
      </c>
      <c r="B423" s="3" t="s">
        <v>386</v>
      </c>
      <c r="C423" s="3" t="s">
        <v>1090</v>
      </c>
      <c r="D423" s="3"/>
      <c r="E423" s="3" t="s">
        <v>4727</v>
      </c>
      <c r="F423" s="3" t="s">
        <v>388</v>
      </c>
      <c r="G423" s="3">
        <v>33.783799999999999</v>
      </c>
      <c r="H423" s="3" t="s">
        <v>4644</v>
      </c>
      <c r="I423" s="3" t="s">
        <v>4645</v>
      </c>
      <c r="J423" s="3" t="s">
        <v>4721</v>
      </c>
      <c r="K423" s="3">
        <v>54</v>
      </c>
      <c r="L423" s="3" t="s">
        <v>4647</v>
      </c>
    </row>
    <row r="424" spans="1:12" ht="33.75" customHeight="1" x14ac:dyDescent="0.25">
      <c r="A424" s="13" t="s">
        <v>1091</v>
      </c>
      <c r="B424" s="2" t="s">
        <v>1084</v>
      </c>
      <c r="C424" s="2" t="s">
        <v>1092</v>
      </c>
      <c r="D424" s="2" t="s">
        <v>4702</v>
      </c>
      <c r="E424" s="2" t="s">
        <v>4809</v>
      </c>
      <c r="F424" s="2" t="s">
        <v>1086</v>
      </c>
      <c r="G424" s="2">
        <v>47.458399999999997</v>
      </c>
      <c r="H424" s="2" t="s">
        <v>4644</v>
      </c>
      <c r="I424" s="2" t="s">
        <v>4645</v>
      </c>
      <c r="J424" s="2" t="s">
        <v>4721</v>
      </c>
      <c r="K424" s="2">
        <v>51</v>
      </c>
      <c r="L424" s="2" t="s">
        <v>4647</v>
      </c>
    </row>
    <row r="425" spans="1:12" ht="33.75" customHeight="1" x14ac:dyDescent="0.25">
      <c r="A425" s="14" t="s">
        <v>1093</v>
      </c>
      <c r="B425" s="3" t="s">
        <v>1084</v>
      </c>
      <c r="C425" s="3" t="s">
        <v>1094</v>
      </c>
      <c r="D425" s="3" t="s">
        <v>4702</v>
      </c>
      <c r="E425" s="3" t="s">
        <v>4809</v>
      </c>
      <c r="F425" s="3" t="s">
        <v>1086</v>
      </c>
      <c r="G425" s="3">
        <v>47.458399999999997</v>
      </c>
      <c r="H425" s="3" t="s">
        <v>4644</v>
      </c>
      <c r="I425" s="3" t="s">
        <v>4645</v>
      </c>
      <c r="J425" s="3" t="s">
        <v>4721</v>
      </c>
      <c r="K425" s="3">
        <v>51</v>
      </c>
      <c r="L425" s="3" t="s">
        <v>4647</v>
      </c>
    </row>
    <row r="426" spans="1:12" ht="33.75" customHeight="1" x14ac:dyDescent="0.25">
      <c r="A426" s="13" t="s">
        <v>1095</v>
      </c>
      <c r="B426" s="2" t="s">
        <v>1096</v>
      </c>
      <c r="C426" s="2" t="s">
        <v>1097</v>
      </c>
      <c r="D426" s="2" t="s">
        <v>4705</v>
      </c>
      <c r="E426" s="2" t="s">
        <v>4810</v>
      </c>
      <c r="F426" s="2" t="s">
        <v>1098</v>
      </c>
      <c r="G426" s="2">
        <v>47.038400000000003</v>
      </c>
      <c r="H426" s="2" t="s">
        <v>4644</v>
      </c>
      <c r="I426" s="2" t="s">
        <v>4645</v>
      </c>
      <c r="J426" s="2" t="s">
        <v>4721</v>
      </c>
      <c r="K426" s="2">
        <v>51</v>
      </c>
      <c r="L426" s="2" t="s">
        <v>4647</v>
      </c>
    </row>
    <row r="427" spans="1:12" ht="33.75" customHeight="1" x14ac:dyDescent="0.25">
      <c r="A427" s="14" t="s">
        <v>1099</v>
      </c>
      <c r="B427" s="3" t="s">
        <v>1096</v>
      </c>
      <c r="C427" s="3" t="s">
        <v>1100</v>
      </c>
      <c r="D427" s="3" t="s">
        <v>4705</v>
      </c>
      <c r="E427" s="3" t="s">
        <v>4810</v>
      </c>
      <c r="F427" s="3" t="s">
        <v>1098</v>
      </c>
      <c r="G427" s="3">
        <v>47.038400000000003</v>
      </c>
      <c r="H427" s="3" t="s">
        <v>4644</v>
      </c>
      <c r="I427" s="3" t="s">
        <v>4645</v>
      </c>
      <c r="J427" s="3" t="s">
        <v>4721</v>
      </c>
      <c r="K427" s="3">
        <v>51</v>
      </c>
      <c r="L427" s="3" t="s">
        <v>4647</v>
      </c>
    </row>
    <row r="428" spans="1:12" ht="33.75" customHeight="1" x14ac:dyDescent="0.25">
      <c r="A428" s="13" t="s">
        <v>1101</v>
      </c>
      <c r="B428" s="2" t="s">
        <v>386</v>
      </c>
      <c r="C428" s="2" t="s">
        <v>1102</v>
      </c>
      <c r="D428" s="2" t="s">
        <v>4698</v>
      </c>
      <c r="E428" s="2" t="s">
        <v>4727</v>
      </c>
      <c r="F428" s="2" t="s">
        <v>388</v>
      </c>
      <c r="G428" s="2">
        <v>33.783799999999999</v>
      </c>
      <c r="H428" s="2" t="s">
        <v>4644</v>
      </c>
      <c r="I428" s="2" t="s">
        <v>4645</v>
      </c>
      <c r="J428" s="2" t="s">
        <v>4721</v>
      </c>
      <c r="K428" s="2">
        <v>54</v>
      </c>
      <c r="L428" s="2" t="s">
        <v>4647</v>
      </c>
    </row>
    <row r="429" spans="1:12" ht="33.75" customHeight="1" x14ac:dyDescent="0.25">
      <c r="A429" s="14" t="s">
        <v>1103</v>
      </c>
      <c r="B429" s="3" t="s">
        <v>386</v>
      </c>
      <c r="C429" s="3" t="s">
        <v>1104</v>
      </c>
      <c r="D429" s="3" t="s">
        <v>4698</v>
      </c>
      <c r="E429" s="3" t="s">
        <v>4727</v>
      </c>
      <c r="F429" s="3" t="s">
        <v>388</v>
      </c>
      <c r="G429" s="3">
        <v>33.783799999999999</v>
      </c>
      <c r="H429" s="3" t="s">
        <v>4644</v>
      </c>
      <c r="I429" s="3" t="s">
        <v>4645</v>
      </c>
      <c r="J429" s="3" t="s">
        <v>4721</v>
      </c>
      <c r="K429" s="3">
        <v>54</v>
      </c>
      <c r="L429" s="3" t="s">
        <v>4647</v>
      </c>
    </row>
    <row r="430" spans="1:12" ht="33.75" customHeight="1" x14ac:dyDescent="0.25">
      <c r="A430" s="13" t="s">
        <v>1105</v>
      </c>
      <c r="B430" s="2" t="s">
        <v>1096</v>
      </c>
      <c r="C430" s="2" t="s">
        <v>1106</v>
      </c>
      <c r="D430" s="2" t="s">
        <v>4705</v>
      </c>
      <c r="E430" s="2" t="s">
        <v>4810</v>
      </c>
      <c r="F430" s="2" t="s">
        <v>1098</v>
      </c>
      <c r="G430" s="2">
        <v>47.038400000000003</v>
      </c>
      <c r="H430" s="2" t="s">
        <v>4644</v>
      </c>
      <c r="I430" s="2" t="s">
        <v>4645</v>
      </c>
      <c r="J430" s="2" t="s">
        <v>4721</v>
      </c>
      <c r="K430" s="2">
        <v>51</v>
      </c>
      <c r="L430" s="2" t="s">
        <v>4647</v>
      </c>
    </row>
    <row r="431" spans="1:12" ht="33.75" customHeight="1" x14ac:dyDescent="0.25">
      <c r="A431" s="14" t="s">
        <v>1107</v>
      </c>
      <c r="B431" s="3" t="s">
        <v>1062</v>
      </c>
      <c r="C431" s="3" t="s">
        <v>1108</v>
      </c>
      <c r="D431" s="3" t="s">
        <v>4658</v>
      </c>
      <c r="E431" s="3" t="s">
        <v>4808</v>
      </c>
      <c r="F431" s="3" t="s">
        <v>1064</v>
      </c>
      <c r="G431" s="3">
        <v>47.728400000000001</v>
      </c>
      <c r="H431" s="3" t="s">
        <v>4644</v>
      </c>
      <c r="I431" s="3" t="s">
        <v>4645</v>
      </c>
      <c r="J431" s="3" t="s">
        <v>4721</v>
      </c>
      <c r="K431" s="3">
        <v>51</v>
      </c>
      <c r="L431" s="3" t="s">
        <v>4647</v>
      </c>
    </row>
    <row r="432" spans="1:12" ht="33.75" customHeight="1" x14ac:dyDescent="0.25">
      <c r="A432" s="13" t="s">
        <v>1109</v>
      </c>
      <c r="B432" s="2" t="s">
        <v>1062</v>
      </c>
      <c r="C432" s="2" t="s">
        <v>1110</v>
      </c>
      <c r="D432" s="2" t="s">
        <v>4658</v>
      </c>
      <c r="E432" s="2" t="s">
        <v>4808</v>
      </c>
      <c r="F432" s="2" t="s">
        <v>1064</v>
      </c>
      <c r="G432" s="2">
        <v>47.728400000000001</v>
      </c>
      <c r="H432" s="2" t="s">
        <v>4644</v>
      </c>
      <c r="I432" s="2" t="s">
        <v>4645</v>
      </c>
      <c r="J432" s="2" t="s">
        <v>4721</v>
      </c>
      <c r="K432" s="2">
        <v>51</v>
      </c>
      <c r="L432" s="2" t="s">
        <v>4647</v>
      </c>
    </row>
    <row r="433" spans="1:12" ht="33.75" customHeight="1" x14ac:dyDescent="0.25">
      <c r="A433" s="14" t="s">
        <v>1111</v>
      </c>
      <c r="B433" s="3" t="s">
        <v>386</v>
      </c>
      <c r="C433" s="3" t="s">
        <v>1112</v>
      </c>
      <c r="D433" s="3" t="s">
        <v>4701</v>
      </c>
      <c r="E433" s="3" t="s">
        <v>4727</v>
      </c>
      <c r="F433" s="3" t="s">
        <v>388</v>
      </c>
      <c r="G433" s="3">
        <v>33.783799999999999</v>
      </c>
      <c r="H433" s="3" t="s">
        <v>4644</v>
      </c>
      <c r="I433" s="3" t="s">
        <v>4645</v>
      </c>
      <c r="J433" s="3" t="s">
        <v>4721</v>
      </c>
      <c r="K433" s="3">
        <v>54</v>
      </c>
      <c r="L433" s="3" t="s">
        <v>4647</v>
      </c>
    </row>
    <row r="434" spans="1:12" ht="33.75" customHeight="1" x14ac:dyDescent="0.25">
      <c r="A434" s="13" t="s">
        <v>1113</v>
      </c>
      <c r="B434" s="2" t="s">
        <v>386</v>
      </c>
      <c r="C434" s="2" t="s">
        <v>1114</v>
      </c>
      <c r="D434" s="2"/>
      <c r="E434" s="2" t="s">
        <v>4727</v>
      </c>
      <c r="F434" s="2" t="s">
        <v>388</v>
      </c>
      <c r="G434" s="2">
        <v>33.783799999999999</v>
      </c>
      <c r="H434" s="2" t="s">
        <v>4644</v>
      </c>
      <c r="I434" s="2" t="s">
        <v>4645</v>
      </c>
      <c r="J434" s="2" t="s">
        <v>4721</v>
      </c>
      <c r="K434" s="2">
        <v>54</v>
      </c>
      <c r="L434" s="2" t="s">
        <v>4647</v>
      </c>
    </row>
    <row r="435" spans="1:12" ht="33.75" customHeight="1" x14ac:dyDescent="0.25">
      <c r="A435" s="14" t="s">
        <v>1115</v>
      </c>
      <c r="B435" s="3" t="s">
        <v>386</v>
      </c>
      <c r="C435" s="3" t="s">
        <v>1116</v>
      </c>
      <c r="D435" s="3"/>
      <c r="E435" s="3" t="s">
        <v>4727</v>
      </c>
      <c r="F435" s="3" t="s">
        <v>388</v>
      </c>
      <c r="G435" s="3">
        <v>33.783799999999999</v>
      </c>
      <c r="H435" s="3" t="s">
        <v>4644</v>
      </c>
      <c r="I435" s="3" t="s">
        <v>4645</v>
      </c>
      <c r="J435" s="3" t="s">
        <v>4721</v>
      </c>
      <c r="K435" s="3">
        <v>54</v>
      </c>
      <c r="L435" s="3" t="s">
        <v>4647</v>
      </c>
    </row>
    <row r="436" spans="1:12" ht="33.75" customHeight="1" x14ac:dyDescent="0.25">
      <c r="A436" s="13" t="s">
        <v>1117</v>
      </c>
      <c r="B436" s="2" t="s">
        <v>386</v>
      </c>
      <c r="C436" s="2" t="s">
        <v>1118</v>
      </c>
      <c r="D436" s="2"/>
      <c r="E436" s="2" t="s">
        <v>4727</v>
      </c>
      <c r="F436" s="2" t="s">
        <v>388</v>
      </c>
      <c r="G436" s="2">
        <v>33.783799999999999</v>
      </c>
      <c r="H436" s="2" t="s">
        <v>4644</v>
      </c>
      <c r="I436" s="2" t="s">
        <v>4645</v>
      </c>
      <c r="J436" s="2" t="s">
        <v>4721</v>
      </c>
      <c r="K436" s="2">
        <v>54</v>
      </c>
      <c r="L436" s="2" t="s">
        <v>4647</v>
      </c>
    </row>
    <row r="437" spans="1:12" ht="33.75" customHeight="1" x14ac:dyDescent="0.25">
      <c r="A437" s="14" t="s">
        <v>1119</v>
      </c>
      <c r="B437" s="3" t="s">
        <v>386</v>
      </c>
      <c r="C437" s="3" t="s">
        <v>1120</v>
      </c>
      <c r="D437" s="3"/>
      <c r="E437" s="3" t="s">
        <v>4727</v>
      </c>
      <c r="F437" s="3" t="s">
        <v>388</v>
      </c>
      <c r="G437" s="3">
        <v>33.783799999999999</v>
      </c>
      <c r="H437" s="3" t="s">
        <v>4644</v>
      </c>
      <c r="I437" s="3" t="s">
        <v>4645</v>
      </c>
      <c r="J437" s="3" t="s">
        <v>4721</v>
      </c>
      <c r="K437" s="3">
        <v>54</v>
      </c>
      <c r="L437" s="3" t="s">
        <v>4647</v>
      </c>
    </row>
    <row r="438" spans="1:12" ht="33.75" customHeight="1" x14ac:dyDescent="0.25">
      <c r="A438" s="13" t="s">
        <v>1121</v>
      </c>
      <c r="B438" s="2" t="s">
        <v>386</v>
      </c>
      <c r="C438" s="2" t="s">
        <v>1122</v>
      </c>
      <c r="D438" s="2" t="s">
        <v>4705</v>
      </c>
      <c r="E438" s="2" t="s">
        <v>4727</v>
      </c>
      <c r="F438" s="2" t="s">
        <v>388</v>
      </c>
      <c r="G438" s="2">
        <v>33.783799999999999</v>
      </c>
      <c r="H438" s="2" t="s">
        <v>4644</v>
      </c>
      <c r="I438" s="2" t="s">
        <v>4645</v>
      </c>
      <c r="J438" s="2" t="s">
        <v>4721</v>
      </c>
      <c r="K438" s="2">
        <v>54</v>
      </c>
      <c r="L438" s="2" t="s">
        <v>4647</v>
      </c>
    </row>
    <row r="439" spans="1:12" ht="33.75" customHeight="1" x14ac:dyDescent="0.25">
      <c r="A439" s="14" t="s">
        <v>1123</v>
      </c>
      <c r="B439" s="3" t="s">
        <v>324</v>
      </c>
      <c r="C439" s="3" t="s">
        <v>1124</v>
      </c>
      <c r="D439" s="3" t="s">
        <v>4658</v>
      </c>
      <c r="E439" s="3" t="s">
        <v>4704</v>
      </c>
      <c r="F439" s="3" t="s">
        <v>326</v>
      </c>
      <c r="G439" s="3">
        <v>29.719200000000001</v>
      </c>
      <c r="H439" s="3" t="s">
        <v>4644</v>
      </c>
      <c r="I439" s="3" t="s">
        <v>4645</v>
      </c>
      <c r="J439" s="3" t="s">
        <v>4697</v>
      </c>
      <c r="K439" s="3">
        <v>45</v>
      </c>
      <c r="L439" s="3" t="s">
        <v>4647</v>
      </c>
    </row>
    <row r="440" spans="1:12" ht="33.75" customHeight="1" x14ac:dyDescent="0.25">
      <c r="A440" s="13" t="s">
        <v>1125</v>
      </c>
      <c r="B440" s="2" t="s">
        <v>324</v>
      </c>
      <c r="C440" s="2" t="s">
        <v>1028</v>
      </c>
      <c r="D440" s="2"/>
      <c r="E440" s="2" t="s">
        <v>4704</v>
      </c>
      <c r="F440" s="2" t="s">
        <v>326</v>
      </c>
      <c r="G440" s="2">
        <v>29.719200000000001</v>
      </c>
      <c r="H440" s="2" t="s">
        <v>4644</v>
      </c>
      <c r="I440" s="2" t="s">
        <v>4645</v>
      </c>
      <c r="J440" s="2" t="s">
        <v>4697</v>
      </c>
      <c r="K440" s="2">
        <v>45</v>
      </c>
      <c r="L440" s="2" t="s">
        <v>4647</v>
      </c>
    </row>
    <row r="441" spans="1:12" ht="33.75" customHeight="1" x14ac:dyDescent="0.25">
      <c r="A441" s="14" t="s">
        <v>1126</v>
      </c>
      <c r="B441" s="3" t="s">
        <v>324</v>
      </c>
      <c r="C441" s="3" t="s">
        <v>1127</v>
      </c>
      <c r="D441" s="3"/>
      <c r="E441" s="3" t="s">
        <v>4704</v>
      </c>
      <c r="F441" s="3" t="s">
        <v>326</v>
      </c>
      <c r="G441" s="3">
        <v>29.719200000000001</v>
      </c>
      <c r="H441" s="3" t="s">
        <v>4644</v>
      </c>
      <c r="I441" s="3" t="s">
        <v>4645</v>
      </c>
      <c r="J441" s="3" t="s">
        <v>4697</v>
      </c>
      <c r="K441" s="3">
        <v>45</v>
      </c>
      <c r="L441" s="3" t="s">
        <v>4647</v>
      </c>
    </row>
    <row r="442" spans="1:12" ht="33.75" customHeight="1" x14ac:dyDescent="0.25">
      <c r="A442" s="13" t="s">
        <v>1128</v>
      </c>
      <c r="B442" s="2" t="s">
        <v>324</v>
      </c>
      <c r="C442" s="2" t="s">
        <v>1129</v>
      </c>
      <c r="D442" s="2"/>
      <c r="E442" s="2" t="s">
        <v>4704</v>
      </c>
      <c r="F442" s="2" t="s">
        <v>326</v>
      </c>
      <c r="G442" s="2">
        <v>29.719200000000001</v>
      </c>
      <c r="H442" s="2" t="s">
        <v>4644</v>
      </c>
      <c r="I442" s="2" t="s">
        <v>4645</v>
      </c>
      <c r="J442" s="2" t="s">
        <v>4697</v>
      </c>
      <c r="K442" s="2">
        <v>45</v>
      </c>
      <c r="L442" s="2" t="s">
        <v>4647</v>
      </c>
    </row>
    <row r="443" spans="1:12" ht="33.75" customHeight="1" x14ac:dyDescent="0.25">
      <c r="A443" s="14" t="s">
        <v>1130</v>
      </c>
      <c r="B443" s="3" t="s">
        <v>324</v>
      </c>
      <c r="C443" s="3" t="s">
        <v>1131</v>
      </c>
      <c r="D443" s="3" t="s">
        <v>4701</v>
      </c>
      <c r="E443" s="3" t="s">
        <v>4704</v>
      </c>
      <c r="F443" s="3" t="s">
        <v>326</v>
      </c>
      <c r="G443" s="3">
        <v>29.719200000000001</v>
      </c>
      <c r="H443" s="3" t="s">
        <v>4644</v>
      </c>
      <c r="I443" s="3" t="s">
        <v>4645</v>
      </c>
      <c r="J443" s="3" t="s">
        <v>4697</v>
      </c>
      <c r="K443" s="3">
        <v>45</v>
      </c>
      <c r="L443" s="3" t="s">
        <v>4647</v>
      </c>
    </row>
    <row r="444" spans="1:12" ht="33.75" customHeight="1" x14ac:dyDescent="0.25">
      <c r="A444" s="13" t="s">
        <v>1132</v>
      </c>
      <c r="B444" s="2" t="s">
        <v>324</v>
      </c>
      <c r="C444" s="2" t="s">
        <v>1133</v>
      </c>
      <c r="D444" s="2" t="s">
        <v>4702</v>
      </c>
      <c r="E444" s="2" t="s">
        <v>4704</v>
      </c>
      <c r="F444" s="2" t="s">
        <v>326</v>
      </c>
      <c r="G444" s="2">
        <v>29.719200000000001</v>
      </c>
      <c r="H444" s="2" t="s">
        <v>4644</v>
      </c>
      <c r="I444" s="2" t="s">
        <v>4645</v>
      </c>
      <c r="J444" s="2" t="s">
        <v>4697</v>
      </c>
      <c r="K444" s="2">
        <v>45</v>
      </c>
      <c r="L444" s="2" t="s">
        <v>4647</v>
      </c>
    </row>
    <row r="445" spans="1:12" ht="33.75" customHeight="1" x14ac:dyDescent="0.25">
      <c r="A445" s="14" t="s">
        <v>1134</v>
      </c>
      <c r="B445" s="3" t="s">
        <v>324</v>
      </c>
      <c r="C445" s="3" t="s">
        <v>1135</v>
      </c>
      <c r="D445" s="3" t="s">
        <v>4701</v>
      </c>
      <c r="E445" s="3" t="s">
        <v>4704</v>
      </c>
      <c r="F445" s="3" t="s">
        <v>326</v>
      </c>
      <c r="G445" s="3">
        <v>29.719200000000001</v>
      </c>
      <c r="H445" s="3" t="s">
        <v>4644</v>
      </c>
      <c r="I445" s="3" t="s">
        <v>4645</v>
      </c>
      <c r="J445" s="3" t="s">
        <v>4697</v>
      </c>
      <c r="K445" s="3">
        <v>45</v>
      </c>
      <c r="L445" s="3" t="s">
        <v>4647</v>
      </c>
    </row>
    <row r="446" spans="1:12" ht="33.75" customHeight="1" x14ac:dyDescent="0.25">
      <c r="A446" s="13" t="s">
        <v>1136</v>
      </c>
      <c r="B446" s="2" t="s">
        <v>324</v>
      </c>
      <c r="C446" s="2" t="s">
        <v>1137</v>
      </c>
      <c r="D446" s="2" t="s">
        <v>4702</v>
      </c>
      <c r="E446" s="2" t="s">
        <v>4704</v>
      </c>
      <c r="F446" s="2" t="s">
        <v>326</v>
      </c>
      <c r="G446" s="2">
        <v>29.719200000000001</v>
      </c>
      <c r="H446" s="2" t="s">
        <v>4644</v>
      </c>
      <c r="I446" s="2" t="s">
        <v>4645</v>
      </c>
      <c r="J446" s="2" t="s">
        <v>4697</v>
      </c>
      <c r="K446" s="2">
        <v>45</v>
      </c>
      <c r="L446" s="2" t="s">
        <v>4647</v>
      </c>
    </row>
    <row r="447" spans="1:12" ht="33.75" customHeight="1" x14ac:dyDescent="0.25">
      <c r="A447" s="14" t="s">
        <v>1138</v>
      </c>
      <c r="B447" s="3" t="s">
        <v>1139</v>
      </c>
      <c r="C447" s="3" t="s">
        <v>1140</v>
      </c>
      <c r="D447" s="3" t="s">
        <v>4705</v>
      </c>
      <c r="E447" s="3" t="s">
        <v>4811</v>
      </c>
      <c r="F447" s="3" t="s">
        <v>1141</v>
      </c>
      <c r="G447" s="3">
        <v>49.136000000000003</v>
      </c>
      <c r="H447" s="3" t="s">
        <v>4644</v>
      </c>
      <c r="I447" s="3" t="s">
        <v>4645</v>
      </c>
      <c r="J447" s="3" t="s">
        <v>4697</v>
      </c>
      <c r="K447" s="3">
        <v>60</v>
      </c>
      <c r="L447" s="3" t="s">
        <v>4647</v>
      </c>
    </row>
    <row r="448" spans="1:12" ht="33.75" customHeight="1" x14ac:dyDescent="0.25">
      <c r="A448" s="13" t="s">
        <v>1142</v>
      </c>
      <c r="B448" s="2" t="s">
        <v>324</v>
      </c>
      <c r="C448" s="2" t="s">
        <v>1143</v>
      </c>
      <c r="D448" s="2"/>
      <c r="E448" s="2" t="s">
        <v>4704</v>
      </c>
      <c r="F448" s="2" t="s">
        <v>326</v>
      </c>
      <c r="G448" s="2">
        <v>29.719200000000001</v>
      </c>
      <c r="H448" s="2" t="s">
        <v>4644</v>
      </c>
      <c r="I448" s="2" t="s">
        <v>4645</v>
      </c>
      <c r="J448" s="2" t="s">
        <v>4697</v>
      </c>
      <c r="K448" s="2">
        <v>45</v>
      </c>
      <c r="L448" s="2" t="s">
        <v>4647</v>
      </c>
    </row>
    <row r="449" spans="1:12" ht="33.75" customHeight="1" x14ac:dyDescent="0.25">
      <c r="A449" s="14" t="s">
        <v>1144</v>
      </c>
      <c r="B449" s="3" t="s">
        <v>324</v>
      </c>
      <c r="C449" s="3" t="s">
        <v>1145</v>
      </c>
      <c r="D449" s="3"/>
      <c r="E449" s="3" t="s">
        <v>4704</v>
      </c>
      <c r="F449" s="3" t="s">
        <v>326</v>
      </c>
      <c r="G449" s="3">
        <v>29.719200000000001</v>
      </c>
      <c r="H449" s="3" t="s">
        <v>4644</v>
      </c>
      <c r="I449" s="3" t="s">
        <v>4645</v>
      </c>
      <c r="J449" s="3" t="s">
        <v>4697</v>
      </c>
      <c r="K449" s="3">
        <v>45</v>
      </c>
      <c r="L449" s="3" t="s">
        <v>4647</v>
      </c>
    </row>
    <row r="450" spans="1:12" ht="33.75" customHeight="1" x14ac:dyDescent="0.25">
      <c r="A450" s="13" t="s">
        <v>1146</v>
      </c>
      <c r="B450" s="2" t="s">
        <v>324</v>
      </c>
      <c r="C450" s="2" t="s">
        <v>1147</v>
      </c>
      <c r="D450" s="2" t="s">
        <v>4658</v>
      </c>
      <c r="E450" s="2" t="s">
        <v>4704</v>
      </c>
      <c r="F450" s="2" t="s">
        <v>326</v>
      </c>
      <c r="G450" s="2">
        <v>29.719200000000001</v>
      </c>
      <c r="H450" s="2" t="s">
        <v>4644</v>
      </c>
      <c r="I450" s="2" t="s">
        <v>4645</v>
      </c>
      <c r="J450" s="2" t="s">
        <v>4697</v>
      </c>
      <c r="K450" s="2">
        <v>45</v>
      </c>
      <c r="L450" s="2" t="s">
        <v>4647</v>
      </c>
    </row>
    <row r="451" spans="1:12" ht="33.75" customHeight="1" x14ac:dyDescent="0.25">
      <c r="A451" s="14" t="s">
        <v>1148</v>
      </c>
      <c r="B451" s="3" t="s">
        <v>324</v>
      </c>
      <c r="C451" s="3" t="s">
        <v>1149</v>
      </c>
      <c r="D451" s="3"/>
      <c r="E451" s="3" t="s">
        <v>4704</v>
      </c>
      <c r="F451" s="3" t="s">
        <v>326</v>
      </c>
      <c r="G451" s="3">
        <v>29.719200000000001</v>
      </c>
      <c r="H451" s="3" t="s">
        <v>4644</v>
      </c>
      <c r="I451" s="3" t="s">
        <v>4645</v>
      </c>
      <c r="J451" s="3" t="s">
        <v>4697</v>
      </c>
      <c r="K451" s="3">
        <v>45</v>
      </c>
      <c r="L451" s="3" t="s">
        <v>4647</v>
      </c>
    </row>
    <row r="452" spans="1:12" ht="33.75" customHeight="1" x14ac:dyDescent="0.25">
      <c r="A452" s="13" t="s">
        <v>1150</v>
      </c>
      <c r="B452" s="2" t="s">
        <v>1151</v>
      </c>
      <c r="C452" s="2" t="s">
        <v>1152</v>
      </c>
      <c r="D452" s="2"/>
      <c r="E452" s="2" t="s">
        <v>4812</v>
      </c>
      <c r="F452" s="2" t="s">
        <v>1153</v>
      </c>
      <c r="G452" s="2">
        <v>30.6372</v>
      </c>
      <c r="H452" s="2" t="s">
        <v>4644</v>
      </c>
      <c r="I452" s="2" t="s">
        <v>4645</v>
      </c>
      <c r="J452" s="2" t="s">
        <v>4723</v>
      </c>
      <c r="K452" s="2">
        <v>72</v>
      </c>
      <c r="L452" s="2" t="s">
        <v>4647</v>
      </c>
    </row>
    <row r="453" spans="1:12" ht="33.75" customHeight="1" x14ac:dyDescent="0.25">
      <c r="A453" s="14" t="s">
        <v>1154</v>
      </c>
      <c r="B453" s="3" t="s">
        <v>1151</v>
      </c>
      <c r="C453" s="3" t="s">
        <v>1155</v>
      </c>
      <c r="D453" s="3" t="s">
        <v>4661</v>
      </c>
      <c r="E453" s="3" t="s">
        <v>4812</v>
      </c>
      <c r="F453" s="3" t="s">
        <v>1153</v>
      </c>
      <c r="G453" s="3">
        <v>30.6372</v>
      </c>
      <c r="H453" s="3" t="s">
        <v>4644</v>
      </c>
      <c r="I453" s="3" t="s">
        <v>4645</v>
      </c>
      <c r="J453" s="3" t="s">
        <v>4723</v>
      </c>
      <c r="K453" s="3">
        <v>72</v>
      </c>
      <c r="L453" s="3" t="s">
        <v>4647</v>
      </c>
    </row>
    <row r="454" spans="1:12" ht="33.75" customHeight="1" x14ac:dyDescent="0.25">
      <c r="A454" s="13" t="s">
        <v>1156</v>
      </c>
      <c r="B454" s="2" t="s">
        <v>414</v>
      </c>
      <c r="C454" s="2" t="s">
        <v>1157</v>
      </c>
      <c r="D454" s="2" t="s">
        <v>4698</v>
      </c>
      <c r="E454" s="2" t="s">
        <v>4732</v>
      </c>
      <c r="F454" s="2" t="s">
        <v>416</v>
      </c>
      <c r="G454" s="2">
        <v>31.0092</v>
      </c>
      <c r="H454" s="2" t="s">
        <v>4644</v>
      </c>
      <c r="I454" s="2" t="s">
        <v>4645</v>
      </c>
      <c r="J454" s="2" t="s">
        <v>4733</v>
      </c>
      <c r="K454" s="2">
        <v>87</v>
      </c>
      <c r="L454" s="2" t="s">
        <v>4647</v>
      </c>
    </row>
    <row r="455" spans="1:12" ht="33.75" customHeight="1" x14ac:dyDescent="0.25">
      <c r="A455" s="14" t="s">
        <v>1158</v>
      </c>
      <c r="B455" s="3" t="s">
        <v>414</v>
      </c>
      <c r="C455" s="3" t="s">
        <v>1159</v>
      </c>
      <c r="D455" s="3"/>
      <c r="E455" s="3" t="s">
        <v>4732</v>
      </c>
      <c r="F455" s="3" t="s">
        <v>416</v>
      </c>
      <c r="G455" s="3">
        <v>31.0092</v>
      </c>
      <c r="H455" s="3" t="s">
        <v>4644</v>
      </c>
      <c r="I455" s="3" t="s">
        <v>4645</v>
      </c>
      <c r="J455" s="3" t="s">
        <v>4733</v>
      </c>
      <c r="K455" s="3">
        <v>87</v>
      </c>
      <c r="L455" s="3" t="s">
        <v>4647</v>
      </c>
    </row>
    <row r="456" spans="1:12" ht="33.75" customHeight="1" x14ac:dyDescent="0.25">
      <c r="A456" s="13" t="s">
        <v>1160</v>
      </c>
      <c r="B456" s="2" t="s">
        <v>414</v>
      </c>
      <c r="C456" s="2" t="s">
        <v>1161</v>
      </c>
      <c r="D456" s="2" t="s">
        <v>4661</v>
      </c>
      <c r="E456" s="2" t="s">
        <v>4732</v>
      </c>
      <c r="F456" s="2" t="s">
        <v>416</v>
      </c>
      <c r="G456" s="2">
        <v>31.0092</v>
      </c>
      <c r="H456" s="2" t="s">
        <v>4644</v>
      </c>
      <c r="I456" s="2" t="s">
        <v>4645</v>
      </c>
      <c r="J456" s="2" t="s">
        <v>4733</v>
      </c>
      <c r="K456" s="2">
        <v>87</v>
      </c>
      <c r="L456" s="2" t="s">
        <v>4647</v>
      </c>
    </row>
    <row r="457" spans="1:12" ht="33.75" customHeight="1" x14ac:dyDescent="0.25">
      <c r="A457" s="14" t="s">
        <v>1162</v>
      </c>
      <c r="B457" s="3" t="s">
        <v>414</v>
      </c>
      <c r="C457" s="3" t="s">
        <v>1163</v>
      </c>
      <c r="D457" s="3" t="s">
        <v>4701</v>
      </c>
      <c r="E457" s="3" t="s">
        <v>4732</v>
      </c>
      <c r="F457" s="3" t="s">
        <v>416</v>
      </c>
      <c r="G457" s="3">
        <v>31.0092</v>
      </c>
      <c r="H457" s="3" t="s">
        <v>4644</v>
      </c>
      <c r="I457" s="3" t="s">
        <v>4645</v>
      </c>
      <c r="J457" s="3" t="s">
        <v>4733</v>
      </c>
      <c r="K457" s="3">
        <v>87</v>
      </c>
      <c r="L457" s="3" t="s">
        <v>4647</v>
      </c>
    </row>
    <row r="458" spans="1:12" ht="33.75" customHeight="1" x14ac:dyDescent="0.25">
      <c r="A458" s="13" t="s">
        <v>1164</v>
      </c>
      <c r="B458" s="2" t="s">
        <v>414</v>
      </c>
      <c r="C458" s="2" t="s">
        <v>1165</v>
      </c>
      <c r="D458" s="2" t="s">
        <v>4702</v>
      </c>
      <c r="E458" s="2" t="s">
        <v>4732</v>
      </c>
      <c r="F458" s="2" t="s">
        <v>416</v>
      </c>
      <c r="G458" s="2">
        <v>31.0092</v>
      </c>
      <c r="H458" s="2" t="s">
        <v>4644</v>
      </c>
      <c r="I458" s="2" t="s">
        <v>4645</v>
      </c>
      <c r="J458" s="2" t="s">
        <v>4733</v>
      </c>
      <c r="K458" s="2">
        <v>87</v>
      </c>
      <c r="L458" s="2" t="s">
        <v>4647</v>
      </c>
    </row>
    <row r="459" spans="1:12" ht="33.75" customHeight="1" x14ac:dyDescent="0.25">
      <c r="A459" s="14" t="s">
        <v>1166</v>
      </c>
      <c r="B459" s="3" t="s">
        <v>414</v>
      </c>
      <c r="C459" s="3" t="s">
        <v>1167</v>
      </c>
      <c r="D459" s="3" t="s">
        <v>4751</v>
      </c>
      <c r="E459" s="3" t="s">
        <v>4732</v>
      </c>
      <c r="F459" s="3" t="s">
        <v>416</v>
      </c>
      <c r="G459" s="3">
        <v>31.0092</v>
      </c>
      <c r="H459" s="3" t="s">
        <v>4644</v>
      </c>
      <c r="I459" s="3" t="s">
        <v>4645</v>
      </c>
      <c r="J459" s="3" t="s">
        <v>4733</v>
      </c>
      <c r="K459" s="3">
        <v>87</v>
      </c>
      <c r="L459" s="3" t="s">
        <v>4647</v>
      </c>
    </row>
    <row r="460" spans="1:12" ht="33.75" customHeight="1" x14ac:dyDescent="0.25">
      <c r="A460" s="13" t="s">
        <v>1168</v>
      </c>
      <c r="B460" s="2" t="s">
        <v>414</v>
      </c>
      <c r="C460" s="2" t="s">
        <v>1169</v>
      </c>
      <c r="D460" s="2"/>
      <c r="E460" s="2" t="s">
        <v>4732</v>
      </c>
      <c r="F460" s="2" t="s">
        <v>416</v>
      </c>
      <c r="G460" s="2">
        <v>31.0092</v>
      </c>
      <c r="H460" s="2" t="s">
        <v>4644</v>
      </c>
      <c r="I460" s="2" t="s">
        <v>4645</v>
      </c>
      <c r="J460" s="2" t="s">
        <v>4733</v>
      </c>
      <c r="K460" s="2">
        <v>87</v>
      </c>
      <c r="L460" s="2" t="s">
        <v>4647</v>
      </c>
    </row>
    <row r="461" spans="1:12" ht="33.75" customHeight="1" x14ac:dyDescent="0.25">
      <c r="A461" s="14" t="s">
        <v>1170</v>
      </c>
      <c r="B461" s="3" t="s">
        <v>414</v>
      </c>
      <c r="C461" s="3" t="s">
        <v>1171</v>
      </c>
      <c r="D461" s="3"/>
      <c r="E461" s="3" t="s">
        <v>4732</v>
      </c>
      <c r="F461" s="3" t="s">
        <v>416</v>
      </c>
      <c r="G461" s="3">
        <v>31.0092</v>
      </c>
      <c r="H461" s="3" t="s">
        <v>4644</v>
      </c>
      <c r="I461" s="3" t="s">
        <v>4645</v>
      </c>
      <c r="J461" s="3" t="s">
        <v>4733</v>
      </c>
      <c r="K461" s="3">
        <v>87</v>
      </c>
      <c r="L461" s="3" t="s">
        <v>4647</v>
      </c>
    </row>
    <row r="462" spans="1:12" ht="33.75" customHeight="1" x14ac:dyDescent="0.25">
      <c r="A462" s="13" t="s">
        <v>1172</v>
      </c>
      <c r="B462" s="2" t="s">
        <v>990</v>
      </c>
      <c r="C462" s="2" t="s">
        <v>1173</v>
      </c>
      <c r="D462" s="2"/>
      <c r="E462" s="2" t="s">
        <v>4806</v>
      </c>
      <c r="F462" s="2" t="s">
        <v>992</v>
      </c>
      <c r="G462" s="2">
        <v>29.755199999999999</v>
      </c>
      <c r="H462" s="2" t="s">
        <v>4644</v>
      </c>
      <c r="I462" s="2" t="s">
        <v>4645</v>
      </c>
      <c r="J462" s="2" t="s">
        <v>4723</v>
      </c>
      <c r="K462" s="2">
        <v>54</v>
      </c>
      <c r="L462" s="2" t="s">
        <v>4647</v>
      </c>
    </row>
    <row r="463" spans="1:12" ht="33.75" customHeight="1" x14ac:dyDescent="0.25">
      <c r="A463" s="14" t="s">
        <v>1174</v>
      </c>
      <c r="B463" s="3" t="s">
        <v>1151</v>
      </c>
      <c r="C463" s="3" t="s">
        <v>1175</v>
      </c>
      <c r="D463" s="3"/>
      <c r="E463" s="3" t="s">
        <v>4812</v>
      </c>
      <c r="F463" s="3" t="s">
        <v>1153</v>
      </c>
      <c r="G463" s="3">
        <v>30.6372</v>
      </c>
      <c r="H463" s="3" t="s">
        <v>4644</v>
      </c>
      <c r="I463" s="3" t="s">
        <v>4645</v>
      </c>
      <c r="J463" s="3" t="s">
        <v>4723</v>
      </c>
      <c r="K463" s="3">
        <v>72</v>
      </c>
      <c r="L463" s="3" t="s">
        <v>4647</v>
      </c>
    </row>
    <row r="464" spans="1:12" ht="33.75" customHeight="1" x14ac:dyDescent="0.25">
      <c r="A464" s="13" t="s">
        <v>1176</v>
      </c>
      <c r="B464" s="2" t="s">
        <v>418</v>
      </c>
      <c r="C464" s="2" t="s">
        <v>1177</v>
      </c>
      <c r="D464" s="2" t="s">
        <v>4698</v>
      </c>
      <c r="E464" s="2" t="s">
        <v>4734</v>
      </c>
      <c r="F464" s="2" t="s">
        <v>420</v>
      </c>
      <c r="G464" s="2">
        <v>30.655200000000001</v>
      </c>
      <c r="H464" s="2" t="s">
        <v>4644</v>
      </c>
      <c r="I464" s="2" t="s">
        <v>4645</v>
      </c>
      <c r="J464" s="2" t="s">
        <v>4735</v>
      </c>
      <c r="K464" s="2">
        <v>72</v>
      </c>
      <c r="L464" s="2" t="s">
        <v>4647</v>
      </c>
    </row>
    <row r="465" spans="1:12" ht="33.75" customHeight="1" x14ac:dyDescent="0.25">
      <c r="A465" s="14" t="s">
        <v>1178</v>
      </c>
      <c r="B465" s="3" t="s">
        <v>418</v>
      </c>
      <c r="C465" s="3" t="s">
        <v>1179</v>
      </c>
      <c r="D465" s="3"/>
      <c r="E465" s="3" t="s">
        <v>4734</v>
      </c>
      <c r="F465" s="3" t="s">
        <v>420</v>
      </c>
      <c r="G465" s="3">
        <v>30.655200000000001</v>
      </c>
      <c r="H465" s="3" t="s">
        <v>4644</v>
      </c>
      <c r="I465" s="3" t="s">
        <v>4645</v>
      </c>
      <c r="J465" s="3" t="s">
        <v>4735</v>
      </c>
      <c r="K465" s="3">
        <v>72</v>
      </c>
      <c r="L465" s="3" t="s">
        <v>4647</v>
      </c>
    </row>
    <row r="466" spans="1:12" ht="33.75" customHeight="1" x14ac:dyDescent="0.25">
      <c r="A466" s="13" t="s">
        <v>1180</v>
      </c>
      <c r="B466" s="2" t="s">
        <v>418</v>
      </c>
      <c r="C466" s="2" t="s">
        <v>1181</v>
      </c>
      <c r="D466" s="2"/>
      <c r="E466" s="2" t="s">
        <v>4734</v>
      </c>
      <c r="F466" s="2" t="s">
        <v>420</v>
      </c>
      <c r="G466" s="2">
        <v>30.655200000000001</v>
      </c>
      <c r="H466" s="2" t="s">
        <v>4644</v>
      </c>
      <c r="I466" s="2" t="s">
        <v>4645</v>
      </c>
      <c r="J466" s="2" t="s">
        <v>4735</v>
      </c>
      <c r="K466" s="2">
        <v>72</v>
      </c>
      <c r="L466" s="2" t="s">
        <v>4647</v>
      </c>
    </row>
    <row r="467" spans="1:12" ht="33.75" customHeight="1" x14ac:dyDescent="0.25">
      <c r="A467" s="14" t="s">
        <v>1182</v>
      </c>
      <c r="B467" s="3" t="s">
        <v>418</v>
      </c>
      <c r="C467" s="3" t="s">
        <v>1183</v>
      </c>
      <c r="D467" s="3"/>
      <c r="E467" s="3" t="s">
        <v>4734</v>
      </c>
      <c r="F467" s="3" t="s">
        <v>420</v>
      </c>
      <c r="G467" s="3">
        <v>30.655200000000001</v>
      </c>
      <c r="H467" s="3" t="s">
        <v>4644</v>
      </c>
      <c r="I467" s="3" t="s">
        <v>4645</v>
      </c>
      <c r="J467" s="3" t="s">
        <v>4735</v>
      </c>
      <c r="K467" s="3">
        <v>72</v>
      </c>
      <c r="L467" s="3" t="s">
        <v>4647</v>
      </c>
    </row>
    <row r="468" spans="1:12" ht="33.75" customHeight="1" x14ac:dyDescent="0.25">
      <c r="A468" s="13" t="s">
        <v>1184</v>
      </c>
      <c r="B468" s="2" t="s">
        <v>418</v>
      </c>
      <c r="C468" s="2" t="s">
        <v>1185</v>
      </c>
      <c r="D468" s="2" t="s">
        <v>4661</v>
      </c>
      <c r="E468" s="2" t="s">
        <v>4734</v>
      </c>
      <c r="F468" s="2" t="s">
        <v>420</v>
      </c>
      <c r="G468" s="2">
        <v>30.655200000000001</v>
      </c>
      <c r="H468" s="2" t="s">
        <v>4644</v>
      </c>
      <c r="I468" s="2" t="s">
        <v>4645</v>
      </c>
      <c r="J468" s="2" t="s">
        <v>4735</v>
      </c>
      <c r="K468" s="2">
        <v>72</v>
      </c>
      <c r="L468" s="2" t="s">
        <v>4647</v>
      </c>
    </row>
    <row r="469" spans="1:12" ht="33.75" customHeight="1" x14ac:dyDescent="0.25">
      <c r="A469" s="14" t="s">
        <v>1186</v>
      </c>
      <c r="B469" s="3" t="s">
        <v>418</v>
      </c>
      <c r="C469" s="3" t="s">
        <v>1187</v>
      </c>
      <c r="D469" s="3" t="s">
        <v>4661</v>
      </c>
      <c r="E469" s="3" t="s">
        <v>4734</v>
      </c>
      <c r="F469" s="3" t="s">
        <v>420</v>
      </c>
      <c r="G469" s="3">
        <v>30.655200000000001</v>
      </c>
      <c r="H469" s="3" t="s">
        <v>4644</v>
      </c>
      <c r="I469" s="3" t="s">
        <v>4645</v>
      </c>
      <c r="J469" s="3" t="s">
        <v>4735</v>
      </c>
      <c r="K469" s="3">
        <v>72</v>
      </c>
      <c r="L469" s="3" t="s">
        <v>4647</v>
      </c>
    </row>
    <row r="470" spans="1:12" ht="33.75" customHeight="1" x14ac:dyDescent="0.25">
      <c r="A470" s="13" t="s">
        <v>1188</v>
      </c>
      <c r="B470" s="2" t="s">
        <v>1189</v>
      </c>
      <c r="C470" s="2" t="s">
        <v>1190</v>
      </c>
      <c r="D470" s="2" t="s">
        <v>4658</v>
      </c>
      <c r="E470" s="2" t="s">
        <v>4813</v>
      </c>
      <c r="F470" s="2" t="s">
        <v>1191</v>
      </c>
      <c r="G470" s="2">
        <v>50.875999999999998</v>
      </c>
      <c r="H470" s="2" t="s">
        <v>4644</v>
      </c>
      <c r="I470" s="2" t="s">
        <v>4645</v>
      </c>
      <c r="J470" s="2" t="s">
        <v>4735</v>
      </c>
      <c r="K470" s="2">
        <v>88</v>
      </c>
      <c r="L470" s="2" t="s">
        <v>4647</v>
      </c>
    </row>
    <row r="471" spans="1:12" ht="33.75" customHeight="1" x14ac:dyDescent="0.25">
      <c r="A471" s="14" t="s">
        <v>1192</v>
      </c>
      <c r="B471" s="3" t="s">
        <v>404</v>
      </c>
      <c r="C471" s="3" t="s">
        <v>1193</v>
      </c>
      <c r="D471" s="3" t="s">
        <v>4698</v>
      </c>
      <c r="E471" s="3" t="s">
        <v>4731</v>
      </c>
      <c r="F471" s="3" t="s">
        <v>406</v>
      </c>
      <c r="G471" s="3">
        <v>29.999199999999998</v>
      </c>
      <c r="H471" s="3" t="s">
        <v>4644</v>
      </c>
      <c r="I471" s="3" t="s">
        <v>4645</v>
      </c>
      <c r="J471" s="3" t="s">
        <v>4695</v>
      </c>
      <c r="K471" s="3">
        <v>63</v>
      </c>
      <c r="L471" s="3" t="s">
        <v>4647</v>
      </c>
    </row>
    <row r="472" spans="1:12" ht="33.75" customHeight="1" x14ac:dyDescent="0.25">
      <c r="A472" s="13" t="s">
        <v>1194</v>
      </c>
      <c r="B472" s="2" t="s">
        <v>404</v>
      </c>
      <c r="C472" s="2" t="s">
        <v>1195</v>
      </c>
      <c r="D472" s="2"/>
      <c r="E472" s="2" t="s">
        <v>4731</v>
      </c>
      <c r="F472" s="2" t="s">
        <v>406</v>
      </c>
      <c r="G472" s="2">
        <v>29.999199999999998</v>
      </c>
      <c r="H472" s="2" t="s">
        <v>4644</v>
      </c>
      <c r="I472" s="2" t="s">
        <v>4645</v>
      </c>
      <c r="J472" s="2" t="s">
        <v>4695</v>
      </c>
      <c r="K472" s="2">
        <v>63</v>
      </c>
      <c r="L472" s="2" t="s">
        <v>4647</v>
      </c>
    </row>
    <row r="473" spans="1:12" ht="33.75" customHeight="1" x14ac:dyDescent="0.25">
      <c r="A473" s="14" t="s">
        <v>1196</v>
      </c>
      <c r="B473" s="3" t="s">
        <v>404</v>
      </c>
      <c r="C473" s="3" t="s">
        <v>1195</v>
      </c>
      <c r="D473" s="3"/>
      <c r="E473" s="3" t="s">
        <v>4731</v>
      </c>
      <c r="F473" s="3" t="s">
        <v>406</v>
      </c>
      <c r="G473" s="3">
        <v>29.999199999999998</v>
      </c>
      <c r="H473" s="3" t="s">
        <v>4644</v>
      </c>
      <c r="I473" s="3" t="s">
        <v>4645</v>
      </c>
      <c r="J473" s="3" t="s">
        <v>4695</v>
      </c>
      <c r="K473" s="3">
        <v>63</v>
      </c>
      <c r="L473" s="3" t="s">
        <v>4647</v>
      </c>
    </row>
    <row r="474" spans="1:12" ht="33.75" customHeight="1" x14ac:dyDescent="0.25">
      <c r="A474" s="13" t="s">
        <v>1197</v>
      </c>
      <c r="B474" s="2" t="s">
        <v>404</v>
      </c>
      <c r="C474" s="2" t="s">
        <v>1198</v>
      </c>
      <c r="D474" s="2"/>
      <c r="E474" s="2" t="s">
        <v>4731</v>
      </c>
      <c r="F474" s="2" t="s">
        <v>406</v>
      </c>
      <c r="G474" s="2">
        <v>29.999199999999998</v>
      </c>
      <c r="H474" s="2" t="s">
        <v>4644</v>
      </c>
      <c r="I474" s="2" t="s">
        <v>4645</v>
      </c>
      <c r="J474" s="2" t="s">
        <v>4695</v>
      </c>
      <c r="K474" s="2">
        <v>63</v>
      </c>
      <c r="L474" s="2" t="s">
        <v>4647</v>
      </c>
    </row>
    <row r="475" spans="1:12" ht="33.75" customHeight="1" x14ac:dyDescent="0.25">
      <c r="A475" s="14" t="s">
        <v>1199</v>
      </c>
      <c r="B475" s="3" t="s">
        <v>404</v>
      </c>
      <c r="C475" s="3" t="s">
        <v>1200</v>
      </c>
      <c r="D475" s="3"/>
      <c r="E475" s="3" t="s">
        <v>4731</v>
      </c>
      <c r="F475" s="3" t="s">
        <v>406</v>
      </c>
      <c r="G475" s="3">
        <v>29.999199999999998</v>
      </c>
      <c r="H475" s="3" t="s">
        <v>4644</v>
      </c>
      <c r="I475" s="3" t="s">
        <v>4645</v>
      </c>
      <c r="J475" s="3" t="s">
        <v>4695</v>
      </c>
      <c r="K475" s="3">
        <v>63</v>
      </c>
      <c r="L475" s="3" t="s">
        <v>4647</v>
      </c>
    </row>
    <row r="476" spans="1:12" ht="33.75" customHeight="1" x14ac:dyDescent="0.25">
      <c r="A476" s="13" t="s">
        <v>1201</v>
      </c>
      <c r="B476" s="2" t="s">
        <v>418</v>
      </c>
      <c r="C476" s="2" t="s">
        <v>1202</v>
      </c>
      <c r="D476" s="2"/>
      <c r="E476" s="2" t="s">
        <v>4734</v>
      </c>
      <c r="F476" s="2" t="s">
        <v>420</v>
      </c>
      <c r="G476" s="2">
        <v>30.655200000000001</v>
      </c>
      <c r="H476" s="2" t="s">
        <v>4644</v>
      </c>
      <c r="I476" s="2" t="s">
        <v>4645</v>
      </c>
      <c r="J476" s="2" t="s">
        <v>4735</v>
      </c>
      <c r="K476" s="2">
        <v>72</v>
      </c>
      <c r="L476" s="2" t="s">
        <v>4647</v>
      </c>
    </row>
    <row r="477" spans="1:12" ht="33.75" customHeight="1" x14ac:dyDescent="0.25">
      <c r="A477" s="14" t="s">
        <v>1203</v>
      </c>
      <c r="B477" s="3" t="s">
        <v>404</v>
      </c>
      <c r="C477" s="3" t="s">
        <v>1204</v>
      </c>
      <c r="D477" s="3"/>
      <c r="E477" s="3" t="s">
        <v>4731</v>
      </c>
      <c r="F477" s="3" t="s">
        <v>406</v>
      </c>
      <c r="G477" s="3">
        <v>29.999199999999998</v>
      </c>
      <c r="H477" s="3" t="s">
        <v>4644</v>
      </c>
      <c r="I477" s="3" t="s">
        <v>4645</v>
      </c>
      <c r="J477" s="3" t="s">
        <v>4695</v>
      </c>
      <c r="K477" s="3">
        <v>63</v>
      </c>
      <c r="L477" s="3" t="s">
        <v>4647</v>
      </c>
    </row>
    <row r="478" spans="1:12" ht="33.75" customHeight="1" x14ac:dyDescent="0.25">
      <c r="A478" s="13" t="s">
        <v>1205</v>
      </c>
      <c r="B478" s="2" t="s">
        <v>404</v>
      </c>
      <c r="C478" s="2" t="s">
        <v>1206</v>
      </c>
      <c r="D478" s="2"/>
      <c r="E478" s="2" t="s">
        <v>4731</v>
      </c>
      <c r="F478" s="2" t="s">
        <v>406</v>
      </c>
      <c r="G478" s="2">
        <v>29.999199999999998</v>
      </c>
      <c r="H478" s="2" t="s">
        <v>4644</v>
      </c>
      <c r="I478" s="2" t="s">
        <v>4645</v>
      </c>
      <c r="J478" s="2" t="s">
        <v>4695</v>
      </c>
      <c r="K478" s="2">
        <v>63</v>
      </c>
      <c r="L478" s="2" t="s">
        <v>4647</v>
      </c>
    </row>
    <row r="479" spans="1:12" ht="33.75" customHeight="1" x14ac:dyDescent="0.25">
      <c r="A479" s="14" t="s">
        <v>1207</v>
      </c>
      <c r="B479" s="3" t="s">
        <v>418</v>
      </c>
      <c r="C479" s="3" t="s">
        <v>1208</v>
      </c>
      <c r="D479" s="3" t="s">
        <v>4814</v>
      </c>
      <c r="E479" s="3" t="s">
        <v>4734</v>
      </c>
      <c r="F479" s="3" t="s">
        <v>420</v>
      </c>
      <c r="G479" s="3">
        <v>30.655200000000001</v>
      </c>
      <c r="H479" s="3" t="s">
        <v>4644</v>
      </c>
      <c r="I479" s="3" t="s">
        <v>4645</v>
      </c>
      <c r="J479" s="3" t="s">
        <v>4735</v>
      </c>
      <c r="K479" s="3">
        <v>72</v>
      </c>
      <c r="L479" s="3" t="s">
        <v>4647</v>
      </c>
    </row>
    <row r="480" spans="1:12" ht="33.75" customHeight="1" x14ac:dyDescent="0.25">
      <c r="A480" s="13" t="s">
        <v>1209</v>
      </c>
      <c r="B480" s="2" t="s">
        <v>404</v>
      </c>
      <c r="C480" s="2" t="s">
        <v>1210</v>
      </c>
      <c r="D480" s="2" t="s">
        <v>4661</v>
      </c>
      <c r="E480" s="2" t="s">
        <v>4731</v>
      </c>
      <c r="F480" s="2" t="s">
        <v>406</v>
      </c>
      <c r="G480" s="2">
        <v>29.999199999999998</v>
      </c>
      <c r="H480" s="2" t="s">
        <v>4644</v>
      </c>
      <c r="I480" s="2" t="s">
        <v>4645</v>
      </c>
      <c r="J480" s="2" t="s">
        <v>4695</v>
      </c>
      <c r="K480" s="2">
        <v>63</v>
      </c>
      <c r="L480" s="2" t="s">
        <v>4647</v>
      </c>
    </row>
    <row r="481" spans="1:12" ht="33.75" customHeight="1" x14ac:dyDescent="0.25">
      <c r="A481" s="14" t="s">
        <v>1211</v>
      </c>
      <c r="B481" s="3" t="s">
        <v>404</v>
      </c>
      <c r="C481" s="3" t="s">
        <v>1212</v>
      </c>
      <c r="D481" s="3" t="s">
        <v>4658</v>
      </c>
      <c r="E481" s="3" t="s">
        <v>4731</v>
      </c>
      <c r="F481" s="3" t="s">
        <v>406</v>
      </c>
      <c r="G481" s="3">
        <v>29.999199999999998</v>
      </c>
      <c r="H481" s="3" t="s">
        <v>4644</v>
      </c>
      <c r="I481" s="3" t="s">
        <v>4645</v>
      </c>
      <c r="J481" s="3" t="s">
        <v>4695</v>
      </c>
      <c r="K481" s="3">
        <v>63</v>
      </c>
      <c r="L481" s="3" t="s">
        <v>4647</v>
      </c>
    </row>
    <row r="482" spans="1:12" ht="33.75" customHeight="1" x14ac:dyDescent="0.25">
      <c r="A482" s="13" t="s">
        <v>1213</v>
      </c>
      <c r="B482" s="2" t="s">
        <v>404</v>
      </c>
      <c r="C482" s="2" t="s">
        <v>1214</v>
      </c>
      <c r="D482" s="2"/>
      <c r="E482" s="2" t="s">
        <v>4731</v>
      </c>
      <c r="F482" s="2" t="s">
        <v>406</v>
      </c>
      <c r="G482" s="2">
        <v>29.999199999999998</v>
      </c>
      <c r="H482" s="2" t="s">
        <v>4644</v>
      </c>
      <c r="I482" s="2" t="s">
        <v>4645</v>
      </c>
      <c r="J482" s="2" t="s">
        <v>4695</v>
      </c>
      <c r="K482" s="2">
        <v>63</v>
      </c>
      <c r="L482" s="2" t="s">
        <v>4647</v>
      </c>
    </row>
    <row r="483" spans="1:12" ht="33.75" customHeight="1" x14ac:dyDescent="0.25">
      <c r="A483" s="14" t="s">
        <v>1215</v>
      </c>
      <c r="B483" s="3" t="s">
        <v>418</v>
      </c>
      <c r="C483" s="3" t="s">
        <v>1216</v>
      </c>
      <c r="D483" s="3" t="s">
        <v>4701</v>
      </c>
      <c r="E483" s="3" t="s">
        <v>4734</v>
      </c>
      <c r="F483" s="3" t="s">
        <v>420</v>
      </c>
      <c r="G483" s="3">
        <v>30.655200000000001</v>
      </c>
      <c r="H483" s="3" t="s">
        <v>4644</v>
      </c>
      <c r="I483" s="3" t="s">
        <v>4645</v>
      </c>
      <c r="J483" s="3" t="s">
        <v>4735</v>
      </c>
      <c r="K483" s="3">
        <v>72</v>
      </c>
      <c r="L483" s="3" t="s">
        <v>4647</v>
      </c>
    </row>
    <row r="484" spans="1:12" ht="33.75" customHeight="1" x14ac:dyDescent="0.25">
      <c r="A484" s="13" t="s">
        <v>1217</v>
      </c>
      <c r="B484" s="2" t="s">
        <v>418</v>
      </c>
      <c r="C484" s="2" t="s">
        <v>1218</v>
      </c>
      <c r="D484" s="2" t="s">
        <v>4701</v>
      </c>
      <c r="E484" s="2" t="s">
        <v>4734</v>
      </c>
      <c r="F484" s="2" t="s">
        <v>420</v>
      </c>
      <c r="G484" s="2">
        <v>30.655200000000001</v>
      </c>
      <c r="H484" s="2" t="s">
        <v>4644</v>
      </c>
      <c r="I484" s="2" t="s">
        <v>4645</v>
      </c>
      <c r="J484" s="2" t="s">
        <v>4735</v>
      </c>
      <c r="K484" s="2">
        <v>72</v>
      </c>
      <c r="L484" s="2" t="s">
        <v>4647</v>
      </c>
    </row>
    <row r="485" spans="1:12" ht="33.75" customHeight="1" x14ac:dyDescent="0.25">
      <c r="A485" s="14" t="s">
        <v>1219</v>
      </c>
      <c r="B485" s="3" t="s">
        <v>404</v>
      </c>
      <c r="C485" s="3" t="s">
        <v>1220</v>
      </c>
      <c r="D485" s="3"/>
      <c r="E485" s="3" t="s">
        <v>4731</v>
      </c>
      <c r="F485" s="3" t="s">
        <v>406</v>
      </c>
      <c r="G485" s="3">
        <v>29.999199999999998</v>
      </c>
      <c r="H485" s="3" t="s">
        <v>4644</v>
      </c>
      <c r="I485" s="3" t="s">
        <v>4645</v>
      </c>
      <c r="J485" s="3" t="s">
        <v>4695</v>
      </c>
      <c r="K485" s="3">
        <v>63</v>
      </c>
      <c r="L485" s="3" t="s">
        <v>4647</v>
      </c>
    </row>
    <row r="486" spans="1:12" ht="33.75" customHeight="1" x14ac:dyDescent="0.25">
      <c r="A486" s="13" t="s">
        <v>1221</v>
      </c>
      <c r="B486" s="2" t="s">
        <v>1222</v>
      </c>
      <c r="C486" s="2" t="s">
        <v>1223</v>
      </c>
      <c r="D486" s="2" t="s">
        <v>4702</v>
      </c>
      <c r="E486" s="2" t="s">
        <v>4815</v>
      </c>
      <c r="F486" s="2" t="s">
        <v>1224</v>
      </c>
      <c r="G486" s="2">
        <v>50.606000000000002</v>
      </c>
      <c r="H486" s="2" t="s">
        <v>4644</v>
      </c>
      <c r="I486" s="2" t="s">
        <v>4645</v>
      </c>
      <c r="J486" s="2" t="s">
        <v>4735</v>
      </c>
      <c r="K486" s="2">
        <v>88</v>
      </c>
      <c r="L486" s="2" t="s">
        <v>4647</v>
      </c>
    </row>
    <row r="487" spans="1:12" ht="33.75" customHeight="1" x14ac:dyDescent="0.25">
      <c r="A487" s="14" t="s">
        <v>1225</v>
      </c>
      <c r="B487" s="3" t="s">
        <v>1222</v>
      </c>
      <c r="C487" s="3" t="s">
        <v>1226</v>
      </c>
      <c r="D487" s="3" t="s">
        <v>4702</v>
      </c>
      <c r="E487" s="3" t="s">
        <v>4815</v>
      </c>
      <c r="F487" s="3" t="s">
        <v>1224</v>
      </c>
      <c r="G487" s="3">
        <v>50.606000000000002</v>
      </c>
      <c r="H487" s="3" t="s">
        <v>4644</v>
      </c>
      <c r="I487" s="3" t="s">
        <v>4645</v>
      </c>
      <c r="J487" s="3" t="s">
        <v>4735</v>
      </c>
      <c r="K487" s="3">
        <v>88</v>
      </c>
      <c r="L487" s="3" t="s">
        <v>4647</v>
      </c>
    </row>
    <row r="488" spans="1:12" ht="33.75" customHeight="1" x14ac:dyDescent="0.25">
      <c r="A488" s="13" t="s">
        <v>1227</v>
      </c>
      <c r="B488" s="2" t="s">
        <v>418</v>
      </c>
      <c r="C488" s="2" t="s">
        <v>1228</v>
      </c>
      <c r="D488" s="2"/>
      <c r="E488" s="2" t="s">
        <v>4734</v>
      </c>
      <c r="F488" s="2" t="s">
        <v>420</v>
      </c>
      <c r="G488" s="2">
        <v>30.655200000000001</v>
      </c>
      <c r="H488" s="2" t="s">
        <v>4644</v>
      </c>
      <c r="I488" s="2" t="s">
        <v>4645</v>
      </c>
      <c r="J488" s="2" t="s">
        <v>4735</v>
      </c>
      <c r="K488" s="2">
        <v>72</v>
      </c>
      <c r="L488" s="2" t="s">
        <v>4647</v>
      </c>
    </row>
    <row r="489" spans="1:12" ht="33.75" customHeight="1" x14ac:dyDescent="0.25">
      <c r="A489" s="14" t="s">
        <v>1229</v>
      </c>
      <c r="B489" s="3" t="s">
        <v>404</v>
      </c>
      <c r="C489" s="3" t="s">
        <v>1230</v>
      </c>
      <c r="D489" s="3"/>
      <c r="E489" s="3" t="s">
        <v>4731</v>
      </c>
      <c r="F489" s="3" t="s">
        <v>406</v>
      </c>
      <c r="G489" s="3">
        <v>29.999199999999998</v>
      </c>
      <c r="H489" s="3" t="s">
        <v>4644</v>
      </c>
      <c r="I489" s="3" t="s">
        <v>4645</v>
      </c>
      <c r="J489" s="3" t="s">
        <v>4695</v>
      </c>
      <c r="K489" s="3">
        <v>63</v>
      </c>
      <c r="L489" s="3" t="s">
        <v>4647</v>
      </c>
    </row>
    <row r="490" spans="1:12" ht="33.75" customHeight="1" x14ac:dyDescent="0.25">
      <c r="A490" s="13" t="s">
        <v>1231</v>
      </c>
      <c r="B490" s="2" t="s">
        <v>418</v>
      </c>
      <c r="C490" s="2" t="s">
        <v>1232</v>
      </c>
      <c r="D490" s="2" t="s">
        <v>4698</v>
      </c>
      <c r="E490" s="2" t="s">
        <v>4734</v>
      </c>
      <c r="F490" s="2" t="s">
        <v>420</v>
      </c>
      <c r="G490" s="2">
        <v>30.655200000000001</v>
      </c>
      <c r="H490" s="2" t="s">
        <v>4644</v>
      </c>
      <c r="I490" s="2" t="s">
        <v>4645</v>
      </c>
      <c r="J490" s="2" t="s">
        <v>4735</v>
      </c>
      <c r="K490" s="2">
        <v>72</v>
      </c>
      <c r="L490" s="2" t="s">
        <v>4647</v>
      </c>
    </row>
    <row r="491" spans="1:12" ht="33.75" customHeight="1" x14ac:dyDescent="0.25">
      <c r="A491" s="14" t="s">
        <v>1233</v>
      </c>
      <c r="B491" s="3" t="s">
        <v>404</v>
      </c>
      <c r="C491" s="3" t="s">
        <v>1234</v>
      </c>
      <c r="D491" s="3" t="s">
        <v>4814</v>
      </c>
      <c r="E491" s="3" t="s">
        <v>4731</v>
      </c>
      <c r="F491" s="3" t="s">
        <v>406</v>
      </c>
      <c r="G491" s="3">
        <v>29.999199999999998</v>
      </c>
      <c r="H491" s="3" t="s">
        <v>4644</v>
      </c>
      <c r="I491" s="3" t="s">
        <v>4645</v>
      </c>
      <c r="J491" s="3" t="s">
        <v>4695</v>
      </c>
      <c r="K491" s="3">
        <v>63</v>
      </c>
      <c r="L491" s="3" t="s">
        <v>4647</v>
      </c>
    </row>
    <row r="492" spans="1:12" ht="33.75" customHeight="1" x14ac:dyDescent="0.25">
      <c r="A492" s="13" t="s">
        <v>1235</v>
      </c>
      <c r="B492" s="2" t="s">
        <v>1236</v>
      </c>
      <c r="C492" s="2" t="s">
        <v>1237</v>
      </c>
      <c r="D492" s="2" t="s">
        <v>4705</v>
      </c>
      <c r="E492" s="2" t="s">
        <v>4816</v>
      </c>
      <c r="F492" s="2" t="s">
        <v>1238</v>
      </c>
      <c r="G492" s="2">
        <v>50.456000000000003</v>
      </c>
      <c r="H492" s="2" t="s">
        <v>4644</v>
      </c>
      <c r="I492" s="2" t="s">
        <v>4645</v>
      </c>
      <c r="J492" s="2" t="s">
        <v>4735</v>
      </c>
      <c r="K492" s="2">
        <v>88</v>
      </c>
      <c r="L492" s="2" t="s">
        <v>4647</v>
      </c>
    </row>
    <row r="493" spans="1:12" ht="33.75" customHeight="1" x14ac:dyDescent="0.25">
      <c r="A493" s="14" t="s">
        <v>1239</v>
      </c>
      <c r="B493" s="3" t="s">
        <v>1236</v>
      </c>
      <c r="C493" s="3" t="s">
        <v>1240</v>
      </c>
      <c r="D493" s="3" t="s">
        <v>4705</v>
      </c>
      <c r="E493" s="3" t="s">
        <v>4816</v>
      </c>
      <c r="F493" s="3" t="s">
        <v>1238</v>
      </c>
      <c r="G493" s="3">
        <v>50.456000000000003</v>
      </c>
      <c r="H493" s="3" t="s">
        <v>4644</v>
      </c>
      <c r="I493" s="3" t="s">
        <v>4645</v>
      </c>
      <c r="J493" s="3" t="s">
        <v>4735</v>
      </c>
      <c r="K493" s="3">
        <v>88</v>
      </c>
      <c r="L493" s="3" t="s">
        <v>4647</v>
      </c>
    </row>
    <row r="494" spans="1:12" ht="33.75" customHeight="1" x14ac:dyDescent="0.25">
      <c r="A494" s="13" t="s">
        <v>1241</v>
      </c>
      <c r="B494" s="2" t="s">
        <v>404</v>
      </c>
      <c r="C494" s="2" t="s">
        <v>1242</v>
      </c>
      <c r="D494" s="2"/>
      <c r="E494" s="2" t="s">
        <v>4731</v>
      </c>
      <c r="F494" s="2" t="s">
        <v>406</v>
      </c>
      <c r="G494" s="2">
        <v>29.999199999999998</v>
      </c>
      <c r="H494" s="2" t="s">
        <v>4644</v>
      </c>
      <c r="I494" s="2" t="s">
        <v>4645</v>
      </c>
      <c r="J494" s="2" t="s">
        <v>4695</v>
      </c>
      <c r="K494" s="2">
        <v>63</v>
      </c>
      <c r="L494" s="2" t="s">
        <v>4647</v>
      </c>
    </row>
    <row r="495" spans="1:12" ht="33.75" customHeight="1" x14ac:dyDescent="0.25">
      <c r="A495" s="14" t="s">
        <v>1243</v>
      </c>
      <c r="B495" s="3" t="s">
        <v>404</v>
      </c>
      <c r="C495" s="3" t="s">
        <v>1244</v>
      </c>
      <c r="D495" s="3" t="s">
        <v>4698</v>
      </c>
      <c r="E495" s="3" t="s">
        <v>4731</v>
      </c>
      <c r="F495" s="3" t="s">
        <v>406</v>
      </c>
      <c r="G495" s="3">
        <v>29.999199999999998</v>
      </c>
      <c r="H495" s="3" t="s">
        <v>4644</v>
      </c>
      <c r="I495" s="3" t="s">
        <v>4645</v>
      </c>
      <c r="J495" s="3" t="s">
        <v>4695</v>
      </c>
      <c r="K495" s="3">
        <v>63</v>
      </c>
      <c r="L495" s="3" t="s">
        <v>4647</v>
      </c>
    </row>
    <row r="496" spans="1:12" ht="33.75" customHeight="1" x14ac:dyDescent="0.25">
      <c r="A496" s="13" t="s">
        <v>1245</v>
      </c>
      <c r="B496" s="2" t="s">
        <v>404</v>
      </c>
      <c r="C496" s="2" t="s">
        <v>1246</v>
      </c>
      <c r="D496" s="2" t="s">
        <v>4701</v>
      </c>
      <c r="E496" s="2" t="s">
        <v>4731</v>
      </c>
      <c r="F496" s="2" t="s">
        <v>406</v>
      </c>
      <c r="G496" s="2">
        <v>29.999199999999998</v>
      </c>
      <c r="H496" s="2" t="s">
        <v>4644</v>
      </c>
      <c r="I496" s="2" t="s">
        <v>4645</v>
      </c>
      <c r="J496" s="2" t="s">
        <v>4695</v>
      </c>
      <c r="K496" s="2">
        <v>63</v>
      </c>
      <c r="L496" s="2" t="s">
        <v>4647</v>
      </c>
    </row>
    <row r="497" spans="1:12" ht="33.75" customHeight="1" x14ac:dyDescent="0.25">
      <c r="A497" s="14" t="s">
        <v>1247</v>
      </c>
      <c r="B497" s="3" t="s">
        <v>404</v>
      </c>
      <c r="C497" s="3" t="s">
        <v>1248</v>
      </c>
      <c r="D497" s="3" t="s">
        <v>4702</v>
      </c>
      <c r="E497" s="3" t="s">
        <v>4731</v>
      </c>
      <c r="F497" s="3" t="s">
        <v>406</v>
      </c>
      <c r="G497" s="3">
        <v>29.999199999999998</v>
      </c>
      <c r="H497" s="3" t="s">
        <v>4644</v>
      </c>
      <c r="I497" s="3" t="s">
        <v>4645</v>
      </c>
      <c r="J497" s="3" t="s">
        <v>4695</v>
      </c>
      <c r="K497" s="3">
        <v>63</v>
      </c>
      <c r="L497" s="3" t="s">
        <v>4647</v>
      </c>
    </row>
    <row r="498" spans="1:12" ht="33.75" customHeight="1" x14ac:dyDescent="0.25">
      <c r="A498" s="13" t="s">
        <v>1249</v>
      </c>
      <c r="B498" s="2" t="s">
        <v>418</v>
      </c>
      <c r="C498" s="2" t="s">
        <v>1250</v>
      </c>
      <c r="D498" s="2"/>
      <c r="E498" s="2" t="s">
        <v>4734</v>
      </c>
      <c r="F498" s="2" t="s">
        <v>420</v>
      </c>
      <c r="G498" s="2">
        <v>30.655200000000001</v>
      </c>
      <c r="H498" s="2" t="s">
        <v>4644</v>
      </c>
      <c r="I498" s="2" t="s">
        <v>4645</v>
      </c>
      <c r="J498" s="2" t="s">
        <v>4735</v>
      </c>
      <c r="K498" s="2">
        <v>72</v>
      </c>
      <c r="L498" s="2" t="s">
        <v>4647</v>
      </c>
    </row>
    <row r="499" spans="1:12" ht="33.75" customHeight="1" x14ac:dyDescent="0.25">
      <c r="A499" s="14" t="s">
        <v>1251</v>
      </c>
      <c r="B499" s="3" t="s">
        <v>418</v>
      </c>
      <c r="C499" s="3" t="s">
        <v>1252</v>
      </c>
      <c r="D499" s="3"/>
      <c r="E499" s="3" t="s">
        <v>4734</v>
      </c>
      <c r="F499" s="3" t="s">
        <v>420</v>
      </c>
      <c r="G499" s="3">
        <v>30.655200000000001</v>
      </c>
      <c r="H499" s="3" t="s">
        <v>4644</v>
      </c>
      <c r="I499" s="3" t="s">
        <v>4645</v>
      </c>
      <c r="J499" s="3" t="s">
        <v>4735</v>
      </c>
      <c r="K499" s="3">
        <v>72</v>
      </c>
      <c r="L499" s="3" t="s">
        <v>4647</v>
      </c>
    </row>
    <row r="500" spans="1:12" ht="33.75" customHeight="1" x14ac:dyDescent="0.25">
      <c r="A500" s="13" t="s">
        <v>1253</v>
      </c>
      <c r="B500" s="2" t="s">
        <v>404</v>
      </c>
      <c r="C500" s="2" t="s">
        <v>1254</v>
      </c>
      <c r="D500" s="2" t="s">
        <v>4701</v>
      </c>
      <c r="E500" s="2" t="s">
        <v>4731</v>
      </c>
      <c r="F500" s="2" t="s">
        <v>406</v>
      </c>
      <c r="G500" s="2">
        <v>29.999199999999998</v>
      </c>
      <c r="H500" s="2" t="s">
        <v>4644</v>
      </c>
      <c r="I500" s="2" t="s">
        <v>4645</v>
      </c>
      <c r="J500" s="2" t="s">
        <v>4695</v>
      </c>
      <c r="K500" s="2">
        <v>63</v>
      </c>
      <c r="L500" s="2" t="s">
        <v>4647</v>
      </c>
    </row>
    <row r="501" spans="1:12" ht="33.75" customHeight="1" x14ac:dyDescent="0.25">
      <c r="A501" s="14" t="s">
        <v>1255</v>
      </c>
      <c r="B501" s="3" t="s">
        <v>418</v>
      </c>
      <c r="C501" s="3" t="s">
        <v>1256</v>
      </c>
      <c r="D501" s="3"/>
      <c r="E501" s="3" t="s">
        <v>4734</v>
      </c>
      <c r="F501" s="3" t="s">
        <v>420</v>
      </c>
      <c r="G501" s="3">
        <v>30.655200000000001</v>
      </c>
      <c r="H501" s="3" t="s">
        <v>4644</v>
      </c>
      <c r="I501" s="3" t="s">
        <v>4645</v>
      </c>
      <c r="J501" s="3" t="s">
        <v>4735</v>
      </c>
      <c r="K501" s="3">
        <v>72</v>
      </c>
      <c r="L501" s="3" t="s">
        <v>4647</v>
      </c>
    </row>
    <row r="502" spans="1:12" ht="33.75" customHeight="1" x14ac:dyDescent="0.25">
      <c r="A502" s="13" t="s">
        <v>1257</v>
      </c>
      <c r="B502" s="2" t="s">
        <v>1258</v>
      </c>
      <c r="C502" s="2" t="s">
        <v>1259</v>
      </c>
      <c r="D502" s="2" t="s">
        <v>4705</v>
      </c>
      <c r="E502" s="2" t="s">
        <v>4817</v>
      </c>
      <c r="F502" s="2" t="s">
        <v>1260</v>
      </c>
      <c r="G502" s="2">
        <v>47.335999999999999</v>
      </c>
      <c r="H502" s="2" t="s">
        <v>4644</v>
      </c>
      <c r="I502" s="2" t="s">
        <v>4645</v>
      </c>
      <c r="J502" s="2" t="s">
        <v>4695</v>
      </c>
      <c r="K502" s="2">
        <v>72</v>
      </c>
      <c r="L502" s="2" t="s">
        <v>4647</v>
      </c>
    </row>
    <row r="503" spans="1:12" ht="33.75" customHeight="1" x14ac:dyDescent="0.25">
      <c r="A503" s="14" t="s">
        <v>1261</v>
      </c>
      <c r="B503" s="3" t="s">
        <v>418</v>
      </c>
      <c r="C503" s="3" t="s">
        <v>1262</v>
      </c>
      <c r="D503" s="3"/>
      <c r="E503" s="3" t="s">
        <v>4734</v>
      </c>
      <c r="F503" s="3" t="s">
        <v>420</v>
      </c>
      <c r="G503" s="3">
        <v>30.655200000000001</v>
      </c>
      <c r="H503" s="3" t="s">
        <v>4644</v>
      </c>
      <c r="I503" s="3" t="s">
        <v>4645</v>
      </c>
      <c r="J503" s="3" t="s">
        <v>4735</v>
      </c>
      <c r="K503" s="3">
        <v>72</v>
      </c>
      <c r="L503" s="3" t="s">
        <v>4647</v>
      </c>
    </row>
    <row r="504" spans="1:12" ht="33.75" customHeight="1" x14ac:dyDescent="0.25">
      <c r="A504" s="13" t="s">
        <v>1263</v>
      </c>
      <c r="B504" s="2" t="s">
        <v>1258</v>
      </c>
      <c r="C504" s="2" t="s">
        <v>1264</v>
      </c>
      <c r="D504" s="2" t="s">
        <v>4705</v>
      </c>
      <c r="E504" s="2" t="s">
        <v>4817</v>
      </c>
      <c r="F504" s="2" t="s">
        <v>1260</v>
      </c>
      <c r="G504" s="2">
        <v>47.335999999999999</v>
      </c>
      <c r="H504" s="2" t="s">
        <v>4644</v>
      </c>
      <c r="I504" s="2" t="s">
        <v>4645</v>
      </c>
      <c r="J504" s="2" t="s">
        <v>4695</v>
      </c>
      <c r="K504" s="2">
        <v>72</v>
      </c>
      <c r="L504" s="2" t="s">
        <v>4647</v>
      </c>
    </row>
    <row r="505" spans="1:12" ht="33.75" customHeight="1" x14ac:dyDescent="0.25">
      <c r="A505" s="14" t="s">
        <v>1265</v>
      </c>
      <c r="B505" s="3" t="s">
        <v>418</v>
      </c>
      <c r="C505" s="3" t="s">
        <v>1266</v>
      </c>
      <c r="D505" s="3"/>
      <c r="E505" s="3" t="s">
        <v>4734</v>
      </c>
      <c r="F505" s="3" t="s">
        <v>420</v>
      </c>
      <c r="G505" s="3">
        <v>30.655200000000001</v>
      </c>
      <c r="H505" s="3" t="s">
        <v>4644</v>
      </c>
      <c r="I505" s="3" t="s">
        <v>4645</v>
      </c>
      <c r="J505" s="3" t="s">
        <v>4735</v>
      </c>
      <c r="K505" s="3">
        <v>72</v>
      </c>
      <c r="L505" s="3" t="s">
        <v>4647</v>
      </c>
    </row>
    <row r="506" spans="1:12" ht="33.75" customHeight="1" x14ac:dyDescent="0.25">
      <c r="A506" s="13" t="s">
        <v>1267</v>
      </c>
      <c r="B506" s="2" t="s">
        <v>404</v>
      </c>
      <c r="C506" s="2" t="s">
        <v>1268</v>
      </c>
      <c r="D506" s="2"/>
      <c r="E506" s="2" t="s">
        <v>4731</v>
      </c>
      <c r="F506" s="2" t="s">
        <v>406</v>
      </c>
      <c r="G506" s="2">
        <v>29.999199999999998</v>
      </c>
      <c r="H506" s="2" t="s">
        <v>4644</v>
      </c>
      <c r="I506" s="2" t="s">
        <v>4645</v>
      </c>
      <c r="J506" s="2" t="s">
        <v>4695</v>
      </c>
      <c r="K506" s="2">
        <v>63</v>
      </c>
      <c r="L506" s="2" t="s">
        <v>4647</v>
      </c>
    </row>
    <row r="507" spans="1:12" ht="33.75" customHeight="1" x14ac:dyDescent="0.25">
      <c r="A507" s="14" t="s">
        <v>1269</v>
      </c>
      <c r="B507" s="3" t="s">
        <v>1189</v>
      </c>
      <c r="C507" s="3" t="s">
        <v>1270</v>
      </c>
      <c r="D507" s="3" t="s">
        <v>4658</v>
      </c>
      <c r="E507" s="3" t="s">
        <v>4813</v>
      </c>
      <c r="F507" s="3" t="s">
        <v>1191</v>
      </c>
      <c r="G507" s="3">
        <v>50.875999999999998</v>
      </c>
      <c r="H507" s="3" t="s">
        <v>4644</v>
      </c>
      <c r="I507" s="3" t="s">
        <v>4645</v>
      </c>
      <c r="J507" s="3" t="s">
        <v>4735</v>
      </c>
      <c r="K507" s="3">
        <v>88</v>
      </c>
      <c r="L507" s="3" t="s">
        <v>4647</v>
      </c>
    </row>
    <row r="508" spans="1:12" ht="33.75" customHeight="1" x14ac:dyDescent="0.25">
      <c r="A508" s="13" t="s">
        <v>1271</v>
      </c>
      <c r="B508" s="2" t="s">
        <v>404</v>
      </c>
      <c r="C508" s="2" t="s">
        <v>1272</v>
      </c>
      <c r="D508" s="2"/>
      <c r="E508" s="2" t="s">
        <v>4731</v>
      </c>
      <c r="F508" s="2" t="s">
        <v>406</v>
      </c>
      <c r="G508" s="2">
        <v>29.999199999999998</v>
      </c>
      <c r="H508" s="2" t="s">
        <v>4644</v>
      </c>
      <c r="I508" s="2" t="s">
        <v>4645</v>
      </c>
      <c r="J508" s="2" t="s">
        <v>4695</v>
      </c>
      <c r="K508" s="2">
        <v>63</v>
      </c>
      <c r="L508" s="2" t="s">
        <v>4647</v>
      </c>
    </row>
    <row r="509" spans="1:12" ht="33.75" customHeight="1" x14ac:dyDescent="0.25">
      <c r="A509" s="14" t="s">
        <v>1273</v>
      </c>
      <c r="B509" s="3" t="s">
        <v>404</v>
      </c>
      <c r="C509" s="3" t="s">
        <v>1274</v>
      </c>
      <c r="D509" s="3"/>
      <c r="E509" s="3" t="s">
        <v>4731</v>
      </c>
      <c r="F509" s="3" t="s">
        <v>406</v>
      </c>
      <c r="G509" s="3">
        <v>29.999199999999998</v>
      </c>
      <c r="H509" s="3" t="s">
        <v>4644</v>
      </c>
      <c r="I509" s="3" t="s">
        <v>4645</v>
      </c>
      <c r="J509" s="3" t="s">
        <v>4695</v>
      </c>
      <c r="K509" s="3">
        <v>63</v>
      </c>
      <c r="L509" s="3" t="s">
        <v>4647</v>
      </c>
    </row>
    <row r="510" spans="1:12" ht="33.75" customHeight="1" x14ac:dyDescent="0.25">
      <c r="A510" s="13" t="s">
        <v>1275</v>
      </c>
      <c r="B510" s="2" t="s">
        <v>386</v>
      </c>
      <c r="C510" s="2" t="s">
        <v>1276</v>
      </c>
      <c r="D510" s="2" t="s">
        <v>4701</v>
      </c>
      <c r="E510" s="2" t="s">
        <v>4727</v>
      </c>
      <c r="F510" s="2" t="s">
        <v>388</v>
      </c>
      <c r="G510" s="2">
        <v>33.783799999999999</v>
      </c>
      <c r="H510" s="2" t="s">
        <v>4644</v>
      </c>
      <c r="I510" s="2" t="s">
        <v>4645</v>
      </c>
      <c r="J510" s="2" t="s">
        <v>4721</v>
      </c>
      <c r="K510" s="2">
        <v>54</v>
      </c>
      <c r="L510" s="2" t="s">
        <v>4647</v>
      </c>
    </row>
    <row r="511" spans="1:12" ht="33.75" customHeight="1" x14ac:dyDescent="0.25">
      <c r="A511" s="14" t="s">
        <v>1277</v>
      </c>
      <c r="B511" s="3" t="s">
        <v>404</v>
      </c>
      <c r="C511" s="3" t="s">
        <v>1278</v>
      </c>
      <c r="D511" s="3" t="s">
        <v>4818</v>
      </c>
      <c r="E511" s="3" t="s">
        <v>4731</v>
      </c>
      <c r="F511" s="3" t="s">
        <v>406</v>
      </c>
      <c r="G511" s="3">
        <v>29.999199999999998</v>
      </c>
      <c r="H511" s="3" t="s">
        <v>4644</v>
      </c>
      <c r="I511" s="3" t="s">
        <v>4645</v>
      </c>
      <c r="J511" s="3" t="s">
        <v>4695</v>
      </c>
      <c r="K511" s="3">
        <v>63</v>
      </c>
      <c r="L511" s="3" t="s">
        <v>4647</v>
      </c>
    </row>
    <row r="512" spans="1:12" ht="33.75" customHeight="1" x14ac:dyDescent="0.25">
      <c r="A512" s="13" t="s">
        <v>1279</v>
      </c>
      <c r="B512" s="2" t="s">
        <v>418</v>
      </c>
      <c r="C512" s="2" t="s">
        <v>1280</v>
      </c>
      <c r="D512" s="2" t="s">
        <v>4818</v>
      </c>
      <c r="E512" s="2" t="s">
        <v>4734</v>
      </c>
      <c r="F512" s="2" t="s">
        <v>420</v>
      </c>
      <c r="G512" s="2">
        <v>30.655200000000001</v>
      </c>
      <c r="H512" s="2" t="s">
        <v>4644</v>
      </c>
      <c r="I512" s="2" t="s">
        <v>4645</v>
      </c>
      <c r="J512" s="2" t="s">
        <v>4735</v>
      </c>
      <c r="K512" s="2">
        <v>72</v>
      </c>
      <c r="L512" s="2" t="s">
        <v>4647</v>
      </c>
    </row>
    <row r="513" spans="1:12" ht="33.75" customHeight="1" x14ac:dyDescent="0.25">
      <c r="A513" s="14" t="s">
        <v>1281</v>
      </c>
      <c r="B513" s="3" t="s">
        <v>414</v>
      </c>
      <c r="C513" s="3" t="s">
        <v>1282</v>
      </c>
      <c r="D513" s="3" t="s">
        <v>4818</v>
      </c>
      <c r="E513" s="3" t="s">
        <v>4732</v>
      </c>
      <c r="F513" s="3" t="s">
        <v>416</v>
      </c>
      <c r="G513" s="3">
        <v>31.0092</v>
      </c>
      <c r="H513" s="3" t="s">
        <v>4644</v>
      </c>
      <c r="I513" s="3" t="s">
        <v>4645</v>
      </c>
      <c r="J513" s="3" t="s">
        <v>4733</v>
      </c>
      <c r="K513" s="3">
        <v>87</v>
      </c>
      <c r="L513" s="3" t="s">
        <v>4647</v>
      </c>
    </row>
    <row r="514" spans="1:12" ht="33.75" customHeight="1" x14ac:dyDescent="0.25">
      <c r="A514" s="13" t="s">
        <v>1283</v>
      </c>
      <c r="B514" s="2" t="s">
        <v>418</v>
      </c>
      <c r="C514" s="2" t="s">
        <v>1284</v>
      </c>
      <c r="D514" s="2" t="s">
        <v>4818</v>
      </c>
      <c r="E514" s="2" t="s">
        <v>4734</v>
      </c>
      <c r="F514" s="2" t="s">
        <v>420</v>
      </c>
      <c r="G514" s="2">
        <v>30.655200000000001</v>
      </c>
      <c r="H514" s="2" t="s">
        <v>4644</v>
      </c>
      <c r="I514" s="2" t="s">
        <v>4645</v>
      </c>
      <c r="J514" s="2" t="s">
        <v>4735</v>
      </c>
      <c r="K514" s="2">
        <v>72</v>
      </c>
      <c r="L514" s="2" t="s">
        <v>4647</v>
      </c>
    </row>
    <row r="515" spans="1:12" ht="33.75" customHeight="1" x14ac:dyDescent="0.25">
      <c r="A515" s="14" t="s">
        <v>1285</v>
      </c>
      <c r="B515" s="3" t="s">
        <v>404</v>
      </c>
      <c r="C515" s="3" t="s">
        <v>1286</v>
      </c>
      <c r="D515" s="3" t="s">
        <v>4818</v>
      </c>
      <c r="E515" s="3" t="s">
        <v>4731</v>
      </c>
      <c r="F515" s="3" t="s">
        <v>406</v>
      </c>
      <c r="G515" s="3">
        <v>29.999199999999998</v>
      </c>
      <c r="H515" s="3" t="s">
        <v>4644</v>
      </c>
      <c r="I515" s="3" t="s">
        <v>4645</v>
      </c>
      <c r="J515" s="3" t="s">
        <v>4695</v>
      </c>
      <c r="K515" s="3">
        <v>63</v>
      </c>
      <c r="L515" s="3" t="s">
        <v>4647</v>
      </c>
    </row>
    <row r="516" spans="1:12" ht="33.75" customHeight="1" x14ac:dyDescent="0.25">
      <c r="A516" s="13" t="s">
        <v>1287</v>
      </c>
      <c r="B516" s="2" t="s">
        <v>656</v>
      </c>
      <c r="C516" s="2" t="s">
        <v>1288</v>
      </c>
      <c r="D516" s="2" t="s">
        <v>4669</v>
      </c>
      <c r="E516" s="2" t="s">
        <v>4776</v>
      </c>
      <c r="F516" s="2" t="s">
        <v>658</v>
      </c>
      <c r="G516" s="2">
        <v>30.368400000000001</v>
      </c>
      <c r="H516" s="2" t="s">
        <v>4644</v>
      </c>
      <c r="I516" s="2" t="s">
        <v>4645</v>
      </c>
      <c r="J516" s="2" t="s">
        <v>4735</v>
      </c>
      <c r="K516" s="2">
        <v>72</v>
      </c>
      <c r="L516" s="2" t="s">
        <v>4647</v>
      </c>
    </row>
    <row r="517" spans="1:12" ht="33.75" customHeight="1" x14ac:dyDescent="0.25">
      <c r="A517" s="14" t="s">
        <v>1289</v>
      </c>
      <c r="B517" s="3" t="s">
        <v>656</v>
      </c>
      <c r="C517" s="3" t="s">
        <v>1290</v>
      </c>
      <c r="D517" s="3" t="s">
        <v>4669</v>
      </c>
      <c r="E517" s="3" t="s">
        <v>4776</v>
      </c>
      <c r="F517" s="3" t="s">
        <v>658</v>
      </c>
      <c r="G517" s="3">
        <v>30.368400000000001</v>
      </c>
      <c r="H517" s="3" t="s">
        <v>4644</v>
      </c>
      <c r="I517" s="3" t="s">
        <v>4645</v>
      </c>
      <c r="J517" s="3" t="s">
        <v>4735</v>
      </c>
      <c r="K517" s="3">
        <v>72</v>
      </c>
      <c r="L517" s="3" t="s">
        <v>4647</v>
      </c>
    </row>
    <row r="518" spans="1:12" ht="33.75" customHeight="1" x14ac:dyDescent="0.25">
      <c r="A518" s="13" t="s">
        <v>1291</v>
      </c>
      <c r="B518" s="2" t="s">
        <v>644</v>
      </c>
      <c r="C518" s="2" t="s">
        <v>1292</v>
      </c>
      <c r="D518" s="2" t="s">
        <v>4669</v>
      </c>
      <c r="E518" s="2" t="s">
        <v>4774</v>
      </c>
      <c r="F518" s="2" t="s">
        <v>646</v>
      </c>
      <c r="G518" s="2">
        <v>33.864400000000003</v>
      </c>
      <c r="H518" s="2" t="s">
        <v>4644</v>
      </c>
      <c r="I518" s="2" t="s">
        <v>4645</v>
      </c>
      <c r="J518" s="2" t="s">
        <v>4770</v>
      </c>
      <c r="K518" s="2">
        <v>63</v>
      </c>
      <c r="L518" s="2" t="s">
        <v>4647</v>
      </c>
    </row>
    <row r="519" spans="1:12" ht="33.75" customHeight="1" x14ac:dyDescent="0.25">
      <c r="A519" s="14" t="s">
        <v>1293</v>
      </c>
      <c r="B519" s="3" t="s">
        <v>1294</v>
      </c>
      <c r="C519" s="3" t="s">
        <v>1295</v>
      </c>
      <c r="D519" s="3" t="s">
        <v>4699</v>
      </c>
      <c r="E519" s="3" t="s">
        <v>4819</v>
      </c>
      <c r="F519" s="3" t="s">
        <v>1296</v>
      </c>
      <c r="G519" s="3">
        <v>27.925999999999998</v>
      </c>
      <c r="H519" s="3" t="s">
        <v>4644</v>
      </c>
      <c r="I519" s="3" t="s">
        <v>4645</v>
      </c>
      <c r="J519" s="3" t="s">
        <v>4735</v>
      </c>
      <c r="K519" s="3">
        <v>57</v>
      </c>
      <c r="L519" s="3" t="s">
        <v>4647</v>
      </c>
    </row>
    <row r="520" spans="1:12" ht="33.75" customHeight="1" x14ac:dyDescent="0.25">
      <c r="A520" s="13" t="s">
        <v>1297</v>
      </c>
      <c r="B520" s="2" t="s">
        <v>1294</v>
      </c>
      <c r="C520" s="2" t="s">
        <v>1298</v>
      </c>
      <c r="D520" s="2" t="s">
        <v>4699</v>
      </c>
      <c r="E520" s="2" t="s">
        <v>4819</v>
      </c>
      <c r="F520" s="2" t="s">
        <v>1296</v>
      </c>
      <c r="G520" s="2">
        <v>27.925999999999998</v>
      </c>
      <c r="H520" s="2" t="s">
        <v>4644</v>
      </c>
      <c r="I520" s="2" t="s">
        <v>4645</v>
      </c>
      <c r="J520" s="2" t="s">
        <v>4682</v>
      </c>
      <c r="K520" s="2">
        <v>57</v>
      </c>
      <c r="L520" s="2" t="s">
        <v>4647</v>
      </c>
    </row>
    <row r="521" spans="1:12" ht="33.75" customHeight="1" x14ac:dyDescent="0.25">
      <c r="A521" s="14" t="s">
        <v>1299</v>
      </c>
      <c r="B521" s="3" t="s">
        <v>826</v>
      </c>
      <c r="C521" s="3" t="s">
        <v>1300</v>
      </c>
      <c r="D521" s="3" t="s">
        <v>4699</v>
      </c>
      <c r="E521" s="3" t="s">
        <v>4796</v>
      </c>
      <c r="F521" s="3" t="s">
        <v>828</v>
      </c>
      <c r="G521" s="3">
        <v>28.366</v>
      </c>
      <c r="H521" s="3" t="s">
        <v>4644</v>
      </c>
      <c r="I521" s="3" t="s">
        <v>4645</v>
      </c>
      <c r="J521" s="3" t="s">
        <v>4710</v>
      </c>
      <c r="K521" s="3">
        <v>72</v>
      </c>
      <c r="L521" s="3" t="s">
        <v>4647</v>
      </c>
    </row>
    <row r="522" spans="1:12" ht="33.75" customHeight="1" x14ac:dyDescent="0.25">
      <c r="A522" s="13" t="s">
        <v>1301</v>
      </c>
      <c r="B522" s="2" t="s">
        <v>830</v>
      </c>
      <c r="C522" s="2" t="s">
        <v>1302</v>
      </c>
      <c r="D522" s="2" t="s">
        <v>4699</v>
      </c>
      <c r="E522" s="2" t="s">
        <v>4797</v>
      </c>
      <c r="F522" s="2" t="s">
        <v>832</v>
      </c>
      <c r="G522" s="2">
        <v>27.925999999999998</v>
      </c>
      <c r="H522" s="2" t="s">
        <v>4644</v>
      </c>
      <c r="I522" s="2" t="s">
        <v>4645</v>
      </c>
      <c r="J522" s="2" t="s">
        <v>4693</v>
      </c>
      <c r="K522" s="2">
        <v>42</v>
      </c>
      <c r="L522" s="2" t="s">
        <v>4647</v>
      </c>
    </row>
    <row r="523" spans="1:12" ht="33.75" customHeight="1" x14ac:dyDescent="0.25">
      <c r="A523" s="14" t="s">
        <v>1303</v>
      </c>
      <c r="B523" s="3" t="s">
        <v>878</v>
      </c>
      <c r="C523" s="3" t="s">
        <v>1304</v>
      </c>
      <c r="D523" s="3" t="s">
        <v>4699</v>
      </c>
      <c r="E523" s="3" t="s">
        <v>4802</v>
      </c>
      <c r="F523" s="3" t="s">
        <v>880</v>
      </c>
      <c r="G523" s="3">
        <v>27.925999999999998</v>
      </c>
      <c r="H523" s="3" t="s">
        <v>4644</v>
      </c>
      <c r="I523" s="3" t="s">
        <v>4645</v>
      </c>
      <c r="J523" s="3" t="s">
        <v>4684</v>
      </c>
      <c r="K523" s="3">
        <v>51</v>
      </c>
      <c r="L523" s="3" t="s">
        <v>4647</v>
      </c>
    </row>
    <row r="524" spans="1:12" ht="33.75" customHeight="1" x14ac:dyDescent="0.25">
      <c r="A524" s="13" t="s">
        <v>1305</v>
      </c>
      <c r="B524" s="2" t="s">
        <v>878</v>
      </c>
      <c r="C524" s="2" t="s">
        <v>1306</v>
      </c>
      <c r="D524" s="2" t="s">
        <v>4699</v>
      </c>
      <c r="E524" s="2" t="s">
        <v>4802</v>
      </c>
      <c r="F524" s="2" t="s">
        <v>880</v>
      </c>
      <c r="G524" s="2">
        <v>27.925999999999998</v>
      </c>
      <c r="H524" s="2" t="s">
        <v>4644</v>
      </c>
      <c r="I524" s="2" t="s">
        <v>4645</v>
      </c>
      <c r="J524" s="2" t="s">
        <v>4684</v>
      </c>
      <c r="K524" s="2">
        <v>51</v>
      </c>
      <c r="L524" s="2" t="s">
        <v>4647</v>
      </c>
    </row>
    <row r="525" spans="1:12" ht="33.75" customHeight="1" x14ac:dyDescent="0.25">
      <c r="A525" s="14" t="s">
        <v>1307</v>
      </c>
      <c r="B525" s="3" t="s">
        <v>878</v>
      </c>
      <c r="C525" s="3" t="s">
        <v>1308</v>
      </c>
      <c r="D525" s="3" t="s">
        <v>4699</v>
      </c>
      <c r="E525" s="3" t="s">
        <v>4802</v>
      </c>
      <c r="F525" s="3" t="s">
        <v>880</v>
      </c>
      <c r="G525" s="3">
        <v>27.925999999999998</v>
      </c>
      <c r="H525" s="3" t="s">
        <v>4644</v>
      </c>
      <c r="I525" s="3" t="s">
        <v>4645</v>
      </c>
      <c r="J525" s="3" t="s">
        <v>4695</v>
      </c>
      <c r="K525" s="3">
        <v>51</v>
      </c>
      <c r="L525" s="3" t="s">
        <v>4647</v>
      </c>
    </row>
    <row r="526" spans="1:12" ht="33.75" customHeight="1" x14ac:dyDescent="0.25">
      <c r="A526" s="13" t="s">
        <v>1309</v>
      </c>
      <c r="B526" s="2" t="s">
        <v>878</v>
      </c>
      <c r="C526" s="2" t="s">
        <v>1310</v>
      </c>
      <c r="D526" s="2" t="s">
        <v>4699</v>
      </c>
      <c r="E526" s="2" t="s">
        <v>4802</v>
      </c>
      <c r="F526" s="2" t="s">
        <v>880</v>
      </c>
      <c r="G526" s="2">
        <v>27.925999999999998</v>
      </c>
      <c r="H526" s="2" t="s">
        <v>4644</v>
      </c>
      <c r="I526" s="2" t="s">
        <v>4645</v>
      </c>
      <c r="J526" s="2" t="s">
        <v>4695</v>
      </c>
      <c r="K526" s="2">
        <v>51</v>
      </c>
      <c r="L526" s="2" t="s">
        <v>4647</v>
      </c>
    </row>
    <row r="527" spans="1:12" ht="33.75" customHeight="1" x14ac:dyDescent="0.25">
      <c r="A527" s="14" t="s">
        <v>1311</v>
      </c>
      <c r="B527" s="3" t="s">
        <v>1294</v>
      </c>
      <c r="C527" s="3" t="s">
        <v>1312</v>
      </c>
      <c r="D527" s="3" t="s">
        <v>4699</v>
      </c>
      <c r="E527" s="3" t="s">
        <v>4819</v>
      </c>
      <c r="F527" s="3" t="s">
        <v>1296</v>
      </c>
      <c r="G527" s="3">
        <v>27.925999999999998</v>
      </c>
      <c r="H527" s="3" t="s">
        <v>4644</v>
      </c>
      <c r="I527" s="3" t="s">
        <v>4645</v>
      </c>
      <c r="J527" s="3" t="s">
        <v>4735</v>
      </c>
      <c r="K527" s="3">
        <v>57</v>
      </c>
      <c r="L527" s="3" t="s">
        <v>4647</v>
      </c>
    </row>
    <row r="528" spans="1:12" ht="33.75" customHeight="1" x14ac:dyDescent="0.25">
      <c r="A528" s="13" t="s">
        <v>1313</v>
      </c>
      <c r="B528" s="2" t="s">
        <v>1294</v>
      </c>
      <c r="C528" s="2" t="s">
        <v>1314</v>
      </c>
      <c r="D528" s="2" t="s">
        <v>4699</v>
      </c>
      <c r="E528" s="2" t="s">
        <v>4819</v>
      </c>
      <c r="F528" s="2" t="s">
        <v>1296</v>
      </c>
      <c r="G528" s="2">
        <v>27.925999999999998</v>
      </c>
      <c r="H528" s="2" t="s">
        <v>4644</v>
      </c>
      <c r="I528" s="2" t="s">
        <v>4645</v>
      </c>
      <c r="J528" s="2" t="s">
        <v>4735</v>
      </c>
      <c r="K528" s="2">
        <v>57</v>
      </c>
      <c r="L528" s="2" t="s">
        <v>4647</v>
      </c>
    </row>
    <row r="529" spans="1:12" ht="33.75" customHeight="1" x14ac:dyDescent="0.25">
      <c r="A529" s="14" t="s">
        <v>1315</v>
      </c>
      <c r="B529" s="3" t="s">
        <v>1294</v>
      </c>
      <c r="C529" s="3" t="s">
        <v>1298</v>
      </c>
      <c r="D529" s="3" t="s">
        <v>4699</v>
      </c>
      <c r="E529" s="3" t="s">
        <v>4819</v>
      </c>
      <c r="F529" s="3" t="s">
        <v>1296</v>
      </c>
      <c r="G529" s="3">
        <v>27.925999999999998</v>
      </c>
      <c r="H529" s="3" t="s">
        <v>4644</v>
      </c>
      <c r="I529" s="3" t="s">
        <v>4645</v>
      </c>
      <c r="J529" s="3" t="s">
        <v>4682</v>
      </c>
      <c r="K529" s="3">
        <v>57</v>
      </c>
      <c r="L529" s="3" t="s">
        <v>4647</v>
      </c>
    </row>
    <row r="530" spans="1:12" ht="33.75" customHeight="1" x14ac:dyDescent="0.25">
      <c r="A530" s="13" t="s">
        <v>1316</v>
      </c>
      <c r="B530" s="2" t="s">
        <v>878</v>
      </c>
      <c r="C530" s="2" t="s">
        <v>1304</v>
      </c>
      <c r="D530" s="2" t="s">
        <v>4699</v>
      </c>
      <c r="E530" s="2" t="s">
        <v>4802</v>
      </c>
      <c r="F530" s="2" t="s">
        <v>880</v>
      </c>
      <c r="G530" s="2">
        <v>27.925999999999998</v>
      </c>
      <c r="H530" s="2" t="s">
        <v>4644</v>
      </c>
      <c r="I530" s="2" t="s">
        <v>4645</v>
      </c>
      <c r="J530" s="2" t="s">
        <v>4684</v>
      </c>
      <c r="K530" s="2">
        <v>51</v>
      </c>
      <c r="L530" s="2" t="s">
        <v>4647</v>
      </c>
    </row>
    <row r="531" spans="1:12" ht="33.75" customHeight="1" x14ac:dyDescent="0.25">
      <c r="A531" s="14" t="s">
        <v>1317</v>
      </c>
      <c r="B531" s="3" t="s">
        <v>878</v>
      </c>
      <c r="C531" s="3" t="s">
        <v>1306</v>
      </c>
      <c r="D531" s="3" t="s">
        <v>4699</v>
      </c>
      <c r="E531" s="3" t="s">
        <v>4802</v>
      </c>
      <c r="F531" s="3" t="s">
        <v>880</v>
      </c>
      <c r="G531" s="3">
        <v>27.925999999999998</v>
      </c>
      <c r="H531" s="3" t="s">
        <v>4644</v>
      </c>
      <c r="I531" s="3" t="s">
        <v>4645</v>
      </c>
      <c r="J531" s="3" t="s">
        <v>4684</v>
      </c>
      <c r="K531" s="3">
        <v>51</v>
      </c>
      <c r="L531" s="3" t="s">
        <v>4647</v>
      </c>
    </row>
    <row r="532" spans="1:12" ht="33.75" customHeight="1" x14ac:dyDescent="0.25">
      <c r="A532" s="13" t="s">
        <v>1318</v>
      </c>
      <c r="B532" s="2" t="s">
        <v>826</v>
      </c>
      <c r="C532" s="2" t="s">
        <v>1300</v>
      </c>
      <c r="D532" s="2" t="s">
        <v>4699</v>
      </c>
      <c r="E532" s="2" t="s">
        <v>4796</v>
      </c>
      <c r="F532" s="2" t="s">
        <v>828</v>
      </c>
      <c r="G532" s="2">
        <v>28.366</v>
      </c>
      <c r="H532" s="2" t="s">
        <v>4644</v>
      </c>
      <c r="I532" s="2" t="s">
        <v>4645</v>
      </c>
      <c r="J532" s="2" t="s">
        <v>4710</v>
      </c>
      <c r="K532" s="2">
        <v>72</v>
      </c>
      <c r="L532" s="2" t="s">
        <v>4647</v>
      </c>
    </row>
    <row r="533" spans="1:12" ht="33.75" customHeight="1" x14ac:dyDescent="0.25">
      <c r="A533" s="14" t="s">
        <v>1319</v>
      </c>
      <c r="B533" s="3" t="s">
        <v>830</v>
      </c>
      <c r="C533" s="3" t="s">
        <v>1302</v>
      </c>
      <c r="D533" s="3" t="s">
        <v>4699</v>
      </c>
      <c r="E533" s="3" t="s">
        <v>4797</v>
      </c>
      <c r="F533" s="3" t="s">
        <v>832</v>
      </c>
      <c r="G533" s="3">
        <v>27.925999999999998</v>
      </c>
      <c r="H533" s="3" t="s">
        <v>4644</v>
      </c>
      <c r="I533" s="3" t="s">
        <v>4645</v>
      </c>
      <c r="J533" s="3" t="s">
        <v>4693</v>
      </c>
      <c r="K533" s="3">
        <v>42</v>
      </c>
      <c r="L533" s="3" t="s">
        <v>4647</v>
      </c>
    </row>
    <row r="534" spans="1:12" ht="33.75" customHeight="1" x14ac:dyDescent="0.25">
      <c r="A534" s="13" t="s">
        <v>1320</v>
      </c>
      <c r="B534" s="2" t="s">
        <v>830</v>
      </c>
      <c r="C534" s="2" t="s">
        <v>1321</v>
      </c>
      <c r="D534" s="2" t="s">
        <v>4741</v>
      </c>
      <c r="E534" s="2" t="s">
        <v>4797</v>
      </c>
      <c r="F534" s="2" t="s">
        <v>832</v>
      </c>
      <c r="G534" s="2">
        <v>27.925999999999998</v>
      </c>
      <c r="H534" s="2" t="s">
        <v>4644</v>
      </c>
      <c r="I534" s="2" t="s">
        <v>4645</v>
      </c>
      <c r="J534" s="2" t="s">
        <v>4693</v>
      </c>
      <c r="K534" s="2">
        <v>42</v>
      </c>
      <c r="L534" s="2" t="s">
        <v>4647</v>
      </c>
    </row>
    <row r="535" spans="1:12" ht="33.75" customHeight="1" x14ac:dyDescent="0.25">
      <c r="A535" s="14" t="s">
        <v>1322</v>
      </c>
      <c r="B535" s="3" t="s">
        <v>878</v>
      </c>
      <c r="C535" s="3" t="s">
        <v>1323</v>
      </c>
      <c r="D535" s="3" t="s">
        <v>4741</v>
      </c>
      <c r="E535" s="3" t="s">
        <v>4802</v>
      </c>
      <c r="F535" s="3" t="s">
        <v>880</v>
      </c>
      <c r="G535" s="3">
        <v>27.925999999999998</v>
      </c>
      <c r="H535" s="3" t="s">
        <v>4644</v>
      </c>
      <c r="I535" s="3" t="s">
        <v>4645</v>
      </c>
      <c r="J535" s="3" t="s">
        <v>4684</v>
      </c>
      <c r="K535" s="3">
        <v>51</v>
      </c>
      <c r="L535" s="3" t="s">
        <v>4647</v>
      </c>
    </row>
    <row r="536" spans="1:12" ht="33.75" customHeight="1" x14ac:dyDescent="0.25">
      <c r="A536" s="13" t="s">
        <v>1324</v>
      </c>
      <c r="B536" s="2" t="s">
        <v>830</v>
      </c>
      <c r="C536" s="2" t="s">
        <v>1325</v>
      </c>
      <c r="D536" s="2" t="s">
        <v>4741</v>
      </c>
      <c r="E536" s="2" t="s">
        <v>4797</v>
      </c>
      <c r="F536" s="2" t="s">
        <v>832</v>
      </c>
      <c r="G536" s="2">
        <v>27.925999999999998</v>
      </c>
      <c r="H536" s="2" t="s">
        <v>4644</v>
      </c>
      <c r="I536" s="2" t="s">
        <v>4645</v>
      </c>
      <c r="J536" s="2" t="s">
        <v>4693</v>
      </c>
      <c r="K536" s="2">
        <v>42</v>
      </c>
      <c r="L536" s="2" t="s">
        <v>4647</v>
      </c>
    </row>
    <row r="537" spans="1:12" ht="33.75" customHeight="1" x14ac:dyDescent="0.25">
      <c r="A537" s="14" t="s">
        <v>1326</v>
      </c>
      <c r="B537" s="3" t="s">
        <v>826</v>
      </c>
      <c r="C537" s="3" t="s">
        <v>1327</v>
      </c>
      <c r="D537" s="3" t="s">
        <v>4741</v>
      </c>
      <c r="E537" s="3" t="s">
        <v>4796</v>
      </c>
      <c r="F537" s="3" t="s">
        <v>828</v>
      </c>
      <c r="G537" s="3">
        <v>28.366</v>
      </c>
      <c r="H537" s="3" t="s">
        <v>4644</v>
      </c>
      <c r="I537" s="3" t="s">
        <v>4645</v>
      </c>
      <c r="J537" s="3" t="s">
        <v>4733</v>
      </c>
      <c r="K537" s="3">
        <v>72</v>
      </c>
      <c r="L537" s="3" t="s">
        <v>4647</v>
      </c>
    </row>
    <row r="538" spans="1:12" ht="33.75" customHeight="1" x14ac:dyDescent="0.25">
      <c r="A538" s="13" t="s">
        <v>1328</v>
      </c>
      <c r="B538" s="2" t="s">
        <v>1329</v>
      </c>
      <c r="C538" s="2" t="s">
        <v>1330</v>
      </c>
      <c r="D538" s="2" t="s">
        <v>4737</v>
      </c>
      <c r="E538" s="2" t="s">
        <v>4820</v>
      </c>
      <c r="F538" s="2" t="s">
        <v>1331</v>
      </c>
      <c r="G538" s="2">
        <v>28.417000000000002</v>
      </c>
      <c r="H538" s="2" t="s">
        <v>4644</v>
      </c>
      <c r="I538" s="2" t="s">
        <v>4645</v>
      </c>
      <c r="J538" s="2" t="s">
        <v>4691</v>
      </c>
      <c r="K538" s="2">
        <v>42</v>
      </c>
      <c r="L538" s="2" t="s">
        <v>4647</v>
      </c>
    </row>
    <row r="539" spans="1:12" ht="33.75" customHeight="1" x14ac:dyDescent="0.25">
      <c r="A539" s="14" t="s">
        <v>1332</v>
      </c>
      <c r="B539" s="3" t="s">
        <v>418</v>
      </c>
      <c r="C539" s="3" t="s">
        <v>1333</v>
      </c>
      <c r="D539" s="3"/>
      <c r="E539" s="3" t="s">
        <v>4734</v>
      </c>
      <c r="F539" s="3" t="s">
        <v>420</v>
      </c>
      <c r="G539" s="3">
        <v>30.655200000000001</v>
      </c>
      <c r="H539" s="3" t="s">
        <v>4644</v>
      </c>
      <c r="I539" s="3" t="s">
        <v>4645</v>
      </c>
      <c r="J539" s="3" t="s">
        <v>4682</v>
      </c>
      <c r="K539" s="3">
        <v>72</v>
      </c>
      <c r="L539" s="3" t="s">
        <v>4647</v>
      </c>
    </row>
    <row r="540" spans="1:12" ht="33.75" customHeight="1" x14ac:dyDescent="0.25">
      <c r="A540" s="13" t="s">
        <v>1334</v>
      </c>
      <c r="B540" s="2" t="s">
        <v>588</v>
      </c>
      <c r="C540" s="2" t="s">
        <v>1335</v>
      </c>
      <c r="D540" s="2"/>
      <c r="E540" s="2" t="s">
        <v>4761</v>
      </c>
      <c r="F540" s="2" t="s">
        <v>590</v>
      </c>
      <c r="G540" s="2">
        <v>29.869199999999999</v>
      </c>
      <c r="H540" s="2" t="s">
        <v>4644</v>
      </c>
      <c r="I540" s="2" t="s">
        <v>4645</v>
      </c>
      <c r="J540" s="2" t="s">
        <v>4684</v>
      </c>
      <c r="K540" s="2">
        <v>63</v>
      </c>
      <c r="L540" s="2" t="s">
        <v>4647</v>
      </c>
    </row>
    <row r="541" spans="1:12" ht="33.75" customHeight="1" x14ac:dyDescent="0.25">
      <c r="A541" s="14" t="s">
        <v>1336</v>
      </c>
      <c r="B541" s="3" t="s">
        <v>1151</v>
      </c>
      <c r="C541" s="3" t="s">
        <v>1152</v>
      </c>
      <c r="D541" s="3"/>
      <c r="E541" s="3" t="s">
        <v>4812</v>
      </c>
      <c r="F541" s="3" t="s">
        <v>1153</v>
      </c>
      <c r="G541" s="3">
        <v>30.6372</v>
      </c>
      <c r="H541" s="3" t="s">
        <v>4644</v>
      </c>
      <c r="I541" s="3" t="s">
        <v>4645</v>
      </c>
      <c r="J541" s="3" t="s">
        <v>4723</v>
      </c>
      <c r="K541" s="3">
        <v>72</v>
      </c>
      <c r="L541" s="3" t="s">
        <v>4647</v>
      </c>
    </row>
    <row r="542" spans="1:12" ht="33.75" customHeight="1" x14ac:dyDescent="0.25">
      <c r="A542" s="13" t="s">
        <v>1337</v>
      </c>
      <c r="B542" s="2" t="s">
        <v>588</v>
      </c>
      <c r="C542" s="2" t="s">
        <v>1338</v>
      </c>
      <c r="D542" s="2"/>
      <c r="E542" s="2" t="s">
        <v>4761</v>
      </c>
      <c r="F542" s="2" t="s">
        <v>590</v>
      </c>
      <c r="G542" s="2">
        <v>29.869199999999999</v>
      </c>
      <c r="H542" s="2" t="s">
        <v>4644</v>
      </c>
      <c r="I542" s="2" t="s">
        <v>4645</v>
      </c>
      <c r="J542" s="2" t="s">
        <v>4684</v>
      </c>
      <c r="K542" s="2">
        <v>63</v>
      </c>
      <c r="L542" s="2" t="s">
        <v>4647</v>
      </c>
    </row>
    <row r="543" spans="1:12" ht="33.75" customHeight="1" x14ac:dyDescent="0.25">
      <c r="A543" s="14" t="s">
        <v>1339</v>
      </c>
      <c r="B543" s="3" t="s">
        <v>404</v>
      </c>
      <c r="C543" s="3" t="s">
        <v>1340</v>
      </c>
      <c r="D543" s="3" t="s">
        <v>4661</v>
      </c>
      <c r="E543" s="3" t="s">
        <v>4731</v>
      </c>
      <c r="F543" s="3" t="s">
        <v>406</v>
      </c>
      <c r="G543" s="3">
        <v>29.999199999999998</v>
      </c>
      <c r="H543" s="3" t="s">
        <v>4644</v>
      </c>
      <c r="I543" s="3" t="s">
        <v>4645</v>
      </c>
      <c r="J543" s="3" t="s">
        <v>4695</v>
      </c>
      <c r="K543" s="3">
        <v>63</v>
      </c>
      <c r="L543" s="3" t="s">
        <v>4647</v>
      </c>
    </row>
    <row r="544" spans="1:12" ht="33.75" customHeight="1" x14ac:dyDescent="0.25">
      <c r="A544" s="13" t="s">
        <v>1341</v>
      </c>
      <c r="B544" s="2" t="s">
        <v>1008</v>
      </c>
      <c r="C544" s="2" t="s">
        <v>1342</v>
      </c>
      <c r="D544" s="2"/>
      <c r="E544" s="2" t="s">
        <v>4807</v>
      </c>
      <c r="F544" s="2" t="s">
        <v>1010</v>
      </c>
      <c r="G544" s="2">
        <v>30.4892</v>
      </c>
      <c r="H544" s="2" t="s">
        <v>4644</v>
      </c>
      <c r="I544" s="2" t="s">
        <v>4645</v>
      </c>
      <c r="J544" s="2" t="s">
        <v>4710</v>
      </c>
      <c r="K544" s="2">
        <v>87</v>
      </c>
      <c r="L544" s="2" t="s">
        <v>4647</v>
      </c>
    </row>
    <row r="545" spans="1:12" ht="33.75" customHeight="1" x14ac:dyDescent="0.25">
      <c r="A545" s="14" t="s">
        <v>1343</v>
      </c>
      <c r="B545" s="3" t="s">
        <v>418</v>
      </c>
      <c r="C545" s="3" t="s">
        <v>1344</v>
      </c>
      <c r="D545" s="3" t="s">
        <v>4821</v>
      </c>
      <c r="E545" s="3" t="s">
        <v>4734</v>
      </c>
      <c r="F545" s="3" t="s">
        <v>420</v>
      </c>
      <c r="G545" s="3">
        <v>30.655200000000001</v>
      </c>
      <c r="H545" s="3" t="s">
        <v>4644</v>
      </c>
      <c r="I545" s="3" t="s">
        <v>4645</v>
      </c>
      <c r="J545" s="3" t="s">
        <v>4735</v>
      </c>
      <c r="K545" s="3">
        <v>72</v>
      </c>
      <c r="L545" s="3" t="s">
        <v>4647</v>
      </c>
    </row>
    <row r="546" spans="1:12" ht="33.75" customHeight="1" x14ac:dyDescent="0.25">
      <c r="A546" s="13" t="s">
        <v>1345</v>
      </c>
      <c r="B546" s="2" t="s">
        <v>990</v>
      </c>
      <c r="C546" s="2" t="s">
        <v>1346</v>
      </c>
      <c r="D546" s="2" t="s">
        <v>4661</v>
      </c>
      <c r="E546" s="2" t="s">
        <v>4806</v>
      </c>
      <c r="F546" s="2" t="s">
        <v>992</v>
      </c>
      <c r="G546" s="2">
        <v>29.755199999999999</v>
      </c>
      <c r="H546" s="2" t="s">
        <v>4644</v>
      </c>
      <c r="I546" s="2" t="s">
        <v>4645</v>
      </c>
      <c r="J546" s="2" t="s">
        <v>4723</v>
      </c>
      <c r="K546" s="2">
        <v>54</v>
      </c>
      <c r="L546" s="2" t="s">
        <v>4647</v>
      </c>
    </row>
    <row r="547" spans="1:12" ht="33.75" customHeight="1" x14ac:dyDescent="0.25">
      <c r="A547" s="14" t="s">
        <v>1347</v>
      </c>
      <c r="B547" s="3" t="s">
        <v>382</v>
      </c>
      <c r="C547" s="3" t="s">
        <v>1348</v>
      </c>
      <c r="D547" s="3"/>
      <c r="E547" s="3" t="s">
        <v>4725</v>
      </c>
      <c r="F547" s="3" t="s">
        <v>384</v>
      </c>
      <c r="G547" s="3">
        <v>35.3172</v>
      </c>
      <c r="H547" s="3" t="s">
        <v>4644</v>
      </c>
      <c r="I547" s="3" t="s">
        <v>4645</v>
      </c>
      <c r="J547" s="3" t="s">
        <v>4726</v>
      </c>
      <c r="K547" s="3">
        <v>96</v>
      </c>
      <c r="L547" s="3" t="s">
        <v>4647</v>
      </c>
    </row>
    <row r="548" spans="1:12" ht="33.75" customHeight="1" x14ac:dyDescent="0.25">
      <c r="A548" s="13" t="s">
        <v>1349</v>
      </c>
      <c r="B548" s="2" t="s">
        <v>794</v>
      </c>
      <c r="C548" s="2" t="s">
        <v>1350</v>
      </c>
      <c r="D548" s="2"/>
      <c r="E548" s="2" t="s">
        <v>4791</v>
      </c>
      <c r="F548" s="2" t="s">
        <v>796</v>
      </c>
      <c r="G548" s="2">
        <v>34.151200000000003</v>
      </c>
      <c r="H548" s="2" t="s">
        <v>4644</v>
      </c>
      <c r="I548" s="2" t="s">
        <v>4645</v>
      </c>
      <c r="J548" s="2" t="s">
        <v>4770</v>
      </c>
      <c r="K548" s="2">
        <v>63</v>
      </c>
      <c r="L548" s="2" t="s">
        <v>4647</v>
      </c>
    </row>
    <row r="549" spans="1:12" ht="33.75" customHeight="1" x14ac:dyDescent="0.25">
      <c r="A549" s="14" t="s">
        <v>1351</v>
      </c>
      <c r="B549" s="3" t="s">
        <v>794</v>
      </c>
      <c r="C549" s="3" t="s">
        <v>1352</v>
      </c>
      <c r="D549" s="3" t="s">
        <v>4702</v>
      </c>
      <c r="E549" s="3" t="s">
        <v>4791</v>
      </c>
      <c r="F549" s="3" t="s">
        <v>796</v>
      </c>
      <c r="G549" s="3">
        <v>34.151200000000003</v>
      </c>
      <c r="H549" s="3" t="s">
        <v>4644</v>
      </c>
      <c r="I549" s="3" t="s">
        <v>4645</v>
      </c>
      <c r="J549" s="3" t="s">
        <v>4770</v>
      </c>
      <c r="K549" s="3">
        <v>63</v>
      </c>
      <c r="L549" s="3" t="s">
        <v>4647</v>
      </c>
    </row>
    <row r="550" spans="1:12" ht="33.75" customHeight="1" x14ac:dyDescent="0.25">
      <c r="A550" s="13" t="s">
        <v>1353</v>
      </c>
      <c r="B550" s="2" t="s">
        <v>1354</v>
      </c>
      <c r="C550" s="2" t="s">
        <v>1355</v>
      </c>
      <c r="D550" s="2" t="s">
        <v>4705</v>
      </c>
      <c r="E550" s="2" t="s">
        <v>4822</v>
      </c>
      <c r="F550" s="2" t="s">
        <v>1356</v>
      </c>
      <c r="G550" s="2">
        <v>50.954000000000001</v>
      </c>
      <c r="H550" s="2" t="s">
        <v>4644</v>
      </c>
      <c r="I550" s="2" t="s">
        <v>4645</v>
      </c>
      <c r="J550" s="2" t="s">
        <v>4770</v>
      </c>
      <c r="K550" s="2">
        <v>57</v>
      </c>
      <c r="L550" s="2" t="s">
        <v>4647</v>
      </c>
    </row>
    <row r="551" spans="1:12" ht="33.75" customHeight="1" x14ac:dyDescent="0.25">
      <c r="A551" s="14" t="s">
        <v>1357</v>
      </c>
      <c r="B551" s="3" t="s">
        <v>1139</v>
      </c>
      <c r="C551" s="3" t="s">
        <v>1358</v>
      </c>
      <c r="D551" s="3" t="s">
        <v>4705</v>
      </c>
      <c r="E551" s="3" t="s">
        <v>4811</v>
      </c>
      <c r="F551" s="3" t="s">
        <v>1141</v>
      </c>
      <c r="G551" s="3">
        <v>49.136000000000003</v>
      </c>
      <c r="H551" s="3" t="s">
        <v>4644</v>
      </c>
      <c r="I551" s="3" t="s">
        <v>4645</v>
      </c>
      <c r="J551" s="3" t="s">
        <v>4697</v>
      </c>
      <c r="K551" s="3">
        <v>60</v>
      </c>
      <c r="L551" s="3" t="s">
        <v>4647</v>
      </c>
    </row>
    <row r="552" spans="1:12" ht="33.75" customHeight="1" x14ac:dyDescent="0.25">
      <c r="A552" s="13" t="s">
        <v>1359</v>
      </c>
      <c r="B552" s="2" t="s">
        <v>1360</v>
      </c>
      <c r="C552" s="2" t="s">
        <v>1361</v>
      </c>
      <c r="D552" s="2" t="s">
        <v>4705</v>
      </c>
      <c r="E552" s="2" t="s">
        <v>4823</v>
      </c>
      <c r="F552" s="2" t="s">
        <v>1362</v>
      </c>
      <c r="G552" s="2">
        <v>53.335999999999999</v>
      </c>
      <c r="H552" s="2" t="s">
        <v>4644</v>
      </c>
      <c r="I552" s="2" t="s">
        <v>4645</v>
      </c>
      <c r="J552" s="2" t="s">
        <v>4733</v>
      </c>
      <c r="K552" s="2">
        <v>96</v>
      </c>
      <c r="L552" s="2" t="s">
        <v>4647</v>
      </c>
    </row>
    <row r="553" spans="1:12" ht="33.75" customHeight="1" x14ac:dyDescent="0.25">
      <c r="A553" s="14" t="s">
        <v>1363</v>
      </c>
      <c r="B553" s="3" t="s">
        <v>418</v>
      </c>
      <c r="C553" s="3" t="s">
        <v>1266</v>
      </c>
      <c r="D553" s="3"/>
      <c r="E553" s="3" t="s">
        <v>4734</v>
      </c>
      <c r="F553" s="3" t="s">
        <v>420</v>
      </c>
      <c r="G553" s="3">
        <v>30.655200000000001</v>
      </c>
      <c r="H553" s="3" t="s">
        <v>4644</v>
      </c>
      <c r="I553" s="3" t="s">
        <v>4645</v>
      </c>
      <c r="J553" s="3" t="s">
        <v>4735</v>
      </c>
      <c r="K553" s="3">
        <v>72</v>
      </c>
      <c r="L553" s="3" t="s">
        <v>4647</v>
      </c>
    </row>
    <row r="554" spans="1:12" ht="33.75" customHeight="1" x14ac:dyDescent="0.25">
      <c r="A554" s="13" t="s">
        <v>1364</v>
      </c>
      <c r="B554" s="2" t="s">
        <v>794</v>
      </c>
      <c r="C554" s="2" t="s">
        <v>1350</v>
      </c>
      <c r="D554" s="2"/>
      <c r="E554" s="2" t="s">
        <v>4791</v>
      </c>
      <c r="F554" s="2" t="s">
        <v>796</v>
      </c>
      <c r="G554" s="2">
        <v>34.151200000000003</v>
      </c>
      <c r="H554" s="2" t="s">
        <v>4644</v>
      </c>
      <c r="I554" s="2" t="s">
        <v>4645</v>
      </c>
      <c r="J554" s="2" t="s">
        <v>4770</v>
      </c>
      <c r="K554" s="2">
        <v>63</v>
      </c>
      <c r="L554" s="2" t="s">
        <v>4647</v>
      </c>
    </row>
    <row r="555" spans="1:12" ht="33.75" customHeight="1" x14ac:dyDescent="0.25">
      <c r="A555" s="14" t="s">
        <v>1365</v>
      </c>
      <c r="B555" s="3" t="s">
        <v>669</v>
      </c>
      <c r="C555" s="3" t="s">
        <v>1366</v>
      </c>
      <c r="D555" s="3" t="s">
        <v>4648</v>
      </c>
      <c r="E555" s="3" t="s">
        <v>4778</v>
      </c>
      <c r="F555" s="3" t="s">
        <v>671</v>
      </c>
      <c r="G555" s="3">
        <v>29.982399999999998</v>
      </c>
      <c r="H555" s="3" t="s">
        <v>4644</v>
      </c>
      <c r="I555" s="3" t="s">
        <v>4645</v>
      </c>
      <c r="J555" s="3" t="s">
        <v>4710</v>
      </c>
      <c r="K555" s="3">
        <v>87</v>
      </c>
      <c r="L555" s="3" t="s">
        <v>4647</v>
      </c>
    </row>
    <row r="556" spans="1:12" ht="33.75" customHeight="1" x14ac:dyDescent="0.25">
      <c r="A556" s="13" t="s">
        <v>1367</v>
      </c>
      <c r="B556" s="2" t="s">
        <v>1368</v>
      </c>
      <c r="C556" s="2" t="s">
        <v>1369</v>
      </c>
      <c r="D556" s="2" t="s">
        <v>4648</v>
      </c>
      <c r="E556" s="2" t="s">
        <v>4824</v>
      </c>
      <c r="F556" s="2" t="s">
        <v>1370</v>
      </c>
      <c r="G556" s="2">
        <v>30.008400000000002</v>
      </c>
      <c r="H556" s="2" t="s">
        <v>4644</v>
      </c>
      <c r="I556" s="2" t="s">
        <v>4645</v>
      </c>
      <c r="J556" s="2" t="s">
        <v>4735</v>
      </c>
      <c r="K556" s="2">
        <v>72</v>
      </c>
      <c r="L556" s="2" t="s">
        <v>4647</v>
      </c>
    </row>
    <row r="557" spans="1:12" ht="33.75" customHeight="1" x14ac:dyDescent="0.25">
      <c r="A557" s="14" t="s">
        <v>1371</v>
      </c>
      <c r="B557" s="3" t="s">
        <v>665</v>
      </c>
      <c r="C557" s="3" t="s">
        <v>1372</v>
      </c>
      <c r="D557" s="3" t="s">
        <v>4648</v>
      </c>
      <c r="E557" s="3" t="s">
        <v>4777</v>
      </c>
      <c r="F557" s="3" t="s">
        <v>667</v>
      </c>
      <c r="G557" s="3">
        <v>29.432400000000001</v>
      </c>
      <c r="H557" s="3" t="s">
        <v>4644</v>
      </c>
      <c r="I557" s="3" t="s">
        <v>4645</v>
      </c>
      <c r="J557" s="3" t="s">
        <v>4697</v>
      </c>
      <c r="K557" s="3">
        <v>45</v>
      </c>
      <c r="L557" s="3" t="s">
        <v>4647</v>
      </c>
    </row>
    <row r="558" spans="1:12" ht="33.75" customHeight="1" x14ac:dyDescent="0.25">
      <c r="A558" s="13" t="s">
        <v>1373</v>
      </c>
      <c r="B558" s="2" t="s">
        <v>650</v>
      </c>
      <c r="C558" s="2" t="s">
        <v>1374</v>
      </c>
      <c r="D558" s="2" t="s">
        <v>4648</v>
      </c>
      <c r="E558" s="2" t="s">
        <v>4775</v>
      </c>
      <c r="F558" s="2" t="s">
        <v>652</v>
      </c>
      <c r="G558" s="2">
        <v>33.497</v>
      </c>
      <c r="H558" s="2" t="s">
        <v>4644</v>
      </c>
      <c r="I558" s="2" t="s">
        <v>4645</v>
      </c>
      <c r="J558" s="2" t="s">
        <v>4721</v>
      </c>
      <c r="K558" s="2">
        <v>54</v>
      </c>
      <c r="L558" s="2" t="s">
        <v>4647</v>
      </c>
    </row>
    <row r="559" spans="1:12" ht="33.75" customHeight="1" x14ac:dyDescent="0.25">
      <c r="A559" s="14" t="s">
        <v>1375</v>
      </c>
      <c r="B559" s="3" t="s">
        <v>89</v>
      </c>
      <c r="C559" s="3" t="s">
        <v>1376</v>
      </c>
      <c r="D559" s="3"/>
      <c r="E559" s="3" t="s">
        <v>4659</v>
      </c>
      <c r="F559" s="3" t="s">
        <v>91</v>
      </c>
      <c r="G559" s="3">
        <v>32.389200000000002</v>
      </c>
      <c r="H559" s="3" t="s">
        <v>4644</v>
      </c>
      <c r="I559" s="3" t="s">
        <v>4645</v>
      </c>
      <c r="J559" s="3" t="s">
        <v>4652</v>
      </c>
      <c r="K559" s="3">
        <v>30</v>
      </c>
      <c r="L559" s="3" t="s">
        <v>4647</v>
      </c>
    </row>
    <row r="560" spans="1:12" ht="33.75" customHeight="1" x14ac:dyDescent="0.25">
      <c r="A560" s="13" t="s">
        <v>1377</v>
      </c>
      <c r="B560" s="2" t="s">
        <v>418</v>
      </c>
      <c r="C560" s="2" t="s">
        <v>1378</v>
      </c>
      <c r="D560" s="2"/>
      <c r="E560" s="2" t="s">
        <v>4734</v>
      </c>
      <c r="F560" s="2" t="s">
        <v>420</v>
      </c>
      <c r="G560" s="2">
        <v>30.655200000000001</v>
      </c>
      <c r="H560" s="2" t="s">
        <v>4644</v>
      </c>
      <c r="I560" s="2" t="s">
        <v>4645</v>
      </c>
      <c r="J560" s="2" t="s">
        <v>4735</v>
      </c>
      <c r="K560" s="2">
        <v>72</v>
      </c>
      <c r="L560" s="2" t="s">
        <v>4647</v>
      </c>
    </row>
    <row r="561" spans="1:12" ht="33.75" customHeight="1" x14ac:dyDescent="0.25">
      <c r="A561" s="14" t="s">
        <v>1379</v>
      </c>
      <c r="B561" s="3" t="s">
        <v>418</v>
      </c>
      <c r="C561" s="3" t="s">
        <v>1380</v>
      </c>
      <c r="D561" s="3"/>
      <c r="E561" s="3" t="s">
        <v>4734</v>
      </c>
      <c r="F561" s="3" t="s">
        <v>420</v>
      </c>
      <c r="G561" s="3">
        <v>30.655200000000001</v>
      </c>
      <c r="H561" s="3" t="s">
        <v>4644</v>
      </c>
      <c r="I561" s="3" t="s">
        <v>4645</v>
      </c>
      <c r="J561" s="3" t="s">
        <v>4735</v>
      </c>
      <c r="K561" s="3">
        <v>72</v>
      </c>
      <c r="L561" s="3" t="s">
        <v>4647</v>
      </c>
    </row>
    <row r="562" spans="1:12" ht="33.75" customHeight="1" x14ac:dyDescent="0.25">
      <c r="A562" s="13" t="s">
        <v>1381</v>
      </c>
      <c r="B562" s="2" t="s">
        <v>418</v>
      </c>
      <c r="C562" s="2" t="s">
        <v>1382</v>
      </c>
      <c r="D562" s="2"/>
      <c r="E562" s="2" t="s">
        <v>4734</v>
      </c>
      <c r="F562" s="2" t="s">
        <v>420</v>
      </c>
      <c r="G562" s="2">
        <v>30.655200000000001</v>
      </c>
      <c r="H562" s="2" t="s">
        <v>4644</v>
      </c>
      <c r="I562" s="2" t="s">
        <v>4645</v>
      </c>
      <c r="J562" s="2" t="s">
        <v>4735</v>
      </c>
      <c r="K562" s="2">
        <v>72</v>
      </c>
      <c r="L562" s="2" t="s">
        <v>4647</v>
      </c>
    </row>
    <row r="563" spans="1:12" ht="33.75" customHeight="1" x14ac:dyDescent="0.25">
      <c r="A563" s="14" t="s">
        <v>1383</v>
      </c>
      <c r="B563" s="3" t="s">
        <v>418</v>
      </c>
      <c r="C563" s="3" t="s">
        <v>1384</v>
      </c>
      <c r="D563" s="3"/>
      <c r="E563" s="3" t="s">
        <v>4734</v>
      </c>
      <c r="F563" s="3" t="s">
        <v>420</v>
      </c>
      <c r="G563" s="3">
        <v>30.655200000000001</v>
      </c>
      <c r="H563" s="3" t="s">
        <v>4644</v>
      </c>
      <c r="I563" s="3" t="s">
        <v>4645</v>
      </c>
      <c r="J563" s="3" t="s">
        <v>4735</v>
      </c>
      <c r="K563" s="3">
        <v>72</v>
      </c>
      <c r="L563" s="3" t="s">
        <v>4647</v>
      </c>
    </row>
    <row r="564" spans="1:12" ht="33.75" customHeight="1" x14ac:dyDescent="0.25">
      <c r="A564" s="13" t="s">
        <v>1385</v>
      </c>
      <c r="B564" s="2" t="s">
        <v>418</v>
      </c>
      <c r="C564" s="2" t="s">
        <v>1386</v>
      </c>
      <c r="D564" s="2"/>
      <c r="E564" s="2" t="s">
        <v>4734</v>
      </c>
      <c r="F564" s="2" t="s">
        <v>420</v>
      </c>
      <c r="G564" s="2">
        <v>30.655200000000001</v>
      </c>
      <c r="H564" s="2" t="s">
        <v>4644</v>
      </c>
      <c r="I564" s="2" t="s">
        <v>4645</v>
      </c>
      <c r="J564" s="2" t="s">
        <v>4735</v>
      </c>
      <c r="K564" s="2">
        <v>72</v>
      </c>
      <c r="L564" s="2" t="s">
        <v>4647</v>
      </c>
    </row>
    <row r="565" spans="1:12" ht="33.75" customHeight="1" x14ac:dyDescent="0.25">
      <c r="A565" s="14" t="s">
        <v>1387</v>
      </c>
      <c r="B565" s="3" t="s">
        <v>418</v>
      </c>
      <c r="C565" s="3" t="s">
        <v>1388</v>
      </c>
      <c r="D565" s="3"/>
      <c r="E565" s="3" t="s">
        <v>4734</v>
      </c>
      <c r="F565" s="3" t="s">
        <v>420</v>
      </c>
      <c r="G565" s="3">
        <v>30.655200000000001</v>
      </c>
      <c r="H565" s="3" t="s">
        <v>4644</v>
      </c>
      <c r="I565" s="3" t="s">
        <v>4645</v>
      </c>
      <c r="J565" s="3" t="s">
        <v>4735</v>
      </c>
      <c r="K565" s="3">
        <v>72</v>
      </c>
      <c r="L565" s="3" t="s">
        <v>4647</v>
      </c>
    </row>
    <row r="566" spans="1:12" ht="33.75" customHeight="1" x14ac:dyDescent="0.25">
      <c r="A566" s="13" t="s">
        <v>1389</v>
      </c>
      <c r="B566" s="2" t="s">
        <v>418</v>
      </c>
      <c r="C566" s="2" t="s">
        <v>1390</v>
      </c>
      <c r="D566" s="2"/>
      <c r="E566" s="2" t="s">
        <v>4734</v>
      </c>
      <c r="F566" s="2" t="s">
        <v>420</v>
      </c>
      <c r="G566" s="2">
        <v>30.655200000000001</v>
      </c>
      <c r="H566" s="2" t="s">
        <v>4644</v>
      </c>
      <c r="I566" s="2" t="s">
        <v>4645</v>
      </c>
      <c r="J566" s="2" t="s">
        <v>4735</v>
      </c>
      <c r="K566" s="2">
        <v>72</v>
      </c>
      <c r="L566" s="2" t="s">
        <v>4647</v>
      </c>
    </row>
    <row r="567" spans="1:12" ht="33.75" customHeight="1" x14ac:dyDescent="0.25">
      <c r="A567" s="14" t="s">
        <v>1391</v>
      </c>
      <c r="B567" s="3" t="s">
        <v>418</v>
      </c>
      <c r="C567" s="3" t="s">
        <v>1392</v>
      </c>
      <c r="D567" s="3"/>
      <c r="E567" s="3" t="s">
        <v>4734</v>
      </c>
      <c r="F567" s="3" t="s">
        <v>420</v>
      </c>
      <c r="G567" s="3">
        <v>30.655200000000001</v>
      </c>
      <c r="H567" s="3" t="s">
        <v>4644</v>
      </c>
      <c r="I567" s="3" t="s">
        <v>4645</v>
      </c>
      <c r="J567" s="3" t="s">
        <v>4735</v>
      </c>
      <c r="K567" s="3">
        <v>72</v>
      </c>
      <c r="L567" s="3" t="s">
        <v>4647</v>
      </c>
    </row>
    <row r="568" spans="1:12" ht="33.75" customHeight="1" x14ac:dyDescent="0.25">
      <c r="A568" s="13" t="s">
        <v>1393</v>
      </c>
      <c r="B568" s="2" t="s">
        <v>414</v>
      </c>
      <c r="C568" s="2" t="s">
        <v>1394</v>
      </c>
      <c r="D568" s="2"/>
      <c r="E568" s="2" t="s">
        <v>4732</v>
      </c>
      <c r="F568" s="2" t="s">
        <v>416</v>
      </c>
      <c r="G568" s="2">
        <v>31.0092</v>
      </c>
      <c r="H568" s="2" t="s">
        <v>4644</v>
      </c>
      <c r="I568" s="2" t="s">
        <v>4645</v>
      </c>
      <c r="J568" s="2" t="s">
        <v>4733</v>
      </c>
      <c r="K568" s="2">
        <v>87</v>
      </c>
      <c r="L568" s="2" t="s">
        <v>4647</v>
      </c>
    </row>
    <row r="569" spans="1:12" ht="33.75" customHeight="1" x14ac:dyDescent="0.25">
      <c r="A569" s="14" t="s">
        <v>1395</v>
      </c>
      <c r="B569" s="3" t="s">
        <v>414</v>
      </c>
      <c r="C569" s="3" t="s">
        <v>1396</v>
      </c>
      <c r="D569" s="3"/>
      <c r="E569" s="3" t="s">
        <v>4732</v>
      </c>
      <c r="F569" s="3" t="s">
        <v>416</v>
      </c>
      <c r="G569" s="3">
        <v>31.0092</v>
      </c>
      <c r="H569" s="3" t="s">
        <v>4644</v>
      </c>
      <c r="I569" s="3" t="s">
        <v>4645</v>
      </c>
      <c r="J569" s="3" t="s">
        <v>4733</v>
      </c>
      <c r="K569" s="3">
        <v>87</v>
      </c>
      <c r="L569" s="3" t="s">
        <v>4647</v>
      </c>
    </row>
    <row r="570" spans="1:12" ht="33.75" customHeight="1" x14ac:dyDescent="0.25">
      <c r="A570" s="13" t="s">
        <v>1397</v>
      </c>
      <c r="B570" s="2" t="s">
        <v>386</v>
      </c>
      <c r="C570" s="2" t="s">
        <v>1398</v>
      </c>
      <c r="D570" s="2"/>
      <c r="E570" s="2" t="s">
        <v>4727</v>
      </c>
      <c r="F570" s="2" t="s">
        <v>388</v>
      </c>
      <c r="G570" s="2">
        <v>33.783799999999999</v>
      </c>
      <c r="H570" s="2" t="s">
        <v>4644</v>
      </c>
      <c r="I570" s="2" t="s">
        <v>4645</v>
      </c>
      <c r="J570" s="2" t="s">
        <v>4721</v>
      </c>
      <c r="K570" s="2">
        <v>54</v>
      </c>
      <c r="L570" s="2" t="s">
        <v>4647</v>
      </c>
    </row>
    <row r="571" spans="1:12" ht="33.75" customHeight="1" x14ac:dyDescent="0.25">
      <c r="A571" s="14" t="s">
        <v>1399</v>
      </c>
      <c r="B571" s="3" t="s">
        <v>386</v>
      </c>
      <c r="C571" s="3" t="s">
        <v>1400</v>
      </c>
      <c r="D571" s="3"/>
      <c r="E571" s="3" t="s">
        <v>4727</v>
      </c>
      <c r="F571" s="3" t="s">
        <v>388</v>
      </c>
      <c r="G571" s="3">
        <v>33.783799999999999</v>
      </c>
      <c r="H571" s="3" t="s">
        <v>4644</v>
      </c>
      <c r="I571" s="3" t="s">
        <v>4645</v>
      </c>
      <c r="J571" s="3" t="s">
        <v>4721</v>
      </c>
      <c r="K571" s="3">
        <v>54</v>
      </c>
      <c r="L571" s="3" t="s">
        <v>4647</v>
      </c>
    </row>
    <row r="572" spans="1:12" ht="33.75" customHeight="1" x14ac:dyDescent="0.25">
      <c r="A572" s="13" t="s">
        <v>1401</v>
      </c>
      <c r="B572" s="2" t="s">
        <v>1402</v>
      </c>
      <c r="C572" s="2" t="s">
        <v>1403</v>
      </c>
      <c r="D572" s="2" t="s">
        <v>4737</v>
      </c>
      <c r="E572" s="2" t="s">
        <v>4825</v>
      </c>
      <c r="F572" s="2" t="s">
        <v>1404</v>
      </c>
      <c r="G572" s="2">
        <v>28.649000000000001</v>
      </c>
      <c r="H572" s="2" t="s">
        <v>4644</v>
      </c>
      <c r="I572" s="2" t="s">
        <v>4645</v>
      </c>
      <c r="J572" s="2" t="s">
        <v>4721</v>
      </c>
      <c r="K572" s="2">
        <v>54</v>
      </c>
      <c r="L572" s="2" t="s">
        <v>4647</v>
      </c>
    </row>
    <row r="573" spans="1:12" ht="33.75" customHeight="1" x14ac:dyDescent="0.25">
      <c r="A573" s="14" t="s">
        <v>1405</v>
      </c>
      <c r="B573" s="3" t="s">
        <v>1402</v>
      </c>
      <c r="C573" s="3" t="s">
        <v>1406</v>
      </c>
      <c r="D573" s="3" t="s">
        <v>4737</v>
      </c>
      <c r="E573" s="3" t="s">
        <v>4825</v>
      </c>
      <c r="F573" s="3" t="s">
        <v>1404</v>
      </c>
      <c r="G573" s="3">
        <v>28.649000000000001</v>
      </c>
      <c r="H573" s="3" t="s">
        <v>4644</v>
      </c>
      <c r="I573" s="3" t="s">
        <v>4645</v>
      </c>
      <c r="J573" s="3" t="s">
        <v>4721</v>
      </c>
      <c r="K573" s="3">
        <v>54</v>
      </c>
      <c r="L573" s="3" t="s">
        <v>4647</v>
      </c>
    </row>
    <row r="574" spans="1:12" ht="33.75" customHeight="1" x14ac:dyDescent="0.25">
      <c r="A574" s="13" t="s">
        <v>1407</v>
      </c>
      <c r="B574" s="2" t="s">
        <v>1402</v>
      </c>
      <c r="C574" s="2" t="s">
        <v>1408</v>
      </c>
      <c r="D574" s="2" t="s">
        <v>4737</v>
      </c>
      <c r="E574" s="2" t="s">
        <v>4825</v>
      </c>
      <c r="F574" s="2" t="s">
        <v>1404</v>
      </c>
      <c r="G574" s="2">
        <v>28.649000000000001</v>
      </c>
      <c r="H574" s="2" t="s">
        <v>4644</v>
      </c>
      <c r="I574" s="2" t="s">
        <v>4645</v>
      </c>
      <c r="J574" s="2" t="s">
        <v>4721</v>
      </c>
      <c r="K574" s="2">
        <v>54</v>
      </c>
      <c r="L574" s="2" t="s">
        <v>4647</v>
      </c>
    </row>
    <row r="575" spans="1:12" ht="33.75" customHeight="1" x14ac:dyDescent="0.25">
      <c r="A575" s="14" t="s">
        <v>1409</v>
      </c>
      <c r="B575" s="3" t="s">
        <v>324</v>
      </c>
      <c r="C575" s="3" t="s">
        <v>1410</v>
      </c>
      <c r="D575" s="3"/>
      <c r="E575" s="3" t="s">
        <v>4704</v>
      </c>
      <c r="F575" s="3" t="s">
        <v>326</v>
      </c>
      <c r="G575" s="3">
        <v>29.719200000000001</v>
      </c>
      <c r="H575" s="3" t="s">
        <v>4644</v>
      </c>
      <c r="I575" s="3" t="s">
        <v>4645</v>
      </c>
      <c r="J575" s="3" t="s">
        <v>4697</v>
      </c>
      <c r="K575" s="3">
        <v>45</v>
      </c>
      <c r="L575" s="3" t="s">
        <v>4647</v>
      </c>
    </row>
    <row r="576" spans="1:12" ht="33.75" customHeight="1" x14ac:dyDescent="0.25">
      <c r="A576" s="13" t="s">
        <v>1411</v>
      </c>
      <c r="B576" s="2" t="s">
        <v>324</v>
      </c>
      <c r="C576" s="2" t="s">
        <v>1412</v>
      </c>
      <c r="D576" s="2"/>
      <c r="E576" s="2" t="s">
        <v>4704</v>
      </c>
      <c r="F576" s="2" t="s">
        <v>326</v>
      </c>
      <c r="G576" s="2">
        <v>29.719200000000001</v>
      </c>
      <c r="H576" s="2" t="s">
        <v>4644</v>
      </c>
      <c r="I576" s="2" t="s">
        <v>4645</v>
      </c>
      <c r="J576" s="2" t="s">
        <v>4697</v>
      </c>
      <c r="K576" s="2">
        <v>45</v>
      </c>
      <c r="L576" s="2" t="s">
        <v>4647</v>
      </c>
    </row>
    <row r="577" spans="1:12" ht="33.75" customHeight="1" x14ac:dyDescent="0.25">
      <c r="A577" s="14" t="s">
        <v>1413</v>
      </c>
      <c r="B577" s="3" t="s">
        <v>324</v>
      </c>
      <c r="C577" s="3" t="s">
        <v>1145</v>
      </c>
      <c r="D577" s="3"/>
      <c r="E577" s="3" t="s">
        <v>4704</v>
      </c>
      <c r="F577" s="3" t="s">
        <v>326</v>
      </c>
      <c r="G577" s="3">
        <v>29.719200000000001</v>
      </c>
      <c r="H577" s="3" t="s">
        <v>4644</v>
      </c>
      <c r="I577" s="3" t="s">
        <v>4645</v>
      </c>
      <c r="J577" s="3" t="s">
        <v>4697</v>
      </c>
      <c r="K577" s="3">
        <v>45</v>
      </c>
      <c r="L577" s="3" t="s">
        <v>4647</v>
      </c>
    </row>
    <row r="578" spans="1:12" ht="33.75" customHeight="1" x14ac:dyDescent="0.25">
      <c r="A578" s="13" t="s">
        <v>1414</v>
      </c>
      <c r="B578" s="2" t="s">
        <v>324</v>
      </c>
      <c r="C578" s="2" t="s">
        <v>1415</v>
      </c>
      <c r="D578" s="2"/>
      <c r="E578" s="2" t="s">
        <v>4704</v>
      </c>
      <c r="F578" s="2" t="s">
        <v>326</v>
      </c>
      <c r="G578" s="2">
        <v>29.719200000000001</v>
      </c>
      <c r="H578" s="2" t="s">
        <v>4644</v>
      </c>
      <c r="I578" s="2" t="s">
        <v>4645</v>
      </c>
      <c r="J578" s="2" t="s">
        <v>4697</v>
      </c>
      <c r="K578" s="2">
        <v>45</v>
      </c>
      <c r="L578" s="2" t="s">
        <v>4647</v>
      </c>
    </row>
    <row r="579" spans="1:12" ht="33.75" customHeight="1" x14ac:dyDescent="0.25">
      <c r="A579" s="14" t="s">
        <v>1416</v>
      </c>
      <c r="B579" s="3" t="s">
        <v>1417</v>
      </c>
      <c r="C579" s="3" t="s">
        <v>1418</v>
      </c>
      <c r="D579" s="3" t="s">
        <v>4737</v>
      </c>
      <c r="E579" s="3" t="s">
        <v>4826</v>
      </c>
      <c r="F579" s="3" t="s">
        <v>1419</v>
      </c>
      <c r="G579" s="3">
        <v>28.617000000000001</v>
      </c>
      <c r="H579" s="3" t="s">
        <v>4644</v>
      </c>
      <c r="I579" s="3" t="s">
        <v>4645</v>
      </c>
      <c r="J579" s="3" t="s">
        <v>4697</v>
      </c>
      <c r="K579" s="3">
        <v>45</v>
      </c>
      <c r="L579" s="3" t="s">
        <v>4647</v>
      </c>
    </row>
    <row r="580" spans="1:12" ht="33.75" customHeight="1" x14ac:dyDescent="0.25">
      <c r="A580" s="13" t="s">
        <v>1420</v>
      </c>
      <c r="B580" s="2" t="s">
        <v>1417</v>
      </c>
      <c r="C580" s="2" t="s">
        <v>1421</v>
      </c>
      <c r="D580" s="2" t="s">
        <v>4737</v>
      </c>
      <c r="E580" s="2" t="s">
        <v>4826</v>
      </c>
      <c r="F580" s="2" t="s">
        <v>1419</v>
      </c>
      <c r="G580" s="2">
        <v>28.617000000000001</v>
      </c>
      <c r="H580" s="2" t="s">
        <v>4644</v>
      </c>
      <c r="I580" s="2" t="s">
        <v>4645</v>
      </c>
      <c r="J580" s="2" t="s">
        <v>4697</v>
      </c>
      <c r="K580" s="2">
        <v>45</v>
      </c>
      <c r="L580" s="2" t="s">
        <v>4647</v>
      </c>
    </row>
    <row r="581" spans="1:12" ht="33.75" customHeight="1" x14ac:dyDescent="0.25">
      <c r="A581" s="14" t="s">
        <v>1422</v>
      </c>
      <c r="B581" s="3" t="s">
        <v>794</v>
      </c>
      <c r="C581" s="3" t="s">
        <v>1423</v>
      </c>
      <c r="D581" s="3"/>
      <c r="E581" s="3" t="s">
        <v>4791</v>
      </c>
      <c r="F581" s="3" t="s">
        <v>796</v>
      </c>
      <c r="G581" s="3">
        <v>34.151200000000003</v>
      </c>
      <c r="H581" s="3" t="s">
        <v>4644</v>
      </c>
      <c r="I581" s="3" t="s">
        <v>4645</v>
      </c>
      <c r="J581" s="3" t="s">
        <v>4770</v>
      </c>
      <c r="K581" s="3">
        <v>63</v>
      </c>
      <c r="L581" s="3" t="s">
        <v>4647</v>
      </c>
    </row>
    <row r="582" spans="1:12" ht="33.75" customHeight="1" x14ac:dyDescent="0.25">
      <c r="A582" s="13" t="s">
        <v>1424</v>
      </c>
      <c r="B582" s="2" t="s">
        <v>794</v>
      </c>
      <c r="C582" s="2" t="s">
        <v>1425</v>
      </c>
      <c r="D582" s="2"/>
      <c r="E582" s="2" t="s">
        <v>4791</v>
      </c>
      <c r="F582" s="2" t="s">
        <v>796</v>
      </c>
      <c r="G582" s="2">
        <v>34.151200000000003</v>
      </c>
      <c r="H582" s="2" t="s">
        <v>4644</v>
      </c>
      <c r="I582" s="2" t="s">
        <v>4645</v>
      </c>
      <c r="J582" s="2" t="s">
        <v>4770</v>
      </c>
      <c r="K582" s="2">
        <v>63</v>
      </c>
      <c r="L582" s="2" t="s">
        <v>4647</v>
      </c>
    </row>
    <row r="583" spans="1:12" ht="33.75" customHeight="1" x14ac:dyDescent="0.25">
      <c r="A583" s="14" t="s">
        <v>1426</v>
      </c>
      <c r="B583" s="3" t="s">
        <v>1427</v>
      </c>
      <c r="C583" s="3" t="s">
        <v>1428</v>
      </c>
      <c r="D583" s="3" t="s">
        <v>4737</v>
      </c>
      <c r="E583" s="3" t="s">
        <v>4827</v>
      </c>
      <c r="F583" s="3" t="s">
        <v>1429</v>
      </c>
      <c r="G583" s="3">
        <v>28.649000000000001</v>
      </c>
      <c r="H583" s="3" t="s">
        <v>4644</v>
      </c>
      <c r="I583" s="3" t="s">
        <v>4645</v>
      </c>
      <c r="J583" s="3" t="s">
        <v>4770</v>
      </c>
      <c r="K583" s="3">
        <v>63</v>
      </c>
      <c r="L583" s="3" t="s">
        <v>4647</v>
      </c>
    </row>
    <row r="584" spans="1:12" ht="33.75" customHeight="1" x14ac:dyDescent="0.25">
      <c r="A584" s="13" t="s">
        <v>1430</v>
      </c>
      <c r="B584" s="2" t="s">
        <v>1427</v>
      </c>
      <c r="C584" s="2" t="s">
        <v>1431</v>
      </c>
      <c r="D584" s="2" t="s">
        <v>4737</v>
      </c>
      <c r="E584" s="2" t="s">
        <v>4827</v>
      </c>
      <c r="F584" s="2" t="s">
        <v>1429</v>
      </c>
      <c r="G584" s="2">
        <v>28.649000000000001</v>
      </c>
      <c r="H584" s="2" t="s">
        <v>4644</v>
      </c>
      <c r="I584" s="2" t="s">
        <v>4645</v>
      </c>
      <c r="J584" s="2" t="s">
        <v>4770</v>
      </c>
      <c r="K584" s="2">
        <v>63</v>
      </c>
      <c r="L584" s="2" t="s">
        <v>4647</v>
      </c>
    </row>
    <row r="585" spans="1:12" ht="33.75" customHeight="1" x14ac:dyDescent="0.25">
      <c r="A585" s="14" t="s">
        <v>1432</v>
      </c>
      <c r="B585" s="3" t="s">
        <v>1427</v>
      </c>
      <c r="C585" s="3" t="s">
        <v>1433</v>
      </c>
      <c r="D585" s="3" t="s">
        <v>4737</v>
      </c>
      <c r="E585" s="3" t="s">
        <v>4827</v>
      </c>
      <c r="F585" s="3" t="s">
        <v>1429</v>
      </c>
      <c r="G585" s="3">
        <v>28.649000000000001</v>
      </c>
      <c r="H585" s="3" t="s">
        <v>4644</v>
      </c>
      <c r="I585" s="3" t="s">
        <v>4645</v>
      </c>
      <c r="J585" s="3" t="s">
        <v>4770</v>
      </c>
      <c r="K585" s="3">
        <v>63</v>
      </c>
      <c r="L585" s="3" t="s">
        <v>4647</v>
      </c>
    </row>
    <row r="586" spans="1:12" ht="33.75" customHeight="1" x14ac:dyDescent="0.25">
      <c r="A586" s="13" t="s">
        <v>1434</v>
      </c>
      <c r="B586" s="2" t="s">
        <v>1427</v>
      </c>
      <c r="C586" s="2" t="s">
        <v>1435</v>
      </c>
      <c r="D586" s="2" t="s">
        <v>4737</v>
      </c>
      <c r="E586" s="2" t="s">
        <v>4827</v>
      </c>
      <c r="F586" s="2" t="s">
        <v>1429</v>
      </c>
      <c r="G586" s="2">
        <v>28.649000000000001</v>
      </c>
      <c r="H586" s="2" t="s">
        <v>4644</v>
      </c>
      <c r="I586" s="2" t="s">
        <v>4645</v>
      </c>
      <c r="J586" s="2" t="s">
        <v>4770</v>
      </c>
      <c r="K586" s="2">
        <v>63</v>
      </c>
      <c r="L586" s="2" t="s">
        <v>4647</v>
      </c>
    </row>
    <row r="587" spans="1:12" ht="33.75" customHeight="1" x14ac:dyDescent="0.25">
      <c r="A587" s="14" t="s">
        <v>1436</v>
      </c>
      <c r="B587" s="3" t="s">
        <v>1437</v>
      </c>
      <c r="C587" s="3" t="s">
        <v>1438</v>
      </c>
      <c r="D587" s="3" t="s">
        <v>4737</v>
      </c>
      <c r="E587" s="3" t="s">
        <v>4828</v>
      </c>
      <c r="F587" s="3" t="s">
        <v>1439</v>
      </c>
      <c r="G587" s="3">
        <v>28.649000000000001</v>
      </c>
      <c r="H587" s="3" t="s">
        <v>4644</v>
      </c>
      <c r="I587" s="3" t="s">
        <v>4645</v>
      </c>
      <c r="J587" s="3" t="s">
        <v>4719</v>
      </c>
      <c r="K587" s="3">
        <v>72</v>
      </c>
      <c r="L587" s="3" t="s">
        <v>4647</v>
      </c>
    </row>
    <row r="588" spans="1:12" ht="33.75" customHeight="1" x14ac:dyDescent="0.25">
      <c r="A588" s="13" t="s">
        <v>1440</v>
      </c>
      <c r="B588" s="2" t="s">
        <v>400</v>
      </c>
      <c r="C588" s="2" t="s">
        <v>1441</v>
      </c>
      <c r="D588" s="2"/>
      <c r="E588" s="2" t="s">
        <v>4730</v>
      </c>
      <c r="F588" s="2" t="s">
        <v>402</v>
      </c>
      <c r="G588" s="2">
        <v>34.332239999999999</v>
      </c>
      <c r="H588" s="2" t="s">
        <v>4644</v>
      </c>
      <c r="I588" s="2" t="s">
        <v>4645</v>
      </c>
      <c r="J588" s="2" t="s">
        <v>4719</v>
      </c>
      <c r="K588" s="2">
        <v>72</v>
      </c>
      <c r="L588" s="2" t="s">
        <v>4647</v>
      </c>
    </row>
    <row r="589" spans="1:12" ht="33.75" customHeight="1" x14ac:dyDescent="0.25">
      <c r="A589" s="14" t="s">
        <v>1442</v>
      </c>
      <c r="B589" s="3" t="s">
        <v>1437</v>
      </c>
      <c r="C589" s="3" t="s">
        <v>1443</v>
      </c>
      <c r="D589" s="3" t="s">
        <v>4737</v>
      </c>
      <c r="E589" s="3" t="s">
        <v>4828</v>
      </c>
      <c r="F589" s="3" t="s">
        <v>1439</v>
      </c>
      <c r="G589" s="3">
        <v>28.649000000000001</v>
      </c>
      <c r="H589" s="3" t="s">
        <v>4644</v>
      </c>
      <c r="I589" s="3" t="s">
        <v>4645</v>
      </c>
      <c r="J589" s="3" t="s">
        <v>4719</v>
      </c>
      <c r="K589" s="3">
        <v>72</v>
      </c>
      <c r="L589" s="3" t="s">
        <v>4647</v>
      </c>
    </row>
    <row r="590" spans="1:12" ht="33.75" customHeight="1" x14ac:dyDescent="0.25">
      <c r="A590" s="13" t="s">
        <v>1444</v>
      </c>
      <c r="B590" s="2" t="s">
        <v>400</v>
      </c>
      <c r="C590" s="2" t="s">
        <v>1445</v>
      </c>
      <c r="D590" s="2" t="s">
        <v>4663</v>
      </c>
      <c r="E590" s="2" t="s">
        <v>4730</v>
      </c>
      <c r="F590" s="2" t="s">
        <v>402</v>
      </c>
      <c r="G590" s="2">
        <v>34.332239999999999</v>
      </c>
      <c r="H590" s="2" t="s">
        <v>4644</v>
      </c>
      <c r="I590" s="2" t="s">
        <v>4645</v>
      </c>
      <c r="J590" s="2" t="s">
        <v>4719</v>
      </c>
      <c r="K590" s="2">
        <v>72</v>
      </c>
      <c r="L590" s="2" t="s">
        <v>4647</v>
      </c>
    </row>
    <row r="591" spans="1:12" ht="33.75" customHeight="1" x14ac:dyDescent="0.25">
      <c r="A591" s="14" t="s">
        <v>1446</v>
      </c>
      <c r="B591" s="3" t="s">
        <v>400</v>
      </c>
      <c r="C591" s="3" t="s">
        <v>1447</v>
      </c>
      <c r="D591" s="3"/>
      <c r="E591" s="3" t="s">
        <v>4730</v>
      </c>
      <c r="F591" s="3" t="s">
        <v>402</v>
      </c>
      <c r="G591" s="3">
        <v>34.332239999999999</v>
      </c>
      <c r="H591" s="3" t="s">
        <v>4644</v>
      </c>
      <c r="I591" s="3" t="s">
        <v>4645</v>
      </c>
      <c r="J591" s="3" t="s">
        <v>4719</v>
      </c>
      <c r="K591" s="3">
        <v>72</v>
      </c>
      <c r="L591" s="3" t="s">
        <v>4647</v>
      </c>
    </row>
    <row r="592" spans="1:12" ht="33.75" customHeight="1" x14ac:dyDescent="0.25">
      <c r="A592" s="13" t="s">
        <v>1448</v>
      </c>
      <c r="B592" s="2" t="s">
        <v>400</v>
      </c>
      <c r="C592" s="2" t="s">
        <v>1449</v>
      </c>
      <c r="D592" s="2"/>
      <c r="E592" s="2" t="s">
        <v>4730</v>
      </c>
      <c r="F592" s="2" t="s">
        <v>402</v>
      </c>
      <c r="G592" s="2">
        <v>34.332239999999999</v>
      </c>
      <c r="H592" s="2" t="s">
        <v>4644</v>
      </c>
      <c r="I592" s="2" t="s">
        <v>4645</v>
      </c>
      <c r="J592" s="2" t="s">
        <v>4719</v>
      </c>
      <c r="K592" s="2">
        <v>72</v>
      </c>
      <c r="L592" s="2" t="s">
        <v>4647</v>
      </c>
    </row>
    <row r="593" spans="1:12" ht="33.75" customHeight="1" x14ac:dyDescent="0.25">
      <c r="A593" s="14" t="s">
        <v>1450</v>
      </c>
      <c r="B593" s="3" t="s">
        <v>400</v>
      </c>
      <c r="C593" s="3" t="s">
        <v>1451</v>
      </c>
      <c r="D593" s="3" t="s">
        <v>4658</v>
      </c>
      <c r="E593" s="3" t="s">
        <v>4730</v>
      </c>
      <c r="F593" s="3" t="s">
        <v>402</v>
      </c>
      <c r="G593" s="3">
        <v>34.332239999999999</v>
      </c>
      <c r="H593" s="3" t="s">
        <v>4644</v>
      </c>
      <c r="I593" s="3" t="s">
        <v>4645</v>
      </c>
      <c r="J593" s="3" t="s">
        <v>4719</v>
      </c>
      <c r="K593" s="3">
        <v>72</v>
      </c>
      <c r="L593" s="3" t="s">
        <v>4647</v>
      </c>
    </row>
    <row r="594" spans="1:12" ht="33.75" customHeight="1" x14ac:dyDescent="0.25">
      <c r="A594" s="13" t="s">
        <v>1452</v>
      </c>
      <c r="B594" s="2" t="s">
        <v>1453</v>
      </c>
      <c r="C594" s="2" t="s">
        <v>1454</v>
      </c>
      <c r="D594" s="2" t="s">
        <v>4737</v>
      </c>
      <c r="E594" s="2" t="s">
        <v>4829</v>
      </c>
      <c r="F594" s="2" t="s">
        <v>1455</v>
      </c>
      <c r="G594" s="2">
        <v>29.056999999999999</v>
      </c>
      <c r="H594" s="2" t="s">
        <v>4644</v>
      </c>
      <c r="I594" s="2" t="s">
        <v>4645</v>
      </c>
      <c r="J594" s="2" t="s">
        <v>4710</v>
      </c>
      <c r="K594" s="2">
        <v>87</v>
      </c>
      <c r="L594" s="2" t="s">
        <v>4647</v>
      </c>
    </row>
    <row r="595" spans="1:12" ht="33.75" customHeight="1" x14ac:dyDescent="0.25">
      <c r="A595" s="14" t="s">
        <v>1456</v>
      </c>
      <c r="B595" s="3" t="s">
        <v>1427</v>
      </c>
      <c r="C595" s="3" t="s">
        <v>1457</v>
      </c>
      <c r="D595" s="3" t="s">
        <v>4737</v>
      </c>
      <c r="E595" s="3" t="s">
        <v>4827</v>
      </c>
      <c r="F595" s="3" t="s">
        <v>1429</v>
      </c>
      <c r="G595" s="3">
        <v>28.649000000000001</v>
      </c>
      <c r="H595" s="3" t="s">
        <v>4644</v>
      </c>
      <c r="I595" s="3" t="s">
        <v>4645</v>
      </c>
      <c r="J595" s="3" t="s">
        <v>4770</v>
      </c>
      <c r="K595" s="3">
        <v>63</v>
      </c>
      <c r="L595" s="3" t="s">
        <v>4647</v>
      </c>
    </row>
    <row r="596" spans="1:12" ht="33.75" customHeight="1" x14ac:dyDescent="0.25">
      <c r="A596" s="13" t="s">
        <v>1458</v>
      </c>
      <c r="B596" s="2" t="s">
        <v>418</v>
      </c>
      <c r="C596" s="2" t="s">
        <v>1459</v>
      </c>
      <c r="D596" s="2"/>
      <c r="E596" s="2" t="s">
        <v>4734</v>
      </c>
      <c r="F596" s="2" t="s">
        <v>420</v>
      </c>
      <c r="G596" s="2">
        <v>30.655200000000001</v>
      </c>
      <c r="H596" s="2" t="s">
        <v>4644</v>
      </c>
      <c r="I596" s="2" t="s">
        <v>4645</v>
      </c>
      <c r="J596" s="2" t="s">
        <v>4682</v>
      </c>
      <c r="K596" s="2">
        <v>72</v>
      </c>
      <c r="L596" s="2" t="s">
        <v>4647</v>
      </c>
    </row>
    <row r="597" spans="1:12" ht="33.75" customHeight="1" x14ac:dyDescent="0.25">
      <c r="A597" s="14" t="s">
        <v>1460</v>
      </c>
      <c r="B597" s="3" t="s">
        <v>1427</v>
      </c>
      <c r="C597" s="3" t="s">
        <v>1461</v>
      </c>
      <c r="D597" s="3" t="s">
        <v>4737</v>
      </c>
      <c r="E597" s="3" t="s">
        <v>4827</v>
      </c>
      <c r="F597" s="3" t="s">
        <v>1429</v>
      </c>
      <c r="G597" s="3">
        <v>28.649000000000001</v>
      </c>
      <c r="H597" s="3" t="s">
        <v>4644</v>
      </c>
      <c r="I597" s="3" t="s">
        <v>4645</v>
      </c>
      <c r="J597" s="3" t="s">
        <v>4770</v>
      </c>
      <c r="K597" s="3">
        <v>63</v>
      </c>
      <c r="L597" s="3" t="s">
        <v>4647</v>
      </c>
    </row>
    <row r="598" spans="1:12" ht="33.75" customHeight="1" x14ac:dyDescent="0.25">
      <c r="A598" s="13" t="s">
        <v>1462</v>
      </c>
      <c r="B598" s="2" t="s">
        <v>418</v>
      </c>
      <c r="C598" s="2" t="s">
        <v>1463</v>
      </c>
      <c r="D598" s="2"/>
      <c r="E598" s="2" t="s">
        <v>4734</v>
      </c>
      <c r="F598" s="2" t="s">
        <v>420</v>
      </c>
      <c r="G598" s="2">
        <v>30.655200000000001</v>
      </c>
      <c r="H598" s="2" t="s">
        <v>4644</v>
      </c>
      <c r="I598" s="2" t="s">
        <v>4645</v>
      </c>
      <c r="J598" s="2" t="s">
        <v>4682</v>
      </c>
      <c r="K598" s="2">
        <v>72</v>
      </c>
      <c r="L598" s="2" t="s">
        <v>4647</v>
      </c>
    </row>
    <row r="599" spans="1:12" ht="33.75" customHeight="1" x14ac:dyDescent="0.25">
      <c r="A599" s="14" t="s">
        <v>1464</v>
      </c>
      <c r="B599" s="3" t="s">
        <v>418</v>
      </c>
      <c r="C599" s="3" t="s">
        <v>1465</v>
      </c>
      <c r="D599" s="3"/>
      <c r="E599" s="3" t="s">
        <v>4734</v>
      </c>
      <c r="F599" s="3" t="s">
        <v>420</v>
      </c>
      <c r="G599" s="3">
        <v>30.655200000000001</v>
      </c>
      <c r="H599" s="3" t="s">
        <v>4644</v>
      </c>
      <c r="I599" s="3" t="s">
        <v>4645</v>
      </c>
      <c r="J599" s="3" t="s">
        <v>4682</v>
      </c>
      <c r="K599" s="3">
        <v>72</v>
      </c>
      <c r="L599" s="3" t="s">
        <v>4647</v>
      </c>
    </row>
    <row r="600" spans="1:12" ht="33.75" customHeight="1" x14ac:dyDescent="0.25">
      <c r="A600" s="13" t="s">
        <v>1466</v>
      </c>
      <c r="B600" s="2" t="s">
        <v>794</v>
      </c>
      <c r="C600" s="2" t="s">
        <v>1467</v>
      </c>
      <c r="D600" s="2" t="s">
        <v>4658</v>
      </c>
      <c r="E600" s="2" t="s">
        <v>4791</v>
      </c>
      <c r="F600" s="2" t="s">
        <v>796</v>
      </c>
      <c r="G600" s="2">
        <v>34.151200000000003</v>
      </c>
      <c r="H600" s="2" t="s">
        <v>4644</v>
      </c>
      <c r="I600" s="2" t="s">
        <v>4645</v>
      </c>
      <c r="J600" s="2" t="s">
        <v>4770</v>
      </c>
      <c r="K600" s="2">
        <v>63</v>
      </c>
      <c r="L600" s="2" t="s">
        <v>4647</v>
      </c>
    </row>
    <row r="601" spans="1:12" ht="33.75" customHeight="1" x14ac:dyDescent="0.25">
      <c r="A601" s="14" t="s">
        <v>1468</v>
      </c>
      <c r="B601" s="3" t="s">
        <v>1453</v>
      </c>
      <c r="C601" s="3" t="s">
        <v>1469</v>
      </c>
      <c r="D601" s="3" t="s">
        <v>4737</v>
      </c>
      <c r="E601" s="3" t="s">
        <v>4829</v>
      </c>
      <c r="F601" s="3" t="s">
        <v>1455</v>
      </c>
      <c r="G601" s="3">
        <v>29.056999999999999</v>
      </c>
      <c r="H601" s="3" t="s">
        <v>4644</v>
      </c>
      <c r="I601" s="3" t="s">
        <v>4645</v>
      </c>
      <c r="J601" s="3" t="s">
        <v>4733</v>
      </c>
      <c r="K601" s="3">
        <v>87</v>
      </c>
      <c r="L601" s="3" t="s">
        <v>4647</v>
      </c>
    </row>
    <row r="602" spans="1:12" ht="33.75" customHeight="1" x14ac:dyDescent="0.25">
      <c r="A602" s="13" t="s">
        <v>1470</v>
      </c>
      <c r="B602" s="2" t="s">
        <v>588</v>
      </c>
      <c r="C602" s="2" t="s">
        <v>1471</v>
      </c>
      <c r="D602" s="2"/>
      <c r="E602" s="2" t="s">
        <v>4761</v>
      </c>
      <c r="F602" s="2" t="s">
        <v>590</v>
      </c>
      <c r="G602" s="2">
        <v>29.869199999999999</v>
      </c>
      <c r="H602" s="2" t="s">
        <v>4644</v>
      </c>
      <c r="I602" s="2" t="s">
        <v>4645</v>
      </c>
      <c r="J602" s="2" t="s">
        <v>4684</v>
      </c>
      <c r="K602" s="2">
        <v>63</v>
      </c>
      <c r="L602" s="2" t="s">
        <v>4647</v>
      </c>
    </row>
    <row r="603" spans="1:12" ht="33.75" customHeight="1" x14ac:dyDescent="0.25">
      <c r="A603" s="14" t="s">
        <v>1472</v>
      </c>
      <c r="B603" s="3" t="s">
        <v>588</v>
      </c>
      <c r="C603" s="3" t="s">
        <v>1473</v>
      </c>
      <c r="D603" s="3"/>
      <c r="E603" s="3" t="s">
        <v>4761</v>
      </c>
      <c r="F603" s="3" t="s">
        <v>590</v>
      </c>
      <c r="G603" s="3">
        <v>29.869199999999999</v>
      </c>
      <c r="H603" s="3" t="s">
        <v>4644</v>
      </c>
      <c r="I603" s="3" t="s">
        <v>4645</v>
      </c>
      <c r="J603" s="3" t="s">
        <v>4684</v>
      </c>
      <c r="K603" s="3">
        <v>63</v>
      </c>
      <c r="L603" s="3" t="s">
        <v>4647</v>
      </c>
    </row>
    <row r="604" spans="1:12" ht="33.75" customHeight="1" x14ac:dyDescent="0.25">
      <c r="A604" s="13" t="s">
        <v>1474</v>
      </c>
      <c r="B604" s="2" t="s">
        <v>588</v>
      </c>
      <c r="C604" s="2" t="s">
        <v>1475</v>
      </c>
      <c r="D604" s="2" t="s">
        <v>4658</v>
      </c>
      <c r="E604" s="2" t="s">
        <v>4761</v>
      </c>
      <c r="F604" s="2" t="s">
        <v>590</v>
      </c>
      <c r="G604" s="2">
        <v>29.869199999999999</v>
      </c>
      <c r="H604" s="2" t="s">
        <v>4644</v>
      </c>
      <c r="I604" s="2" t="s">
        <v>4645</v>
      </c>
      <c r="J604" s="2" t="s">
        <v>4684</v>
      </c>
      <c r="K604" s="2">
        <v>63</v>
      </c>
      <c r="L604" s="2" t="s">
        <v>4647</v>
      </c>
    </row>
    <row r="605" spans="1:12" ht="33.75" customHeight="1" x14ac:dyDescent="0.25">
      <c r="A605" s="14" t="s">
        <v>1476</v>
      </c>
      <c r="B605" s="3" t="s">
        <v>1453</v>
      </c>
      <c r="C605" s="3" t="s">
        <v>1477</v>
      </c>
      <c r="D605" s="3" t="s">
        <v>4737</v>
      </c>
      <c r="E605" s="3" t="s">
        <v>4829</v>
      </c>
      <c r="F605" s="3" t="s">
        <v>1455</v>
      </c>
      <c r="G605" s="3">
        <v>29.056999999999999</v>
      </c>
      <c r="H605" s="3" t="s">
        <v>4644</v>
      </c>
      <c r="I605" s="3" t="s">
        <v>4645</v>
      </c>
      <c r="J605" s="3" t="s">
        <v>4733</v>
      </c>
      <c r="K605" s="3">
        <v>87</v>
      </c>
      <c r="L605" s="3" t="s">
        <v>4647</v>
      </c>
    </row>
    <row r="606" spans="1:12" ht="33.75" customHeight="1" x14ac:dyDescent="0.25">
      <c r="A606" s="13" t="s">
        <v>1478</v>
      </c>
      <c r="B606" s="2" t="s">
        <v>1479</v>
      </c>
      <c r="C606" s="2" t="s">
        <v>1480</v>
      </c>
      <c r="D606" s="2" t="s">
        <v>4737</v>
      </c>
      <c r="E606" s="2" t="s">
        <v>4830</v>
      </c>
      <c r="F606" s="2" t="s">
        <v>1481</v>
      </c>
      <c r="G606" s="2">
        <v>28.617000000000001</v>
      </c>
      <c r="H606" s="2" t="s">
        <v>4644</v>
      </c>
      <c r="I606" s="2" t="s">
        <v>4645</v>
      </c>
      <c r="J606" s="2" t="s">
        <v>4684</v>
      </c>
      <c r="K606" s="2">
        <v>63</v>
      </c>
      <c r="L606" s="2" t="s">
        <v>4647</v>
      </c>
    </row>
    <row r="607" spans="1:12" ht="33.75" customHeight="1" x14ac:dyDescent="0.25">
      <c r="A607" s="14" t="s">
        <v>1482</v>
      </c>
      <c r="B607" s="3" t="s">
        <v>1453</v>
      </c>
      <c r="C607" s="3" t="s">
        <v>1483</v>
      </c>
      <c r="D607" s="3" t="s">
        <v>4737</v>
      </c>
      <c r="E607" s="3" t="s">
        <v>4829</v>
      </c>
      <c r="F607" s="3" t="s">
        <v>1455</v>
      </c>
      <c r="G607" s="3">
        <v>29.056999999999999</v>
      </c>
      <c r="H607" s="3" t="s">
        <v>4644</v>
      </c>
      <c r="I607" s="3" t="s">
        <v>4645</v>
      </c>
      <c r="J607" s="3" t="s">
        <v>4733</v>
      </c>
      <c r="K607" s="3">
        <v>87</v>
      </c>
      <c r="L607" s="3" t="s">
        <v>4647</v>
      </c>
    </row>
    <row r="608" spans="1:12" ht="33.75" customHeight="1" x14ac:dyDescent="0.25">
      <c r="A608" s="13" t="s">
        <v>1484</v>
      </c>
      <c r="B608" s="2" t="s">
        <v>1479</v>
      </c>
      <c r="C608" s="2" t="s">
        <v>1485</v>
      </c>
      <c r="D608" s="2" t="s">
        <v>4737</v>
      </c>
      <c r="E608" s="2" t="s">
        <v>4830</v>
      </c>
      <c r="F608" s="2" t="s">
        <v>1481</v>
      </c>
      <c r="G608" s="2">
        <v>28.617000000000001</v>
      </c>
      <c r="H608" s="2" t="s">
        <v>4644</v>
      </c>
      <c r="I608" s="2" t="s">
        <v>4645</v>
      </c>
      <c r="J608" s="2" t="s">
        <v>4684</v>
      </c>
      <c r="K608" s="2">
        <v>63</v>
      </c>
      <c r="L608" s="2" t="s">
        <v>4647</v>
      </c>
    </row>
    <row r="609" spans="1:12" ht="33.75" customHeight="1" x14ac:dyDescent="0.25">
      <c r="A609" s="14" t="s">
        <v>1486</v>
      </c>
      <c r="B609" s="3" t="s">
        <v>1151</v>
      </c>
      <c r="C609" s="3" t="s">
        <v>1487</v>
      </c>
      <c r="D609" s="3"/>
      <c r="E609" s="3" t="s">
        <v>4812</v>
      </c>
      <c r="F609" s="3" t="s">
        <v>1153</v>
      </c>
      <c r="G609" s="3">
        <v>30.6372</v>
      </c>
      <c r="H609" s="3" t="s">
        <v>4644</v>
      </c>
      <c r="I609" s="3" t="s">
        <v>4645</v>
      </c>
      <c r="J609" s="3" t="s">
        <v>4693</v>
      </c>
      <c r="K609" s="3">
        <v>72</v>
      </c>
      <c r="L609" s="3" t="s">
        <v>4647</v>
      </c>
    </row>
    <row r="610" spans="1:12" ht="33.75" customHeight="1" x14ac:dyDescent="0.25">
      <c r="A610" s="13" t="s">
        <v>1488</v>
      </c>
      <c r="B610" s="2" t="s">
        <v>1151</v>
      </c>
      <c r="C610" s="2" t="s">
        <v>1489</v>
      </c>
      <c r="D610" s="2"/>
      <c r="E610" s="2" t="s">
        <v>4812</v>
      </c>
      <c r="F610" s="2" t="s">
        <v>1153</v>
      </c>
      <c r="G610" s="2">
        <v>30.6372</v>
      </c>
      <c r="H610" s="2" t="s">
        <v>4644</v>
      </c>
      <c r="I610" s="2" t="s">
        <v>4645</v>
      </c>
      <c r="J610" s="2" t="s">
        <v>4693</v>
      </c>
      <c r="K610" s="2">
        <v>72</v>
      </c>
      <c r="L610" s="2" t="s">
        <v>4647</v>
      </c>
    </row>
    <row r="611" spans="1:12" ht="33.75" customHeight="1" x14ac:dyDescent="0.25">
      <c r="A611" s="14" t="s">
        <v>1490</v>
      </c>
      <c r="B611" s="3" t="s">
        <v>1151</v>
      </c>
      <c r="C611" s="3" t="s">
        <v>1491</v>
      </c>
      <c r="D611" s="3"/>
      <c r="E611" s="3" t="s">
        <v>4812</v>
      </c>
      <c r="F611" s="3" t="s">
        <v>1153</v>
      </c>
      <c r="G611" s="3">
        <v>30.6372</v>
      </c>
      <c r="H611" s="3" t="s">
        <v>4644</v>
      </c>
      <c r="I611" s="3" t="s">
        <v>4645</v>
      </c>
      <c r="J611" s="3" t="s">
        <v>4693</v>
      </c>
      <c r="K611" s="3">
        <v>72</v>
      </c>
      <c r="L611" s="3" t="s">
        <v>4647</v>
      </c>
    </row>
    <row r="612" spans="1:12" ht="33.75" customHeight="1" x14ac:dyDescent="0.25">
      <c r="A612" s="13" t="s">
        <v>1492</v>
      </c>
      <c r="B612" s="2" t="s">
        <v>1151</v>
      </c>
      <c r="C612" s="2" t="s">
        <v>1487</v>
      </c>
      <c r="D612" s="2"/>
      <c r="E612" s="2" t="s">
        <v>4812</v>
      </c>
      <c r="F612" s="2" t="s">
        <v>1153</v>
      </c>
      <c r="G612" s="2">
        <v>30.6372</v>
      </c>
      <c r="H612" s="2" t="s">
        <v>4644</v>
      </c>
      <c r="I612" s="2" t="s">
        <v>4645</v>
      </c>
      <c r="J612" s="2" t="s">
        <v>4693</v>
      </c>
      <c r="K612" s="2">
        <v>72</v>
      </c>
      <c r="L612" s="2" t="s">
        <v>4647</v>
      </c>
    </row>
    <row r="613" spans="1:12" ht="33.75" customHeight="1" x14ac:dyDescent="0.25">
      <c r="A613" s="14" t="s">
        <v>1493</v>
      </c>
      <c r="B613" s="3" t="s">
        <v>1494</v>
      </c>
      <c r="C613" s="3" t="s">
        <v>1495</v>
      </c>
      <c r="D613" s="3" t="s">
        <v>4737</v>
      </c>
      <c r="E613" s="3" t="s">
        <v>4831</v>
      </c>
      <c r="F613" s="3" t="s">
        <v>1496</v>
      </c>
      <c r="G613" s="3">
        <v>28.887</v>
      </c>
      <c r="H613" s="3" t="s">
        <v>4644</v>
      </c>
      <c r="I613" s="3" t="s">
        <v>4645</v>
      </c>
      <c r="J613" s="3" t="s">
        <v>4693</v>
      </c>
      <c r="K613" s="3">
        <v>72</v>
      </c>
      <c r="L613" s="3" t="s">
        <v>4647</v>
      </c>
    </row>
    <row r="614" spans="1:12" ht="33.75" customHeight="1" x14ac:dyDescent="0.25">
      <c r="A614" s="13" t="s">
        <v>1497</v>
      </c>
      <c r="B614" s="2" t="s">
        <v>1498</v>
      </c>
      <c r="C614" s="2" t="s">
        <v>1499</v>
      </c>
      <c r="D614" s="2" t="s">
        <v>4737</v>
      </c>
      <c r="E614" s="2" t="s">
        <v>4832</v>
      </c>
      <c r="F614" s="2" t="s">
        <v>1500</v>
      </c>
      <c r="G614" s="2">
        <v>28.617000000000001</v>
      </c>
      <c r="H614" s="2" t="s">
        <v>4644</v>
      </c>
      <c r="I614" s="2" t="s">
        <v>4645</v>
      </c>
      <c r="J614" s="2" t="s">
        <v>4693</v>
      </c>
      <c r="K614" s="2">
        <v>54</v>
      </c>
      <c r="L614" s="2" t="s">
        <v>4647</v>
      </c>
    </row>
    <row r="615" spans="1:12" ht="33.75" customHeight="1" x14ac:dyDescent="0.25">
      <c r="A615" s="14" t="s">
        <v>1501</v>
      </c>
      <c r="B615" s="3" t="s">
        <v>1453</v>
      </c>
      <c r="C615" s="3" t="s">
        <v>1502</v>
      </c>
      <c r="D615" s="3" t="s">
        <v>4737</v>
      </c>
      <c r="E615" s="3" t="s">
        <v>4829</v>
      </c>
      <c r="F615" s="3" t="s">
        <v>1455</v>
      </c>
      <c r="G615" s="3">
        <v>29.056999999999999</v>
      </c>
      <c r="H615" s="3" t="s">
        <v>4644</v>
      </c>
      <c r="I615" s="3" t="s">
        <v>4645</v>
      </c>
      <c r="J615" s="3" t="s">
        <v>4733</v>
      </c>
      <c r="K615" s="3">
        <v>87</v>
      </c>
      <c r="L615" s="3" t="s">
        <v>4647</v>
      </c>
    </row>
    <row r="616" spans="1:12" ht="33.75" customHeight="1" x14ac:dyDescent="0.25">
      <c r="A616" s="13" t="s">
        <v>1503</v>
      </c>
      <c r="B616" s="2" t="s">
        <v>1402</v>
      </c>
      <c r="C616" s="2" t="s">
        <v>1504</v>
      </c>
      <c r="D616" s="2" t="s">
        <v>4737</v>
      </c>
      <c r="E616" s="2" t="s">
        <v>4825</v>
      </c>
      <c r="F616" s="2" t="s">
        <v>1404</v>
      </c>
      <c r="G616" s="2">
        <v>28.649000000000001</v>
      </c>
      <c r="H616" s="2" t="s">
        <v>4644</v>
      </c>
      <c r="I616" s="2" t="s">
        <v>4645</v>
      </c>
      <c r="J616" s="2" t="s">
        <v>4721</v>
      </c>
      <c r="K616" s="2">
        <v>54</v>
      </c>
      <c r="L616" s="2" t="s">
        <v>4647</v>
      </c>
    </row>
    <row r="617" spans="1:12" ht="33.75" customHeight="1" x14ac:dyDescent="0.25">
      <c r="A617" s="14" t="s">
        <v>1505</v>
      </c>
      <c r="B617" s="3" t="s">
        <v>390</v>
      </c>
      <c r="C617" s="3" t="s">
        <v>1506</v>
      </c>
      <c r="D617" s="3"/>
      <c r="E617" s="3" t="s">
        <v>4728</v>
      </c>
      <c r="F617" s="3" t="s">
        <v>392</v>
      </c>
      <c r="G617" s="3">
        <v>35.367600000000003</v>
      </c>
      <c r="H617" s="3" t="s">
        <v>4644</v>
      </c>
      <c r="I617" s="3" t="s">
        <v>4645</v>
      </c>
      <c r="J617" s="3" t="s">
        <v>4729</v>
      </c>
      <c r="K617" s="3">
        <v>120</v>
      </c>
      <c r="L617" s="3" t="s">
        <v>4647</v>
      </c>
    </row>
    <row r="618" spans="1:12" ht="33.75" customHeight="1" x14ac:dyDescent="0.25">
      <c r="A618" s="13" t="s">
        <v>1507</v>
      </c>
      <c r="B618" s="2" t="s">
        <v>418</v>
      </c>
      <c r="C618" s="2" t="s">
        <v>1508</v>
      </c>
      <c r="D618" s="2"/>
      <c r="E618" s="2" t="s">
        <v>4734</v>
      </c>
      <c r="F618" s="2" t="s">
        <v>420</v>
      </c>
      <c r="G618" s="2">
        <v>30.655200000000001</v>
      </c>
      <c r="H618" s="2" t="s">
        <v>4644</v>
      </c>
      <c r="I618" s="2" t="s">
        <v>4645</v>
      </c>
      <c r="J618" s="2" t="s">
        <v>4735</v>
      </c>
      <c r="K618" s="2">
        <v>72</v>
      </c>
      <c r="L618" s="2" t="s">
        <v>4647</v>
      </c>
    </row>
    <row r="619" spans="1:12" ht="33.75" customHeight="1" x14ac:dyDescent="0.25">
      <c r="A619" s="14" t="s">
        <v>1509</v>
      </c>
      <c r="B619" s="3" t="s">
        <v>1510</v>
      </c>
      <c r="C619" s="3" t="s">
        <v>1511</v>
      </c>
      <c r="D619" s="3" t="s">
        <v>4737</v>
      </c>
      <c r="E619" s="3" t="s">
        <v>4833</v>
      </c>
      <c r="F619" s="3" t="s">
        <v>1512</v>
      </c>
      <c r="G619" s="3">
        <v>28.617000000000001</v>
      </c>
      <c r="H619" s="3" t="s">
        <v>4644</v>
      </c>
      <c r="I619" s="3" t="s">
        <v>4645</v>
      </c>
      <c r="J619" s="3" t="s">
        <v>4735</v>
      </c>
      <c r="K619" s="3">
        <v>72</v>
      </c>
      <c r="L619" s="3" t="s">
        <v>4647</v>
      </c>
    </row>
    <row r="620" spans="1:12" ht="33.75" customHeight="1" x14ac:dyDescent="0.25">
      <c r="A620" s="13" t="s">
        <v>1513</v>
      </c>
      <c r="B620" s="2" t="s">
        <v>1510</v>
      </c>
      <c r="C620" s="2" t="s">
        <v>1514</v>
      </c>
      <c r="D620" s="2" t="s">
        <v>4737</v>
      </c>
      <c r="E620" s="2" t="s">
        <v>4833</v>
      </c>
      <c r="F620" s="2" t="s">
        <v>1512</v>
      </c>
      <c r="G620" s="2">
        <v>28.617000000000001</v>
      </c>
      <c r="H620" s="2" t="s">
        <v>4644</v>
      </c>
      <c r="I620" s="2" t="s">
        <v>4645</v>
      </c>
      <c r="J620" s="2" t="s">
        <v>4735</v>
      </c>
      <c r="K620" s="2">
        <v>72</v>
      </c>
      <c r="L620" s="2" t="s">
        <v>4647</v>
      </c>
    </row>
    <row r="621" spans="1:12" ht="33.75" customHeight="1" x14ac:dyDescent="0.25">
      <c r="A621" s="14" t="s">
        <v>1515</v>
      </c>
      <c r="B621" s="3" t="s">
        <v>1510</v>
      </c>
      <c r="C621" s="3" t="s">
        <v>1516</v>
      </c>
      <c r="D621" s="3" t="s">
        <v>4737</v>
      </c>
      <c r="E621" s="3" t="s">
        <v>4833</v>
      </c>
      <c r="F621" s="3" t="s">
        <v>1512</v>
      </c>
      <c r="G621" s="3">
        <v>28.617000000000001</v>
      </c>
      <c r="H621" s="3" t="s">
        <v>4644</v>
      </c>
      <c r="I621" s="3" t="s">
        <v>4645</v>
      </c>
      <c r="J621" s="3" t="s">
        <v>4735</v>
      </c>
      <c r="K621" s="3">
        <v>72</v>
      </c>
      <c r="L621" s="3" t="s">
        <v>4647</v>
      </c>
    </row>
    <row r="622" spans="1:12" ht="33.75" customHeight="1" x14ac:dyDescent="0.25">
      <c r="A622" s="13" t="s">
        <v>1517</v>
      </c>
      <c r="B622" s="2" t="s">
        <v>1510</v>
      </c>
      <c r="C622" s="2" t="s">
        <v>1518</v>
      </c>
      <c r="D622" s="2" t="s">
        <v>4737</v>
      </c>
      <c r="E622" s="2" t="s">
        <v>4833</v>
      </c>
      <c r="F622" s="2" t="s">
        <v>1512</v>
      </c>
      <c r="G622" s="2">
        <v>28.617000000000001</v>
      </c>
      <c r="H622" s="2" t="s">
        <v>4644</v>
      </c>
      <c r="I622" s="2" t="s">
        <v>4645</v>
      </c>
      <c r="J622" s="2" t="s">
        <v>4735</v>
      </c>
      <c r="K622" s="2">
        <v>72</v>
      </c>
      <c r="L622" s="2" t="s">
        <v>4647</v>
      </c>
    </row>
    <row r="623" spans="1:12" ht="33.75" customHeight="1" x14ac:dyDescent="0.25">
      <c r="A623" s="14" t="s">
        <v>1519</v>
      </c>
      <c r="B623" s="3" t="s">
        <v>1510</v>
      </c>
      <c r="C623" s="3" t="s">
        <v>1520</v>
      </c>
      <c r="D623" s="3" t="s">
        <v>4737</v>
      </c>
      <c r="E623" s="3" t="s">
        <v>4833</v>
      </c>
      <c r="F623" s="3" t="s">
        <v>1512</v>
      </c>
      <c r="G623" s="3">
        <v>28.617000000000001</v>
      </c>
      <c r="H623" s="3" t="s">
        <v>4644</v>
      </c>
      <c r="I623" s="3" t="s">
        <v>4645</v>
      </c>
      <c r="J623" s="3" t="s">
        <v>4735</v>
      </c>
      <c r="K623" s="3">
        <v>72</v>
      </c>
      <c r="L623" s="3" t="s">
        <v>4647</v>
      </c>
    </row>
    <row r="624" spans="1:12" ht="33.75" customHeight="1" x14ac:dyDescent="0.25">
      <c r="A624" s="13" t="s">
        <v>1521</v>
      </c>
      <c r="B624" s="2" t="s">
        <v>1510</v>
      </c>
      <c r="C624" s="2" t="s">
        <v>1522</v>
      </c>
      <c r="D624" s="2" t="s">
        <v>4737</v>
      </c>
      <c r="E624" s="2" t="s">
        <v>4833</v>
      </c>
      <c r="F624" s="2" t="s">
        <v>1512</v>
      </c>
      <c r="G624" s="2">
        <v>28.617000000000001</v>
      </c>
      <c r="H624" s="2" t="s">
        <v>4644</v>
      </c>
      <c r="I624" s="2" t="s">
        <v>4645</v>
      </c>
      <c r="J624" s="2" t="s">
        <v>4735</v>
      </c>
      <c r="K624" s="2">
        <v>72</v>
      </c>
      <c r="L624" s="2" t="s">
        <v>4647</v>
      </c>
    </row>
    <row r="625" spans="1:12" ht="33.75" customHeight="1" x14ac:dyDescent="0.25">
      <c r="A625" s="14" t="s">
        <v>1523</v>
      </c>
      <c r="B625" s="3" t="s">
        <v>1510</v>
      </c>
      <c r="C625" s="3" t="s">
        <v>1524</v>
      </c>
      <c r="D625" s="3" t="s">
        <v>4737</v>
      </c>
      <c r="E625" s="3" t="s">
        <v>4833</v>
      </c>
      <c r="F625" s="3" t="s">
        <v>1512</v>
      </c>
      <c r="G625" s="3">
        <v>28.617000000000001</v>
      </c>
      <c r="H625" s="3" t="s">
        <v>4644</v>
      </c>
      <c r="I625" s="3" t="s">
        <v>4645</v>
      </c>
      <c r="J625" s="3" t="s">
        <v>4735</v>
      </c>
      <c r="K625" s="3">
        <v>72</v>
      </c>
      <c r="L625" s="3" t="s">
        <v>4647</v>
      </c>
    </row>
    <row r="626" spans="1:12" ht="33.75" customHeight="1" x14ac:dyDescent="0.25">
      <c r="A626" s="13" t="s">
        <v>1525</v>
      </c>
      <c r="B626" s="2" t="s">
        <v>1510</v>
      </c>
      <c r="C626" s="2" t="s">
        <v>1526</v>
      </c>
      <c r="D626" s="2" t="s">
        <v>4737</v>
      </c>
      <c r="E626" s="2" t="s">
        <v>4833</v>
      </c>
      <c r="F626" s="2" t="s">
        <v>1512</v>
      </c>
      <c r="G626" s="2">
        <v>28.617000000000001</v>
      </c>
      <c r="H626" s="2" t="s">
        <v>4644</v>
      </c>
      <c r="I626" s="2" t="s">
        <v>4645</v>
      </c>
      <c r="J626" s="2" t="s">
        <v>4735</v>
      </c>
      <c r="K626" s="2">
        <v>72</v>
      </c>
      <c r="L626" s="2" t="s">
        <v>4647</v>
      </c>
    </row>
    <row r="627" spans="1:12" ht="33.75" customHeight="1" x14ac:dyDescent="0.25">
      <c r="A627" s="14" t="s">
        <v>1527</v>
      </c>
      <c r="B627" s="3" t="s">
        <v>1528</v>
      </c>
      <c r="C627" s="3" t="s">
        <v>1529</v>
      </c>
      <c r="D627" s="3" t="s">
        <v>4834</v>
      </c>
      <c r="E627" s="3" t="s">
        <v>4835</v>
      </c>
      <c r="F627" s="3" t="s">
        <v>1530</v>
      </c>
      <c r="G627" s="3">
        <v>28.1892</v>
      </c>
      <c r="H627" s="3" t="s">
        <v>4644</v>
      </c>
      <c r="I627" s="3" t="s">
        <v>4645</v>
      </c>
      <c r="J627" s="3" t="s">
        <v>4723</v>
      </c>
      <c r="K627" s="3">
        <v>72</v>
      </c>
      <c r="L627" s="3" t="s">
        <v>4647</v>
      </c>
    </row>
    <row r="628" spans="1:12" ht="33.75" customHeight="1" x14ac:dyDescent="0.25">
      <c r="A628" s="13" t="s">
        <v>1531</v>
      </c>
      <c r="B628" s="2" t="s">
        <v>324</v>
      </c>
      <c r="C628" s="2" t="s">
        <v>1532</v>
      </c>
      <c r="D628" s="2"/>
      <c r="E628" s="2" t="s">
        <v>4704</v>
      </c>
      <c r="F628" s="2" t="s">
        <v>326</v>
      </c>
      <c r="G628" s="2">
        <v>29.719200000000001</v>
      </c>
      <c r="H628" s="2" t="s">
        <v>4644</v>
      </c>
      <c r="I628" s="2" t="s">
        <v>4645</v>
      </c>
      <c r="J628" s="2" t="s">
        <v>4697</v>
      </c>
      <c r="K628" s="2">
        <v>45</v>
      </c>
      <c r="L628" s="2" t="s">
        <v>4647</v>
      </c>
    </row>
    <row r="629" spans="1:12" ht="33.75" customHeight="1" x14ac:dyDescent="0.25">
      <c r="A629" s="14" t="s">
        <v>1533</v>
      </c>
      <c r="B629" s="3" t="s">
        <v>324</v>
      </c>
      <c r="C629" s="3" t="s">
        <v>1534</v>
      </c>
      <c r="D629" s="3"/>
      <c r="E629" s="3" t="s">
        <v>4704</v>
      </c>
      <c r="F629" s="3" t="s">
        <v>326</v>
      </c>
      <c r="G629" s="3">
        <v>29.719200000000001</v>
      </c>
      <c r="H629" s="3" t="s">
        <v>4644</v>
      </c>
      <c r="I629" s="3" t="s">
        <v>4645</v>
      </c>
      <c r="J629" s="3" t="s">
        <v>4697</v>
      </c>
      <c r="K629" s="3">
        <v>45</v>
      </c>
      <c r="L629" s="3" t="s">
        <v>4647</v>
      </c>
    </row>
    <row r="630" spans="1:12" ht="33.75" customHeight="1" x14ac:dyDescent="0.25">
      <c r="A630" s="13" t="s">
        <v>1535</v>
      </c>
      <c r="B630" s="2" t="s">
        <v>324</v>
      </c>
      <c r="C630" s="2" t="s">
        <v>1536</v>
      </c>
      <c r="D630" s="2" t="s">
        <v>4661</v>
      </c>
      <c r="E630" s="2" t="s">
        <v>4704</v>
      </c>
      <c r="F630" s="2" t="s">
        <v>326</v>
      </c>
      <c r="G630" s="2">
        <v>29.719200000000001</v>
      </c>
      <c r="H630" s="2" t="s">
        <v>4644</v>
      </c>
      <c r="I630" s="2" t="s">
        <v>4645</v>
      </c>
      <c r="J630" s="2" t="s">
        <v>4697</v>
      </c>
      <c r="K630" s="2">
        <v>45</v>
      </c>
      <c r="L630" s="2" t="s">
        <v>4647</v>
      </c>
    </row>
    <row r="631" spans="1:12" ht="33.75" customHeight="1" x14ac:dyDescent="0.25">
      <c r="A631" s="14" t="s">
        <v>1537</v>
      </c>
      <c r="B631" s="3" t="s">
        <v>324</v>
      </c>
      <c r="C631" s="3" t="s">
        <v>1538</v>
      </c>
      <c r="D631" s="3"/>
      <c r="E631" s="3" t="s">
        <v>4704</v>
      </c>
      <c r="F631" s="3" t="s">
        <v>326</v>
      </c>
      <c r="G631" s="3">
        <v>29.719200000000001</v>
      </c>
      <c r="H631" s="3" t="s">
        <v>4644</v>
      </c>
      <c r="I631" s="3" t="s">
        <v>4645</v>
      </c>
      <c r="J631" s="3" t="s">
        <v>4697</v>
      </c>
      <c r="K631" s="3">
        <v>45</v>
      </c>
      <c r="L631" s="3" t="s">
        <v>4647</v>
      </c>
    </row>
    <row r="632" spans="1:12" ht="33.75" customHeight="1" x14ac:dyDescent="0.25">
      <c r="A632" s="13" t="s">
        <v>1539</v>
      </c>
      <c r="B632" s="2" t="s">
        <v>404</v>
      </c>
      <c r="C632" s="2" t="s">
        <v>1540</v>
      </c>
      <c r="D632" s="2"/>
      <c r="E632" s="2" t="s">
        <v>4731</v>
      </c>
      <c r="F632" s="2" t="s">
        <v>406</v>
      </c>
      <c r="G632" s="2">
        <v>29.999199999999998</v>
      </c>
      <c r="H632" s="2" t="s">
        <v>4644</v>
      </c>
      <c r="I632" s="2" t="s">
        <v>4645</v>
      </c>
      <c r="J632" s="2" t="s">
        <v>4695</v>
      </c>
      <c r="K632" s="2">
        <v>63</v>
      </c>
      <c r="L632" s="2" t="s">
        <v>4647</v>
      </c>
    </row>
    <row r="633" spans="1:12" ht="33.75" customHeight="1" x14ac:dyDescent="0.25">
      <c r="A633" s="14" t="s">
        <v>1541</v>
      </c>
      <c r="B633" s="3" t="s">
        <v>404</v>
      </c>
      <c r="C633" s="3" t="s">
        <v>1542</v>
      </c>
      <c r="D633" s="3"/>
      <c r="E633" s="3" t="s">
        <v>4731</v>
      </c>
      <c r="F633" s="3" t="s">
        <v>406</v>
      </c>
      <c r="G633" s="3">
        <v>29.999199999999998</v>
      </c>
      <c r="H633" s="3" t="s">
        <v>4644</v>
      </c>
      <c r="I633" s="3" t="s">
        <v>4645</v>
      </c>
      <c r="J633" s="3" t="s">
        <v>4695</v>
      </c>
      <c r="K633" s="3">
        <v>63</v>
      </c>
      <c r="L633" s="3" t="s">
        <v>4647</v>
      </c>
    </row>
    <row r="634" spans="1:12" ht="33.75" customHeight="1" x14ac:dyDescent="0.25">
      <c r="A634" s="13" t="s">
        <v>1543</v>
      </c>
      <c r="B634" s="2" t="s">
        <v>404</v>
      </c>
      <c r="C634" s="2" t="s">
        <v>1544</v>
      </c>
      <c r="D634" s="2"/>
      <c r="E634" s="2" t="s">
        <v>4731</v>
      </c>
      <c r="F634" s="2" t="s">
        <v>406</v>
      </c>
      <c r="G634" s="2">
        <v>29.999199999999998</v>
      </c>
      <c r="H634" s="2" t="s">
        <v>4644</v>
      </c>
      <c r="I634" s="2" t="s">
        <v>4645</v>
      </c>
      <c r="J634" s="2" t="s">
        <v>4695</v>
      </c>
      <c r="K634" s="2">
        <v>63</v>
      </c>
      <c r="L634" s="2" t="s">
        <v>4647</v>
      </c>
    </row>
    <row r="635" spans="1:12" ht="33.75" customHeight="1" x14ac:dyDescent="0.25">
      <c r="A635" s="14" t="s">
        <v>1545</v>
      </c>
      <c r="B635" s="3" t="s">
        <v>404</v>
      </c>
      <c r="C635" s="3" t="s">
        <v>1546</v>
      </c>
      <c r="D635" s="3"/>
      <c r="E635" s="3" t="s">
        <v>4731</v>
      </c>
      <c r="F635" s="3" t="s">
        <v>406</v>
      </c>
      <c r="G635" s="3">
        <v>29.999199999999998</v>
      </c>
      <c r="H635" s="3" t="s">
        <v>4644</v>
      </c>
      <c r="I635" s="3" t="s">
        <v>4645</v>
      </c>
      <c r="J635" s="3" t="s">
        <v>4695</v>
      </c>
      <c r="K635" s="3">
        <v>63</v>
      </c>
      <c r="L635" s="3" t="s">
        <v>4647</v>
      </c>
    </row>
    <row r="636" spans="1:12" ht="33.75" customHeight="1" x14ac:dyDescent="0.25">
      <c r="A636" s="13" t="s">
        <v>1547</v>
      </c>
      <c r="B636" s="2" t="s">
        <v>404</v>
      </c>
      <c r="C636" s="2" t="s">
        <v>1548</v>
      </c>
      <c r="D636" s="2"/>
      <c r="E636" s="2" t="s">
        <v>4731</v>
      </c>
      <c r="F636" s="2" t="s">
        <v>406</v>
      </c>
      <c r="G636" s="2">
        <v>29.999199999999998</v>
      </c>
      <c r="H636" s="2" t="s">
        <v>4644</v>
      </c>
      <c r="I636" s="2" t="s">
        <v>4645</v>
      </c>
      <c r="J636" s="2" t="s">
        <v>4695</v>
      </c>
      <c r="K636" s="2">
        <v>63</v>
      </c>
      <c r="L636" s="2" t="s">
        <v>4647</v>
      </c>
    </row>
    <row r="637" spans="1:12" ht="33.75" customHeight="1" x14ac:dyDescent="0.25">
      <c r="A637" s="14" t="s">
        <v>1549</v>
      </c>
      <c r="B637" s="3" t="s">
        <v>1479</v>
      </c>
      <c r="C637" s="3" t="s">
        <v>1550</v>
      </c>
      <c r="D637" s="3" t="s">
        <v>4737</v>
      </c>
      <c r="E637" s="3" t="s">
        <v>4830</v>
      </c>
      <c r="F637" s="3" t="s">
        <v>1481</v>
      </c>
      <c r="G637" s="3">
        <v>28.617000000000001</v>
      </c>
      <c r="H637" s="3" t="s">
        <v>4644</v>
      </c>
      <c r="I637" s="3" t="s">
        <v>4645</v>
      </c>
      <c r="J637" s="3" t="s">
        <v>4695</v>
      </c>
      <c r="K637" s="3">
        <v>63</v>
      </c>
      <c r="L637" s="3" t="s">
        <v>4647</v>
      </c>
    </row>
    <row r="638" spans="1:12" ht="33.75" customHeight="1" x14ac:dyDescent="0.25">
      <c r="A638" s="13" t="s">
        <v>1551</v>
      </c>
      <c r="B638" s="2" t="s">
        <v>1479</v>
      </c>
      <c r="C638" s="2" t="s">
        <v>1552</v>
      </c>
      <c r="D638" s="2" t="s">
        <v>4737</v>
      </c>
      <c r="E638" s="2" t="s">
        <v>4830</v>
      </c>
      <c r="F638" s="2" t="s">
        <v>1481</v>
      </c>
      <c r="G638" s="2">
        <v>28.617000000000001</v>
      </c>
      <c r="H638" s="2" t="s">
        <v>4644</v>
      </c>
      <c r="I638" s="2" t="s">
        <v>4645</v>
      </c>
      <c r="J638" s="2" t="s">
        <v>4695</v>
      </c>
      <c r="K638" s="2">
        <v>63</v>
      </c>
      <c r="L638" s="2" t="s">
        <v>4647</v>
      </c>
    </row>
    <row r="639" spans="1:12" ht="33.75" customHeight="1" x14ac:dyDescent="0.25">
      <c r="A639" s="14" t="s">
        <v>1553</v>
      </c>
      <c r="B639" s="3" t="s">
        <v>1479</v>
      </c>
      <c r="C639" s="3" t="s">
        <v>1554</v>
      </c>
      <c r="D639" s="3" t="s">
        <v>4737</v>
      </c>
      <c r="E639" s="3" t="s">
        <v>4830</v>
      </c>
      <c r="F639" s="3" t="s">
        <v>1481</v>
      </c>
      <c r="G639" s="3">
        <v>28.617000000000001</v>
      </c>
      <c r="H639" s="3" t="s">
        <v>4644</v>
      </c>
      <c r="I639" s="3" t="s">
        <v>4645</v>
      </c>
      <c r="J639" s="3" t="s">
        <v>4695</v>
      </c>
      <c r="K639" s="3">
        <v>63</v>
      </c>
      <c r="L639" s="3" t="s">
        <v>4647</v>
      </c>
    </row>
    <row r="640" spans="1:12" ht="33.75" customHeight="1" x14ac:dyDescent="0.25">
      <c r="A640" s="13" t="s">
        <v>1555</v>
      </c>
      <c r="B640" s="2" t="s">
        <v>1479</v>
      </c>
      <c r="C640" s="2" t="s">
        <v>1556</v>
      </c>
      <c r="D640" s="2" t="s">
        <v>4737</v>
      </c>
      <c r="E640" s="2" t="s">
        <v>4830</v>
      </c>
      <c r="F640" s="2" t="s">
        <v>1481</v>
      </c>
      <c r="G640" s="2">
        <v>28.617000000000001</v>
      </c>
      <c r="H640" s="2" t="s">
        <v>4644</v>
      </c>
      <c r="I640" s="2" t="s">
        <v>4645</v>
      </c>
      <c r="J640" s="2" t="s">
        <v>4695</v>
      </c>
      <c r="K640" s="2">
        <v>63</v>
      </c>
      <c r="L640" s="2" t="s">
        <v>4647</v>
      </c>
    </row>
    <row r="641" spans="1:12" ht="33.75" customHeight="1" x14ac:dyDescent="0.25">
      <c r="A641" s="14" t="s">
        <v>1557</v>
      </c>
      <c r="B641" s="3" t="s">
        <v>1151</v>
      </c>
      <c r="C641" s="3" t="s">
        <v>1558</v>
      </c>
      <c r="D641" s="3"/>
      <c r="E641" s="3" t="s">
        <v>4812</v>
      </c>
      <c r="F641" s="3" t="s">
        <v>1153</v>
      </c>
      <c r="G641" s="3">
        <v>30.6372</v>
      </c>
      <c r="H641" s="3" t="s">
        <v>4644</v>
      </c>
      <c r="I641" s="3" t="s">
        <v>4645</v>
      </c>
      <c r="J641" s="3" t="s">
        <v>4723</v>
      </c>
      <c r="K641" s="3">
        <v>72</v>
      </c>
      <c r="L641" s="3" t="s">
        <v>4647</v>
      </c>
    </row>
    <row r="642" spans="1:12" ht="33.75" customHeight="1" x14ac:dyDescent="0.25">
      <c r="A642" s="13" t="s">
        <v>1559</v>
      </c>
      <c r="B642" s="2" t="s">
        <v>1560</v>
      </c>
      <c r="C642" s="2" t="s">
        <v>1561</v>
      </c>
      <c r="D642" s="2" t="s">
        <v>4648</v>
      </c>
      <c r="E642" s="2" t="s">
        <v>4836</v>
      </c>
      <c r="F642" s="2" t="s">
        <v>1562</v>
      </c>
      <c r="G642" s="2">
        <v>47.225999999999999</v>
      </c>
      <c r="H642" s="2" t="s">
        <v>4644</v>
      </c>
      <c r="I642" s="2" t="s">
        <v>4645</v>
      </c>
      <c r="J642" s="2" t="s">
        <v>4735</v>
      </c>
      <c r="K642" s="2">
        <v>76</v>
      </c>
      <c r="L642" s="2" t="s">
        <v>4647</v>
      </c>
    </row>
    <row r="643" spans="1:12" ht="33.75" customHeight="1" x14ac:dyDescent="0.25">
      <c r="A643" s="14" t="s">
        <v>1563</v>
      </c>
      <c r="B643" s="3" t="s">
        <v>1564</v>
      </c>
      <c r="C643" s="3" t="s">
        <v>1565</v>
      </c>
      <c r="D643" s="3" t="s">
        <v>4648</v>
      </c>
      <c r="E643" s="3" t="s">
        <v>4837</v>
      </c>
      <c r="F643" s="3" t="s">
        <v>1566</v>
      </c>
      <c r="G643" s="3">
        <v>44.106000000000002</v>
      </c>
      <c r="H643" s="3" t="s">
        <v>4644</v>
      </c>
      <c r="I643" s="3" t="s">
        <v>4645</v>
      </c>
      <c r="J643" s="3" t="s">
        <v>4723</v>
      </c>
      <c r="K643" s="3">
        <v>56</v>
      </c>
      <c r="L643" s="3" t="s">
        <v>4647</v>
      </c>
    </row>
    <row r="644" spans="1:12" ht="33.75" customHeight="1" x14ac:dyDescent="0.25">
      <c r="A644" s="13" t="s">
        <v>1567</v>
      </c>
      <c r="B644" s="2" t="s">
        <v>382</v>
      </c>
      <c r="C644" s="2" t="s">
        <v>1568</v>
      </c>
      <c r="D644" s="2"/>
      <c r="E644" s="2" t="s">
        <v>4725</v>
      </c>
      <c r="F644" s="2" t="s">
        <v>384</v>
      </c>
      <c r="G644" s="2">
        <v>35.3172</v>
      </c>
      <c r="H644" s="2" t="s">
        <v>4644</v>
      </c>
      <c r="I644" s="2" t="s">
        <v>4645</v>
      </c>
      <c r="J644" s="2" t="s">
        <v>4726</v>
      </c>
      <c r="K644" s="2">
        <v>96</v>
      </c>
      <c r="L644" s="2" t="s">
        <v>4647</v>
      </c>
    </row>
    <row r="645" spans="1:12" ht="33.75" customHeight="1" x14ac:dyDescent="0.25">
      <c r="A645" s="14" t="s">
        <v>1569</v>
      </c>
      <c r="B645" s="3" t="s">
        <v>382</v>
      </c>
      <c r="C645" s="3" t="s">
        <v>1570</v>
      </c>
      <c r="D645" s="3"/>
      <c r="E645" s="3" t="s">
        <v>4725</v>
      </c>
      <c r="F645" s="3" t="s">
        <v>384</v>
      </c>
      <c r="G645" s="3">
        <v>35.3172</v>
      </c>
      <c r="H645" s="3" t="s">
        <v>4644</v>
      </c>
      <c r="I645" s="3" t="s">
        <v>4645</v>
      </c>
      <c r="J645" s="3" t="s">
        <v>4726</v>
      </c>
      <c r="K645" s="3">
        <v>96</v>
      </c>
      <c r="L645" s="3" t="s">
        <v>4647</v>
      </c>
    </row>
    <row r="646" spans="1:12" ht="33.75" customHeight="1" x14ac:dyDescent="0.25">
      <c r="A646" s="13" t="s">
        <v>1571</v>
      </c>
      <c r="B646" s="2" t="s">
        <v>1572</v>
      </c>
      <c r="C646" s="2" t="s">
        <v>1573</v>
      </c>
      <c r="D646" s="2" t="s">
        <v>4737</v>
      </c>
      <c r="E646" s="2" t="s">
        <v>4838</v>
      </c>
      <c r="F646" s="2" t="s">
        <v>1574</v>
      </c>
      <c r="G646" s="2">
        <v>28.649000000000001</v>
      </c>
      <c r="H646" s="2" t="s">
        <v>4644</v>
      </c>
      <c r="I646" s="2" t="s">
        <v>4645</v>
      </c>
      <c r="J646" s="2" t="s">
        <v>4726</v>
      </c>
      <c r="K646" s="2">
        <v>96</v>
      </c>
      <c r="L646" s="2" t="s">
        <v>4647</v>
      </c>
    </row>
    <row r="647" spans="1:12" ht="33.75" customHeight="1" x14ac:dyDescent="0.25">
      <c r="A647" s="14" t="s">
        <v>1575</v>
      </c>
      <c r="B647" s="3" t="s">
        <v>1572</v>
      </c>
      <c r="C647" s="3" t="s">
        <v>1576</v>
      </c>
      <c r="D647" s="3" t="s">
        <v>4737</v>
      </c>
      <c r="E647" s="3" t="s">
        <v>4838</v>
      </c>
      <c r="F647" s="3" t="s">
        <v>1574</v>
      </c>
      <c r="G647" s="3">
        <v>28.649000000000001</v>
      </c>
      <c r="H647" s="3" t="s">
        <v>4644</v>
      </c>
      <c r="I647" s="3" t="s">
        <v>4645</v>
      </c>
      <c r="J647" s="3" t="s">
        <v>4726</v>
      </c>
      <c r="K647" s="3">
        <v>96</v>
      </c>
      <c r="L647" s="3" t="s">
        <v>4647</v>
      </c>
    </row>
    <row r="648" spans="1:12" ht="33.75" customHeight="1" x14ac:dyDescent="0.25">
      <c r="A648" s="13" t="s">
        <v>1577</v>
      </c>
      <c r="B648" s="2" t="s">
        <v>1578</v>
      </c>
      <c r="C648" s="2" t="s">
        <v>1579</v>
      </c>
      <c r="D648" s="2" t="s">
        <v>4737</v>
      </c>
      <c r="E648" s="2" t="s">
        <v>4839</v>
      </c>
      <c r="F648" s="2" t="s">
        <v>1580</v>
      </c>
      <c r="G648" s="2">
        <v>28.649000000000001</v>
      </c>
      <c r="H648" s="2" t="s">
        <v>4644</v>
      </c>
      <c r="I648" s="2" t="s">
        <v>4645</v>
      </c>
      <c r="J648" s="2" t="s">
        <v>4729</v>
      </c>
      <c r="K648" s="2">
        <v>120</v>
      </c>
      <c r="L648" s="2" t="s">
        <v>4647</v>
      </c>
    </row>
    <row r="649" spans="1:12" ht="33.75" customHeight="1" x14ac:dyDescent="0.25">
      <c r="A649" s="14" t="s">
        <v>1581</v>
      </c>
      <c r="B649" s="3" t="s">
        <v>1578</v>
      </c>
      <c r="C649" s="3" t="s">
        <v>1582</v>
      </c>
      <c r="D649" s="3" t="s">
        <v>4737</v>
      </c>
      <c r="E649" s="3" t="s">
        <v>4839</v>
      </c>
      <c r="F649" s="3" t="s">
        <v>1580</v>
      </c>
      <c r="G649" s="3">
        <v>28.649000000000001</v>
      </c>
      <c r="H649" s="3" t="s">
        <v>4644</v>
      </c>
      <c r="I649" s="3" t="s">
        <v>4645</v>
      </c>
      <c r="J649" s="3" t="s">
        <v>4729</v>
      </c>
      <c r="K649" s="3">
        <v>120</v>
      </c>
      <c r="L649" s="3" t="s">
        <v>4647</v>
      </c>
    </row>
    <row r="650" spans="1:12" ht="33.75" customHeight="1" x14ac:dyDescent="0.25">
      <c r="A650" s="13" t="s">
        <v>1583</v>
      </c>
      <c r="B650" s="2" t="s">
        <v>1578</v>
      </c>
      <c r="C650" s="2" t="s">
        <v>1584</v>
      </c>
      <c r="D650" s="2" t="s">
        <v>4737</v>
      </c>
      <c r="E650" s="2" t="s">
        <v>4839</v>
      </c>
      <c r="F650" s="2" t="s">
        <v>1580</v>
      </c>
      <c r="G650" s="2">
        <v>28.649000000000001</v>
      </c>
      <c r="H650" s="2" t="s">
        <v>4644</v>
      </c>
      <c r="I650" s="2" t="s">
        <v>4645</v>
      </c>
      <c r="J650" s="2" t="s">
        <v>4729</v>
      </c>
      <c r="K650" s="2">
        <v>120</v>
      </c>
      <c r="L650" s="2" t="s">
        <v>4647</v>
      </c>
    </row>
    <row r="651" spans="1:12" ht="33.75" customHeight="1" x14ac:dyDescent="0.25">
      <c r="A651" s="14" t="s">
        <v>1585</v>
      </c>
      <c r="B651" s="3" t="s">
        <v>1578</v>
      </c>
      <c r="C651" s="3" t="s">
        <v>1586</v>
      </c>
      <c r="D651" s="3" t="s">
        <v>4737</v>
      </c>
      <c r="E651" s="3" t="s">
        <v>4839</v>
      </c>
      <c r="F651" s="3" t="s">
        <v>1580</v>
      </c>
      <c r="G651" s="3">
        <v>28.649000000000001</v>
      </c>
      <c r="H651" s="3" t="s">
        <v>4644</v>
      </c>
      <c r="I651" s="3" t="s">
        <v>4645</v>
      </c>
      <c r="J651" s="3" t="s">
        <v>4729</v>
      </c>
      <c r="K651" s="3">
        <v>120</v>
      </c>
      <c r="L651" s="3" t="s">
        <v>4647</v>
      </c>
    </row>
    <row r="652" spans="1:12" ht="33.75" customHeight="1" x14ac:dyDescent="0.25">
      <c r="A652" s="13" t="s">
        <v>1587</v>
      </c>
      <c r="B652" s="2" t="s">
        <v>382</v>
      </c>
      <c r="C652" s="2" t="s">
        <v>1588</v>
      </c>
      <c r="D652" s="2"/>
      <c r="E652" s="2" t="s">
        <v>4725</v>
      </c>
      <c r="F652" s="2" t="s">
        <v>384</v>
      </c>
      <c r="G652" s="2">
        <v>35.3172</v>
      </c>
      <c r="H652" s="2" t="s">
        <v>4644</v>
      </c>
      <c r="I652" s="2" t="s">
        <v>4645</v>
      </c>
      <c r="J652" s="2" t="s">
        <v>4726</v>
      </c>
      <c r="K652" s="2">
        <v>96</v>
      </c>
      <c r="L652" s="2" t="s">
        <v>4647</v>
      </c>
    </row>
    <row r="653" spans="1:12" ht="33.75" customHeight="1" x14ac:dyDescent="0.25">
      <c r="A653" s="14" t="s">
        <v>1589</v>
      </c>
      <c r="B653" s="3" t="s">
        <v>390</v>
      </c>
      <c r="C653" s="3" t="s">
        <v>1590</v>
      </c>
      <c r="D653" s="3"/>
      <c r="E653" s="3" t="s">
        <v>4728</v>
      </c>
      <c r="F653" s="3" t="s">
        <v>392</v>
      </c>
      <c r="G653" s="3">
        <v>35.367600000000003</v>
      </c>
      <c r="H653" s="3" t="s">
        <v>4644</v>
      </c>
      <c r="I653" s="3" t="s">
        <v>4645</v>
      </c>
      <c r="J653" s="3" t="s">
        <v>4729</v>
      </c>
      <c r="K653" s="3">
        <v>120</v>
      </c>
      <c r="L653" s="3" t="s">
        <v>4647</v>
      </c>
    </row>
    <row r="654" spans="1:12" ht="33.75" customHeight="1" x14ac:dyDescent="0.25">
      <c r="A654" s="13" t="s">
        <v>1591</v>
      </c>
      <c r="B654" s="2" t="s">
        <v>390</v>
      </c>
      <c r="C654" s="2" t="s">
        <v>1592</v>
      </c>
      <c r="D654" s="2"/>
      <c r="E654" s="2" t="s">
        <v>4728</v>
      </c>
      <c r="F654" s="2" t="s">
        <v>392</v>
      </c>
      <c r="G654" s="2">
        <v>35.367600000000003</v>
      </c>
      <c r="H654" s="2" t="s">
        <v>4644</v>
      </c>
      <c r="I654" s="2" t="s">
        <v>4645</v>
      </c>
      <c r="J654" s="2" t="s">
        <v>4729</v>
      </c>
      <c r="K654" s="2">
        <v>120</v>
      </c>
      <c r="L654" s="2" t="s">
        <v>4647</v>
      </c>
    </row>
    <row r="655" spans="1:12" ht="33.75" customHeight="1" x14ac:dyDescent="0.25">
      <c r="A655" s="14" t="s">
        <v>1593</v>
      </c>
      <c r="B655" s="3" t="s">
        <v>1572</v>
      </c>
      <c r="C655" s="3" t="s">
        <v>1576</v>
      </c>
      <c r="D655" s="3" t="s">
        <v>4737</v>
      </c>
      <c r="E655" s="3" t="s">
        <v>4838</v>
      </c>
      <c r="F655" s="3" t="s">
        <v>1574</v>
      </c>
      <c r="G655" s="3">
        <v>28.649000000000001</v>
      </c>
      <c r="H655" s="3" t="s">
        <v>4644</v>
      </c>
      <c r="I655" s="3" t="s">
        <v>4645</v>
      </c>
      <c r="J655" s="3" t="s">
        <v>4726</v>
      </c>
      <c r="K655" s="3">
        <v>96</v>
      </c>
      <c r="L655" s="3" t="s">
        <v>4647</v>
      </c>
    </row>
    <row r="656" spans="1:12" ht="33.75" customHeight="1" x14ac:dyDescent="0.25">
      <c r="A656" s="13" t="s">
        <v>1594</v>
      </c>
      <c r="B656" s="2" t="s">
        <v>1572</v>
      </c>
      <c r="C656" s="2" t="s">
        <v>1595</v>
      </c>
      <c r="D656" s="2" t="s">
        <v>4737</v>
      </c>
      <c r="E656" s="2" t="s">
        <v>4838</v>
      </c>
      <c r="F656" s="2" t="s">
        <v>1574</v>
      </c>
      <c r="G656" s="2">
        <v>28.649000000000001</v>
      </c>
      <c r="H656" s="2" t="s">
        <v>4644</v>
      </c>
      <c r="I656" s="2" t="s">
        <v>4645</v>
      </c>
      <c r="J656" s="2" t="s">
        <v>4726</v>
      </c>
      <c r="K656" s="2">
        <v>96</v>
      </c>
      <c r="L656" s="2" t="s">
        <v>4647</v>
      </c>
    </row>
    <row r="657" spans="1:12" ht="33.75" customHeight="1" x14ac:dyDescent="0.25">
      <c r="A657" s="14" t="s">
        <v>1596</v>
      </c>
      <c r="B657" s="3" t="s">
        <v>1572</v>
      </c>
      <c r="C657" s="3" t="s">
        <v>1573</v>
      </c>
      <c r="D657" s="3" t="s">
        <v>4737</v>
      </c>
      <c r="E657" s="3" t="s">
        <v>4838</v>
      </c>
      <c r="F657" s="3" t="s">
        <v>1574</v>
      </c>
      <c r="G657" s="3">
        <v>28.649000000000001</v>
      </c>
      <c r="H657" s="3" t="s">
        <v>4644</v>
      </c>
      <c r="I657" s="3" t="s">
        <v>4645</v>
      </c>
      <c r="J657" s="3" t="s">
        <v>4726</v>
      </c>
      <c r="K657" s="3">
        <v>96</v>
      </c>
      <c r="L657" s="3" t="s">
        <v>4647</v>
      </c>
    </row>
    <row r="658" spans="1:12" ht="33.75" customHeight="1" x14ac:dyDescent="0.25">
      <c r="A658" s="13" t="s">
        <v>1597</v>
      </c>
      <c r="B658" s="2" t="s">
        <v>1572</v>
      </c>
      <c r="C658" s="2" t="s">
        <v>1598</v>
      </c>
      <c r="D658" s="2" t="s">
        <v>4737</v>
      </c>
      <c r="E658" s="2" t="s">
        <v>4838</v>
      </c>
      <c r="F658" s="2" t="s">
        <v>1574</v>
      </c>
      <c r="G658" s="2">
        <v>28.649000000000001</v>
      </c>
      <c r="H658" s="2" t="s">
        <v>4644</v>
      </c>
      <c r="I658" s="2" t="s">
        <v>4645</v>
      </c>
      <c r="J658" s="2" t="s">
        <v>4726</v>
      </c>
      <c r="K658" s="2">
        <v>96</v>
      </c>
      <c r="L658" s="2" t="s">
        <v>4647</v>
      </c>
    </row>
    <row r="659" spans="1:12" ht="33.75" customHeight="1" x14ac:dyDescent="0.25">
      <c r="A659" s="14" t="s">
        <v>1599</v>
      </c>
      <c r="B659" s="3" t="s">
        <v>382</v>
      </c>
      <c r="C659" s="3" t="s">
        <v>1600</v>
      </c>
      <c r="D659" s="3" t="s">
        <v>4658</v>
      </c>
      <c r="E659" s="3" t="s">
        <v>4725</v>
      </c>
      <c r="F659" s="3" t="s">
        <v>384</v>
      </c>
      <c r="G659" s="3">
        <v>35.3172</v>
      </c>
      <c r="H659" s="3" t="s">
        <v>4644</v>
      </c>
      <c r="I659" s="3" t="s">
        <v>4645</v>
      </c>
      <c r="J659" s="3" t="s">
        <v>4726</v>
      </c>
      <c r="K659" s="3">
        <v>96</v>
      </c>
      <c r="L659" s="3" t="s">
        <v>4647</v>
      </c>
    </row>
    <row r="660" spans="1:12" ht="33.75" customHeight="1" x14ac:dyDescent="0.25">
      <c r="A660" s="13" t="s">
        <v>1601</v>
      </c>
      <c r="B660" s="2" t="s">
        <v>1602</v>
      </c>
      <c r="C660" s="2" t="s">
        <v>1603</v>
      </c>
      <c r="D660" s="2" t="s">
        <v>4648</v>
      </c>
      <c r="E660" s="2" t="s">
        <v>4840</v>
      </c>
      <c r="F660" s="2" t="s">
        <v>1604</v>
      </c>
      <c r="G660" s="2">
        <v>43.186</v>
      </c>
      <c r="H660" s="2" t="s">
        <v>4644</v>
      </c>
      <c r="I660" s="2" t="s">
        <v>4645</v>
      </c>
      <c r="J660" s="2" t="s">
        <v>4691</v>
      </c>
      <c r="K660" s="2">
        <v>36</v>
      </c>
      <c r="L660" s="2" t="s">
        <v>4647</v>
      </c>
    </row>
    <row r="661" spans="1:12" ht="33.75" customHeight="1" x14ac:dyDescent="0.25">
      <c r="A661" s="14" t="s">
        <v>1605</v>
      </c>
      <c r="B661" s="3" t="s">
        <v>794</v>
      </c>
      <c r="C661" s="3" t="s">
        <v>1606</v>
      </c>
      <c r="D661" s="3"/>
      <c r="E661" s="3" t="s">
        <v>4791</v>
      </c>
      <c r="F661" s="3" t="s">
        <v>796</v>
      </c>
      <c r="G661" s="3">
        <v>34.151200000000003</v>
      </c>
      <c r="H661" s="3" t="s">
        <v>4644</v>
      </c>
      <c r="I661" s="3" t="s">
        <v>4645</v>
      </c>
      <c r="J661" s="3" t="s">
        <v>4770</v>
      </c>
      <c r="K661" s="3">
        <v>63</v>
      </c>
      <c r="L661" s="3" t="s">
        <v>4647</v>
      </c>
    </row>
    <row r="662" spans="1:12" ht="33.75" customHeight="1" x14ac:dyDescent="0.25">
      <c r="A662" s="13" t="s">
        <v>1607</v>
      </c>
      <c r="B662" s="2" t="s">
        <v>414</v>
      </c>
      <c r="C662" s="2" t="s">
        <v>1608</v>
      </c>
      <c r="D662" s="2"/>
      <c r="E662" s="2" t="s">
        <v>4732</v>
      </c>
      <c r="F662" s="2" t="s">
        <v>416</v>
      </c>
      <c r="G662" s="2">
        <v>31.0092</v>
      </c>
      <c r="H662" s="2" t="s">
        <v>4644</v>
      </c>
      <c r="I662" s="2" t="s">
        <v>4645</v>
      </c>
      <c r="J662" s="2" t="s">
        <v>4733</v>
      </c>
      <c r="K662" s="2">
        <v>87</v>
      </c>
      <c r="L662" s="2" t="s">
        <v>4647</v>
      </c>
    </row>
    <row r="663" spans="1:12" ht="33.75" customHeight="1" x14ac:dyDescent="0.25">
      <c r="A663" s="14" t="s">
        <v>1609</v>
      </c>
      <c r="B663" s="3" t="s">
        <v>588</v>
      </c>
      <c r="C663" s="3" t="s">
        <v>1610</v>
      </c>
      <c r="D663" s="3"/>
      <c r="E663" s="3" t="s">
        <v>4761</v>
      </c>
      <c r="F663" s="3" t="s">
        <v>590</v>
      </c>
      <c r="G663" s="3">
        <v>29.869199999999999</v>
      </c>
      <c r="H663" s="3" t="s">
        <v>4644</v>
      </c>
      <c r="I663" s="3" t="s">
        <v>4645</v>
      </c>
      <c r="J663" s="3" t="s">
        <v>4684</v>
      </c>
      <c r="K663" s="3">
        <v>63</v>
      </c>
      <c r="L663" s="3" t="s">
        <v>4647</v>
      </c>
    </row>
    <row r="664" spans="1:12" ht="33.75" customHeight="1" x14ac:dyDescent="0.25">
      <c r="A664" s="13" t="s">
        <v>1611</v>
      </c>
      <c r="B664" s="2" t="s">
        <v>418</v>
      </c>
      <c r="C664" s="2" t="s">
        <v>1612</v>
      </c>
      <c r="D664" s="2"/>
      <c r="E664" s="2" t="s">
        <v>4734</v>
      </c>
      <c r="F664" s="2" t="s">
        <v>420</v>
      </c>
      <c r="G664" s="2">
        <v>30.655200000000001</v>
      </c>
      <c r="H664" s="2" t="s">
        <v>4644</v>
      </c>
      <c r="I664" s="2" t="s">
        <v>4645</v>
      </c>
      <c r="J664" s="2" t="s">
        <v>4735</v>
      </c>
      <c r="K664" s="2">
        <v>72</v>
      </c>
      <c r="L664" s="2" t="s">
        <v>4647</v>
      </c>
    </row>
    <row r="665" spans="1:12" ht="33.75" customHeight="1" x14ac:dyDescent="0.25">
      <c r="A665" s="14" t="s">
        <v>1613</v>
      </c>
      <c r="B665" s="3" t="s">
        <v>418</v>
      </c>
      <c r="C665" s="3" t="s">
        <v>1614</v>
      </c>
      <c r="D665" s="3"/>
      <c r="E665" s="3" t="s">
        <v>4734</v>
      </c>
      <c r="F665" s="3" t="s">
        <v>420</v>
      </c>
      <c r="G665" s="3">
        <v>30.655200000000001</v>
      </c>
      <c r="H665" s="3" t="s">
        <v>4644</v>
      </c>
      <c r="I665" s="3" t="s">
        <v>4645</v>
      </c>
      <c r="J665" s="3" t="s">
        <v>4682</v>
      </c>
      <c r="K665" s="3">
        <v>72</v>
      </c>
      <c r="L665" s="3" t="s">
        <v>4647</v>
      </c>
    </row>
    <row r="666" spans="1:12" ht="33.75" customHeight="1" x14ac:dyDescent="0.25">
      <c r="A666" s="13" t="s">
        <v>1615</v>
      </c>
      <c r="B666" s="2" t="s">
        <v>1151</v>
      </c>
      <c r="C666" s="2" t="s">
        <v>1616</v>
      </c>
      <c r="D666" s="2"/>
      <c r="E666" s="2" t="s">
        <v>4812</v>
      </c>
      <c r="F666" s="2" t="s">
        <v>1153</v>
      </c>
      <c r="G666" s="2">
        <v>30.6372</v>
      </c>
      <c r="H666" s="2" t="s">
        <v>4644</v>
      </c>
      <c r="I666" s="2" t="s">
        <v>4645</v>
      </c>
      <c r="J666" s="2" t="s">
        <v>4723</v>
      </c>
      <c r="K666" s="2">
        <v>72</v>
      </c>
      <c r="L666" s="2" t="s">
        <v>4647</v>
      </c>
    </row>
    <row r="667" spans="1:12" ht="33.75" customHeight="1" x14ac:dyDescent="0.25">
      <c r="A667" s="14" t="s">
        <v>1617</v>
      </c>
      <c r="B667" s="3" t="s">
        <v>386</v>
      </c>
      <c r="C667" s="3" t="s">
        <v>1618</v>
      </c>
      <c r="D667" s="3"/>
      <c r="E667" s="3" t="s">
        <v>4727</v>
      </c>
      <c r="F667" s="3" t="s">
        <v>388</v>
      </c>
      <c r="G667" s="3">
        <v>33.783799999999999</v>
      </c>
      <c r="H667" s="3" t="s">
        <v>4644</v>
      </c>
      <c r="I667" s="3" t="s">
        <v>4645</v>
      </c>
      <c r="J667" s="3" t="s">
        <v>4721</v>
      </c>
      <c r="K667" s="3">
        <v>54</v>
      </c>
      <c r="L667" s="3" t="s">
        <v>4647</v>
      </c>
    </row>
    <row r="668" spans="1:12" ht="33.75" customHeight="1" x14ac:dyDescent="0.25">
      <c r="A668" s="13" t="s">
        <v>1619</v>
      </c>
      <c r="B668" s="2" t="s">
        <v>386</v>
      </c>
      <c r="C668" s="2" t="s">
        <v>1620</v>
      </c>
      <c r="D668" s="2"/>
      <c r="E668" s="2" t="s">
        <v>4727</v>
      </c>
      <c r="F668" s="2" t="s">
        <v>388</v>
      </c>
      <c r="G668" s="2">
        <v>33.783799999999999</v>
      </c>
      <c r="H668" s="2" t="s">
        <v>4644</v>
      </c>
      <c r="I668" s="2" t="s">
        <v>4645</v>
      </c>
      <c r="J668" s="2" t="s">
        <v>4721</v>
      </c>
      <c r="K668" s="2">
        <v>54</v>
      </c>
      <c r="L668" s="2" t="s">
        <v>4647</v>
      </c>
    </row>
    <row r="669" spans="1:12" ht="33.75" customHeight="1" x14ac:dyDescent="0.25">
      <c r="A669" s="14" t="s">
        <v>1621</v>
      </c>
      <c r="B669" s="3" t="s">
        <v>386</v>
      </c>
      <c r="C669" s="3" t="s">
        <v>1622</v>
      </c>
      <c r="D669" s="3"/>
      <c r="E669" s="3" t="s">
        <v>4727</v>
      </c>
      <c r="F669" s="3" t="s">
        <v>388</v>
      </c>
      <c r="G669" s="3">
        <v>33.783799999999999</v>
      </c>
      <c r="H669" s="3" t="s">
        <v>4644</v>
      </c>
      <c r="I669" s="3" t="s">
        <v>4645</v>
      </c>
      <c r="J669" s="3" t="s">
        <v>4721</v>
      </c>
      <c r="K669" s="3">
        <v>54</v>
      </c>
      <c r="L669" s="3" t="s">
        <v>4647</v>
      </c>
    </row>
    <row r="670" spans="1:12" ht="33.75" customHeight="1" x14ac:dyDescent="0.25">
      <c r="A670" s="13" t="s">
        <v>1623</v>
      </c>
      <c r="B670" s="2" t="s">
        <v>422</v>
      </c>
      <c r="C670" s="2" t="s">
        <v>1624</v>
      </c>
      <c r="D670" s="2"/>
      <c r="E670" s="2" t="s">
        <v>4736</v>
      </c>
      <c r="F670" s="2" t="s">
        <v>424</v>
      </c>
      <c r="G670" s="2">
        <v>30.7272</v>
      </c>
      <c r="H670" s="2" t="s">
        <v>4644</v>
      </c>
      <c r="I670" s="2" t="s">
        <v>4645</v>
      </c>
      <c r="J670" s="2" t="s">
        <v>4682</v>
      </c>
      <c r="K670" s="2">
        <v>76</v>
      </c>
      <c r="L670" s="2" t="s">
        <v>4647</v>
      </c>
    </row>
    <row r="671" spans="1:12" ht="33.75" customHeight="1" x14ac:dyDescent="0.25">
      <c r="A671" s="14" t="s">
        <v>1625</v>
      </c>
      <c r="B671" s="3" t="s">
        <v>273</v>
      </c>
      <c r="C671" s="3" t="s">
        <v>1626</v>
      </c>
      <c r="D671" s="3"/>
      <c r="E671" s="3" t="s">
        <v>4694</v>
      </c>
      <c r="F671" s="3" t="s">
        <v>275</v>
      </c>
      <c r="G671" s="3">
        <v>30.084199999999999</v>
      </c>
      <c r="H671" s="3" t="s">
        <v>4644</v>
      </c>
      <c r="I671" s="3" t="s">
        <v>4645</v>
      </c>
      <c r="J671" s="3" t="s">
        <v>4695</v>
      </c>
      <c r="K671" s="3">
        <v>68</v>
      </c>
      <c r="L671" s="3" t="s">
        <v>4647</v>
      </c>
    </row>
    <row r="672" spans="1:12" ht="33.75" customHeight="1" x14ac:dyDescent="0.25">
      <c r="A672" s="13" t="s">
        <v>1627</v>
      </c>
      <c r="B672" s="2" t="s">
        <v>418</v>
      </c>
      <c r="C672" s="2" t="s">
        <v>1628</v>
      </c>
      <c r="D672" s="2"/>
      <c r="E672" s="2" t="s">
        <v>4734</v>
      </c>
      <c r="F672" s="2" t="s">
        <v>420</v>
      </c>
      <c r="G672" s="2">
        <v>30.655200000000001</v>
      </c>
      <c r="H672" s="2" t="s">
        <v>4644</v>
      </c>
      <c r="I672" s="2" t="s">
        <v>4645</v>
      </c>
      <c r="J672" s="2" t="s">
        <v>4682</v>
      </c>
      <c r="K672" s="2">
        <v>72</v>
      </c>
      <c r="L672" s="2" t="s">
        <v>4647</v>
      </c>
    </row>
    <row r="673" spans="1:12" ht="33.75" customHeight="1" x14ac:dyDescent="0.25">
      <c r="A673" s="14" t="s">
        <v>1629</v>
      </c>
      <c r="B673" s="3" t="s">
        <v>846</v>
      </c>
      <c r="C673" s="3" t="s">
        <v>1630</v>
      </c>
      <c r="D673" s="3"/>
      <c r="E673" s="3" t="s">
        <v>4800</v>
      </c>
      <c r="F673" s="3" t="s">
        <v>848</v>
      </c>
      <c r="G673" s="3">
        <v>29.944199999999999</v>
      </c>
      <c r="H673" s="3" t="s">
        <v>4644</v>
      </c>
      <c r="I673" s="3" t="s">
        <v>4645</v>
      </c>
      <c r="J673" s="3" t="s">
        <v>4684</v>
      </c>
      <c r="K673" s="3">
        <v>68</v>
      </c>
      <c r="L673" s="3" t="s">
        <v>4647</v>
      </c>
    </row>
    <row r="674" spans="1:12" ht="33.75" customHeight="1" x14ac:dyDescent="0.25">
      <c r="A674" s="13" t="s">
        <v>1631</v>
      </c>
      <c r="B674" s="2" t="s">
        <v>418</v>
      </c>
      <c r="C674" s="2" t="s">
        <v>1632</v>
      </c>
      <c r="D674" s="2"/>
      <c r="E674" s="2" t="s">
        <v>4734</v>
      </c>
      <c r="F674" s="2" t="s">
        <v>420</v>
      </c>
      <c r="G674" s="2">
        <v>30.655200000000001</v>
      </c>
      <c r="H674" s="2" t="s">
        <v>4644</v>
      </c>
      <c r="I674" s="2" t="s">
        <v>4645</v>
      </c>
      <c r="J674" s="2" t="s">
        <v>4735</v>
      </c>
      <c r="K674" s="2">
        <v>72</v>
      </c>
      <c r="L674" s="2" t="s">
        <v>4647</v>
      </c>
    </row>
    <row r="675" spans="1:12" ht="33.75" customHeight="1" x14ac:dyDescent="0.25">
      <c r="A675" s="14" t="s">
        <v>1633</v>
      </c>
      <c r="B675" s="3" t="s">
        <v>414</v>
      </c>
      <c r="C675" s="3" t="s">
        <v>1634</v>
      </c>
      <c r="D675" s="3"/>
      <c r="E675" s="3" t="s">
        <v>4732</v>
      </c>
      <c r="F675" s="3" t="s">
        <v>416</v>
      </c>
      <c r="G675" s="3">
        <v>31.0092</v>
      </c>
      <c r="H675" s="3" t="s">
        <v>4644</v>
      </c>
      <c r="I675" s="3" t="s">
        <v>4645</v>
      </c>
      <c r="J675" s="3" t="s">
        <v>4733</v>
      </c>
      <c r="K675" s="3">
        <v>87</v>
      </c>
      <c r="L675" s="3" t="s">
        <v>4647</v>
      </c>
    </row>
    <row r="676" spans="1:12" ht="33.75" customHeight="1" x14ac:dyDescent="0.25">
      <c r="A676" s="13" t="s">
        <v>1635</v>
      </c>
      <c r="B676" s="2" t="s">
        <v>1008</v>
      </c>
      <c r="C676" s="2" t="s">
        <v>1636</v>
      </c>
      <c r="D676" s="2"/>
      <c r="E676" s="2" t="s">
        <v>4807</v>
      </c>
      <c r="F676" s="2" t="s">
        <v>1010</v>
      </c>
      <c r="G676" s="2">
        <v>30.4892</v>
      </c>
      <c r="H676" s="2" t="s">
        <v>4644</v>
      </c>
      <c r="I676" s="2" t="s">
        <v>4645</v>
      </c>
      <c r="J676" s="2" t="s">
        <v>4710</v>
      </c>
      <c r="K676" s="2">
        <v>87</v>
      </c>
      <c r="L676" s="2" t="s">
        <v>4647</v>
      </c>
    </row>
    <row r="677" spans="1:12" ht="33.75" customHeight="1" x14ac:dyDescent="0.25">
      <c r="A677" s="14" t="s">
        <v>1637</v>
      </c>
      <c r="B677" s="3" t="s">
        <v>1638</v>
      </c>
      <c r="C677" s="3" t="s">
        <v>1639</v>
      </c>
      <c r="D677" s="3" t="s">
        <v>4841</v>
      </c>
      <c r="E677" s="3" t="s">
        <v>4842</v>
      </c>
      <c r="F677" s="3" t="s">
        <v>1640</v>
      </c>
      <c r="G677" s="3">
        <v>33.259399999999999</v>
      </c>
      <c r="H677" s="3" t="s">
        <v>4644</v>
      </c>
      <c r="I677" s="3" t="s">
        <v>4645</v>
      </c>
      <c r="J677" s="3" t="s">
        <v>4726</v>
      </c>
      <c r="K677" s="3">
        <v>72</v>
      </c>
      <c r="L677" s="3" t="s">
        <v>4647</v>
      </c>
    </row>
    <row r="678" spans="1:12" ht="33.75" customHeight="1" x14ac:dyDescent="0.25">
      <c r="A678" s="13" t="s">
        <v>1641</v>
      </c>
      <c r="B678" s="2" t="s">
        <v>404</v>
      </c>
      <c r="C678" s="2" t="s">
        <v>1642</v>
      </c>
      <c r="D678" s="2"/>
      <c r="E678" s="2" t="s">
        <v>4731</v>
      </c>
      <c r="F678" s="2" t="s">
        <v>406</v>
      </c>
      <c r="G678" s="2">
        <v>29.999199999999998</v>
      </c>
      <c r="H678" s="2" t="s">
        <v>4644</v>
      </c>
      <c r="I678" s="2" t="s">
        <v>4645</v>
      </c>
      <c r="J678" s="2" t="s">
        <v>4695</v>
      </c>
      <c r="K678" s="2">
        <v>63</v>
      </c>
      <c r="L678" s="2" t="s">
        <v>4647</v>
      </c>
    </row>
    <row r="679" spans="1:12" ht="33.75" customHeight="1" x14ac:dyDescent="0.25">
      <c r="A679" s="14" t="s">
        <v>1643</v>
      </c>
      <c r="B679" s="3" t="s">
        <v>1644</v>
      </c>
      <c r="C679" s="3" t="s">
        <v>1645</v>
      </c>
      <c r="D679" s="3" t="s">
        <v>4841</v>
      </c>
      <c r="E679" s="3" t="s">
        <v>4843</v>
      </c>
      <c r="F679" s="3" t="s">
        <v>1646</v>
      </c>
      <c r="G679" s="3">
        <v>33.118510000000001</v>
      </c>
      <c r="H679" s="3" t="s">
        <v>4644</v>
      </c>
      <c r="I679" s="3" t="s">
        <v>4645</v>
      </c>
      <c r="J679" s="3" t="s">
        <v>4729</v>
      </c>
      <c r="K679" s="3">
        <v>87</v>
      </c>
      <c r="L679" s="3" t="s">
        <v>4647</v>
      </c>
    </row>
    <row r="680" spans="1:12" ht="33.75" customHeight="1" x14ac:dyDescent="0.25">
      <c r="A680" s="13" t="s">
        <v>1647</v>
      </c>
      <c r="B680" s="2" t="s">
        <v>366</v>
      </c>
      <c r="C680" s="2" t="s">
        <v>1648</v>
      </c>
      <c r="D680" s="2" t="s">
        <v>4841</v>
      </c>
      <c r="E680" s="2" t="s">
        <v>4718</v>
      </c>
      <c r="F680" s="2" t="s">
        <v>368</v>
      </c>
      <c r="G680" s="2">
        <v>32.983400000000003</v>
      </c>
      <c r="H680" s="2" t="s">
        <v>4644</v>
      </c>
      <c r="I680" s="2" t="s">
        <v>4645</v>
      </c>
      <c r="J680" s="2" t="s">
        <v>4719</v>
      </c>
      <c r="K680" s="2">
        <v>60</v>
      </c>
      <c r="L680" s="2" t="s">
        <v>4647</v>
      </c>
    </row>
    <row r="681" spans="1:12" ht="33.75" customHeight="1" x14ac:dyDescent="0.25">
      <c r="A681" s="14" t="s">
        <v>1649</v>
      </c>
      <c r="B681" s="3" t="s">
        <v>1638</v>
      </c>
      <c r="C681" s="3" t="s">
        <v>1650</v>
      </c>
      <c r="D681" s="3"/>
      <c r="E681" s="3" t="s">
        <v>4842</v>
      </c>
      <c r="F681" s="3" t="s">
        <v>1640</v>
      </c>
      <c r="G681" s="3">
        <v>33.259399999999999</v>
      </c>
      <c r="H681" s="3" t="s">
        <v>4644</v>
      </c>
      <c r="I681" s="3" t="s">
        <v>4645</v>
      </c>
      <c r="J681" s="3" t="s">
        <v>4726</v>
      </c>
      <c r="K681" s="3">
        <v>72</v>
      </c>
      <c r="L681" s="3" t="s">
        <v>4647</v>
      </c>
    </row>
    <row r="682" spans="1:12" ht="33.75" customHeight="1" x14ac:dyDescent="0.25">
      <c r="A682" s="13" t="s">
        <v>1651</v>
      </c>
      <c r="B682" s="2" t="s">
        <v>1437</v>
      </c>
      <c r="C682" s="2" t="s">
        <v>1652</v>
      </c>
      <c r="D682" s="2" t="s">
        <v>4737</v>
      </c>
      <c r="E682" s="2" t="s">
        <v>4828</v>
      </c>
      <c r="F682" s="2" t="s">
        <v>1439</v>
      </c>
      <c r="G682" s="2">
        <v>28.649000000000001</v>
      </c>
      <c r="H682" s="2" t="s">
        <v>4644</v>
      </c>
      <c r="I682" s="2" t="s">
        <v>4645</v>
      </c>
      <c r="J682" s="2" t="s">
        <v>4719</v>
      </c>
      <c r="K682" s="2">
        <v>72</v>
      </c>
      <c r="L682" s="2" t="s">
        <v>4647</v>
      </c>
    </row>
    <row r="683" spans="1:12" ht="33.75" customHeight="1" x14ac:dyDescent="0.25">
      <c r="A683" s="14" t="s">
        <v>1653</v>
      </c>
      <c r="B683" s="3" t="s">
        <v>156</v>
      </c>
      <c r="C683" s="3" t="s">
        <v>1654</v>
      </c>
      <c r="D683" s="3" t="s">
        <v>4792</v>
      </c>
      <c r="E683" s="3" t="s">
        <v>4670</v>
      </c>
      <c r="F683" s="3" t="s">
        <v>158</v>
      </c>
      <c r="G683" s="3">
        <v>30.987200000000001</v>
      </c>
      <c r="H683" s="3" t="s">
        <v>4644</v>
      </c>
      <c r="I683" s="3" t="s">
        <v>4645</v>
      </c>
      <c r="J683" s="3" t="s">
        <v>4646</v>
      </c>
      <c r="K683" s="3">
        <v>18</v>
      </c>
      <c r="L683" s="3" t="s">
        <v>4647</v>
      </c>
    </row>
    <row r="684" spans="1:12" ht="33.75" customHeight="1" x14ac:dyDescent="0.25">
      <c r="A684" s="13" t="s">
        <v>1655</v>
      </c>
      <c r="B684" s="2" t="s">
        <v>273</v>
      </c>
      <c r="C684" s="2" t="s">
        <v>1656</v>
      </c>
      <c r="D684" s="2"/>
      <c r="E684" s="2" t="s">
        <v>4694</v>
      </c>
      <c r="F684" s="2" t="s">
        <v>275</v>
      </c>
      <c r="G684" s="2">
        <v>30.084199999999999</v>
      </c>
      <c r="H684" s="2" t="s">
        <v>4644</v>
      </c>
      <c r="I684" s="2" t="s">
        <v>4645</v>
      </c>
      <c r="J684" s="2" t="s">
        <v>4695</v>
      </c>
      <c r="K684" s="2">
        <v>68</v>
      </c>
      <c r="L684" s="2" t="s">
        <v>4647</v>
      </c>
    </row>
    <row r="685" spans="1:12" ht="33.75" customHeight="1" x14ac:dyDescent="0.25">
      <c r="A685" s="14" t="s">
        <v>1657</v>
      </c>
      <c r="B685" s="3" t="s">
        <v>422</v>
      </c>
      <c r="C685" s="3" t="s">
        <v>1658</v>
      </c>
      <c r="D685" s="3"/>
      <c r="E685" s="3" t="s">
        <v>4736</v>
      </c>
      <c r="F685" s="3" t="s">
        <v>424</v>
      </c>
      <c r="G685" s="3">
        <v>30.7272</v>
      </c>
      <c r="H685" s="3" t="s">
        <v>4644</v>
      </c>
      <c r="I685" s="3" t="s">
        <v>4645</v>
      </c>
      <c r="J685" s="3" t="s">
        <v>4735</v>
      </c>
      <c r="K685" s="3">
        <v>76</v>
      </c>
      <c r="L685" s="3" t="s">
        <v>4647</v>
      </c>
    </row>
    <row r="686" spans="1:12" ht="33.75" customHeight="1" x14ac:dyDescent="0.25">
      <c r="A686" s="13" t="s">
        <v>1659</v>
      </c>
      <c r="B686" s="2" t="s">
        <v>277</v>
      </c>
      <c r="C686" s="2" t="s">
        <v>1660</v>
      </c>
      <c r="D686" s="2"/>
      <c r="E686" s="2" t="s">
        <v>4696</v>
      </c>
      <c r="F686" s="2" t="s">
        <v>279</v>
      </c>
      <c r="G686" s="2">
        <v>29.7592</v>
      </c>
      <c r="H686" s="2" t="s">
        <v>4644</v>
      </c>
      <c r="I686" s="2" t="s">
        <v>4645</v>
      </c>
      <c r="J686" s="2" t="s">
        <v>4697</v>
      </c>
      <c r="K686" s="2">
        <v>48</v>
      </c>
      <c r="L686" s="2" t="s">
        <v>4647</v>
      </c>
    </row>
    <row r="687" spans="1:12" ht="33.75" customHeight="1" x14ac:dyDescent="0.25">
      <c r="A687" s="14" t="s">
        <v>1661</v>
      </c>
      <c r="B687" s="3" t="s">
        <v>273</v>
      </c>
      <c r="C687" s="3" t="s">
        <v>1662</v>
      </c>
      <c r="D687" s="3"/>
      <c r="E687" s="3" t="s">
        <v>4694</v>
      </c>
      <c r="F687" s="3" t="s">
        <v>275</v>
      </c>
      <c r="G687" s="3">
        <v>30.084199999999999</v>
      </c>
      <c r="H687" s="3" t="s">
        <v>4644</v>
      </c>
      <c r="I687" s="3" t="s">
        <v>4645</v>
      </c>
      <c r="J687" s="3" t="s">
        <v>4695</v>
      </c>
      <c r="K687" s="3">
        <v>68</v>
      </c>
      <c r="L687" s="3" t="s">
        <v>4647</v>
      </c>
    </row>
    <row r="688" spans="1:12" ht="33.75" customHeight="1" x14ac:dyDescent="0.25">
      <c r="A688" s="13" t="s">
        <v>1663</v>
      </c>
      <c r="B688" s="2" t="s">
        <v>418</v>
      </c>
      <c r="C688" s="2" t="s">
        <v>1664</v>
      </c>
      <c r="D688" s="2"/>
      <c r="E688" s="2" t="s">
        <v>4734</v>
      </c>
      <c r="F688" s="2" t="s">
        <v>420</v>
      </c>
      <c r="G688" s="2">
        <v>30.655200000000001</v>
      </c>
      <c r="H688" s="2" t="s">
        <v>4644</v>
      </c>
      <c r="I688" s="2" t="s">
        <v>4645</v>
      </c>
      <c r="J688" s="2" t="s">
        <v>4735</v>
      </c>
      <c r="K688" s="2">
        <v>72</v>
      </c>
      <c r="L688" s="2" t="s">
        <v>4647</v>
      </c>
    </row>
    <row r="689" spans="1:12" ht="33.75" customHeight="1" x14ac:dyDescent="0.25">
      <c r="A689" s="14" t="s">
        <v>1665</v>
      </c>
      <c r="B689" s="3" t="s">
        <v>1008</v>
      </c>
      <c r="C689" s="3" t="s">
        <v>1666</v>
      </c>
      <c r="D689" s="3"/>
      <c r="E689" s="3" t="s">
        <v>4807</v>
      </c>
      <c r="F689" s="3" t="s">
        <v>1010</v>
      </c>
      <c r="G689" s="3">
        <v>30.4892</v>
      </c>
      <c r="H689" s="3" t="s">
        <v>4644</v>
      </c>
      <c r="I689" s="3" t="s">
        <v>4645</v>
      </c>
      <c r="J689" s="3" t="s">
        <v>4710</v>
      </c>
      <c r="K689" s="3">
        <v>87</v>
      </c>
      <c r="L689" s="3" t="s">
        <v>4647</v>
      </c>
    </row>
    <row r="690" spans="1:12" ht="33.75" customHeight="1" x14ac:dyDescent="0.25">
      <c r="A690" s="13" t="s">
        <v>1667</v>
      </c>
      <c r="B690" s="2" t="s">
        <v>404</v>
      </c>
      <c r="C690" s="2" t="s">
        <v>1668</v>
      </c>
      <c r="D690" s="2"/>
      <c r="E690" s="2" t="s">
        <v>4731</v>
      </c>
      <c r="F690" s="2" t="s">
        <v>406</v>
      </c>
      <c r="G690" s="2">
        <v>29.999199999999998</v>
      </c>
      <c r="H690" s="2" t="s">
        <v>4644</v>
      </c>
      <c r="I690" s="2" t="s">
        <v>4645</v>
      </c>
      <c r="J690" s="2" t="s">
        <v>4695</v>
      </c>
      <c r="K690" s="2">
        <v>63</v>
      </c>
      <c r="L690" s="2" t="s">
        <v>4647</v>
      </c>
    </row>
    <row r="691" spans="1:12" ht="33.75" customHeight="1" x14ac:dyDescent="0.25">
      <c r="A691" s="14" t="s">
        <v>1669</v>
      </c>
      <c r="B691" s="3" t="s">
        <v>386</v>
      </c>
      <c r="C691" s="3" t="s">
        <v>1670</v>
      </c>
      <c r="D691" s="3"/>
      <c r="E691" s="3" t="s">
        <v>4727</v>
      </c>
      <c r="F691" s="3" t="s">
        <v>388</v>
      </c>
      <c r="G691" s="3">
        <v>33.783799999999999</v>
      </c>
      <c r="H691" s="3" t="s">
        <v>4644</v>
      </c>
      <c r="I691" s="3" t="s">
        <v>4645</v>
      </c>
      <c r="J691" s="3" t="s">
        <v>4721</v>
      </c>
      <c r="K691" s="3">
        <v>54</v>
      </c>
      <c r="L691" s="3" t="s">
        <v>4647</v>
      </c>
    </row>
    <row r="692" spans="1:12" ht="33.75" customHeight="1" x14ac:dyDescent="0.25">
      <c r="A692" s="13" t="s">
        <v>1671</v>
      </c>
      <c r="B692" s="2" t="s">
        <v>400</v>
      </c>
      <c r="C692" s="2" t="s">
        <v>1672</v>
      </c>
      <c r="D692" s="2"/>
      <c r="E692" s="2" t="s">
        <v>4730</v>
      </c>
      <c r="F692" s="2" t="s">
        <v>402</v>
      </c>
      <c r="G692" s="2">
        <v>34.332239999999999</v>
      </c>
      <c r="H692" s="2" t="s">
        <v>4644</v>
      </c>
      <c r="I692" s="2" t="s">
        <v>4645</v>
      </c>
      <c r="J692" s="2" t="s">
        <v>4719</v>
      </c>
      <c r="K692" s="2">
        <v>72</v>
      </c>
      <c r="L692" s="2" t="s">
        <v>4647</v>
      </c>
    </row>
    <row r="693" spans="1:12" ht="33.75" customHeight="1" x14ac:dyDescent="0.25">
      <c r="A693" s="14" t="s">
        <v>1673</v>
      </c>
      <c r="B693" s="3" t="s">
        <v>404</v>
      </c>
      <c r="C693" s="3" t="s">
        <v>1674</v>
      </c>
      <c r="D693" s="3"/>
      <c r="E693" s="3" t="s">
        <v>4731</v>
      </c>
      <c r="F693" s="3" t="s">
        <v>406</v>
      </c>
      <c r="G693" s="3">
        <v>29.999199999999998</v>
      </c>
      <c r="H693" s="3" t="s">
        <v>4644</v>
      </c>
      <c r="I693" s="3" t="s">
        <v>4645</v>
      </c>
      <c r="J693" s="3" t="s">
        <v>4695</v>
      </c>
      <c r="K693" s="3">
        <v>63</v>
      </c>
      <c r="L693" s="3" t="s">
        <v>4647</v>
      </c>
    </row>
    <row r="694" spans="1:12" ht="33.75" customHeight="1" x14ac:dyDescent="0.25">
      <c r="A694" s="13" t="s">
        <v>1675</v>
      </c>
      <c r="B694" s="2" t="s">
        <v>386</v>
      </c>
      <c r="C694" s="2" t="s">
        <v>1676</v>
      </c>
      <c r="D694" s="2"/>
      <c r="E694" s="2" t="s">
        <v>4727</v>
      </c>
      <c r="F694" s="2" t="s">
        <v>388</v>
      </c>
      <c r="G694" s="2">
        <v>33.783799999999999</v>
      </c>
      <c r="H694" s="2" t="s">
        <v>4644</v>
      </c>
      <c r="I694" s="2" t="s">
        <v>4645</v>
      </c>
      <c r="J694" s="2" t="s">
        <v>4721</v>
      </c>
      <c r="K694" s="2">
        <v>54</v>
      </c>
      <c r="L694" s="2" t="s">
        <v>4647</v>
      </c>
    </row>
    <row r="695" spans="1:12" ht="33.75" customHeight="1" x14ac:dyDescent="0.25">
      <c r="A695" s="14" t="s">
        <v>1677</v>
      </c>
      <c r="B695" s="3" t="s">
        <v>386</v>
      </c>
      <c r="C695" s="3" t="s">
        <v>1678</v>
      </c>
      <c r="D695" s="3"/>
      <c r="E695" s="3" t="s">
        <v>4727</v>
      </c>
      <c r="F695" s="3" t="s">
        <v>388</v>
      </c>
      <c r="G695" s="3">
        <v>33.783799999999999</v>
      </c>
      <c r="H695" s="3" t="s">
        <v>4644</v>
      </c>
      <c r="I695" s="3" t="s">
        <v>4645</v>
      </c>
      <c r="J695" s="3" t="s">
        <v>4721</v>
      </c>
      <c r="K695" s="3">
        <v>54</v>
      </c>
      <c r="L695" s="3" t="s">
        <v>4647</v>
      </c>
    </row>
    <row r="696" spans="1:12" ht="33.75" customHeight="1" x14ac:dyDescent="0.25">
      <c r="A696" s="13" t="s">
        <v>1679</v>
      </c>
      <c r="B696" s="2" t="s">
        <v>382</v>
      </c>
      <c r="C696" s="2" t="s">
        <v>1680</v>
      </c>
      <c r="D696" s="2"/>
      <c r="E696" s="2" t="s">
        <v>4725</v>
      </c>
      <c r="F696" s="2" t="s">
        <v>384</v>
      </c>
      <c r="G696" s="2">
        <v>35.3172</v>
      </c>
      <c r="H696" s="2" t="s">
        <v>4644</v>
      </c>
      <c r="I696" s="2" t="s">
        <v>4645</v>
      </c>
      <c r="J696" s="2" t="s">
        <v>4726</v>
      </c>
      <c r="K696" s="2">
        <v>96</v>
      </c>
      <c r="L696" s="2" t="s">
        <v>4647</v>
      </c>
    </row>
    <row r="697" spans="1:12" ht="33.75" customHeight="1" x14ac:dyDescent="0.25">
      <c r="A697" s="14" t="s">
        <v>1681</v>
      </c>
      <c r="B697" s="3" t="s">
        <v>390</v>
      </c>
      <c r="C697" s="3" t="s">
        <v>1682</v>
      </c>
      <c r="D697" s="3"/>
      <c r="E697" s="3" t="s">
        <v>4728</v>
      </c>
      <c r="F697" s="3" t="s">
        <v>392</v>
      </c>
      <c r="G697" s="3">
        <v>35.367600000000003</v>
      </c>
      <c r="H697" s="3" t="s">
        <v>4644</v>
      </c>
      <c r="I697" s="3" t="s">
        <v>4645</v>
      </c>
      <c r="J697" s="3" t="s">
        <v>4729</v>
      </c>
      <c r="K697" s="3">
        <v>120</v>
      </c>
      <c r="L697" s="3" t="s">
        <v>4647</v>
      </c>
    </row>
    <row r="698" spans="1:12" ht="33.75" customHeight="1" x14ac:dyDescent="0.25">
      <c r="A698" s="13" t="s">
        <v>1683</v>
      </c>
      <c r="B698" s="2" t="s">
        <v>1008</v>
      </c>
      <c r="C698" s="2" t="s">
        <v>1684</v>
      </c>
      <c r="D698" s="2"/>
      <c r="E698" s="2" t="s">
        <v>4807</v>
      </c>
      <c r="F698" s="2" t="s">
        <v>1010</v>
      </c>
      <c r="G698" s="2">
        <v>30.4892</v>
      </c>
      <c r="H698" s="2" t="s">
        <v>4644</v>
      </c>
      <c r="I698" s="2" t="s">
        <v>4645</v>
      </c>
      <c r="J698" s="2" t="s">
        <v>4710</v>
      </c>
      <c r="K698" s="2">
        <v>87</v>
      </c>
      <c r="L698" s="2" t="s">
        <v>4647</v>
      </c>
    </row>
    <row r="699" spans="1:12" ht="33.75" customHeight="1" x14ac:dyDescent="0.25">
      <c r="A699" s="14" t="s">
        <v>1685</v>
      </c>
      <c r="B699" s="3" t="s">
        <v>418</v>
      </c>
      <c r="C699" s="3" t="s">
        <v>1686</v>
      </c>
      <c r="D699" s="3"/>
      <c r="E699" s="3" t="s">
        <v>4734</v>
      </c>
      <c r="F699" s="3" t="s">
        <v>420</v>
      </c>
      <c r="G699" s="3">
        <v>30.655200000000001</v>
      </c>
      <c r="H699" s="3" t="s">
        <v>4644</v>
      </c>
      <c r="I699" s="3" t="s">
        <v>4645</v>
      </c>
      <c r="J699" s="3" t="s">
        <v>4735</v>
      </c>
      <c r="K699" s="3">
        <v>72</v>
      </c>
      <c r="L699" s="3" t="s">
        <v>4647</v>
      </c>
    </row>
    <row r="700" spans="1:12" ht="33.75" customHeight="1" x14ac:dyDescent="0.25">
      <c r="A700" s="13" t="s">
        <v>1687</v>
      </c>
      <c r="B700" s="2" t="s">
        <v>324</v>
      </c>
      <c r="C700" s="2" t="s">
        <v>1688</v>
      </c>
      <c r="D700" s="2"/>
      <c r="E700" s="2" t="s">
        <v>4704</v>
      </c>
      <c r="F700" s="2" t="s">
        <v>326</v>
      </c>
      <c r="G700" s="2">
        <v>29.719200000000001</v>
      </c>
      <c r="H700" s="2" t="s">
        <v>4644</v>
      </c>
      <c r="I700" s="2" t="s">
        <v>4645</v>
      </c>
      <c r="J700" s="2" t="s">
        <v>4697</v>
      </c>
      <c r="K700" s="2">
        <v>45</v>
      </c>
      <c r="L700" s="2" t="s">
        <v>4647</v>
      </c>
    </row>
    <row r="701" spans="1:12" ht="33.75" customHeight="1" x14ac:dyDescent="0.25">
      <c r="A701" s="14" t="s">
        <v>1689</v>
      </c>
      <c r="B701" s="3" t="s">
        <v>846</v>
      </c>
      <c r="C701" s="3" t="s">
        <v>1690</v>
      </c>
      <c r="D701" s="3"/>
      <c r="E701" s="3" t="s">
        <v>4800</v>
      </c>
      <c r="F701" s="3" t="s">
        <v>848</v>
      </c>
      <c r="G701" s="3">
        <v>29.944199999999999</v>
      </c>
      <c r="H701" s="3" t="s">
        <v>4644</v>
      </c>
      <c r="I701" s="3" t="s">
        <v>4645</v>
      </c>
      <c r="J701" s="3" t="s">
        <v>4684</v>
      </c>
      <c r="K701" s="3">
        <v>68</v>
      </c>
      <c r="L701" s="3" t="s">
        <v>4647</v>
      </c>
    </row>
    <row r="702" spans="1:12" ht="33.75" customHeight="1" x14ac:dyDescent="0.25">
      <c r="A702" s="13" t="s">
        <v>1691</v>
      </c>
      <c r="B702" s="2" t="s">
        <v>794</v>
      </c>
      <c r="C702" s="2" t="s">
        <v>1692</v>
      </c>
      <c r="D702" s="2"/>
      <c r="E702" s="2" t="s">
        <v>4791</v>
      </c>
      <c r="F702" s="2" t="s">
        <v>796</v>
      </c>
      <c r="G702" s="2">
        <v>34.151200000000003</v>
      </c>
      <c r="H702" s="2" t="s">
        <v>4644</v>
      </c>
      <c r="I702" s="2" t="s">
        <v>4645</v>
      </c>
      <c r="J702" s="2" t="s">
        <v>4770</v>
      </c>
      <c r="K702" s="2">
        <v>63</v>
      </c>
      <c r="L702" s="2" t="s">
        <v>4647</v>
      </c>
    </row>
    <row r="703" spans="1:12" ht="33.75" customHeight="1" x14ac:dyDescent="0.25">
      <c r="A703" s="14" t="s">
        <v>1693</v>
      </c>
      <c r="B703" s="3" t="s">
        <v>422</v>
      </c>
      <c r="C703" s="3" t="s">
        <v>1694</v>
      </c>
      <c r="D703" s="3"/>
      <c r="E703" s="3" t="s">
        <v>4736</v>
      </c>
      <c r="F703" s="3" t="s">
        <v>424</v>
      </c>
      <c r="G703" s="3">
        <v>30.7272</v>
      </c>
      <c r="H703" s="3" t="s">
        <v>4644</v>
      </c>
      <c r="I703" s="3" t="s">
        <v>4645</v>
      </c>
      <c r="J703" s="3" t="s">
        <v>4682</v>
      </c>
      <c r="K703" s="3">
        <v>76</v>
      </c>
      <c r="L703" s="3" t="s">
        <v>4647</v>
      </c>
    </row>
    <row r="704" spans="1:12" ht="33.75" customHeight="1" x14ac:dyDescent="0.25">
      <c r="A704" s="13" t="s">
        <v>1695</v>
      </c>
      <c r="B704" s="2" t="s">
        <v>1236</v>
      </c>
      <c r="C704" s="2" t="s">
        <v>1696</v>
      </c>
      <c r="D704" s="2" t="s">
        <v>4705</v>
      </c>
      <c r="E704" s="2" t="s">
        <v>4816</v>
      </c>
      <c r="F704" s="2" t="s">
        <v>1238</v>
      </c>
      <c r="G704" s="2">
        <v>50.456000000000003</v>
      </c>
      <c r="H704" s="2" t="s">
        <v>4644</v>
      </c>
      <c r="I704" s="2" t="s">
        <v>4645</v>
      </c>
      <c r="J704" s="2" t="s">
        <v>4735</v>
      </c>
      <c r="K704" s="2">
        <v>88</v>
      </c>
      <c r="L704" s="2" t="s">
        <v>4647</v>
      </c>
    </row>
    <row r="705" spans="1:12" ht="33.75" customHeight="1" x14ac:dyDescent="0.25">
      <c r="A705" s="14" t="s">
        <v>1697</v>
      </c>
      <c r="B705" s="3" t="s">
        <v>386</v>
      </c>
      <c r="C705" s="3" t="s">
        <v>1698</v>
      </c>
      <c r="D705" s="3"/>
      <c r="E705" s="3" t="s">
        <v>4727</v>
      </c>
      <c r="F705" s="3" t="s">
        <v>388</v>
      </c>
      <c r="G705" s="3">
        <v>33.783799999999999</v>
      </c>
      <c r="H705" s="3" t="s">
        <v>4644</v>
      </c>
      <c r="I705" s="3" t="s">
        <v>4645</v>
      </c>
      <c r="J705" s="3" t="s">
        <v>4721</v>
      </c>
      <c r="K705" s="3">
        <v>54</v>
      </c>
      <c r="L705" s="3" t="s">
        <v>4647</v>
      </c>
    </row>
    <row r="706" spans="1:12" ht="33.75" customHeight="1" x14ac:dyDescent="0.25">
      <c r="A706" s="13" t="s">
        <v>1699</v>
      </c>
      <c r="B706" s="2" t="s">
        <v>382</v>
      </c>
      <c r="C706" s="2" t="s">
        <v>1700</v>
      </c>
      <c r="D706" s="2"/>
      <c r="E706" s="2" t="s">
        <v>4725</v>
      </c>
      <c r="F706" s="2" t="s">
        <v>384</v>
      </c>
      <c r="G706" s="2">
        <v>35.3172</v>
      </c>
      <c r="H706" s="2" t="s">
        <v>4644</v>
      </c>
      <c r="I706" s="2" t="s">
        <v>4645</v>
      </c>
      <c r="J706" s="2" t="s">
        <v>4726</v>
      </c>
      <c r="K706" s="2">
        <v>96</v>
      </c>
      <c r="L706" s="2" t="s">
        <v>4647</v>
      </c>
    </row>
    <row r="707" spans="1:12" ht="33.75" customHeight="1" x14ac:dyDescent="0.25">
      <c r="A707" s="14" t="s">
        <v>1701</v>
      </c>
      <c r="B707" s="3" t="s">
        <v>418</v>
      </c>
      <c r="C707" s="3" t="s">
        <v>1686</v>
      </c>
      <c r="D707" s="3"/>
      <c r="E707" s="3" t="s">
        <v>4734</v>
      </c>
      <c r="F707" s="3" t="s">
        <v>420</v>
      </c>
      <c r="G707" s="3">
        <v>30.655200000000001</v>
      </c>
      <c r="H707" s="3" t="s">
        <v>4644</v>
      </c>
      <c r="I707" s="3" t="s">
        <v>4645</v>
      </c>
      <c r="J707" s="3" t="s">
        <v>4735</v>
      </c>
      <c r="K707" s="3">
        <v>72</v>
      </c>
      <c r="L707" s="3" t="s">
        <v>4647</v>
      </c>
    </row>
    <row r="708" spans="1:12" ht="33.75" customHeight="1" x14ac:dyDescent="0.25">
      <c r="A708" s="13" t="s">
        <v>1702</v>
      </c>
      <c r="B708" s="2" t="s">
        <v>588</v>
      </c>
      <c r="C708" s="2" t="s">
        <v>1703</v>
      </c>
      <c r="D708" s="2"/>
      <c r="E708" s="2" t="s">
        <v>4761</v>
      </c>
      <c r="F708" s="2" t="s">
        <v>590</v>
      </c>
      <c r="G708" s="2">
        <v>29.869199999999999</v>
      </c>
      <c r="H708" s="2" t="s">
        <v>4644</v>
      </c>
      <c r="I708" s="2" t="s">
        <v>4645</v>
      </c>
      <c r="J708" s="2" t="s">
        <v>4684</v>
      </c>
      <c r="K708" s="2">
        <v>63</v>
      </c>
      <c r="L708" s="2" t="s">
        <v>4647</v>
      </c>
    </row>
    <row r="709" spans="1:12" ht="33.75" customHeight="1" x14ac:dyDescent="0.25">
      <c r="A709" s="14" t="s">
        <v>1704</v>
      </c>
      <c r="B709" s="3" t="s">
        <v>418</v>
      </c>
      <c r="C709" s="3" t="s">
        <v>1705</v>
      </c>
      <c r="D709" s="3"/>
      <c r="E709" s="3" t="s">
        <v>4734</v>
      </c>
      <c r="F709" s="3" t="s">
        <v>420</v>
      </c>
      <c r="G709" s="3">
        <v>30.655200000000001</v>
      </c>
      <c r="H709" s="3" t="s">
        <v>4644</v>
      </c>
      <c r="I709" s="3" t="s">
        <v>4645</v>
      </c>
      <c r="J709" s="3" t="s">
        <v>4682</v>
      </c>
      <c r="K709" s="3">
        <v>72</v>
      </c>
      <c r="L709" s="3" t="s">
        <v>4647</v>
      </c>
    </row>
    <row r="710" spans="1:12" ht="33.75" customHeight="1" x14ac:dyDescent="0.25">
      <c r="A710" s="13" t="s">
        <v>1706</v>
      </c>
      <c r="B710" s="2" t="s">
        <v>324</v>
      </c>
      <c r="C710" s="2" t="s">
        <v>1707</v>
      </c>
      <c r="D710" s="2"/>
      <c r="E710" s="2" t="s">
        <v>4704</v>
      </c>
      <c r="F710" s="2" t="s">
        <v>326</v>
      </c>
      <c r="G710" s="2">
        <v>29.719200000000001</v>
      </c>
      <c r="H710" s="2" t="s">
        <v>4644</v>
      </c>
      <c r="I710" s="2" t="s">
        <v>4645</v>
      </c>
      <c r="J710" s="2" t="s">
        <v>4697</v>
      </c>
      <c r="K710" s="2">
        <v>45</v>
      </c>
      <c r="L710" s="2" t="s">
        <v>4647</v>
      </c>
    </row>
    <row r="711" spans="1:12" ht="33.75" customHeight="1" x14ac:dyDescent="0.25">
      <c r="A711" s="14" t="s">
        <v>1708</v>
      </c>
      <c r="B711" s="3" t="s">
        <v>418</v>
      </c>
      <c r="C711" s="3" t="s">
        <v>1709</v>
      </c>
      <c r="D711" s="3" t="s">
        <v>4661</v>
      </c>
      <c r="E711" s="3" t="s">
        <v>4734</v>
      </c>
      <c r="F711" s="3" t="s">
        <v>420</v>
      </c>
      <c r="G711" s="3">
        <v>30.655200000000001</v>
      </c>
      <c r="H711" s="3" t="s">
        <v>4644</v>
      </c>
      <c r="I711" s="3" t="s">
        <v>4645</v>
      </c>
      <c r="J711" s="3" t="s">
        <v>4682</v>
      </c>
      <c r="K711" s="3">
        <v>72</v>
      </c>
      <c r="L711" s="3" t="s">
        <v>4647</v>
      </c>
    </row>
    <row r="712" spans="1:12" ht="33.75" customHeight="1" x14ac:dyDescent="0.25">
      <c r="A712" s="13" t="s">
        <v>1710</v>
      </c>
      <c r="B712" s="2" t="s">
        <v>418</v>
      </c>
      <c r="C712" s="2" t="s">
        <v>1711</v>
      </c>
      <c r="D712" s="2" t="s">
        <v>4773</v>
      </c>
      <c r="E712" s="2" t="s">
        <v>4734</v>
      </c>
      <c r="F712" s="2" t="s">
        <v>420</v>
      </c>
      <c r="G712" s="2">
        <v>30.655200000000001</v>
      </c>
      <c r="H712" s="2" t="s">
        <v>4644</v>
      </c>
      <c r="I712" s="2" t="s">
        <v>4645</v>
      </c>
      <c r="J712" s="2" t="s">
        <v>4735</v>
      </c>
      <c r="K712" s="2">
        <v>72</v>
      </c>
      <c r="L712" s="2" t="s">
        <v>4647</v>
      </c>
    </row>
    <row r="713" spans="1:12" ht="33.75" customHeight="1" x14ac:dyDescent="0.25">
      <c r="A713" s="14" t="s">
        <v>1712</v>
      </c>
      <c r="B713" s="3" t="s">
        <v>378</v>
      </c>
      <c r="C713" s="3" t="s">
        <v>1713</v>
      </c>
      <c r="D713" s="3" t="s">
        <v>4841</v>
      </c>
      <c r="E713" s="3" t="s">
        <v>4722</v>
      </c>
      <c r="F713" s="3" t="s">
        <v>380</v>
      </c>
      <c r="G713" s="3">
        <v>29.743200000000002</v>
      </c>
      <c r="H713" s="3" t="s">
        <v>4644</v>
      </c>
      <c r="I713" s="3" t="s">
        <v>4645</v>
      </c>
      <c r="J713" s="3" t="s">
        <v>4693</v>
      </c>
      <c r="K713" s="3">
        <v>56</v>
      </c>
      <c r="L713" s="3" t="s">
        <v>4647</v>
      </c>
    </row>
    <row r="714" spans="1:12" ht="33.75" customHeight="1" x14ac:dyDescent="0.25">
      <c r="A714" s="13" t="s">
        <v>1714</v>
      </c>
      <c r="B714" s="2" t="s">
        <v>1715</v>
      </c>
      <c r="C714" s="2" t="s">
        <v>1716</v>
      </c>
      <c r="D714" s="2" t="s">
        <v>4792</v>
      </c>
      <c r="E714" s="2" t="s">
        <v>4844</v>
      </c>
      <c r="F714" s="2" t="s">
        <v>1717</v>
      </c>
      <c r="G714" s="2">
        <v>29.805199999999999</v>
      </c>
      <c r="H714" s="2" t="s">
        <v>4644</v>
      </c>
      <c r="I714" s="2" t="s">
        <v>4645</v>
      </c>
      <c r="J714" s="2" t="s">
        <v>4682</v>
      </c>
      <c r="K714" s="2">
        <v>57</v>
      </c>
      <c r="L714" s="2" t="s">
        <v>4647</v>
      </c>
    </row>
    <row r="715" spans="1:12" ht="33.75" customHeight="1" x14ac:dyDescent="0.25">
      <c r="A715" s="14" t="s">
        <v>1718</v>
      </c>
      <c r="B715" s="3" t="s">
        <v>1719</v>
      </c>
      <c r="C715" s="3" t="s">
        <v>1720</v>
      </c>
      <c r="D715" s="3" t="s">
        <v>4792</v>
      </c>
      <c r="E715" s="3" t="s">
        <v>4845</v>
      </c>
      <c r="F715" s="3" t="s">
        <v>1721</v>
      </c>
      <c r="G715" s="3">
        <v>29.3232</v>
      </c>
      <c r="H715" s="3" t="s">
        <v>4644</v>
      </c>
      <c r="I715" s="3" t="s">
        <v>4645</v>
      </c>
      <c r="J715" s="3" t="s">
        <v>4695</v>
      </c>
      <c r="K715" s="3">
        <v>51</v>
      </c>
      <c r="L715" s="3" t="s">
        <v>4647</v>
      </c>
    </row>
    <row r="716" spans="1:12" ht="33.75" customHeight="1" x14ac:dyDescent="0.25">
      <c r="A716" s="13" t="s">
        <v>1722</v>
      </c>
      <c r="B716" s="2" t="s">
        <v>1723</v>
      </c>
      <c r="C716" s="2" t="s">
        <v>1724</v>
      </c>
      <c r="D716" s="2" t="s">
        <v>4792</v>
      </c>
      <c r="E716" s="2" t="s">
        <v>4846</v>
      </c>
      <c r="F716" s="2" t="s">
        <v>1725</v>
      </c>
      <c r="G716" s="2">
        <v>29.0672</v>
      </c>
      <c r="H716" s="2" t="s">
        <v>4644</v>
      </c>
      <c r="I716" s="2" t="s">
        <v>4645</v>
      </c>
      <c r="J716" s="2" t="s">
        <v>4723</v>
      </c>
      <c r="K716" s="2">
        <v>42</v>
      </c>
      <c r="L716" s="2" t="s">
        <v>4647</v>
      </c>
    </row>
    <row r="717" spans="1:12" ht="33.75" customHeight="1" x14ac:dyDescent="0.25">
      <c r="A717" s="14" t="s">
        <v>1726</v>
      </c>
      <c r="B717" s="3" t="s">
        <v>1727</v>
      </c>
      <c r="C717" s="3" t="s">
        <v>1728</v>
      </c>
      <c r="D717" s="3" t="s">
        <v>4792</v>
      </c>
      <c r="E717" s="3" t="s">
        <v>4847</v>
      </c>
      <c r="F717" s="3" t="s">
        <v>1729</v>
      </c>
      <c r="G717" s="3">
        <v>29.0792</v>
      </c>
      <c r="H717" s="3" t="s">
        <v>4644</v>
      </c>
      <c r="I717" s="3" t="s">
        <v>4645</v>
      </c>
      <c r="J717" s="3" t="s">
        <v>4697</v>
      </c>
      <c r="K717" s="3">
        <v>36</v>
      </c>
      <c r="L717" s="3" t="s">
        <v>4647</v>
      </c>
    </row>
    <row r="718" spans="1:12" ht="33.75" customHeight="1" x14ac:dyDescent="0.25">
      <c r="A718" s="13" t="s">
        <v>1730</v>
      </c>
      <c r="B718" s="2" t="s">
        <v>1719</v>
      </c>
      <c r="C718" s="2" t="s">
        <v>1731</v>
      </c>
      <c r="D718" s="2" t="s">
        <v>4792</v>
      </c>
      <c r="E718" s="2" t="s">
        <v>4845</v>
      </c>
      <c r="F718" s="2" t="s">
        <v>1721</v>
      </c>
      <c r="G718" s="2">
        <v>29.3232</v>
      </c>
      <c r="H718" s="2" t="s">
        <v>4644</v>
      </c>
      <c r="I718" s="2" t="s">
        <v>4645</v>
      </c>
      <c r="J718" s="2" t="s">
        <v>4695</v>
      </c>
      <c r="K718" s="2">
        <v>51</v>
      </c>
      <c r="L718" s="2" t="s">
        <v>4647</v>
      </c>
    </row>
    <row r="719" spans="1:12" ht="33.75" customHeight="1" x14ac:dyDescent="0.25">
      <c r="A719" s="14" t="s">
        <v>1732</v>
      </c>
      <c r="B719" s="3" t="s">
        <v>1723</v>
      </c>
      <c r="C719" s="3" t="s">
        <v>1733</v>
      </c>
      <c r="D719" s="3" t="s">
        <v>4792</v>
      </c>
      <c r="E719" s="3" t="s">
        <v>4846</v>
      </c>
      <c r="F719" s="3" t="s">
        <v>1725</v>
      </c>
      <c r="G719" s="3">
        <v>29.0672</v>
      </c>
      <c r="H719" s="3" t="s">
        <v>4644</v>
      </c>
      <c r="I719" s="3" t="s">
        <v>4645</v>
      </c>
      <c r="J719" s="3" t="s">
        <v>4723</v>
      </c>
      <c r="K719" s="3">
        <v>42</v>
      </c>
      <c r="L719" s="3" t="s">
        <v>4647</v>
      </c>
    </row>
    <row r="720" spans="1:12" ht="33.75" customHeight="1" x14ac:dyDescent="0.25">
      <c r="A720" s="13" t="s">
        <v>1734</v>
      </c>
      <c r="B720" s="2" t="s">
        <v>1727</v>
      </c>
      <c r="C720" s="2" t="s">
        <v>1735</v>
      </c>
      <c r="D720" s="2" t="s">
        <v>4792</v>
      </c>
      <c r="E720" s="2" t="s">
        <v>4847</v>
      </c>
      <c r="F720" s="2" t="s">
        <v>1729</v>
      </c>
      <c r="G720" s="2">
        <v>29.0792</v>
      </c>
      <c r="H720" s="2" t="s">
        <v>4644</v>
      </c>
      <c r="I720" s="2" t="s">
        <v>4645</v>
      </c>
      <c r="J720" s="2" t="s">
        <v>4697</v>
      </c>
      <c r="K720" s="2">
        <v>36</v>
      </c>
      <c r="L720" s="2" t="s">
        <v>4647</v>
      </c>
    </row>
    <row r="721" spans="1:12" ht="33.75" customHeight="1" x14ac:dyDescent="0.25">
      <c r="A721" s="14" t="s">
        <v>1736</v>
      </c>
      <c r="B721" s="3" t="s">
        <v>1737</v>
      </c>
      <c r="C721" s="3" t="s">
        <v>1738</v>
      </c>
      <c r="D721" s="3" t="s">
        <v>4792</v>
      </c>
      <c r="E721" s="3" t="s">
        <v>4848</v>
      </c>
      <c r="F721" s="3" t="s">
        <v>1739</v>
      </c>
      <c r="G721" s="3">
        <v>29.804200000000002</v>
      </c>
      <c r="H721" s="3" t="s">
        <v>4644</v>
      </c>
      <c r="I721" s="3" t="s">
        <v>4645</v>
      </c>
      <c r="J721" s="3" t="s">
        <v>4710</v>
      </c>
      <c r="K721" s="3">
        <v>72</v>
      </c>
      <c r="L721" s="3" t="s">
        <v>4647</v>
      </c>
    </row>
    <row r="722" spans="1:12" ht="33.75" customHeight="1" x14ac:dyDescent="0.25">
      <c r="A722" s="13" t="s">
        <v>1740</v>
      </c>
      <c r="B722" s="2" t="s">
        <v>1741</v>
      </c>
      <c r="C722" s="2" t="s">
        <v>1742</v>
      </c>
      <c r="D722" s="2"/>
      <c r="E722" s="2" t="s">
        <v>4849</v>
      </c>
      <c r="F722" s="2" t="s">
        <v>1743</v>
      </c>
      <c r="G722" s="2">
        <v>31.026199999999999</v>
      </c>
      <c r="H722" s="2" t="s">
        <v>4644</v>
      </c>
      <c r="I722" s="2" t="s">
        <v>4645</v>
      </c>
      <c r="J722" s="2" t="s">
        <v>4733</v>
      </c>
      <c r="K722" s="2">
        <v>96</v>
      </c>
      <c r="L722" s="2" t="s">
        <v>4647</v>
      </c>
    </row>
    <row r="723" spans="1:12" ht="33.75" customHeight="1" x14ac:dyDescent="0.25">
      <c r="A723" s="14" t="s">
        <v>1744</v>
      </c>
      <c r="B723" s="3" t="s">
        <v>1737</v>
      </c>
      <c r="C723" s="3" t="s">
        <v>1745</v>
      </c>
      <c r="D723" s="3" t="s">
        <v>4792</v>
      </c>
      <c r="E723" s="3" t="s">
        <v>4848</v>
      </c>
      <c r="F723" s="3" t="s">
        <v>1739</v>
      </c>
      <c r="G723" s="3">
        <v>29.804200000000002</v>
      </c>
      <c r="H723" s="3" t="s">
        <v>4644</v>
      </c>
      <c r="I723" s="3" t="s">
        <v>4645</v>
      </c>
      <c r="J723" s="3" t="s">
        <v>4710</v>
      </c>
      <c r="K723" s="3">
        <v>72</v>
      </c>
      <c r="L723" s="3" t="s">
        <v>4647</v>
      </c>
    </row>
    <row r="724" spans="1:12" ht="33.75" customHeight="1" x14ac:dyDescent="0.25">
      <c r="A724" s="13" t="s">
        <v>1746</v>
      </c>
      <c r="B724" s="2" t="s">
        <v>418</v>
      </c>
      <c r="C724" s="2" t="s">
        <v>1747</v>
      </c>
      <c r="D724" s="2"/>
      <c r="E724" s="2" t="s">
        <v>4734</v>
      </c>
      <c r="F724" s="2" t="s">
        <v>420</v>
      </c>
      <c r="G724" s="2">
        <v>30.655200000000001</v>
      </c>
      <c r="H724" s="2" t="s">
        <v>4644</v>
      </c>
      <c r="I724" s="2" t="s">
        <v>4645</v>
      </c>
      <c r="J724" s="2" t="s">
        <v>4735</v>
      </c>
      <c r="K724" s="2">
        <v>72</v>
      </c>
      <c r="L724" s="2" t="s">
        <v>4647</v>
      </c>
    </row>
    <row r="725" spans="1:12" ht="33.75" customHeight="1" x14ac:dyDescent="0.25">
      <c r="A725" s="14" t="s">
        <v>1748</v>
      </c>
      <c r="B725" s="3" t="s">
        <v>1715</v>
      </c>
      <c r="C725" s="3" t="s">
        <v>1749</v>
      </c>
      <c r="D725" s="3" t="s">
        <v>4792</v>
      </c>
      <c r="E725" s="3" t="s">
        <v>4844</v>
      </c>
      <c r="F725" s="3" t="s">
        <v>1717</v>
      </c>
      <c r="G725" s="3">
        <v>29.805199999999999</v>
      </c>
      <c r="H725" s="3" t="s">
        <v>4644</v>
      </c>
      <c r="I725" s="3" t="s">
        <v>4645</v>
      </c>
      <c r="J725" s="3" t="s">
        <v>4735</v>
      </c>
      <c r="K725" s="3">
        <v>57</v>
      </c>
      <c r="L725" s="3" t="s">
        <v>4647</v>
      </c>
    </row>
    <row r="726" spans="1:12" ht="33.75" customHeight="1" x14ac:dyDescent="0.25">
      <c r="A726" s="13" t="s">
        <v>1750</v>
      </c>
      <c r="B726" s="2" t="s">
        <v>1715</v>
      </c>
      <c r="C726" s="2" t="s">
        <v>1751</v>
      </c>
      <c r="D726" s="2" t="s">
        <v>4792</v>
      </c>
      <c r="E726" s="2" t="s">
        <v>4844</v>
      </c>
      <c r="F726" s="2" t="s">
        <v>1717</v>
      </c>
      <c r="G726" s="2">
        <v>29.805199999999999</v>
      </c>
      <c r="H726" s="2" t="s">
        <v>4644</v>
      </c>
      <c r="I726" s="2" t="s">
        <v>4645</v>
      </c>
      <c r="J726" s="2" t="s">
        <v>4735</v>
      </c>
      <c r="K726" s="2">
        <v>57</v>
      </c>
      <c r="L726" s="2" t="s">
        <v>4647</v>
      </c>
    </row>
    <row r="727" spans="1:12" ht="33.75" customHeight="1" x14ac:dyDescent="0.25">
      <c r="A727" s="14" t="s">
        <v>1752</v>
      </c>
      <c r="B727" s="3" t="s">
        <v>142</v>
      </c>
      <c r="C727" s="3" t="s">
        <v>1753</v>
      </c>
      <c r="D727" s="3" t="s">
        <v>4689</v>
      </c>
      <c r="E727" s="3" t="s">
        <v>4850</v>
      </c>
      <c r="F727" s="3" t="s">
        <v>144</v>
      </c>
      <c r="G727" s="3"/>
      <c r="H727" s="3" t="s">
        <v>4666</v>
      </c>
      <c r="I727" s="3" t="s">
        <v>4667</v>
      </c>
      <c r="J727" s="3" t="s">
        <v>4733</v>
      </c>
      <c r="K727" s="3">
        <v>24</v>
      </c>
      <c r="L727" s="3" t="s">
        <v>4668</v>
      </c>
    </row>
    <row r="728" spans="1:12" ht="33.75" customHeight="1" x14ac:dyDescent="0.25">
      <c r="A728" s="13" t="s">
        <v>1754</v>
      </c>
      <c r="B728" s="2" t="s">
        <v>1755</v>
      </c>
      <c r="C728" s="2" t="s">
        <v>1756</v>
      </c>
      <c r="D728" s="2" t="s">
        <v>4851</v>
      </c>
      <c r="E728" s="2" t="s">
        <v>4852</v>
      </c>
      <c r="F728" s="2" t="s">
        <v>1757</v>
      </c>
      <c r="G728" s="2">
        <v>40.316000000000003</v>
      </c>
      <c r="H728" s="2" t="s">
        <v>4644</v>
      </c>
      <c r="I728" s="2" t="s">
        <v>4645</v>
      </c>
      <c r="J728" s="2" t="s">
        <v>4733</v>
      </c>
      <c r="K728" s="2">
        <v>48</v>
      </c>
      <c r="L728" s="2" t="s">
        <v>4647</v>
      </c>
    </row>
    <row r="729" spans="1:12" ht="33.75" customHeight="1" x14ac:dyDescent="0.25">
      <c r="A729" s="14" t="s">
        <v>1758</v>
      </c>
      <c r="B729" s="3" t="s">
        <v>1759</v>
      </c>
      <c r="C729" s="3" t="s">
        <v>1760</v>
      </c>
      <c r="D729" s="3" t="s">
        <v>4851</v>
      </c>
      <c r="E729" s="3" t="s">
        <v>4853</v>
      </c>
      <c r="F729" s="3" t="s">
        <v>1761</v>
      </c>
      <c r="G729" s="3">
        <v>37.295999999999999</v>
      </c>
      <c r="H729" s="3" t="s">
        <v>4644</v>
      </c>
      <c r="I729" s="3" t="s">
        <v>4645</v>
      </c>
      <c r="J729" s="3" t="s">
        <v>4723</v>
      </c>
      <c r="K729" s="3">
        <v>34</v>
      </c>
      <c r="L729" s="3" t="s">
        <v>4647</v>
      </c>
    </row>
    <row r="730" spans="1:12" ht="33.75" customHeight="1" x14ac:dyDescent="0.25">
      <c r="A730" s="13" t="s">
        <v>1762</v>
      </c>
      <c r="B730" s="2" t="s">
        <v>1763</v>
      </c>
      <c r="C730" s="2" t="s">
        <v>1764</v>
      </c>
      <c r="D730" s="2" t="s">
        <v>4851</v>
      </c>
      <c r="E730" s="2" t="s">
        <v>4854</v>
      </c>
      <c r="F730" s="2" t="s">
        <v>1765</v>
      </c>
      <c r="G730" s="2">
        <v>41.020940000000003</v>
      </c>
      <c r="H730" s="2" t="s">
        <v>4644</v>
      </c>
      <c r="I730" s="2" t="s">
        <v>4645</v>
      </c>
      <c r="J730" s="2" t="s">
        <v>4719</v>
      </c>
      <c r="K730" s="2">
        <v>42</v>
      </c>
      <c r="L730" s="2" t="s">
        <v>4647</v>
      </c>
    </row>
    <row r="731" spans="1:12" ht="33.75" customHeight="1" x14ac:dyDescent="0.25">
      <c r="A731" s="14" t="s">
        <v>1766</v>
      </c>
      <c r="B731" s="3" t="s">
        <v>1767</v>
      </c>
      <c r="C731" s="3" t="s">
        <v>1768</v>
      </c>
      <c r="D731" s="3" t="s">
        <v>4851</v>
      </c>
      <c r="E731" s="3" t="s">
        <v>4855</v>
      </c>
      <c r="F731" s="3" t="s">
        <v>1769</v>
      </c>
      <c r="G731" s="3">
        <v>40.7776</v>
      </c>
      <c r="H731" s="3" t="s">
        <v>4644</v>
      </c>
      <c r="I731" s="3" t="s">
        <v>4645</v>
      </c>
      <c r="J731" s="3" t="s">
        <v>4721</v>
      </c>
      <c r="K731" s="3">
        <v>34</v>
      </c>
      <c r="L731" s="3" t="s">
        <v>4647</v>
      </c>
    </row>
    <row r="732" spans="1:12" ht="33.75" customHeight="1" x14ac:dyDescent="0.25">
      <c r="A732" s="13" t="s">
        <v>1770</v>
      </c>
      <c r="B732" s="2" t="s">
        <v>1767</v>
      </c>
      <c r="C732" s="2" t="s">
        <v>1771</v>
      </c>
      <c r="D732" s="2" t="s">
        <v>4851</v>
      </c>
      <c r="E732" s="2" t="s">
        <v>4855</v>
      </c>
      <c r="F732" s="2" t="s">
        <v>1769</v>
      </c>
      <c r="G732" s="2">
        <v>40.7776</v>
      </c>
      <c r="H732" s="2" t="s">
        <v>4644</v>
      </c>
      <c r="I732" s="2" t="s">
        <v>4645</v>
      </c>
      <c r="J732" s="2" t="s">
        <v>4721</v>
      </c>
      <c r="K732" s="2">
        <v>34</v>
      </c>
      <c r="L732" s="2" t="s">
        <v>4647</v>
      </c>
    </row>
    <row r="733" spans="1:12" ht="33.75" customHeight="1" x14ac:dyDescent="0.25">
      <c r="A733" s="14" t="s">
        <v>1772</v>
      </c>
      <c r="B733" s="3" t="s">
        <v>1773</v>
      </c>
      <c r="C733" s="3" t="s">
        <v>1774</v>
      </c>
      <c r="D733" s="3" t="s">
        <v>4699</v>
      </c>
      <c r="E733" s="3" t="s">
        <v>4856</v>
      </c>
      <c r="F733" s="3" t="s">
        <v>1775</v>
      </c>
      <c r="G733" s="3">
        <v>29.173999999999999</v>
      </c>
      <c r="H733" s="3" t="s">
        <v>4644</v>
      </c>
      <c r="I733" s="3" t="s">
        <v>4645</v>
      </c>
      <c r="J733" s="3" t="s">
        <v>4721</v>
      </c>
      <c r="K733" s="3">
        <v>48</v>
      </c>
      <c r="L733" s="3" t="s">
        <v>4647</v>
      </c>
    </row>
    <row r="734" spans="1:12" ht="33.75" customHeight="1" x14ac:dyDescent="0.25">
      <c r="A734" s="13" t="s">
        <v>1776</v>
      </c>
      <c r="B734" s="2" t="s">
        <v>1777</v>
      </c>
      <c r="C734" s="2" t="s">
        <v>1778</v>
      </c>
      <c r="D734" s="2" t="s">
        <v>4699</v>
      </c>
      <c r="E734" s="2" t="s">
        <v>4857</v>
      </c>
      <c r="F734" s="2" t="s">
        <v>1779</v>
      </c>
      <c r="G734" s="2">
        <v>27.942</v>
      </c>
      <c r="H734" s="2" t="s">
        <v>4644</v>
      </c>
      <c r="I734" s="2" t="s">
        <v>4645</v>
      </c>
      <c r="J734" s="2" t="s">
        <v>4729</v>
      </c>
      <c r="K734" s="2">
        <v>36</v>
      </c>
      <c r="L734" s="2" t="s">
        <v>4647</v>
      </c>
    </row>
    <row r="735" spans="1:12" ht="33.75" customHeight="1" x14ac:dyDescent="0.25">
      <c r="A735" s="14" t="s">
        <v>1780</v>
      </c>
      <c r="B735" s="3" t="s">
        <v>1781</v>
      </c>
      <c r="C735" s="3" t="s">
        <v>1782</v>
      </c>
      <c r="D735" s="3" t="s">
        <v>4699</v>
      </c>
      <c r="E735" s="3" t="s">
        <v>4858</v>
      </c>
      <c r="F735" s="3" t="s">
        <v>1783</v>
      </c>
      <c r="G735" s="3">
        <v>27.925999999999998</v>
      </c>
      <c r="H735" s="3" t="s">
        <v>4644</v>
      </c>
      <c r="I735" s="3" t="s">
        <v>4645</v>
      </c>
      <c r="J735" s="3" t="s">
        <v>4695</v>
      </c>
      <c r="K735" s="3">
        <v>48</v>
      </c>
      <c r="L735" s="3" t="s">
        <v>4647</v>
      </c>
    </row>
    <row r="736" spans="1:12" ht="33.75" customHeight="1" x14ac:dyDescent="0.25">
      <c r="A736" s="13" t="s">
        <v>1784</v>
      </c>
      <c r="B736" s="2" t="s">
        <v>1294</v>
      </c>
      <c r="C736" s="2" t="s">
        <v>1785</v>
      </c>
      <c r="D736" s="2" t="s">
        <v>4699</v>
      </c>
      <c r="E736" s="2" t="s">
        <v>4819</v>
      </c>
      <c r="F736" s="2" t="s">
        <v>1296</v>
      </c>
      <c r="G736" s="2">
        <v>27.925999999999998</v>
      </c>
      <c r="H736" s="2" t="s">
        <v>4644</v>
      </c>
      <c r="I736" s="2" t="s">
        <v>4645</v>
      </c>
      <c r="J736" s="2" t="s">
        <v>4735</v>
      </c>
      <c r="K736" s="2">
        <v>57</v>
      </c>
      <c r="L736" s="2" t="s">
        <v>4647</v>
      </c>
    </row>
    <row r="737" spans="1:12" ht="33.75" customHeight="1" x14ac:dyDescent="0.25">
      <c r="A737" s="14" t="s">
        <v>1786</v>
      </c>
      <c r="B737" s="3" t="s">
        <v>878</v>
      </c>
      <c r="C737" s="3" t="s">
        <v>1787</v>
      </c>
      <c r="D737" s="3" t="s">
        <v>4699</v>
      </c>
      <c r="E737" s="3" t="s">
        <v>4802</v>
      </c>
      <c r="F737" s="3" t="s">
        <v>880</v>
      </c>
      <c r="G737" s="3">
        <v>27.925999999999998</v>
      </c>
      <c r="H737" s="3" t="s">
        <v>4644</v>
      </c>
      <c r="I737" s="3" t="s">
        <v>4645</v>
      </c>
      <c r="J737" s="3" t="s">
        <v>4695</v>
      </c>
      <c r="K737" s="3">
        <v>51</v>
      </c>
      <c r="L737" s="3" t="s">
        <v>4647</v>
      </c>
    </row>
    <row r="738" spans="1:12" ht="33.75" customHeight="1" x14ac:dyDescent="0.25">
      <c r="A738" s="13" t="s">
        <v>1788</v>
      </c>
      <c r="B738" s="2" t="s">
        <v>1789</v>
      </c>
      <c r="C738" s="2" t="s">
        <v>1790</v>
      </c>
      <c r="D738" s="2" t="s">
        <v>4771</v>
      </c>
      <c r="E738" s="2" t="s">
        <v>4859</v>
      </c>
      <c r="F738" s="2" t="s">
        <v>1791</v>
      </c>
      <c r="G738" s="2">
        <v>27.801559999999998</v>
      </c>
      <c r="H738" s="2" t="s">
        <v>4644</v>
      </c>
      <c r="I738" s="2" t="s">
        <v>4645</v>
      </c>
      <c r="J738" s="2" t="s">
        <v>4735</v>
      </c>
      <c r="K738" s="2">
        <v>57</v>
      </c>
      <c r="L738" s="2" t="s">
        <v>4668</v>
      </c>
    </row>
    <row r="739" spans="1:12" ht="33.75" customHeight="1" x14ac:dyDescent="0.25">
      <c r="A739" s="14" t="s">
        <v>1792</v>
      </c>
      <c r="B739" s="3" t="s">
        <v>632</v>
      </c>
      <c r="C739" s="3" t="s">
        <v>1793</v>
      </c>
      <c r="D739" s="3" t="s">
        <v>4771</v>
      </c>
      <c r="E739" s="3" t="s">
        <v>4772</v>
      </c>
      <c r="F739" s="3" t="s">
        <v>634</v>
      </c>
      <c r="G739" s="3">
        <v>27.795079999999999</v>
      </c>
      <c r="H739" s="3" t="s">
        <v>4644</v>
      </c>
      <c r="I739" s="3" t="s">
        <v>4645</v>
      </c>
      <c r="J739" s="3" t="s">
        <v>4695</v>
      </c>
      <c r="K739" s="3">
        <v>51</v>
      </c>
      <c r="L739" s="3" t="s">
        <v>4668</v>
      </c>
    </row>
    <row r="740" spans="1:12" ht="33.75" customHeight="1" x14ac:dyDescent="0.25">
      <c r="A740" s="13" t="s">
        <v>1794</v>
      </c>
      <c r="B740" s="2" t="s">
        <v>1795</v>
      </c>
      <c r="C740" s="2" t="s">
        <v>1796</v>
      </c>
      <c r="D740" s="2" t="s">
        <v>4771</v>
      </c>
      <c r="E740" s="2" t="s">
        <v>4860</v>
      </c>
      <c r="F740" s="2" t="s">
        <v>1797</v>
      </c>
      <c r="G740" s="2">
        <v>28.257760000000001</v>
      </c>
      <c r="H740" s="2" t="s">
        <v>4644</v>
      </c>
      <c r="I740" s="2" t="s">
        <v>4645</v>
      </c>
      <c r="J740" s="2" t="s">
        <v>4710</v>
      </c>
      <c r="K740" s="2">
        <v>72</v>
      </c>
      <c r="L740" s="2" t="s">
        <v>4668</v>
      </c>
    </row>
    <row r="741" spans="1:12" ht="33.75" customHeight="1" x14ac:dyDescent="0.25">
      <c r="A741" s="14" t="s">
        <v>1798</v>
      </c>
      <c r="B741" s="3" t="s">
        <v>1789</v>
      </c>
      <c r="C741" s="3" t="s">
        <v>1799</v>
      </c>
      <c r="D741" s="3" t="s">
        <v>4771</v>
      </c>
      <c r="E741" s="3" t="s">
        <v>4859</v>
      </c>
      <c r="F741" s="3" t="s">
        <v>1791</v>
      </c>
      <c r="G741" s="3">
        <v>27.801559999999998</v>
      </c>
      <c r="H741" s="3" t="s">
        <v>4644</v>
      </c>
      <c r="I741" s="3" t="s">
        <v>4645</v>
      </c>
      <c r="J741" s="3" t="s">
        <v>4682</v>
      </c>
      <c r="K741" s="3">
        <v>57</v>
      </c>
      <c r="L741" s="3" t="s">
        <v>4668</v>
      </c>
    </row>
    <row r="742" spans="1:12" ht="33.75" customHeight="1" x14ac:dyDescent="0.25">
      <c r="A742" s="13" t="s">
        <v>1800</v>
      </c>
      <c r="B742" s="2" t="s">
        <v>1789</v>
      </c>
      <c r="C742" s="2" t="s">
        <v>1801</v>
      </c>
      <c r="D742" s="2" t="s">
        <v>4771</v>
      </c>
      <c r="E742" s="2" t="s">
        <v>4859</v>
      </c>
      <c r="F742" s="2" t="s">
        <v>1791</v>
      </c>
      <c r="G742" s="2">
        <v>27.801559999999998</v>
      </c>
      <c r="H742" s="2" t="s">
        <v>4644</v>
      </c>
      <c r="I742" s="2" t="s">
        <v>4645</v>
      </c>
      <c r="J742" s="2" t="s">
        <v>4735</v>
      </c>
      <c r="K742" s="2">
        <v>57</v>
      </c>
      <c r="L742" s="2" t="s">
        <v>4668</v>
      </c>
    </row>
    <row r="743" spans="1:12" ht="33.75" customHeight="1" x14ac:dyDescent="0.25">
      <c r="A743" s="14" t="s">
        <v>1802</v>
      </c>
      <c r="B743" s="3" t="s">
        <v>1789</v>
      </c>
      <c r="C743" s="3" t="s">
        <v>1803</v>
      </c>
      <c r="D743" s="3" t="s">
        <v>4771</v>
      </c>
      <c r="E743" s="3" t="s">
        <v>4859</v>
      </c>
      <c r="F743" s="3" t="s">
        <v>1791</v>
      </c>
      <c r="G743" s="3">
        <v>27.801559999999998</v>
      </c>
      <c r="H743" s="3" t="s">
        <v>4644</v>
      </c>
      <c r="I743" s="3" t="s">
        <v>4645</v>
      </c>
      <c r="J743" s="3" t="s">
        <v>4735</v>
      </c>
      <c r="K743" s="3">
        <v>57</v>
      </c>
      <c r="L743" s="3" t="s">
        <v>4668</v>
      </c>
    </row>
    <row r="744" spans="1:12" ht="33.75" customHeight="1" x14ac:dyDescent="0.25">
      <c r="A744" s="13" t="s">
        <v>1804</v>
      </c>
      <c r="B744" s="2" t="s">
        <v>1805</v>
      </c>
      <c r="C744" s="2" t="s">
        <v>1806</v>
      </c>
      <c r="D744" s="2" t="s">
        <v>4771</v>
      </c>
      <c r="E744" s="2" t="s">
        <v>4861</v>
      </c>
      <c r="F744" s="2" t="s">
        <v>1807</v>
      </c>
      <c r="G744" s="2">
        <v>27.795079999999999</v>
      </c>
      <c r="H744" s="2" t="s">
        <v>4644</v>
      </c>
      <c r="I744" s="2" t="s">
        <v>4645</v>
      </c>
      <c r="J744" s="2" t="s">
        <v>4684</v>
      </c>
      <c r="K744" s="2">
        <v>51</v>
      </c>
      <c r="L744" s="2" t="s">
        <v>4668</v>
      </c>
    </row>
    <row r="745" spans="1:12" ht="33.75" customHeight="1" x14ac:dyDescent="0.25">
      <c r="A745" s="14" t="s">
        <v>1808</v>
      </c>
      <c r="B745" s="3" t="s">
        <v>1805</v>
      </c>
      <c r="C745" s="3" t="s">
        <v>1809</v>
      </c>
      <c r="D745" s="3" t="s">
        <v>4771</v>
      </c>
      <c r="E745" s="3" t="s">
        <v>4861</v>
      </c>
      <c r="F745" s="3" t="s">
        <v>1807</v>
      </c>
      <c r="G745" s="3">
        <v>27.795079999999999</v>
      </c>
      <c r="H745" s="3" t="s">
        <v>4644</v>
      </c>
      <c r="I745" s="3" t="s">
        <v>4645</v>
      </c>
      <c r="J745" s="3" t="s">
        <v>4684</v>
      </c>
      <c r="K745" s="3">
        <v>51</v>
      </c>
      <c r="L745" s="3" t="s">
        <v>4668</v>
      </c>
    </row>
    <row r="746" spans="1:12" ht="33.75" customHeight="1" x14ac:dyDescent="0.25">
      <c r="A746" s="13" t="s">
        <v>1810</v>
      </c>
      <c r="B746" s="2" t="s">
        <v>632</v>
      </c>
      <c r="C746" s="2" t="s">
        <v>1811</v>
      </c>
      <c r="D746" s="2" t="s">
        <v>4771</v>
      </c>
      <c r="E746" s="2" t="s">
        <v>4772</v>
      </c>
      <c r="F746" s="2" t="s">
        <v>634</v>
      </c>
      <c r="G746" s="2">
        <v>27.795079999999999</v>
      </c>
      <c r="H746" s="2" t="s">
        <v>4644</v>
      </c>
      <c r="I746" s="2" t="s">
        <v>4645</v>
      </c>
      <c r="J746" s="2" t="s">
        <v>4695</v>
      </c>
      <c r="K746" s="2">
        <v>51</v>
      </c>
      <c r="L746" s="2" t="s">
        <v>4668</v>
      </c>
    </row>
    <row r="747" spans="1:12" ht="33.75" customHeight="1" x14ac:dyDescent="0.25">
      <c r="A747" s="14" t="s">
        <v>1812</v>
      </c>
      <c r="B747" s="3" t="s">
        <v>1813</v>
      </c>
      <c r="C747" s="3" t="s">
        <v>1814</v>
      </c>
      <c r="D747" s="3" t="s">
        <v>4771</v>
      </c>
      <c r="E747" s="3" t="s">
        <v>4862</v>
      </c>
      <c r="F747" s="3" t="s">
        <v>1815</v>
      </c>
      <c r="G747" s="3">
        <v>27.785360000000001</v>
      </c>
      <c r="H747" s="3" t="s">
        <v>4644</v>
      </c>
      <c r="I747" s="3" t="s">
        <v>4645</v>
      </c>
      <c r="J747" s="3" t="s">
        <v>4693</v>
      </c>
      <c r="K747" s="3">
        <v>42</v>
      </c>
      <c r="L747" s="3" t="s">
        <v>4668</v>
      </c>
    </row>
    <row r="748" spans="1:12" ht="33.75" customHeight="1" x14ac:dyDescent="0.25">
      <c r="A748" s="13" t="s">
        <v>1816</v>
      </c>
      <c r="B748" s="2" t="s">
        <v>1817</v>
      </c>
      <c r="C748" s="2" t="s">
        <v>1818</v>
      </c>
      <c r="D748" s="2" t="s">
        <v>4771</v>
      </c>
      <c r="E748" s="2" t="s">
        <v>4863</v>
      </c>
      <c r="F748" s="2" t="s">
        <v>1819</v>
      </c>
      <c r="G748" s="2">
        <v>29.366</v>
      </c>
      <c r="H748" s="2" t="s">
        <v>4644</v>
      </c>
      <c r="I748" s="2" t="s">
        <v>4645</v>
      </c>
      <c r="J748" s="2" t="s">
        <v>4697</v>
      </c>
      <c r="K748" s="2">
        <v>36</v>
      </c>
      <c r="L748" s="2" t="s">
        <v>4647</v>
      </c>
    </row>
    <row r="749" spans="1:12" ht="33.75" customHeight="1" x14ac:dyDescent="0.25">
      <c r="A749" s="14" t="s">
        <v>1820</v>
      </c>
      <c r="B749" s="3" t="s">
        <v>1817</v>
      </c>
      <c r="C749" s="3" t="s">
        <v>1821</v>
      </c>
      <c r="D749" s="3" t="s">
        <v>4771</v>
      </c>
      <c r="E749" s="3" t="s">
        <v>4863</v>
      </c>
      <c r="F749" s="3" t="s">
        <v>1819</v>
      </c>
      <c r="G749" s="3">
        <v>29.366</v>
      </c>
      <c r="H749" s="3" t="s">
        <v>4644</v>
      </c>
      <c r="I749" s="3" t="s">
        <v>4645</v>
      </c>
      <c r="J749" s="3" t="s">
        <v>4697</v>
      </c>
      <c r="K749" s="3">
        <v>36</v>
      </c>
      <c r="L749" s="3" t="s">
        <v>4647</v>
      </c>
    </row>
    <row r="750" spans="1:12" ht="33.75" customHeight="1" x14ac:dyDescent="0.25">
      <c r="A750" s="13" t="s">
        <v>1822</v>
      </c>
      <c r="B750" s="2" t="s">
        <v>1781</v>
      </c>
      <c r="C750" s="2" t="s">
        <v>1823</v>
      </c>
      <c r="D750" s="2" t="s">
        <v>4699</v>
      </c>
      <c r="E750" s="2" t="s">
        <v>4858</v>
      </c>
      <c r="F750" s="2" t="s">
        <v>1783</v>
      </c>
      <c r="G750" s="2">
        <v>27.925999999999998</v>
      </c>
      <c r="H750" s="2" t="s">
        <v>4644</v>
      </c>
      <c r="I750" s="2" t="s">
        <v>4645</v>
      </c>
      <c r="J750" s="2" t="s">
        <v>4695</v>
      </c>
      <c r="K750" s="2">
        <v>48</v>
      </c>
      <c r="L750" s="2" t="s">
        <v>4647</v>
      </c>
    </row>
    <row r="751" spans="1:12" ht="33.75" customHeight="1" x14ac:dyDescent="0.25">
      <c r="A751" s="14" t="s">
        <v>1824</v>
      </c>
      <c r="B751" s="3" t="s">
        <v>650</v>
      </c>
      <c r="C751" s="3" t="s">
        <v>1825</v>
      </c>
      <c r="D751" s="3" t="s">
        <v>4864</v>
      </c>
      <c r="E751" s="3" t="s">
        <v>4775</v>
      </c>
      <c r="F751" s="3" t="s">
        <v>652</v>
      </c>
      <c r="G751" s="3">
        <v>33.497</v>
      </c>
      <c r="H751" s="3" t="s">
        <v>4644</v>
      </c>
      <c r="I751" s="3" t="s">
        <v>4645</v>
      </c>
      <c r="J751" s="3" t="s">
        <v>4721</v>
      </c>
      <c r="K751" s="3">
        <v>54</v>
      </c>
      <c r="L751" s="3" t="s">
        <v>4647</v>
      </c>
    </row>
    <row r="752" spans="1:12" ht="33.75" customHeight="1" x14ac:dyDescent="0.25">
      <c r="A752" s="13" t="s">
        <v>1826</v>
      </c>
      <c r="B752" s="2" t="s">
        <v>382</v>
      </c>
      <c r="C752" s="2" t="s">
        <v>1827</v>
      </c>
      <c r="D752" s="2"/>
      <c r="E752" s="2" t="s">
        <v>4725</v>
      </c>
      <c r="F752" s="2" t="s">
        <v>384</v>
      </c>
      <c r="G752" s="2">
        <v>35.3172</v>
      </c>
      <c r="H752" s="2" t="s">
        <v>4644</v>
      </c>
      <c r="I752" s="2" t="s">
        <v>4645</v>
      </c>
      <c r="J752" s="2" t="s">
        <v>4726</v>
      </c>
      <c r="K752" s="2">
        <v>96</v>
      </c>
      <c r="L752" s="2" t="s">
        <v>4647</v>
      </c>
    </row>
    <row r="753" spans="1:12" ht="33.75" customHeight="1" x14ac:dyDescent="0.25">
      <c r="A753" s="14" t="s">
        <v>1828</v>
      </c>
      <c r="B753" s="3" t="s">
        <v>990</v>
      </c>
      <c r="C753" s="3" t="s">
        <v>1829</v>
      </c>
      <c r="D753" s="3"/>
      <c r="E753" s="3" t="s">
        <v>4806</v>
      </c>
      <c r="F753" s="3" t="s">
        <v>992</v>
      </c>
      <c r="G753" s="3">
        <v>29.755199999999999</v>
      </c>
      <c r="H753" s="3" t="s">
        <v>4644</v>
      </c>
      <c r="I753" s="3" t="s">
        <v>4645</v>
      </c>
      <c r="J753" s="3" t="s">
        <v>4693</v>
      </c>
      <c r="K753" s="3">
        <v>54</v>
      </c>
      <c r="L753" s="3" t="s">
        <v>4647</v>
      </c>
    </row>
    <row r="754" spans="1:12" ht="33.75" customHeight="1" x14ac:dyDescent="0.25">
      <c r="A754" s="13" t="s">
        <v>1830</v>
      </c>
      <c r="B754" s="2" t="s">
        <v>418</v>
      </c>
      <c r="C754" s="2" t="s">
        <v>1831</v>
      </c>
      <c r="D754" s="2"/>
      <c r="E754" s="2" t="s">
        <v>4734</v>
      </c>
      <c r="F754" s="2" t="s">
        <v>420</v>
      </c>
      <c r="G754" s="2">
        <v>30.655200000000001</v>
      </c>
      <c r="H754" s="2" t="s">
        <v>4644</v>
      </c>
      <c r="I754" s="2" t="s">
        <v>4645</v>
      </c>
      <c r="J754" s="2" t="s">
        <v>4682</v>
      </c>
      <c r="K754" s="2">
        <v>72</v>
      </c>
      <c r="L754" s="2" t="s">
        <v>4647</v>
      </c>
    </row>
    <row r="755" spans="1:12" ht="33.75" customHeight="1" x14ac:dyDescent="0.25">
      <c r="A755" s="14" t="s">
        <v>1832</v>
      </c>
      <c r="B755" s="3" t="s">
        <v>418</v>
      </c>
      <c r="C755" s="3" t="s">
        <v>1833</v>
      </c>
      <c r="D755" s="3"/>
      <c r="E755" s="3" t="s">
        <v>4734</v>
      </c>
      <c r="F755" s="3" t="s">
        <v>420</v>
      </c>
      <c r="G755" s="3">
        <v>30.655200000000001</v>
      </c>
      <c r="H755" s="3" t="s">
        <v>4644</v>
      </c>
      <c r="I755" s="3" t="s">
        <v>4645</v>
      </c>
      <c r="J755" s="3" t="s">
        <v>4735</v>
      </c>
      <c r="K755" s="3">
        <v>72</v>
      </c>
      <c r="L755" s="3" t="s">
        <v>4647</v>
      </c>
    </row>
    <row r="756" spans="1:12" ht="33.75" customHeight="1" x14ac:dyDescent="0.25">
      <c r="A756" s="13" t="s">
        <v>1834</v>
      </c>
      <c r="B756" s="2" t="s">
        <v>990</v>
      </c>
      <c r="C756" s="2" t="s">
        <v>1835</v>
      </c>
      <c r="D756" s="2"/>
      <c r="E756" s="2" t="s">
        <v>4806</v>
      </c>
      <c r="F756" s="2" t="s">
        <v>992</v>
      </c>
      <c r="G756" s="2">
        <v>29.755199999999999</v>
      </c>
      <c r="H756" s="2" t="s">
        <v>4644</v>
      </c>
      <c r="I756" s="2" t="s">
        <v>4645</v>
      </c>
      <c r="J756" s="2" t="s">
        <v>4723</v>
      </c>
      <c r="K756" s="2">
        <v>54</v>
      </c>
      <c r="L756" s="2" t="s">
        <v>4647</v>
      </c>
    </row>
    <row r="757" spans="1:12" ht="33.75" customHeight="1" x14ac:dyDescent="0.25">
      <c r="A757" s="14" t="s">
        <v>1836</v>
      </c>
      <c r="B757" s="3" t="s">
        <v>414</v>
      </c>
      <c r="C757" s="3" t="s">
        <v>1837</v>
      </c>
      <c r="D757" s="3"/>
      <c r="E757" s="3" t="s">
        <v>4732</v>
      </c>
      <c r="F757" s="3" t="s">
        <v>416</v>
      </c>
      <c r="G757" s="3">
        <v>31.0092</v>
      </c>
      <c r="H757" s="3" t="s">
        <v>4644</v>
      </c>
      <c r="I757" s="3" t="s">
        <v>4645</v>
      </c>
      <c r="J757" s="3" t="s">
        <v>4710</v>
      </c>
      <c r="K757" s="3">
        <v>87</v>
      </c>
      <c r="L757" s="3" t="s">
        <v>4647</v>
      </c>
    </row>
    <row r="758" spans="1:12" ht="33.75" customHeight="1" x14ac:dyDescent="0.25">
      <c r="A758" s="13" t="s">
        <v>1838</v>
      </c>
      <c r="B758" s="2" t="s">
        <v>404</v>
      </c>
      <c r="C758" s="2" t="s">
        <v>1839</v>
      </c>
      <c r="D758" s="2"/>
      <c r="E758" s="2" t="s">
        <v>4731</v>
      </c>
      <c r="F758" s="2" t="s">
        <v>406</v>
      </c>
      <c r="G758" s="2">
        <v>29.999199999999998</v>
      </c>
      <c r="H758" s="2" t="s">
        <v>4644</v>
      </c>
      <c r="I758" s="2" t="s">
        <v>4645</v>
      </c>
      <c r="J758" s="2" t="s">
        <v>4695</v>
      </c>
      <c r="K758" s="2">
        <v>63</v>
      </c>
      <c r="L758" s="2" t="s">
        <v>4647</v>
      </c>
    </row>
    <row r="759" spans="1:12" ht="33.75" customHeight="1" x14ac:dyDescent="0.25">
      <c r="A759" s="14" t="s">
        <v>1840</v>
      </c>
      <c r="B759" s="3" t="s">
        <v>1841</v>
      </c>
      <c r="C759" s="3" t="s">
        <v>1842</v>
      </c>
      <c r="D759" s="3" t="s">
        <v>4792</v>
      </c>
      <c r="E759" s="3" t="s">
        <v>4865</v>
      </c>
      <c r="F759" s="3" t="s">
        <v>1843</v>
      </c>
      <c r="G759" s="3">
        <v>30.234200000000001</v>
      </c>
      <c r="H759" s="3" t="s">
        <v>4644</v>
      </c>
      <c r="I759" s="3" t="s">
        <v>4645</v>
      </c>
      <c r="J759" s="3" t="s">
        <v>4733</v>
      </c>
      <c r="K759" s="3">
        <v>72</v>
      </c>
      <c r="L759" s="3" t="s">
        <v>4647</v>
      </c>
    </row>
    <row r="760" spans="1:12" ht="33.75" customHeight="1" x14ac:dyDescent="0.25">
      <c r="A760" s="13" t="s">
        <v>1844</v>
      </c>
      <c r="B760" s="2" t="s">
        <v>1715</v>
      </c>
      <c r="C760" s="2" t="s">
        <v>1716</v>
      </c>
      <c r="D760" s="2" t="s">
        <v>4792</v>
      </c>
      <c r="E760" s="2" t="s">
        <v>4844</v>
      </c>
      <c r="F760" s="2" t="s">
        <v>1717</v>
      </c>
      <c r="G760" s="2">
        <v>29.805199999999999</v>
      </c>
      <c r="H760" s="2" t="s">
        <v>4644</v>
      </c>
      <c r="I760" s="2" t="s">
        <v>4645</v>
      </c>
      <c r="J760" s="2" t="s">
        <v>4682</v>
      </c>
      <c r="K760" s="2">
        <v>57</v>
      </c>
      <c r="L760" s="2" t="s">
        <v>4647</v>
      </c>
    </row>
    <row r="761" spans="1:12" ht="33.75" customHeight="1" x14ac:dyDescent="0.25">
      <c r="A761" s="14" t="s">
        <v>1845</v>
      </c>
      <c r="B761" s="3" t="s">
        <v>400</v>
      </c>
      <c r="C761" s="3" t="s">
        <v>1846</v>
      </c>
      <c r="D761" s="3"/>
      <c r="E761" s="3" t="s">
        <v>4730</v>
      </c>
      <c r="F761" s="3" t="s">
        <v>402</v>
      </c>
      <c r="G761" s="3">
        <v>34.332239999999999</v>
      </c>
      <c r="H761" s="3" t="s">
        <v>4644</v>
      </c>
      <c r="I761" s="3" t="s">
        <v>4645</v>
      </c>
      <c r="J761" s="3" t="s">
        <v>4719</v>
      </c>
      <c r="K761" s="3">
        <v>72</v>
      </c>
      <c r="L761" s="3" t="s">
        <v>4647</v>
      </c>
    </row>
    <row r="762" spans="1:12" ht="33.75" customHeight="1" x14ac:dyDescent="0.25">
      <c r="A762" s="13" t="s">
        <v>1847</v>
      </c>
      <c r="B762" s="2" t="s">
        <v>588</v>
      </c>
      <c r="C762" s="2" t="s">
        <v>1848</v>
      </c>
      <c r="D762" s="2" t="s">
        <v>4711</v>
      </c>
      <c r="E762" s="2" t="s">
        <v>4761</v>
      </c>
      <c r="F762" s="2" t="s">
        <v>590</v>
      </c>
      <c r="G762" s="2">
        <v>29.869199999999999</v>
      </c>
      <c r="H762" s="2" t="s">
        <v>4644</v>
      </c>
      <c r="I762" s="2" t="s">
        <v>4645</v>
      </c>
      <c r="J762" s="2" t="s">
        <v>4684</v>
      </c>
      <c r="K762" s="2">
        <v>63</v>
      </c>
      <c r="L762" s="2" t="s">
        <v>4647</v>
      </c>
    </row>
    <row r="763" spans="1:12" ht="33.75" customHeight="1" x14ac:dyDescent="0.25">
      <c r="A763" s="14" t="s">
        <v>1849</v>
      </c>
      <c r="B763" s="3" t="s">
        <v>1008</v>
      </c>
      <c r="C763" s="3" t="s">
        <v>1850</v>
      </c>
      <c r="D763" s="3" t="s">
        <v>4711</v>
      </c>
      <c r="E763" s="3" t="s">
        <v>4807</v>
      </c>
      <c r="F763" s="3" t="s">
        <v>1010</v>
      </c>
      <c r="G763" s="3">
        <v>30.4892</v>
      </c>
      <c r="H763" s="3" t="s">
        <v>4644</v>
      </c>
      <c r="I763" s="3" t="s">
        <v>4645</v>
      </c>
      <c r="J763" s="3" t="s">
        <v>4710</v>
      </c>
      <c r="K763" s="3">
        <v>87</v>
      </c>
      <c r="L763" s="3" t="s">
        <v>4647</v>
      </c>
    </row>
    <row r="764" spans="1:12" ht="33.75" customHeight="1" x14ac:dyDescent="0.25">
      <c r="A764" s="13" t="s">
        <v>1851</v>
      </c>
      <c r="B764" s="2" t="s">
        <v>414</v>
      </c>
      <c r="C764" s="2" t="s">
        <v>1852</v>
      </c>
      <c r="D764" s="2" t="s">
        <v>4711</v>
      </c>
      <c r="E764" s="2" t="s">
        <v>4732</v>
      </c>
      <c r="F764" s="2" t="s">
        <v>416</v>
      </c>
      <c r="G764" s="2">
        <v>31.0092</v>
      </c>
      <c r="H764" s="2" t="s">
        <v>4644</v>
      </c>
      <c r="I764" s="2" t="s">
        <v>4645</v>
      </c>
      <c r="J764" s="2" t="s">
        <v>4733</v>
      </c>
      <c r="K764" s="2">
        <v>87</v>
      </c>
      <c r="L764" s="2" t="s">
        <v>4647</v>
      </c>
    </row>
    <row r="765" spans="1:12" ht="33.75" customHeight="1" x14ac:dyDescent="0.25">
      <c r="A765" s="14" t="s">
        <v>1853</v>
      </c>
      <c r="B765" s="3" t="s">
        <v>418</v>
      </c>
      <c r="C765" s="3" t="s">
        <v>1854</v>
      </c>
      <c r="D765" s="3" t="s">
        <v>4711</v>
      </c>
      <c r="E765" s="3" t="s">
        <v>4734</v>
      </c>
      <c r="F765" s="3" t="s">
        <v>420</v>
      </c>
      <c r="G765" s="3">
        <v>30.655200000000001</v>
      </c>
      <c r="H765" s="3" t="s">
        <v>4644</v>
      </c>
      <c r="I765" s="3" t="s">
        <v>4645</v>
      </c>
      <c r="J765" s="3" t="s">
        <v>4682</v>
      </c>
      <c r="K765" s="3">
        <v>72</v>
      </c>
      <c r="L765" s="3" t="s">
        <v>4647</v>
      </c>
    </row>
    <row r="766" spans="1:12" ht="33.75" customHeight="1" x14ac:dyDescent="0.25">
      <c r="A766" s="13" t="s">
        <v>1855</v>
      </c>
      <c r="B766" s="2" t="s">
        <v>588</v>
      </c>
      <c r="C766" s="2" t="s">
        <v>1856</v>
      </c>
      <c r="D766" s="2" t="s">
        <v>4711</v>
      </c>
      <c r="E766" s="2" t="s">
        <v>4761</v>
      </c>
      <c r="F766" s="2" t="s">
        <v>590</v>
      </c>
      <c r="G766" s="2">
        <v>29.869199999999999</v>
      </c>
      <c r="H766" s="2" t="s">
        <v>4644</v>
      </c>
      <c r="I766" s="2" t="s">
        <v>4645</v>
      </c>
      <c r="J766" s="2" t="s">
        <v>4684</v>
      </c>
      <c r="K766" s="2">
        <v>63</v>
      </c>
      <c r="L766" s="2" t="s">
        <v>4647</v>
      </c>
    </row>
    <row r="767" spans="1:12" ht="33.75" customHeight="1" x14ac:dyDescent="0.25">
      <c r="A767" s="14" t="s">
        <v>1857</v>
      </c>
      <c r="B767" s="3" t="s">
        <v>990</v>
      </c>
      <c r="C767" s="3" t="s">
        <v>1858</v>
      </c>
      <c r="D767" s="3" t="s">
        <v>4711</v>
      </c>
      <c r="E767" s="3" t="s">
        <v>4806</v>
      </c>
      <c r="F767" s="3" t="s">
        <v>992</v>
      </c>
      <c r="G767" s="3">
        <v>29.755199999999999</v>
      </c>
      <c r="H767" s="3" t="s">
        <v>4644</v>
      </c>
      <c r="I767" s="3" t="s">
        <v>4645</v>
      </c>
      <c r="J767" s="3" t="s">
        <v>4693</v>
      </c>
      <c r="K767" s="3">
        <v>54</v>
      </c>
      <c r="L767" s="3" t="s">
        <v>4647</v>
      </c>
    </row>
    <row r="768" spans="1:12" ht="33.75" customHeight="1" x14ac:dyDescent="0.25">
      <c r="A768" s="13" t="s">
        <v>1859</v>
      </c>
      <c r="B768" s="2" t="s">
        <v>588</v>
      </c>
      <c r="C768" s="2" t="s">
        <v>1860</v>
      </c>
      <c r="D768" s="2" t="s">
        <v>4711</v>
      </c>
      <c r="E768" s="2" t="s">
        <v>4761</v>
      </c>
      <c r="F768" s="2" t="s">
        <v>590</v>
      </c>
      <c r="G768" s="2">
        <v>29.869199999999999</v>
      </c>
      <c r="H768" s="2" t="s">
        <v>4644</v>
      </c>
      <c r="I768" s="2" t="s">
        <v>4645</v>
      </c>
      <c r="J768" s="2" t="s">
        <v>4684</v>
      </c>
      <c r="K768" s="2">
        <v>63</v>
      </c>
      <c r="L768" s="2" t="s">
        <v>4647</v>
      </c>
    </row>
    <row r="769" spans="1:12" ht="33.75" customHeight="1" x14ac:dyDescent="0.25">
      <c r="A769" s="14" t="s">
        <v>1861</v>
      </c>
      <c r="B769" s="3" t="s">
        <v>404</v>
      </c>
      <c r="C769" s="3" t="s">
        <v>1862</v>
      </c>
      <c r="D769" s="3" t="s">
        <v>4711</v>
      </c>
      <c r="E769" s="3" t="s">
        <v>4731</v>
      </c>
      <c r="F769" s="3" t="s">
        <v>406</v>
      </c>
      <c r="G769" s="3">
        <v>29.999199999999998</v>
      </c>
      <c r="H769" s="3" t="s">
        <v>4644</v>
      </c>
      <c r="I769" s="3" t="s">
        <v>4645</v>
      </c>
      <c r="J769" s="3" t="s">
        <v>4695</v>
      </c>
      <c r="K769" s="3">
        <v>63</v>
      </c>
      <c r="L769" s="3" t="s">
        <v>4647</v>
      </c>
    </row>
    <row r="770" spans="1:12" ht="33.75" customHeight="1" x14ac:dyDescent="0.25">
      <c r="A770" s="13" t="s">
        <v>1863</v>
      </c>
      <c r="B770" s="2" t="s">
        <v>142</v>
      </c>
      <c r="C770" s="2" t="s">
        <v>1864</v>
      </c>
      <c r="D770" s="2" t="s">
        <v>4866</v>
      </c>
      <c r="E770" s="2" t="s">
        <v>4665</v>
      </c>
      <c r="F770" s="2" t="s">
        <v>144</v>
      </c>
      <c r="G770" s="2"/>
      <c r="H770" s="2" t="s">
        <v>4666</v>
      </c>
      <c r="I770" s="2" t="s">
        <v>4667</v>
      </c>
      <c r="J770" s="2" t="s">
        <v>4697</v>
      </c>
      <c r="K770" s="2">
        <v>12</v>
      </c>
      <c r="L770" s="2" t="s">
        <v>4668</v>
      </c>
    </row>
    <row r="771" spans="1:12" ht="33.75" customHeight="1" x14ac:dyDescent="0.25">
      <c r="A771" s="14" t="s">
        <v>1865</v>
      </c>
      <c r="B771" s="3" t="s">
        <v>1866</v>
      </c>
      <c r="C771" s="3" t="s">
        <v>1867</v>
      </c>
      <c r="D771" s="3" t="s">
        <v>4687</v>
      </c>
      <c r="E771" s="3" t="s">
        <v>4867</v>
      </c>
      <c r="F771" s="3" t="s">
        <v>1868</v>
      </c>
      <c r="G771" s="3">
        <v>27.7424</v>
      </c>
      <c r="H771" s="3" t="s">
        <v>4644</v>
      </c>
      <c r="I771" s="3" t="s">
        <v>4645</v>
      </c>
      <c r="J771" s="3" t="s">
        <v>4697</v>
      </c>
      <c r="K771" s="3">
        <v>36</v>
      </c>
      <c r="L771" s="3" t="s">
        <v>4668</v>
      </c>
    </row>
    <row r="772" spans="1:12" ht="33.75" customHeight="1" x14ac:dyDescent="0.25">
      <c r="A772" s="13" t="s">
        <v>1869</v>
      </c>
      <c r="B772" s="2" t="s">
        <v>1870</v>
      </c>
      <c r="C772" s="2" t="s">
        <v>1871</v>
      </c>
      <c r="D772" s="2" t="s">
        <v>4687</v>
      </c>
      <c r="E772" s="2" t="s">
        <v>4868</v>
      </c>
      <c r="F772" s="2" t="s">
        <v>1872</v>
      </c>
      <c r="G772" s="2">
        <v>29.207999999999998</v>
      </c>
      <c r="H772" s="2" t="s">
        <v>4644</v>
      </c>
      <c r="I772" s="2" t="s">
        <v>4645</v>
      </c>
      <c r="J772" s="2" t="s">
        <v>4726</v>
      </c>
      <c r="K772" s="2">
        <v>48</v>
      </c>
      <c r="L772" s="2" t="s">
        <v>4668</v>
      </c>
    </row>
    <row r="773" spans="1:12" ht="33.75" customHeight="1" x14ac:dyDescent="0.25">
      <c r="A773" s="14" t="s">
        <v>1873</v>
      </c>
      <c r="B773" s="3" t="s">
        <v>1874</v>
      </c>
      <c r="C773" s="3" t="s">
        <v>1875</v>
      </c>
      <c r="D773" s="3" t="s">
        <v>4687</v>
      </c>
      <c r="E773" s="3" t="s">
        <v>4869</v>
      </c>
      <c r="F773" s="3" t="s">
        <v>1876</v>
      </c>
      <c r="G773" s="3">
        <v>27.982399999999998</v>
      </c>
      <c r="H773" s="3" t="s">
        <v>4644</v>
      </c>
      <c r="I773" s="3" t="s">
        <v>4645</v>
      </c>
      <c r="J773" s="3" t="s">
        <v>4684</v>
      </c>
      <c r="K773" s="3">
        <v>51</v>
      </c>
      <c r="L773" s="3" t="s">
        <v>4668</v>
      </c>
    </row>
    <row r="774" spans="1:12" ht="33.75" customHeight="1" x14ac:dyDescent="0.25">
      <c r="A774" s="13" t="s">
        <v>1877</v>
      </c>
      <c r="B774" s="2" t="s">
        <v>1878</v>
      </c>
      <c r="C774" s="2" t="s">
        <v>1879</v>
      </c>
      <c r="D774" s="2" t="s">
        <v>4794</v>
      </c>
      <c r="E774" s="2" t="s">
        <v>4870</v>
      </c>
      <c r="F774" s="2" t="s">
        <v>1880</v>
      </c>
      <c r="G774" s="2">
        <v>27.639199999999999</v>
      </c>
      <c r="H774" s="2" t="s">
        <v>4644</v>
      </c>
      <c r="I774" s="2" t="s">
        <v>4645</v>
      </c>
      <c r="J774" s="2" t="s">
        <v>4695</v>
      </c>
      <c r="K774" s="2">
        <v>51</v>
      </c>
      <c r="L774" s="2" t="s">
        <v>4647</v>
      </c>
    </row>
    <row r="775" spans="1:12" ht="33.75" customHeight="1" x14ac:dyDescent="0.25">
      <c r="A775" s="14" t="s">
        <v>1881</v>
      </c>
      <c r="B775" s="3" t="s">
        <v>1878</v>
      </c>
      <c r="C775" s="3" t="s">
        <v>1882</v>
      </c>
      <c r="D775" s="3" t="s">
        <v>4794</v>
      </c>
      <c r="E775" s="3" t="s">
        <v>4870</v>
      </c>
      <c r="F775" s="3" t="s">
        <v>1880</v>
      </c>
      <c r="G775" s="3">
        <v>27.639199999999999</v>
      </c>
      <c r="H775" s="3" t="s">
        <v>4644</v>
      </c>
      <c r="I775" s="3" t="s">
        <v>4645</v>
      </c>
      <c r="J775" s="3" t="s">
        <v>4684</v>
      </c>
      <c r="K775" s="3">
        <v>51</v>
      </c>
      <c r="L775" s="3" t="s">
        <v>4647</v>
      </c>
    </row>
    <row r="776" spans="1:12" ht="33.75" customHeight="1" x14ac:dyDescent="0.25">
      <c r="A776" s="13" t="s">
        <v>1883</v>
      </c>
      <c r="B776" s="2" t="s">
        <v>1884</v>
      </c>
      <c r="C776" s="2" t="s">
        <v>1885</v>
      </c>
      <c r="D776" s="2" t="s">
        <v>4794</v>
      </c>
      <c r="E776" s="2" t="s">
        <v>4871</v>
      </c>
      <c r="F776" s="2" t="s">
        <v>1886</v>
      </c>
      <c r="G776" s="2">
        <v>27.639199999999999</v>
      </c>
      <c r="H776" s="2" t="s">
        <v>4644</v>
      </c>
      <c r="I776" s="2" t="s">
        <v>4645</v>
      </c>
      <c r="J776" s="2" t="s">
        <v>4693</v>
      </c>
      <c r="K776" s="2">
        <v>42</v>
      </c>
      <c r="L776" s="2" t="s">
        <v>4647</v>
      </c>
    </row>
    <row r="777" spans="1:12" ht="33.75" customHeight="1" x14ac:dyDescent="0.25">
      <c r="A777" s="14" t="s">
        <v>1887</v>
      </c>
      <c r="B777" s="3" t="s">
        <v>1888</v>
      </c>
      <c r="C777" s="3" t="s">
        <v>1889</v>
      </c>
      <c r="D777" s="3" t="s">
        <v>4794</v>
      </c>
      <c r="E777" s="3" t="s">
        <v>4872</v>
      </c>
      <c r="F777" s="3" t="s">
        <v>1890</v>
      </c>
      <c r="G777" s="3">
        <v>27.859200000000001</v>
      </c>
      <c r="H777" s="3" t="s">
        <v>4644</v>
      </c>
      <c r="I777" s="3" t="s">
        <v>4645</v>
      </c>
      <c r="J777" s="3" t="s">
        <v>4710</v>
      </c>
      <c r="K777" s="3">
        <v>72</v>
      </c>
      <c r="L777" s="3" t="s">
        <v>4647</v>
      </c>
    </row>
    <row r="778" spans="1:12" ht="33.75" customHeight="1" x14ac:dyDescent="0.25">
      <c r="A778" s="13" t="s">
        <v>1891</v>
      </c>
      <c r="B778" s="2" t="s">
        <v>1888</v>
      </c>
      <c r="C778" s="2" t="s">
        <v>1892</v>
      </c>
      <c r="D778" s="2" t="s">
        <v>4794</v>
      </c>
      <c r="E778" s="2" t="s">
        <v>4872</v>
      </c>
      <c r="F778" s="2" t="s">
        <v>1890</v>
      </c>
      <c r="G778" s="2">
        <v>27.859200000000001</v>
      </c>
      <c r="H778" s="2" t="s">
        <v>4644</v>
      </c>
      <c r="I778" s="2" t="s">
        <v>4645</v>
      </c>
      <c r="J778" s="2" t="s">
        <v>4733</v>
      </c>
      <c r="K778" s="2">
        <v>72</v>
      </c>
      <c r="L778" s="2" t="s">
        <v>4647</v>
      </c>
    </row>
    <row r="779" spans="1:12" ht="33.75" customHeight="1" x14ac:dyDescent="0.25">
      <c r="A779" s="14" t="s">
        <v>1893</v>
      </c>
      <c r="B779" s="3" t="s">
        <v>820</v>
      </c>
      <c r="C779" s="3" t="s">
        <v>1894</v>
      </c>
      <c r="D779" s="3" t="s">
        <v>4794</v>
      </c>
      <c r="E779" s="3" t="s">
        <v>4795</v>
      </c>
      <c r="F779" s="3" t="s">
        <v>822</v>
      </c>
      <c r="G779" s="3">
        <v>27.639199999999999</v>
      </c>
      <c r="H779" s="3" t="s">
        <v>4644</v>
      </c>
      <c r="I779" s="3" t="s">
        <v>4645</v>
      </c>
      <c r="J779" s="3" t="s">
        <v>4735</v>
      </c>
      <c r="K779" s="3">
        <v>57</v>
      </c>
      <c r="L779" s="3" t="s">
        <v>4647</v>
      </c>
    </row>
    <row r="780" spans="1:12" ht="33.75" customHeight="1" x14ac:dyDescent="0.25">
      <c r="A780" s="13" t="s">
        <v>1895</v>
      </c>
      <c r="B780" s="2" t="s">
        <v>820</v>
      </c>
      <c r="C780" s="2" t="s">
        <v>1896</v>
      </c>
      <c r="D780" s="2" t="s">
        <v>4794</v>
      </c>
      <c r="E780" s="2" t="s">
        <v>4795</v>
      </c>
      <c r="F780" s="2" t="s">
        <v>822</v>
      </c>
      <c r="G780" s="2">
        <v>27.639199999999999</v>
      </c>
      <c r="H780" s="2" t="s">
        <v>4644</v>
      </c>
      <c r="I780" s="2" t="s">
        <v>4645</v>
      </c>
      <c r="J780" s="2" t="s">
        <v>4682</v>
      </c>
      <c r="K780" s="2">
        <v>57</v>
      </c>
      <c r="L780" s="2" t="s">
        <v>4647</v>
      </c>
    </row>
    <row r="781" spans="1:12" ht="33.75" customHeight="1" x14ac:dyDescent="0.25">
      <c r="A781" s="14" t="s">
        <v>1897</v>
      </c>
      <c r="B781" s="3" t="s">
        <v>404</v>
      </c>
      <c r="C781" s="3" t="s">
        <v>1898</v>
      </c>
      <c r="D781" s="3"/>
      <c r="E781" s="3" t="s">
        <v>4731</v>
      </c>
      <c r="F781" s="3" t="s">
        <v>406</v>
      </c>
      <c r="G781" s="3">
        <v>29.999199999999998</v>
      </c>
      <c r="H781" s="3" t="s">
        <v>4644</v>
      </c>
      <c r="I781" s="3" t="s">
        <v>4645</v>
      </c>
      <c r="J781" s="3" t="s">
        <v>4695</v>
      </c>
      <c r="K781" s="3">
        <v>63</v>
      </c>
      <c r="L781" s="3" t="s">
        <v>4647</v>
      </c>
    </row>
    <row r="782" spans="1:12" ht="33.75" customHeight="1" x14ac:dyDescent="0.25">
      <c r="A782" s="13" t="s">
        <v>1899</v>
      </c>
      <c r="B782" s="2" t="s">
        <v>386</v>
      </c>
      <c r="C782" s="2" t="s">
        <v>1900</v>
      </c>
      <c r="D782" s="2"/>
      <c r="E782" s="2" t="s">
        <v>4727</v>
      </c>
      <c r="F782" s="2" t="s">
        <v>388</v>
      </c>
      <c r="G782" s="2">
        <v>33.783799999999999</v>
      </c>
      <c r="H782" s="2" t="s">
        <v>4644</v>
      </c>
      <c r="I782" s="2" t="s">
        <v>4645</v>
      </c>
      <c r="J782" s="2" t="s">
        <v>4721</v>
      </c>
      <c r="K782" s="2">
        <v>54</v>
      </c>
      <c r="L782" s="2" t="s">
        <v>4647</v>
      </c>
    </row>
    <row r="783" spans="1:12" ht="33.75" customHeight="1" x14ac:dyDescent="0.25">
      <c r="A783" s="14" t="s">
        <v>1901</v>
      </c>
      <c r="B783" s="3" t="s">
        <v>324</v>
      </c>
      <c r="C783" s="3" t="s">
        <v>1902</v>
      </c>
      <c r="D783" s="3" t="s">
        <v>4663</v>
      </c>
      <c r="E783" s="3" t="s">
        <v>4704</v>
      </c>
      <c r="F783" s="3" t="s">
        <v>326</v>
      </c>
      <c r="G783" s="3">
        <v>29.719200000000001</v>
      </c>
      <c r="H783" s="3" t="s">
        <v>4644</v>
      </c>
      <c r="I783" s="3" t="s">
        <v>4645</v>
      </c>
      <c r="J783" s="3" t="s">
        <v>4697</v>
      </c>
      <c r="K783" s="3">
        <v>45</v>
      </c>
      <c r="L783" s="3" t="s">
        <v>4647</v>
      </c>
    </row>
    <row r="784" spans="1:12" ht="33.75" customHeight="1" x14ac:dyDescent="0.25">
      <c r="A784" s="13" t="s">
        <v>1903</v>
      </c>
      <c r="B784" s="2" t="s">
        <v>864</v>
      </c>
      <c r="C784" s="2" t="s">
        <v>1904</v>
      </c>
      <c r="D784" s="2" t="s">
        <v>4841</v>
      </c>
      <c r="E784" s="2" t="s">
        <v>4801</v>
      </c>
      <c r="F784" s="2" t="s">
        <v>866</v>
      </c>
      <c r="G784" s="2">
        <v>30.653199999999998</v>
      </c>
      <c r="H784" s="2" t="s">
        <v>4644</v>
      </c>
      <c r="I784" s="2" t="s">
        <v>4645</v>
      </c>
      <c r="J784" s="2" t="s">
        <v>4710</v>
      </c>
      <c r="K784" s="2">
        <v>96</v>
      </c>
      <c r="L784" s="2" t="s">
        <v>4647</v>
      </c>
    </row>
    <row r="785" spans="1:12" ht="33.75" customHeight="1" x14ac:dyDescent="0.25">
      <c r="A785" s="14" t="s">
        <v>1905</v>
      </c>
      <c r="B785" s="3" t="s">
        <v>418</v>
      </c>
      <c r="C785" s="3" t="s">
        <v>1906</v>
      </c>
      <c r="D785" s="3"/>
      <c r="E785" s="3" t="s">
        <v>4734</v>
      </c>
      <c r="F785" s="3" t="s">
        <v>420</v>
      </c>
      <c r="G785" s="3">
        <v>30.655200000000001</v>
      </c>
      <c r="H785" s="3" t="s">
        <v>4644</v>
      </c>
      <c r="I785" s="3" t="s">
        <v>4645</v>
      </c>
      <c r="J785" s="3" t="s">
        <v>4735</v>
      </c>
      <c r="K785" s="3">
        <v>72</v>
      </c>
      <c r="L785" s="3" t="s">
        <v>4647</v>
      </c>
    </row>
    <row r="786" spans="1:12" ht="33.75" customHeight="1" x14ac:dyDescent="0.25">
      <c r="A786" s="13" t="s">
        <v>1907</v>
      </c>
      <c r="B786" s="2" t="s">
        <v>324</v>
      </c>
      <c r="C786" s="2" t="s">
        <v>1908</v>
      </c>
      <c r="D786" s="2" t="s">
        <v>4658</v>
      </c>
      <c r="E786" s="2" t="s">
        <v>4704</v>
      </c>
      <c r="F786" s="2" t="s">
        <v>326</v>
      </c>
      <c r="G786" s="2">
        <v>29.719200000000001</v>
      </c>
      <c r="H786" s="2" t="s">
        <v>4644</v>
      </c>
      <c r="I786" s="2" t="s">
        <v>4645</v>
      </c>
      <c r="J786" s="2" t="s">
        <v>4697</v>
      </c>
      <c r="K786" s="2">
        <v>45</v>
      </c>
      <c r="L786" s="2" t="s">
        <v>4647</v>
      </c>
    </row>
    <row r="787" spans="1:12" ht="33.75" customHeight="1" x14ac:dyDescent="0.25">
      <c r="A787" s="14" t="s">
        <v>1909</v>
      </c>
      <c r="B787" s="3" t="s">
        <v>356</v>
      </c>
      <c r="C787" s="3" t="s">
        <v>1910</v>
      </c>
      <c r="D787" s="3"/>
      <c r="E787" s="3" t="s">
        <v>4716</v>
      </c>
      <c r="F787" s="3" t="s">
        <v>358</v>
      </c>
      <c r="G787" s="3">
        <v>29.5992</v>
      </c>
      <c r="H787" s="3" t="s">
        <v>4644</v>
      </c>
      <c r="I787" s="3" t="s">
        <v>4645</v>
      </c>
      <c r="J787" s="3" t="s">
        <v>4691</v>
      </c>
      <c r="K787" s="3">
        <v>42</v>
      </c>
      <c r="L787" s="3" t="s">
        <v>4647</v>
      </c>
    </row>
    <row r="788" spans="1:12" ht="33.75" customHeight="1" x14ac:dyDescent="0.25">
      <c r="A788" s="13" t="s">
        <v>1911</v>
      </c>
      <c r="B788" s="2" t="s">
        <v>386</v>
      </c>
      <c r="C788" s="2" t="s">
        <v>1912</v>
      </c>
      <c r="D788" s="2" t="s">
        <v>4873</v>
      </c>
      <c r="E788" s="2" t="s">
        <v>4727</v>
      </c>
      <c r="F788" s="2" t="s">
        <v>388</v>
      </c>
      <c r="G788" s="2">
        <v>33.783799999999999</v>
      </c>
      <c r="H788" s="2" t="s">
        <v>4644</v>
      </c>
      <c r="I788" s="2" t="s">
        <v>4645</v>
      </c>
      <c r="J788" s="2" t="s">
        <v>4721</v>
      </c>
      <c r="K788" s="2">
        <v>54</v>
      </c>
      <c r="L788" s="2" t="s">
        <v>4647</v>
      </c>
    </row>
    <row r="789" spans="1:12" ht="33.75" customHeight="1" x14ac:dyDescent="0.25">
      <c r="A789" s="14" t="s">
        <v>1913</v>
      </c>
      <c r="B789" s="3" t="s">
        <v>324</v>
      </c>
      <c r="C789" s="3" t="s">
        <v>1914</v>
      </c>
      <c r="D789" s="3" t="s">
        <v>4873</v>
      </c>
      <c r="E789" s="3" t="s">
        <v>4704</v>
      </c>
      <c r="F789" s="3" t="s">
        <v>326</v>
      </c>
      <c r="G789" s="3">
        <v>29.719200000000001</v>
      </c>
      <c r="H789" s="3" t="s">
        <v>4644</v>
      </c>
      <c r="I789" s="3" t="s">
        <v>4645</v>
      </c>
      <c r="J789" s="3" t="s">
        <v>4697</v>
      </c>
      <c r="K789" s="3">
        <v>45</v>
      </c>
      <c r="L789" s="3" t="s">
        <v>4647</v>
      </c>
    </row>
    <row r="790" spans="1:12" ht="33.75" customHeight="1" x14ac:dyDescent="0.25">
      <c r="A790" s="13" t="s">
        <v>1915</v>
      </c>
      <c r="B790" s="2" t="s">
        <v>1638</v>
      </c>
      <c r="C790" s="2" t="s">
        <v>1916</v>
      </c>
      <c r="D790" s="2" t="s">
        <v>4792</v>
      </c>
      <c r="E790" s="2" t="s">
        <v>4842</v>
      </c>
      <c r="F790" s="2" t="s">
        <v>1640</v>
      </c>
      <c r="G790" s="2">
        <v>33.259399999999999</v>
      </c>
      <c r="H790" s="2" t="s">
        <v>4644</v>
      </c>
      <c r="I790" s="2" t="s">
        <v>4645</v>
      </c>
      <c r="J790" s="2" t="s">
        <v>4726</v>
      </c>
      <c r="K790" s="2">
        <v>72</v>
      </c>
      <c r="L790" s="2" t="s">
        <v>4647</v>
      </c>
    </row>
    <row r="791" spans="1:12" ht="33.75" customHeight="1" x14ac:dyDescent="0.25">
      <c r="A791" s="14" t="s">
        <v>1917</v>
      </c>
      <c r="B791" s="3" t="s">
        <v>372</v>
      </c>
      <c r="C791" s="3" t="s">
        <v>1918</v>
      </c>
      <c r="D791" s="3" t="s">
        <v>4792</v>
      </c>
      <c r="E791" s="3" t="s">
        <v>4720</v>
      </c>
      <c r="F791" s="3" t="s">
        <v>374</v>
      </c>
      <c r="G791" s="3">
        <v>32.852400000000003</v>
      </c>
      <c r="H791" s="3" t="s">
        <v>4644</v>
      </c>
      <c r="I791" s="3" t="s">
        <v>4645</v>
      </c>
      <c r="J791" s="3" t="s">
        <v>4721</v>
      </c>
      <c r="K791" s="3">
        <v>48</v>
      </c>
      <c r="L791" s="3" t="s">
        <v>4647</v>
      </c>
    </row>
    <row r="792" spans="1:12" ht="33.75" customHeight="1" x14ac:dyDescent="0.25">
      <c r="A792" s="13" t="s">
        <v>1919</v>
      </c>
      <c r="B792" s="2" t="s">
        <v>372</v>
      </c>
      <c r="C792" s="2" t="s">
        <v>1920</v>
      </c>
      <c r="D792" s="2" t="s">
        <v>4792</v>
      </c>
      <c r="E792" s="2" t="s">
        <v>4720</v>
      </c>
      <c r="F792" s="2" t="s">
        <v>374</v>
      </c>
      <c r="G792" s="2">
        <v>32.852400000000003</v>
      </c>
      <c r="H792" s="2" t="s">
        <v>4644</v>
      </c>
      <c r="I792" s="2" t="s">
        <v>4645</v>
      </c>
      <c r="J792" s="2" t="s">
        <v>4721</v>
      </c>
      <c r="K792" s="2">
        <v>48</v>
      </c>
      <c r="L792" s="2" t="s">
        <v>4647</v>
      </c>
    </row>
    <row r="793" spans="1:12" ht="33.75" customHeight="1" x14ac:dyDescent="0.25">
      <c r="A793" s="14" t="s">
        <v>1921</v>
      </c>
      <c r="B793" s="3" t="s">
        <v>390</v>
      </c>
      <c r="C793" s="3" t="s">
        <v>1922</v>
      </c>
      <c r="D793" s="3"/>
      <c r="E793" s="3" t="s">
        <v>4728</v>
      </c>
      <c r="F793" s="3" t="s">
        <v>392</v>
      </c>
      <c r="G793" s="3">
        <v>35.367600000000003</v>
      </c>
      <c r="H793" s="3" t="s">
        <v>4644</v>
      </c>
      <c r="I793" s="3" t="s">
        <v>4645</v>
      </c>
      <c r="J793" s="3" t="s">
        <v>4729</v>
      </c>
      <c r="K793" s="3">
        <v>120</v>
      </c>
      <c r="L793" s="3" t="s">
        <v>4647</v>
      </c>
    </row>
    <row r="794" spans="1:12" ht="33.75" customHeight="1" x14ac:dyDescent="0.25">
      <c r="A794" s="13" t="s">
        <v>1923</v>
      </c>
      <c r="B794" s="2" t="s">
        <v>418</v>
      </c>
      <c r="C794" s="2" t="s">
        <v>1924</v>
      </c>
      <c r="D794" s="2"/>
      <c r="E794" s="2" t="s">
        <v>4734</v>
      </c>
      <c r="F794" s="2" t="s">
        <v>420</v>
      </c>
      <c r="G794" s="2">
        <v>30.655200000000001</v>
      </c>
      <c r="H794" s="2" t="s">
        <v>4644</v>
      </c>
      <c r="I794" s="2" t="s">
        <v>4645</v>
      </c>
      <c r="J794" s="2" t="s">
        <v>4735</v>
      </c>
      <c r="K794" s="2">
        <v>72</v>
      </c>
      <c r="L794" s="2" t="s">
        <v>4647</v>
      </c>
    </row>
    <row r="795" spans="1:12" ht="33.75" customHeight="1" x14ac:dyDescent="0.25">
      <c r="A795" s="14" t="s">
        <v>1925</v>
      </c>
      <c r="B795" s="3" t="s">
        <v>404</v>
      </c>
      <c r="C795" s="3" t="s">
        <v>1926</v>
      </c>
      <c r="D795" s="3"/>
      <c r="E795" s="3" t="s">
        <v>4731</v>
      </c>
      <c r="F795" s="3" t="s">
        <v>406</v>
      </c>
      <c r="G795" s="3">
        <v>29.999199999999998</v>
      </c>
      <c r="H795" s="3" t="s">
        <v>4644</v>
      </c>
      <c r="I795" s="3" t="s">
        <v>4645</v>
      </c>
      <c r="J795" s="3" t="s">
        <v>4695</v>
      </c>
      <c r="K795" s="3">
        <v>63</v>
      </c>
      <c r="L795" s="3" t="s">
        <v>4647</v>
      </c>
    </row>
    <row r="796" spans="1:12" ht="33.75" customHeight="1" x14ac:dyDescent="0.25">
      <c r="A796" s="13" t="s">
        <v>1927</v>
      </c>
      <c r="B796" s="2" t="s">
        <v>1928</v>
      </c>
      <c r="C796" s="2" t="s">
        <v>1929</v>
      </c>
      <c r="D796" s="2" t="s">
        <v>4689</v>
      </c>
      <c r="E796" s="2" t="s">
        <v>4874</v>
      </c>
      <c r="F796" s="2" t="s">
        <v>1930</v>
      </c>
      <c r="G796" s="2">
        <v>27.530560000000001</v>
      </c>
      <c r="H796" s="2" t="s">
        <v>4644</v>
      </c>
      <c r="I796" s="2" t="s">
        <v>4645</v>
      </c>
      <c r="J796" s="2" t="s">
        <v>4735</v>
      </c>
      <c r="K796" s="2">
        <v>76</v>
      </c>
      <c r="L796" s="2" t="s">
        <v>4668</v>
      </c>
    </row>
    <row r="797" spans="1:12" ht="33.75" customHeight="1" x14ac:dyDescent="0.25">
      <c r="A797" s="14" t="s">
        <v>1931</v>
      </c>
      <c r="B797" s="3" t="s">
        <v>142</v>
      </c>
      <c r="C797" s="3" t="s">
        <v>1932</v>
      </c>
      <c r="D797" s="3" t="s">
        <v>4664</v>
      </c>
      <c r="E797" s="3" t="s">
        <v>4875</v>
      </c>
      <c r="F797" s="3" t="s">
        <v>144</v>
      </c>
      <c r="G797" s="3"/>
      <c r="H797" s="3" t="s">
        <v>4666</v>
      </c>
      <c r="I797" s="3" t="s">
        <v>4667</v>
      </c>
      <c r="J797" s="3" t="s">
        <v>4721</v>
      </c>
      <c r="K797" s="3">
        <v>15</v>
      </c>
      <c r="L797" s="3" t="s">
        <v>4668</v>
      </c>
    </row>
    <row r="798" spans="1:12" ht="33.75" customHeight="1" x14ac:dyDescent="0.25">
      <c r="A798" s="13" t="s">
        <v>1933</v>
      </c>
      <c r="B798" s="2" t="s">
        <v>386</v>
      </c>
      <c r="C798" s="2" t="s">
        <v>1934</v>
      </c>
      <c r="D798" s="2" t="s">
        <v>4664</v>
      </c>
      <c r="E798" s="2" t="s">
        <v>4727</v>
      </c>
      <c r="F798" s="2" t="s">
        <v>388</v>
      </c>
      <c r="G798" s="2">
        <v>33.783799999999999</v>
      </c>
      <c r="H798" s="2" t="s">
        <v>4644</v>
      </c>
      <c r="I798" s="2" t="s">
        <v>4645</v>
      </c>
      <c r="J798" s="2" t="s">
        <v>4721</v>
      </c>
      <c r="K798" s="2">
        <v>54</v>
      </c>
      <c r="L798" s="2" t="s">
        <v>4647</v>
      </c>
    </row>
    <row r="799" spans="1:12" ht="33.75" customHeight="1" x14ac:dyDescent="0.25">
      <c r="A799" s="14" t="s">
        <v>1935</v>
      </c>
      <c r="B799" s="3" t="s">
        <v>1936</v>
      </c>
      <c r="C799" s="3" t="s">
        <v>1937</v>
      </c>
      <c r="D799" s="3" t="s">
        <v>4671</v>
      </c>
      <c r="E799" s="3" t="s">
        <v>4876</v>
      </c>
      <c r="F799" s="3" t="s">
        <v>1938</v>
      </c>
      <c r="G799" s="3">
        <v>30.265280000000001</v>
      </c>
      <c r="H799" s="3" t="s">
        <v>4644</v>
      </c>
      <c r="I799" s="3" t="s">
        <v>4645</v>
      </c>
      <c r="J799" s="3" t="s">
        <v>4721</v>
      </c>
      <c r="K799" s="3">
        <v>48</v>
      </c>
      <c r="L799" s="3" t="s">
        <v>4668</v>
      </c>
    </row>
    <row r="800" spans="1:12" ht="33.75" customHeight="1" x14ac:dyDescent="0.25">
      <c r="A800" s="13" t="s">
        <v>1939</v>
      </c>
      <c r="B800" s="2" t="s">
        <v>1940</v>
      </c>
      <c r="C800" s="2" t="s">
        <v>1941</v>
      </c>
      <c r="D800" s="2" t="s">
        <v>4671</v>
      </c>
      <c r="E800" s="2" t="s">
        <v>4756</v>
      </c>
      <c r="F800" s="2" t="s">
        <v>1942</v>
      </c>
      <c r="G800" s="2">
        <v>28.134399999999999</v>
      </c>
      <c r="H800" s="2" t="s">
        <v>4644</v>
      </c>
      <c r="I800" s="2" t="s">
        <v>4645</v>
      </c>
      <c r="J800" s="2" t="s">
        <v>4697</v>
      </c>
      <c r="K800" s="2">
        <v>48</v>
      </c>
      <c r="L800" s="2" t="s">
        <v>4668</v>
      </c>
    </row>
    <row r="801" spans="1:12" ht="33.75" customHeight="1" x14ac:dyDescent="0.25">
      <c r="A801" s="14" t="s">
        <v>1943</v>
      </c>
      <c r="B801" s="3" t="s">
        <v>1944</v>
      </c>
      <c r="C801" s="3" t="s">
        <v>1945</v>
      </c>
      <c r="D801" s="3" t="s">
        <v>4671</v>
      </c>
      <c r="E801" s="3" t="s">
        <v>4874</v>
      </c>
      <c r="F801" s="3" t="s">
        <v>1946</v>
      </c>
      <c r="G801" s="3">
        <v>28.5824</v>
      </c>
      <c r="H801" s="3" t="s">
        <v>4644</v>
      </c>
      <c r="I801" s="3" t="s">
        <v>4645</v>
      </c>
      <c r="J801" s="3" t="s">
        <v>4735</v>
      </c>
      <c r="K801" s="3">
        <v>76</v>
      </c>
      <c r="L801" s="3" t="s">
        <v>4668</v>
      </c>
    </row>
    <row r="802" spans="1:12" ht="33.75" customHeight="1" x14ac:dyDescent="0.25">
      <c r="A802" s="13" t="s">
        <v>1947</v>
      </c>
      <c r="B802" s="2" t="s">
        <v>1948</v>
      </c>
      <c r="C802" s="2" t="s">
        <v>1949</v>
      </c>
      <c r="D802" s="2" t="s">
        <v>4689</v>
      </c>
      <c r="E802" s="2" t="s">
        <v>4755</v>
      </c>
      <c r="F802" s="2" t="s">
        <v>1950</v>
      </c>
      <c r="G802" s="2">
        <v>27.513280000000002</v>
      </c>
      <c r="H802" s="2" t="s">
        <v>4644</v>
      </c>
      <c r="I802" s="2" t="s">
        <v>4645</v>
      </c>
      <c r="J802" s="2" t="s">
        <v>4695</v>
      </c>
      <c r="K802" s="2">
        <v>68</v>
      </c>
      <c r="L802" s="2" t="s">
        <v>4668</v>
      </c>
    </row>
    <row r="803" spans="1:12" ht="33.75" customHeight="1" x14ac:dyDescent="0.25">
      <c r="A803" s="14" t="s">
        <v>1951</v>
      </c>
      <c r="B803" s="3" t="s">
        <v>1952</v>
      </c>
      <c r="C803" s="3" t="s">
        <v>1953</v>
      </c>
      <c r="D803" s="3" t="s">
        <v>4671</v>
      </c>
      <c r="E803" s="3" t="s">
        <v>4755</v>
      </c>
      <c r="F803" s="3" t="s">
        <v>1954</v>
      </c>
      <c r="G803" s="3">
        <v>28.4544</v>
      </c>
      <c r="H803" s="3" t="s">
        <v>4644</v>
      </c>
      <c r="I803" s="3" t="s">
        <v>4645</v>
      </c>
      <c r="J803" s="3" t="s">
        <v>4695</v>
      </c>
      <c r="K803" s="3">
        <v>68</v>
      </c>
      <c r="L803" s="3" t="s">
        <v>4668</v>
      </c>
    </row>
    <row r="804" spans="1:12" ht="33.75" customHeight="1" x14ac:dyDescent="0.25">
      <c r="A804" s="13" t="s">
        <v>1955</v>
      </c>
      <c r="B804" s="2" t="s">
        <v>1948</v>
      </c>
      <c r="C804" s="2" t="s">
        <v>1949</v>
      </c>
      <c r="D804" s="2" t="s">
        <v>4689</v>
      </c>
      <c r="E804" s="2" t="s">
        <v>4755</v>
      </c>
      <c r="F804" s="2" t="s">
        <v>1950</v>
      </c>
      <c r="G804" s="2">
        <v>27.513280000000002</v>
      </c>
      <c r="H804" s="2" t="s">
        <v>4644</v>
      </c>
      <c r="I804" s="2" t="s">
        <v>4645</v>
      </c>
      <c r="J804" s="2" t="s">
        <v>4695</v>
      </c>
      <c r="K804" s="2">
        <v>68</v>
      </c>
      <c r="L804" s="2" t="s">
        <v>4668</v>
      </c>
    </row>
    <row r="805" spans="1:12" ht="33.75" customHeight="1" x14ac:dyDescent="0.25">
      <c r="A805" s="14" t="s">
        <v>1956</v>
      </c>
      <c r="B805" s="3" t="s">
        <v>1952</v>
      </c>
      <c r="C805" s="3" t="s">
        <v>1957</v>
      </c>
      <c r="D805" s="3" t="s">
        <v>4671</v>
      </c>
      <c r="E805" s="3" t="s">
        <v>4755</v>
      </c>
      <c r="F805" s="3" t="s">
        <v>1954</v>
      </c>
      <c r="G805" s="3">
        <v>28.4544</v>
      </c>
      <c r="H805" s="3" t="s">
        <v>4644</v>
      </c>
      <c r="I805" s="3" t="s">
        <v>4645</v>
      </c>
      <c r="J805" s="3" t="s">
        <v>4695</v>
      </c>
      <c r="K805" s="3">
        <v>68</v>
      </c>
      <c r="L805" s="3" t="s">
        <v>4668</v>
      </c>
    </row>
    <row r="806" spans="1:12" ht="33.75" customHeight="1" x14ac:dyDescent="0.25">
      <c r="A806" s="13" t="s">
        <v>1958</v>
      </c>
      <c r="B806" s="2" t="s">
        <v>1959</v>
      </c>
      <c r="C806" s="2" t="s">
        <v>1960</v>
      </c>
      <c r="D806" s="2" t="s">
        <v>4671</v>
      </c>
      <c r="E806" s="2" t="s">
        <v>4877</v>
      </c>
      <c r="F806" s="2" t="s">
        <v>1961</v>
      </c>
      <c r="G806" s="2">
        <v>28.9024</v>
      </c>
      <c r="H806" s="2" t="s">
        <v>4644</v>
      </c>
      <c r="I806" s="2" t="s">
        <v>4645</v>
      </c>
      <c r="J806" s="2" t="s">
        <v>4710</v>
      </c>
      <c r="K806" s="2">
        <v>96</v>
      </c>
      <c r="L806" s="2" t="s">
        <v>4668</v>
      </c>
    </row>
    <row r="807" spans="1:12" ht="33.75" customHeight="1" x14ac:dyDescent="0.25">
      <c r="A807" s="14" t="s">
        <v>1962</v>
      </c>
      <c r="B807" s="3" t="s">
        <v>1963</v>
      </c>
      <c r="C807" s="3" t="s">
        <v>1964</v>
      </c>
      <c r="D807" s="3" t="s">
        <v>4689</v>
      </c>
      <c r="E807" s="3" t="s">
        <v>4878</v>
      </c>
      <c r="F807" s="3" t="s">
        <v>1965</v>
      </c>
      <c r="G807" s="3">
        <v>27.373760000000001</v>
      </c>
      <c r="H807" s="3" t="s">
        <v>4644</v>
      </c>
      <c r="I807" s="3" t="s">
        <v>4645</v>
      </c>
      <c r="J807" s="3" t="s">
        <v>4733</v>
      </c>
      <c r="K807" s="3">
        <v>96</v>
      </c>
      <c r="L807" s="3" t="s">
        <v>4668</v>
      </c>
    </row>
    <row r="808" spans="1:12" ht="33.75" customHeight="1" x14ac:dyDescent="0.25">
      <c r="A808" s="13" t="s">
        <v>1966</v>
      </c>
      <c r="B808" s="2" t="s">
        <v>1967</v>
      </c>
      <c r="C808" s="2" t="s">
        <v>1968</v>
      </c>
      <c r="D808" s="2" t="s">
        <v>4671</v>
      </c>
      <c r="E808" s="2" t="s">
        <v>4879</v>
      </c>
      <c r="F808" s="2" t="s">
        <v>1969</v>
      </c>
      <c r="G808" s="2">
        <v>30.68432</v>
      </c>
      <c r="H808" s="2" t="s">
        <v>4644</v>
      </c>
      <c r="I808" s="2" t="s">
        <v>4645</v>
      </c>
      <c r="J808" s="2" t="s">
        <v>4726</v>
      </c>
      <c r="K808" s="2">
        <v>72</v>
      </c>
      <c r="L808" s="2" t="s">
        <v>4668</v>
      </c>
    </row>
    <row r="809" spans="1:12" ht="33.75" customHeight="1" x14ac:dyDescent="0.25">
      <c r="A809" s="14" t="s">
        <v>1970</v>
      </c>
      <c r="B809" s="3" t="s">
        <v>1971</v>
      </c>
      <c r="C809" s="3" t="s">
        <v>1972</v>
      </c>
      <c r="D809" s="3" t="s">
        <v>4671</v>
      </c>
      <c r="E809" s="3" t="s">
        <v>4756</v>
      </c>
      <c r="F809" s="3" t="s">
        <v>1973</v>
      </c>
      <c r="G809" s="3">
        <v>27.470079999999999</v>
      </c>
      <c r="H809" s="3" t="s">
        <v>4644</v>
      </c>
      <c r="I809" s="3" t="s">
        <v>4645</v>
      </c>
      <c r="J809" s="3" t="s">
        <v>4697</v>
      </c>
      <c r="K809" s="3">
        <v>48</v>
      </c>
      <c r="L809" s="3" t="s">
        <v>4668</v>
      </c>
    </row>
    <row r="810" spans="1:12" ht="33.75" customHeight="1" x14ac:dyDescent="0.25">
      <c r="A810" s="13" t="s">
        <v>1974</v>
      </c>
      <c r="B810" s="2" t="s">
        <v>142</v>
      </c>
      <c r="C810" s="2" t="s">
        <v>1975</v>
      </c>
      <c r="D810" s="2" t="s">
        <v>4664</v>
      </c>
      <c r="E810" s="2" t="s">
        <v>4880</v>
      </c>
      <c r="F810" s="2" t="s">
        <v>144</v>
      </c>
      <c r="G810" s="2"/>
      <c r="H810" s="2" t="s">
        <v>4666</v>
      </c>
      <c r="I810" s="2" t="s">
        <v>4667</v>
      </c>
      <c r="J810" s="2" t="s">
        <v>4695</v>
      </c>
      <c r="K810" s="2">
        <v>17</v>
      </c>
      <c r="L810" s="2" t="s">
        <v>4668</v>
      </c>
    </row>
    <row r="811" spans="1:12" ht="33.75" customHeight="1" x14ac:dyDescent="0.25">
      <c r="A811" s="14" t="s">
        <v>1976</v>
      </c>
      <c r="B811" s="3" t="s">
        <v>404</v>
      </c>
      <c r="C811" s="3" t="s">
        <v>1977</v>
      </c>
      <c r="D811" s="3" t="s">
        <v>4664</v>
      </c>
      <c r="E811" s="3" t="s">
        <v>4731</v>
      </c>
      <c r="F811" s="3" t="s">
        <v>406</v>
      </c>
      <c r="G811" s="3">
        <v>29.999199999999998</v>
      </c>
      <c r="H811" s="3" t="s">
        <v>4644</v>
      </c>
      <c r="I811" s="3" t="s">
        <v>4645</v>
      </c>
      <c r="J811" s="3" t="s">
        <v>4695</v>
      </c>
      <c r="K811" s="3">
        <v>63</v>
      </c>
      <c r="L811" s="3" t="s">
        <v>4647</v>
      </c>
    </row>
    <row r="812" spans="1:12" ht="33.75" customHeight="1" x14ac:dyDescent="0.25">
      <c r="A812" s="13" t="s">
        <v>1978</v>
      </c>
      <c r="B812" s="2" t="s">
        <v>1928</v>
      </c>
      <c r="C812" s="2" t="s">
        <v>1979</v>
      </c>
      <c r="D812" s="2" t="s">
        <v>4689</v>
      </c>
      <c r="E812" s="2" t="s">
        <v>4874</v>
      </c>
      <c r="F812" s="2" t="s">
        <v>1930</v>
      </c>
      <c r="G812" s="2">
        <v>27.530560000000001</v>
      </c>
      <c r="H812" s="2" t="s">
        <v>4644</v>
      </c>
      <c r="I812" s="2" t="s">
        <v>4645</v>
      </c>
      <c r="J812" s="2" t="s">
        <v>4735</v>
      </c>
      <c r="K812" s="2">
        <v>76</v>
      </c>
      <c r="L812" s="2" t="s">
        <v>4668</v>
      </c>
    </row>
    <row r="813" spans="1:12" ht="33.75" customHeight="1" x14ac:dyDescent="0.25">
      <c r="A813" s="14" t="s">
        <v>1980</v>
      </c>
      <c r="B813" s="3" t="s">
        <v>1928</v>
      </c>
      <c r="C813" s="3" t="s">
        <v>1981</v>
      </c>
      <c r="D813" s="3" t="s">
        <v>4671</v>
      </c>
      <c r="E813" s="3" t="s">
        <v>4874</v>
      </c>
      <c r="F813" s="3" t="s">
        <v>1930</v>
      </c>
      <c r="G813" s="3">
        <v>27.530560000000001</v>
      </c>
      <c r="H813" s="3" t="s">
        <v>4644</v>
      </c>
      <c r="I813" s="3" t="s">
        <v>4645</v>
      </c>
      <c r="J813" s="3" t="s">
        <v>4735</v>
      </c>
      <c r="K813" s="3">
        <v>76</v>
      </c>
      <c r="L813" s="3" t="s">
        <v>4668</v>
      </c>
    </row>
    <row r="814" spans="1:12" ht="33.75" customHeight="1" x14ac:dyDescent="0.25">
      <c r="A814" s="13" t="s">
        <v>1982</v>
      </c>
      <c r="B814" s="2" t="s">
        <v>1948</v>
      </c>
      <c r="C814" s="2" t="s">
        <v>1983</v>
      </c>
      <c r="D814" s="2" t="s">
        <v>4689</v>
      </c>
      <c r="E814" s="2" t="s">
        <v>4755</v>
      </c>
      <c r="F814" s="2" t="s">
        <v>1950</v>
      </c>
      <c r="G814" s="2">
        <v>27.513280000000002</v>
      </c>
      <c r="H814" s="2" t="s">
        <v>4644</v>
      </c>
      <c r="I814" s="2" t="s">
        <v>4645</v>
      </c>
      <c r="J814" s="2" t="s">
        <v>4695</v>
      </c>
      <c r="K814" s="2">
        <v>68</v>
      </c>
      <c r="L814" s="2" t="s">
        <v>4668</v>
      </c>
    </row>
    <row r="815" spans="1:12" ht="33.75" customHeight="1" x14ac:dyDescent="0.25">
      <c r="A815" s="14" t="s">
        <v>1984</v>
      </c>
      <c r="B815" s="3" t="s">
        <v>1948</v>
      </c>
      <c r="C815" s="3" t="s">
        <v>1985</v>
      </c>
      <c r="D815" s="3" t="s">
        <v>4671</v>
      </c>
      <c r="E815" s="3" t="s">
        <v>4755</v>
      </c>
      <c r="F815" s="3" t="s">
        <v>1950</v>
      </c>
      <c r="G815" s="3">
        <v>27.513280000000002</v>
      </c>
      <c r="H815" s="3" t="s">
        <v>4644</v>
      </c>
      <c r="I815" s="3" t="s">
        <v>4645</v>
      </c>
      <c r="J815" s="3" t="s">
        <v>4695</v>
      </c>
      <c r="K815" s="3">
        <v>68</v>
      </c>
      <c r="L815" s="3" t="s">
        <v>4668</v>
      </c>
    </row>
    <row r="816" spans="1:12" ht="33.75" customHeight="1" x14ac:dyDescent="0.25">
      <c r="A816" s="13" t="s">
        <v>1986</v>
      </c>
      <c r="B816" s="2" t="s">
        <v>1987</v>
      </c>
      <c r="C816" s="2" t="s">
        <v>1988</v>
      </c>
      <c r="D816" s="2" t="s">
        <v>4671</v>
      </c>
      <c r="E816" s="2" t="s">
        <v>4881</v>
      </c>
      <c r="F816" s="2" t="s">
        <v>1989</v>
      </c>
      <c r="G816" s="2">
        <v>28.4544</v>
      </c>
      <c r="H816" s="2" t="s">
        <v>4644</v>
      </c>
      <c r="I816" s="2" t="s">
        <v>4645</v>
      </c>
      <c r="J816" s="2" t="s">
        <v>4684</v>
      </c>
      <c r="K816" s="2">
        <v>68</v>
      </c>
      <c r="L816" s="2" t="s">
        <v>4668</v>
      </c>
    </row>
    <row r="817" spans="1:12" ht="33.75" customHeight="1" x14ac:dyDescent="0.25">
      <c r="A817" s="14" t="s">
        <v>1990</v>
      </c>
      <c r="B817" s="3" t="s">
        <v>142</v>
      </c>
      <c r="C817" s="3" t="s">
        <v>1991</v>
      </c>
      <c r="D817" s="3" t="s">
        <v>4676</v>
      </c>
      <c r="E817" s="3" t="s">
        <v>4665</v>
      </c>
      <c r="F817" s="3" t="s">
        <v>144</v>
      </c>
      <c r="G817" s="3"/>
      <c r="H817" s="3" t="s">
        <v>4666</v>
      </c>
      <c r="I817" s="3" t="s">
        <v>4667</v>
      </c>
      <c r="J817" s="3" t="s">
        <v>4697</v>
      </c>
      <c r="K817" s="3">
        <v>12</v>
      </c>
      <c r="L817" s="3" t="s">
        <v>4668</v>
      </c>
    </row>
    <row r="818" spans="1:12" ht="33.75" customHeight="1" x14ac:dyDescent="0.25">
      <c r="A818" s="13" t="s">
        <v>1992</v>
      </c>
      <c r="B818" s="2" t="s">
        <v>1944</v>
      </c>
      <c r="C818" s="2" t="s">
        <v>1993</v>
      </c>
      <c r="D818" s="2" t="s">
        <v>4671</v>
      </c>
      <c r="E818" s="2" t="s">
        <v>4874</v>
      </c>
      <c r="F818" s="2" t="s">
        <v>1946</v>
      </c>
      <c r="G818" s="2">
        <v>28.5824</v>
      </c>
      <c r="H818" s="2" t="s">
        <v>4644</v>
      </c>
      <c r="I818" s="2" t="s">
        <v>4645</v>
      </c>
      <c r="J818" s="2" t="s">
        <v>4682</v>
      </c>
      <c r="K818" s="2">
        <v>76</v>
      </c>
      <c r="L818" s="2" t="s">
        <v>4668</v>
      </c>
    </row>
    <row r="819" spans="1:12" ht="33.75" customHeight="1" x14ac:dyDescent="0.25">
      <c r="A819" s="14" t="s">
        <v>1994</v>
      </c>
      <c r="B819" s="3" t="s">
        <v>1995</v>
      </c>
      <c r="C819" s="3" t="s">
        <v>1996</v>
      </c>
      <c r="D819" s="3" t="s">
        <v>4671</v>
      </c>
      <c r="E819" s="3" t="s">
        <v>4876</v>
      </c>
      <c r="F819" s="3" t="s">
        <v>1997</v>
      </c>
      <c r="G819" s="3">
        <v>30.265280000000001</v>
      </c>
      <c r="H819" s="3" t="s">
        <v>4644</v>
      </c>
      <c r="I819" s="3" t="s">
        <v>4645</v>
      </c>
      <c r="J819" s="3" t="s">
        <v>4721</v>
      </c>
      <c r="K819" s="3">
        <v>48</v>
      </c>
      <c r="L819" s="3" t="s">
        <v>4668</v>
      </c>
    </row>
    <row r="820" spans="1:12" ht="33.75" customHeight="1" x14ac:dyDescent="0.25">
      <c r="A820" s="13" t="s">
        <v>1998</v>
      </c>
      <c r="B820" s="2" t="s">
        <v>1948</v>
      </c>
      <c r="C820" s="2" t="s">
        <v>1999</v>
      </c>
      <c r="D820" s="2" t="s">
        <v>4689</v>
      </c>
      <c r="E820" s="2" t="s">
        <v>4755</v>
      </c>
      <c r="F820" s="2" t="s">
        <v>1950</v>
      </c>
      <c r="G820" s="2">
        <v>27.513280000000002</v>
      </c>
      <c r="H820" s="2" t="s">
        <v>4644</v>
      </c>
      <c r="I820" s="2" t="s">
        <v>4645</v>
      </c>
      <c r="J820" s="2" t="s">
        <v>4695</v>
      </c>
      <c r="K820" s="2">
        <v>68</v>
      </c>
      <c r="L820" s="2" t="s">
        <v>4668</v>
      </c>
    </row>
    <row r="821" spans="1:12" ht="33.75" customHeight="1" x14ac:dyDescent="0.25">
      <c r="A821" s="14" t="s">
        <v>2000</v>
      </c>
      <c r="B821" s="3" t="s">
        <v>1952</v>
      </c>
      <c r="C821" s="3" t="s">
        <v>2001</v>
      </c>
      <c r="D821" s="3" t="s">
        <v>4671</v>
      </c>
      <c r="E821" s="3" t="s">
        <v>4755</v>
      </c>
      <c r="F821" s="3" t="s">
        <v>1954</v>
      </c>
      <c r="G821" s="3">
        <v>28.4544</v>
      </c>
      <c r="H821" s="3" t="s">
        <v>4644</v>
      </c>
      <c r="I821" s="3" t="s">
        <v>4645</v>
      </c>
      <c r="J821" s="3" t="s">
        <v>4695</v>
      </c>
      <c r="K821" s="3">
        <v>68</v>
      </c>
      <c r="L821" s="3" t="s">
        <v>4668</v>
      </c>
    </row>
    <row r="822" spans="1:12" ht="33.75" customHeight="1" x14ac:dyDescent="0.25">
      <c r="A822" s="13" t="s">
        <v>2002</v>
      </c>
      <c r="B822" s="2" t="s">
        <v>794</v>
      </c>
      <c r="C822" s="2" t="s">
        <v>2003</v>
      </c>
      <c r="D822" s="2" t="s">
        <v>4664</v>
      </c>
      <c r="E822" s="2" t="s">
        <v>4791</v>
      </c>
      <c r="F822" s="2" t="s">
        <v>796</v>
      </c>
      <c r="G822" s="2">
        <v>34.151200000000003</v>
      </c>
      <c r="H822" s="2" t="s">
        <v>4644</v>
      </c>
      <c r="I822" s="2" t="s">
        <v>4645</v>
      </c>
      <c r="J822" s="2" t="s">
        <v>4770</v>
      </c>
      <c r="K822" s="2">
        <v>63</v>
      </c>
      <c r="L822" s="2" t="s">
        <v>4647</v>
      </c>
    </row>
    <row r="823" spans="1:12" ht="33.75" customHeight="1" x14ac:dyDescent="0.25">
      <c r="A823" s="14" t="s">
        <v>2004</v>
      </c>
      <c r="B823" s="3" t="s">
        <v>142</v>
      </c>
      <c r="C823" s="3" t="s">
        <v>2005</v>
      </c>
      <c r="D823" s="3" t="s">
        <v>4664</v>
      </c>
      <c r="E823" s="3" t="s">
        <v>4880</v>
      </c>
      <c r="F823" s="3" t="s">
        <v>144</v>
      </c>
      <c r="G823" s="3"/>
      <c r="H823" s="3" t="s">
        <v>4666</v>
      </c>
      <c r="I823" s="3" t="s">
        <v>4667</v>
      </c>
      <c r="J823" s="3" t="s">
        <v>4770</v>
      </c>
      <c r="K823" s="3">
        <v>17</v>
      </c>
      <c r="L823" s="3" t="s">
        <v>4668</v>
      </c>
    </row>
    <row r="824" spans="1:12" ht="33.75" customHeight="1" x14ac:dyDescent="0.25">
      <c r="A824" s="13" t="s">
        <v>2006</v>
      </c>
      <c r="B824" s="2" t="s">
        <v>794</v>
      </c>
      <c r="C824" s="2" t="s">
        <v>2007</v>
      </c>
      <c r="D824" s="2" t="s">
        <v>4664</v>
      </c>
      <c r="E824" s="2" t="s">
        <v>4791</v>
      </c>
      <c r="F824" s="2" t="s">
        <v>796</v>
      </c>
      <c r="G824" s="2">
        <v>34.151200000000003</v>
      </c>
      <c r="H824" s="2" t="s">
        <v>4644</v>
      </c>
      <c r="I824" s="2" t="s">
        <v>4645</v>
      </c>
      <c r="J824" s="2" t="s">
        <v>4770</v>
      </c>
      <c r="K824" s="2">
        <v>63</v>
      </c>
      <c r="L824" s="2" t="s">
        <v>4647</v>
      </c>
    </row>
    <row r="825" spans="1:12" ht="33.75" customHeight="1" x14ac:dyDescent="0.25">
      <c r="A825" s="14" t="s">
        <v>2008</v>
      </c>
      <c r="B825" s="3" t="s">
        <v>277</v>
      </c>
      <c r="C825" s="3" t="s">
        <v>2009</v>
      </c>
      <c r="D825" s="3"/>
      <c r="E825" s="3" t="s">
        <v>4696</v>
      </c>
      <c r="F825" s="3" t="s">
        <v>279</v>
      </c>
      <c r="G825" s="3">
        <v>29.7592</v>
      </c>
      <c r="H825" s="3" t="s">
        <v>4644</v>
      </c>
      <c r="I825" s="3" t="s">
        <v>4645</v>
      </c>
      <c r="J825" s="3" t="s">
        <v>4697</v>
      </c>
      <c r="K825" s="3">
        <v>48</v>
      </c>
      <c r="L825" s="3" t="s">
        <v>4647</v>
      </c>
    </row>
    <row r="826" spans="1:12" ht="33.75" customHeight="1" x14ac:dyDescent="0.25">
      <c r="A826" s="13" t="s">
        <v>2010</v>
      </c>
      <c r="B826" s="2" t="s">
        <v>382</v>
      </c>
      <c r="C826" s="2" t="s">
        <v>2011</v>
      </c>
      <c r="D826" s="2" t="s">
        <v>4663</v>
      </c>
      <c r="E826" s="2" t="s">
        <v>4725</v>
      </c>
      <c r="F826" s="2" t="s">
        <v>384</v>
      </c>
      <c r="G826" s="2">
        <v>35.3172</v>
      </c>
      <c r="H826" s="2" t="s">
        <v>4644</v>
      </c>
      <c r="I826" s="2" t="s">
        <v>4645</v>
      </c>
      <c r="J826" s="2" t="s">
        <v>4726</v>
      </c>
      <c r="K826" s="2">
        <v>96</v>
      </c>
      <c r="L826" s="2" t="s">
        <v>4647</v>
      </c>
    </row>
    <row r="827" spans="1:12" ht="33.75" customHeight="1" x14ac:dyDescent="0.25">
      <c r="A827" s="14" t="s">
        <v>2012</v>
      </c>
      <c r="B827" s="3" t="s">
        <v>794</v>
      </c>
      <c r="C827" s="3" t="s">
        <v>2013</v>
      </c>
      <c r="D827" s="3" t="s">
        <v>4663</v>
      </c>
      <c r="E827" s="3" t="s">
        <v>4791</v>
      </c>
      <c r="F827" s="3" t="s">
        <v>796</v>
      </c>
      <c r="G827" s="3">
        <v>34.151200000000003</v>
      </c>
      <c r="H827" s="3" t="s">
        <v>4644</v>
      </c>
      <c r="I827" s="3" t="s">
        <v>4645</v>
      </c>
      <c r="J827" s="3" t="s">
        <v>4770</v>
      </c>
      <c r="K827" s="3">
        <v>63</v>
      </c>
      <c r="L827" s="3" t="s">
        <v>4647</v>
      </c>
    </row>
    <row r="828" spans="1:12" ht="33.75" customHeight="1" x14ac:dyDescent="0.25">
      <c r="A828" s="13" t="s">
        <v>2014</v>
      </c>
      <c r="B828" s="2" t="s">
        <v>1151</v>
      </c>
      <c r="C828" s="2" t="s">
        <v>2015</v>
      </c>
      <c r="D828" s="2" t="s">
        <v>4663</v>
      </c>
      <c r="E828" s="2" t="s">
        <v>4812</v>
      </c>
      <c r="F828" s="2" t="s">
        <v>1153</v>
      </c>
      <c r="G828" s="2">
        <v>30.6372</v>
      </c>
      <c r="H828" s="2" t="s">
        <v>4644</v>
      </c>
      <c r="I828" s="2" t="s">
        <v>4645</v>
      </c>
      <c r="J828" s="2" t="s">
        <v>4723</v>
      </c>
      <c r="K828" s="2">
        <v>72</v>
      </c>
      <c r="L828" s="2" t="s">
        <v>4647</v>
      </c>
    </row>
    <row r="829" spans="1:12" ht="33.75" customHeight="1" x14ac:dyDescent="0.25">
      <c r="A829" s="14" t="s">
        <v>2016</v>
      </c>
      <c r="B829" s="3" t="s">
        <v>422</v>
      </c>
      <c r="C829" s="3" t="s">
        <v>2017</v>
      </c>
      <c r="D829" s="3" t="s">
        <v>4882</v>
      </c>
      <c r="E829" s="3" t="s">
        <v>4736</v>
      </c>
      <c r="F829" s="3" t="s">
        <v>424</v>
      </c>
      <c r="G829" s="3">
        <v>30.7272</v>
      </c>
      <c r="H829" s="3" t="s">
        <v>4644</v>
      </c>
      <c r="I829" s="3" t="s">
        <v>4645</v>
      </c>
      <c r="J829" s="3" t="s">
        <v>4735</v>
      </c>
      <c r="K829" s="3">
        <v>76</v>
      </c>
      <c r="L829" s="3" t="s">
        <v>4647</v>
      </c>
    </row>
    <row r="830" spans="1:12" ht="33.75" customHeight="1" x14ac:dyDescent="0.25">
      <c r="A830" s="13" t="s">
        <v>2018</v>
      </c>
      <c r="B830" s="2" t="s">
        <v>273</v>
      </c>
      <c r="C830" s="2" t="s">
        <v>2019</v>
      </c>
      <c r="D830" s="2" t="s">
        <v>4882</v>
      </c>
      <c r="E830" s="2" t="s">
        <v>4694</v>
      </c>
      <c r="F830" s="2" t="s">
        <v>275</v>
      </c>
      <c r="G830" s="2">
        <v>30.084199999999999</v>
      </c>
      <c r="H830" s="2" t="s">
        <v>4644</v>
      </c>
      <c r="I830" s="2" t="s">
        <v>4645</v>
      </c>
      <c r="J830" s="2" t="s">
        <v>4695</v>
      </c>
      <c r="K830" s="2">
        <v>68</v>
      </c>
      <c r="L830" s="2" t="s">
        <v>4647</v>
      </c>
    </row>
    <row r="831" spans="1:12" ht="33.75" customHeight="1" x14ac:dyDescent="0.25">
      <c r="A831" s="14" t="s">
        <v>2020</v>
      </c>
      <c r="B831" s="3" t="s">
        <v>378</v>
      </c>
      <c r="C831" s="3" t="s">
        <v>2021</v>
      </c>
      <c r="D831" s="3" t="s">
        <v>4882</v>
      </c>
      <c r="E831" s="3" t="s">
        <v>4722</v>
      </c>
      <c r="F831" s="3" t="s">
        <v>380</v>
      </c>
      <c r="G831" s="3">
        <v>29.743200000000002</v>
      </c>
      <c r="H831" s="3" t="s">
        <v>4644</v>
      </c>
      <c r="I831" s="3" t="s">
        <v>4645</v>
      </c>
      <c r="J831" s="3" t="s">
        <v>4723</v>
      </c>
      <c r="K831" s="3">
        <v>56</v>
      </c>
      <c r="L831" s="3" t="s">
        <v>4647</v>
      </c>
    </row>
    <row r="832" spans="1:12" ht="33.75" customHeight="1" x14ac:dyDescent="0.25">
      <c r="A832" s="13" t="s">
        <v>2022</v>
      </c>
      <c r="B832" s="2" t="s">
        <v>277</v>
      </c>
      <c r="C832" s="2" t="s">
        <v>2023</v>
      </c>
      <c r="D832" s="2" t="s">
        <v>4882</v>
      </c>
      <c r="E832" s="2" t="s">
        <v>4696</v>
      </c>
      <c r="F832" s="2" t="s">
        <v>279</v>
      </c>
      <c r="G832" s="2">
        <v>29.7592</v>
      </c>
      <c r="H832" s="2" t="s">
        <v>4644</v>
      </c>
      <c r="I832" s="2" t="s">
        <v>4645</v>
      </c>
      <c r="J832" s="2" t="s">
        <v>4697</v>
      </c>
      <c r="K832" s="2">
        <v>48</v>
      </c>
      <c r="L832" s="2" t="s">
        <v>4647</v>
      </c>
    </row>
    <row r="833" spans="1:12" ht="33.75" customHeight="1" x14ac:dyDescent="0.25">
      <c r="A833" s="14" t="s">
        <v>2024</v>
      </c>
      <c r="B833" s="3" t="s">
        <v>277</v>
      </c>
      <c r="C833" s="3" t="s">
        <v>2025</v>
      </c>
      <c r="D833" s="3" t="s">
        <v>4882</v>
      </c>
      <c r="E833" s="3" t="s">
        <v>4696</v>
      </c>
      <c r="F833" s="3" t="s">
        <v>279</v>
      </c>
      <c r="G833" s="3">
        <v>29.7592</v>
      </c>
      <c r="H833" s="3" t="s">
        <v>4644</v>
      </c>
      <c r="I833" s="3" t="s">
        <v>4645</v>
      </c>
      <c r="J833" s="3" t="s">
        <v>4697</v>
      </c>
      <c r="K833" s="3">
        <v>48</v>
      </c>
      <c r="L833" s="3" t="s">
        <v>4647</v>
      </c>
    </row>
    <row r="834" spans="1:12" ht="33.75" customHeight="1" x14ac:dyDescent="0.25">
      <c r="A834" s="13" t="s">
        <v>2026</v>
      </c>
      <c r="B834" s="2" t="s">
        <v>422</v>
      </c>
      <c r="C834" s="2" t="s">
        <v>2027</v>
      </c>
      <c r="D834" s="2" t="s">
        <v>4882</v>
      </c>
      <c r="E834" s="2" t="s">
        <v>4736</v>
      </c>
      <c r="F834" s="2" t="s">
        <v>424</v>
      </c>
      <c r="G834" s="2">
        <v>30.7272</v>
      </c>
      <c r="H834" s="2" t="s">
        <v>4644</v>
      </c>
      <c r="I834" s="2" t="s">
        <v>4645</v>
      </c>
      <c r="J834" s="2" t="s">
        <v>4682</v>
      </c>
      <c r="K834" s="2">
        <v>76</v>
      </c>
      <c r="L834" s="2" t="s">
        <v>4647</v>
      </c>
    </row>
    <row r="835" spans="1:12" ht="33.75" customHeight="1" x14ac:dyDescent="0.25">
      <c r="A835" s="14" t="s">
        <v>2028</v>
      </c>
      <c r="B835" s="3" t="s">
        <v>846</v>
      </c>
      <c r="C835" s="3" t="s">
        <v>2029</v>
      </c>
      <c r="D835" s="3" t="s">
        <v>4882</v>
      </c>
      <c r="E835" s="3" t="s">
        <v>4800</v>
      </c>
      <c r="F835" s="3" t="s">
        <v>848</v>
      </c>
      <c r="G835" s="3">
        <v>29.944199999999999</v>
      </c>
      <c r="H835" s="3" t="s">
        <v>4644</v>
      </c>
      <c r="I835" s="3" t="s">
        <v>4645</v>
      </c>
      <c r="J835" s="3" t="s">
        <v>4684</v>
      </c>
      <c r="K835" s="3">
        <v>68</v>
      </c>
      <c r="L835" s="3" t="s">
        <v>4647</v>
      </c>
    </row>
    <row r="836" spans="1:12" ht="33.75" customHeight="1" x14ac:dyDescent="0.25">
      <c r="A836" s="13" t="s">
        <v>2030</v>
      </c>
      <c r="B836" s="2" t="s">
        <v>378</v>
      </c>
      <c r="C836" s="2" t="s">
        <v>2031</v>
      </c>
      <c r="D836" s="2" t="s">
        <v>4882</v>
      </c>
      <c r="E836" s="2" t="s">
        <v>4722</v>
      </c>
      <c r="F836" s="2" t="s">
        <v>380</v>
      </c>
      <c r="G836" s="2">
        <v>29.743200000000002</v>
      </c>
      <c r="H836" s="2" t="s">
        <v>4644</v>
      </c>
      <c r="I836" s="2" t="s">
        <v>4645</v>
      </c>
      <c r="J836" s="2" t="s">
        <v>4693</v>
      </c>
      <c r="K836" s="2">
        <v>56</v>
      </c>
      <c r="L836" s="2" t="s">
        <v>4647</v>
      </c>
    </row>
    <row r="837" spans="1:12" ht="33.75" customHeight="1" x14ac:dyDescent="0.25">
      <c r="A837" s="14" t="s">
        <v>2032</v>
      </c>
      <c r="B837" s="3" t="s">
        <v>2033</v>
      </c>
      <c r="C837" s="3" t="s">
        <v>2034</v>
      </c>
      <c r="D837" s="3" t="s">
        <v>4882</v>
      </c>
      <c r="E837" s="3" t="s">
        <v>4883</v>
      </c>
      <c r="F837" s="3" t="s">
        <v>2035</v>
      </c>
      <c r="G837" s="3">
        <v>30.1492</v>
      </c>
      <c r="H837" s="3" t="s">
        <v>4644</v>
      </c>
      <c r="I837" s="3" t="s">
        <v>4645</v>
      </c>
      <c r="J837" s="3" t="s">
        <v>4708</v>
      </c>
      <c r="K837" s="3">
        <v>96</v>
      </c>
      <c r="L837" s="3" t="s">
        <v>4647</v>
      </c>
    </row>
    <row r="838" spans="1:12" ht="33.75" customHeight="1" x14ac:dyDescent="0.25">
      <c r="A838" s="13" t="s">
        <v>2036</v>
      </c>
      <c r="B838" s="2" t="s">
        <v>2037</v>
      </c>
      <c r="C838" s="2" t="s">
        <v>2038</v>
      </c>
      <c r="D838" s="2" t="s">
        <v>4882</v>
      </c>
      <c r="E838" s="2" t="s">
        <v>4884</v>
      </c>
      <c r="F838" s="2" t="s">
        <v>2039</v>
      </c>
      <c r="G838" s="2">
        <v>31.226199999999999</v>
      </c>
      <c r="H838" s="2" t="s">
        <v>4644</v>
      </c>
      <c r="I838" s="2" t="s">
        <v>4645</v>
      </c>
      <c r="J838" s="2" t="s">
        <v>4733</v>
      </c>
      <c r="K838" s="2">
        <v>96</v>
      </c>
      <c r="L838" s="2" t="s">
        <v>4647</v>
      </c>
    </row>
    <row r="839" spans="1:12" ht="33.75" customHeight="1" x14ac:dyDescent="0.25">
      <c r="A839" s="14" t="s">
        <v>2040</v>
      </c>
      <c r="B839" s="3" t="s">
        <v>2037</v>
      </c>
      <c r="C839" s="3" t="s">
        <v>2041</v>
      </c>
      <c r="D839" s="3" t="s">
        <v>4882</v>
      </c>
      <c r="E839" s="3" t="s">
        <v>4884</v>
      </c>
      <c r="F839" s="3" t="s">
        <v>2039</v>
      </c>
      <c r="G839" s="3">
        <v>31.226199999999999</v>
      </c>
      <c r="H839" s="3" t="s">
        <v>4644</v>
      </c>
      <c r="I839" s="3" t="s">
        <v>4645</v>
      </c>
      <c r="J839" s="3" t="s">
        <v>4733</v>
      </c>
      <c r="K839" s="3">
        <v>96</v>
      </c>
      <c r="L839" s="3" t="s">
        <v>4647</v>
      </c>
    </row>
    <row r="840" spans="1:12" ht="33.75" customHeight="1" x14ac:dyDescent="0.25">
      <c r="A840" s="13" t="s">
        <v>2042</v>
      </c>
      <c r="B840" s="2" t="s">
        <v>864</v>
      </c>
      <c r="C840" s="2" t="s">
        <v>2043</v>
      </c>
      <c r="D840" s="2" t="s">
        <v>4882</v>
      </c>
      <c r="E840" s="2" t="s">
        <v>4801</v>
      </c>
      <c r="F840" s="2" t="s">
        <v>866</v>
      </c>
      <c r="G840" s="2">
        <v>30.653199999999998</v>
      </c>
      <c r="H840" s="2" t="s">
        <v>4644</v>
      </c>
      <c r="I840" s="2" t="s">
        <v>4645</v>
      </c>
      <c r="J840" s="2" t="s">
        <v>4710</v>
      </c>
      <c r="K840" s="2">
        <v>96</v>
      </c>
      <c r="L840" s="2" t="s">
        <v>4647</v>
      </c>
    </row>
    <row r="841" spans="1:12" ht="33.75" customHeight="1" x14ac:dyDescent="0.25">
      <c r="A841" s="14" t="s">
        <v>2044</v>
      </c>
      <c r="B841" s="3" t="s">
        <v>422</v>
      </c>
      <c r="C841" s="3" t="s">
        <v>2045</v>
      </c>
      <c r="D841" s="3" t="s">
        <v>4882</v>
      </c>
      <c r="E841" s="3" t="s">
        <v>4736</v>
      </c>
      <c r="F841" s="3" t="s">
        <v>424</v>
      </c>
      <c r="G841" s="3">
        <v>30.7272</v>
      </c>
      <c r="H841" s="3" t="s">
        <v>4644</v>
      </c>
      <c r="I841" s="3" t="s">
        <v>4645</v>
      </c>
      <c r="J841" s="3" t="s">
        <v>4735</v>
      </c>
      <c r="K841" s="3">
        <v>76</v>
      </c>
      <c r="L841" s="3" t="s">
        <v>4647</v>
      </c>
    </row>
    <row r="842" spans="1:12" ht="33.75" customHeight="1" x14ac:dyDescent="0.25">
      <c r="A842" s="13" t="s">
        <v>2046</v>
      </c>
      <c r="B842" s="2" t="s">
        <v>422</v>
      </c>
      <c r="C842" s="2" t="s">
        <v>2047</v>
      </c>
      <c r="D842" s="2" t="s">
        <v>4882</v>
      </c>
      <c r="E842" s="2" t="s">
        <v>4736</v>
      </c>
      <c r="F842" s="2" t="s">
        <v>424</v>
      </c>
      <c r="G842" s="2">
        <v>30.7272</v>
      </c>
      <c r="H842" s="2" t="s">
        <v>4644</v>
      </c>
      <c r="I842" s="2" t="s">
        <v>4645</v>
      </c>
      <c r="J842" s="2" t="s">
        <v>4735</v>
      </c>
      <c r="K842" s="2">
        <v>76</v>
      </c>
      <c r="L842" s="2" t="s">
        <v>4647</v>
      </c>
    </row>
    <row r="843" spans="1:12" ht="33.75" customHeight="1" x14ac:dyDescent="0.25">
      <c r="A843" s="14" t="s">
        <v>2048</v>
      </c>
      <c r="B843" s="3" t="s">
        <v>422</v>
      </c>
      <c r="C843" s="3" t="s">
        <v>2049</v>
      </c>
      <c r="D843" s="3" t="s">
        <v>4882</v>
      </c>
      <c r="E843" s="3" t="s">
        <v>4736</v>
      </c>
      <c r="F843" s="3" t="s">
        <v>424</v>
      </c>
      <c r="G843" s="3">
        <v>30.7272</v>
      </c>
      <c r="H843" s="3" t="s">
        <v>4644</v>
      </c>
      <c r="I843" s="3" t="s">
        <v>4645</v>
      </c>
      <c r="J843" s="3" t="s">
        <v>4682</v>
      </c>
      <c r="K843" s="3">
        <v>76</v>
      </c>
      <c r="L843" s="3" t="s">
        <v>4647</v>
      </c>
    </row>
    <row r="844" spans="1:12" ht="33.75" customHeight="1" x14ac:dyDescent="0.25">
      <c r="A844" s="13" t="s">
        <v>2050</v>
      </c>
      <c r="B844" s="2" t="s">
        <v>273</v>
      </c>
      <c r="C844" s="2" t="s">
        <v>2051</v>
      </c>
      <c r="D844" s="2" t="s">
        <v>4882</v>
      </c>
      <c r="E844" s="2" t="s">
        <v>4694</v>
      </c>
      <c r="F844" s="2" t="s">
        <v>275</v>
      </c>
      <c r="G844" s="2">
        <v>30.084199999999999</v>
      </c>
      <c r="H844" s="2" t="s">
        <v>4644</v>
      </c>
      <c r="I844" s="2" t="s">
        <v>4645</v>
      </c>
      <c r="J844" s="2" t="s">
        <v>4695</v>
      </c>
      <c r="K844" s="2">
        <v>68</v>
      </c>
      <c r="L844" s="2" t="s">
        <v>4647</v>
      </c>
    </row>
    <row r="845" spans="1:12" ht="33.75" customHeight="1" x14ac:dyDescent="0.25">
      <c r="A845" s="14" t="s">
        <v>2052</v>
      </c>
      <c r="B845" s="3" t="s">
        <v>273</v>
      </c>
      <c r="C845" s="3" t="s">
        <v>2053</v>
      </c>
      <c r="D845" s="3" t="s">
        <v>4882</v>
      </c>
      <c r="E845" s="3" t="s">
        <v>4694</v>
      </c>
      <c r="F845" s="3" t="s">
        <v>275</v>
      </c>
      <c r="G845" s="3">
        <v>30.084199999999999</v>
      </c>
      <c r="H845" s="3" t="s">
        <v>4644</v>
      </c>
      <c r="I845" s="3" t="s">
        <v>4645</v>
      </c>
      <c r="J845" s="3" t="s">
        <v>4695</v>
      </c>
      <c r="K845" s="3">
        <v>68</v>
      </c>
      <c r="L845" s="3" t="s">
        <v>4647</v>
      </c>
    </row>
    <row r="846" spans="1:12" ht="33.75" customHeight="1" x14ac:dyDescent="0.25">
      <c r="A846" s="13" t="s">
        <v>2054</v>
      </c>
      <c r="B846" s="2" t="s">
        <v>846</v>
      </c>
      <c r="C846" s="2" t="s">
        <v>2055</v>
      </c>
      <c r="D846" s="2" t="s">
        <v>4882</v>
      </c>
      <c r="E846" s="2" t="s">
        <v>4800</v>
      </c>
      <c r="F846" s="2" t="s">
        <v>848</v>
      </c>
      <c r="G846" s="2">
        <v>29.944199999999999</v>
      </c>
      <c r="H846" s="2" t="s">
        <v>4644</v>
      </c>
      <c r="I846" s="2" t="s">
        <v>4645</v>
      </c>
      <c r="J846" s="2" t="s">
        <v>4684</v>
      </c>
      <c r="K846" s="2">
        <v>68</v>
      </c>
      <c r="L846" s="2" t="s">
        <v>4647</v>
      </c>
    </row>
    <row r="847" spans="1:12" ht="33.75" customHeight="1" x14ac:dyDescent="0.25">
      <c r="A847" s="14" t="s">
        <v>2056</v>
      </c>
      <c r="B847" s="3" t="s">
        <v>846</v>
      </c>
      <c r="C847" s="3" t="s">
        <v>2057</v>
      </c>
      <c r="D847" s="3" t="s">
        <v>4882</v>
      </c>
      <c r="E847" s="3" t="s">
        <v>4800</v>
      </c>
      <c r="F847" s="3" t="s">
        <v>848</v>
      </c>
      <c r="G847" s="3">
        <v>29.944199999999999</v>
      </c>
      <c r="H847" s="3" t="s">
        <v>4644</v>
      </c>
      <c r="I847" s="3" t="s">
        <v>4645</v>
      </c>
      <c r="J847" s="3" t="s">
        <v>4684</v>
      </c>
      <c r="K847" s="3">
        <v>68</v>
      </c>
      <c r="L847" s="3" t="s">
        <v>4647</v>
      </c>
    </row>
    <row r="848" spans="1:12" ht="33.75" customHeight="1" x14ac:dyDescent="0.25">
      <c r="A848" s="13" t="s">
        <v>2058</v>
      </c>
      <c r="B848" s="2" t="s">
        <v>378</v>
      </c>
      <c r="C848" s="2" t="s">
        <v>2059</v>
      </c>
      <c r="D848" s="2" t="s">
        <v>4882</v>
      </c>
      <c r="E848" s="2" t="s">
        <v>4722</v>
      </c>
      <c r="F848" s="2" t="s">
        <v>380</v>
      </c>
      <c r="G848" s="2">
        <v>29.743200000000002</v>
      </c>
      <c r="H848" s="2" t="s">
        <v>4644</v>
      </c>
      <c r="I848" s="2" t="s">
        <v>4645</v>
      </c>
      <c r="J848" s="2" t="s">
        <v>4693</v>
      </c>
      <c r="K848" s="2">
        <v>56</v>
      </c>
      <c r="L848" s="2" t="s">
        <v>4647</v>
      </c>
    </row>
    <row r="849" spans="1:12" ht="33.75" customHeight="1" x14ac:dyDescent="0.25">
      <c r="A849" s="14" t="s">
        <v>2060</v>
      </c>
      <c r="B849" s="3" t="s">
        <v>277</v>
      </c>
      <c r="C849" s="3" t="s">
        <v>2061</v>
      </c>
      <c r="D849" s="3" t="s">
        <v>4882</v>
      </c>
      <c r="E849" s="3" t="s">
        <v>4696</v>
      </c>
      <c r="F849" s="3" t="s">
        <v>279</v>
      </c>
      <c r="G849" s="3">
        <v>29.7592</v>
      </c>
      <c r="H849" s="3" t="s">
        <v>4644</v>
      </c>
      <c r="I849" s="3" t="s">
        <v>4645</v>
      </c>
      <c r="J849" s="3" t="s">
        <v>4697</v>
      </c>
      <c r="K849" s="3">
        <v>48</v>
      </c>
      <c r="L849" s="3" t="s">
        <v>4647</v>
      </c>
    </row>
    <row r="850" spans="1:12" ht="33.75" customHeight="1" x14ac:dyDescent="0.25">
      <c r="A850" s="13" t="s">
        <v>2062</v>
      </c>
      <c r="B850" s="2" t="s">
        <v>277</v>
      </c>
      <c r="C850" s="2" t="s">
        <v>2063</v>
      </c>
      <c r="D850" s="2" t="s">
        <v>4882</v>
      </c>
      <c r="E850" s="2" t="s">
        <v>4696</v>
      </c>
      <c r="F850" s="2" t="s">
        <v>279</v>
      </c>
      <c r="G850" s="2">
        <v>29.7592</v>
      </c>
      <c r="H850" s="2" t="s">
        <v>4644</v>
      </c>
      <c r="I850" s="2" t="s">
        <v>4645</v>
      </c>
      <c r="J850" s="2" t="s">
        <v>4697</v>
      </c>
      <c r="K850" s="2">
        <v>48</v>
      </c>
      <c r="L850" s="2" t="s">
        <v>4647</v>
      </c>
    </row>
    <row r="851" spans="1:12" ht="33.75" customHeight="1" x14ac:dyDescent="0.25">
      <c r="A851" s="14" t="s">
        <v>2064</v>
      </c>
      <c r="B851" s="3" t="s">
        <v>277</v>
      </c>
      <c r="C851" s="3" t="s">
        <v>2065</v>
      </c>
      <c r="D851" s="3" t="s">
        <v>4882</v>
      </c>
      <c r="E851" s="3" t="s">
        <v>4696</v>
      </c>
      <c r="F851" s="3" t="s">
        <v>279</v>
      </c>
      <c r="G851" s="3">
        <v>29.7592</v>
      </c>
      <c r="H851" s="3" t="s">
        <v>4644</v>
      </c>
      <c r="I851" s="3" t="s">
        <v>4645</v>
      </c>
      <c r="J851" s="3" t="s">
        <v>4686</v>
      </c>
      <c r="K851" s="3">
        <v>48</v>
      </c>
      <c r="L851" s="3" t="s">
        <v>4647</v>
      </c>
    </row>
    <row r="852" spans="1:12" ht="33.75" customHeight="1" x14ac:dyDescent="0.25">
      <c r="A852" s="13" t="s">
        <v>2066</v>
      </c>
      <c r="B852" s="2" t="s">
        <v>378</v>
      </c>
      <c r="C852" s="2" t="s">
        <v>2067</v>
      </c>
      <c r="D852" s="2" t="s">
        <v>4882</v>
      </c>
      <c r="E852" s="2" t="s">
        <v>4722</v>
      </c>
      <c r="F852" s="2" t="s">
        <v>380</v>
      </c>
      <c r="G852" s="2">
        <v>29.743200000000002</v>
      </c>
      <c r="H852" s="2" t="s">
        <v>4644</v>
      </c>
      <c r="I852" s="2" t="s">
        <v>4645</v>
      </c>
      <c r="J852" s="2" t="s">
        <v>4723</v>
      </c>
      <c r="K852" s="2">
        <v>56</v>
      </c>
      <c r="L852" s="2" t="s">
        <v>4647</v>
      </c>
    </row>
    <row r="853" spans="1:12" ht="33.75" customHeight="1" x14ac:dyDescent="0.25">
      <c r="A853" s="14" t="s">
        <v>2068</v>
      </c>
      <c r="B853" s="3" t="s">
        <v>386</v>
      </c>
      <c r="C853" s="3" t="s">
        <v>2069</v>
      </c>
      <c r="D853" s="3" t="s">
        <v>4663</v>
      </c>
      <c r="E853" s="3" t="s">
        <v>4727</v>
      </c>
      <c r="F853" s="3" t="s">
        <v>388</v>
      </c>
      <c r="G853" s="3">
        <v>33.783799999999999</v>
      </c>
      <c r="H853" s="3" t="s">
        <v>4644</v>
      </c>
      <c r="I853" s="3" t="s">
        <v>4645</v>
      </c>
      <c r="J853" s="3" t="s">
        <v>4721</v>
      </c>
      <c r="K853" s="3">
        <v>54</v>
      </c>
      <c r="L853" s="3" t="s">
        <v>4647</v>
      </c>
    </row>
    <row r="854" spans="1:12" ht="33.75" customHeight="1" x14ac:dyDescent="0.25">
      <c r="A854" s="13" t="s">
        <v>2070</v>
      </c>
      <c r="B854" s="2" t="s">
        <v>324</v>
      </c>
      <c r="C854" s="2" t="s">
        <v>2071</v>
      </c>
      <c r="D854" s="2" t="s">
        <v>4663</v>
      </c>
      <c r="E854" s="2" t="s">
        <v>4704</v>
      </c>
      <c r="F854" s="2" t="s">
        <v>326</v>
      </c>
      <c r="G854" s="2">
        <v>29.719200000000001</v>
      </c>
      <c r="H854" s="2" t="s">
        <v>4644</v>
      </c>
      <c r="I854" s="2" t="s">
        <v>4645</v>
      </c>
      <c r="J854" s="2" t="s">
        <v>4697</v>
      </c>
      <c r="K854" s="2">
        <v>45</v>
      </c>
      <c r="L854" s="2" t="s">
        <v>4647</v>
      </c>
    </row>
    <row r="855" spans="1:12" ht="33.75" customHeight="1" x14ac:dyDescent="0.25">
      <c r="A855" s="14" t="s">
        <v>2072</v>
      </c>
      <c r="B855" s="3" t="s">
        <v>1151</v>
      </c>
      <c r="C855" s="3" t="s">
        <v>2073</v>
      </c>
      <c r="D855" s="3" t="s">
        <v>4663</v>
      </c>
      <c r="E855" s="3" t="s">
        <v>4812</v>
      </c>
      <c r="F855" s="3" t="s">
        <v>1153</v>
      </c>
      <c r="G855" s="3">
        <v>30.6372</v>
      </c>
      <c r="H855" s="3" t="s">
        <v>4644</v>
      </c>
      <c r="I855" s="3" t="s">
        <v>4645</v>
      </c>
      <c r="J855" s="3" t="s">
        <v>4723</v>
      </c>
      <c r="K855" s="3">
        <v>72</v>
      </c>
      <c r="L855" s="3" t="s">
        <v>4647</v>
      </c>
    </row>
    <row r="856" spans="1:12" ht="33.75" customHeight="1" x14ac:dyDescent="0.25">
      <c r="A856" s="13" t="s">
        <v>2074</v>
      </c>
      <c r="B856" s="2" t="s">
        <v>324</v>
      </c>
      <c r="C856" s="2" t="s">
        <v>2075</v>
      </c>
      <c r="D856" s="2" t="s">
        <v>4663</v>
      </c>
      <c r="E856" s="2" t="s">
        <v>4704</v>
      </c>
      <c r="F856" s="2" t="s">
        <v>326</v>
      </c>
      <c r="G856" s="2">
        <v>29.719200000000001</v>
      </c>
      <c r="H856" s="2" t="s">
        <v>4644</v>
      </c>
      <c r="I856" s="2" t="s">
        <v>4645</v>
      </c>
      <c r="J856" s="2" t="s">
        <v>4697</v>
      </c>
      <c r="K856" s="2">
        <v>45</v>
      </c>
      <c r="L856" s="2" t="s">
        <v>4647</v>
      </c>
    </row>
    <row r="857" spans="1:12" ht="33.75" customHeight="1" x14ac:dyDescent="0.25">
      <c r="A857" s="14" t="s">
        <v>2076</v>
      </c>
      <c r="B857" s="3" t="s">
        <v>404</v>
      </c>
      <c r="C857" s="3" t="s">
        <v>2077</v>
      </c>
      <c r="D857" s="3" t="s">
        <v>4663</v>
      </c>
      <c r="E857" s="3" t="s">
        <v>4731</v>
      </c>
      <c r="F857" s="3" t="s">
        <v>406</v>
      </c>
      <c r="G857" s="3">
        <v>29.999199999999998</v>
      </c>
      <c r="H857" s="3" t="s">
        <v>4644</v>
      </c>
      <c r="I857" s="3" t="s">
        <v>4645</v>
      </c>
      <c r="J857" s="3" t="s">
        <v>4695</v>
      </c>
      <c r="K857" s="3">
        <v>63</v>
      </c>
      <c r="L857" s="3" t="s">
        <v>4647</v>
      </c>
    </row>
    <row r="858" spans="1:12" ht="33.75" customHeight="1" x14ac:dyDescent="0.25">
      <c r="A858" s="13" t="s">
        <v>2078</v>
      </c>
      <c r="B858" s="2" t="s">
        <v>386</v>
      </c>
      <c r="C858" s="2" t="s">
        <v>2079</v>
      </c>
      <c r="D858" s="2" t="s">
        <v>4663</v>
      </c>
      <c r="E858" s="2" t="s">
        <v>4727</v>
      </c>
      <c r="F858" s="2" t="s">
        <v>388</v>
      </c>
      <c r="G858" s="2">
        <v>33.783799999999999</v>
      </c>
      <c r="H858" s="2" t="s">
        <v>4644</v>
      </c>
      <c r="I858" s="2" t="s">
        <v>4645</v>
      </c>
      <c r="J858" s="2" t="s">
        <v>4721</v>
      </c>
      <c r="K858" s="2">
        <v>54</v>
      </c>
      <c r="L858" s="2" t="s">
        <v>4647</v>
      </c>
    </row>
    <row r="859" spans="1:12" ht="33.75" customHeight="1" x14ac:dyDescent="0.25">
      <c r="A859" s="14" t="s">
        <v>2080</v>
      </c>
      <c r="B859" s="3" t="s">
        <v>794</v>
      </c>
      <c r="C859" s="3" t="s">
        <v>2081</v>
      </c>
      <c r="D859" s="3" t="s">
        <v>4663</v>
      </c>
      <c r="E859" s="3" t="s">
        <v>4791</v>
      </c>
      <c r="F859" s="3" t="s">
        <v>796</v>
      </c>
      <c r="G859" s="3">
        <v>34.151200000000003</v>
      </c>
      <c r="H859" s="3" t="s">
        <v>4644</v>
      </c>
      <c r="I859" s="3" t="s">
        <v>4645</v>
      </c>
      <c r="J859" s="3" t="s">
        <v>4770</v>
      </c>
      <c r="K859" s="3">
        <v>63</v>
      </c>
      <c r="L859" s="3" t="s">
        <v>4647</v>
      </c>
    </row>
    <row r="860" spans="1:12" ht="33.75" customHeight="1" x14ac:dyDescent="0.25">
      <c r="A860" s="13" t="s">
        <v>2082</v>
      </c>
      <c r="B860" s="2" t="s">
        <v>324</v>
      </c>
      <c r="C860" s="2" t="s">
        <v>2083</v>
      </c>
      <c r="D860" s="2" t="s">
        <v>4663</v>
      </c>
      <c r="E860" s="2" t="s">
        <v>4704</v>
      </c>
      <c r="F860" s="2" t="s">
        <v>326</v>
      </c>
      <c r="G860" s="2">
        <v>29.719200000000001</v>
      </c>
      <c r="H860" s="2" t="s">
        <v>4644</v>
      </c>
      <c r="I860" s="2" t="s">
        <v>4645</v>
      </c>
      <c r="J860" s="2" t="s">
        <v>4697</v>
      </c>
      <c r="K860" s="2">
        <v>45</v>
      </c>
      <c r="L860" s="2" t="s">
        <v>4647</v>
      </c>
    </row>
    <row r="861" spans="1:12" ht="33.75" customHeight="1" x14ac:dyDescent="0.25">
      <c r="A861" s="14" t="s">
        <v>2084</v>
      </c>
      <c r="B861" s="3" t="s">
        <v>418</v>
      </c>
      <c r="C861" s="3" t="s">
        <v>2085</v>
      </c>
      <c r="D861" s="3" t="s">
        <v>4663</v>
      </c>
      <c r="E861" s="3" t="s">
        <v>4734</v>
      </c>
      <c r="F861" s="3" t="s">
        <v>420</v>
      </c>
      <c r="G861" s="3">
        <v>30.655200000000001</v>
      </c>
      <c r="H861" s="3" t="s">
        <v>4644</v>
      </c>
      <c r="I861" s="3" t="s">
        <v>4645</v>
      </c>
      <c r="J861" s="3" t="s">
        <v>4735</v>
      </c>
      <c r="K861" s="3">
        <v>72</v>
      </c>
      <c r="L861" s="3" t="s">
        <v>4647</v>
      </c>
    </row>
    <row r="862" spans="1:12" ht="33.75" customHeight="1" x14ac:dyDescent="0.25">
      <c r="A862" s="13" t="s">
        <v>2086</v>
      </c>
      <c r="B862" s="2" t="s">
        <v>404</v>
      </c>
      <c r="C862" s="2" t="s">
        <v>2087</v>
      </c>
      <c r="D862" s="2" t="s">
        <v>4663</v>
      </c>
      <c r="E862" s="2" t="s">
        <v>4731</v>
      </c>
      <c r="F862" s="2" t="s">
        <v>406</v>
      </c>
      <c r="G862" s="2">
        <v>29.999199999999998</v>
      </c>
      <c r="H862" s="2" t="s">
        <v>4644</v>
      </c>
      <c r="I862" s="2" t="s">
        <v>4645</v>
      </c>
      <c r="J862" s="2" t="s">
        <v>4695</v>
      </c>
      <c r="K862" s="2">
        <v>63</v>
      </c>
      <c r="L862" s="2" t="s">
        <v>4647</v>
      </c>
    </row>
    <row r="863" spans="1:12" ht="33.75" customHeight="1" x14ac:dyDescent="0.25">
      <c r="A863" s="14" t="s">
        <v>2088</v>
      </c>
      <c r="B863" s="3" t="s">
        <v>386</v>
      </c>
      <c r="C863" s="3" t="s">
        <v>2089</v>
      </c>
      <c r="D863" s="3" t="s">
        <v>4663</v>
      </c>
      <c r="E863" s="3" t="s">
        <v>4727</v>
      </c>
      <c r="F863" s="3" t="s">
        <v>388</v>
      </c>
      <c r="G863" s="3">
        <v>33.783799999999999</v>
      </c>
      <c r="H863" s="3" t="s">
        <v>4644</v>
      </c>
      <c r="I863" s="3" t="s">
        <v>4645</v>
      </c>
      <c r="J863" s="3" t="s">
        <v>4721</v>
      </c>
      <c r="K863" s="3">
        <v>54</v>
      </c>
      <c r="L863" s="3" t="s">
        <v>4647</v>
      </c>
    </row>
    <row r="864" spans="1:12" ht="33.75" customHeight="1" x14ac:dyDescent="0.25">
      <c r="A864" s="13" t="s">
        <v>2090</v>
      </c>
      <c r="B864" s="2" t="s">
        <v>404</v>
      </c>
      <c r="C864" s="2" t="s">
        <v>2091</v>
      </c>
      <c r="D864" s="2" t="s">
        <v>4663</v>
      </c>
      <c r="E864" s="2" t="s">
        <v>4731</v>
      </c>
      <c r="F864" s="2" t="s">
        <v>406</v>
      </c>
      <c r="G864" s="2">
        <v>29.999199999999998</v>
      </c>
      <c r="H864" s="2" t="s">
        <v>4644</v>
      </c>
      <c r="I864" s="2" t="s">
        <v>4645</v>
      </c>
      <c r="J864" s="2" t="s">
        <v>4695</v>
      </c>
      <c r="K864" s="2">
        <v>63</v>
      </c>
      <c r="L864" s="2" t="s">
        <v>4647</v>
      </c>
    </row>
    <row r="865" spans="1:12" ht="33.75" customHeight="1" x14ac:dyDescent="0.25">
      <c r="A865" s="14" t="s">
        <v>2092</v>
      </c>
      <c r="B865" s="3" t="s">
        <v>400</v>
      </c>
      <c r="C865" s="3" t="s">
        <v>2093</v>
      </c>
      <c r="D865" s="3" t="s">
        <v>4663</v>
      </c>
      <c r="E865" s="3" t="s">
        <v>4730</v>
      </c>
      <c r="F865" s="3" t="s">
        <v>402</v>
      </c>
      <c r="G865" s="3">
        <v>34.332239999999999</v>
      </c>
      <c r="H865" s="3" t="s">
        <v>4644</v>
      </c>
      <c r="I865" s="3" t="s">
        <v>4645</v>
      </c>
      <c r="J865" s="3" t="s">
        <v>4719</v>
      </c>
      <c r="K865" s="3">
        <v>72</v>
      </c>
      <c r="L865" s="3" t="s">
        <v>4647</v>
      </c>
    </row>
    <row r="866" spans="1:12" ht="33.75" customHeight="1" x14ac:dyDescent="0.25">
      <c r="A866" s="13" t="s">
        <v>2094</v>
      </c>
      <c r="B866" s="2" t="s">
        <v>418</v>
      </c>
      <c r="C866" s="2" t="s">
        <v>2095</v>
      </c>
      <c r="D866" s="2" t="s">
        <v>4663</v>
      </c>
      <c r="E866" s="2" t="s">
        <v>4734</v>
      </c>
      <c r="F866" s="2" t="s">
        <v>420</v>
      </c>
      <c r="G866" s="2">
        <v>30.655200000000001</v>
      </c>
      <c r="H866" s="2" t="s">
        <v>4644</v>
      </c>
      <c r="I866" s="2" t="s">
        <v>4645</v>
      </c>
      <c r="J866" s="2" t="s">
        <v>4735</v>
      </c>
      <c r="K866" s="2">
        <v>72</v>
      </c>
      <c r="L866" s="2" t="s">
        <v>4647</v>
      </c>
    </row>
    <row r="867" spans="1:12" ht="33.75" customHeight="1" x14ac:dyDescent="0.25">
      <c r="A867" s="14" t="s">
        <v>2096</v>
      </c>
      <c r="B867" s="3" t="s">
        <v>386</v>
      </c>
      <c r="C867" s="3" t="s">
        <v>2097</v>
      </c>
      <c r="D867" s="3" t="s">
        <v>4663</v>
      </c>
      <c r="E867" s="3" t="s">
        <v>4727</v>
      </c>
      <c r="F867" s="3" t="s">
        <v>388</v>
      </c>
      <c r="G867" s="3">
        <v>33.783799999999999</v>
      </c>
      <c r="H867" s="3" t="s">
        <v>4644</v>
      </c>
      <c r="I867" s="3" t="s">
        <v>4645</v>
      </c>
      <c r="J867" s="3" t="s">
        <v>4721</v>
      </c>
      <c r="K867" s="3">
        <v>54</v>
      </c>
      <c r="L867" s="3" t="s">
        <v>4647</v>
      </c>
    </row>
    <row r="868" spans="1:12" ht="33.75" customHeight="1" x14ac:dyDescent="0.25">
      <c r="A868" s="13" t="s">
        <v>2098</v>
      </c>
      <c r="B868" s="2" t="s">
        <v>386</v>
      </c>
      <c r="C868" s="2" t="s">
        <v>2099</v>
      </c>
      <c r="D868" s="2" t="s">
        <v>4663</v>
      </c>
      <c r="E868" s="2" t="s">
        <v>4727</v>
      </c>
      <c r="F868" s="2" t="s">
        <v>388</v>
      </c>
      <c r="G868" s="2">
        <v>33.783799999999999</v>
      </c>
      <c r="H868" s="2" t="s">
        <v>4644</v>
      </c>
      <c r="I868" s="2" t="s">
        <v>4645</v>
      </c>
      <c r="J868" s="2" t="s">
        <v>4721</v>
      </c>
      <c r="K868" s="2">
        <v>54</v>
      </c>
      <c r="L868" s="2" t="s">
        <v>4647</v>
      </c>
    </row>
    <row r="869" spans="1:12" ht="33.75" customHeight="1" x14ac:dyDescent="0.25">
      <c r="A869" s="14" t="s">
        <v>2100</v>
      </c>
      <c r="B869" s="3" t="s">
        <v>418</v>
      </c>
      <c r="C869" s="3" t="s">
        <v>2101</v>
      </c>
      <c r="D869" s="3" t="s">
        <v>4663</v>
      </c>
      <c r="E869" s="3" t="s">
        <v>4734</v>
      </c>
      <c r="F869" s="3" t="s">
        <v>420</v>
      </c>
      <c r="G869" s="3">
        <v>30.655200000000001</v>
      </c>
      <c r="H869" s="3" t="s">
        <v>4644</v>
      </c>
      <c r="I869" s="3" t="s">
        <v>4645</v>
      </c>
      <c r="J869" s="3" t="s">
        <v>4735</v>
      </c>
      <c r="K869" s="3">
        <v>72</v>
      </c>
      <c r="L869" s="3" t="s">
        <v>4647</v>
      </c>
    </row>
    <row r="870" spans="1:12" ht="33.75" customHeight="1" x14ac:dyDescent="0.25">
      <c r="A870" s="13" t="s">
        <v>2102</v>
      </c>
      <c r="B870" s="2" t="s">
        <v>418</v>
      </c>
      <c r="C870" s="2" t="s">
        <v>2103</v>
      </c>
      <c r="D870" s="2" t="s">
        <v>4663</v>
      </c>
      <c r="E870" s="2" t="s">
        <v>4734</v>
      </c>
      <c r="F870" s="2" t="s">
        <v>420</v>
      </c>
      <c r="G870" s="2">
        <v>30.655200000000001</v>
      </c>
      <c r="H870" s="2" t="s">
        <v>4644</v>
      </c>
      <c r="I870" s="2" t="s">
        <v>4645</v>
      </c>
      <c r="J870" s="2" t="s">
        <v>4735</v>
      </c>
      <c r="K870" s="2">
        <v>72</v>
      </c>
      <c r="L870" s="2" t="s">
        <v>4647</v>
      </c>
    </row>
    <row r="871" spans="1:12" ht="33.75" customHeight="1" x14ac:dyDescent="0.25">
      <c r="A871" s="14" t="s">
        <v>2104</v>
      </c>
      <c r="B871" s="3" t="s">
        <v>404</v>
      </c>
      <c r="C871" s="3" t="s">
        <v>2105</v>
      </c>
      <c r="D871" s="3" t="s">
        <v>4663</v>
      </c>
      <c r="E871" s="3" t="s">
        <v>4731</v>
      </c>
      <c r="F871" s="3" t="s">
        <v>406</v>
      </c>
      <c r="G871" s="3">
        <v>29.999199999999998</v>
      </c>
      <c r="H871" s="3" t="s">
        <v>4644</v>
      </c>
      <c r="I871" s="3" t="s">
        <v>4645</v>
      </c>
      <c r="J871" s="3" t="s">
        <v>4695</v>
      </c>
      <c r="K871" s="3">
        <v>63</v>
      </c>
      <c r="L871" s="3" t="s">
        <v>4647</v>
      </c>
    </row>
    <row r="872" spans="1:12" ht="33.75" customHeight="1" x14ac:dyDescent="0.25">
      <c r="A872" s="13" t="s">
        <v>2106</v>
      </c>
      <c r="B872" s="2" t="s">
        <v>386</v>
      </c>
      <c r="C872" s="2" t="s">
        <v>2107</v>
      </c>
      <c r="D872" s="2" t="s">
        <v>4663</v>
      </c>
      <c r="E872" s="2" t="s">
        <v>4727</v>
      </c>
      <c r="F872" s="2" t="s">
        <v>388</v>
      </c>
      <c r="G872" s="2">
        <v>33.783799999999999</v>
      </c>
      <c r="H872" s="2" t="s">
        <v>4644</v>
      </c>
      <c r="I872" s="2" t="s">
        <v>4645</v>
      </c>
      <c r="J872" s="2" t="s">
        <v>4721</v>
      </c>
      <c r="K872" s="2">
        <v>54</v>
      </c>
      <c r="L872" s="2" t="s">
        <v>4647</v>
      </c>
    </row>
    <row r="873" spans="1:12" ht="33.75" customHeight="1" x14ac:dyDescent="0.25">
      <c r="A873" s="14" t="s">
        <v>2108</v>
      </c>
      <c r="B873" s="3" t="s">
        <v>382</v>
      </c>
      <c r="C873" s="3" t="s">
        <v>2109</v>
      </c>
      <c r="D873" s="3" t="s">
        <v>4663</v>
      </c>
      <c r="E873" s="3" t="s">
        <v>4725</v>
      </c>
      <c r="F873" s="3" t="s">
        <v>384</v>
      </c>
      <c r="G873" s="3">
        <v>35.3172</v>
      </c>
      <c r="H873" s="3" t="s">
        <v>4644</v>
      </c>
      <c r="I873" s="3" t="s">
        <v>4645</v>
      </c>
      <c r="J873" s="3" t="s">
        <v>4726</v>
      </c>
      <c r="K873" s="3">
        <v>96</v>
      </c>
      <c r="L873" s="3" t="s">
        <v>4647</v>
      </c>
    </row>
    <row r="874" spans="1:12" ht="33.75" customHeight="1" x14ac:dyDescent="0.25">
      <c r="A874" s="13" t="s">
        <v>2110</v>
      </c>
      <c r="B874" s="2" t="s">
        <v>400</v>
      </c>
      <c r="C874" s="2" t="s">
        <v>2111</v>
      </c>
      <c r="D874" s="2" t="s">
        <v>4663</v>
      </c>
      <c r="E874" s="2" t="s">
        <v>4730</v>
      </c>
      <c r="F874" s="2" t="s">
        <v>402</v>
      </c>
      <c r="G874" s="2">
        <v>34.332239999999999</v>
      </c>
      <c r="H874" s="2" t="s">
        <v>4644</v>
      </c>
      <c r="I874" s="2" t="s">
        <v>4645</v>
      </c>
      <c r="J874" s="2" t="s">
        <v>4719</v>
      </c>
      <c r="K874" s="2">
        <v>72</v>
      </c>
      <c r="L874" s="2" t="s">
        <v>4647</v>
      </c>
    </row>
    <row r="875" spans="1:12" ht="33.75" customHeight="1" x14ac:dyDescent="0.25">
      <c r="A875" s="14" t="s">
        <v>2112</v>
      </c>
      <c r="B875" s="3" t="s">
        <v>400</v>
      </c>
      <c r="C875" s="3" t="s">
        <v>2113</v>
      </c>
      <c r="D875" s="3" t="s">
        <v>4663</v>
      </c>
      <c r="E875" s="3" t="s">
        <v>4730</v>
      </c>
      <c r="F875" s="3" t="s">
        <v>402</v>
      </c>
      <c r="G875" s="3">
        <v>34.332239999999999</v>
      </c>
      <c r="H875" s="3" t="s">
        <v>4644</v>
      </c>
      <c r="I875" s="3" t="s">
        <v>4645</v>
      </c>
      <c r="J875" s="3" t="s">
        <v>4719</v>
      </c>
      <c r="K875" s="3">
        <v>72</v>
      </c>
      <c r="L875" s="3" t="s">
        <v>4647</v>
      </c>
    </row>
    <row r="876" spans="1:12" ht="33.75" customHeight="1" x14ac:dyDescent="0.25">
      <c r="A876" s="13" t="s">
        <v>2114</v>
      </c>
      <c r="B876" s="2" t="s">
        <v>404</v>
      </c>
      <c r="C876" s="2" t="s">
        <v>2115</v>
      </c>
      <c r="D876" s="2" t="s">
        <v>4663</v>
      </c>
      <c r="E876" s="2" t="s">
        <v>4731</v>
      </c>
      <c r="F876" s="2" t="s">
        <v>406</v>
      </c>
      <c r="G876" s="2">
        <v>29.999199999999998</v>
      </c>
      <c r="H876" s="2" t="s">
        <v>4644</v>
      </c>
      <c r="I876" s="2" t="s">
        <v>4645</v>
      </c>
      <c r="J876" s="2" t="s">
        <v>4695</v>
      </c>
      <c r="K876" s="2">
        <v>63</v>
      </c>
      <c r="L876" s="2" t="s">
        <v>4647</v>
      </c>
    </row>
    <row r="877" spans="1:12" ht="33.75" customHeight="1" x14ac:dyDescent="0.25">
      <c r="A877" s="14" t="s">
        <v>2116</v>
      </c>
      <c r="B877" s="3" t="s">
        <v>794</v>
      </c>
      <c r="C877" s="3" t="s">
        <v>2117</v>
      </c>
      <c r="D877" s="3" t="s">
        <v>4663</v>
      </c>
      <c r="E877" s="3" t="s">
        <v>4791</v>
      </c>
      <c r="F877" s="3" t="s">
        <v>796</v>
      </c>
      <c r="G877" s="3">
        <v>34.151200000000003</v>
      </c>
      <c r="H877" s="3" t="s">
        <v>4644</v>
      </c>
      <c r="I877" s="3" t="s">
        <v>4645</v>
      </c>
      <c r="J877" s="3" t="s">
        <v>4770</v>
      </c>
      <c r="K877" s="3">
        <v>63</v>
      </c>
      <c r="L877" s="3" t="s">
        <v>4647</v>
      </c>
    </row>
    <row r="878" spans="1:12" ht="33.75" customHeight="1" x14ac:dyDescent="0.25">
      <c r="A878" s="13" t="s">
        <v>2118</v>
      </c>
      <c r="B878" s="2" t="s">
        <v>794</v>
      </c>
      <c r="C878" s="2" t="s">
        <v>2119</v>
      </c>
      <c r="D878" s="2" t="s">
        <v>4663</v>
      </c>
      <c r="E878" s="2" t="s">
        <v>4791</v>
      </c>
      <c r="F878" s="2" t="s">
        <v>796</v>
      </c>
      <c r="G878" s="2">
        <v>34.151200000000003</v>
      </c>
      <c r="H878" s="2" t="s">
        <v>4644</v>
      </c>
      <c r="I878" s="2" t="s">
        <v>4645</v>
      </c>
      <c r="J878" s="2" t="s">
        <v>4770</v>
      </c>
      <c r="K878" s="2">
        <v>63</v>
      </c>
      <c r="L878" s="2" t="s">
        <v>4647</v>
      </c>
    </row>
    <row r="879" spans="1:12" ht="33.75" customHeight="1" x14ac:dyDescent="0.25">
      <c r="A879" s="14" t="s">
        <v>2120</v>
      </c>
      <c r="B879" s="3" t="s">
        <v>382</v>
      </c>
      <c r="C879" s="3" t="s">
        <v>2121</v>
      </c>
      <c r="D879" s="3" t="s">
        <v>4663</v>
      </c>
      <c r="E879" s="3" t="s">
        <v>4725</v>
      </c>
      <c r="F879" s="3" t="s">
        <v>384</v>
      </c>
      <c r="G879" s="3">
        <v>35.3172</v>
      </c>
      <c r="H879" s="3" t="s">
        <v>4644</v>
      </c>
      <c r="I879" s="3" t="s">
        <v>4645</v>
      </c>
      <c r="J879" s="3" t="s">
        <v>4726</v>
      </c>
      <c r="K879" s="3">
        <v>96</v>
      </c>
      <c r="L879" s="3" t="s">
        <v>4647</v>
      </c>
    </row>
    <row r="880" spans="1:12" ht="33.75" customHeight="1" x14ac:dyDescent="0.25">
      <c r="A880" s="13" t="s">
        <v>2122</v>
      </c>
      <c r="B880" s="2" t="s">
        <v>1479</v>
      </c>
      <c r="C880" s="2" t="s">
        <v>2123</v>
      </c>
      <c r="D880" s="2" t="s">
        <v>4737</v>
      </c>
      <c r="E880" s="2" t="s">
        <v>4830</v>
      </c>
      <c r="F880" s="2" t="s">
        <v>1481</v>
      </c>
      <c r="G880" s="2">
        <v>28.617000000000001</v>
      </c>
      <c r="H880" s="2" t="s">
        <v>4644</v>
      </c>
      <c r="I880" s="2" t="s">
        <v>4645</v>
      </c>
      <c r="J880" s="2" t="s">
        <v>4695</v>
      </c>
      <c r="K880" s="2">
        <v>63</v>
      </c>
      <c r="L880" s="2" t="s">
        <v>4647</v>
      </c>
    </row>
    <row r="881" spans="1:12" ht="33.75" customHeight="1" x14ac:dyDescent="0.25">
      <c r="A881" s="14" t="s">
        <v>2124</v>
      </c>
      <c r="B881" s="3" t="s">
        <v>826</v>
      </c>
      <c r="C881" s="3" t="s">
        <v>2125</v>
      </c>
      <c r="D881" s="3" t="s">
        <v>4706</v>
      </c>
      <c r="E881" s="3" t="s">
        <v>4796</v>
      </c>
      <c r="F881" s="3" t="s">
        <v>828</v>
      </c>
      <c r="G881" s="3">
        <v>28.366</v>
      </c>
      <c r="H881" s="3" t="s">
        <v>4644</v>
      </c>
      <c r="I881" s="3" t="s">
        <v>4645</v>
      </c>
      <c r="J881" s="3" t="s">
        <v>4733</v>
      </c>
      <c r="K881" s="3">
        <v>72</v>
      </c>
      <c r="L881" s="3" t="s">
        <v>4647</v>
      </c>
    </row>
    <row r="882" spans="1:12" ht="33.75" customHeight="1" x14ac:dyDescent="0.25">
      <c r="A882" s="13" t="s">
        <v>2126</v>
      </c>
      <c r="B882" s="2" t="s">
        <v>826</v>
      </c>
      <c r="C882" s="2" t="s">
        <v>2127</v>
      </c>
      <c r="D882" s="2" t="s">
        <v>4706</v>
      </c>
      <c r="E882" s="2" t="s">
        <v>4796</v>
      </c>
      <c r="F882" s="2" t="s">
        <v>828</v>
      </c>
      <c r="G882" s="2">
        <v>28.366</v>
      </c>
      <c r="H882" s="2" t="s">
        <v>4644</v>
      </c>
      <c r="I882" s="2" t="s">
        <v>4645</v>
      </c>
      <c r="J882" s="2" t="s">
        <v>4733</v>
      </c>
      <c r="K882" s="2">
        <v>72</v>
      </c>
      <c r="L882" s="2" t="s">
        <v>4647</v>
      </c>
    </row>
    <row r="883" spans="1:12" ht="33.75" customHeight="1" x14ac:dyDescent="0.25">
      <c r="A883" s="14" t="s">
        <v>2128</v>
      </c>
      <c r="B883" s="3" t="s">
        <v>826</v>
      </c>
      <c r="C883" s="3" t="s">
        <v>2129</v>
      </c>
      <c r="D883" s="3" t="s">
        <v>4706</v>
      </c>
      <c r="E883" s="3" t="s">
        <v>4796</v>
      </c>
      <c r="F883" s="3" t="s">
        <v>828</v>
      </c>
      <c r="G883" s="3">
        <v>28.366</v>
      </c>
      <c r="H883" s="3" t="s">
        <v>4644</v>
      </c>
      <c r="I883" s="3" t="s">
        <v>4645</v>
      </c>
      <c r="J883" s="3" t="s">
        <v>4710</v>
      </c>
      <c r="K883" s="3">
        <v>72</v>
      </c>
      <c r="L883" s="3" t="s">
        <v>4647</v>
      </c>
    </row>
    <row r="884" spans="1:12" ht="33.75" customHeight="1" x14ac:dyDescent="0.25">
      <c r="A884" s="13" t="s">
        <v>2130</v>
      </c>
      <c r="B884" s="2" t="s">
        <v>1294</v>
      </c>
      <c r="C884" s="2" t="s">
        <v>2131</v>
      </c>
      <c r="D884" s="2" t="s">
        <v>4706</v>
      </c>
      <c r="E884" s="2" t="s">
        <v>4819</v>
      </c>
      <c r="F884" s="2" t="s">
        <v>1296</v>
      </c>
      <c r="G884" s="2">
        <v>27.925999999999998</v>
      </c>
      <c r="H884" s="2" t="s">
        <v>4644</v>
      </c>
      <c r="I884" s="2" t="s">
        <v>4645</v>
      </c>
      <c r="J884" s="2" t="s">
        <v>4682</v>
      </c>
      <c r="K884" s="2">
        <v>57</v>
      </c>
      <c r="L884" s="2" t="s">
        <v>4647</v>
      </c>
    </row>
    <row r="885" spans="1:12" ht="33.75" customHeight="1" x14ac:dyDescent="0.25">
      <c r="A885" s="14" t="s">
        <v>2132</v>
      </c>
      <c r="B885" s="3" t="s">
        <v>830</v>
      </c>
      <c r="C885" s="3" t="s">
        <v>2133</v>
      </c>
      <c r="D885" s="3" t="s">
        <v>4706</v>
      </c>
      <c r="E885" s="3" t="s">
        <v>4797</v>
      </c>
      <c r="F885" s="3" t="s">
        <v>832</v>
      </c>
      <c r="G885" s="3">
        <v>27.925999999999998</v>
      </c>
      <c r="H885" s="3" t="s">
        <v>4644</v>
      </c>
      <c r="I885" s="3" t="s">
        <v>4645</v>
      </c>
      <c r="J885" s="3" t="s">
        <v>4723</v>
      </c>
      <c r="K885" s="3">
        <v>42</v>
      </c>
      <c r="L885" s="3" t="s">
        <v>4647</v>
      </c>
    </row>
    <row r="886" spans="1:12" ht="33.75" customHeight="1" x14ac:dyDescent="0.25">
      <c r="A886" s="13" t="s">
        <v>2134</v>
      </c>
      <c r="B886" s="2" t="s">
        <v>830</v>
      </c>
      <c r="C886" s="2" t="s">
        <v>2135</v>
      </c>
      <c r="D886" s="2" t="s">
        <v>4706</v>
      </c>
      <c r="E886" s="2" t="s">
        <v>4797</v>
      </c>
      <c r="F886" s="2" t="s">
        <v>832</v>
      </c>
      <c r="G886" s="2">
        <v>27.925999999999998</v>
      </c>
      <c r="H886" s="2" t="s">
        <v>4644</v>
      </c>
      <c r="I886" s="2" t="s">
        <v>4645</v>
      </c>
      <c r="J886" s="2" t="s">
        <v>4693</v>
      </c>
      <c r="K886" s="2">
        <v>42</v>
      </c>
      <c r="L886" s="2" t="s">
        <v>4647</v>
      </c>
    </row>
    <row r="887" spans="1:12" ht="33.75" customHeight="1" x14ac:dyDescent="0.25">
      <c r="A887" s="14" t="s">
        <v>2136</v>
      </c>
      <c r="B887" s="3" t="s">
        <v>2137</v>
      </c>
      <c r="C887" s="3" t="s">
        <v>2138</v>
      </c>
      <c r="D887" s="3" t="s">
        <v>4706</v>
      </c>
      <c r="E887" s="3" t="s">
        <v>4885</v>
      </c>
      <c r="F887" s="3" t="s">
        <v>2139</v>
      </c>
      <c r="G887" s="3">
        <v>27.925999999999998</v>
      </c>
      <c r="H887" s="3" t="s">
        <v>4644</v>
      </c>
      <c r="I887" s="3" t="s">
        <v>4645</v>
      </c>
      <c r="J887" s="3" t="s">
        <v>4686</v>
      </c>
      <c r="K887" s="3">
        <v>36</v>
      </c>
      <c r="L887" s="3" t="s">
        <v>4647</v>
      </c>
    </row>
    <row r="888" spans="1:12" ht="33.75" customHeight="1" x14ac:dyDescent="0.25">
      <c r="A888" s="13" t="s">
        <v>2140</v>
      </c>
      <c r="B888" s="2" t="s">
        <v>2141</v>
      </c>
      <c r="C888" s="2" t="s">
        <v>2142</v>
      </c>
      <c r="D888" s="2" t="s">
        <v>4706</v>
      </c>
      <c r="E888" s="2" t="s">
        <v>4886</v>
      </c>
      <c r="F888" s="2" t="s">
        <v>2143</v>
      </c>
      <c r="G888" s="2">
        <v>30.326000000000001</v>
      </c>
      <c r="H888" s="2" t="s">
        <v>4644</v>
      </c>
      <c r="I888" s="2" t="s">
        <v>4645</v>
      </c>
      <c r="J888" s="2" t="s">
        <v>4719</v>
      </c>
      <c r="K888" s="2">
        <v>63</v>
      </c>
      <c r="L888" s="2" t="s">
        <v>4647</v>
      </c>
    </row>
    <row r="889" spans="1:12" ht="33.75" customHeight="1" x14ac:dyDescent="0.25">
      <c r="A889" s="14" t="s">
        <v>2144</v>
      </c>
      <c r="B889" s="3" t="s">
        <v>2141</v>
      </c>
      <c r="C889" s="3" t="s">
        <v>2145</v>
      </c>
      <c r="D889" s="3" t="s">
        <v>4706</v>
      </c>
      <c r="E889" s="3" t="s">
        <v>4886</v>
      </c>
      <c r="F889" s="3" t="s">
        <v>2143</v>
      </c>
      <c r="G889" s="3">
        <v>30.326000000000001</v>
      </c>
      <c r="H889" s="3" t="s">
        <v>4644</v>
      </c>
      <c r="I889" s="3" t="s">
        <v>4645</v>
      </c>
      <c r="J889" s="3" t="s">
        <v>4719</v>
      </c>
      <c r="K889" s="3">
        <v>63</v>
      </c>
      <c r="L889" s="3" t="s">
        <v>4647</v>
      </c>
    </row>
    <row r="890" spans="1:12" ht="33.75" customHeight="1" x14ac:dyDescent="0.25">
      <c r="A890" s="13" t="s">
        <v>2146</v>
      </c>
      <c r="B890" s="2" t="s">
        <v>2147</v>
      </c>
      <c r="C890" s="2" t="s">
        <v>2148</v>
      </c>
      <c r="D890" s="2" t="s">
        <v>4706</v>
      </c>
      <c r="E890" s="2" t="s">
        <v>4887</v>
      </c>
      <c r="F890" s="2" t="s">
        <v>2149</v>
      </c>
      <c r="G890" s="2">
        <v>30.326000000000001</v>
      </c>
      <c r="H890" s="2" t="s">
        <v>4644</v>
      </c>
      <c r="I890" s="2" t="s">
        <v>4645</v>
      </c>
      <c r="J890" s="2" t="s">
        <v>4770</v>
      </c>
      <c r="K890" s="2">
        <v>57</v>
      </c>
      <c r="L890" s="2" t="s">
        <v>4647</v>
      </c>
    </row>
    <row r="891" spans="1:12" ht="33.75" customHeight="1" x14ac:dyDescent="0.25">
      <c r="A891" s="14" t="s">
        <v>2150</v>
      </c>
      <c r="B891" s="3" t="s">
        <v>2147</v>
      </c>
      <c r="C891" s="3" t="s">
        <v>2151</v>
      </c>
      <c r="D891" s="3" t="s">
        <v>4706</v>
      </c>
      <c r="E891" s="3" t="s">
        <v>4887</v>
      </c>
      <c r="F891" s="3" t="s">
        <v>2149</v>
      </c>
      <c r="G891" s="3">
        <v>30.326000000000001</v>
      </c>
      <c r="H891" s="3" t="s">
        <v>4644</v>
      </c>
      <c r="I891" s="3" t="s">
        <v>4645</v>
      </c>
      <c r="J891" s="3" t="s">
        <v>4770</v>
      </c>
      <c r="K891" s="3">
        <v>57</v>
      </c>
      <c r="L891" s="3" t="s">
        <v>4647</v>
      </c>
    </row>
    <row r="892" spans="1:12" ht="33.75" customHeight="1" x14ac:dyDescent="0.25">
      <c r="A892" s="13" t="s">
        <v>2152</v>
      </c>
      <c r="B892" s="2" t="s">
        <v>2153</v>
      </c>
      <c r="C892" s="2" t="s">
        <v>2154</v>
      </c>
      <c r="D892" s="2" t="s">
        <v>4706</v>
      </c>
      <c r="E892" s="2" t="s">
        <v>4888</v>
      </c>
      <c r="F892" s="2" t="s">
        <v>2155</v>
      </c>
      <c r="G892" s="2">
        <v>30.326000000000001</v>
      </c>
      <c r="H892" s="2" t="s">
        <v>4644</v>
      </c>
      <c r="I892" s="2" t="s">
        <v>4645</v>
      </c>
      <c r="J892" s="2" t="s">
        <v>4721</v>
      </c>
      <c r="K892" s="2">
        <v>48</v>
      </c>
      <c r="L892" s="2" t="s">
        <v>4647</v>
      </c>
    </row>
    <row r="893" spans="1:12" ht="33.75" customHeight="1" x14ac:dyDescent="0.25">
      <c r="A893" s="14" t="s">
        <v>2156</v>
      </c>
      <c r="B893" s="3" t="s">
        <v>2153</v>
      </c>
      <c r="C893" s="3" t="s">
        <v>2157</v>
      </c>
      <c r="D893" s="3" t="s">
        <v>4706</v>
      </c>
      <c r="E893" s="3" t="s">
        <v>4888</v>
      </c>
      <c r="F893" s="3" t="s">
        <v>2155</v>
      </c>
      <c r="G893" s="3">
        <v>30.326000000000001</v>
      </c>
      <c r="H893" s="3" t="s">
        <v>4644</v>
      </c>
      <c r="I893" s="3" t="s">
        <v>4645</v>
      </c>
      <c r="J893" s="3" t="s">
        <v>4721</v>
      </c>
      <c r="K893" s="3">
        <v>48</v>
      </c>
      <c r="L893" s="3" t="s">
        <v>4647</v>
      </c>
    </row>
    <row r="894" spans="1:12" ht="33.75" customHeight="1" x14ac:dyDescent="0.25">
      <c r="A894" s="13" t="s">
        <v>2158</v>
      </c>
      <c r="B894" s="2" t="s">
        <v>650</v>
      </c>
      <c r="C894" s="2" t="s">
        <v>2159</v>
      </c>
      <c r="D894" s="2" t="s">
        <v>4889</v>
      </c>
      <c r="E894" s="2" t="s">
        <v>4775</v>
      </c>
      <c r="F894" s="2" t="s">
        <v>652</v>
      </c>
      <c r="G894" s="2">
        <v>33.497</v>
      </c>
      <c r="H894" s="2" t="s">
        <v>4644</v>
      </c>
      <c r="I894" s="2" t="s">
        <v>4645</v>
      </c>
      <c r="J894" s="2" t="s">
        <v>4721</v>
      </c>
      <c r="K894" s="2">
        <v>54</v>
      </c>
      <c r="L894" s="2" t="s">
        <v>4647</v>
      </c>
    </row>
    <row r="895" spans="1:12" ht="33.75" customHeight="1" x14ac:dyDescent="0.25">
      <c r="A895" s="14" t="s">
        <v>2160</v>
      </c>
      <c r="B895" s="3" t="s">
        <v>687</v>
      </c>
      <c r="C895" s="3" t="s">
        <v>2161</v>
      </c>
      <c r="D895" s="3" t="s">
        <v>4889</v>
      </c>
      <c r="E895" s="3" t="s">
        <v>4782</v>
      </c>
      <c r="F895" s="3" t="s">
        <v>689</v>
      </c>
      <c r="G895" s="3">
        <v>34.045439999999999</v>
      </c>
      <c r="H895" s="3" t="s">
        <v>4644</v>
      </c>
      <c r="I895" s="3" t="s">
        <v>4645</v>
      </c>
      <c r="J895" s="3" t="s">
        <v>4719</v>
      </c>
      <c r="K895" s="3">
        <v>72</v>
      </c>
      <c r="L895" s="3" t="s">
        <v>4647</v>
      </c>
    </row>
    <row r="896" spans="1:12" ht="33.75" customHeight="1" x14ac:dyDescent="0.25">
      <c r="A896" s="13" t="s">
        <v>2162</v>
      </c>
      <c r="B896" s="2" t="s">
        <v>1294</v>
      </c>
      <c r="C896" s="2" t="s">
        <v>2163</v>
      </c>
      <c r="D896" s="2" t="s">
        <v>4890</v>
      </c>
      <c r="E896" s="2" t="s">
        <v>4819</v>
      </c>
      <c r="F896" s="2" t="s">
        <v>1296</v>
      </c>
      <c r="G896" s="2">
        <v>27.925999999999998</v>
      </c>
      <c r="H896" s="2" t="s">
        <v>4644</v>
      </c>
      <c r="I896" s="2" t="s">
        <v>4645</v>
      </c>
      <c r="J896" s="2" t="s">
        <v>4735</v>
      </c>
      <c r="K896" s="2">
        <v>57</v>
      </c>
      <c r="L896" s="2" t="s">
        <v>4647</v>
      </c>
    </row>
    <row r="897" spans="1:12" ht="33.75" customHeight="1" x14ac:dyDescent="0.25">
      <c r="A897" s="14" t="s">
        <v>2164</v>
      </c>
      <c r="B897" s="3" t="s">
        <v>878</v>
      </c>
      <c r="C897" s="3" t="s">
        <v>2165</v>
      </c>
      <c r="D897" s="3" t="s">
        <v>4890</v>
      </c>
      <c r="E897" s="3" t="s">
        <v>4802</v>
      </c>
      <c r="F897" s="3" t="s">
        <v>880</v>
      </c>
      <c r="G897" s="3">
        <v>27.925999999999998</v>
      </c>
      <c r="H897" s="3" t="s">
        <v>4644</v>
      </c>
      <c r="I897" s="3" t="s">
        <v>4645</v>
      </c>
      <c r="J897" s="3" t="s">
        <v>4695</v>
      </c>
      <c r="K897" s="3">
        <v>51</v>
      </c>
      <c r="L897" s="3" t="s">
        <v>4647</v>
      </c>
    </row>
    <row r="898" spans="1:12" ht="33.75" customHeight="1" x14ac:dyDescent="0.25">
      <c r="A898" s="13" t="s">
        <v>2166</v>
      </c>
      <c r="B898" s="2" t="s">
        <v>277</v>
      </c>
      <c r="C898" s="2" t="s">
        <v>2167</v>
      </c>
      <c r="D898" s="2" t="s">
        <v>4714</v>
      </c>
      <c r="E898" s="2" t="s">
        <v>4696</v>
      </c>
      <c r="F898" s="2" t="s">
        <v>279</v>
      </c>
      <c r="G898" s="2">
        <v>29.7592</v>
      </c>
      <c r="H898" s="2" t="s">
        <v>4644</v>
      </c>
      <c r="I898" s="2" t="s">
        <v>4645</v>
      </c>
      <c r="J898" s="2" t="s">
        <v>4697</v>
      </c>
      <c r="K898" s="2">
        <v>48</v>
      </c>
      <c r="L898" s="2" t="s">
        <v>4647</v>
      </c>
    </row>
    <row r="899" spans="1:12" ht="33.75" customHeight="1" x14ac:dyDescent="0.25">
      <c r="A899" s="14" t="s">
        <v>2168</v>
      </c>
      <c r="B899" s="3" t="s">
        <v>372</v>
      </c>
      <c r="C899" s="3" t="s">
        <v>2169</v>
      </c>
      <c r="D899" s="3" t="s">
        <v>4714</v>
      </c>
      <c r="E899" s="3" t="s">
        <v>4720</v>
      </c>
      <c r="F899" s="3" t="s">
        <v>374</v>
      </c>
      <c r="G899" s="3">
        <v>32.852400000000003</v>
      </c>
      <c r="H899" s="3" t="s">
        <v>4644</v>
      </c>
      <c r="I899" s="3" t="s">
        <v>4645</v>
      </c>
      <c r="J899" s="3" t="s">
        <v>4721</v>
      </c>
      <c r="K899" s="3">
        <v>48</v>
      </c>
      <c r="L899" s="3" t="s">
        <v>4647</v>
      </c>
    </row>
    <row r="900" spans="1:12" ht="33.75" customHeight="1" x14ac:dyDescent="0.25">
      <c r="A900" s="13" t="s">
        <v>2170</v>
      </c>
      <c r="B900" s="2" t="s">
        <v>372</v>
      </c>
      <c r="C900" s="2" t="s">
        <v>2171</v>
      </c>
      <c r="D900" s="2" t="s">
        <v>4714</v>
      </c>
      <c r="E900" s="2" t="s">
        <v>4720</v>
      </c>
      <c r="F900" s="2" t="s">
        <v>374</v>
      </c>
      <c r="G900" s="2">
        <v>32.852400000000003</v>
      </c>
      <c r="H900" s="2" t="s">
        <v>4644</v>
      </c>
      <c r="I900" s="2" t="s">
        <v>4645</v>
      </c>
      <c r="J900" s="2" t="s">
        <v>4721</v>
      </c>
      <c r="K900" s="2">
        <v>48</v>
      </c>
      <c r="L900" s="2" t="s">
        <v>4647</v>
      </c>
    </row>
    <row r="901" spans="1:12" ht="33.75" customHeight="1" x14ac:dyDescent="0.25">
      <c r="A901" s="14" t="s">
        <v>2172</v>
      </c>
      <c r="B901" s="3" t="s">
        <v>386</v>
      </c>
      <c r="C901" s="3" t="s">
        <v>1060</v>
      </c>
      <c r="D901" s="3"/>
      <c r="E901" s="3" t="s">
        <v>4727</v>
      </c>
      <c r="F901" s="3" t="s">
        <v>388</v>
      </c>
      <c r="G901" s="3">
        <v>33.783799999999999</v>
      </c>
      <c r="H901" s="3" t="s">
        <v>4644</v>
      </c>
      <c r="I901" s="3" t="s">
        <v>4645</v>
      </c>
      <c r="J901" s="3" t="s">
        <v>4721</v>
      </c>
      <c r="K901" s="3">
        <v>54</v>
      </c>
      <c r="L901" s="3" t="s">
        <v>4647</v>
      </c>
    </row>
    <row r="902" spans="1:12" ht="33.75" customHeight="1" x14ac:dyDescent="0.25">
      <c r="A902" s="13" t="s">
        <v>2173</v>
      </c>
      <c r="B902" s="2" t="s">
        <v>382</v>
      </c>
      <c r="C902" s="2" t="s">
        <v>2174</v>
      </c>
      <c r="D902" s="2"/>
      <c r="E902" s="2" t="s">
        <v>4725</v>
      </c>
      <c r="F902" s="2" t="s">
        <v>384</v>
      </c>
      <c r="G902" s="2">
        <v>35.3172</v>
      </c>
      <c r="H902" s="2" t="s">
        <v>4644</v>
      </c>
      <c r="I902" s="2" t="s">
        <v>4645</v>
      </c>
      <c r="J902" s="2" t="s">
        <v>4726</v>
      </c>
      <c r="K902" s="2">
        <v>96</v>
      </c>
      <c r="L902" s="2" t="s">
        <v>4647</v>
      </c>
    </row>
    <row r="903" spans="1:12" ht="33.75" customHeight="1" x14ac:dyDescent="0.25">
      <c r="A903" s="14" t="s">
        <v>2175</v>
      </c>
      <c r="B903" s="3" t="s">
        <v>404</v>
      </c>
      <c r="C903" s="3" t="s">
        <v>1272</v>
      </c>
      <c r="D903" s="3"/>
      <c r="E903" s="3" t="s">
        <v>4731</v>
      </c>
      <c r="F903" s="3" t="s">
        <v>406</v>
      </c>
      <c r="G903" s="3">
        <v>29.999199999999998</v>
      </c>
      <c r="H903" s="3" t="s">
        <v>4644</v>
      </c>
      <c r="I903" s="3" t="s">
        <v>4645</v>
      </c>
      <c r="J903" s="3" t="s">
        <v>4695</v>
      </c>
      <c r="K903" s="3">
        <v>63</v>
      </c>
      <c r="L903" s="3" t="s">
        <v>4647</v>
      </c>
    </row>
    <row r="904" spans="1:12" ht="33.75" customHeight="1" x14ac:dyDescent="0.25">
      <c r="A904" s="13" t="s">
        <v>2176</v>
      </c>
      <c r="B904" s="2" t="s">
        <v>826</v>
      </c>
      <c r="C904" s="2" t="s">
        <v>2177</v>
      </c>
      <c r="D904" s="2" t="s">
        <v>4741</v>
      </c>
      <c r="E904" s="2" t="s">
        <v>4796</v>
      </c>
      <c r="F904" s="2" t="s">
        <v>828</v>
      </c>
      <c r="G904" s="2">
        <v>28.366</v>
      </c>
      <c r="H904" s="2" t="s">
        <v>4644</v>
      </c>
      <c r="I904" s="2" t="s">
        <v>4645</v>
      </c>
      <c r="J904" s="2" t="s">
        <v>4733</v>
      </c>
      <c r="K904" s="2">
        <v>72</v>
      </c>
      <c r="L904" s="2" t="s">
        <v>4647</v>
      </c>
    </row>
    <row r="905" spans="1:12" ht="33.75" customHeight="1" x14ac:dyDescent="0.25">
      <c r="A905" s="14" t="s">
        <v>2178</v>
      </c>
      <c r="B905" s="3" t="s">
        <v>830</v>
      </c>
      <c r="C905" s="3" t="s">
        <v>2179</v>
      </c>
      <c r="D905" s="3" t="s">
        <v>4741</v>
      </c>
      <c r="E905" s="3" t="s">
        <v>4797</v>
      </c>
      <c r="F905" s="3" t="s">
        <v>832</v>
      </c>
      <c r="G905" s="3">
        <v>27.925999999999998</v>
      </c>
      <c r="H905" s="3" t="s">
        <v>4644</v>
      </c>
      <c r="I905" s="3" t="s">
        <v>4645</v>
      </c>
      <c r="J905" s="3" t="s">
        <v>4693</v>
      </c>
      <c r="K905" s="3">
        <v>42</v>
      </c>
      <c r="L905" s="3" t="s">
        <v>4647</v>
      </c>
    </row>
    <row r="906" spans="1:12" ht="33.75" customHeight="1" x14ac:dyDescent="0.25">
      <c r="A906" s="13" t="s">
        <v>2180</v>
      </c>
      <c r="B906" s="2" t="s">
        <v>794</v>
      </c>
      <c r="C906" s="2" t="s">
        <v>2181</v>
      </c>
      <c r="D906" s="2"/>
      <c r="E906" s="2" t="s">
        <v>4791</v>
      </c>
      <c r="F906" s="2" t="s">
        <v>796</v>
      </c>
      <c r="G906" s="2">
        <v>34.151200000000003</v>
      </c>
      <c r="H906" s="2" t="s">
        <v>4644</v>
      </c>
      <c r="I906" s="2" t="s">
        <v>4645</v>
      </c>
      <c r="J906" s="2" t="s">
        <v>4770</v>
      </c>
      <c r="K906" s="2">
        <v>63</v>
      </c>
      <c r="L906" s="2" t="s">
        <v>4647</v>
      </c>
    </row>
    <row r="907" spans="1:12" ht="33.75" customHeight="1" x14ac:dyDescent="0.25">
      <c r="A907" s="14" t="s">
        <v>2182</v>
      </c>
      <c r="B907" s="3" t="s">
        <v>120</v>
      </c>
      <c r="C907" s="3" t="s">
        <v>2183</v>
      </c>
      <c r="D907" s="3" t="s">
        <v>4661</v>
      </c>
      <c r="E907" s="3" t="s">
        <v>4662</v>
      </c>
      <c r="F907" s="3" t="s">
        <v>122</v>
      </c>
      <c r="G907" s="3">
        <v>33.349800000000002</v>
      </c>
      <c r="H907" s="3" t="s">
        <v>4644</v>
      </c>
      <c r="I907" s="3" t="s">
        <v>4645</v>
      </c>
      <c r="J907" s="3" t="s">
        <v>4656</v>
      </c>
      <c r="K907" s="3">
        <v>45</v>
      </c>
      <c r="L907" s="3" t="s">
        <v>4647</v>
      </c>
    </row>
    <row r="908" spans="1:12" ht="33.75" customHeight="1" x14ac:dyDescent="0.25">
      <c r="A908" s="13" t="s">
        <v>2184</v>
      </c>
      <c r="B908" s="2" t="s">
        <v>414</v>
      </c>
      <c r="C908" s="2" t="s">
        <v>2185</v>
      </c>
      <c r="D908" s="2"/>
      <c r="E908" s="2" t="s">
        <v>4732</v>
      </c>
      <c r="F908" s="2" t="s">
        <v>416</v>
      </c>
      <c r="G908" s="2">
        <v>31.0092</v>
      </c>
      <c r="H908" s="2" t="s">
        <v>4644</v>
      </c>
      <c r="I908" s="2" t="s">
        <v>4645</v>
      </c>
      <c r="J908" s="2" t="s">
        <v>4733</v>
      </c>
      <c r="K908" s="2">
        <v>87</v>
      </c>
      <c r="L908" s="2" t="s">
        <v>4647</v>
      </c>
    </row>
    <row r="909" spans="1:12" ht="33.75" customHeight="1" x14ac:dyDescent="0.25">
      <c r="A909" s="14" t="s">
        <v>2186</v>
      </c>
      <c r="B909" s="3" t="s">
        <v>382</v>
      </c>
      <c r="C909" s="3" t="s">
        <v>1568</v>
      </c>
      <c r="D909" s="3"/>
      <c r="E909" s="3" t="s">
        <v>4725</v>
      </c>
      <c r="F909" s="3" t="s">
        <v>384</v>
      </c>
      <c r="G909" s="3">
        <v>35.3172</v>
      </c>
      <c r="H909" s="3" t="s">
        <v>4644</v>
      </c>
      <c r="I909" s="3" t="s">
        <v>4645</v>
      </c>
      <c r="J909" s="3" t="s">
        <v>4726</v>
      </c>
      <c r="K909" s="3">
        <v>96</v>
      </c>
      <c r="L909" s="3" t="s">
        <v>4647</v>
      </c>
    </row>
    <row r="910" spans="1:12" ht="33.75" customHeight="1" x14ac:dyDescent="0.25">
      <c r="A910" s="13" t="s">
        <v>2187</v>
      </c>
      <c r="B910" s="2" t="s">
        <v>414</v>
      </c>
      <c r="C910" s="2" t="s">
        <v>2188</v>
      </c>
      <c r="D910" s="2" t="s">
        <v>4658</v>
      </c>
      <c r="E910" s="2" t="s">
        <v>4732</v>
      </c>
      <c r="F910" s="2" t="s">
        <v>416</v>
      </c>
      <c r="G910" s="2">
        <v>31.0092</v>
      </c>
      <c r="H910" s="2" t="s">
        <v>4644</v>
      </c>
      <c r="I910" s="2" t="s">
        <v>4645</v>
      </c>
      <c r="J910" s="2" t="s">
        <v>4733</v>
      </c>
      <c r="K910" s="2">
        <v>87</v>
      </c>
      <c r="L910" s="2" t="s">
        <v>4647</v>
      </c>
    </row>
    <row r="911" spans="1:12" ht="33.75" customHeight="1" x14ac:dyDescent="0.25">
      <c r="A911" s="14" t="s">
        <v>2189</v>
      </c>
      <c r="B911" s="3" t="s">
        <v>156</v>
      </c>
      <c r="C911" s="3" t="s">
        <v>2190</v>
      </c>
      <c r="D911" s="3"/>
      <c r="E911" s="3" t="s">
        <v>4670</v>
      </c>
      <c r="F911" s="3" t="s">
        <v>158</v>
      </c>
      <c r="G911" s="3">
        <v>30.987200000000001</v>
      </c>
      <c r="H911" s="3" t="s">
        <v>4644</v>
      </c>
      <c r="I911" s="3" t="s">
        <v>4645</v>
      </c>
      <c r="J911" s="3" t="s">
        <v>4646</v>
      </c>
      <c r="K911" s="3">
        <v>18</v>
      </c>
      <c r="L911" s="3" t="s">
        <v>4647</v>
      </c>
    </row>
    <row r="912" spans="1:12" ht="33.75" customHeight="1" x14ac:dyDescent="0.25">
      <c r="A912" s="13" t="s">
        <v>2191</v>
      </c>
      <c r="B912" s="2" t="s">
        <v>112</v>
      </c>
      <c r="C912" s="2" t="s">
        <v>2192</v>
      </c>
      <c r="D912" s="2"/>
      <c r="E912" s="2" t="s">
        <v>4660</v>
      </c>
      <c r="F912" s="2" t="s">
        <v>114</v>
      </c>
      <c r="G912" s="2">
        <v>30.7682</v>
      </c>
      <c r="H912" s="2" t="s">
        <v>4644</v>
      </c>
      <c r="I912" s="2" t="s">
        <v>4645</v>
      </c>
      <c r="J912" s="2" t="s">
        <v>4652</v>
      </c>
      <c r="K912" s="2">
        <v>21</v>
      </c>
      <c r="L912" s="2" t="s">
        <v>4647</v>
      </c>
    </row>
    <row r="913" spans="1:12" ht="33.75" customHeight="1" x14ac:dyDescent="0.25">
      <c r="A913" s="14" t="s">
        <v>2193</v>
      </c>
      <c r="B913" s="3" t="s">
        <v>324</v>
      </c>
      <c r="C913" s="3" t="s">
        <v>2194</v>
      </c>
      <c r="D913" s="3"/>
      <c r="E913" s="3" t="s">
        <v>4704</v>
      </c>
      <c r="F913" s="3" t="s">
        <v>326</v>
      </c>
      <c r="G913" s="3">
        <v>29.719200000000001</v>
      </c>
      <c r="H913" s="3" t="s">
        <v>4644</v>
      </c>
      <c r="I913" s="3" t="s">
        <v>4645</v>
      </c>
      <c r="J913" s="3" t="s">
        <v>4697</v>
      </c>
      <c r="K913" s="3">
        <v>45</v>
      </c>
      <c r="L913" s="3" t="s">
        <v>4647</v>
      </c>
    </row>
    <row r="914" spans="1:12" ht="33.75" customHeight="1" x14ac:dyDescent="0.25">
      <c r="A914" s="13" t="s">
        <v>2195</v>
      </c>
      <c r="B914" s="2" t="s">
        <v>414</v>
      </c>
      <c r="C914" s="2" t="s">
        <v>2196</v>
      </c>
      <c r="D914" s="2" t="s">
        <v>4663</v>
      </c>
      <c r="E914" s="2" t="s">
        <v>4732</v>
      </c>
      <c r="F914" s="2" t="s">
        <v>416</v>
      </c>
      <c r="G914" s="2">
        <v>31.0092</v>
      </c>
      <c r="H914" s="2" t="s">
        <v>4644</v>
      </c>
      <c r="I914" s="2" t="s">
        <v>4645</v>
      </c>
      <c r="J914" s="2" t="s">
        <v>4733</v>
      </c>
      <c r="K914" s="2">
        <v>87</v>
      </c>
      <c r="L914" s="2" t="s">
        <v>4647</v>
      </c>
    </row>
    <row r="915" spans="1:12" ht="33.75" customHeight="1" x14ac:dyDescent="0.25">
      <c r="A915" s="14" t="s">
        <v>2197</v>
      </c>
      <c r="B915" s="3" t="s">
        <v>418</v>
      </c>
      <c r="C915" s="3" t="s">
        <v>2198</v>
      </c>
      <c r="D915" s="3" t="s">
        <v>4663</v>
      </c>
      <c r="E915" s="3" t="s">
        <v>4734</v>
      </c>
      <c r="F915" s="3" t="s">
        <v>420</v>
      </c>
      <c r="G915" s="3">
        <v>30.655200000000001</v>
      </c>
      <c r="H915" s="3" t="s">
        <v>4644</v>
      </c>
      <c r="I915" s="3" t="s">
        <v>4645</v>
      </c>
      <c r="J915" s="3" t="s">
        <v>4735</v>
      </c>
      <c r="K915" s="3">
        <v>72</v>
      </c>
      <c r="L915" s="3" t="s">
        <v>4647</v>
      </c>
    </row>
    <row r="916" spans="1:12" ht="33.75" customHeight="1" x14ac:dyDescent="0.25">
      <c r="A916" s="13" t="s">
        <v>2199</v>
      </c>
      <c r="B916" s="2" t="s">
        <v>794</v>
      </c>
      <c r="C916" s="2" t="s">
        <v>2200</v>
      </c>
      <c r="D916" s="2" t="s">
        <v>4663</v>
      </c>
      <c r="E916" s="2" t="s">
        <v>4791</v>
      </c>
      <c r="F916" s="2" t="s">
        <v>796</v>
      </c>
      <c r="G916" s="2">
        <v>34.151200000000003</v>
      </c>
      <c r="H916" s="2" t="s">
        <v>4644</v>
      </c>
      <c r="I916" s="2" t="s">
        <v>4645</v>
      </c>
      <c r="J916" s="2" t="s">
        <v>4770</v>
      </c>
      <c r="K916" s="2">
        <v>63</v>
      </c>
      <c r="L916" s="2" t="s">
        <v>4647</v>
      </c>
    </row>
    <row r="917" spans="1:12" ht="33.75" customHeight="1" x14ac:dyDescent="0.25">
      <c r="A917" s="14" t="s">
        <v>2201</v>
      </c>
      <c r="B917" s="3" t="s">
        <v>650</v>
      </c>
      <c r="C917" s="3" t="s">
        <v>2202</v>
      </c>
      <c r="D917" s="3" t="s">
        <v>4669</v>
      </c>
      <c r="E917" s="3" t="s">
        <v>4775</v>
      </c>
      <c r="F917" s="3" t="s">
        <v>652</v>
      </c>
      <c r="G917" s="3">
        <v>33.497</v>
      </c>
      <c r="H917" s="3" t="s">
        <v>4644</v>
      </c>
      <c r="I917" s="3" t="s">
        <v>4645</v>
      </c>
      <c r="J917" s="3" t="s">
        <v>4721</v>
      </c>
      <c r="K917" s="3">
        <v>54</v>
      </c>
      <c r="L917" s="3" t="s">
        <v>4647</v>
      </c>
    </row>
    <row r="918" spans="1:12" ht="33.75" customHeight="1" x14ac:dyDescent="0.25">
      <c r="A918" s="13" t="s">
        <v>2203</v>
      </c>
      <c r="B918" s="2" t="s">
        <v>142</v>
      </c>
      <c r="C918" s="2" t="s">
        <v>2204</v>
      </c>
      <c r="D918" s="2" t="s">
        <v>4689</v>
      </c>
      <c r="E918" s="2" t="s">
        <v>4891</v>
      </c>
      <c r="F918" s="2" t="s">
        <v>144</v>
      </c>
      <c r="G918" s="2"/>
      <c r="H918" s="2" t="s">
        <v>4666</v>
      </c>
      <c r="I918" s="2" t="s">
        <v>4667</v>
      </c>
      <c r="J918" s="2" t="s">
        <v>4735</v>
      </c>
      <c r="K918" s="2">
        <v>20</v>
      </c>
      <c r="L918" s="2" t="s">
        <v>4668</v>
      </c>
    </row>
    <row r="919" spans="1:12" ht="33.75" customHeight="1" x14ac:dyDescent="0.25">
      <c r="A919" s="14" t="s">
        <v>2205</v>
      </c>
      <c r="B919" s="3" t="s">
        <v>142</v>
      </c>
      <c r="C919" s="3" t="s">
        <v>2206</v>
      </c>
      <c r="D919" s="3" t="s">
        <v>4689</v>
      </c>
      <c r="E919" s="3" t="s">
        <v>4892</v>
      </c>
      <c r="F919" s="3" t="s">
        <v>144</v>
      </c>
      <c r="G919" s="3"/>
      <c r="H919" s="3" t="s">
        <v>4666</v>
      </c>
      <c r="I919" s="3" t="s">
        <v>4667</v>
      </c>
      <c r="J919" s="3" t="s">
        <v>4695</v>
      </c>
      <c r="K919" s="3">
        <v>18</v>
      </c>
      <c r="L919" s="3" t="s">
        <v>4668</v>
      </c>
    </row>
    <row r="920" spans="1:12" ht="33.75" customHeight="1" x14ac:dyDescent="0.25">
      <c r="A920" s="13" t="s">
        <v>2207</v>
      </c>
      <c r="B920" s="2" t="s">
        <v>418</v>
      </c>
      <c r="C920" s="2" t="s">
        <v>2208</v>
      </c>
      <c r="D920" s="2"/>
      <c r="E920" s="2" t="s">
        <v>4734</v>
      </c>
      <c r="F920" s="2" t="s">
        <v>420</v>
      </c>
      <c r="G920" s="2">
        <v>30.655200000000001</v>
      </c>
      <c r="H920" s="2" t="s">
        <v>4644</v>
      </c>
      <c r="I920" s="2" t="s">
        <v>4645</v>
      </c>
      <c r="J920" s="2" t="s">
        <v>4682</v>
      </c>
      <c r="K920" s="2">
        <v>72</v>
      </c>
      <c r="L920" s="2" t="s">
        <v>4647</v>
      </c>
    </row>
    <row r="921" spans="1:12" ht="33.75" customHeight="1" x14ac:dyDescent="0.25">
      <c r="A921" s="14" t="s">
        <v>2209</v>
      </c>
      <c r="B921" s="3" t="s">
        <v>2210</v>
      </c>
      <c r="C921" s="3" t="s">
        <v>2211</v>
      </c>
      <c r="D921" s="3" t="s">
        <v>4893</v>
      </c>
      <c r="E921" s="3" t="s">
        <v>4894</v>
      </c>
      <c r="F921" s="3" t="s">
        <v>2212</v>
      </c>
      <c r="G921" s="3">
        <v>47.996000000000002</v>
      </c>
      <c r="H921" s="3" t="s">
        <v>4644</v>
      </c>
      <c r="I921" s="3" t="s">
        <v>4645</v>
      </c>
      <c r="J921" s="3" t="s">
        <v>4710</v>
      </c>
      <c r="K921" s="3">
        <v>96</v>
      </c>
      <c r="L921" s="3" t="s">
        <v>4647</v>
      </c>
    </row>
    <row r="922" spans="1:12" ht="33.75" customHeight="1" x14ac:dyDescent="0.25">
      <c r="A922" s="13" t="s">
        <v>2213</v>
      </c>
      <c r="B922" s="2" t="s">
        <v>2214</v>
      </c>
      <c r="C922" s="2" t="s">
        <v>2215</v>
      </c>
      <c r="D922" s="2" t="s">
        <v>4893</v>
      </c>
      <c r="E922" s="2" t="s">
        <v>4895</v>
      </c>
      <c r="F922" s="2" t="s">
        <v>2216</v>
      </c>
      <c r="G922" s="2">
        <v>49.116</v>
      </c>
      <c r="H922" s="2" t="s">
        <v>4644</v>
      </c>
      <c r="I922" s="2" t="s">
        <v>4645</v>
      </c>
      <c r="J922" s="2" t="s">
        <v>4682</v>
      </c>
      <c r="K922" s="2">
        <v>88</v>
      </c>
      <c r="L922" s="2" t="s">
        <v>4647</v>
      </c>
    </row>
    <row r="923" spans="1:12" ht="33.75" customHeight="1" x14ac:dyDescent="0.25">
      <c r="A923" s="14" t="s">
        <v>2217</v>
      </c>
      <c r="B923" s="3" t="s">
        <v>2218</v>
      </c>
      <c r="C923" s="3" t="s">
        <v>2219</v>
      </c>
      <c r="D923" s="3" t="s">
        <v>4893</v>
      </c>
      <c r="E923" s="3" t="s">
        <v>4896</v>
      </c>
      <c r="F923" s="3" t="s">
        <v>2220</v>
      </c>
      <c r="G923" s="3">
        <v>49.555999999999997</v>
      </c>
      <c r="H923" s="3" t="s">
        <v>4644</v>
      </c>
      <c r="I923" s="3" t="s">
        <v>4645</v>
      </c>
      <c r="J923" s="3" t="s">
        <v>4697</v>
      </c>
      <c r="K923" s="3">
        <v>60</v>
      </c>
      <c r="L923" s="3" t="s">
        <v>4647</v>
      </c>
    </row>
    <row r="924" spans="1:12" ht="33.75" customHeight="1" x14ac:dyDescent="0.25">
      <c r="A924" s="13" t="s">
        <v>2221</v>
      </c>
      <c r="B924" s="2" t="s">
        <v>2222</v>
      </c>
      <c r="C924" s="2" t="s">
        <v>2223</v>
      </c>
      <c r="D924" s="2" t="s">
        <v>4893</v>
      </c>
      <c r="E924" s="2" t="s">
        <v>4897</v>
      </c>
      <c r="F924" s="2" t="s">
        <v>2224</v>
      </c>
      <c r="G924" s="2">
        <v>55.662649999999999</v>
      </c>
      <c r="H924" s="2" t="s">
        <v>4644</v>
      </c>
      <c r="I924" s="2" t="s">
        <v>4645</v>
      </c>
      <c r="J924" s="2" t="s">
        <v>4729</v>
      </c>
      <c r="K924" s="2">
        <v>105</v>
      </c>
      <c r="L924" s="2" t="s">
        <v>4647</v>
      </c>
    </row>
    <row r="925" spans="1:12" ht="33.75" customHeight="1" x14ac:dyDescent="0.25">
      <c r="A925" s="14" t="s">
        <v>2225</v>
      </c>
      <c r="B925" s="3" t="s">
        <v>418</v>
      </c>
      <c r="C925" s="3" t="s">
        <v>2226</v>
      </c>
      <c r="D925" s="3" t="s">
        <v>4711</v>
      </c>
      <c r="E925" s="3" t="s">
        <v>4734</v>
      </c>
      <c r="F925" s="3" t="s">
        <v>420</v>
      </c>
      <c r="G925" s="3">
        <v>30.655200000000001</v>
      </c>
      <c r="H925" s="3" t="s">
        <v>4644</v>
      </c>
      <c r="I925" s="3" t="s">
        <v>4645</v>
      </c>
      <c r="J925" s="3" t="s">
        <v>4735</v>
      </c>
      <c r="K925" s="3">
        <v>72</v>
      </c>
      <c r="L925" s="3" t="s">
        <v>4647</v>
      </c>
    </row>
    <row r="926" spans="1:12" ht="33.75" customHeight="1" x14ac:dyDescent="0.25">
      <c r="A926" s="13" t="s">
        <v>2227</v>
      </c>
      <c r="B926" s="2" t="s">
        <v>404</v>
      </c>
      <c r="C926" s="2" t="s">
        <v>1220</v>
      </c>
      <c r="D926" s="2"/>
      <c r="E926" s="2" t="s">
        <v>4731</v>
      </c>
      <c r="F926" s="2" t="s">
        <v>406</v>
      </c>
      <c r="G926" s="2">
        <v>29.999199999999998</v>
      </c>
      <c r="H926" s="2" t="s">
        <v>4644</v>
      </c>
      <c r="I926" s="2" t="s">
        <v>4645</v>
      </c>
      <c r="J926" s="2" t="s">
        <v>4695</v>
      </c>
      <c r="K926" s="2">
        <v>63</v>
      </c>
      <c r="L926" s="2" t="s">
        <v>4647</v>
      </c>
    </row>
    <row r="927" spans="1:12" ht="33.75" customHeight="1" x14ac:dyDescent="0.25">
      <c r="A927" s="14" t="s">
        <v>2228</v>
      </c>
      <c r="B927" s="3" t="s">
        <v>77</v>
      </c>
      <c r="C927" s="3" t="s">
        <v>2229</v>
      </c>
      <c r="D927" s="3" t="s">
        <v>4773</v>
      </c>
      <c r="E927" s="3" t="s">
        <v>4654</v>
      </c>
      <c r="F927" s="3" t="s">
        <v>79</v>
      </c>
      <c r="G927" s="3">
        <v>31.699200000000001</v>
      </c>
      <c r="H927" s="3" t="s">
        <v>4644</v>
      </c>
      <c r="I927" s="3" t="s">
        <v>4645</v>
      </c>
      <c r="J927" s="3" t="s">
        <v>4650</v>
      </c>
      <c r="K927" s="3">
        <v>30</v>
      </c>
      <c r="L927" s="3" t="s">
        <v>4647</v>
      </c>
    </row>
    <row r="928" spans="1:12" ht="33.75" customHeight="1" x14ac:dyDescent="0.25">
      <c r="A928" s="13" t="s">
        <v>2230</v>
      </c>
      <c r="B928" s="2" t="s">
        <v>57</v>
      </c>
      <c r="C928" s="2" t="s">
        <v>2231</v>
      </c>
      <c r="D928" s="2" t="s">
        <v>4773</v>
      </c>
      <c r="E928" s="2" t="s">
        <v>4643</v>
      </c>
      <c r="F928" s="2" t="s">
        <v>59</v>
      </c>
      <c r="G928" s="2">
        <v>31.825199999999999</v>
      </c>
      <c r="H928" s="2" t="s">
        <v>4644</v>
      </c>
      <c r="I928" s="2" t="s">
        <v>4645</v>
      </c>
      <c r="J928" s="2" t="s">
        <v>4646</v>
      </c>
      <c r="K928" s="2">
        <v>21</v>
      </c>
      <c r="L928" s="2" t="s">
        <v>4647</v>
      </c>
    </row>
    <row r="929" spans="1:12" ht="33.75" customHeight="1" x14ac:dyDescent="0.25">
      <c r="A929" s="14" t="s">
        <v>2232</v>
      </c>
      <c r="B929" s="3" t="s">
        <v>404</v>
      </c>
      <c r="C929" s="3" t="s">
        <v>2233</v>
      </c>
      <c r="D929" s="3" t="s">
        <v>4773</v>
      </c>
      <c r="E929" s="3" t="s">
        <v>4731</v>
      </c>
      <c r="F929" s="3" t="s">
        <v>406</v>
      </c>
      <c r="G929" s="3">
        <v>29.999199999999998</v>
      </c>
      <c r="H929" s="3" t="s">
        <v>4644</v>
      </c>
      <c r="I929" s="3" t="s">
        <v>4645</v>
      </c>
      <c r="J929" s="3" t="s">
        <v>4695</v>
      </c>
      <c r="K929" s="3">
        <v>63</v>
      </c>
      <c r="L929" s="3" t="s">
        <v>4647</v>
      </c>
    </row>
    <row r="930" spans="1:12" ht="33.75" customHeight="1" x14ac:dyDescent="0.25">
      <c r="A930" s="13" t="s">
        <v>2234</v>
      </c>
      <c r="B930" s="2" t="s">
        <v>404</v>
      </c>
      <c r="C930" s="2" t="s">
        <v>2235</v>
      </c>
      <c r="D930" s="2" t="s">
        <v>4701</v>
      </c>
      <c r="E930" s="2" t="s">
        <v>4731</v>
      </c>
      <c r="F930" s="2" t="s">
        <v>406</v>
      </c>
      <c r="G930" s="2">
        <v>29.999199999999998</v>
      </c>
      <c r="H930" s="2" t="s">
        <v>4644</v>
      </c>
      <c r="I930" s="2" t="s">
        <v>4645</v>
      </c>
      <c r="J930" s="2" t="s">
        <v>4695</v>
      </c>
      <c r="K930" s="2">
        <v>63</v>
      </c>
      <c r="L930" s="2" t="s">
        <v>4647</v>
      </c>
    </row>
    <row r="931" spans="1:12" ht="33.75" customHeight="1" x14ac:dyDescent="0.25">
      <c r="A931" s="14" t="s">
        <v>2236</v>
      </c>
      <c r="B931" s="3" t="s">
        <v>324</v>
      </c>
      <c r="C931" s="3" t="s">
        <v>2237</v>
      </c>
      <c r="D931" s="3" t="s">
        <v>4701</v>
      </c>
      <c r="E931" s="3" t="s">
        <v>4704</v>
      </c>
      <c r="F931" s="3" t="s">
        <v>326</v>
      </c>
      <c r="G931" s="3">
        <v>29.719200000000001</v>
      </c>
      <c r="H931" s="3" t="s">
        <v>4644</v>
      </c>
      <c r="I931" s="3" t="s">
        <v>4645</v>
      </c>
      <c r="J931" s="3" t="s">
        <v>4697</v>
      </c>
      <c r="K931" s="3">
        <v>45</v>
      </c>
      <c r="L931" s="3" t="s">
        <v>4647</v>
      </c>
    </row>
    <row r="932" spans="1:12" ht="33.75" customHeight="1" x14ac:dyDescent="0.25">
      <c r="A932" s="13" t="s">
        <v>2238</v>
      </c>
      <c r="B932" s="2" t="s">
        <v>77</v>
      </c>
      <c r="C932" s="2" t="s">
        <v>2239</v>
      </c>
      <c r="D932" s="2" t="s">
        <v>4701</v>
      </c>
      <c r="E932" s="2" t="s">
        <v>4654</v>
      </c>
      <c r="F932" s="2" t="s">
        <v>79</v>
      </c>
      <c r="G932" s="2">
        <v>31.699200000000001</v>
      </c>
      <c r="H932" s="2" t="s">
        <v>4644</v>
      </c>
      <c r="I932" s="2" t="s">
        <v>4645</v>
      </c>
      <c r="J932" s="2" t="s">
        <v>4650</v>
      </c>
      <c r="K932" s="2">
        <v>30</v>
      </c>
      <c r="L932" s="2" t="s">
        <v>4647</v>
      </c>
    </row>
    <row r="933" spans="1:12" ht="33.75" customHeight="1" x14ac:dyDescent="0.25">
      <c r="A933" s="14" t="s">
        <v>2240</v>
      </c>
      <c r="B933" s="3" t="s">
        <v>89</v>
      </c>
      <c r="C933" s="3" t="s">
        <v>2241</v>
      </c>
      <c r="D933" s="3" t="s">
        <v>4701</v>
      </c>
      <c r="E933" s="3" t="s">
        <v>4659</v>
      </c>
      <c r="F933" s="3" t="s">
        <v>91</v>
      </c>
      <c r="G933" s="3">
        <v>32.389200000000002</v>
      </c>
      <c r="H933" s="3" t="s">
        <v>4644</v>
      </c>
      <c r="I933" s="3" t="s">
        <v>4645</v>
      </c>
      <c r="J933" s="3" t="s">
        <v>4652</v>
      </c>
      <c r="K933" s="3">
        <v>30</v>
      </c>
      <c r="L933" s="3" t="s">
        <v>4647</v>
      </c>
    </row>
    <row r="934" spans="1:12" ht="33.75" customHeight="1" x14ac:dyDescent="0.25">
      <c r="A934" s="13" t="s">
        <v>2242</v>
      </c>
      <c r="B934" s="2" t="s">
        <v>794</v>
      </c>
      <c r="C934" s="2" t="s">
        <v>2243</v>
      </c>
      <c r="D934" s="2" t="s">
        <v>4701</v>
      </c>
      <c r="E934" s="2" t="s">
        <v>4791</v>
      </c>
      <c r="F934" s="2" t="s">
        <v>796</v>
      </c>
      <c r="G934" s="2">
        <v>34.151200000000003</v>
      </c>
      <c r="H934" s="2" t="s">
        <v>4644</v>
      </c>
      <c r="I934" s="2" t="s">
        <v>4645</v>
      </c>
      <c r="J934" s="2" t="s">
        <v>4770</v>
      </c>
      <c r="K934" s="2">
        <v>63</v>
      </c>
      <c r="L934" s="2" t="s">
        <v>4647</v>
      </c>
    </row>
    <row r="935" spans="1:12" ht="33.75" customHeight="1" x14ac:dyDescent="0.25">
      <c r="A935" s="14" t="s">
        <v>2244</v>
      </c>
      <c r="B935" s="3" t="s">
        <v>2245</v>
      </c>
      <c r="C935" s="3" t="s">
        <v>2246</v>
      </c>
      <c r="D935" s="3" t="s">
        <v>4898</v>
      </c>
      <c r="E935" s="3" t="s">
        <v>4899</v>
      </c>
      <c r="F935" s="3" t="s">
        <v>2247</v>
      </c>
      <c r="G935" s="3">
        <v>28.518000000000001</v>
      </c>
      <c r="H935" s="3" t="s">
        <v>4644</v>
      </c>
      <c r="I935" s="3" t="s">
        <v>4645</v>
      </c>
      <c r="J935" s="3" t="s">
        <v>4721</v>
      </c>
      <c r="K935" s="3">
        <v>54</v>
      </c>
      <c r="L935" s="3" t="s">
        <v>4647</v>
      </c>
    </row>
    <row r="936" spans="1:12" ht="33.75" customHeight="1" x14ac:dyDescent="0.25">
      <c r="A936" s="13" t="s">
        <v>2248</v>
      </c>
      <c r="B936" s="2" t="s">
        <v>273</v>
      </c>
      <c r="C936" s="2" t="s">
        <v>2249</v>
      </c>
      <c r="D936" s="2" t="s">
        <v>4882</v>
      </c>
      <c r="E936" s="2" t="s">
        <v>4694</v>
      </c>
      <c r="F936" s="2" t="s">
        <v>275</v>
      </c>
      <c r="G936" s="2">
        <v>30.084199999999999</v>
      </c>
      <c r="H936" s="2" t="s">
        <v>4644</v>
      </c>
      <c r="I936" s="2" t="s">
        <v>4645</v>
      </c>
      <c r="J936" s="2" t="s">
        <v>4695</v>
      </c>
      <c r="K936" s="2">
        <v>68</v>
      </c>
      <c r="L936" s="2" t="s">
        <v>4647</v>
      </c>
    </row>
    <row r="937" spans="1:12" ht="33.75" customHeight="1" x14ac:dyDescent="0.25">
      <c r="A937" s="14" t="s">
        <v>2250</v>
      </c>
      <c r="B937" s="3" t="s">
        <v>277</v>
      </c>
      <c r="C937" s="3" t="s">
        <v>2251</v>
      </c>
      <c r="D937" s="3" t="s">
        <v>4882</v>
      </c>
      <c r="E937" s="3" t="s">
        <v>4696</v>
      </c>
      <c r="F937" s="3" t="s">
        <v>279</v>
      </c>
      <c r="G937" s="3">
        <v>29.7592</v>
      </c>
      <c r="H937" s="3" t="s">
        <v>4644</v>
      </c>
      <c r="I937" s="3" t="s">
        <v>4645</v>
      </c>
      <c r="J937" s="3" t="s">
        <v>4697</v>
      </c>
      <c r="K937" s="3">
        <v>48</v>
      </c>
      <c r="L937" s="3" t="s">
        <v>4647</v>
      </c>
    </row>
    <row r="938" spans="1:12" ht="33.75" customHeight="1" x14ac:dyDescent="0.25">
      <c r="A938" s="13" t="s">
        <v>2252</v>
      </c>
      <c r="B938" s="2" t="s">
        <v>1727</v>
      </c>
      <c r="C938" s="2" t="s">
        <v>2253</v>
      </c>
      <c r="D938" s="2" t="s">
        <v>4882</v>
      </c>
      <c r="E938" s="2" t="s">
        <v>4847</v>
      </c>
      <c r="F938" s="2" t="s">
        <v>1729</v>
      </c>
      <c r="G938" s="2">
        <v>29.0792</v>
      </c>
      <c r="H938" s="2" t="s">
        <v>4644</v>
      </c>
      <c r="I938" s="2" t="s">
        <v>4645</v>
      </c>
      <c r="J938" s="2" t="s">
        <v>4691</v>
      </c>
      <c r="K938" s="2">
        <v>36</v>
      </c>
      <c r="L938" s="2" t="s">
        <v>4647</v>
      </c>
    </row>
    <row r="939" spans="1:12" ht="33.75" customHeight="1" x14ac:dyDescent="0.25">
      <c r="A939" s="14" t="s">
        <v>2254</v>
      </c>
      <c r="B939" s="3" t="s">
        <v>422</v>
      </c>
      <c r="C939" s="3" t="s">
        <v>2255</v>
      </c>
      <c r="D939" s="3" t="s">
        <v>4882</v>
      </c>
      <c r="E939" s="3" t="s">
        <v>4736</v>
      </c>
      <c r="F939" s="3" t="s">
        <v>424</v>
      </c>
      <c r="G939" s="3">
        <v>30.7272</v>
      </c>
      <c r="H939" s="3" t="s">
        <v>4644</v>
      </c>
      <c r="I939" s="3" t="s">
        <v>4645</v>
      </c>
      <c r="J939" s="3" t="s">
        <v>4735</v>
      </c>
      <c r="K939" s="3">
        <v>76</v>
      </c>
      <c r="L939" s="3" t="s">
        <v>4647</v>
      </c>
    </row>
    <row r="940" spans="1:12" ht="33.75" customHeight="1" x14ac:dyDescent="0.25">
      <c r="A940" s="13" t="s">
        <v>2256</v>
      </c>
      <c r="B940" s="2" t="s">
        <v>422</v>
      </c>
      <c r="C940" s="2" t="s">
        <v>2045</v>
      </c>
      <c r="D940" s="2" t="s">
        <v>4882</v>
      </c>
      <c r="E940" s="2" t="s">
        <v>4736</v>
      </c>
      <c r="F940" s="2" t="s">
        <v>424</v>
      </c>
      <c r="G940" s="2">
        <v>30.7272</v>
      </c>
      <c r="H940" s="2" t="s">
        <v>4644</v>
      </c>
      <c r="I940" s="2" t="s">
        <v>4645</v>
      </c>
      <c r="J940" s="2" t="s">
        <v>4735</v>
      </c>
      <c r="K940" s="2">
        <v>76</v>
      </c>
      <c r="L940" s="2" t="s">
        <v>4647</v>
      </c>
    </row>
    <row r="941" spans="1:12" ht="33.75" customHeight="1" x14ac:dyDescent="0.25">
      <c r="A941" s="14" t="s">
        <v>2257</v>
      </c>
      <c r="B941" s="3" t="s">
        <v>422</v>
      </c>
      <c r="C941" s="3" t="s">
        <v>2258</v>
      </c>
      <c r="D941" s="3" t="s">
        <v>4882</v>
      </c>
      <c r="E941" s="3" t="s">
        <v>4736</v>
      </c>
      <c r="F941" s="3" t="s">
        <v>424</v>
      </c>
      <c r="G941" s="3">
        <v>30.7272</v>
      </c>
      <c r="H941" s="3" t="s">
        <v>4644</v>
      </c>
      <c r="I941" s="3" t="s">
        <v>4645</v>
      </c>
      <c r="J941" s="3" t="s">
        <v>4682</v>
      </c>
      <c r="K941" s="3">
        <v>76</v>
      </c>
      <c r="L941" s="3" t="s">
        <v>4647</v>
      </c>
    </row>
    <row r="942" spans="1:12" ht="33.75" customHeight="1" x14ac:dyDescent="0.25">
      <c r="A942" s="13" t="s">
        <v>2259</v>
      </c>
      <c r="B942" s="2" t="s">
        <v>378</v>
      </c>
      <c r="C942" s="2" t="s">
        <v>2260</v>
      </c>
      <c r="D942" s="2" t="s">
        <v>4882</v>
      </c>
      <c r="E942" s="2" t="s">
        <v>4722</v>
      </c>
      <c r="F942" s="2" t="s">
        <v>380</v>
      </c>
      <c r="G942" s="2">
        <v>29.743200000000002</v>
      </c>
      <c r="H942" s="2" t="s">
        <v>4644</v>
      </c>
      <c r="I942" s="2" t="s">
        <v>4645</v>
      </c>
      <c r="J942" s="2" t="s">
        <v>4723</v>
      </c>
      <c r="K942" s="2">
        <v>56</v>
      </c>
      <c r="L942" s="2" t="s">
        <v>4647</v>
      </c>
    </row>
    <row r="943" spans="1:12" ht="33.75" customHeight="1" x14ac:dyDescent="0.25">
      <c r="A943" s="14" t="s">
        <v>2261</v>
      </c>
      <c r="B943" s="3" t="s">
        <v>378</v>
      </c>
      <c r="C943" s="3" t="s">
        <v>2262</v>
      </c>
      <c r="D943" s="3" t="s">
        <v>4882</v>
      </c>
      <c r="E943" s="3" t="s">
        <v>4722</v>
      </c>
      <c r="F943" s="3" t="s">
        <v>380</v>
      </c>
      <c r="G943" s="3">
        <v>29.743200000000002</v>
      </c>
      <c r="H943" s="3" t="s">
        <v>4644</v>
      </c>
      <c r="I943" s="3" t="s">
        <v>4645</v>
      </c>
      <c r="J943" s="3" t="s">
        <v>4723</v>
      </c>
      <c r="K943" s="3">
        <v>56</v>
      </c>
      <c r="L943" s="3" t="s">
        <v>4647</v>
      </c>
    </row>
    <row r="944" spans="1:12" ht="33.75" customHeight="1" x14ac:dyDescent="0.25">
      <c r="A944" s="13" t="s">
        <v>2263</v>
      </c>
      <c r="B944" s="2" t="s">
        <v>277</v>
      </c>
      <c r="C944" s="2" t="s">
        <v>2264</v>
      </c>
      <c r="D944" s="2" t="s">
        <v>4882</v>
      </c>
      <c r="E944" s="2" t="s">
        <v>4696</v>
      </c>
      <c r="F944" s="2" t="s">
        <v>279</v>
      </c>
      <c r="G944" s="2">
        <v>29.7592</v>
      </c>
      <c r="H944" s="2" t="s">
        <v>4644</v>
      </c>
      <c r="I944" s="2" t="s">
        <v>4645</v>
      </c>
      <c r="J944" s="2" t="s">
        <v>4697</v>
      </c>
      <c r="K944" s="2">
        <v>48</v>
      </c>
      <c r="L944" s="2" t="s">
        <v>4647</v>
      </c>
    </row>
    <row r="945" spans="1:12" ht="33.75" customHeight="1" x14ac:dyDescent="0.25">
      <c r="A945" s="14" t="s">
        <v>2265</v>
      </c>
      <c r="B945" s="3" t="s">
        <v>422</v>
      </c>
      <c r="C945" s="3" t="s">
        <v>2266</v>
      </c>
      <c r="D945" s="3" t="s">
        <v>4882</v>
      </c>
      <c r="E945" s="3" t="s">
        <v>4736</v>
      </c>
      <c r="F945" s="3" t="s">
        <v>424</v>
      </c>
      <c r="G945" s="3">
        <v>30.7272</v>
      </c>
      <c r="H945" s="3" t="s">
        <v>4644</v>
      </c>
      <c r="I945" s="3" t="s">
        <v>4645</v>
      </c>
      <c r="J945" s="3" t="s">
        <v>4682</v>
      </c>
      <c r="K945" s="3">
        <v>76</v>
      </c>
      <c r="L945" s="3" t="s">
        <v>4647</v>
      </c>
    </row>
    <row r="946" spans="1:12" ht="33.75" customHeight="1" x14ac:dyDescent="0.25">
      <c r="A946" s="13" t="s">
        <v>2267</v>
      </c>
      <c r="B946" s="2" t="s">
        <v>826</v>
      </c>
      <c r="C946" s="2" t="s">
        <v>2268</v>
      </c>
      <c r="D946" s="2" t="s">
        <v>4741</v>
      </c>
      <c r="E946" s="2" t="s">
        <v>4796</v>
      </c>
      <c r="F946" s="2" t="s">
        <v>828</v>
      </c>
      <c r="G946" s="2">
        <v>28.366</v>
      </c>
      <c r="H946" s="2" t="s">
        <v>4644</v>
      </c>
      <c r="I946" s="2" t="s">
        <v>4645</v>
      </c>
      <c r="J946" s="2" t="s">
        <v>4733</v>
      </c>
      <c r="K946" s="2">
        <v>72</v>
      </c>
      <c r="L946" s="2" t="s">
        <v>4647</v>
      </c>
    </row>
    <row r="947" spans="1:12" ht="33.75" customHeight="1" x14ac:dyDescent="0.25">
      <c r="A947" s="14" t="s">
        <v>2269</v>
      </c>
      <c r="B947" s="3" t="s">
        <v>826</v>
      </c>
      <c r="C947" s="3" t="s">
        <v>2270</v>
      </c>
      <c r="D947" s="3" t="s">
        <v>4741</v>
      </c>
      <c r="E947" s="3" t="s">
        <v>4796</v>
      </c>
      <c r="F947" s="3" t="s">
        <v>828</v>
      </c>
      <c r="G947" s="3">
        <v>28.366</v>
      </c>
      <c r="H947" s="3" t="s">
        <v>4644</v>
      </c>
      <c r="I947" s="3" t="s">
        <v>4645</v>
      </c>
      <c r="J947" s="3" t="s">
        <v>4710</v>
      </c>
      <c r="K947" s="3">
        <v>72</v>
      </c>
      <c r="L947" s="3" t="s">
        <v>4647</v>
      </c>
    </row>
    <row r="948" spans="1:12" ht="33.75" customHeight="1" x14ac:dyDescent="0.25">
      <c r="A948" s="13" t="s">
        <v>2271</v>
      </c>
      <c r="B948" s="2" t="s">
        <v>2153</v>
      </c>
      <c r="C948" s="2" t="s">
        <v>2272</v>
      </c>
      <c r="D948" s="2" t="s">
        <v>4741</v>
      </c>
      <c r="E948" s="2" t="s">
        <v>4888</v>
      </c>
      <c r="F948" s="2" t="s">
        <v>2155</v>
      </c>
      <c r="G948" s="2">
        <v>30.326000000000001</v>
      </c>
      <c r="H948" s="2" t="s">
        <v>4644</v>
      </c>
      <c r="I948" s="2" t="s">
        <v>4645</v>
      </c>
      <c r="J948" s="2" t="s">
        <v>4721</v>
      </c>
      <c r="K948" s="2">
        <v>48</v>
      </c>
      <c r="L948" s="2" t="s">
        <v>4647</v>
      </c>
    </row>
    <row r="949" spans="1:12" ht="33.75" customHeight="1" x14ac:dyDescent="0.25">
      <c r="A949" s="14" t="s">
        <v>2273</v>
      </c>
      <c r="B949" s="3" t="s">
        <v>2153</v>
      </c>
      <c r="C949" s="3" t="s">
        <v>2274</v>
      </c>
      <c r="D949" s="3" t="s">
        <v>4741</v>
      </c>
      <c r="E949" s="3" t="s">
        <v>4888</v>
      </c>
      <c r="F949" s="3" t="s">
        <v>2155</v>
      </c>
      <c r="G949" s="3">
        <v>30.326000000000001</v>
      </c>
      <c r="H949" s="3" t="s">
        <v>4644</v>
      </c>
      <c r="I949" s="3" t="s">
        <v>4645</v>
      </c>
      <c r="J949" s="3" t="s">
        <v>4721</v>
      </c>
      <c r="K949" s="3">
        <v>48</v>
      </c>
      <c r="L949" s="3" t="s">
        <v>4647</v>
      </c>
    </row>
    <row r="950" spans="1:12" ht="33.75" customHeight="1" x14ac:dyDescent="0.25">
      <c r="A950" s="13" t="s">
        <v>2275</v>
      </c>
      <c r="B950" s="2" t="s">
        <v>2147</v>
      </c>
      <c r="C950" s="2" t="s">
        <v>2276</v>
      </c>
      <c r="D950" s="2" t="s">
        <v>4741</v>
      </c>
      <c r="E950" s="2" t="s">
        <v>4887</v>
      </c>
      <c r="F950" s="2" t="s">
        <v>2149</v>
      </c>
      <c r="G950" s="2">
        <v>30.326000000000001</v>
      </c>
      <c r="H950" s="2" t="s">
        <v>4644</v>
      </c>
      <c r="I950" s="2" t="s">
        <v>4645</v>
      </c>
      <c r="J950" s="2" t="s">
        <v>4770</v>
      </c>
      <c r="K950" s="2">
        <v>57</v>
      </c>
      <c r="L950" s="2" t="s">
        <v>4647</v>
      </c>
    </row>
    <row r="951" spans="1:12" ht="33.75" customHeight="1" x14ac:dyDescent="0.25">
      <c r="A951" s="14" t="s">
        <v>2277</v>
      </c>
      <c r="B951" s="3" t="s">
        <v>1294</v>
      </c>
      <c r="C951" s="3" t="s">
        <v>2278</v>
      </c>
      <c r="D951" s="3" t="s">
        <v>4741</v>
      </c>
      <c r="E951" s="3" t="s">
        <v>4819</v>
      </c>
      <c r="F951" s="3" t="s">
        <v>1296</v>
      </c>
      <c r="G951" s="3">
        <v>27.925999999999998</v>
      </c>
      <c r="H951" s="3" t="s">
        <v>4644</v>
      </c>
      <c r="I951" s="3" t="s">
        <v>4645</v>
      </c>
      <c r="J951" s="3" t="s">
        <v>4682</v>
      </c>
      <c r="K951" s="3">
        <v>57</v>
      </c>
      <c r="L951" s="3" t="s">
        <v>4647</v>
      </c>
    </row>
    <row r="952" spans="1:12" ht="33.75" customHeight="1" x14ac:dyDescent="0.25">
      <c r="A952" s="13" t="s">
        <v>2279</v>
      </c>
      <c r="B952" s="2" t="s">
        <v>826</v>
      </c>
      <c r="C952" s="2" t="s">
        <v>2280</v>
      </c>
      <c r="D952" s="2" t="s">
        <v>4741</v>
      </c>
      <c r="E952" s="2" t="s">
        <v>4796</v>
      </c>
      <c r="F952" s="2" t="s">
        <v>828</v>
      </c>
      <c r="G952" s="2">
        <v>28.366</v>
      </c>
      <c r="H952" s="2" t="s">
        <v>4644</v>
      </c>
      <c r="I952" s="2" t="s">
        <v>4645</v>
      </c>
      <c r="J952" s="2" t="s">
        <v>4710</v>
      </c>
      <c r="K952" s="2">
        <v>72</v>
      </c>
      <c r="L952" s="2" t="s">
        <v>4647</v>
      </c>
    </row>
    <row r="953" spans="1:12" ht="33.75" customHeight="1" x14ac:dyDescent="0.25">
      <c r="A953" s="14" t="s">
        <v>2281</v>
      </c>
      <c r="B953" s="3" t="s">
        <v>2282</v>
      </c>
      <c r="C953" s="3" t="s">
        <v>2283</v>
      </c>
      <c r="D953" s="3" t="s">
        <v>4741</v>
      </c>
      <c r="E953" s="3" t="s">
        <v>4900</v>
      </c>
      <c r="F953" s="3" t="s">
        <v>2284</v>
      </c>
      <c r="G953" s="3">
        <v>30.326000000000001</v>
      </c>
      <c r="H953" s="3" t="s">
        <v>4644</v>
      </c>
      <c r="I953" s="3" t="s">
        <v>4645</v>
      </c>
      <c r="J953" s="3" t="s">
        <v>4726</v>
      </c>
      <c r="K953" s="3">
        <v>81</v>
      </c>
      <c r="L953" s="3" t="s">
        <v>4647</v>
      </c>
    </row>
    <row r="954" spans="1:12" ht="33.75" customHeight="1" x14ac:dyDescent="0.25">
      <c r="A954" s="13" t="s">
        <v>2285</v>
      </c>
      <c r="B954" s="2" t="s">
        <v>418</v>
      </c>
      <c r="C954" s="2" t="s">
        <v>2286</v>
      </c>
      <c r="D954" s="2" t="s">
        <v>4663</v>
      </c>
      <c r="E954" s="2" t="s">
        <v>4734</v>
      </c>
      <c r="F954" s="2" t="s">
        <v>420</v>
      </c>
      <c r="G954" s="2">
        <v>30.655200000000001</v>
      </c>
      <c r="H954" s="2" t="s">
        <v>4644</v>
      </c>
      <c r="I954" s="2" t="s">
        <v>4645</v>
      </c>
      <c r="J954" s="2" t="s">
        <v>4735</v>
      </c>
      <c r="K954" s="2">
        <v>72</v>
      </c>
      <c r="L954" s="2" t="s">
        <v>4647</v>
      </c>
    </row>
    <row r="955" spans="1:12" ht="33.75" customHeight="1" x14ac:dyDescent="0.25">
      <c r="A955" s="14" t="s">
        <v>2287</v>
      </c>
      <c r="B955" s="3" t="s">
        <v>2288</v>
      </c>
      <c r="C955" s="3" t="s">
        <v>2289</v>
      </c>
      <c r="D955" s="3" t="s">
        <v>4671</v>
      </c>
      <c r="E955" s="3" t="s">
        <v>4874</v>
      </c>
      <c r="F955" s="3" t="s">
        <v>2290</v>
      </c>
      <c r="G955" s="3">
        <v>28.5824</v>
      </c>
      <c r="H955" s="3" t="s">
        <v>4644</v>
      </c>
      <c r="I955" s="3" t="s">
        <v>4645</v>
      </c>
      <c r="J955" s="3" t="s">
        <v>4735</v>
      </c>
      <c r="K955" s="3">
        <v>76</v>
      </c>
      <c r="L955" s="3" t="s">
        <v>4668</v>
      </c>
    </row>
    <row r="956" spans="1:12" ht="33.75" customHeight="1" x14ac:dyDescent="0.25">
      <c r="A956" s="13" t="s">
        <v>2291</v>
      </c>
      <c r="B956" s="2" t="s">
        <v>570</v>
      </c>
      <c r="C956" s="2" t="s">
        <v>2292</v>
      </c>
      <c r="D956" s="2" t="s">
        <v>4671</v>
      </c>
      <c r="E956" s="2" t="s">
        <v>4755</v>
      </c>
      <c r="F956" s="2" t="s">
        <v>572</v>
      </c>
      <c r="G956" s="2">
        <v>28.4544</v>
      </c>
      <c r="H956" s="2" t="s">
        <v>4644</v>
      </c>
      <c r="I956" s="2" t="s">
        <v>4645</v>
      </c>
      <c r="J956" s="2" t="s">
        <v>4695</v>
      </c>
      <c r="K956" s="2">
        <v>68</v>
      </c>
      <c r="L956" s="2" t="s">
        <v>4668</v>
      </c>
    </row>
    <row r="957" spans="1:12" ht="33.75" customHeight="1" x14ac:dyDescent="0.25">
      <c r="A957" s="14" t="s">
        <v>2293</v>
      </c>
      <c r="B957" s="3" t="s">
        <v>2294</v>
      </c>
      <c r="C957" s="3" t="s">
        <v>2295</v>
      </c>
      <c r="D957" s="3" t="s">
        <v>4671</v>
      </c>
      <c r="E957" s="3" t="s">
        <v>4901</v>
      </c>
      <c r="F957" s="3" t="s">
        <v>2296</v>
      </c>
      <c r="G957" s="3">
        <v>28.2624</v>
      </c>
      <c r="H957" s="3" t="s">
        <v>4644</v>
      </c>
      <c r="I957" s="3" t="s">
        <v>4645</v>
      </c>
      <c r="J957" s="3" t="s">
        <v>4723</v>
      </c>
      <c r="K957" s="3">
        <v>56</v>
      </c>
      <c r="L957" s="3" t="s">
        <v>4668</v>
      </c>
    </row>
    <row r="958" spans="1:12" ht="33.75" customHeight="1" x14ac:dyDescent="0.25">
      <c r="A958" s="13" t="s">
        <v>2297</v>
      </c>
      <c r="B958" s="2" t="s">
        <v>574</v>
      </c>
      <c r="C958" s="2" t="s">
        <v>2298</v>
      </c>
      <c r="D958" s="2" t="s">
        <v>4671</v>
      </c>
      <c r="E958" s="2" t="s">
        <v>4756</v>
      </c>
      <c r="F958" s="2" t="s">
        <v>576</v>
      </c>
      <c r="G958" s="2">
        <v>28.134399999999999</v>
      </c>
      <c r="H958" s="2" t="s">
        <v>4644</v>
      </c>
      <c r="I958" s="2" t="s">
        <v>4645</v>
      </c>
      <c r="J958" s="2" t="s">
        <v>4697</v>
      </c>
      <c r="K958" s="2">
        <v>48</v>
      </c>
      <c r="L958" s="2" t="s">
        <v>4668</v>
      </c>
    </row>
    <row r="959" spans="1:12" ht="33.75" customHeight="1" x14ac:dyDescent="0.25">
      <c r="A959" s="14" t="s">
        <v>2299</v>
      </c>
      <c r="B959" s="3" t="s">
        <v>2300</v>
      </c>
      <c r="C959" s="3" t="s">
        <v>2301</v>
      </c>
      <c r="D959" s="3" t="s">
        <v>4671</v>
      </c>
      <c r="E959" s="3" t="s">
        <v>4874</v>
      </c>
      <c r="F959" s="3" t="s">
        <v>2302</v>
      </c>
      <c r="G959" s="3">
        <v>28.5824</v>
      </c>
      <c r="H959" s="3" t="s">
        <v>4644</v>
      </c>
      <c r="I959" s="3" t="s">
        <v>4645</v>
      </c>
      <c r="J959" s="3" t="s">
        <v>4735</v>
      </c>
      <c r="K959" s="3">
        <v>76</v>
      </c>
      <c r="L959" s="3" t="s">
        <v>4668</v>
      </c>
    </row>
    <row r="960" spans="1:12" ht="33.75" customHeight="1" x14ac:dyDescent="0.25">
      <c r="A960" s="13" t="s">
        <v>2303</v>
      </c>
      <c r="B960" s="2" t="s">
        <v>1940</v>
      </c>
      <c r="C960" s="2" t="s">
        <v>2304</v>
      </c>
      <c r="D960" s="2" t="s">
        <v>4671</v>
      </c>
      <c r="E960" s="2" t="s">
        <v>4756</v>
      </c>
      <c r="F960" s="2" t="s">
        <v>1942</v>
      </c>
      <c r="G960" s="2">
        <v>28.134399999999999</v>
      </c>
      <c r="H960" s="2" t="s">
        <v>4644</v>
      </c>
      <c r="I960" s="2" t="s">
        <v>4645</v>
      </c>
      <c r="J960" s="2" t="s">
        <v>4697</v>
      </c>
      <c r="K960" s="2">
        <v>48</v>
      </c>
      <c r="L960" s="2" t="s">
        <v>4668</v>
      </c>
    </row>
    <row r="961" spans="1:12" ht="33.75" customHeight="1" x14ac:dyDescent="0.25">
      <c r="A961" s="14" t="s">
        <v>2305</v>
      </c>
      <c r="B961" s="3" t="s">
        <v>1995</v>
      </c>
      <c r="C961" s="3" t="s">
        <v>2306</v>
      </c>
      <c r="D961" s="3" t="s">
        <v>4671</v>
      </c>
      <c r="E961" s="3" t="s">
        <v>4876</v>
      </c>
      <c r="F961" s="3" t="s">
        <v>1997</v>
      </c>
      <c r="G961" s="3">
        <v>30.265280000000001</v>
      </c>
      <c r="H961" s="3" t="s">
        <v>4644</v>
      </c>
      <c r="I961" s="3" t="s">
        <v>4645</v>
      </c>
      <c r="J961" s="3" t="s">
        <v>4721</v>
      </c>
      <c r="K961" s="3">
        <v>48</v>
      </c>
      <c r="L961" s="3" t="s">
        <v>4668</v>
      </c>
    </row>
    <row r="962" spans="1:12" ht="33.75" customHeight="1" x14ac:dyDescent="0.25">
      <c r="A962" s="13" t="s">
        <v>2307</v>
      </c>
      <c r="B962" s="2" t="s">
        <v>2308</v>
      </c>
      <c r="C962" s="2" t="s">
        <v>2309</v>
      </c>
      <c r="D962" s="2" t="s">
        <v>4689</v>
      </c>
      <c r="E962" s="2" t="s">
        <v>4867</v>
      </c>
      <c r="F962" s="2" t="s">
        <v>2310</v>
      </c>
      <c r="G962" s="2">
        <v>27.244160000000001</v>
      </c>
      <c r="H962" s="2" t="s">
        <v>4644</v>
      </c>
      <c r="I962" s="2" t="s">
        <v>4645</v>
      </c>
      <c r="J962" s="2" t="s">
        <v>4691</v>
      </c>
      <c r="K962" s="2">
        <v>36</v>
      </c>
      <c r="L962" s="2" t="s">
        <v>4668</v>
      </c>
    </row>
    <row r="963" spans="1:12" ht="33.75" customHeight="1" x14ac:dyDescent="0.25">
      <c r="A963" s="14" t="s">
        <v>2311</v>
      </c>
      <c r="B963" s="3" t="s">
        <v>226</v>
      </c>
      <c r="C963" s="3" t="s">
        <v>2312</v>
      </c>
      <c r="D963" s="3" t="s">
        <v>4882</v>
      </c>
      <c r="E963" s="3" t="s">
        <v>4688</v>
      </c>
      <c r="F963" s="3" t="s">
        <v>228</v>
      </c>
      <c r="G963" s="3">
        <v>30.6632</v>
      </c>
      <c r="H963" s="3" t="s">
        <v>4644</v>
      </c>
      <c r="I963" s="3" t="s">
        <v>4645</v>
      </c>
      <c r="J963" s="3" t="s">
        <v>4650</v>
      </c>
      <c r="K963" s="3">
        <v>24</v>
      </c>
      <c r="L963" s="3" t="s">
        <v>4647</v>
      </c>
    </row>
    <row r="964" spans="1:12" ht="33.75" customHeight="1" x14ac:dyDescent="0.25">
      <c r="A964" s="13" t="s">
        <v>2313</v>
      </c>
      <c r="B964" s="2" t="s">
        <v>226</v>
      </c>
      <c r="C964" s="2" t="s">
        <v>2314</v>
      </c>
      <c r="D964" s="2" t="s">
        <v>4882</v>
      </c>
      <c r="E964" s="2" t="s">
        <v>4688</v>
      </c>
      <c r="F964" s="2" t="s">
        <v>228</v>
      </c>
      <c r="G964" s="2">
        <v>30.6632</v>
      </c>
      <c r="H964" s="2" t="s">
        <v>4644</v>
      </c>
      <c r="I964" s="2" t="s">
        <v>4645</v>
      </c>
      <c r="J964" s="2" t="s">
        <v>4650</v>
      </c>
      <c r="K964" s="2">
        <v>24</v>
      </c>
      <c r="L964" s="2" t="s">
        <v>4647</v>
      </c>
    </row>
    <row r="965" spans="1:12" ht="33.75" customHeight="1" x14ac:dyDescent="0.25">
      <c r="A965" s="14" t="s">
        <v>2315</v>
      </c>
      <c r="B965" s="3" t="s">
        <v>112</v>
      </c>
      <c r="C965" s="3" t="s">
        <v>2316</v>
      </c>
      <c r="D965" s="3" t="s">
        <v>4882</v>
      </c>
      <c r="E965" s="3" t="s">
        <v>4660</v>
      </c>
      <c r="F965" s="3" t="s">
        <v>114</v>
      </c>
      <c r="G965" s="3">
        <v>30.7682</v>
      </c>
      <c r="H965" s="3" t="s">
        <v>4644</v>
      </c>
      <c r="I965" s="3" t="s">
        <v>4645</v>
      </c>
      <c r="J965" s="3" t="s">
        <v>4652</v>
      </c>
      <c r="K965" s="3">
        <v>21</v>
      </c>
      <c r="L965" s="3" t="s">
        <v>4647</v>
      </c>
    </row>
    <row r="966" spans="1:12" ht="33.75" customHeight="1" x14ac:dyDescent="0.25">
      <c r="A966" s="13" t="s">
        <v>2317</v>
      </c>
      <c r="B966" s="2" t="s">
        <v>112</v>
      </c>
      <c r="C966" s="2" t="s">
        <v>2318</v>
      </c>
      <c r="D966" s="2" t="s">
        <v>4882</v>
      </c>
      <c r="E966" s="2" t="s">
        <v>4660</v>
      </c>
      <c r="F966" s="2" t="s">
        <v>114</v>
      </c>
      <c r="G966" s="2">
        <v>30.7682</v>
      </c>
      <c r="H966" s="2" t="s">
        <v>4644</v>
      </c>
      <c r="I966" s="2" t="s">
        <v>4645</v>
      </c>
      <c r="J966" s="2" t="s">
        <v>4652</v>
      </c>
      <c r="K966" s="2">
        <v>21</v>
      </c>
      <c r="L966" s="2" t="s">
        <v>4647</v>
      </c>
    </row>
    <row r="967" spans="1:12" ht="33.75" customHeight="1" x14ac:dyDescent="0.25">
      <c r="A967" s="14" t="s">
        <v>2319</v>
      </c>
      <c r="B967" s="3" t="s">
        <v>112</v>
      </c>
      <c r="C967" s="3" t="s">
        <v>2320</v>
      </c>
      <c r="D967" s="3" t="s">
        <v>4882</v>
      </c>
      <c r="E967" s="3" t="s">
        <v>4660</v>
      </c>
      <c r="F967" s="3" t="s">
        <v>114</v>
      </c>
      <c r="G967" s="3">
        <v>30.7682</v>
      </c>
      <c r="H967" s="3" t="s">
        <v>4644</v>
      </c>
      <c r="I967" s="3" t="s">
        <v>4645</v>
      </c>
      <c r="J967" s="3" t="s">
        <v>4652</v>
      </c>
      <c r="K967" s="3">
        <v>21</v>
      </c>
      <c r="L967" s="3" t="s">
        <v>4647</v>
      </c>
    </row>
    <row r="968" spans="1:12" ht="33.75" customHeight="1" x14ac:dyDescent="0.25">
      <c r="A968" s="13" t="s">
        <v>2321</v>
      </c>
      <c r="B968" s="2" t="s">
        <v>156</v>
      </c>
      <c r="C968" s="2" t="s">
        <v>2322</v>
      </c>
      <c r="D968" s="2" t="s">
        <v>4882</v>
      </c>
      <c r="E968" s="2" t="s">
        <v>4670</v>
      </c>
      <c r="F968" s="2" t="s">
        <v>158</v>
      </c>
      <c r="G968" s="2">
        <v>30.987200000000001</v>
      </c>
      <c r="H968" s="2" t="s">
        <v>4644</v>
      </c>
      <c r="I968" s="2" t="s">
        <v>4645</v>
      </c>
      <c r="J968" s="2" t="s">
        <v>4646</v>
      </c>
      <c r="K968" s="2">
        <v>18</v>
      </c>
      <c r="L968" s="2" t="s">
        <v>4647</v>
      </c>
    </row>
    <row r="969" spans="1:12" ht="33.75" customHeight="1" x14ac:dyDescent="0.25">
      <c r="A969" s="14" t="s">
        <v>2323</v>
      </c>
      <c r="B969" s="3" t="s">
        <v>156</v>
      </c>
      <c r="C969" s="3" t="s">
        <v>2324</v>
      </c>
      <c r="D969" s="3" t="s">
        <v>4882</v>
      </c>
      <c r="E969" s="3" t="s">
        <v>4670</v>
      </c>
      <c r="F969" s="3" t="s">
        <v>158</v>
      </c>
      <c r="G969" s="3">
        <v>30.987200000000001</v>
      </c>
      <c r="H969" s="3" t="s">
        <v>4644</v>
      </c>
      <c r="I969" s="3" t="s">
        <v>4645</v>
      </c>
      <c r="J969" s="3" t="s">
        <v>4646</v>
      </c>
      <c r="K969" s="3">
        <v>18</v>
      </c>
      <c r="L969" s="3" t="s">
        <v>4647</v>
      </c>
    </row>
    <row r="970" spans="1:12" ht="33.75" customHeight="1" x14ac:dyDescent="0.25">
      <c r="A970" s="13" t="s">
        <v>2325</v>
      </c>
      <c r="B970" s="2" t="s">
        <v>273</v>
      </c>
      <c r="C970" s="2" t="s">
        <v>2326</v>
      </c>
      <c r="D970" s="2"/>
      <c r="E970" s="2" t="s">
        <v>4694</v>
      </c>
      <c r="F970" s="2" t="s">
        <v>275</v>
      </c>
      <c r="G970" s="2">
        <v>30.084199999999999</v>
      </c>
      <c r="H970" s="2" t="s">
        <v>4644</v>
      </c>
      <c r="I970" s="2" t="s">
        <v>4645</v>
      </c>
      <c r="J970" s="2" t="s">
        <v>4695</v>
      </c>
      <c r="K970" s="2">
        <v>68</v>
      </c>
      <c r="L970" s="2" t="s">
        <v>4647</v>
      </c>
    </row>
    <row r="971" spans="1:12" ht="33.75" customHeight="1" x14ac:dyDescent="0.25">
      <c r="A971" s="14" t="s">
        <v>2327</v>
      </c>
      <c r="B971" s="3" t="s">
        <v>277</v>
      </c>
      <c r="C971" s="3" t="s">
        <v>2328</v>
      </c>
      <c r="D971" s="3"/>
      <c r="E971" s="3" t="s">
        <v>4696</v>
      </c>
      <c r="F971" s="3" t="s">
        <v>279</v>
      </c>
      <c r="G971" s="3">
        <v>29.7592</v>
      </c>
      <c r="H971" s="3" t="s">
        <v>4644</v>
      </c>
      <c r="I971" s="3" t="s">
        <v>4645</v>
      </c>
      <c r="J971" s="3" t="s">
        <v>4697</v>
      </c>
      <c r="K971" s="3">
        <v>48</v>
      </c>
      <c r="L971" s="3" t="s">
        <v>4647</v>
      </c>
    </row>
    <row r="972" spans="1:12" ht="33.75" customHeight="1" x14ac:dyDescent="0.25">
      <c r="A972" s="13" t="s">
        <v>2329</v>
      </c>
      <c r="B972" s="2" t="s">
        <v>414</v>
      </c>
      <c r="C972" s="2" t="s">
        <v>2330</v>
      </c>
      <c r="D972" s="2"/>
      <c r="E972" s="2" t="s">
        <v>4732</v>
      </c>
      <c r="F972" s="2" t="s">
        <v>416</v>
      </c>
      <c r="G972" s="2">
        <v>31.0092</v>
      </c>
      <c r="H972" s="2" t="s">
        <v>4644</v>
      </c>
      <c r="I972" s="2" t="s">
        <v>4645</v>
      </c>
      <c r="J972" s="2" t="s">
        <v>4733</v>
      </c>
      <c r="K972" s="2">
        <v>87</v>
      </c>
      <c r="L972" s="2" t="s">
        <v>4647</v>
      </c>
    </row>
    <row r="973" spans="1:12" ht="33.75" customHeight="1" x14ac:dyDescent="0.25">
      <c r="A973" s="14" t="s">
        <v>2331</v>
      </c>
      <c r="B973" s="3" t="s">
        <v>404</v>
      </c>
      <c r="C973" s="3" t="s">
        <v>2332</v>
      </c>
      <c r="D973" s="3" t="s">
        <v>4701</v>
      </c>
      <c r="E973" s="3" t="s">
        <v>4731</v>
      </c>
      <c r="F973" s="3" t="s">
        <v>406</v>
      </c>
      <c r="G973" s="3">
        <v>29.999199999999998</v>
      </c>
      <c r="H973" s="3" t="s">
        <v>4644</v>
      </c>
      <c r="I973" s="3" t="s">
        <v>4645</v>
      </c>
      <c r="J973" s="3" t="s">
        <v>4695</v>
      </c>
      <c r="K973" s="3">
        <v>63</v>
      </c>
      <c r="L973" s="3" t="s">
        <v>4647</v>
      </c>
    </row>
    <row r="974" spans="1:12" ht="33.75" customHeight="1" x14ac:dyDescent="0.25">
      <c r="A974" s="13" t="s">
        <v>2333</v>
      </c>
      <c r="B974" s="2" t="s">
        <v>422</v>
      </c>
      <c r="C974" s="2" t="s">
        <v>2334</v>
      </c>
      <c r="D974" s="2" t="s">
        <v>4799</v>
      </c>
      <c r="E974" s="2" t="s">
        <v>4736</v>
      </c>
      <c r="F974" s="2" t="s">
        <v>424</v>
      </c>
      <c r="G974" s="2">
        <v>30.7272</v>
      </c>
      <c r="H974" s="2" t="s">
        <v>4644</v>
      </c>
      <c r="I974" s="2" t="s">
        <v>4645</v>
      </c>
      <c r="J974" s="2" t="s">
        <v>4682</v>
      </c>
      <c r="K974" s="2">
        <v>76</v>
      </c>
      <c r="L974" s="2" t="s">
        <v>4647</v>
      </c>
    </row>
    <row r="975" spans="1:12" ht="33.75" customHeight="1" x14ac:dyDescent="0.25">
      <c r="A975" s="14" t="s">
        <v>2335</v>
      </c>
      <c r="B975" s="3" t="s">
        <v>156</v>
      </c>
      <c r="C975" s="3" t="s">
        <v>2336</v>
      </c>
      <c r="D975" s="3" t="s">
        <v>4799</v>
      </c>
      <c r="E975" s="3" t="s">
        <v>4670</v>
      </c>
      <c r="F975" s="3" t="s">
        <v>158</v>
      </c>
      <c r="G975" s="3">
        <v>30.987200000000001</v>
      </c>
      <c r="H975" s="3" t="s">
        <v>4644</v>
      </c>
      <c r="I975" s="3" t="s">
        <v>4645</v>
      </c>
      <c r="J975" s="3" t="s">
        <v>4646</v>
      </c>
      <c r="K975" s="3">
        <v>18</v>
      </c>
      <c r="L975" s="3" t="s">
        <v>4647</v>
      </c>
    </row>
    <row r="976" spans="1:12" ht="33.75" customHeight="1" x14ac:dyDescent="0.25">
      <c r="A976" s="13" t="s">
        <v>2337</v>
      </c>
      <c r="B976" s="2" t="s">
        <v>400</v>
      </c>
      <c r="C976" s="2" t="s">
        <v>2338</v>
      </c>
      <c r="D976" s="2" t="s">
        <v>4851</v>
      </c>
      <c r="E976" s="2" t="s">
        <v>4730</v>
      </c>
      <c r="F976" s="2" t="s">
        <v>402</v>
      </c>
      <c r="G976" s="2">
        <v>34.332239999999999</v>
      </c>
      <c r="H976" s="2" t="s">
        <v>4644</v>
      </c>
      <c r="I976" s="2" t="s">
        <v>4645</v>
      </c>
      <c r="J976" s="2" t="s">
        <v>4719</v>
      </c>
      <c r="K976" s="2">
        <v>72</v>
      </c>
      <c r="L976" s="2" t="s">
        <v>4647</v>
      </c>
    </row>
    <row r="977" spans="1:12" ht="33.75" customHeight="1" x14ac:dyDescent="0.25">
      <c r="A977" s="14" t="s">
        <v>2339</v>
      </c>
      <c r="B977" s="3" t="s">
        <v>2340</v>
      </c>
      <c r="C977" s="3" t="s">
        <v>2341</v>
      </c>
      <c r="D977" s="3" t="s">
        <v>4851</v>
      </c>
      <c r="E977" s="3" t="s">
        <v>4902</v>
      </c>
      <c r="F977" s="3" t="s">
        <v>2342</v>
      </c>
      <c r="G977" s="3">
        <v>50.954000000000001</v>
      </c>
      <c r="H977" s="3" t="s">
        <v>4644</v>
      </c>
      <c r="I977" s="3" t="s">
        <v>4645</v>
      </c>
      <c r="J977" s="3" t="s">
        <v>4770</v>
      </c>
      <c r="K977" s="3">
        <v>57</v>
      </c>
      <c r="L977" s="3" t="s">
        <v>4647</v>
      </c>
    </row>
    <row r="978" spans="1:12" ht="33.75" customHeight="1" x14ac:dyDescent="0.25">
      <c r="A978" s="13" t="s">
        <v>2343</v>
      </c>
      <c r="B978" s="2" t="s">
        <v>386</v>
      </c>
      <c r="C978" s="2" t="s">
        <v>2344</v>
      </c>
      <c r="D978" s="2" t="s">
        <v>4851</v>
      </c>
      <c r="E978" s="2" t="s">
        <v>4727</v>
      </c>
      <c r="F978" s="2" t="s">
        <v>388</v>
      </c>
      <c r="G978" s="2">
        <v>33.783799999999999</v>
      </c>
      <c r="H978" s="2" t="s">
        <v>4644</v>
      </c>
      <c r="I978" s="2" t="s">
        <v>4645</v>
      </c>
      <c r="J978" s="2" t="s">
        <v>4721</v>
      </c>
      <c r="K978" s="2">
        <v>54</v>
      </c>
      <c r="L978" s="2" t="s">
        <v>4647</v>
      </c>
    </row>
    <row r="979" spans="1:12" ht="33.75" customHeight="1" x14ac:dyDescent="0.25">
      <c r="A979" s="14" t="s">
        <v>2345</v>
      </c>
      <c r="B979" s="3" t="s">
        <v>2346</v>
      </c>
      <c r="C979" s="3" t="s">
        <v>1760</v>
      </c>
      <c r="D979" s="3" t="s">
        <v>4851</v>
      </c>
      <c r="E979" s="3" t="s">
        <v>4903</v>
      </c>
      <c r="F979" s="3" t="s">
        <v>2347</v>
      </c>
      <c r="G979" s="3">
        <v>41.816000000000003</v>
      </c>
      <c r="H979" s="3" t="s">
        <v>4644</v>
      </c>
      <c r="I979" s="3" t="s">
        <v>4645</v>
      </c>
      <c r="J979" s="3" t="s">
        <v>4723</v>
      </c>
      <c r="K979" s="3">
        <v>51</v>
      </c>
      <c r="L979" s="3" t="s">
        <v>4647</v>
      </c>
    </row>
    <row r="980" spans="1:12" ht="33.75" customHeight="1" x14ac:dyDescent="0.25">
      <c r="A980" s="13" t="s">
        <v>2348</v>
      </c>
      <c r="B980" s="2" t="s">
        <v>2349</v>
      </c>
      <c r="C980" s="2" t="s">
        <v>2350</v>
      </c>
      <c r="D980" s="2"/>
      <c r="E980" s="2" t="s">
        <v>4904</v>
      </c>
      <c r="F980" s="2" t="s">
        <v>2351</v>
      </c>
      <c r="G980" s="2">
        <v>45.326000000000001</v>
      </c>
      <c r="H980" s="2" t="s">
        <v>4644</v>
      </c>
      <c r="I980" s="2" t="s">
        <v>4645</v>
      </c>
      <c r="J980" s="2" t="s">
        <v>4735</v>
      </c>
      <c r="K980" s="2">
        <v>66</v>
      </c>
      <c r="L980" s="2" t="s">
        <v>4647</v>
      </c>
    </row>
    <row r="981" spans="1:12" ht="33.75" customHeight="1" x14ac:dyDescent="0.25">
      <c r="A981" s="14" t="s">
        <v>2352</v>
      </c>
      <c r="B981" s="3" t="s">
        <v>2353</v>
      </c>
      <c r="C981" s="3" t="s">
        <v>2354</v>
      </c>
      <c r="D981" s="3"/>
      <c r="E981" s="3" t="s">
        <v>4905</v>
      </c>
      <c r="F981" s="3" t="s">
        <v>2355</v>
      </c>
      <c r="G981" s="3">
        <v>42.985999999999997</v>
      </c>
      <c r="H981" s="3" t="s">
        <v>4644</v>
      </c>
      <c r="I981" s="3" t="s">
        <v>4645</v>
      </c>
      <c r="J981" s="3" t="s">
        <v>4695</v>
      </c>
      <c r="K981" s="3">
        <v>54</v>
      </c>
      <c r="L981" s="3" t="s">
        <v>4647</v>
      </c>
    </row>
    <row r="982" spans="1:12" ht="33.75" customHeight="1" x14ac:dyDescent="0.25">
      <c r="A982" s="13" t="s">
        <v>2356</v>
      </c>
      <c r="B982" s="2" t="s">
        <v>2357</v>
      </c>
      <c r="C982" s="2" t="s">
        <v>2358</v>
      </c>
      <c r="D982" s="2"/>
      <c r="E982" s="2" t="s">
        <v>4906</v>
      </c>
      <c r="F982" s="2" t="s">
        <v>2359</v>
      </c>
      <c r="G982" s="2">
        <v>44.335999999999999</v>
      </c>
      <c r="H982" s="2" t="s">
        <v>4644</v>
      </c>
      <c r="I982" s="2" t="s">
        <v>4645</v>
      </c>
      <c r="J982" s="2" t="s">
        <v>4697</v>
      </c>
      <c r="K982" s="2">
        <v>45</v>
      </c>
      <c r="L982" s="2" t="s">
        <v>4647</v>
      </c>
    </row>
    <row r="983" spans="1:12" ht="33.75" customHeight="1" x14ac:dyDescent="0.25">
      <c r="A983" s="14" t="s">
        <v>2360</v>
      </c>
      <c r="B983" s="3" t="s">
        <v>142</v>
      </c>
      <c r="C983" s="3" t="s">
        <v>2361</v>
      </c>
      <c r="D983" s="3" t="s">
        <v>4907</v>
      </c>
      <c r="E983" s="3" t="s">
        <v>4875</v>
      </c>
      <c r="F983" s="3" t="s">
        <v>144</v>
      </c>
      <c r="G983" s="3"/>
      <c r="H983" s="3" t="s">
        <v>4666</v>
      </c>
      <c r="I983" s="3" t="s">
        <v>4667</v>
      </c>
      <c r="J983" s="3" t="s">
        <v>4721</v>
      </c>
      <c r="K983" s="3">
        <v>15</v>
      </c>
      <c r="L983" s="3" t="s">
        <v>4668</v>
      </c>
    </row>
    <row r="984" spans="1:12" ht="33.75" customHeight="1" x14ac:dyDescent="0.25">
      <c r="A984" s="13" t="s">
        <v>2362</v>
      </c>
      <c r="B984" s="2" t="s">
        <v>156</v>
      </c>
      <c r="C984" s="2" t="s">
        <v>2363</v>
      </c>
      <c r="D984" s="2" t="s">
        <v>4792</v>
      </c>
      <c r="E984" s="2" t="s">
        <v>4670</v>
      </c>
      <c r="F984" s="2" t="s">
        <v>158</v>
      </c>
      <c r="G984" s="2">
        <v>30.987200000000001</v>
      </c>
      <c r="H984" s="2" t="s">
        <v>4644</v>
      </c>
      <c r="I984" s="2" t="s">
        <v>4645</v>
      </c>
      <c r="J984" s="2" t="s">
        <v>4646</v>
      </c>
      <c r="K984" s="2">
        <v>18</v>
      </c>
      <c r="L984" s="2" t="s">
        <v>4647</v>
      </c>
    </row>
    <row r="985" spans="1:12" ht="33.75" customHeight="1" x14ac:dyDescent="0.25">
      <c r="A985" s="14" t="s">
        <v>2364</v>
      </c>
      <c r="B985" s="3" t="s">
        <v>57</v>
      </c>
      <c r="C985" s="3" t="s">
        <v>2365</v>
      </c>
      <c r="D985" s="3"/>
      <c r="E985" s="3" t="s">
        <v>4643</v>
      </c>
      <c r="F985" s="3" t="s">
        <v>59</v>
      </c>
      <c r="G985" s="3">
        <v>31.825199999999999</v>
      </c>
      <c r="H985" s="3" t="s">
        <v>4644</v>
      </c>
      <c r="I985" s="3" t="s">
        <v>4645</v>
      </c>
      <c r="J985" s="3" t="s">
        <v>4646</v>
      </c>
      <c r="K985" s="3">
        <v>21</v>
      </c>
      <c r="L985" s="3" t="s">
        <v>4647</v>
      </c>
    </row>
    <row r="986" spans="1:12" ht="33.75" customHeight="1" x14ac:dyDescent="0.25">
      <c r="A986" s="13" t="s">
        <v>2366</v>
      </c>
      <c r="B986" s="2" t="s">
        <v>2367</v>
      </c>
      <c r="C986" s="2" t="s">
        <v>2368</v>
      </c>
      <c r="D986" s="2"/>
      <c r="E986" s="2" t="s">
        <v>4908</v>
      </c>
      <c r="F986" s="2" t="s">
        <v>2369</v>
      </c>
      <c r="G986" s="2">
        <v>27.707999999999998</v>
      </c>
      <c r="H986" s="2" t="s">
        <v>4644</v>
      </c>
      <c r="I986" s="2" t="s">
        <v>4645</v>
      </c>
      <c r="J986" s="2" t="s">
        <v>4770</v>
      </c>
      <c r="K986" s="2">
        <v>63</v>
      </c>
      <c r="L986" s="2" t="s">
        <v>4647</v>
      </c>
    </row>
    <row r="987" spans="1:12" ht="33.75" customHeight="1" x14ac:dyDescent="0.25">
      <c r="A987" s="14" t="s">
        <v>2370</v>
      </c>
      <c r="B987" s="3" t="s">
        <v>418</v>
      </c>
      <c r="C987" s="3" t="s">
        <v>2371</v>
      </c>
      <c r="D987" s="3"/>
      <c r="E987" s="3" t="s">
        <v>4734</v>
      </c>
      <c r="F987" s="3" t="s">
        <v>420</v>
      </c>
      <c r="G987" s="3">
        <v>30.655200000000001</v>
      </c>
      <c r="H987" s="3" t="s">
        <v>4644</v>
      </c>
      <c r="I987" s="3" t="s">
        <v>4645</v>
      </c>
      <c r="J987" s="3" t="s">
        <v>4735</v>
      </c>
      <c r="K987" s="3">
        <v>72</v>
      </c>
      <c r="L987" s="3" t="s">
        <v>4647</v>
      </c>
    </row>
    <row r="988" spans="1:12" ht="33.75" customHeight="1" x14ac:dyDescent="0.25">
      <c r="A988" s="13" t="s">
        <v>2372</v>
      </c>
      <c r="B988" s="2" t="s">
        <v>2373</v>
      </c>
      <c r="C988" s="2" t="s">
        <v>2374</v>
      </c>
      <c r="D988" s="2" t="s">
        <v>4737</v>
      </c>
      <c r="E988" s="2" t="s">
        <v>4909</v>
      </c>
      <c r="F988" s="2" t="s">
        <v>2375</v>
      </c>
      <c r="G988" s="2">
        <v>28.649000000000001</v>
      </c>
      <c r="H988" s="2" t="s">
        <v>4644</v>
      </c>
      <c r="I988" s="2" t="s">
        <v>4645</v>
      </c>
      <c r="J988" s="2" t="s">
        <v>4708</v>
      </c>
      <c r="K988" s="2">
        <v>90</v>
      </c>
      <c r="L988" s="2" t="s">
        <v>4647</v>
      </c>
    </row>
    <row r="989" spans="1:12" ht="33.75" customHeight="1" x14ac:dyDescent="0.25">
      <c r="A989" s="14" t="s">
        <v>2376</v>
      </c>
      <c r="B989" s="3" t="s">
        <v>112</v>
      </c>
      <c r="C989" s="3" t="s">
        <v>2377</v>
      </c>
      <c r="D989" s="3" t="s">
        <v>4799</v>
      </c>
      <c r="E989" s="3" t="s">
        <v>4660</v>
      </c>
      <c r="F989" s="3" t="s">
        <v>114</v>
      </c>
      <c r="G989" s="3">
        <v>30.7682</v>
      </c>
      <c r="H989" s="3" t="s">
        <v>4644</v>
      </c>
      <c r="I989" s="3" t="s">
        <v>4645</v>
      </c>
      <c r="J989" s="3" t="s">
        <v>4652</v>
      </c>
      <c r="K989" s="3">
        <v>21</v>
      </c>
      <c r="L989" s="3" t="s">
        <v>4647</v>
      </c>
    </row>
    <row r="990" spans="1:12" ht="33.75" customHeight="1" x14ac:dyDescent="0.25">
      <c r="A990" s="13" t="s">
        <v>2378</v>
      </c>
      <c r="B990" s="2" t="s">
        <v>2379</v>
      </c>
      <c r="C990" s="2" t="s">
        <v>2380</v>
      </c>
      <c r="D990" s="2" t="s">
        <v>4799</v>
      </c>
      <c r="E990" s="2" t="s">
        <v>4910</v>
      </c>
      <c r="F990" s="2" t="s">
        <v>2381</v>
      </c>
      <c r="G990" s="2">
        <v>31.98368</v>
      </c>
      <c r="H990" s="2" t="s">
        <v>4644</v>
      </c>
      <c r="I990" s="2" t="s">
        <v>4645</v>
      </c>
      <c r="J990" s="2" t="s">
        <v>4656</v>
      </c>
      <c r="K990" s="2">
        <v>36</v>
      </c>
      <c r="L990" s="2" t="s">
        <v>4647</v>
      </c>
    </row>
    <row r="991" spans="1:12" ht="33.75" customHeight="1" x14ac:dyDescent="0.25">
      <c r="A991" s="14" t="s">
        <v>2382</v>
      </c>
      <c r="B991" s="3" t="s">
        <v>400</v>
      </c>
      <c r="C991" s="3" t="s">
        <v>2383</v>
      </c>
      <c r="D991" s="3"/>
      <c r="E991" s="3" t="s">
        <v>4730</v>
      </c>
      <c r="F991" s="3" t="s">
        <v>402</v>
      </c>
      <c r="G991" s="3">
        <v>34.332239999999999</v>
      </c>
      <c r="H991" s="3" t="s">
        <v>4644</v>
      </c>
      <c r="I991" s="3" t="s">
        <v>4645</v>
      </c>
      <c r="J991" s="3" t="s">
        <v>4719</v>
      </c>
      <c r="K991" s="3">
        <v>72</v>
      </c>
      <c r="L991" s="3" t="s">
        <v>4647</v>
      </c>
    </row>
    <row r="992" spans="1:12" ht="33.75" customHeight="1" x14ac:dyDescent="0.25">
      <c r="A992" s="13" t="s">
        <v>2384</v>
      </c>
      <c r="B992" s="2" t="s">
        <v>1294</v>
      </c>
      <c r="C992" s="2" t="s">
        <v>2385</v>
      </c>
      <c r="D992" s="2" t="s">
        <v>4911</v>
      </c>
      <c r="E992" s="2" t="s">
        <v>4819</v>
      </c>
      <c r="F992" s="2" t="s">
        <v>1296</v>
      </c>
      <c r="G992" s="2">
        <v>27.925999999999998</v>
      </c>
      <c r="H992" s="2" t="s">
        <v>4644</v>
      </c>
      <c r="I992" s="2" t="s">
        <v>4645</v>
      </c>
      <c r="J992" s="2" t="s">
        <v>4735</v>
      </c>
      <c r="K992" s="2">
        <v>57</v>
      </c>
      <c r="L992" s="2" t="s">
        <v>4647</v>
      </c>
    </row>
    <row r="993" spans="1:12" ht="33.75" customHeight="1" x14ac:dyDescent="0.25">
      <c r="A993" s="14" t="s">
        <v>2386</v>
      </c>
      <c r="B993" s="3" t="s">
        <v>878</v>
      </c>
      <c r="C993" s="3" t="s">
        <v>2387</v>
      </c>
      <c r="D993" s="3" t="s">
        <v>4911</v>
      </c>
      <c r="E993" s="3" t="s">
        <v>4802</v>
      </c>
      <c r="F993" s="3" t="s">
        <v>880</v>
      </c>
      <c r="G993" s="3">
        <v>27.925999999999998</v>
      </c>
      <c r="H993" s="3" t="s">
        <v>4644</v>
      </c>
      <c r="I993" s="3" t="s">
        <v>4645</v>
      </c>
      <c r="J993" s="3" t="s">
        <v>4695</v>
      </c>
      <c r="K993" s="3">
        <v>51</v>
      </c>
      <c r="L993" s="3" t="s">
        <v>4647</v>
      </c>
    </row>
    <row r="994" spans="1:12" ht="33.75" customHeight="1" x14ac:dyDescent="0.25">
      <c r="A994" s="13" t="s">
        <v>2388</v>
      </c>
      <c r="B994" s="2" t="s">
        <v>1427</v>
      </c>
      <c r="C994" s="2" t="s">
        <v>2389</v>
      </c>
      <c r="D994" s="2" t="s">
        <v>4737</v>
      </c>
      <c r="E994" s="2" t="s">
        <v>4827</v>
      </c>
      <c r="F994" s="2" t="s">
        <v>1429</v>
      </c>
      <c r="G994" s="2">
        <v>28.649000000000001</v>
      </c>
      <c r="H994" s="2" t="s">
        <v>4644</v>
      </c>
      <c r="I994" s="2" t="s">
        <v>4645</v>
      </c>
      <c r="J994" s="2" t="s">
        <v>4770</v>
      </c>
      <c r="K994" s="2">
        <v>63</v>
      </c>
      <c r="L994" s="2" t="s">
        <v>4647</v>
      </c>
    </row>
    <row r="995" spans="1:12" ht="33.75" customHeight="1" x14ac:dyDescent="0.25">
      <c r="A995" s="14" t="s">
        <v>2390</v>
      </c>
      <c r="B995" s="3" t="s">
        <v>2391</v>
      </c>
      <c r="C995" s="3" t="s">
        <v>2392</v>
      </c>
      <c r="D995" s="3"/>
      <c r="E995" s="3" t="s">
        <v>4912</v>
      </c>
      <c r="F995" s="3" t="s">
        <v>2393</v>
      </c>
      <c r="G995" s="3">
        <v>32.3872</v>
      </c>
      <c r="H995" s="3" t="s">
        <v>4644</v>
      </c>
      <c r="I995" s="3" t="s">
        <v>4645</v>
      </c>
      <c r="J995" s="3" t="s">
        <v>4770</v>
      </c>
      <c r="K995" s="3">
        <v>48</v>
      </c>
      <c r="L995" s="3" t="s">
        <v>4647</v>
      </c>
    </row>
    <row r="996" spans="1:12" ht="33.75" customHeight="1" x14ac:dyDescent="0.25">
      <c r="A996" s="13" t="s">
        <v>2394</v>
      </c>
      <c r="B996" s="2" t="s">
        <v>846</v>
      </c>
      <c r="C996" s="2" t="s">
        <v>2395</v>
      </c>
      <c r="D996" s="2"/>
      <c r="E996" s="2" t="s">
        <v>4800</v>
      </c>
      <c r="F996" s="2" t="s">
        <v>848</v>
      </c>
      <c r="G996" s="2">
        <v>29.944199999999999</v>
      </c>
      <c r="H996" s="2" t="s">
        <v>4644</v>
      </c>
      <c r="I996" s="2" t="s">
        <v>4645</v>
      </c>
      <c r="J996" s="2" t="s">
        <v>4684</v>
      </c>
      <c r="K996" s="2">
        <v>68</v>
      </c>
      <c r="L996" s="2" t="s">
        <v>4647</v>
      </c>
    </row>
    <row r="997" spans="1:12" ht="33.75" customHeight="1" x14ac:dyDescent="0.25">
      <c r="A997" s="14" t="s">
        <v>2396</v>
      </c>
      <c r="B997" s="3" t="s">
        <v>366</v>
      </c>
      <c r="C997" s="3" t="s">
        <v>2397</v>
      </c>
      <c r="D997" s="3"/>
      <c r="E997" s="3" t="s">
        <v>4718</v>
      </c>
      <c r="F997" s="3" t="s">
        <v>368</v>
      </c>
      <c r="G997" s="3">
        <v>32.983400000000003</v>
      </c>
      <c r="H997" s="3" t="s">
        <v>4644</v>
      </c>
      <c r="I997" s="3" t="s">
        <v>4645</v>
      </c>
      <c r="J997" s="3" t="s">
        <v>4719</v>
      </c>
      <c r="K997" s="3">
        <v>60</v>
      </c>
      <c r="L997" s="3" t="s">
        <v>4647</v>
      </c>
    </row>
    <row r="998" spans="1:12" ht="33.75" customHeight="1" x14ac:dyDescent="0.25">
      <c r="A998" s="13" t="s">
        <v>2398</v>
      </c>
      <c r="B998" s="2" t="s">
        <v>142</v>
      </c>
      <c r="C998" s="2" t="s">
        <v>2399</v>
      </c>
      <c r="D998" s="2" t="s">
        <v>4674</v>
      </c>
      <c r="E998" s="2" t="s">
        <v>4665</v>
      </c>
      <c r="F998" s="2" t="s">
        <v>144</v>
      </c>
      <c r="G998" s="2"/>
      <c r="H998" s="2" t="s">
        <v>4666</v>
      </c>
      <c r="I998" s="2" t="s">
        <v>4667</v>
      </c>
      <c r="J998" s="2" t="s">
        <v>4697</v>
      </c>
      <c r="K998" s="2">
        <v>12</v>
      </c>
      <c r="L998" s="2" t="s">
        <v>4668</v>
      </c>
    </row>
    <row r="999" spans="1:12" ht="33.75" customHeight="1" x14ac:dyDescent="0.25">
      <c r="A999" s="14" t="s">
        <v>2400</v>
      </c>
      <c r="B999" s="3" t="s">
        <v>2401</v>
      </c>
      <c r="C999" s="3" t="s">
        <v>2402</v>
      </c>
      <c r="D999" s="3"/>
      <c r="E999" s="3" t="s">
        <v>4913</v>
      </c>
      <c r="F999" s="3" t="s">
        <v>2403</v>
      </c>
      <c r="G999" s="3">
        <v>29.949200000000001</v>
      </c>
      <c r="H999" s="3" t="s">
        <v>4644</v>
      </c>
      <c r="I999" s="3" t="s">
        <v>4645</v>
      </c>
      <c r="J999" s="3" t="s">
        <v>4708</v>
      </c>
      <c r="K999" s="3">
        <v>96</v>
      </c>
      <c r="L999" s="3" t="s">
        <v>4647</v>
      </c>
    </row>
    <row r="1000" spans="1:12" ht="33.75" customHeight="1" x14ac:dyDescent="0.25">
      <c r="A1000" s="13" t="s">
        <v>2404</v>
      </c>
      <c r="B1000" s="2" t="s">
        <v>156</v>
      </c>
      <c r="C1000" s="2" t="s">
        <v>2405</v>
      </c>
      <c r="D1000" s="2" t="s">
        <v>4687</v>
      </c>
      <c r="E1000" s="2" t="s">
        <v>4670</v>
      </c>
      <c r="F1000" s="2" t="s">
        <v>158</v>
      </c>
      <c r="G1000" s="2">
        <v>30.987200000000001</v>
      </c>
      <c r="H1000" s="2" t="s">
        <v>4644</v>
      </c>
      <c r="I1000" s="2" t="s">
        <v>4645</v>
      </c>
      <c r="J1000" s="2" t="s">
        <v>4646</v>
      </c>
      <c r="K1000" s="2">
        <v>18</v>
      </c>
      <c r="L1000" s="2" t="s">
        <v>4647</v>
      </c>
    </row>
    <row r="1001" spans="1:12" ht="33.75" customHeight="1" x14ac:dyDescent="0.25">
      <c r="A1001" s="14" t="s">
        <v>2406</v>
      </c>
      <c r="B1001" s="3" t="s">
        <v>277</v>
      </c>
      <c r="C1001" s="3" t="s">
        <v>2407</v>
      </c>
      <c r="D1001" s="3"/>
      <c r="E1001" s="3" t="s">
        <v>4696</v>
      </c>
      <c r="F1001" s="3" t="s">
        <v>279</v>
      </c>
      <c r="G1001" s="3">
        <v>29.7592</v>
      </c>
      <c r="H1001" s="3" t="s">
        <v>4644</v>
      </c>
      <c r="I1001" s="3" t="s">
        <v>4645</v>
      </c>
      <c r="J1001" s="3" t="s">
        <v>4697</v>
      </c>
      <c r="K1001" s="3">
        <v>48</v>
      </c>
      <c r="L1001" s="3" t="s">
        <v>4647</v>
      </c>
    </row>
    <row r="1002" spans="1:12" ht="33.75" customHeight="1" x14ac:dyDescent="0.25">
      <c r="A1002" s="13" t="s">
        <v>2408</v>
      </c>
      <c r="B1002" s="2" t="s">
        <v>1638</v>
      </c>
      <c r="C1002" s="2" t="s">
        <v>2409</v>
      </c>
      <c r="D1002" s="2"/>
      <c r="E1002" s="2" t="s">
        <v>4842</v>
      </c>
      <c r="F1002" s="2" t="s">
        <v>1640</v>
      </c>
      <c r="G1002" s="2">
        <v>33.259399999999999</v>
      </c>
      <c r="H1002" s="2" t="s">
        <v>4644</v>
      </c>
      <c r="I1002" s="2" t="s">
        <v>4645</v>
      </c>
      <c r="J1002" s="2" t="s">
        <v>4726</v>
      </c>
      <c r="K1002" s="2">
        <v>72</v>
      </c>
      <c r="L1002" s="2" t="s">
        <v>4647</v>
      </c>
    </row>
    <row r="1003" spans="1:12" ht="33.75" customHeight="1" x14ac:dyDescent="0.25">
      <c r="A1003" s="14" t="s">
        <v>2410</v>
      </c>
      <c r="B1003" s="3" t="s">
        <v>1638</v>
      </c>
      <c r="C1003" s="3" t="s">
        <v>2411</v>
      </c>
      <c r="D1003" s="3"/>
      <c r="E1003" s="3" t="s">
        <v>4842</v>
      </c>
      <c r="F1003" s="3" t="s">
        <v>1640</v>
      </c>
      <c r="G1003" s="3">
        <v>33.259399999999999</v>
      </c>
      <c r="H1003" s="3" t="s">
        <v>4644</v>
      </c>
      <c r="I1003" s="3" t="s">
        <v>4645</v>
      </c>
      <c r="J1003" s="3" t="s">
        <v>4726</v>
      </c>
      <c r="K1003" s="3">
        <v>72</v>
      </c>
      <c r="L1003" s="3" t="s">
        <v>4647</v>
      </c>
    </row>
    <row r="1004" spans="1:12" ht="33.75" customHeight="1" x14ac:dyDescent="0.25">
      <c r="A1004" s="13" t="s">
        <v>2412</v>
      </c>
      <c r="B1004" s="2" t="s">
        <v>418</v>
      </c>
      <c r="C1004" s="2" t="s">
        <v>2413</v>
      </c>
      <c r="D1004" s="2" t="s">
        <v>4663</v>
      </c>
      <c r="E1004" s="2" t="s">
        <v>4734</v>
      </c>
      <c r="F1004" s="2" t="s">
        <v>420</v>
      </c>
      <c r="G1004" s="2">
        <v>30.655200000000001</v>
      </c>
      <c r="H1004" s="2" t="s">
        <v>4644</v>
      </c>
      <c r="I1004" s="2" t="s">
        <v>4645</v>
      </c>
      <c r="J1004" s="2" t="s">
        <v>4735</v>
      </c>
      <c r="K1004" s="2">
        <v>72</v>
      </c>
      <c r="L1004" s="2" t="s">
        <v>4647</v>
      </c>
    </row>
    <row r="1005" spans="1:12" ht="33.75" customHeight="1" x14ac:dyDescent="0.25">
      <c r="A1005" s="14" t="s">
        <v>2414</v>
      </c>
      <c r="B1005" s="3" t="s">
        <v>418</v>
      </c>
      <c r="C1005" s="3" t="s">
        <v>2415</v>
      </c>
      <c r="D1005" s="3" t="s">
        <v>4663</v>
      </c>
      <c r="E1005" s="3" t="s">
        <v>4734</v>
      </c>
      <c r="F1005" s="3" t="s">
        <v>420</v>
      </c>
      <c r="G1005" s="3">
        <v>30.655200000000001</v>
      </c>
      <c r="H1005" s="3" t="s">
        <v>4644</v>
      </c>
      <c r="I1005" s="3" t="s">
        <v>4645</v>
      </c>
      <c r="J1005" s="3" t="s">
        <v>4735</v>
      </c>
      <c r="K1005" s="3">
        <v>72</v>
      </c>
      <c r="L1005" s="3" t="s">
        <v>4647</v>
      </c>
    </row>
    <row r="1006" spans="1:12" ht="33.75" customHeight="1" x14ac:dyDescent="0.25">
      <c r="A1006" s="13" t="s">
        <v>2416</v>
      </c>
      <c r="B1006" s="2" t="s">
        <v>273</v>
      </c>
      <c r="C1006" s="2" t="s">
        <v>2417</v>
      </c>
      <c r="D1006" s="2"/>
      <c r="E1006" s="2" t="s">
        <v>4694</v>
      </c>
      <c r="F1006" s="2" t="s">
        <v>275</v>
      </c>
      <c r="G1006" s="2">
        <v>30.084199999999999</v>
      </c>
      <c r="H1006" s="2" t="s">
        <v>4644</v>
      </c>
      <c r="I1006" s="2" t="s">
        <v>4645</v>
      </c>
      <c r="J1006" s="2" t="s">
        <v>4695</v>
      </c>
      <c r="K1006" s="2">
        <v>68</v>
      </c>
      <c r="L1006" s="2" t="s">
        <v>4647</v>
      </c>
    </row>
    <row r="1007" spans="1:12" ht="33.75" customHeight="1" x14ac:dyDescent="0.25">
      <c r="A1007" s="14" t="s">
        <v>2418</v>
      </c>
      <c r="B1007" s="3" t="s">
        <v>1727</v>
      </c>
      <c r="C1007" s="3" t="s">
        <v>2419</v>
      </c>
      <c r="D1007" s="3"/>
      <c r="E1007" s="3" t="s">
        <v>4847</v>
      </c>
      <c r="F1007" s="3" t="s">
        <v>1729</v>
      </c>
      <c r="G1007" s="3">
        <v>29.0792</v>
      </c>
      <c r="H1007" s="3" t="s">
        <v>4644</v>
      </c>
      <c r="I1007" s="3" t="s">
        <v>4645</v>
      </c>
      <c r="J1007" s="3" t="s">
        <v>4691</v>
      </c>
      <c r="K1007" s="3">
        <v>36</v>
      </c>
      <c r="L1007" s="3" t="s">
        <v>4647</v>
      </c>
    </row>
    <row r="1008" spans="1:12" ht="33.75" customHeight="1" x14ac:dyDescent="0.25">
      <c r="A1008" s="13" t="s">
        <v>2420</v>
      </c>
      <c r="B1008" s="2" t="s">
        <v>422</v>
      </c>
      <c r="C1008" s="2" t="s">
        <v>2421</v>
      </c>
      <c r="D1008" s="2"/>
      <c r="E1008" s="2" t="s">
        <v>4736</v>
      </c>
      <c r="F1008" s="2" t="s">
        <v>424</v>
      </c>
      <c r="G1008" s="2">
        <v>30.7272</v>
      </c>
      <c r="H1008" s="2" t="s">
        <v>4644</v>
      </c>
      <c r="I1008" s="2" t="s">
        <v>4645</v>
      </c>
      <c r="J1008" s="2" t="s">
        <v>4682</v>
      </c>
      <c r="K1008" s="2">
        <v>76</v>
      </c>
      <c r="L1008" s="2" t="s">
        <v>4647</v>
      </c>
    </row>
    <row r="1009" spans="1:12" ht="33.75" customHeight="1" x14ac:dyDescent="0.25">
      <c r="A1009" s="14" t="s">
        <v>2422</v>
      </c>
      <c r="B1009" s="3" t="s">
        <v>422</v>
      </c>
      <c r="C1009" s="3" t="s">
        <v>2423</v>
      </c>
      <c r="D1009" s="3"/>
      <c r="E1009" s="3" t="s">
        <v>4736</v>
      </c>
      <c r="F1009" s="3" t="s">
        <v>424</v>
      </c>
      <c r="G1009" s="3">
        <v>30.7272</v>
      </c>
      <c r="H1009" s="3" t="s">
        <v>4644</v>
      </c>
      <c r="I1009" s="3" t="s">
        <v>4645</v>
      </c>
      <c r="J1009" s="3" t="s">
        <v>4735</v>
      </c>
      <c r="K1009" s="3">
        <v>76</v>
      </c>
      <c r="L1009" s="3" t="s">
        <v>4647</v>
      </c>
    </row>
    <row r="1010" spans="1:12" ht="33.75" customHeight="1" x14ac:dyDescent="0.25">
      <c r="A1010" s="13" t="s">
        <v>2424</v>
      </c>
      <c r="B1010" s="2" t="s">
        <v>846</v>
      </c>
      <c r="C1010" s="2" t="s">
        <v>2425</v>
      </c>
      <c r="D1010" s="2"/>
      <c r="E1010" s="2" t="s">
        <v>4800</v>
      </c>
      <c r="F1010" s="2" t="s">
        <v>848</v>
      </c>
      <c r="G1010" s="2">
        <v>29.944199999999999</v>
      </c>
      <c r="H1010" s="2" t="s">
        <v>4644</v>
      </c>
      <c r="I1010" s="2" t="s">
        <v>4645</v>
      </c>
      <c r="J1010" s="2" t="s">
        <v>4684</v>
      </c>
      <c r="K1010" s="2">
        <v>68</v>
      </c>
      <c r="L1010" s="2" t="s">
        <v>4647</v>
      </c>
    </row>
    <row r="1011" spans="1:12" ht="33.75" customHeight="1" x14ac:dyDescent="0.25">
      <c r="A1011" s="14" t="s">
        <v>2426</v>
      </c>
      <c r="B1011" s="3" t="s">
        <v>273</v>
      </c>
      <c r="C1011" s="3" t="s">
        <v>2427</v>
      </c>
      <c r="D1011" s="3"/>
      <c r="E1011" s="3" t="s">
        <v>4694</v>
      </c>
      <c r="F1011" s="3" t="s">
        <v>275</v>
      </c>
      <c r="G1011" s="3">
        <v>30.084199999999999</v>
      </c>
      <c r="H1011" s="3" t="s">
        <v>4644</v>
      </c>
      <c r="I1011" s="3" t="s">
        <v>4645</v>
      </c>
      <c r="J1011" s="3" t="s">
        <v>4695</v>
      </c>
      <c r="K1011" s="3">
        <v>68</v>
      </c>
      <c r="L1011" s="3" t="s">
        <v>4647</v>
      </c>
    </row>
    <row r="1012" spans="1:12" ht="33.75" customHeight="1" x14ac:dyDescent="0.25">
      <c r="A1012" s="13" t="s">
        <v>2428</v>
      </c>
      <c r="B1012" s="2" t="s">
        <v>277</v>
      </c>
      <c r="C1012" s="2" t="s">
        <v>2429</v>
      </c>
      <c r="D1012" s="2"/>
      <c r="E1012" s="2" t="s">
        <v>4696</v>
      </c>
      <c r="F1012" s="2" t="s">
        <v>279</v>
      </c>
      <c r="G1012" s="2">
        <v>29.7592</v>
      </c>
      <c r="H1012" s="2" t="s">
        <v>4644</v>
      </c>
      <c r="I1012" s="2" t="s">
        <v>4645</v>
      </c>
      <c r="J1012" s="2" t="s">
        <v>4697</v>
      </c>
      <c r="K1012" s="2">
        <v>48</v>
      </c>
      <c r="L1012" s="2" t="s">
        <v>4647</v>
      </c>
    </row>
    <row r="1013" spans="1:12" ht="33.75" customHeight="1" x14ac:dyDescent="0.25">
      <c r="A1013" s="14" t="s">
        <v>2430</v>
      </c>
      <c r="B1013" s="3" t="s">
        <v>156</v>
      </c>
      <c r="C1013" s="3" t="s">
        <v>2431</v>
      </c>
      <c r="D1013" s="3"/>
      <c r="E1013" s="3" t="s">
        <v>4670</v>
      </c>
      <c r="F1013" s="3" t="s">
        <v>158</v>
      </c>
      <c r="G1013" s="3">
        <v>30.987200000000001</v>
      </c>
      <c r="H1013" s="3" t="s">
        <v>4644</v>
      </c>
      <c r="I1013" s="3" t="s">
        <v>4645</v>
      </c>
      <c r="J1013" s="3" t="s">
        <v>4646</v>
      </c>
      <c r="K1013" s="3">
        <v>18</v>
      </c>
      <c r="L1013" s="3" t="s">
        <v>4647</v>
      </c>
    </row>
    <row r="1014" spans="1:12" ht="33.75" customHeight="1" x14ac:dyDescent="0.25">
      <c r="A1014" s="13" t="s">
        <v>2432</v>
      </c>
      <c r="B1014" s="2" t="s">
        <v>794</v>
      </c>
      <c r="C1014" s="2" t="s">
        <v>2433</v>
      </c>
      <c r="D1014" s="2"/>
      <c r="E1014" s="2" t="s">
        <v>4791</v>
      </c>
      <c r="F1014" s="2" t="s">
        <v>796</v>
      </c>
      <c r="G1014" s="2">
        <v>34.151200000000003</v>
      </c>
      <c r="H1014" s="2" t="s">
        <v>4644</v>
      </c>
      <c r="I1014" s="2" t="s">
        <v>4645</v>
      </c>
      <c r="J1014" s="2" t="s">
        <v>4770</v>
      </c>
      <c r="K1014" s="2">
        <v>63</v>
      </c>
      <c r="L1014" s="2" t="s">
        <v>4647</v>
      </c>
    </row>
    <row r="1015" spans="1:12" ht="33.75" customHeight="1" x14ac:dyDescent="0.25">
      <c r="A1015" s="14" t="s">
        <v>2434</v>
      </c>
      <c r="B1015" s="3" t="s">
        <v>990</v>
      </c>
      <c r="C1015" s="3" t="s">
        <v>2435</v>
      </c>
      <c r="D1015" s="3"/>
      <c r="E1015" s="3" t="s">
        <v>4806</v>
      </c>
      <c r="F1015" s="3" t="s">
        <v>992</v>
      </c>
      <c r="G1015" s="3">
        <v>29.755199999999999</v>
      </c>
      <c r="H1015" s="3" t="s">
        <v>4644</v>
      </c>
      <c r="I1015" s="3" t="s">
        <v>4645</v>
      </c>
      <c r="J1015" s="3" t="s">
        <v>4723</v>
      </c>
      <c r="K1015" s="3">
        <v>54</v>
      </c>
      <c r="L1015" s="3" t="s">
        <v>4647</v>
      </c>
    </row>
    <row r="1016" spans="1:12" ht="33.75" customHeight="1" x14ac:dyDescent="0.25">
      <c r="A1016" s="13" t="s">
        <v>2436</v>
      </c>
      <c r="B1016" s="2" t="s">
        <v>418</v>
      </c>
      <c r="C1016" s="2" t="s">
        <v>2437</v>
      </c>
      <c r="D1016" s="2"/>
      <c r="E1016" s="2" t="s">
        <v>4734</v>
      </c>
      <c r="F1016" s="2" t="s">
        <v>420</v>
      </c>
      <c r="G1016" s="2">
        <v>30.655200000000001</v>
      </c>
      <c r="H1016" s="2" t="s">
        <v>4644</v>
      </c>
      <c r="I1016" s="2" t="s">
        <v>4645</v>
      </c>
      <c r="J1016" s="2" t="s">
        <v>4682</v>
      </c>
      <c r="K1016" s="2">
        <v>72</v>
      </c>
      <c r="L1016" s="2" t="s">
        <v>4647</v>
      </c>
    </row>
    <row r="1017" spans="1:12" ht="33.75" customHeight="1" x14ac:dyDescent="0.25">
      <c r="A1017" s="14" t="s">
        <v>2438</v>
      </c>
      <c r="B1017" s="3" t="s">
        <v>665</v>
      </c>
      <c r="C1017" s="3" t="s">
        <v>2439</v>
      </c>
      <c r="D1017" s="3" t="s">
        <v>4914</v>
      </c>
      <c r="E1017" s="3" t="s">
        <v>4777</v>
      </c>
      <c r="F1017" s="3" t="s">
        <v>667</v>
      </c>
      <c r="G1017" s="3">
        <v>29.432400000000001</v>
      </c>
      <c r="H1017" s="3" t="s">
        <v>4644</v>
      </c>
      <c r="I1017" s="3" t="s">
        <v>4645</v>
      </c>
      <c r="J1017" s="3" t="s">
        <v>4697</v>
      </c>
      <c r="K1017" s="3">
        <v>45</v>
      </c>
      <c r="L1017" s="3" t="s">
        <v>4647</v>
      </c>
    </row>
    <row r="1018" spans="1:12" ht="33.75" customHeight="1" x14ac:dyDescent="0.25">
      <c r="A1018" s="13" t="s">
        <v>2440</v>
      </c>
      <c r="B1018" s="2" t="s">
        <v>515</v>
      </c>
      <c r="C1018" s="2" t="s">
        <v>2441</v>
      </c>
      <c r="D1018" s="2" t="s">
        <v>4914</v>
      </c>
      <c r="E1018" s="2" t="s">
        <v>4749</v>
      </c>
      <c r="F1018" s="2" t="s">
        <v>517</v>
      </c>
      <c r="G1018" s="2">
        <v>29.3124</v>
      </c>
      <c r="H1018" s="2" t="s">
        <v>4644</v>
      </c>
      <c r="I1018" s="2" t="s">
        <v>4645</v>
      </c>
      <c r="J1018" s="2" t="s">
        <v>4691</v>
      </c>
      <c r="K1018" s="2">
        <v>42</v>
      </c>
      <c r="L1018" s="2" t="s">
        <v>4647</v>
      </c>
    </row>
    <row r="1019" spans="1:12" ht="33.75" customHeight="1" x14ac:dyDescent="0.25">
      <c r="A1019" s="14" t="s">
        <v>2442</v>
      </c>
      <c r="B1019" s="3" t="s">
        <v>418</v>
      </c>
      <c r="C1019" s="3" t="s">
        <v>2443</v>
      </c>
      <c r="D1019" s="3" t="s">
        <v>4773</v>
      </c>
      <c r="E1019" s="3" t="s">
        <v>4734</v>
      </c>
      <c r="F1019" s="3" t="s">
        <v>420</v>
      </c>
      <c r="G1019" s="3">
        <v>30.655200000000001</v>
      </c>
      <c r="H1019" s="3" t="s">
        <v>4644</v>
      </c>
      <c r="I1019" s="3" t="s">
        <v>4645</v>
      </c>
      <c r="J1019" s="3" t="s">
        <v>4735</v>
      </c>
      <c r="K1019" s="3">
        <v>72</v>
      </c>
      <c r="L1019" s="3" t="s">
        <v>4647</v>
      </c>
    </row>
    <row r="1020" spans="1:12" ht="33.75" customHeight="1" x14ac:dyDescent="0.25">
      <c r="A1020" s="13" t="s">
        <v>2444</v>
      </c>
      <c r="B1020" s="2" t="s">
        <v>794</v>
      </c>
      <c r="C1020" s="2" t="s">
        <v>1046</v>
      </c>
      <c r="D1020" s="2"/>
      <c r="E1020" s="2" t="s">
        <v>4791</v>
      </c>
      <c r="F1020" s="2" t="s">
        <v>796</v>
      </c>
      <c r="G1020" s="2">
        <v>34.151200000000003</v>
      </c>
      <c r="H1020" s="2" t="s">
        <v>4644</v>
      </c>
      <c r="I1020" s="2" t="s">
        <v>4645</v>
      </c>
      <c r="J1020" s="2" t="s">
        <v>4770</v>
      </c>
      <c r="K1020" s="2">
        <v>63</v>
      </c>
      <c r="L1020" s="2" t="s">
        <v>4647</v>
      </c>
    </row>
    <row r="1021" spans="1:12" ht="33.75" customHeight="1" x14ac:dyDescent="0.25">
      <c r="A1021" s="14" t="s">
        <v>2445</v>
      </c>
      <c r="B1021" s="3" t="s">
        <v>273</v>
      </c>
      <c r="C1021" s="3" t="s">
        <v>2446</v>
      </c>
      <c r="D1021" s="3" t="s">
        <v>4799</v>
      </c>
      <c r="E1021" s="3" t="s">
        <v>4694</v>
      </c>
      <c r="F1021" s="3" t="s">
        <v>275</v>
      </c>
      <c r="G1021" s="3">
        <v>30.084199999999999</v>
      </c>
      <c r="H1021" s="3" t="s">
        <v>4644</v>
      </c>
      <c r="I1021" s="3" t="s">
        <v>4645</v>
      </c>
      <c r="J1021" s="3" t="s">
        <v>4695</v>
      </c>
      <c r="K1021" s="3">
        <v>68</v>
      </c>
      <c r="L1021" s="3" t="s">
        <v>4647</v>
      </c>
    </row>
    <row r="1022" spans="1:12" ht="33.75" customHeight="1" x14ac:dyDescent="0.25">
      <c r="A1022" s="13" t="s">
        <v>2447</v>
      </c>
      <c r="B1022" s="2" t="s">
        <v>1151</v>
      </c>
      <c r="C1022" s="2" t="s">
        <v>2448</v>
      </c>
      <c r="D1022" s="2"/>
      <c r="E1022" s="2" t="s">
        <v>4812</v>
      </c>
      <c r="F1022" s="2" t="s">
        <v>1153</v>
      </c>
      <c r="G1022" s="2">
        <v>30.6372</v>
      </c>
      <c r="H1022" s="2" t="s">
        <v>4644</v>
      </c>
      <c r="I1022" s="2" t="s">
        <v>4645</v>
      </c>
      <c r="J1022" s="2" t="s">
        <v>4693</v>
      </c>
      <c r="K1022" s="2">
        <v>72</v>
      </c>
      <c r="L1022" s="2" t="s">
        <v>4647</v>
      </c>
    </row>
    <row r="1023" spans="1:12" ht="33.75" customHeight="1" x14ac:dyDescent="0.25">
      <c r="A1023" s="14" t="s">
        <v>2449</v>
      </c>
      <c r="B1023" s="3" t="s">
        <v>2450</v>
      </c>
      <c r="C1023" s="3" t="s">
        <v>2451</v>
      </c>
      <c r="D1023" s="3" t="s">
        <v>4915</v>
      </c>
      <c r="E1023" s="3" t="s">
        <v>4916</v>
      </c>
      <c r="F1023" s="3" t="s">
        <v>2452</v>
      </c>
      <c r="G1023" s="3">
        <v>28.126000000000001</v>
      </c>
      <c r="H1023" s="3" t="s">
        <v>4644</v>
      </c>
      <c r="I1023" s="3" t="s">
        <v>4645</v>
      </c>
      <c r="J1023" s="3" t="s">
        <v>4708</v>
      </c>
      <c r="K1023" s="3">
        <v>96</v>
      </c>
      <c r="L1023" s="3" t="s">
        <v>4647</v>
      </c>
    </row>
    <row r="1024" spans="1:12" ht="33.75" customHeight="1" x14ac:dyDescent="0.25">
      <c r="A1024" s="13" t="s">
        <v>2453</v>
      </c>
      <c r="B1024" s="2" t="s">
        <v>2454</v>
      </c>
      <c r="C1024" s="2" t="s">
        <v>2455</v>
      </c>
      <c r="D1024" s="2" t="s">
        <v>4915</v>
      </c>
      <c r="E1024" s="2" t="s">
        <v>4917</v>
      </c>
      <c r="F1024" s="2" t="s">
        <v>2456</v>
      </c>
      <c r="G1024" s="2">
        <v>28.565999999999999</v>
      </c>
      <c r="H1024" s="2" t="s">
        <v>4644</v>
      </c>
      <c r="I1024" s="2" t="s">
        <v>4645</v>
      </c>
      <c r="J1024" s="2" t="s">
        <v>4733</v>
      </c>
      <c r="K1024" s="2">
        <v>96</v>
      </c>
      <c r="L1024" s="2" t="s">
        <v>4647</v>
      </c>
    </row>
    <row r="1025" spans="1:12" ht="33.75" customHeight="1" x14ac:dyDescent="0.25">
      <c r="A1025" s="14" t="s">
        <v>2457</v>
      </c>
      <c r="B1025" s="3" t="s">
        <v>2458</v>
      </c>
      <c r="C1025" s="3" t="s">
        <v>2459</v>
      </c>
      <c r="D1025" s="3" t="s">
        <v>4915</v>
      </c>
      <c r="E1025" s="3" t="s">
        <v>4918</v>
      </c>
      <c r="F1025" s="3" t="s">
        <v>2460</v>
      </c>
      <c r="G1025" s="3">
        <v>28.126000000000001</v>
      </c>
      <c r="H1025" s="3" t="s">
        <v>4644</v>
      </c>
      <c r="I1025" s="3" t="s">
        <v>4645</v>
      </c>
      <c r="J1025" s="3" t="s">
        <v>4735</v>
      </c>
      <c r="K1025" s="3">
        <v>76</v>
      </c>
      <c r="L1025" s="3" t="s">
        <v>4647</v>
      </c>
    </row>
    <row r="1026" spans="1:12" ht="33.75" customHeight="1" x14ac:dyDescent="0.25">
      <c r="A1026" s="13" t="s">
        <v>2461</v>
      </c>
      <c r="B1026" s="2" t="s">
        <v>2462</v>
      </c>
      <c r="C1026" s="2" t="s">
        <v>2463</v>
      </c>
      <c r="D1026" s="2" t="s">
        <v>4915</v>
      </c>
      <c r="E1026" s="2" t="s">
        <v>4919</v>
      </c>
      <c r="F1026" s="2" t="s">
        <v>2464</v>
      </c>
      <c r="G1026" s="2">
        <v>28.126000000000001</v>
      </c>
      <c r="H1026" s="2" t="s">
        <v>4644</v>
      </c>
      <c r="I1026" s="2" t="s">
        <v>4645</v>
      </c>
      <c r="J1026" s="2" t="s">
        <v>4695</v>
      </c>
      <c r="K1026" s="2">
        <v>68</v>
      </c>
      <c r="L1026" s="2" t="s">
        <v>4647</v>
      </c>
    </row>
    <row r="1027" spans="1:12" ht="33.75" customHeight="1" x14ac:dyDescent="0.25">
      <c r="A1027" s="14" t="s">
        <v>2465</v>
      </c>
      <c r="B1027" s="3" t="s">
        <v>2137</v>
      </c>
      <c r="C1027" s="3" t="s">
        <v>2466</v>
      </c>
      <c r="D1027" s="3" t="s">
        <v>4915</v>
      </c>
      <c r="E1027" s="3" t="s">
        <v>4885</v>
      </c>
      <c r="F1027" s="3" t="s">
        <v>2139</v>
      </c>
      <c r="G1027" s="3">
        <v>27.925999999999998</v>
      </c>
      <c r="H1027" s="3" t="s">
        <v>4644</v>
      </c>
      <c r="I1027" s="3" t="s">
        <v>4645</v>
      </c>
      <c r="J1027" s="3" t="s">
        <v>4691</v>
      </c>
      <c r="K1027" s="3">
        <v>36</v>
      </c>
      <c r="L1027" s="3" t="s">
        <v>4647</v>
      </c>
    </row>
    <row r="1028" spans="1:12" ht="33.75" customHeight="1" x14ac:dyDescent="0.25">
      <c r="A1028" s="13" t="s">
        <v>2467</v>
      </c>
      <c r="B1028" s="2" t="s">
        <v>277</v>
      </c>
      <c r="C1028" s="2" t="s">
        <v>2468</v>
      </c>
      <c r="D1028" s="2"/>
      <c r="E1028" s="2" t="s">
        <v>4696</v>
      </c>
      <c r="F1028" s="2" t="s">
        <v>279</v>
      </c>
      <c r="G1028" s="2">
        <v>29.7592</v>
      </c>
      <c r="H1028" s="2" t="s">
        <v>4644</v>
      </c>
      <c r="I1028" s="2" t="s">
        <v>4645</v>
      </c>
      <c r="J1028" s="2" t="s">
        <v>4697</v>
      </c>
      <c r="K1028" s="2">
        <v>48</v>
      </c>
      <c r="L1028" s="2" t="s">
        <v>4647</v>
      </c>
    </row>
    <row r="1029" spans="1:12" ht="33.75" customHeight="1" x14ac:dyDescent="0.25">
      <c r="A1029" s="14" t="s">
        <v>2469</v>
      </c>
      <c r="B1029" s="3" t="s">
        <v>226</v>
      </c>
      <c r="C1029" s="3" t="s">
        <v>2470</v>
      </c>
      <c r="D1029" s="3"/>
      <c r="E1029" s="3" t="s">
        <v>4688</v>
      </c>
      <c r="F1029" s="3" t="s">
        <v>228</v>
      </c>
      <c r="G1029" s="3">
        <v>30.6632</v>
      </c>
      <c r="H1029" s="3" t="s">
        <v>4644</v>
      </c>
      <c r="I1029" s="3" t="s">
        <v>4645</v>
      </c>
      <c r="J1029" s="3" t="s">
        <v>4650</v>
      </c>
      <c r="K1029" s="3">
        <v>24</v>
      </c>
      <c r="L1029" s="3" t="s">
        <v>4647</v>
      </c>
    </row>
    <row r="1030" spans="1:12" ht="33.75" customHeight="1" x14ac:dyDescent="0.25">
      <c r="A1030" s="13" t="s">
        <v>2471</v>
      </c>
      <c r="B1030" s="2" t="s">
        <v>226</v>
      </c>
      <c r="C1030" s="2" t="s">
        <v>2472</v>
      </c>
      <c r="D1030" s="2"/>
      <c r="E1030" s="2" t="s">
        <v>4688</v>
      </c>
      <c r="F1030" s="2" t="s">
        <v>228</v>
      </c>
      <c r="G1030" s="2">
        <v>30.6632</v>
      </c>
      <c r="H1030" s="2" t="s">
        <v>4644</v>
      </c>
      <c r="I1030" s="2" t="s">
        <v>4645</v>
      </c>
      <c r="J1030" s="2" t="s">
        <v>4650</v>
      </c>
      <c r="K1030" s="2">
        <v>24</v>
      </c>
      <c r="L1030" s="2" t="s">
        <v>4647</v>
      </c>
    </row>
    <row r="1031" spans="1:12" ht="33.75" customHeight="1" x14ac:dyDescent="0.25">
      <c r="A1031" s="14" t="s">
        <v>2473</v>
      </c>
      <c r="B1031" s="3" t="s">
        <v>112</v>
      </c>
      <c r="C1031" s="3" t="s">
        <v>2474</v>
      </c>
      <c r="D1031" s="3"/>
      <c r="E1031" s="3" t="s">
        <v>4660</v>
      </c>
      <c r="F1031" s="3" t="s">
        <v>114</v>
      </c>
      <c r="G1031" s="3">
        <v>30.7682</v>
      </c>
      <c r="H1031" s="3" t="s">
        <v>4644</v>
      </c>
      <c r="I1031" s="3" t="s">
        <v>4645</v>
      </c>
      <c r="J1031" s="3" t="s">
        <v>4652</v>
      </c>
      <c r="K1031" s="3">
        <v>21</v>
      </c>
      <c r="L1031" s="3" t="s">
        <v>4647</v>
      </c>
    </row>
    <row r="1032" spans="1:12" ht="33.75" customHeight="1" x14ac:dyDescent="0.25">
      <c r="A1032" s="13" t="s">
        <v>2475</v>
      </c>
      <c r="B1032" s="2" t="s">
        <v>2476</v>
      </c>
      <c r="C1032" s="2" t="s">
        <v>2477</v>
      </c>
      <c r="D1032" s="2" t="s">
        <v>4920</v>
      </c>
      <c r="E1032" s="2" t="s">
        <v>4921</v>
      </c>
      <c r="F1032" s="2" t="s">
        <v>2478</v>
      </c>
      <c r="G1032" s="2">
        <v>33.628</v>
      </c>
      <c r="H1032" s="2" t="s">
        <v>4644</v>
      </c>
      <c r="I1032" s="2" t="s">
        <v>4645</v>
      </c>
      <c r="J1032" s="2" t="s">
        <v>4770</v>
      </c>
      <c r="K1032" s="2">
        <v>63</v>
      </c>
      <c r="L1032" s="2" t="s">
        <v>4647</v>
      </c>
    </row>
    <row r="1033" spans="1:12" ht="33.75" customHeight="1" x14ac:dyDescent="0.25">
      <c r="A1033" s="14" t="s">
        <v>2479</v>
      </c>
      <c r="B1033" s="3" t="s">
        <v>404</v>
      </c>
      <c r="C1033" s="3" t="s">
        <v>2480</v>
      </c>
      <c r="D1033" s="3" t="s">
        <v>4851</v>
      </c>
      <c r="E1033" s="3" t="s">
        <v>4731</v>
      </c>
      <c r="F1033" s="3" t="s">
        <v>406</v>
      </c>
      <c r="G1033" s="3">
        <v>29.999199999999998</v>
      </c>
      <c r="H1033" s="3" t="s">
        <v>4644</v>
      </c>
      <c r="I1033" s="3" t="s">
        <v>4645</v>
      </c>
      <c r="J1033" s="3" t="s">
        <v>4695</v>
      </c>
      <c r="K1033" s="3">
        <v>63</v>
      </c>
      <c r="L1033" s="3" t="s">
        <v>4647</v>
      </c>
    </row>
    <row r="1034" spans="1:12" ht="33.75" customHeight="1" x14ac:dyDescent="0.25">
      <c r="A1034" s="13" t="s">
        <v>2481</v>
      </c>
      <c r="B1034" s="2" t="s">
        <v>386</v>
      </c>
      <c r="C1034" s="2" t="s">
        <v>2482</v>
      </c>
      <c r="D1034" s="2" t="s">
        <v>4922</v>
      </c>
      <c r="E1034" s="2" t="s">
        <v>4727</v>
      </c>
      <c r="F1034" s="2" t="s">
        <v>388</v>
      </c>
      <c r="G1034" s="2">
        <v>33.783799999999999</v>
      </c>
      <c r="H1034" s="2" t="s">
        <v>4644</v>
      </c>
      <c r="I1034" s="2" t="s">
        <v>4645</v>
      </c>
      <c r="J1034" s="2" t="s">
        <v>4721</v>
      </c>
      <c r="K1034" s="2">
        <v>54</v>
      </c>
      <c r="L1034" s="2" t="s">
        <v>4647</v>
      </c>
    </row>
    <row r="1035" spans="1:12" ht="33.75" customHeight="1" x14ac:dyDescent="0.25">
      <c r="A1035" s="14" t="s">
        <v>2483</v>
      </c>
      <c r="B1035" s="3" t="s">
        <v>382</v>
      </c>
      <c r="C1035" s="3" t="s">
        <v>2484</v>
      </c>
      <c r="D1035" s="3" t="s">
        <v>4922</v>
      </c>
      <c r="E1035" s="3" t="s">
        <v>4725</v>
      </c>
      <c r="F1035" s="3" t="s">
        <v>384</v>
      </c>
      <c r="G1035" s="3">
        <v>35.3172</v>
      </c>
      <c r="H1035" s="3" t="s">
        <v>4644</v>
      </c>
      <c r="I1035" s="3" t="s">
        <v>4645</v>
      </c>
      <c r="J1035" s="3" t="s">
        <v>4726</v>
      </c>
      <c r="K1035" s="3">
        <v>96</v>
      </c>
      <c r="L1035" s="3" t="s">
        <v>4647</v>
      </c>
    </row>
    <row r="1036" spans="1:12" ht="33.75" customHeight="1" x14ac:dyDescent="0.25">
      <c r="A1036" s="13" t="s">
        <v>2485</v>
      </c>
      <c r="B1036" s="2" t="s">
        <v>390</v>
      </c>
      <c r="C1036" s="2" t="s">
        <v>2486</v>
      </c>
      <c r="D1036" s="2" t="s">
        <v>4922</v>
      </c>
      <c r="E1036" s="2" t="s">
        <v>4728</v>
      </c>
      <c r="F1036" s="2" t="s">
        <v>392</v>
      </c>
      <c r="G1036" s="2">
        <v>35.367600000000003</v>
      </c>
      <c r="H1036" s="2" t="s">
        <v>4644</v>
      </c>
      <c r="I1036" s="2" t="s">
        <v>4645</v>
      </c>
      <c r="J1036" s="2" t="s">
        <v>4729</v>
      </c>
      <c r="K1036" s="2">
        <v>120</v>
      </c>
      <c r="L1036" s="2" t="s">
        <v>4647</v>
      </c>
    </row>
    <row r="1037" spans="1:12" ht="33.75" customHeight="1" x14ac:dyDescent="0.25">
      <c r="A1037" s="14" t="s">
        <v>2487</v>
      </c>
      <c r="B1037" s="3" t="s">
        <v>418</v>
      </c>
      <c r="C1037" s="3" t="s">
        <v>2488</v>
      </c>
      <c r="D1037" s="3" t="s">
        <v>4851</v>
      </c>
      <c r="E1037" s="3" t="s">
        <v>4734</v>
      </c>
      <c r="F1037" s="3" t="s">
        <v>420</v>
      </c>
      <c r="G1037" s="3">
        <v>30.655200000000001</v>
      </c>
      <c r="H1037" s="3" t="s">
        <v>4644</v>
      </c>
      <c r="I1037" s="3" t="s">
        <v>4645</v>
      </c>
      <c r="J1037" s="3" t="s">
        <v>4735</v>
      </c>
      <c r="K1037" s="3">
        <v>72</v>
      </c>
      <c r="L1037" s="3" t="s">
        <v>4647</v>
      </c>
    </row>
    <row r="1038" spans="1:12" ht="33.75" customHeight="1" x14ac:dyDescent="0.25">
      <c r="A1038" s="13" t="s">
        <v>2489</v>
      </c>
      <c r="B1038" s="2" t="s">
        <v>378</v>
      </c>
      <c r="C1038" s="2" t="s">
        <v>2490</v>
      </c>
      <c r="D1038" s="2"/>
      <c r="E1038" s="2" t="s">
        <v>4722</v>
      </c>
      <c r="F1038" s="2" t="s">
        <v>380</v>
      </c>
      <c r="G1038" s="2">
        <v>29.743200000000002</v>
      </c>
      <c r="H1038" s="2" t="s">
        <v>4644</v>
      </c>
      <c r="I1038" s="2" t="s">
        <v>4645</v>
      </c>
      <c r="J1038" s="2" t="s">
        <v>4723</v>
      </c>
      <c r="K1038" s="2">
        <v>56</v>
      </c>
      <c r="L1038" s="2" t="s">
        <v>4647</v>
      </c>
    </row>
    <row r="1039" spans="1:12" ht="33.75" customHeight="1" x14ac:dyDescent="0.25">
      <c r="A1039" s="14" t="s">
        <v>2491</v>
      </c>
      <c r="B1039" s="3" t="s">
        <v>366</v>
      </c>
      <c r="C1039" s="3" t="s">
        <v>2492</v>
      </c>
      <c r="D1039" s="3"/>
      <c r="E1039" s="3" t="s">
        <v>4718</v>
      </c>
      <c r="F1039" s="3" t="s">
        <v>368</v>
      </c>
      <c r="G1039" s="3">
        <v>32.983400000000003</v>
      </c>
      <c r="H1039" s="3" t="s">
        <v>4644</v>
      </c>
      <c r="I1039" s="3" t="s">
        <v>4645</v>
      </c>
      <c r="J1039" s="3" t="s">
        <v>4719</v>
      </c>
      <c r="K1039" s="3">
        <v>60</v>
      </c>
      <c r="L1039" s="3" t="s">
        <v>4647</v>
      </c>
    </row>
    <row r="1040" spans="1:12" ht="33.75" customHeight="1" x14ac:dyDescent="0.25">
      <c r="A1040" s="13" t="s">
        <v>2493</v>
      </c>
      <c r="B1040" s="2" t="s">
        <v>366</v>
      </c>
      <c r="C1040" s="2" t="s">
        <v>2494</v>
      </c>
      <c r="D1040" s="2"/>
      <c r="E1040" s="2" t="s">
        <v>4718</v>
      </c>
      <c r="F1040" s="2" t="s">
        <v>368</v>
      </c>
      <c r="G1040" s="2">
        <v>32.983400000000003</v>
      </c>
      <c r="H1040" s="2" t="s">
        <v>4644</v>
      </c>
      <c r="I1040" s="2" t="s">
        <v>4645</v>
      </c>
      <c r="J1040" s="2" t="s">
        <v>4719</v>
      </c>
      <c r="K1040" s="2">
        <v>60</v>
      </c>
      <c r="L1040" s="2" t="s">
        <v>4647</v>
      </c>
    </row>
    <row r="1041" spans="1:12" ht="33.75" customHeight="1" x14ac:dyDescent="0.25">
      <c r="A1041" s="14" t="s">
        <v>2495</v>
      </c>
      <c r="B1041" s="3" t="s">
        <v>372</v>
      </c>
      <c r="C1041" s="3" t="s">
        <v>2496</v>
      </c>
      <c r="D1041" s="3"/>
      <c r="E1041" s="3" t="s">
        <v>4720</v>
      </c>
      <c r="F1041" s="3" t="s">
        <v>374</v>
      </c>
      <c r="G1041" s="3">
        <v>32.852400000000003</v>
      </c>
      <c r="H1041" s="3" t="s">
        <v>4644</v>
      </c>
      <c r="I1041" s="3" t="s">
        <v>4645</v>
      </c>
      <c r="J1041" s="3" t="s">
        <v>4721</v>
      </c>
      <c r="K1041" s="3">
        <v>48</v>
      </c>
      <c r="L1041" s="3" t="s">
        <v>4647</v>
      </c>
    </row>
    <row r="1042" spans="1:12" ht="33.75" customHeight="1" x14ac:dyDescent="0.25">
      <c r="A1042" s="13" t="s">
        <v>2497</v>
      </c>
      <c r="B1042" s="2" t="s">
        <v>1644</v>
      </c>
      <c r="C1042" s="2" t="s">
        <v>2498</v>
      </c>
      <c r="D1042" s="2"/>
      <c r="E1042" s="2" t="s">
        <v>4843</v>
      </c>
      <c r="F1042" s="2" t="s">
        <v>1646</v>
      </c>
      <c r="G1042" s="2">
        <v>33.118510000000001</v>
      </c>
      <c r="H1042" s="2" t="s">
        <v>4644</v>
      </c>
      <c r="I1042" s="2" t="s">
        <v>4645</v>
      </c>
      <c r="J1042" s="2" t="s">
        <v>4729</v>
      </c>
      <c r="K1042" s="2">
        <v>87</v>
      </c>
      <c r="L1042" s="2" t="s">
        <v>4647</v>
      </c>
    </row>
    <row r="1043" spans="1:12" ht="33.75" customHeight="1" x14ac:dyDescent="0.25">
      <c r="A1043" s="14" t="s">
        <v>2499</v>
      </c>
      <c r="B1043" s="3" t="s">
        <v>1510</v>
      </c>
      <c r="C1043" s="3" t="s">
        <v>2500</v>
      </c>
      <c r="D1043" s="3" t="s">
        <v>4737</v>
      </c>
      <c r="E1043" s="3" t="s">
        <v>4833</v>
      </c>
      <c r="F1043" s="3" t="s">
        <v>1512</v>
      </c>
      <c r="G1043" s="3">
        <v>28.617000000000001</v>
      </c>
      <c r="H1043" s="3" t="s">
        <v>4644</v>
      </c>
      <c r="I1043" s="3" t="s">
        <v>4645</v>
      </c>
      <c r="J1043" s="3" t="s">
        <v>4735</v>
      </c>
      <c r="K1043" s="3">
        <v>72</v>
      </c>
      <c r="L1043" s="3" t="s">
        <v>4647</v>
      </c>
    </row>
    <row r="1044" spans="1:12" ht="33.75" customHeight="1" x14ac:dyDescent="0.25">
      <c r="A1044" s="13" t="s">
        <v>2501</v>
      </c>
      <c r="B1044" s="2" t="s">
        <v>356</v>
      </c>
      <c r="C1044" s="2" t="s">
        <v>2502</v>
      </c>
      <c r="D1044" s="2"/>
      <c r="E1044" s="2" t="s">
        <v>4716</v>
      </c>
      <c r="F1044" s="2" t="s">
        <v>358</v>
      </c>
      <c r="G1044" s="2">
        <v>29.5992</v>
      </c>
      <c r="H1044" s="2" t="s">
        <v>4644</v>
      </c>
      <c r="I1044" s="2" t="s">
        <v>4645</v>
      </c>
      <c r="J1044" s="2" t="s">
        <v>4691</v>
      </c>
      <c r="K1044" s="2">
        <v>42</v>
      </c>
      <c r="L1044" s="2" t="s">
        <v>4647</v>
      </c>
    </row>
    <row r="1045" spans="1:12" ht="33.75" customHeight="1" x14ac:dyDescent="0.25">
      <c r="A1045" s="14" t="s">
        <v>2503</v>
      </c>
      <c r="B1045" s="3" t="s">
        <v>57</v>
      </c>
      <c r="C1045" s="3" t="s">
        <v>2504</v>
      </c>
      <c r="D1045" s="3"/>
      <c r="E1045" s="3" t="s">
        <v>4643</v>
      </c>
      <c r="F1045" s="3" t="s">
        <v>59</v>
      </c>
      <c r="G1045" s="3">
        <v>31.825199999999999</v>
      </c>
      <c r="H1045" s="3" t="s">
        <v>4644</v>
      </c>
      <c r="I1045" s="3" t="s">
        <v>4645</v>
      </c>
      <c r="J1045" s="3" t="s">
        <v>4646</v>
      </c>
      <c r="K1045" s="3">
        <v>21</v>
      </c>
      <c r="L1045" s="3" t="s">
        <v>4647</v>
      </c>
    </row>
    <row r="1046" spans="1:12" ht="33.75" customHeight="1" x14ac:dyDescent="0.25">
      <c r="A1046" s="13" t="s">
        <v>2505</v>
      </c>
      <c r="B1046" s="2" t="s">
        <v>214</v>
      </c>
      <c r="C1046" s="2" t="s">
        <v>2506</v>
      </c>
      <c r="D1046" s="2" t="s">
        <v>4923</v>
      </c>
      <c r="E1046" s="2" t="s">
        <v>4681</v>
      </c>
      <c r="F1046" s="2" t="s">
        <v>216</v>
      </c>
      <c r="G1046" s="2">
        <v>27.839200000000002</v>
      </c>
      <c r="H1046" s="2" t="s">
        <v>4644</v>
      </c>
      <c r="I1046" s="2" t="s">
        <v>4645</v>
      </c>
      <c r="J1046" s="2" t="s">
        <v>4735</v>
      </c>
      <c r="K1046" s="2">
        <v>76</v>
      </c>
      <c r="L1046" s="2" t="s">
        <v>4647</v>
      </c>
    </row>
    <row r="1047" spans="1:12" ht="33.75" customHeight="1" x14ac:dyDescent="0.25">
      <c r="A1047" s="14" t="s">
        <v>2507</v>
      </c>
      <c r="B1047" s="3" t="s">
        <v>218</v>
      </c>
      <c r="C1047" s="3" t="s">
        <v>2508</v>
      </c>
      <c r="D1047" s="3" t="s">
        <v>4923</v>
      </c>
      <c r="E1047" s="3" t="s">
        <v>4683</v>
      </c>
      <c r="F1047" s="3" t="s">
        <v>220</v>
      </c>
      <c r="G1047" s="3">
        <v>27.839200000000002</v>
      </c>
      <c r="H1047" s="3" t="s">
        <v>4644</v>
      </c>
      <c r="I1047" s="3" t="s">
        <v>4645</v>
      </c>
      <c r="J1047" s="3" t="s">
        <v>4684</v>
      </c>
      <c r="K1047" s="3">
        <v>68</v>
      </c>
      <c r="L1047" s="3" t="s">
        <v>4647</v>
      </c>
    </row>
    <row r="1048" spans="1:12" ht="33.75" customHeight="1" x14ac:dyDescent="0.25">
      <c r="A1048" s="13" t="s">
        <v>2509</v>
      </c>
      <c r="B1048" s="2" t="s">
        <v>218</v>
      </c>
      <c r="C1048" s="2" t="s">
        <v>2510</v>
      </c>
      <c r="D1048" s="2" t="s">
        <v>4923</v>
      </c>
      <c r="E1048" s="2" t="s">
        <v>4683</v>
      </c>
      <c r="F1048" s="2" t="s">
        <v>220</v>
      </c>
      <c r="G1048" s="2">
        <v>27.839200000000002</v>
      </c>
      <c r="H1048" s="2" t="s">
        <v>4644</v>
      </c>
      <c r="I1048" s="2" t="s">
        <v>4645</v>
      </c>
      <c r="J1048" s="2" t="s">
        <v>4695</v>
      </c>
      <c r="K1048" s="2">
        <v>68</v>
      </c>
      <c r="L1048" s="2" t="s">
        <v>4647</v>
      </c>
    </row>
    <row r="1049" spans="1:12" ht="33.75" customHeight="1" x14ac:dyDescent="0.25">
      <c r="A1049" s="14" t="s">
        <v>2511</v>
      </c>
      <c r="B1049" s="3" t="s">
        <v>214</v>
      </c>
      <c r="C1049" s="3" t="s">
        <v>2512</v>
      </c>
      <c r="D1049" s="3" t="s">
        <v>4923</v>
      </c>
      <c r="E1049" s="3" t="s">
        <v>4681</v>
      </c>
      <c r="F1049" s="3" t="s">
        <v>216</v>
      </c>
      <c r="G1049" s="3">
        <v>27.839200000000002</v>
      </c>
      <c r="H1049" s="3" t="s">
        <v>4644</v>
      </c>
      <c r="I1049" s="3" t="s">
        <v>4645</v>
      </c>
      <c r="J1049" s="3" t="s">
        <v>4682</v>
      </c>
      <c r="K1049" s="3">
        <v>76</v>
      </c>
      <c r="L1049" s="3" t="s">
        <v>4647</v>
      </c>
    </row>
    <row r="1050" spans="1:12" ht="33.75" customHeight="1" x14ac:dyDescent="0.25">
      <c r="A1050" s="13" t="s">
        <v>2513</v>
      </c>
      <c r="B1050" s="2" t="s">
        <v>214</v>
      </c>
      <c r="C1050" s="2" t="s">
        <v>2514</v>
      </c>
      <c r="D1050" s="2" t="s">
        <v>4923</v>
      </c>
      <c r="E1050" s="2" t="s">
        <v>4681</v>
      </c>
      <c r="F1050" s="2" t="s">
        <v>216</v>
      </c>
      <c r="G1050" s="2">
        <v>27.839200000000002</v>
      </c>
      <c r="H1050" s="2" t="s">
        <v>4644</v>
      </c>
      <c r="I1050" s="2" t="s">
        <v>4645</v>
      </c>
      <c r="J1050" s="2" t="s">
        <v>4682</v>
      </c>
      <c r="K1050" s="2">
        <v>76</v>
      </c>
      <c r="L1050" s="2" t="s">
        <v>4647</v>
      </c>
    </row>
    <row r="1051" spans="1:12" ht="33.75" customHeight="1" x14ac:dyDescent="0.25">
      <c r="A1051" s="14" t="s">
        <v>2515</v>
      </c>
      <c r="B1051" s="3" t="s">
        <v>218</v>
      </c>
      <c r="C1051" s="3" t="s">
        <v>2516</v>
      </c>
      <c r="D1051" s="3" t="s">
        <v>4923</v>
      </c>
      <c r="E1051" s="3" t="s">
        <v>4683</v>
      </c>
      <c r="F1051" s="3" t="s">
        <v>220</v>
      </c>
      <c r="G1051" s="3">
        <v>27.839200000000002</v>
      </c>
      <c r="H1051" s="3" t="s">
        <v>4644</v>
      </c>
      <c r="I1051" s="3" t="s">
        <v>4645</v>
      </c>
      <c r="J1051" s="3" t="s">
        <v>4684</v>
      </c>
      <c r="K1051" s="3">
        <v>68</v>
      </c>
      <c r="L1051" s="3" t="s">
        <v>4647</v>
      </c>
    </row>
    <row r="1052" spans="1:12" ht="33.75" customHeight="1" x14ac:dyDescent="0.25">
      <c r="A1052" s="13" t="s">
        <v>2517</v>
      </c>
      <c r="B1052" s="2" t="s">
        <v>218</v>
      </c>
      <c r="C1052" s="2" t="s">
        <v>2516</v>
      </c>
      <c r="D1052" s="2" t="s">
        <v>4923</v>
      </c>
      <c r="E1052" s="2" t="s">
        <v>4683</v>
      </c>
      <c r="F1052" s="2" t="s">
        <v>220</v>
      </c>
      <c r="G1052" s="2">
        <v>27.839200000000002</v>
      </c>
      <c r="H1052" s="2" t="s">
        <v>4644</v>
      </c>
      <c r="I1052" s="2" t="s">
        <v>4645</v>
      </c>
      <c r="J1052" s="2" t="s">
        <v>4684</v>
      </c>
      <c r="K1052" s="2">
        <v>68</v>
      </c>
      <c r="L1052" s="2" t="s">
        <v>4647</v>
      </c>
    </row>
    <row r="1053" spans="1:12" ht="33.75" customHeight="1" x14ac:dyDescent="0.25">
      <c r="A1053" s="14" t="s">
        <v>2518</v>
      </c>
      <c r="B1053" s="3" t="s">
        <v>218</v>
      </c>
      <c r="C1053" s="3" t="s">
        <v>2519</v>
      </c>
      <c r="D1053" s="3" t="s">
        <v>4923</v>
      </c>
      <c r="E1053" s="3" t="s">
        <v>4683</v>
      </c>
      <c r="F1053" s="3" t="s">
        <v>220</v>
      </c>
      <c r="G1053" s="3">
        <v>27.839200000000002</v>
      </c>
      <c r="H1053" s="3" t="s">
        <v>4644</v>
      </c>
      <c r="I1053" s="3" t="s">
        <v>4645</v>
      </c>
      <c r="J1053" s="3" t="s">
        <v>4695</v>
      </c>
      <c r="K1053" s="3">
        <v>68</v>
      </c>
      <c r="L1053" s="3" t="s">
        <v>4647</v>
      </c>
    </row>
    <row r="1054" spans="1:12" ht="33.75" customHeight="1" x14ac:dyDescent="0.25">
      <c r="A1054" s="13" t="s">
        <v>2520</v>
      </c>
      <c r="B1054" s="2" t="s">
        <v>218</v>
      </c>
      <c r="C1054" s="2" t="s">
        <v>2521</v>
      </c>
      <c r="D1054" s="2" t="s">
        <v>4923</v>
      </c>
      <c r="E1054" s="2" t="s">
        <v>4683</v>
      </c>
      <c r="F1054" s="2" t="s">
        <v>220</v>
      </c>
      <c r="G1054" s="2">
        <v>27.839200000000002</v>
      </c>
      <c r="H1054" s="2" t="s">
        <v>4644</v>
      </c>
      <c r="I1054" s="2" t="s">
        <v>4645</v>
      </c>
      <c r="J1054" s="2" t="s">
        <v>4695</v>
      </c>
      <c r="K1054" s="2">
        <v>68</v>
      </c>
      <c r="L1054" s="2" t="s">
        <v>4647</v>
      </c>
    </row>
    <row r="1055" spans="1:12" ht="33.75" customHeight="1" x14ac:dyDescent="0.25">
      <c r="A1055" s="14" t="s">
        <v>2522</v>
      </c>
      <c r="B1055" s="3" t="s">
        <v>265</v>
      </c>
      <c r="C1055" s="3" t="s">
        <v>2523</v>
      </c>
      <c r="D1055" s="3" t="s">
        <v>4923</v>
      </c>
      <c r="E1055" s="3" t="s">
        <v>4692</v>
      </c>
      <c r="F1055" s="3" t="s">
        <v>267</v>
      </c>
      <c r="G1055" s="3">
        <v>27.839200000000002</v>
      </c>
      <c r="H1055" s="3" t="s">
        <v>4644</v>
      </c>
      <c r="I1055" s="3" t="s">
        <v>4645</v>
      </c>
      <c r="J1055" s="3" t="s">
        <v>4723</v>
      </c>
      <c r="K1055" s="3">
        <v>56</v>
      </c>
      <c r="L1055" s="3" t="s">
        <v>4647</v>
      </c>
    </row>
    <row r="1056" spans="1:12" ht="33.75" customHeight="1" x14ac:dyDescent="0.25">
      <c r="A1056" s="13" t="s">
        <v>2524</v>
      </c>
      <c r="B1056" s="2" t="s">
        <v>265</v>
      </c>
      <c r="C1056" s="2" t="s">
        <v>2523</v>
      </c>
      <c r="D1056" s="2" t="s">
        <v>4923</v>
      </c>
      <c r="E1056" s="2" t="s">
        <v>4692</v>
      </c>
      <c r="F1056" s="2" t="s">
        <v>267</v>
      </c>
      <c r="G1056" s="2">
        <v>27.839200000000002</v>
      </c>
      <c r="H1056" s="2" t="s">
        <v>4644</v>
      </c>
      <c r="I1056" s="2" t="s">
        <v>4645</v>
      </c>
      <c r="J1056" s="2" t="s">
        <v>4723</v>
      </c>
      <c r="K1056" s="2">
        <v>56</v>
      </c>
      <c r="L1056" s="2" t="s">
        <v>4647</v>
      </c>
    </row>
    <row r="1057" spans="1:12" ht="33.75" customHeight="1" x14ac:dyDescent="0.25">
      <c r="A1057" s="14" t="s">
        <v>2525</v>
      </c>
      <c r="B1057" s="3" t="s">
        <v>2526</v>
      </c>
      <c r="C1057" s="3" t="s">
        <v>2527</v>
      </c>
      <c r="D1057" s="3" t="s">
        <v>4923</v>
      </c>
      <c r="E1057" s="3" t="s">
        <v>4924</v>
      </c>
      <c r="F1057" s="3" t="s">
        <v>2528</v>
      </c>
      <c r="G1057" s="3">
        <v>27.506</v>
      </c>
      <c r="H1057" s="3" t="s">
        <v>4644</v>
      </c>
      <c r="I1057" s="3" t="s">
        <v>4645</v>
      </c>
      <c r="J1057" s="3" t="s">
        <v>4721</v>
      </c>
      <c r="K1057" s="3">
        <v>48</v>
      </c>
      <c r="L1057" s="3" t="s">
        <v>4647</v>
      </c>
    </row>
    <row r="1058" spans="1:12" ht="33.75" customHeight="1" x14ac:dyDescent="0.25">
      <c r="A1058" s="13" t="s">
        <v>2529</v>
      </c>
      <c r="B1058" s="2" t="s">
        <v>2526</v>
      </c>
      <c r="C1058" s="2" t="s">
        <v>2530</v>
      </c>
      <c r="D1058" s="2" t="s">
        <v>4923</v>
      </c>
      <c r="E1058" s="2" t="s">
        <v>4924</v>
      </c>
      <c r="F1058" s="2" t="s">
        <v>2528</v>
      </c>
      <c r="G1058" s="2">
        <v>27.506</v>
      </c>
      <c r="H1058" s="2" t="s">
        <v>4644</v>
      </c>
      <c r="I1058" s="2" t="s">
        <v>4645</v>
      </c>
      <c r="J1058" s="2" t="s">
        <v>4721</v>
      </c>
      <c r="K1058" s="2">
        <v>48</v>
      </c>
      <c r="L1058" s="2" t="s">
        <v>4647</v>
      </c>
    </row>
    <row r="1059" spans="1:12" ht="33.75" customHeight="1" x14ac:dyDescent="0.25">
      <c r="A1059" s="14" t="s">
        <v>2531</v>
      </c>
      <c r="B1059" s="3" t="s">
        <v>2532</v>
      </c>
      <c r="C1059" s="3" t="s">
        <v>2533</v>
      </c>
      <c r="D1059" s="3" t="s">
        <v>4923</v>
      </c>
      <c r="E1059" s="3" t="s">
        <v>4925</v>
      </c>
      <c r="F1059" s="3" t="s">
        <v>2534</v>
      </c>
      <c r="G1059" s="3">
        <v>29.9</v>
      </c>
      <c r="H1059" s="3" t="s">
        <v>4644</v>
      </c>
      <c r="I1059" s="3" t="s">
        <v>4645</v>
      </c>
      <c r="J1059" s="3" t="s">
        <v>4652</v>
      </c>
      <c r="K1059" s="3">
        <v>21</v>
      </c>
      <c r="L1059" s="3" t="s">
        <v>4647</v>
      </c>
    </row>
    <row r="1060" spans="1:12" ht="33.75" customHeight="1" x14ac:dyDescent="0.25">
      <c r="A1060" s="13" t="s">
        <v>2535</v>
      </c>
      <c r="B1060" s="2" t="s">
        <v>2536</v>
      </c>
      <c r="C1060" s="2" t="s">
        <v>2537</v>
      </c>
      <c r="D1060" s="2" t="s">
        <v>4923</v>
      </c>
      <c r="E1060" s="2" t="s">
        <v>4926</v>
      </c>
      <c r="F1060" s="2" t="s">
        <v>2538</v>
      </c>
      <c r="G1060" s="2">
        <v>30.193999999999999</v>
      </c>
      <c r="H1060" s="2" t="s">
        <v>4644</v>
      </c>
      <c r="I1060" s="2" t="s">
        <v>4645</v>
      </c>
      <c r="J1060" s="2" t="s">
        <v>4646</v>
      </c>
      <c r="K1060" s="2">
        <v>18</v>
      </c>
      <c r="L1060" s="2" t="s">
        <v>4647</v>
      </c>
    </row>
    <row r="1061" spans="1:12" ht="33.75" customHeight="1" x14ac:dyDescent="0.25">
      <c r="A1061" s="14" t="s">
        <v>2539</v>
      </c>
      <c r="B1061" s="3" t="s">
        <v>57</v>
      </c>
      <c r="C1061" s="3" t="s">
        <v>2540</v>
      </c>
      <c r="D1061" s="3"/>
      <c r="E1061" s="3" t="s">
        <v>4643</v>
      </c>
      <c r="F1061" s="3" t="s">
        <v>59</v>
      </c>
      <c r="G1061" s="3">
        <v>31.825199999999999</v>
      </c>
      <c r="H1061" s="3" t="s">
        <v>4644</v>
      </c>
      <c r="I1061" s="3" t="s">
        <v>4645</v>
      </c>
      <c r="J1061" s="3" t="s">
        <v>4646</v>
      </c>
      <c r="K1061" s="3">
        <v>21</v>
      </c>
      <c r="L1061" s="3" t="s">
        <v>4647</v>
      </c>
    </row>
    <row r="1062" spans="1:12" ht="33.75" customHeight="1" x14ac:dyDescent="0.25">
      <c r="A1062" s="13" t="s">
        <v>2541</v>
      </c>
      <c r="B1062" s="2" t="s">
        <v>418</v>
      </c>
      <c r="C1062" s="2" t="s">
        <v>2542</v>
      </c>
      <c r="D1062" s="2"/>
      <c r="E1062" s="2" t="s">
        <v>4734</v>
      </c>
      <c r="F1062" s="2" t="s">
        <v>420</v>
      </c>
      <c r="G1062" s="2">
        <v>30.655200000000001</v>
      </c>
      <c r="H1062" s="2" t="s">
        <v>4644</v>
      </c>
      <c r="I1062" s="2" t="s">
        <v>4645</v>
      </c>
      <c r="J1062" s="2" t="s">
        <v>4735</v>
      </c>
      <c r="K1062" s="2">
        <v>72</v>
      </c>
      <c r="L1062" s="2" t="s">
        <v>4647</v>
      </c>
    </row>
    <row r="1063" spans="1:12" ht="33.75" customHeight="1" x14ac:dyDescent="0.25">
      <c r="A1063" s="14" t="s">
        <v>2543</v>
      </c>
      <c r="B1063" s="3" t="s">
        <v>404</v>
      </c>
      <c r="C1063" s="3" t="s">
        <v>2544</v>
      </c>
      <c r="D1063" s="3"/>
      <c r="E1063" s="3" t="s">
        <v>4731</v>
      </c>
      <c r="F1063" s="3" t="s">
        <v>406</v>
      </c>
      <c r="G1063" s="3">
        <v>29.999199999999998</v>
      </c>
      <c r="H1063" s="3" t="s">
        <v>4644</v>
      </c>
      <c r="I1063" s="3" t="s">
        <v>4645</v>
      </c>
      <c r="J1063" s="3" t="s">
        <v>4695</v>
      </c>
      <c r="K1063" s="3">
        <v>63</v>
      </c>
      <c r="L1063" s="3" t="s">
        <v>4647</v>
      </c>
    </row>
    <row r="1064" spans="1:12" ht="33.75" customHeight="1" x14ac:dyDescent="0.25">
      <c r="A1064" s="13" t="s">
        <v>2545</v>
      </c>
      <c r="B1064" s="2" t="s">
        <v>324</v>
      </c>
      <c r="C1064" s="2" t="s">
        <v>2546</v>
      </c>
      <c r="D1064" s="2"/>
      <c r="E1064" s="2" t="s">
        <v>4704</v>
      </c>
      <c r="F1064" s="2" t="s">
        <v>326</v>
      </c>
      <c r="G1064" s="2">
        <v>29.719200000000001</v>
      </c>
      <c r="H1064" s="2" t="s">
        <v>4644</v>
      </c>
      <c r="I1064" s="2" t="s">
        <v>4645</v>
      </c>
      <c r="J1064" s="2" t="s">
        <v>4697</v>
      </c>
      <c r="K1064" s="2">
        <v>45</v>
      </c>
      <c r="L1064" s="2" t="s">
        <v>4647</v>
      </c>
    </row>
    <row r="1065" spans="1:12" ht="33.75" customHeight="1" x14ac:dyDescent="0.25">
      <c r="A1065" s="14" t="s">
        <v>2547</v>
      </c>
      <c r="B1065" s="3" t="s">
        <v>156</v>
      </c>
      <c r="C1065" s="3" t="s">
        <v>2548</v>
      </c>
      <c r="D1065" s="3"/>
      <c r="E1065" s="3" t="s">
        <v>4670</v>
      </c>
      <c r="F1065" s="3" t="s">
        <v>158</v>
      </c>
      <c r="G1065" s="3">
        <v>30.987200000000001</v>
      </c>
      <c r="H1065" s="3" t="s">
        <v>4644</v>
      </c>
      <c r="I1065" s="3" t="s">
        <v>4645</v>
      </c>
      <c r="J1065" s="3" t="s">
        <v>4646</v>
      </c>
      <c r="K1065" s="3">
        <v>18</v>
      </c>
      <c r="L1065" s="3" t="s">
        <v>4647</v>
      </c>
    </row>
    <row r="1066" spans="1:12" ht="33.75" customHeight="1" x14ac:dyDescent="0.25">
      <c r="A1066" s="13" t="s">
        <v>2549</v>
      </c>
      <c r="B1066" s="2" t="s">
        <v>418</v>
      </c>
      <c r="C1066" s="2" t="s">
        <v>2550</v>
      </c>
      <c r="D1066" s="2"/>
      <c r="E1066" s="2" t="s">
        <v>4734</v>
      </c>
      <c r="F1066" s="2" t="s">
        <v>420</v>
      </c>
      <c r="G1066" s="2">
        <v>30.655200000000001</v>
      </c>
      <c r="H1066" s="2" t="s">
        <v>4644</v>
      </c>
      <c r="I1066" s="2" t="s">
        <v>4645</v>
      </c>
      <c r="J1066" s="2" t="s">
        <v>4735</v>
      </c>
      <c r="K1066" s="2">
        <v>72</v>
      </c>
      <c r="L1066" s="2" t="s">
        <v>4647</v>
      </c>
    </row>
    <row r="1067" spans="1:12" ht="33.75" customHeight="1" x14ac:dyDescent="0.25">
      <c r="A1067" s="14" t="s">
        <v>2551</v>
      </c>
      <c r="B1067" s="3" t="s">
        <v>404</v>
      </c>
      <c r="C1067" s="3" t="s">
        <v>2552</v>
      </c>
      <c r="D1067" s="3"/>
      <c r="E1067" s="3" t="s">
        <v>4731</v>
      </c>
      <c r="F1067" s="3" t="s">
        <v>406</v>
      </c>
      <c r="G1067" s="3">
        <v>29.999199999999998</v>
      </c>
      <c r="H1067" s="3" t="s">
        <v>4644</v>
      </c>
      <c r="I1067" s="3" t="s">
        <v>4645</v>
      </c>
      <c r="J1067" s="3" t="s">
        <v>4695</v>
      </c>
      <c r="K1067" s="3">
        <v>63</v>
      </c>
      <c r="L1067" s="3" t="s">
        <v>4647</v>
      </c>
    </row>
    <row r="1068" spans="1:12" ht="33.75" customHeight="1" x14ac:dyDescent="0.25">
      <c r="A1068" s="13" t="s">
        <v>2553</v>
      </c>
      <c r="B1068" s="2" t="s">
        <v>142</v>
      </c>
      <c r="C1068" s="2" t="s">
        <v>2554</v>
      </c>
      <c r="D1068" s="2" t="s">
        <v>4753</v>
      </c>
      <c r="E1068" s="2" t="s">
        <v>4891</v>
      </c>
      <c r="F1068" s="2" t="s">
        <v>144</v>
      </c>
      <c r="G1068" s="2"/>
      <c r="H1068" s="2" t="s">
        <v>4666</v>
      </c>
      <c r="I1068" s="2" t="s">
        <v>4667</v>
      </c>
      <c r="J1068" s="2" t="s">
        <v>4695</v>
      </c>
      <c r="K1068" s="2">
        <v>20</v>
      </c>
      <c r="L1068" s="2" t="s">
        <v>4668</v>
      </c>
    </row>
    <row r="1069" spans="1:12" ht="33.75" customHeight="1" x14ac:dyDescent="0.25">
      <c r="A1069" s="14" t="s">
        <v>2555</v>
      </c>
      <c r="B1069" s="3" t="s">
        <v>2556</v>
      </c>
      <c r="C1069" s="3" t="s">
        <v>2557</v>
      </c>
      <c r="D1069" s="3" t="s">
        <v>4773</v>
      </c>
      <c r="E1069" s="3" t="s">
        <v>4927</v>
      </c>
      <c r="F1069" s="3" t="s">
        <v>2558</v>
      </c>
      <c r="G1069" s="3">
        <v>30.3672</v>
      </c>
      <c r="H1069" s="3" t="s">
        <v>4644</v>
      </c>
      <c r="I1069" s="3" t="s">
        <v>4645</v>
      </c>
      <c r="J1069" s="3" t="s">
        <v>4723</v>
      </c>
      <c r="K1069" s="3">
        <v>72</v>
      </c>
      <c r="L1069" s="3" t="s">
        <v>4647</v>
      </c>
    </row>
    <row r="1070" spans="1:12" ht="33.75" customHeight="1" x14ac:dyDescent="0.25">
      <c r="A1070" s="13" t="s">
        <v>2559</v>
      </c>
      <c r="B1070" s="2" t="s">
        <v>378</v>
      </c>
      <c r="C1070" s="2" t="s">
        <v>2560</v>
      </c>
      <c r="D1070" s="2"/>
      <c r="E1070" s="2" t="s">
        <v>4722</v>
      </c>
      <c r="F1070" s="2" t="s">
        <v>380</v>
      </c>
      <c r="G1070" s="2">
        <v>29.743200000000002</v>
      </c>
      <c r="H1070" s="2" t="s">
        <v>4644</v>
      </c>
      <c r="I1070" s="2" t="s">
        <v>4645</v>
      </c>
      <c r="J1070" s="2" t="s">
        <v>4693</v>
      </c>
      <c r="K1070" s="2">
        <v>56</v>
      </c>
      <c r="L1070" s="2" t="s">
        <v>4647</v>
      </c>
    </row>
    <row r="1071" spans="1:12" ht="33.75" customHeight="1" x14ac:dyDescent="0.25">
      <c r="A1071" s="14" t="s">
        <v>2561</v>
      </c>
      <c r="B1071" s="3" t="s">
        <v>277</v>
      </c>
      <c r="C1071" s="3" t="s">
        <v>2562</v>
      </c>
      <c r="D1071" s="3"/>
      <c r="E1071" s="3" t="s">
        <v>4696</v>
      </c>
      <c r="F1071" s="3" t="s">
        <v>279</v>
      </c>
      <c r="G1071" s="3">
        <v>29.7592</v>
      </c>
      <c r="H1071" s="3" t="s">
        <v>4644</v>
      </c>
      <c r="I1071" s="3" t="s">
        <v>4645</v>
      </c>
      <c r="J1071" s="3" t="s">
        <v>4697</v>
      </c>
      <c r="K1071" s="3">
        <v>48</v>
      </c>
      <c r="L1071" s="3" t="s">
        <v>4647</v>
      </c>
    </row>
    <row r="1072" spans="1:12" ht="33.75" customHeight="1" x14ac:dyDescent="0.25">
      <c r="A1072" s="13" t="s">
        <v>2563</v>
      </c>
      <c r="B1072" s="2" t="s">
        <v>156</v>
      </c>
      <c r="C1072" s="2" t="s">
        <v>2564</v>
      </c>
      <c r="D1072" s="2"/>
      <c r="E1072" s="2" t="s">
        <v>4670</v>
      </c>
      <c r="F1072" s="2" t="s">
        <v>158</v>
      </c>
      <c r="G1072" s="2">
        <v>30.987200000000001</v>
      </c>
      <c r="H1072" s="2" t="s">
        <v>4644</v>
      </c>
      <c r="I1072" s="2" t="s">
        <v>4645</v>
      </c>
      <c r="J1072" s="2" t="s">
        <v>4646</v>
      </c>
      <c r="K1072" s="2">
        <v>18</v>
      </c>
      <c r="L1072" s="2" t="s">
        <v>4647</v>
      </c>
    </row>
    <row r="1073" spans="1:12" ht="33.75" customHeight="1" x14ac:dyDescent="0.25">
      <c r="A1073" s="14" t="s">
        <v>2565</v>
      </c>
      <c r="B1073" s="3" t="s">
        <v>265</v>
      </c>
      <c r="C1073" s="3" t="s">
        <v>2566</v>
      </c>
      <c r="D1073" s="3" t="s">
        <v>4923</v>
      </c>
      <c r="E1073" s="3" t="s">
        <v>4692</v>
      </c>
      <c r="F1073" s="3" t="s">
        <v>267</v>
      </c>
      <c r="G1073" s="3">
        <v>27.839200000000002</v>
      </c>
      <c r="H1073" s="3" t="s">
        <v>4644</v>
      </c>
      <c r="I1073" s="3" t="s">
        <v>4645</v>
      </c>
      <c r="J1073" s="3" t="s">
        <v>4723</v>
      </c>
      <c r="K1073" s="3">
        <v>56</v>
      </c>
      <c r="L1073" s="3" t="s">
        <v>4647</v>
      </c>
    </row>
    <row r="1074" spans="1:12" ht="33.75" customHeight="1" x14ac:dyDescent="0.25">
      <c r="A1074" s="13" t="s">
        <v>2567</v>
      </c>
      <c r="B1074" s="2" t="s">
        <v>120</v>
      </c>
      <c r="C1074" s="2" t="s">
        <v>2568</v>
      </c>
      <c r="D1074" s="2"/>
      <c r="E1074" s="2" t="s">
        <v>4662</v>
      </c>
      <c r="F1074" s="2" t="s">
        <v>122</v>
      </c>
      <c r="G1074" s="2">
        <v>33.349800000000002</v>
      </c>
      <c r="H1074" s="2" t="s">
        <v>4644</v>
      </c>
      <c r="I1074" s="2" t="s">
        <v>4645</v>
      </c>
      <c r="J1074" s="2" t="s">
        <v>4657</v>
      </c>
      <c r="K1074" s="2">
        <v>45</v>
      </c>
      <c r="L1074" s="2" t="s">
        <v>4647</v>
      </c>
    </row>
    <row r="1075" spans="1:12" ht="33.75" customHeight="1" x14ac:dyDescent="0.25">
      <c r="A1075" s="14" t="s">
        <v>2569</v>
      </c>
      <c r="B1075" s="3" t="s">
        <v>156</v>
      </c>
      <c r="C1075" s="3" t="s">
        <v>2570</v>
      </c>
      <c r="D1075" s="3" t="s">
        <v>4792</v>
      </c>
      <c r="E1075" s="3" t="s">
        <v>4670</v>
      </c>
      <c r="F1075" s="3" t="s">
        <v>158</v>
      </c>
      <c r="G1075" s="3">
        <v>30.987200000000001</v>
      </c>
      <c r="H1075" s="3" t="s">
        <v>4644</v>
      </c>
      <c r="I1075" s="3" t="s">
        <v>4645</v>
      </c>
      <c r="J1075" s="3" t="s">
        <v>4646</v>
      </c>
      <c r="K1075" s="3">
        <v>18</v>
      </c>
      <c r="L1075" s="3" t="s">
        <v>4647</v>
      </c>
    </row>
    <row r="1076" spans="1:12" ht="33.75" customHeight="1" x14ac:dyDescent="0.25">
      <c r="A1076" s="13" t="s">
        <v>2571</v>
      </c>
      <c r="B1076" s="2" t="s">
        <v>2572</v>
      </c>
      <c r="C1076" s="2" t="s">
        <v>2573</v>
      </c>
      <c r="D1076" s="2" t="s">
        <v>4741</v>
      </c>
      <c r="E1076" s="2" t="s">
        <v>4928</v>
      </c>
      <c r="F1076" s="2" t="s">
        <v>2574</v>
      </c>
      <c r="G1076" s="2">
        <v>27.925999999999998</v>
      </c>
      <c r="H1076" s="2" t="s">
        <v>4644</v>
      </c>
      <c r="I1076" s="2" t="s">
        <v>4645</v>
      </c>
      <c r="J1076" s="2" t="s">
        <v>4735</v>
      </c>
      <c r="K1076" s="2">
        <v>54</v>
      </c>
      <c r="L1076" s="2" t="s">
        <v>4647</v>
      </c>
    </row>
    <row r="1077" spans="1:12" ht="33.75" customHeight="1" x14ac:dyDescent="0.25">
      <c r="A1077" s="14" t="s">
        <v>2575</v>
      </c>
      <c r="B1077" s="3" t="s">
        <v>1781</v>
      </c>
      <c r="C1077" s="3" t="s">
        <v>2576</v>
      </c>
      <c r="D1077" s="3" t="s">
        <v>4741</v>
      </c>
      <c r="E1077" s="3" t="s">
        <v>4858</v>
      </c>
      <c r="F1077" s="3" t="s">
        <v>1783</v>
      </c>
      <c r="G1077" s="3">
        <v>27.925999999999998</v>
      </c>
      <c r="H1077" s="3" t="s">
        <v>4644</v>
      </c>
      <c r="I1077" s="3" t="s">
        <v>4645</v>
      </c>
      <c r="J1077" s="3" t="s">
        <v>4695</v>
      </c>
      <c r="K1077" s="3">
        <v>48</v>
      </c>
      <c r="L1077" s="3" t="s">
        <v>4647</v>
      </c>
    </row>
    <row r="1078" spans="1:12" ht="33.75" customHeight="1" x14ac:dyDescent="0.25">
      <c r="A1078" s="13" t="s">
        <v>2577</v>
      </c>
      <c r="B1078" s="2" t="s">
        <v>830</v>
      </c>
      <c r="C1078" s="2" t="s">
        <v>2578</v>
      </c>
      <c r="D1078" s="2" t="s">
        <v>4741</v>
      </c>
      <c r="E1078" s="2" t="s">
        <v>4797</v>
      </c>
      <c r="F1078" s="2" t="s">
        <v>832</v>
      </c>
      <c r="G1078" s="2">
        <v>27.925999999999998</v>
      </c>
      <c r="H1078" s="2" t="s">
        <v>4644</v>
      </c>
      <c r="I1078" s="2" t="s">
        <v>4645</v>
      </c>
      <c r="J1078" s="2" t="s">
        <v>4723</v>
      </c>
      <c r="K1078" s="2">
        <v>42</v>
      </c>
      <c r="L1078" s="2" t="s">
        <v>4647</v>
      </c>
    </row>
    <row r="1079" spans="1:12" ht="33.75" customHeight="1" x14ac:dyDescent="0.25">
      <c r="A1079" s="14" t="s">
        <v>2579</v>
      </c>
      <c r="B1079" s="3" t="s">
        <v>2137</v>
      </c>
      <c r="C1079" s="3" t="s">
        <v>2580</v>
      </c>
      <c r="D1079" s="3" t="s">
        <v>4741</v>
      </c>
      <c r="E1079" s="3" t="s">
        <v>4885</v>
      </c>
      <c r="F1079" s="3" t="s">
        <v>2139</v>
      </c>
      <c r="G1079" s="3">
        <v>27.925999999999998</v>
      </c>
      <c r="H1079" s="3" t="s">
        <v>4644</v>
      </c>
      <c r="I1079" s="3" t="s">
        <v>4645</v>
      </c>
      <c r="J1079" s="3" t="s">
        <v>4697</v>
      </c>
      <c r="K1079" s="3">
        <v>36</v>
      </c>
      <c r="L1079" s="3" t="s">
        <v>4647</v>
      </c>
    </row>
    <row r="1080" spans="1:12" ht="33.75" customHeight="1" x14ac:dyDescent="0.25">
      <c r="A1080" s="13" t="s">
        <v>2581</v>
      </c>
      <c r="B1080" s="2" t="s">
        <v>2582</v>
      </c>
      <c r="C1080" s="2" t="s">
        <v>2583</v>
      </c>
      <c r="D1080" s="2" t="s">
        <v>4741</v>
      </c>
      <c r="E1080" s="2" t="s">
        <v>4929</v>
      </c>
      <c r="F1080" s="2" t="s">
        <v>2584</v>
      </c>
      <c r="G1080" s="2">
        <v>27.925999999999998</v>
      </c>
      <c r="H1080" s="2" t="s">
        <v>4644</v>
      </c>
      <c r="I1080" s="2" t="s">
        <v>4645</v>
      </c>
      <c r="J1080" s="2" t="s">
        <v>4691</v>
      </c>
      <c r="K1080" s="2">
        <v>33</v>
      </c>
      <c r="L1080" s="2" t="s">
        <v>4647</v>
      </c>
    </row>
    <row r="1081" spans="1:12" ht="33.75" customHeight="1" x14ac:dyDescent="0.25">
      <c r="A1081" s="14" t="s">
        <v>2585</v>
      </c>
      <c r="B1081" s="3" t="s">
        <v>2037</v>
      </c>
      <c r="C1081" s="3" t="s">
        <v>2586</v>
      </c>
      <c r="D1081" s="3"/>
      <c r="E1081" s="3" t="s">
        <v>4884</v>
      </c>
      <c r="F1081" s="3" t="s">
        <v>2039</v>
      </c>
      <c r="G1081" s="3">
        <v>31.226199999999999</v>
      </c>
      <c r="H1081" s="3" t="s">
        <v>4644</v>
      </c>
      <c r="I1081" s="3" t="s">
        <v>4645</v>
      </c>
      <c r="J1081" s="3" t="s">
        <v>4733</v>
      </c>
      <c r="K1081" s="3">
        <v>96</v>
      </c>
      <c r="L1081" s="3" t="s">
        <v>4647</v>
      </c>
    </row>
    <row r="1082" spans="1:12" ht="33.75" customHeight="1" x14ac:dyDescent="0.25">
      <c r="A1082" s="13" t="s">
        <v>2587</v>
      </c>
      <c r="B1082" s="2" t="s">
        <v>864</v>
      </c>
      <c r="C1082" s="2" t="s">
        <v>2588</v>
      </c>
      <c r="D1082" s="2"/>
      <c r="E1082" s="2" t="s">
        <v>4801</v>
      </c>
      <c r="F1082" s="2" t="s">
        <v>866</v>
      </c>
      <c r="G1082" s="2">
        <v>30.653199999999998</v>
      </c>
      <c r="H1082" s="2" t="s">
        <v>4644</v>
      </c>
      <c r="I1082" s="2" t="s">
        <v>4645</v>
      </c>
      <c r="J1082" s="2" t="s">
        <v>4710</v>
      </c>
      <c r="K1082" s="2">
        <v>96</v>
      </c>
      <c r="L1082" s="2" t="s">
        <v>4647</v>
      </c>
    </row>
    <row r="1083" spans="1:12" ht="33.75" customHeight="1" x14ac:dyDescent="0.25">
      <c r="A1083" s="14" t="s">
        <v>2589</v>
      </c>
      <c r="B1083" s="3" t="s">
        <v>422</v>
      </c>
      <c r="C1083" s="3" t="s">
        <v>2590</v>
      </c>
      <c r="D1083" s="3"/>
      <c r="E1083" s="3" t="s">
        <v>4736</v>
      </c>
      <c r="F1083" s="3" t="s">
        <v>424</v>
      </c>
      <c r="G1083" s="3">
        <v>30.7272</v>
      </c>
      <c r="H1083" s="3" t="s">
        <v>4644</v>
      </c>
      <c r="I1083" s="3" t="s">
        <v>4645</v>
      </c>
      <c r="J1083" s="3" t="s">
        <v>4735</v>
      </c>
      <c r="K1083" s="3">
        <v>76</v>
      </c>
      <c r="L1083" s="3" t="s">
        <v>4647</v>
      </c>
    </row>
    <row r="1084" spans="1:12" ht="33.75" customHeight="1" x14ac:dyDescent="0.25">
      <c r="A1084" s="13" t="s">
        <v>2591</v>
      </c>
      <c r="B1084" s="2" t="s">
        <v>273</v>
      </c>
      <c r="C1084" s="2" t="s">
        <v>2592</v>
      </c>
      <c r="D1084" s="2"/>
      <c r="E1084" s="2" t="s">
        <v>4694</v>
      </c>
      <c r="F1084" s="2" t="s">
        <v>275</v>
      </c>
      <c r="G1084" s="2">
        <v>30.084199999999999</v>
      </c>
      <c r="H1084" s="2" t="s">
        <v>4644</v>
      </c>
      <c r="I1084" s="2" t="s">
        <v>4645</v>
      </c>
      <c r="J1084" s="2" t="s">
        <v>4695</v>
      </c>
      <c r="K1084" s="2">
        <v>68</v>
      </c>
      <c r="L1084" s="2" t="s">
        <v>4647</v>
      </c>
    </row>
    <row r="1085" spans="1:12" ht="33.75" customHeight="1" x14ac:dyDescent="0.25">
      <c r="A1085" s="14" t="s">
        <v>2593</v>
      </c>
      <c r="B1085" s="3" t="s">
        <v>378</v>
      </c>
      <c r="C1085" s="3" t="s">
        <v>2594</v>
      </c>
      <c r="D1085" s="3"/>
      <c r="E1085" s="3" t="s">
        <v>4722</v>
      </c>
      <c r="F1085" s="3" t="s">
        <v>380</v>
      </c>
      <c r="G1085" s="3">
        <v>29.743200000000002</v>
      </c>
      <c r="H1085" s="3" t="s">
        <v>4644</v>
      </c>
      <c r="I1085" s="3" t="s">
        <v>4645</v>
      </c>
      <c r="J1085" s="3" t="s">
        <v>4693</v>
      </c>
      <c r="K1085" s="3">
        <v>56</v>
      </c>
      <c r="L1085" s="3" t="s">
        <v>4647</v>
      </c>
    </row>
    <row r="1086" spans="1:12" ht="33.75" customHeight="1" x14ac:dyDescent="0.25">
      <c r="A1086" s="13" t="s">
        <v>2595</v>
      </c>
      <c r="B1086" s="2" t="s">
        <v>378</v>
      </c>
      <c r="C1086" s="2" t="s">
        <v>2596</v>
      </c>
      <c r="D1086" s="2"/>
      <c r="E1086" s="2" t="s">
        <v>4722</v>
      </c>
      <c r="F1086" s="2" t="s">
        <v>380</v>
      </c>
      <c r="G1086" s="2">
        <v>29.743200000000002</v>
      </c>
      <c r="H1086" s="2" t="s">
        <v>4644</v>
      </c>
      <c r="I1086" s="2" t="s">
        <v>4645</v>
      </c>
      <c r="J1086" s="2" t="s">
        <v>4723</v>
      </c>
      <c r="K1086" s="2">
        <v>56</v>
      </c>
      <c r="L1086" s="2" t="s">
        <v>4647</v>
      </c>
    </row>
    <row r="1087" spans="1:12" ht="33.75" customHeight="1" x14ac:dyDescent="0.25">
      <c r="A1087" s="14" t="s">
        <v>2597</v>
      </c>
      <c r="B1087" s="3" t="s">
        <v>1638</v>
      </c>
      <c r="C1087" s="3" t="s">
        <v>2598</v>
      </c>
      <c r="D1087" s="3"/>
      <c r="E1087" s="3" t="s">
        <v>4842</v>
      </c>
      <c r="F1087" s="3" t="s">
        <v>1640</v>
      </c>
      <c r="G1087" s="3">
        <v>33.259399999999999</v>
      </c>
      <c r="H1087" s="3" t="s">
        <v>4644</v>
      </c>
      <c r="I1087" s="3" t="s">
        <v>4645</v>
      </c>
      <c r="J1087" s="3" t="s">
        <v>4726</v>
      </c>
      <c r="K1087" s="3">
        <v>72</v>
      </c>
      <c r="L1087" s="3" t="s">
        <v>4647</v>
      </c>
    </row>
    <row r="1088" spans="1:12" ht="33.75" customHeight="1" x14ac:dyDescent="0.25">
      <c r="A1088" s="13" t="s">
        <v>2599</v>
      </c>
      <c r="B1088" s="2" t="s">
        <v>366</v>
      </c>
      <c r="C1088" s="2" t="s">
        <v>2600</v>
      </c>
      <c r="D1088" s="2"/>
      <c r="E1088" s="2" t="s">
        <v>4718</v>
      </c>
      <c r="F1088" s="2" t="s">
        <v>368</v>
      </c>
      <c r="G1088" s="2">
        <v>32.983400000000003</v>
      </c>
      <c r="H1088" s="2" t="s">
        <v>4644</v>
      </c>
      <c r="I1088" s="2" t="s">
        <v>4645</v>
      </c>
      <c r="J1088" s="2" t="s">
        <v>4719</v>
      </c>
      <c r="K1088" s="2">
        <v>60</v>
      </c>
      <c r="L1088" s="2" t="s">
        <v>4647</v>
      </c>
    </row>
    <row r="1089" spans="1:12" ht="33.75" customHeight="1" x14ac:dyDescent="0.25">
      <c r="A1089" s="14" t="s">
        <v>2601</v>
      </c>
      <c r="B1089" s="3" t="s">
        <v>2391</v>
      </c>
      <c r="C1089" s="3" t="s">
        <v>2602</v>
      </c>
      <c r="D1089" s="3"/>
      <c r="E1089" s="3" t="s">
        <v>4912</v>
      </c>
      <c r="F1089" s="3" t="s">
        <v>2393</v>
      </c>
      <c r="G1089" s="3">
        <v>32.3872</v>
      </c>
      <c r="H1089" s="3" t="s">
        <v>4644</v>
      </c>
      <c r="I1089" s="3" t="s">
        <v>4645</v>
      </c>
      <c r="J1089" s="3" t="s">
        <v>4770</v>
      </c>
      <c r="K1089" s="3">
        <v>48</v>
      </c>
      <c r="L1089" s="3" t="s">
        <v>4647</v>
      </c>
    </row>
    <row r="1090" spans="1:12" ht="33.75" customHeight="1" x14ac:dyDescent="0.25">
      <c r="A1090" s="13" t="s">
        <v>2603</v>
      </c>
      <c r="B1090" s="2" t="s">
        <v>372</v>
      </c>
      <c r="C1090" s="2" t="s">
        <v>2604</v>
      </c>
      <c r="D1090" s="2"/>
      <c r="E1090" s="2" t="s">
        <v>4720</v>
      </c>
      <c r="F1090" s="2" t="s">
        <v>374</v>
      </c>
      <c r="G1090" s="2">
        <v>32.852400000000003</v>
      </c>
      <c r="H1090" s="2" t="s">
        <v>4644</v>
      </c>
      <c r="I1090" s="2" t="s">
        <v>4645</v>
      </c>
      <c r="J1090" s="2" t="s">
        <v>4721</v>
      </c>
      <c r="K1090" s="2">
        <v>48</v>
      </c>
      <c r="L1090" s="2" t="s">
        <v>4647</v>
      </c>
    </row>
    <row r="1091" spans="1:12" ht="33.75" customHeight="1" x14ac:dyDescent="0.25">
      <c r="A1091" s="14" t="s">
        <v>2605</v>
      </c>
      <c r="B1091" s="3" t="s">
        <v>142</v>
      </c>
      <c r="C1091" s="3" t="s">
        <v>2606</v>
      </c>
      <c r="D1091" s="3" t="s">
        <v>4669</v>
      </c>
      <c r="E1091" s="3" t="s">
        <v>4675</v>
      </c>
      <c r="F1091" s="3" t="s">
        <v>144</v>
      </c>
      <c r="G1091" s="3"/>
      <c r="H1091" s="3" t="s">
        <v>4666</v>
      </c>
      <c r="I1091" s="3" t="s">
        <v>4667</v>
      </c>
      <c r="J1091" s="3" t="s">
        <v>4652</v>
      </c>
      <c r="K1091" s="3">
        <v>6</v>
      </c>
      <c r="L1091" s="3" t="s">
        <v>4668</v>
      </c>
    </row>
    <row r="1092" spans="1:12" ht="33.75" customHeight="1" x14ac:dyDescent="0.25">
      <c r="A1092" s="13" t="s">
        <v>2607</v>
      </c>
      <c r="B1092" s="2" t="s">
        <v>562</v>
      </c>
      <c r="C1092" s="2" t="s">
        <v>2608</v>
      </c>
      <c r="D1092" s="2" t="s">
        <v>4737</v>
      </c>
      <c r="E1092" s="2" t="s">
        <v>4752</v>
      </c>
      <c r="F1092" s="2" t="s">
        <v>564</v>
      </c>
      <c r="G1092" s="2">
        <v>28.649000000000001</v>
      </c>
      <c r="H1092" s="2" t="s">
        <v>4644</v>
      </c>
      <c r="I1092" s="2" t="s">
        <v>4645</v>
      </c>
      <c r="J1092" s="2" t="s">
        <v>4657</v>
      </c>
      <c r="K1092" s="2">
        <v>45</v>
      </c>
      <c r="L1092" s="2" t="s">
        <v>4647</v>
      </c>
    </row>
    <row r="1093" spans="1:12" ht="33.75" customHeight="1" x14ac:dyDescent="0.25">
      <c r="A1093" s="14" t="s">
        <v>2609</v>
      </c>
      <c r="B1093" s="3" t="s">
        <v>656</v>
      </c>
      <c r="C1093" s="3" t="s">
        <v>2610</v>
      </c>
      <c r="D1093" s="3" t="s">
        <v>4648</v>
      </c>
      <c r="E1093" s="3" t="s">
        <v>4776</v>
      </c>
      <c r="F1093" s="3" t="s">
        <v>658</v>
      </c>
      <c r="G1093" s="3">
        <v>30.368400000000001</v>
      </c>
      <c r="H1093" s="3" t="s">
        <v>4644</v>
      </c>
      <c r="I1093" s="3" t="s">
        <v>4645</v>
      </c>
      <c r="J1093" s="3" t="s">
        <v>4735</v>
      </c>
      <c r="K1093" s="3">
        <v>72</v>
      </c>
      <c r="L1093" s="3" t="s">
        <v>4647</v>
      </c>
    </row>
    <row r="1094" spans="1:12" ht="33.75" customHeight="1" x14ac:dyDescent="0.25">
      <c r="A1094" s="13" t="s">
        <v>2611</v>
      </c>
      <c r="B1094" s="2" t="s">
        <v>612</v>
      </c>
      <c r="C1094" s="2" t="s">
        <v>2612</v>
      </c>
      <c r="D1094" s="2" t="s">
        <v>4648</v>
      </c>
      <c r="E1094" s="2" t="s">
        <v>4765</v>
      </c>
      <c r="F1094" s="2" t="s">
        <v>614</v>
      </c>
      <c r="G1094" s="2">
        <v>29.712399999999999</v>
      </c>
      <c r="H1094" s="2" t="s">
        <v>4644</v>
      </c>
      <c r="I1094" s="2" t="s">
        <v>4645</v>
      </c>
      <c r="J1094" s="2" t="s">
        <v>4695</v>
      </c>
      <c r="K1094" s="2">
        <v>63</v>
      </c>
      <c r="L1094" s="2" t="s">
        <v>4647</v>
      </c>
    </row>
    <row r="1095" spans="1:12" ht="33.75" customHeight="1" x14ac:dyDescent="0.25">
      <c r="A1095" s="14" t="s">
        <v>2613</v>
      </c>
      <c r="B1095" s="3" t="s">
        <v>906</v>
      </c>
      <c r="C1095" s="3" t="s">
        <v>2614</v>
      </c>
      <c r="D1095" s="3" t="s">
        <v>4648</v>
      </c>
      <c r="E1095" s="3" t="s">
        <v>4803</v>
      </c>
      <c r="F1095" s="3" t="s">
        <v>908</v>
      </c>
      <c r="G1095" s="3">
        <v>29.468399999999999</v>
      </c>
      <c r="H1095" s="3" t="s">
        <v>4644</v>
      </c>
      <c r="I1095" s="3" t="s">
        <v>4645</v>
      </c>
      <c r="J1095" s="3" t="s">
        <v>4723</v>
      </c>
      <c r="K1095" s="3">
        <v>54</v>
      </c>
      <c r="L1095" s="3" t="s">
        <v>4647</v>
      </c>
    </row>
    <row r="1096" spans="1:12" ht="33.75" customHeight="1" x14ac:dyDescent="0.25">
      <c r="A1096" s="13" t="s">
        <v>2615</v>
      </c>
      <c r="B1096" s="2" t="s">
        <v>665</v>
      </c>
      <c r="C1096" s="2" t="s">
        <v>2616</v>
      </c>
      <c r="D1096" s="2" t="s">
        <v>4648</v>
      </c>
      <c r="E1096" s="2" t="s">
        <v>4777</v>
      </c>
      <c r="F1096" s="2" t="s">
        <v>667</v>
      </c>
      <c r="G1096" s="2">
        <v>29.432400000000001</v>
      </c>
      <c r="H1096" s="2" t="s">
        <v>4644</v>
      </c>
      <c r="I1096" s="2" t="s">
        <v>4645</v>
      </c>
      <c r="J1096" s="2" t="s">
        <v>4697</v>
      </c>
      <c r="K1096" s="2">
        <v>45</v>
      </c>
      <c r="L1096" s="2" t="s">
        <v>4647</v>
      </c>
    </row>
    <row r="1097" spans="1:12" ht="33.75" customHeight="1" x14ac:dyDescent="0.25">
      <c r="A1097" s="14" t="s">
        <v>2617</v>
      </c>
      <c r="B1097" s="3" t="s">
        <v>515</v>
      </c>
      <c r="C1097" s="3" t="s">
        <v>2618</v>
      </c>
      <c r="D1097" s="3" t="s">
        <v>4648</v>
      </c>
      <c r="E1097" s="3" t="s">
        <v>4749</v>
      </c>
      <c r="F1097" s="3" t="s">
        <v>517</v>
      </c>
      <c r="G1097" s="3">
        <v>29.3124</v>
      </c>
      <c r="H1097" s="3" t="s">
        <v>4644</v>
      </c>
      <c r="I1097" s="3" t="s">
        <v>4645</v>
      </c>
      <c r="J1097" s="3" t="s">
        <v>4691</v>
      </c>
      <c r="K1097" s="3">
        <v>42</v>
      </c>
      <c r="L1097" s="3" t="s">
        <v>4647</v>
      </c>
    </row>
    <row r="1098" spans="1:12" ht="33.75" customHeight="1" x14ac:dyDescent="0.25">
      <c r="A1098" s="13" t="s">
        <v>2619</v>
      </c>
      <c r="B1098" s="2" t="s">
        <v>57</v>
      </c>
      <c r="C1098" s="2" t="s">
        <v>2620</v>
      </c>
      <c r="D1098" s="2" t="s">
        <v>4663</v>
      </c>
      <c r="E1098" s="2" t="s">
        <v>4643</v>
      </c>
      <c r="F1098" s="2" t="s">
        <v>59</v>
      </c>
      <c r="G1098" s="2">
        <v>31.825199999999999</v>
      </c>
      <c r="H1098" s="2" t="s">
        <v>4644</v>
      </c>
      <c r="I1098" s="2" t="s">
        <v>4645</v>
      </c>
      <c r="J1098" s="2" t="s">
        <v>4646</v>
      </c>
      <c r="K1098" s="2">
        <v>21</v>
      </c>
      <c r="L1098" s="2" t="s">
        <v>4647</v>
      </c>
    </row>
    <row r="1099" spans="1:12" ht="33.75" customHeight="1" x14ac:dyDescent="0.25">
      <c r="A1099" s="14" t="s">
        <v>2621</v>
      </c>
      <c r="B1099" s="3" t="s">
        <v>2340</v>
      </c>
      <c r="C1099" s="3" t="s">
        <v>2622</v>
      </c>
      <c r="D1099" s="3" t="s">
        <v>4663</v>
      </c>
      <c r="E1099" s="3" t="s">
        <v>4902</v>
      </c>
      <c r="F1099" s="3" t="s">
        <v>2342</v>
      </c>
      <c r="G1099" s="3">
        <v>50.954000000000001</v>
      </c>
      <c r="H1099" s="3" t="s">
        <v>4644</v>
      </c>
      <c r="I1099" s="3" t="s">
        <v>4645</v>
      </c>
      <c r="J1099" s="3" t="s">
        <v>4770</v>
      </c>
      <c r="K1099" s="3">
        <v>57</v>
      </c>
      <c r="L1099" s="3" t="s">
        <v>4647</v>
      </c>
    </row>
    <row r="1100" spans="1:12" ht="33.75" customHeight="1" x14ac:dyDescent="0.25">
      <c r="A1100" s="13" t="s">
        <v>2623</v>
      </c>
      <c r="B1100" s="2" t="s">
        <v>2624</v>
      </c>
      <c r="C1100" s="2" t="s">
        <v>2625</v>
      </c>
      <c r="D1100" s="2" t="s">
        <v>4663</v>
      </c>
      <c r="E1100" s="2" t="s">
        <v>4930</v>
      </c>
      <c r="F1100" s="2" t="s">
        <v>2626</v>
      </c>
      <c r="G1100" s="2">
        <v>47.695999999999998</v>
      </c>
      <c r="H1100" s="2" t="s">
        <v>4644</v>
      </c>
      <c r="I1100" s="2" t="s">
        <v>4645</v>
      </c>
      <c r="J1100" s="2" t="s">
        <v>4693</v>
      </c>
      <c r="K1100" s="2">
        <v>68</v>
      </c>
      <c r="L1100" s="2" t="s">
        <v>4647</v>
      </c>
    </row>
    <row r="1101" spans="1:12" ht="33.75" customHeight="1" x14ac:dyDescent="0.25">
      <c r="A1101" s="14" t="s">
        <v>2627</v>
      </c>
      <c r="B1101" s="3" t="s">
        <v>2628</v>
      </c>
      <c r="C1101" s="3" t="s">
        <v>2629</v>
      </c>
      <c r="D1101" s="3" t="s">
        <v>4663</v>
      </c>
      <c r="E1101" s="3" t="s">
        <v>4931</v>
      </c>
      <c r="F1101" s="3" t="s">
        <v>2630</v>
      </c>
      <c r="G1101" s="3">
        <v>47.038400000000003</v>
      </c>
      <c r="H1101" s="3" t="s">
        <v>4644</v>
      </c>
      <c r="I1101" s="3" t="s">
        <v>4645</v>
      </c>
      <c r="J1101" s="3" t="s">
        <v>4721</v>
      </c>
      <c r="K1101" s="3">
        <v>51</v>
      </c>
      <c r="L1101" s="3" t="s">
        <v>4647</v>
      </c>
    </row>
    <row r="1102" spans="1:12" ht="33.75" customHeight="1" x14ac:dyDescent="0.25">
      <c r="A1102" s="13" t="s">
        <v>2631</v>
      </c>
      <c r="B1102" s="2" t="s">
        <v>422</v>
      </c>
      <c r="C1102" s="2" t="s">
        <v>2632</v>
      </c>
      <c r="D1102" s="2" t="s">
        <v>4799</v>
      </c>
      <c r="E1102" s="2" t="s">
        <v>4736</v>
      </c>
      <c r="F1102" s="2" t="s">
        <v>424</v>
      </c>
      <c r="G1102" s="2">
        <v>30.7272</v>
      </c>
      <c r="H1102" s="2" t="s">
        <v>4644</v>
      </c>
      <c r="I1102" s="2" t="s">
        <v>4645</v>
      </c>
      <c r="J1102" s="2" t="s">
        <v>4735</v>
      </c>
      <c r="K1102" s="2">
        <v>76</v>
      </c>
      <c r="L1102" s="2" t="s">
        <v>4647</v>
      </c>
    </row>
    <row r="1103" spans="1:12" ht="33.75" customHeight="1" x14ac:dyDescent="0.25">
      <c r="A1103" s="14" t="s">
        <v>2633</v>
      </c>
      <c r="B1103" s="3" t="s">
        <v>2634</v>
      </c>
      <c r="C1103" s="3" t="s">
        <v>2635</v>
      </c>
      <c r="D1103" s="3"/>
      <c r="E1103" s="3" t="s">
        <v>4932</v>
      </c>
      <c r="F1103" s="3" t="s">
        <v>2636</v>
      </c>
      <c r="G1103" s="3">
        <v>30.0852</v>
      </c>
      <c r="H1103" s="3" t="s">
        <v>4644</v>
      </c>
      <c r="I1103" s="3" t="s">
        <v>4645</v>
      </c>
      <c r="J1103" s="3" t="s">
        <v>4708</v>
      </c>
      <c r="K1103" s="3">
        <v>90</v>
      </c>
      <c r="L1103" s="3" t="s">
        <v>4647</v>
      </c>
    </row>
    <row r="1104" spans="1:12" ht="33.75" customHeight="1" x14ac:dyDescent="0.25">
      <c r="A1104" s="13" t="s">
        <v>2637</v>
      </c>
      <c r="B1104" s="2" t="s">
        <v>265</v>
      </c>
      <c r="C1104" s="2" t="s">
        <v>2638</v>
      </c>
      <c r="D1104" s="2" t="s">
        <v>4923</v>
      </c>
      <c r="E1104" s="2" t="s">
        <v>4692</v>
      </c>
      <c r="F1104" s="2" t="s">
        <v>267</v>
      </c>
      <c r="G1104" s="2">
        <v>27.839200000000002</v>
      </c>
      <c r="H1104" s="2" t="s">
        <v>4644</v>
      </c>
      <c r="I1104" s="2" t="s">
        <v>4645</v>
      </c>
      <c r="J1104" s="2" t="s">
        <v>4693</v>
      </c>
      <c r="K1104" s="2">
        <v>56</v>
      </c>
      <c r="L1104" s="2" t="s">
        <v>4647</v>
      </c>
    </row>
    <row r="1105" spans="1:12" ht="33.75" customHeight="1" x14ac:dyDescent="0.25">
      <c r="A1105" s="14" t="s">
        <v>2639</v>
      </c>
      <c r="B1105" s="3" t="s">
        <v>422</v>
      </c>
      <c r="C1105" s="3" t="s">
        <v>2640</v>
      </c>
      <c r="D1105" s="3"/>
      <c r="E1105" s="3" t="s">
        <v>4736</v>
      </c>
      <c r="F1105" s="3" t="s">
        <v>424</v>
      </c>
      <c r="G1105" s="3">
        <v>30.7272</v>
      </c>
      <c r="H1105" s="3" t="s">
        <v>4644</v>
      </c>
      <c r="I1105" s="3" t="s">
        <v>4645</v>
      </c>
      <c r="J1105" s="3" t="s">
        <v>4735</v>
      </c>
      <c r="K1105" s="3">
        <v>76</v>
      </c>
      <c r="L1105" s="3" t="s">
        <v>4647</v>
      </c>
    </row>
    <row r="1106" spans="1:12" ht="33.75" customHeight="1" x14ac:dyDescent="0.25">
      <c r="A1106" s="13" t="s">
        <v>2641</v>
      </c>
      <c r="B1106" s="2" t="s">
        <v>372</v>
      </c>
      <c r="C1106" s="2" t="s">
        <v>2642</v>
      </c>
      <c r="D1106" s="2"/>
      <c r="E1106" s="2" t="s">
        <v>4720</v>
      </c>
      <c r="F1106" s="2" t="s">
        <v>374</v>
      </c>
      <c r="G1106" s="2">
        <v>32.852400000000003</v>
      </c>
      <c r="H1106" s="2" t="s">
        <v>4644</v>
      </c>
      <c r="I1106" s="2" t="s">
        <v>4645</v>
      </c>
      <c r="J1106" s="2" t="s">
        <v>4721</v>
      </c>
      <c r="K1106" s="2">
        <v>48</v>
      </c>
      <c r="L1106" s="2" t="s">
        <v>4647</v>
      </c>
    </row>
    <row r="1107" spans="1:12" ht="33.75" customHeight="1" x14ac:dyDescent="0.25">
      <c r="A1107" s="14" t="s">
        <v>2643</v>
      </c>
      <c r="B1107" s="3" t="s">
        <v>89</v>
      </c>
      <c r="C1107" s="3" t="s">
        <v>2644</v>
      </c>
      <c r="D1107" s="3" t="s">
        <v>4663</v>
      </c>
      <c r="E1107" s="3" t="s">
        <v>4659</v>
      </c>
      <c r="F1107" s="3" t="s">
        <v>91</v>
      </c>
      <c r="G1107" s="3">
        <v>32.389200000000002</v>
      </c>
      <c r="H1107" s="3" t="s">
        <v>4644</v>
      </c>
      <c r="I1107" s="3" t="s">
        <v>4645</v>
      </c>
      <c r="J1107" s="3" t="s">
        <v>4652</v>
      </c>
      <c r="K1107" s="3">
        <v>30</v>
      </c>
      <c r="L1107" s="3" t="s">
        <v>4647</v>
      </c>
    </row>
    <row r="1108" spans="1:12" ht="33.75" customHeight="1" x14ac:dyDescent="0.25">
      <c r="A1108" s="13" t="s">
        <v>2645</v>
      </c>
      <c r="B1108" s="2" t="s">
        <v>378</v>
      </c>
      <c r="C1108" s="2" t="s">
        <v>2646</v>
      </c>
      <c r="D1108" s="2"/>
      <c r="E1108" s="2" t="s">
        <v>4722</v>
      </c>
      <c r="F1108" s="2" t="s">
        <v>380</v>
      </c>
      <c r="G1108" s="2">
        <v>29.743200000000002</v>
      </c>
      <c r="H1108" s="2" t="s">
        <v>4644</v>
      </c>
      <c r="I1108" s="2" t="s">
        <v>4645</v>
      </c>
      <c r="J1108" s="2" t="s">
        <v>4723</v>
      </c>
      <c r="K1108" s="2">
        <v>56</v>
      </c>
      <c r="L1108" s="2" t="s">
        <v>4647</v>
      </c>
    </row>
    <row r="1109" spans="1:12" ht="33.75" customHeight="1" x14ac:dyDescent="0.25">
      <c r="A1109" s="14" t="s">
        <v>2647</v>
      </c>
      <c r="B1109" s="3" t="s">
        <v>372</v>
      </c>
      <c r="C1109" s="3" t="s">
        <v>2648</v>
      </c>
      <c r="D1109" s="3"/>
      <c r="E1109" s="3" t="s">
        <v>4720</v>
      </c>
      <c r="F1109" s="3" t="s">
        <v>374</v>
      </c>
      <c r="G1109" s="3">
        <v>32.852400000000003</v>
      </c>
      <c r="H1109" s="3" t="s">
        <v>4644</v>
      </c>
      <c r="I1109" s="3" t="s">
        <v>4645</v>
      </c>
      <c r="J1109" s="3" t="s">
        <v>4721</v>
      </c>
      <c r="K1109" s="3">
        <v>48</v>
      </c>
      <c r="L1109" s="3" t="s">
        <v>4647</v>
      </c>
    </row>
    <row r="1110" spans="1:12" ht="33.75" customHeight="1" x14ac:dyDescent="0.25">
      <c r="A1110" s="13" t="s">
        <v>2649</v>
      </c>
      <c r="B1110" s="2" t="s">
        <v>372</v>
      </c>
      <c r="C1110" s="2" t="s">
        <v>2650</v>
      </c>
      <c r="D1110" s="2"/>
      <c r="E1110" s="2" t="s">
        <v>4720</v>
      </c>
      <c r="F1110" s="2" t="s">
        <v>374</v>
      </c>
      <c r="G1110" s="2">
        <v>32.852400000000003</v>
      </c>
      <c r="H1110" s="2" t="s">
        <v>4644</v>
      </c>
      <c r="I1110" s="2" t="s">
        <v>4645</v>
      </c>
      <c r="J1110" s="2" t="s">
        <v>4721</v>
      </c>
      <c r="K1110" s="2">
        <v>48</v>
      </c>
      <c r="L1110" s="2" t="s">
        <v>4647</v>
      </c>
    </row>
    <row r="1111" spans="1:12" ht="33.75" customHeight="1" x14ac:dyDescent="0.25">
      <c r="A1111" s="14" t="s">
        <v>2651</v>
      </c>
      <c r="B1111" s="3" t="s">
        <v>112</v>
      </c>
      <c r="C1111" s="3" t="s">
        <v>2652</v>
      </c>
      <c r="D1111" s="3"/>
      <c r="E1111" s="3" t="s">
        <v>4660</v>
      </c>
      <c r="F1111" s="3" t="s">
        <v>114</v>
      </c>
      <c r="G1111" s="3">
        <v>30.7682</v>
      </c>
      <c r="H1111" s="3" t="s">
        <v>4644</v>
      </c>
      <c r="I1111" s="3" t="s">
        <v>4645</v>
      </c>
      <c r="J1111" s="3" t="s">
        <v>4652</v>
      </c>
      <c r="K1111" s="3">
        <v>21</v>
      </c>
      <c r="L1111" s="3" t="s">
        <v>4647</v>
      </c>
    </row>
    <row r="1112" spans="1:12" ht="33.75" customHeight="1" x14ac:dyDescent="0.25">
      <c r="A1112" s="13" t="s">
        <v>2653</v>
      </c>
      <c r="B1112" s="2" t="s">
        <v>2654</v>
      </c>
      <c r="C1112" s="2" t="s">
        <v>2655</v>
      </c>
      <c r="D1112" s="2" t="s">
        <v>4923</v>
      </c>
      <c r="E1112" s="2" t="s">
        <v>4933</v>
      </c>
      <c r="F1112" s="2" t="s">
        <v>2656</v>
      </c>
      <c r="G1112" s="2">
        <v>29.63</v>
      </c>
      <c r="H1112" s="2" t="s">
        <v>4644</v>
      </c>
      <c r="I1112" s="2" t="s">
        <v>4645</v>
      </c>
      <c r="J1112" s="2" t="s">
        <v>4650</v>
      </c>
      <c r="K1112" s="2">
        <v>24</v>
      </c>
      <c r="L1112" s="2" t="s">
        <v>4647</v>
      </c>
    </row>
    <row r="1113" spans="1:12" ht="33.75" customHeight="1" x14ac:dyDescent="0.25">
      <c r="A1113" s="14" t="s">
        <v>2657</v>
      </c>
      <c r="B1113" s="3" t="s">
        <v>1638</v>
      </c>
      <c r="C1113" s="3" t="s">
        <v>2658</v>
      </c>
      <c r="D1113" s="3"/>
      <c r="E1113" s="3" t="s">
        <v>4842</v>
      </c>
      <c r="F1113" s="3" t="s">
        <v>1640</v>
      </c>
      <c r="G1113" s="3">
        <v>33.259399999999999</v>
      </c>
      <c r="H1113" s="3" t="s">
        <v>4644</v>
      </c>
      <c r="I1113" s="3" t="s">
        <v>4645</v>
      </c>
      <c r="J1113" s="3" t="s">
        <v>4726</v>
      </c>
      <c r="K1113" s="3">
        <v>72</v>
      </c>
      <c r="L1113" s="3" t="s">
        <v>4647</v>
      </c>
    </row>
    <row r="1114" spans="1:12" ht="33.75" customHeight="1" x14ac:dyDescent="0.25">
      <c r="A1114" s="13" t="s">
        <v>2659</v>
      </c>
      <c r="B1114" s="2" t="s">
        <v>2391</v>
      </c>
      <c r="C1114" s="2" t="s">
        <v>2660</v>
      </c>
      <c r="D1114" s="2"/>
      <c r="E1114" s="2" t="s">
        <v>4912</v>
      </c>
      <c r="F1114" s="2" t="s">
        <v>2393</v>
      </c>
      <c r="G1114" s="2">
        <v>32.3872</v>
      </c>
      <c r="H1114" s="2" t="s">
        <v>4644</v>
      </c>
      <c r="I1114" s="2" t="s">
        <v>4645</v>
      </c>
      <c r="J1114" s="2" t="s">
        <v>4770</v>
      </c>
      <c r="K1114" s="2">
        <v>48</v>
      </c>
      <c r="L1114" s="2" t="s">
        <v>4647</v>
      </c>
    </row>
    <row r="1115" spans="1:12" ht="33.75" customHeight="1" x14ac:dyDescent="0.25">
      <c r="A1115" s="14" t="s">
        <v>2661</v>
      </c>
      <c r="B1115" s="3" t="s">
        <v>277</v>
      </c>
      <c r="C1115" s="3" t="s">
        <v>2662</v>
      </c>
      <c r="D1115" s="3"/>
      <c r="E1115" s="3" t="s">
        <v>4696</v>
      </c>
      <c r="F1115" s="3" t="s">
        <v>279</v>
      </c>
      <c r="G1115" s="3">
        <v>29.7592</v>
      </c>
      <c r="H1115" s="3" t="s">
        <v>4644</v>
      </c>
      <c r="I1115" s="3" t="s">
        <v>4645</v>
      </c>
      <c r="J1115" s="3" t="s">
        <v>4697</v>
      </c>
      <c r="K1115" s="3">
        <v>48</v>
      </c>
      <c r="L1115" s="3" t="s">
        <v>4647</v>
      </c>
    </row>
    <row r="1116" spans="1:12" ht="33.75" customHeight="1" x14ac:dyDescent="0.25">
      <c r="A1116" s="13" t="s">
        <v>2663</v>
      </c>
      <c r="B1116" s="2" t="s">
        <v>324</v>
      </c>
      <c r="C1116" s="2" t="s">
        <v>2664</v>
      </c>
      <c r="D1116" s="2"/>
      <c r="E1116" s="2" t="s">
        <v>4704</v>
      </c>
      <c r="F1116" s="2" t="s">
        <v>326</v>
      </c>
      <c r="G1116" s="2">
        <v>29.719200000000001</v>
      </c>
      <c r="H1116" s="2" t="s">
        <v>4644</v>
      </c>
      <c r="I1116" s="2" t="s">
        <v>4645</v>
      </c>
      <c r="J1116" s="2" t="s">
        <v>4697</v>
      </c>
      <c r="K1116" s="2">
        <v>45</v>
      </c>
      <c r="L1116" s="2" t="s">
        <v>4647</v>
      </c>
    </row>
    <row r="1117" spans="1:12" ht="33.75" customHeight="1" x14ac:dyDescent="0.25">
      <c r="A1117" s="14" t="s">
        <v>2665</v>
      </c>
      <c r="B1117" s="3" t="s">
        <v>1928</v>
      </c>
      <c r="C1117" s="3" t="s">
        <v>2666</v>
      </c>
      <c r="D1117" s="3" t="s">
        <v>4671</v>
      </c>
      <c r="E1117" s="3" t="s">
        <v>4874</v>
      </c>
      <c r="F1117" s="3" t="s">
        <v>1930</v>
      </c>
      <c r="G1117" s="3">
        <v>27.530560000000001</v>
      </c>
      <c r="H1117" s="3" t="s">
        <v>4644</v>
      </c>
      <c r="I1117" s="3" t="s">
        <v>4645</v>
      </c>
      <c r="J1117" s="3" t="s">
        <v>4735</v>
      </c>
      <c r="K1117" s="3">
        <v>76</v>
      </c>
      <c r="L1117" s="3" t="s">
        <v>4668</v>
      </c>
    </row>
    <row r="1118" spans="1:12" ht="33.75" customHeight="1" x14ac:dyDescent="0.25">
      <c r="A1118" s="13" t="s">
        <v>2667</v>
      </c>
      <c r="B1118" s="2" t="s">
        <v>1948</v>
      </c>
      <c r="C1118" s="2" t="s">
        <v>2668</v>
      </c>
      <c r="D1118" s="2" t="s">
        <v>4671</v>
      </c>
      <c r="E1118" s="2" t="s">
        <v>4755</v>
      </c>
      <c r="F1118" s="2" t="s">
        <v>1950</v>
      </c>
      <c r="G1118" s="2">
        <v>27.513280000000002</v>
      </c>
      <c r="H1118" s="2" t="s">
        <v>4644</v>
      </c>
      <c r="I1118" s="2" t="s">
        <v>4645</v>
      </c>
      <c r="J1118" s="2" t="s">
        <v>4695</v>
      </c>
      <c r="K1118" s="2">
        <v>68</v>
      </c>
      <c r="L1118" s="2" t="s">
        <v>4668</v>
      </c>
    </row>
    <row r="1119" spans="1:12" ht="33.75" customHeight="1" x14ac:dyDescent="0.25">
      <c r="A1119" s="14" t="s">
        <v>2669</v>
      </c>
      <c r="B1119" s="3" t="s">
        <v>422</v>
      </c>
      <c r="C1119" s="3" t="s">
        <v>2670</v>
      </c>
      <c r="D1119" s="3"/>
      <c r="E1119" s="3" t="s">
        <v>4736</v>
      </c>
      <c r="F1119" s="3" t="s">
        <v>424</v>
      </c>
      <c r="G1119" s="3">
        <v>30.7272</v>
      </c>
      <c r="H1119" s="3" t="s">
        <v>4644</v>
      </c>
      <c r="I1119" s="3" t="s">
        <v>4645</v>
      </c>
      <c r="J1119" s="3" t="s">
        <v>4735</v>
      </c>
      <c r="K1119" s="3">
        <v>76</v>
      </c>
      <c r="L1119" s="3" t="s">
        <v>4647</v>
      </c>
    </row>
    <row r="1120" spans="1:12" ht="33.75" customHeight="1" x14ac:dyDescent="0.25">
      <c r="A1120" s="13" t="s">
        <v>2671</v>
      </c>
      <c r="B1120" s="2" t="s">
        <v>1727</v>
      </c>
      <c r="C1120" s="2" t="s">
        <v>2672</v>
      </c>
      <c r="D1120" s="2"/>
      <c r="E1120" s="2" t="s">
        <v>4847</v>
      </c>
      <c r="F1120" s="2" t="s">
        <v>1729</v>
      </c>
      <c r="G1120" s="2">
        <v>29.0792</v>
      </c>
      <c r="H1120" s="2" t="s">
        <v>4644</v>
      </c>
      <c r="I1120" s="2" t="s">
        <v>4645</v>
      </c>
      <c r="J1120" s="2" t="s">
        <v>4691</v>
      </c>
      <c r="K1120" s="2">
        <v>36</v>
      </c>
      <c r="L1120" s="2" t="s">
        <v>4647</v>
      </c>
    </row>
    <row r="1121" spans="1:12" ht="33.75" customHeight="1" x14ac:dyDescent="0.25">
      <c r="A1121" s="14" t="s">
        <v>2673</v>
      </c>
      <c r="B1121" s="3" t="s">
        <v>1638</v>
      </c>
      <c r="C1121" s="3" t="s">
        <v>2674</v>
      </c>
      <c r="D1121" s="3"/>
      <c r="E1121" s="3" t="s">
        <v>4842</v>
      </c>
      <c r="F1121" s="3" t="s">
        <v>1640</v>
      </c>
      <c r="G1121" s="3">
        <v>33.259399999999999</v>
      </c>
      <c r="H1121" s="3" t="s">
        <v>4644</v>
      </c>
      <c r="I1121" s="3" t="s">
        <v>4645</v>
      </c>
      <c r="J1121" s="3" t="s">
        <v>4726</v>
      </c>
      <c r="K1121" s="3">
        <v>72</v>
      </c>
      <c r="L1121" s="3" t="s">
        <v>4647</v>
      </c>
    </row>
    <row r="1122" spans="1:12" ht="33.75" customHeight="1" x14ac:dyDescent="0.25">
      <c r="A1122" s="13" t="s">
        <v>2675</v>
      </c>
      <c r="B1122" s="2" t="s">
        <v>794</v>
      </c>
      <c r="C1122" s="2" t="s">
        <v>2676</v>
      </c>
      <c r="D1122" s="2" t="s">
        <v>4773</v>
      </c>
      <c r="E1122" s="2" t="s">
        <v>4791</v>
      </c>
      <c r="F1122" s="2" t="s">
        <v>796</v>
      </c>
      <c r="G1122" s="2">
        <v>34.151200000000003</v>
      </c>
      <c r="H1122" s="2" t="s">
        <v>4644</v>
      </c>
      <c r="I1122" s="2" t="s">
        <v>4645</v>
      </c>
      <c r="J1122" s="2" t="s">
        <v>4770</v>
      </c>
      <c r="K1122" s="2">
        <v>63</v>
      </c>
      <c r="L1122" s="2" t="s">
        <v>4647</v>
      </c>
    </row>
    <row r="1123" spans="1:12" ht="33.75" customHeight="1" x14ac:dyDescent="0.25">
      <c r="A1123" s="14" t="s">
        <v>2677</v>
      </c>
      <c r="B1123" s="3" t="s">
        <v>324</v>
      </c>
      <c r="C1123" s="3" t="s">
        <v>2678</v>
      </c>
      <c r="D1123" s="3"/>
      <c r="E1123" s="3" t="s">
        <v>4704</v>
      </c>
      <c r="F1123" s="3" t="s">
        <v>326</v>
      </c>
      <c r="G1123" s="3">
        <v>29.719200000000001</v>
      </c>
      <c r="H1123" s="3" t="s">
        <v>4644</v>
      </c>
      <c r="I1123" s="3" t="s">
        <v>4645</v>
      </c>
      <c r="J1123" s="3" t="s">
        <v>4697</v>
      </c>
      <c r="K1123" s="3">
        <v>45</v>
      </c>
      <c r="L1123" s="3" t="s">
        <v>4647</v>
      </c>
    </row>
    <row r="1124" spans="1:12" ht="33.75" customHeight="1" x14ac:dyDescent="0.25">
      <c r="A1124" s="13" t="s">
        <v>2679</v>
      </c>
      <c r="B1124" s="2" t="s">
        <v>418</v>
      </c>
      <c r="C1124" s="2" t="s">
        <v>2680</v>
      </c>
      <c r="D1124" s="2"/>
      <c r="E1124" s="2" t="s">
        <v>4734</v>
      </c>
      <c r="F1124" s="2" t="s">
        <v>420</v>
      </c>
      <c r="G1124" s="2">
        <v>30.655200000000001</v>
      </c>
      <c r="H1124" s="2" t="s">
        <v>4644</v>
      </c>
      <c r="I1124" s="2" t="s">
        <v>4645</v>
      </c>
      <c r="J1124" s="2" t="s">
        <v>4735</v>
      </c>
      <c r="K1124" s="2">
        <v>72</v>
      </c>
      <c r="L1124" s="2" t="s">
        <v>4647</v>
      </c>
    </row>
    <row r="1125" spans="1:12" ht="33.75" customHeight="1" x14ac:dyDescent="0.25">
      <c r="A1125" s="14" t="s">
        <v>2681</v>
      </c>
      <c r="B1125" s="3" t="s">
        <v>990</v>
      </c>
      <c r="C1125" s="3" t="s">
        <v>2682</v>
      </c>
      <c r="D1125" s="3"/>
      <c r="E1125" s="3" t="s">
        <v>4806</v>
      </c>
      <c r="F1125" s="3" t="s">
        <v>992</v>
      </c>
      <c r="G1125" s="3">
        <v>29.755199999999999</v>
      </c>
      <c r="H1125" s="3" t="s">
        <v>4644</v>
      </c>
      <c r="I1125" s="3" t="s">
        <v>4645</v>
      </c>
      <c r="J1125" s="3" t="s">
        <v>4723</v>
      </c>
      <c r="K1125" s="3">
        <v>54</v>
      </c>
      <c r="L1125" s="3" t="s">
        <v>4647</v>
      </c>
    </row>
    <row r="1126" spans="1:12" ht="33.75" customHeight="1" x14ac:dyDescent="0.25">
      <c r="A1126" s="13" t="s">
        <v>2683</v>
      </c>
      <c r="B1126" s="2" t="s">
        <v>418</v>
      </c>
      <c r="C1126" s="2" t="s">
        <v>2684</v>
      </c>
      <c r="D1126" s="2"/>
      <c r="E1126" s="2" t="s">
        <v>4734</v>
      </c>
      <c r="F1126" s="2" t="s">
        <v>420</v>
      </c>
      <c r="G1126" s="2">
        <v>30.655200000000001</v>
      </c>
      <c r="H1126" s="2" t="s">
        <v>4644</v>
      </c>
      <c r="I1126" s="2" t="s">
        <v>4645</v>
      </c>
      <c r="J1126" s="2" t="s">
        <v>4735</v>
      </c>
      <c r="K1126" s="2">
        <v>72</v>
      </c>
      <c r="L1126" s="2" t="s">
        <v>4647</v>
      </c>
    </row>
    <row r="1127" spans="1:12" ht="33.75" customHeight="1" x14ac:dyDescent="0.25">
      <c r="A1127" s="14" t="s">
        <v>2685</v>
      </c>
      <c r="B1127" s="3" t="s">
        <v>400</v>
      </c>
      <c r="C1127" s="3" t="s">
        <v>2686</v>
      </c>
      <c r="D1127" s="3"/>
      <c r="E1127" s="3" t="s">
        <v>4730</v>
      </c>
      <c r="F1127" s="3" t="s">
        <v>402</v>
      </c>
      <c r="G1127" s="3">
        <v>34.332239999999999</v>
      </c>
      <c r="H1127" s="3" t="s">
        <v>4644</v>
      </c>
      <c r="I1127" s="3" t="s">
        <v>4645</v>
      </c>
      <c r="J1127" s="3" t="s">
        <v>4719</v>
      </c>
      <c r="K1127" s="3">
        <v>72</v>
      </c>
      <c r="L1127" s="3" t="s">
        <v>4647</v>
      </c>
    </row>
    <row r="1128" spans="1:12" ht="33.75" customHeight="1" x14ac:dyDescent="0.25">
      <c r="A1128" s="13" t="s">
        <v>2687</v>
      </c>
      <c r="B1128" s="2" t="s">
        <v>794</v>
      </c>
      <c r="C1128" s="2" t="s">
        <v>2688</v>
      </c>
      <c r="D1128" s="2"/>
      <c r="E1128" s="2" t="s">
        <v>4791</v>
      </c>
      <c r="F1128" s="2" t="s">
        <v>796</v>
      </c>
      <c r="G1128" s="2">
        <v>34.151200000000003</v>
      </c>
      <c r="H1128" s="2" t="s">
        <v>4644</v>
      </c>
      <c r="I1128" s="2" t="s">
        <v>4645</v>
      </c>
      <c r="J1128" s="2" t="s">
        <v>4770</v>
      </c>
      <c r="K1128" s="2">
        <v>63</v>
      </c>
      <c r="L1128" s="2" t="s">
        <v>4647</v>
      </c>
    </row>
    <row r="1129" spans="1:12" ht="33.75" customHeight="1" x14ac:dyDescent="0.25">
      <c r="A1129" s="14" t="s">
        <v>2689</v>
      </c>
      <c r="B1129" s="3" t="s">
        <v>324</v>
      </c>
      <c r="C1129" s="3" t="s">
        <v>2690</v>
      </c>
      <c r="D1129" s="3"/>
      <c r="E1129" s="3" t="s">
        <v>4704</v>
      </c>
      <c r="F1129" s="3" t="s">
        <v>326</v>
      </c>
      <c r="G1129" s="3">
        <v>29.719200000000001</v>
      </c>
      <c r="H1129" s="3" t="s">
        <v>4644</v>
      </c>
      <c r="I1129" s="3" t="s">
        <v>4645</v>
      </c>
      <c r="J1129" s="3" t="s">
        <v>4697</v>
      </c>
      <c r="K1129" s="3">
        <v>45</v>
      </c>
      <c r="L1129" s="3" t="s">
        <v>4647</v>
      </c>
    </row>
    <row r="1130" spans="1:12" ht="33.75" customHeight="1" x14ac:dyDescent="0.25">
      <c r="A1130" s="13" t="s">
        <v>2691</v>
      </c>
      <c r="B1130" s="2" t="s">
        <v>120</v>
      </c>
      <c r="C1130" s="2" t="s">
        <v>2692</v>
      </c>
      <c r="D1130" s="2" t="s">
        <v>4873</v>
      </c>
      <c r="E1130" s="2" t="s">
        <v>4662</v>
      </c>
      <c r="F1130" s="2" t="s">
        <v>122</v>
      </c>
      <c r="G1130" s="2">
        <v>33.349800000000002</v>
      </c>
      <c r="H1130" s="2" t="s">
        <v>4644</v>
      </c>
      <c r="I1130" s="2" t="s">
        <v>4645</v>
      </c>
      <c r="J1130" s="2" t="s">
        <v>4657</v>
      </c>
      <c r="K1130" s="2">
        <v>45</v>
      </c>
      <c r="L1130" s="2" t="s">
        <v>4647</v>
      </c>
    </row>
    <row r="1131" spans="1:12" ht="33.75" customHeight="1" x14ac:dyDescent="0.25">
      <c r="A1131" s="14" t="s">
        <v>2693</v>
      </c>
      <c r="B1131" s="3" t="s">
        <v>324</v>
      </c>
      <c r="C1131" s="3" t="s">
        <v>2694</v>
      </c>
      <c r="D1131" s="3" t="s">
        <v>4873</v>
      </c>
      <c r="E1131" s="3" t="s">
        <v>4704</v>
      </c>
      <c r="F1131" s="3" t="s">
        <v>326</v>
      </c>
      <c r="G1131" s="3">
        <v>29.719200000000001</v>
      </c>
      <c r="H1131" s="3" t="s">
        <v>4644</v>
      </c>
      <c r="I1131" s="3" t="s">
        <v>4645</v>
      </c>
      <c r="J1131" s="3" t="s">
        <v>4697</v>
      </c>
      <c r="K1131" s="3">
        <v>45</v>
      </c>
      <c r="L1131" s="3" t="s">
        <v>4647</v>
      </c>
    </row>
    <row r="1132" spans="1:12" ht="33.75" customHeight="1" x14ac:dyDescent="0.25">
      <c r="A1132" s="13" t="s">
        <v>2695</v>
      </c>
      <c r="B1132" s="2" t="s">
        <v>2696</v>
      </c>
      <c r="C1132" s="2" t="s">
        <v>2697</v>
      </c>
      <c r="D1132" s="2" t="s">
        <v>4923</v>
      </c>
      <c r="E1132" s="2" t="s">
        <v>4934</v>
      </c>
      <c r="F1132" s="2" t="s">
        <v>2698</v>
      </c>
      <c r="G1132" s="2">
        <v>27.639199999999999</v>
      </c>
      <c r="H1132" s="2" t="s">
        <v>4644</v>
      </c>
      <c r="I1132" s="2" t="s">
        <v>4645</v>
      </c>
      <c r="J1132" s="2" t="s">
        <v>4691</v>
      </c>
      <c r="K1132" s="2">
        <v>36</v>
      </c>
      <c r="L1132" s="2" t="s">
        <v>4647</v>
      </c>
    </row>
    <row r="1133" spans="1:12" ht="33.75" customHeight="1" x14ac:dyDescent="0.25">
      <c r="A1133" s="14" t="s">
        <v>2699</v>
      </c>
      <c r="B1133" s="3" t="s">
        <v>2700</v>
      </c>
      <c r="C1133" s="3" t="s">
        <v>2701</v>
      </c>
      <c r="D1133" s="3" t="s">
        <v>4915</v>
      </c>
      <c r="E1133" s="3" t="s">
        <v>4935</v>
      </c>
      <c r="F1133" s="3" t="s">
        <v>2702</v>
      </c>
      <c r="G1133" s="3">
        <v>28.126000000000001</v>
      </c>
      <c r="H1133" s="3" t="s">
        <v>4644</v>
      </c>
      <c r="I1133" s="3" t="s">
        <v>4645</v>
      </c>
      <c r="J1133" s="3" t="s">
        <v>4723</v>
      </c>
      <c r="K1133" s="3">
        <v>56</v>
      </c>
      <c r="L1133" s="3" t="s">
        <v>4647</v>
      </c>
    </row>
    <row r="1134" spans="1:12" ht="33.75" customHeight="1" x14ac:dyDescent="0.25">
      <c r="A1134" s="13" t="s">
        <v>2703</v>
      </c>
      <c r="B1134" s="2" t="s">
        <v>418</v>
      </c>
      <c r="C1134" s="2" t="s">
        <v>2704</v>
      </c>
      <c r="D1134" s="2" t="s">
        <v>4773</v>
      </c>
      <c r="E1134" s="2" t="s">
        <v>4734</v>
      </c>
      <c r="F1134" s="2" t="s">
        <v>420</v>
      </c>
      <c r="G1134" s="2">
        <v>30.655200000000001</v>
      </c>
      <c r="H1134" s="2" t="s">
        <v>4644</v>
      </c>
      <c r="I1134" s="2" t="s">
        <v>4645</v>
      </c>
      <c r="J1134" s="2" t="s">
        <v>4735</v>
      </c>
      <c r="K1134" s="2">
        <v>72</v>
      </c>
      <c r="L1134" s="2" t="s">
        <v>4647</v>
      </c>
    </row>
    <row r="1135" spans="1:12" ht="33.75" customHeight="1" x14ac:dyDescent="0.25">
      <c r="A1135" s="14" t="s">
        <v>2705</v>
      </c>
      <c r="B1135" s="3" t="s">
        <v>404</v>
      </c>
      <c r="C1135" s="3" t="s">
        <v>2706</v>
      </c>
      <c r="D1135" s="3" t="s">
        <v>4663</v>
      </c>
      <c r="E1135" s="3" t="s">
        <v>4731</v>
      </c>
      <c r="F1135" s="3" t="s">
        <v>406</v>
      </c>
      <c r="G1135" s="3">
        <v>29.999199999999998</v>
      </c>
      <c r="H1135" s="3" t="s">
        <v>4644</v>
      </c>
      <c r="I1135" s="3" t="s">
        <v>4645</v>
      </c>
      <c r="J1135" s="3" t="s">
        <v>4695</v>
      </c>
      <c r="K1135" s="3">
        <v>63</v>
      </c>
      <c r="L1135" s="3" t="s">
        <v>4647</v>
      </c>
    </row>
    <row r="1136" spans="1:12" ht="33.75" customHeight="1" x14ac:dyDescent="0.25">
      <c r="A1136" s="13" t="s">
        <v>2707</v>
      </c>
      <c r="B1136" s="2" t="s">
        <v>990</v>
      </c>
      <c r="C1136" s="2" t="s">
        <v>2708</v>
      </c>
      <c r="D1136" s="2" t="s">
        <v>4663</v>
      </c>
      <c r="E1136" s="2" t="s">
        <v>4806</v>
      </c>
      <c r="F1136" s="2" t="s">
        <v>992</v>
      </c>
      <c r="G1136" s="2">
        <v>29.755199999999999</v>
      </c>
      <c r="H1136" s="2" t="s">
        <v>4644</v>
      </c>
      <c r="I1136" s="2" t="s">
        <v>4645</v>
      </c>
      <c r="J1136" s="2" t="s">
        <v>4723</v>
      </c>
      <c r="K1136" s="2">
        <v>54</v>
      </c>
      <c r="L1136" s="2" t="s">
        <v>4647</v>
      </c>
    </row>
    <row r="1137" spans="1:12" ht="33.75" customHeight="1" x14ac:dyDescent="0.25">
      <c r="A1137" s="14" t="s">
        <v>2709</v>
      </c>
      <c r="B1137" s="3" t="s">
        <v>324</v>
      </c>
      <c r="C1137" s="3" t="s">
        <v>2710</v>
      </c>
      <c r="D1137" s="3" t="s">
        <v>4663</v>
      </c>
      <c r="E1137" s="3" t="s">
        <v>4704</v>
      </c>
      <c r="F1137" s="3" t="s">
        <v>326</v>
      </c>
      <c r="G1137" s="3">
        <v>29.719200000000001</v>
      </c>
      <c r="H1137" s="3" t="s">
        <v>4644</v>
      </c>
      <c r="I1137" s="3" t="s">
        <v>4645</v>
      </c>
      <c r="J1137" s="3" t="s">
        <v>4697</v>
      </c>
      <c r="K1137" s="3">
        <v>45</v>
      </c>
      <c r="L1137" s="3" t="s">
        <v>4647</v>
      </c>
    </row>
    <row r="1138" spans="1:12" ht="33.75" customHeight="1" x14ac:dyDescent="0.25">
      <c r="A1138" s="13" t="s">
        <v>2711</v>
      </c>
      <c r="B1138" s="2" t="s">
        <v>2373</v>
      </c>
      <c r="C1138" s="2" t="s">
        <v>2374</v>
      </c>
      <c r="D1138" s="2" t="s">
        <v>4737</v>
      </c>
      <c r="E1138" s="2" t="s">
        <v>4909</v>
      </c>
      <c r="F1138" s="2" t="s">
        <v>2375</v>
      </c>
      <c r="G1138" s="2">
        <v>28.649000000000001</v>
      </c>
      <c r="H1138" s="2" t="s">
        <v>4644</v>
      </c>
      <c r="I1138" s="2" t="s">
        <v>4645</v>
      </c>
      <c r="J1138" s="2" t="s">
        <v>4708</v>
      </c>
      <c r="K1138" s="2">
        <v>90</v>
      </c>
      <c r="L1138" s="2" t="s">
        <v>4647</v>
      </c>
    </row>
    <row r="1139" spans="1:12" ht="33.75" customHeight="1" x14ac:dyDescent="0.25">
      <c r="A1139" s="14" t="s">
        <v>2712</v>
      </c>
      <c r="B1139" s="3" t="s">
        <v>418</v>
      </c>
      <c r="C1139" s="3" t="s">
        <v>2713</v>
      </c>
      <c r="D1139" s="3"/>
      <c r="E1139" s="3" t="s">
        <v>4734</v>
      </c>
      <c r="F1139" s="3" t="s">
        <v>420</v>
      </c>
      <c r="G1139" s="3">
        <v>30.655200000000001</v>
      </c>
      <c r="H1139" s="3" t="s">
        <v>4644</v>
      </c>
      <c r="I1139" s="3" t="s">
        <v>4645</v>
      </c>
      <c r="J1139" s="3" t="s">
        <v>4735</v>
      </c>
      <c r="K1139" s="3">
        <v>72</v>
      </c>
      <c r="L1139" s="3" t="s">
        <v>4647</v>
      </c>
    </row>
    <row r="1140" spans="1:12" ht="33.75" customHeight="1" x14ac:dyDescent="0.25">
      <c r="A1140" s="13" t="s">
        <v>2714</v>
      </c>
      <c r="B1140" s="2" t="s">
        <v>404</v>
      </c>
      <c r="C1140" s="2" t="s">
        <v>2715</v>
      </c>
      <c r="D1140" s="2"/>
      <c r="E1140" s="2" t="s">
        <v>4731</v>
      </c>
      <c r="F1140" s="2" t="s">
        <v>406</v>
      </c>
      <c r="G1140" s="2">
        <v>29.999199999999998</v>
      </c>
      <c r="H1140" s="2" t="s">
        <v>4644</v>
      </c>
      <c r="I1140" s="2" t="s">
        <v>4645</v>
      </c>
      <c r="J1140" s="2" t="s">
        <v>4695</v>
      </c>
      <c r="K1140" s="2">
        <v>63</v>
      </c>
      <c r="L1140" s="2" t="s">
        <v>4647</v>
      </c>
    </row>
    <row r="1141" spans="1:12" ht="33.75" customHeight="1" x14ac:dyDescent="0.25">
      <c r="A1141" s="14" t="s">
        <v>2716</v>
      </c>
      <c r="B1141" s="3" t="s">
        <v>1151</v>
      </c>
      <c r="C1141" s="3" t="s">
        <v>2717</v>
      </c>
      <c r="D1141" s="3"/>
      <c r="E1141" s="3" t="s">
        <v>4812</v>
      </c>
      <c r="F1141" s="3" t="s">
        <v>1153</v>
      </c>
      <c r="G1141" s="3">
        <v>30.6372</v>
      </c>
      <c r="H1141" s="3" t="s">
        <v>4644</v>
      </c>
      <c r="I1141" s="3" t="s">
        <v>4645</v>
      </c>
      <c r="J1141" s="3" t="s">
        <v>4693</v>
      </c>
      <c r="K1141" s="3">
        <v>72</v>
      </c>
      <c r="L1141" s="3" t="s">
        <v>4647</v>
      </c>
    </row>
    <row r="1142" spans="1:12" ht="33.75" customHeight="1" x14ac:dyDescent="0.25">
      <c r="A1142" s="13" t="s">
        <v>2718</v>
      </c>
      <c r="B1142" s="2" t="s">
        <v>382</v>
      </c>
      <c r="C1142" s="2" t="s">
        <v>2719</v>
      </c>
      <c r="D1142" s="2"/>
      <c r="E1142" s="2" t="s">
        <v>4725</v>
      </c>
      <c r="F1142" s="2" t="s">
        <v>384</v>
      </c>
      <c r="G1142" s="2">
        <v>35.3172</v>
      </c>
      <c r="H1142" s="2" t="s">
        <v>4644</v>
      </c>
      <c r="I1142" s="2" t="s">
        <v>4645</v>
      </c>
      <c r="J1142" s="2" t="s">
        <v>4726</v>
      </c>
      <c r="K1142" s="2">
        <v>96</v>
      </c>
      <c r="L1142" s="2" t="s">
        <v>4647</v>
      </c>
    </row>
    <row r="1143" spans="1:12" ht="33.75" customHeight="1" x14ac:dyDescent="0.25">
      <c r="A1143" s="14" t="s">
        <v>2720</v>
      </c>
      <c r="B1143" s="3" t="s">
        <v>89</v>
      </c>
      <c r="C1143" s="3" t="s">
        <v>2721</v>
      </c>
      <c r="D1143" s="3"/>
      <c r="E1143" s="3" t="s">
        <v>4659</v>
      </c>
      <c r="F1143" s="3" t="s">
        <v>91</v>
      </c>
      <c r="G1143" s="3">
        <v>32.389200000000002</v>
      </c>
      <c r="H1143" s="3" t="s">
        <v>4644</v>
      </c>
      <c r="I1143" s="3" t="s">
        <v>4645</v>
      </c>
      <c r="J1143" s="3" t="s">
        <v>4652</v>
      </c>
      <c r="K1143" s="3">
        <v>30</v>
      </c>
      <c r="L1143" s="3" t="s">
        <v>4647</v>
      </c>
    </row>
    <row r="1144" spans="1:12" ht="33.75" customHeight="1" x14ac:dyDescent="0.25">
      <c r="A1144" s="13" t="s">
        <v>2722</v>
      </c>
      <c r="B1144" s="2" t="s">
        <v>404</v>
      </c>
      <c r="C1144" s="2" t="s">
        <v>2723</v>
      </c>
      <c r="D1144" s="2"/>
      <c r="E1144" s="2" t="s">
        <v>4731</v>
      </c>
      <c r="F1144" s="2" t="s">
        <v>406</v>
      </c>
      <c r="G1144" s="2">
        <v>29.999199999999998</v>
      </c>
      <c r="H1144" s="2" t="s">
        <v>4644</v>
      </c>
      <c r="I1144" s="2" t="s">
        <v>4645</v>
      </c>
      <c r="J1144" s="2" t="s">
        <v>4695</v>
      </c>
      <c r="K1144" s="2">
        <v>63</v>
      </c>
      <c r="L1144" s="2" t="s">
        <v>4647</v>
      </c>
    </row>
    <row r="1145" spans="1:12" ht="33.75" customHeight="1" x14ac:dyDescent="0.25">
      <c r="A1145" s="14" t="s">
        <v>2724</v>
      </c>
      <c r="B1145" s="3" t="s">
        <v>2696</v>
      </c>
      <c r="C1145" s="3" t="s">
        <v>2725</v>
      </c>
      <c r="D1145" s="3" t="s">
        <v>4794</v>
      </c>
      <c r="E1145" s="3" t="s">
        <v>4934</v>
      </c>
      <c r="F1145" s="3" t="s">
        <v>2698</v>
      </c>
      <c r="G1145" s="3">
        <v>27.639199999999999</v>
      </c>
      <c r="H1145" s="3" t="s">
        <v>4644</v>
      </c>
      <c r="I1145" s="3" t="s">
        <v>4645</v>
      </c>
      <c r="J1145" s="3" t="s">
        <v>4697</v>
      </c>
      <c r="K1145" s="3">
        <v>36</v>
      </c>
      <c r="L1145" s="3" t="s">
        <v>4647</v>
      </c>
    </row>
    <row r="1146" spans="1:12" ht="33.75" customHeight="1" x14ac:dyDescent="0.25">
      <c r="A1146" s="13" t="s">
        <v>2726</v>
      </c>
      <c r="B1146" s="2" t="s">
        <v>2727</v>
      </c>
      <c r="C1146" s="2" t="s">
        <v>2728</v>
      </c>
      <c r="D1146" s="2" t="s">
        <v>4893</v>
      </c>
      <c r="E1146" s="2" t="s">
        <v>4936</v>
      </c>
      <c r="F1146" s="2" t="s">
        <v>2729</v>
      </c>
      <c r="G1146" s="2">
        <v>50.636000000000003</v>
      </c>
      <c r="H1146" s="2" t="s">
        <v>4644</v>
      </c>
      <c r="I1146" s="2" t="s">
        <v>4645</v>
      </c>
      <c r="J1146" s="2" t="s">
        <v>4684</v>
      </c>
      <c r="K1146" s="2">
        <v>72</v>
      </c>
      <c r="L1146" s="2" t="s">
        <v>4647</v>
      </c>
    </row>
    <row r="1147" spans="1:12" ht="33.75" customHeight="1" x14ac:dyDescent="0.25">
      <c r="A1147" s="14" t="s">
        <v>2730</v>
      </c>
      <c r="B1147" s="3" t="s">
        <v>1062</v>
      </c>
      <c r="C1147" s="3" t="s">
        <v>2731</v>
      </c>
      <c r="D1147" s="3" t="s">
        <v>4893</v>
      </c>
      <c r="E1147" s="3" t="s">
        <v>4808</v>
      </c>
      <c r="F1147" s="3" t="s">
        <v>1064</v>
      </c>
      <c r="G1147" s="3">
        <v>47.728400000000001</v>
      </c>
      <c r="H1147" s="3" t="s">
        <v>4644</v>
      </c>
      <c r="I1147" s="3" t="s">
        <v>4645</v>
      </c>
      <c r="J1147" s="3" t="s">
        <v>4721</v>
      </c>
      <c r="K1147" s="3">
        <v>51</v>
      </c>
      <c r="L1147" s="3" t="s">
        <v>4647</v>
      </c>
    </row>
    <row r="1148" spans="1:12" ht="33.75" customHeight="1" x14ac:dyDescent="0.25">
      <c r="A1148" s="13" t="s">
        <v>2732</v>
      </c>
      <c r="B1148" s="2" t="s">
        <v>89</v>
      </c>
      <c r="C1148" s="2" t="s">
        <v>2733</v>
      </c>
      <c r="D1148" s="2" t="s">
        <v>4893</v>
      </c>
      <c r="E1148" s="2" t="s">
        <v>4659</v>
      </c>
      <c r="F1148" s="2" t="s">
        <v>91</v>
      </c>
      <c r="G1148" s="2">
        <v>32.389200000000002</v>
      </c>
      <c r="H1148" s="2" t="s">
        <v>4644</v>
      </c>
      <c r="I1148" s="2" t="s">
        <v>4645</v>
      </c>
      <c r="J1148" s="2" t="s">
        <v>4652</v>
      </c>
      <c r="K1148" s="2">
        <v>30</v>
      </c>
      <c r="L1148" s="2" t="s">
        <v>4647</v>
      </c>
    </row>
    <row r="1149" spans="1:12" ht="33.75" customHeight="1" x14ac:dyDescent="0.25">
      <c r="A1149" s="14" t="s">
        <v>2734</v>
      </c>
      <c r="B1149" s="3" t="s">
        <v>89</v>
      </c>
      <c r="C1149" s="3" t="s">
        <v>2735</v>
      </c>
      <c r="D1149" s="3" t="s">
        <v>4893</v>
      </c>
      <c r="E1149" s="3" t="s">
        <v>4659</v>
      </c>
      <c r="F1149" s="3" t="s">
        <v>91</v>
      </c>
      <c r="G1149" s="3">
        <v>32.389200000000002</v>
      </c>
      <c r="H1149" s="3" t="s">
        <v>4644</v>
      </c>
      <c r="I1149" s="3" t="s">
        <v>4645</v>
      </c>
      <c r="J1149" s="3" t="s">
        <v>4652</v>
      </c>
      <c r="K1149" s="3">
        <v>30</v>
      </c>
      <c r="L1149" s="3" t="s">
        <v>4647</v>
      </c>
    </row>
    <row r="1150" spans="1:12" ht="33.75" customHeight="1" x14ac:dyDescent="0.25">
      <c r="A1150" s="13" t="s">
        <v>2736</v>
      </c>
      <c r="B1150" s="2" t="s">
        <v>273</v>
      </c>
      <c r="C1150" s="2" t="s">
        <v>2737</v>
      </c>
      <c r="D1150" s="2"/>
      <c r="E1150" s="2" t="s">
        <v>4694</v>
      </c>
      <c r="F1150" s="2" t="s">
        <v>275</v>
      </c>
      <c r="G1150" s="2">
        <v>30.084199999999999</v>
      </c>
      <c r="H1150" s="2" t="s">
        <v>4644</v>
      </c>
      <c r="I1150" s="2" t="s">
        <v>4645</v>
      </c>
      <c r="J1150" s="2" t="s">
        <v>4695</v>
      </c>
      <c r="K1150" s="2">
        <v>68</v>
      </c>
      <c r="L1150" s="2" t="s">
        <v>4647</v>
      </c>
    </row>
    <row r="1151" spans="1:12" ht="33.75" customHeight="1" x14ac:dyDescent="0.25">
      <c r="A1151" s="14" t="s">
        <v>2738</v>
      </c>
      <c r="B1151" s="3" t="s">
        <v>2037</v>
      </c>
      <c r="C1151" s="3" t="s">
        <v>2739</v>
      </c>
      <c r="D1151" s="3"/>
      <c r="E1151" s="3" t="s">
        <v>4884</v>
      </c>
      <c r="F1151" s="3" t="s">
        <v>2039</v>
      </c>
      <c r="G1151" s="3">
        <v>31.226199999999999</v>
      </c>
      <c r="H1151" s="3" t="s">
        <v>4644</v>
      </c>
      <c r="I1151" s="3" t="s">
        <v>4645</v>
      </c>
      <c r="J1151" s="3" t="s">
        <v>4733</v>
      </c>
      <c r="K1151" s="3">
        <v>96</v>
      </c>
      <c r="L1151" s="3" t="s">
        <v>4647</v>
      </c>
    </row>
    <row r="1152" spans="1:12" ht="33.75" customHeight="1" x14ac:dyDescent="0.25">
      <c r="A1152" s="13" t="s">
        <v>2740</v>
      </c>
      <c r="B1152" s="2" t="s">
        <v>422</v>
      </c>
      <c r="C1152" s="2" t="s">
        <v>2741</v>
      </c>
      <c r="D1152" s="2"/>
      <c r="E1152" s="2" t="s">
        <v>4736</v>
      </c>
      <c r="F1152" s="2" t="s">
        <v>424</v>
      </c>
      <c r="G1152" s="2">
        <v>30.7272</v>
      </c>
      <c r="H1152" s="2" t="s">
        <v>4644</v>
      </c>
      <c r="I1152" s="2" t="s">
        <v>4645</v>
      </c>
      <c r="J1152" s="2" t="s">
        <v>4735</v>
      </c>
      <c r="K1152" s="2">
        <v>76</v>
      </c>
      <c r="L1152" s="2" t="s">
        <v>4647</v>
      </c>
    </row>
    <row r="1153" spans="1:12" ht="33.75" customHeight="1" x14ac:dyDescent="0.25">
      <c r="A1153" s="14" t="s">
        <v>2742</v>
      </c>
      <c r="B1153" s="3" t="s">
        <v>2743</v>
      </c>
      <c r="C1153" s="3" t="s">
        <v>2744</v>
      </c>
      <c r="D1153" s="3" t="s">
        <v>4737</v>
      </c>
      <c r="E1153" s="3" t="s">
        <v>4937</v>
      </c>
      <c r="F1153" s="3" t="s">
        <v>2745</v>
      </c>
      <c r="G1153" s="3">
        <v>28.417000000000002</v>
      </c>
      <c r="H1153" s="3" t="s">
        <v>4644</v>
      </c>
      <c r="I1153" s="3" t="s">
        <v>4645</v>
      </c>
      <c r="J1153" s="3" t="s">
        <v>4697</v>
      </c>
      <c r="K1153" s="3">
        <v>45</v>
      </c>
      <c r="L1153" s="3" t="s">
        <v>4647</v>
      </c>
    </row>
    <row r="1154" spans="1:12" ht="33.75" customHeight="1" x14ac:dyDescent="0.25">
      <c r="A1154" s="13" t="s">
        <v>2746</v>
      </c>
      <c r="B1154" s="2" t="s">
        <v>2747</v>
      </c>
      <c r="C1154" s="2" t="s">
        <v>2748</v>
      </c>
      <c r="D1154" s="2" t="s">
        <v>4737</v>
      </c>
      <c r="E1154" s="2" t="s">
        <v>4938</v>
      </c>
      <c r="F1154" s="2" t="s">
        <v>2749</v>
      </c>
      <c r="G1154" s="2">
        <v>28.417000000000002</v>
      </c>
      <c r="H1154" s="2" t="s">
        <v>4644</v>
      </c>
      <c r="I1154" s="2" t="s">
        <v>4645</v>
      </c>
      <c r="J1154" s="2" t="s">
        <v>4695</v>
      </c>
      <c r="K1154" s="2">
        <v>63</v>
      </c>
      <c r="L1154" s="2" t="s">
        <v>4647</v>
      </c>
    </row>
    <row r="1155" spans="1:12" ht="33.75" customHeight="1" x14ac:dyDescent="0.25">
      <c r="A1155" s="14" t="s">
        <v>2750</v>
      </c>
      <c r="B1155" s="3" t="s">
        <v>2751</v>
      </c>
      <c r="C1155" s="3" t="s">
        <v>2752</v>
      </c>
      <c r="D1155" s="3" t="s">
        <v>4737</v>
      </c>
      <c r="E1155" s="3" t="s">
        <v>4939</v>
      </c>
      <c r="F1155" s="3" t="s">
        <v>2753</v>
      </c>
      <c r="G1155" s="3">
        <v>28.417000000000002</v>
      </c>
      <c r="H1155" s="3" t="s">
        <v>4644</v>
      </c>
      <c r="I1155" s="3" t="s">
        <v>4645</v>
      </c>
      <c r="J1155" s="3" t="s">
        <v>4735</v>
      </c>
      <c r="K1155" s="3">
        <v>72</v>
      </c>
      <c r="L1155" s="3" t="s">
        <v>4647</v>
      </c>
    </row>
    <row r="1156" spans="1:12" ht="33.75" customHeight="1" x14ac:dyDescent="0.25">
      <c r="A1156" s="13" t="s">
        <v>2754</v>
      </c>
      <c r="B1156" s="2" t="s">
        <v>2755</v>
      </c>
      <c r="C1156" s="2" t="s">
        <v>2756</v>
      </c>
      <c r="D1156" s="2" t="s">
        <v>4737</v>
      </c>
      <c r="E1156" s="2" t="s">
        <v>4940</v>
      </c>
      <c r="F1156" s="2" t="s">
        <v>2757</v>
      </c>
      <c r="G1156" s="2">
        <v>28.417000000000002</v>
      </c>
      <c r="H1156" s="2" t="s">
        <v>4644</v>
      </c>
      <c r="I1156" s="2" t="s">
        <v>4645</v>
      </c>
      <c r="J1156" s="2" t="s">
        <v>4723</v>
      </c>
      <c r="K1156" s="2">
        <v>54</v>
      </c>
      <c r="L1156" s="2" t="s">
        <v>4647</v>
      </c>
    </row>
    <row r="1157" spans="1:12" ht="33.75" customHeight="1" x14ac:dyDescent="0.25">
      <c r="A1157" s="14" t="s">
        <v>2758</v>
      </c>
      <c r="B1157" s="3" t="s">
        <v>864</v>
      </c>
      <c r="C1157" s="3" t="s">
        <v>2759</v>
      </c>
      <c r="D1157" s="3"/>
      <c r="E1157" s="3" t="s">
        <v>4801</v>
      </c>
      <c r="F1157" s="3" t="s">
        <v>866</v>
      </c>
      <c r="G1157" s="3">
        <v>30.653199999999998</v>
      </c>
      <c r="H1157" s="3" t="s">
        <v>4644</v>
      </c>
      <c r="I1157" s="3" t="s">
        <v>4645</v>
      </c>
      <c r="J1157" s="3" t="s">
        <v>4710</v>
      </c>
      <c r="K1157" s="3">
        <v>96</v>
      </c>
      <c r="L1157" s="3" t="s">
        <v>4647</v>
      </c>
    </row>
    <row r="1158" spans="1:12" ht="33.75" customHeight="1" x14ac:dyDescent="0.25">
      <c r="A1158" s="13" t="s">
        <v>2760</v>
      </c>
      <c r="B1158" s="2" t="s">
        <v>273</v>
      </c>
      <c r="C1158" s="2" t="s">
        <v>2761</v>
      </c>
      <c r="D1158" s="2"/>
      <c r="E1158" s="2" t="s">
        <v>4694</v>
      </c>
      <c r="F1158" s="2" t="s">
        <v>275</v>
      </c>
      <c r="G1158" s="2">
        <v>30.084199999999999</v>
      </c>
      <c r="H1158" s="2" t="s">
        <v>4644</v>
      </c>
      <c r="I1158" s="2" t="s">
        <v>4645</v>
      </c>
      <c r="J1158" s="2" t="s">
        <v>4695</v>
      </c>
      <c r="K1158" s="2">
        <v>68</v>
      </c>
      <c r="L1158" s="2" t="s">
        <v>4647</v>
      </c>
    </row>
    <row r="1159" spans="1:12" ht="33.75" customHeight="1" x14ac:dyDescent="0.25">
      <c r="A1159" s="14" t="s">
        <v>2762</v>
      </c>
      <c r="B1159" s="3" t="s">
        <v>142</v>
      </c>
      <c r="C1159" s="3" t="s">
        <v>2763</v>
      </c>
      <c r="D1159" s="3" t="s">
        <v>4753</v>
      </c>
      <c r="E1159" s="3" t="s">
        <v>4675</v>
      </c>
      <c r="F1159" s="3" t="s">
        <v>144</v>
      </c>
      <c r="G1159" s="3"/>
      <c r="H1159" s="3" t="s">
        <v>4666</v>
      </c>
      <c r="I1159" s="3" t="s">
        <v>4667</v>
      </c>
      <c r="J1159" s="3" t="s">
        <v>4646</v>
      </c>
      <c r="K1159" s="3">
        <v>6</v>
      </c>
      <c r="L1159" s="3" t="s">
        <v>4668</v>
      </c>
    </row>
    <row r="1160" spans="1:12" ht="33.75" customHeight="1" x14ac:dyDescent="0.25">
      <c r="A1160" s="13" t="s">
        <v>2764</v>
      </c>
      <c r="B1160" s="2" t="s">
        <v>1294</v>
      </c>
      <c r="C1160" s="2" t="s">
        <v>2765</v>
      </c>
      <c r="D1160" s="2" t="s">
        <v>4741</v>
      </c>
      <c r="E1160" s="2" t="s">
        <v>4819</v>
      </c>
      <c r="F1160" s="2" t="s">
        <v>1296</v>
      </c>
      <c r="G1160" s="2">
        <v>27.925999999999998</v>
      </c>
      <c r="H1160" s="2" t="s">
        <v>4644</v>
      </c>
      <c r="I1160" s="2" t="s">
        <v>4645</v>
      </c>
      <c r="J1160" s="2" t="s">
        <v>4735</v>
      </c>
      <c r="K1160" s="2">
        <v>57</v>
      </c>
      <c r="L1160" s="2" t="s">
        <v>4647</v>
      </c>
    </row>
    <row r="1161" spans="1:12" ht="33.75" customHeight="1" x14ac:dyDescent="0.25">
      <c r="A1161" s="14" t="s">
        <v>2766</v>
      </c>
      <c r="B1161" s="3" t="s">
        <v>2767</v>
      </c>
      <c r="C1161" s="3" t="s">
        <v>2768</v>
      </c>
      <c r="D1161" s="3" t="s">
        <v>4648</v>
      </c>
      <c r="E1161" s="3" t="s">
        <v>4941</v>
      </c>
      <c r="F1161" s="3" t="s">
        <v>2769</v>
      </c>
      <c r="G1161" s="3">
        <v>45.326000000000001</v>
      </c>
      <c r="H1161" s="3" t="s">
        <v>4644</v>
      </c>
      <c r="I1161" s="3" t="s">
        <v>4645</v>
      </c>
      <c r="J1161" s="3" t="s">
        <v>4735</v>
      </c>
      <c r="K1161" s="3">
        <v>66</v>
      </c>
      <c r="L1161" s="3" t="s">
        <v>4647</v>
      </c>
    </row>
    <row r="1162" spans="1:12" ht="33.75" customHeight="1" x14ac:dyDescent="0.25">
      <c r="A1162" s="13" t="s">
        <v>2770</v>
      </c>
      <c r="B1162" s="2" t="s">
        <v>2771</v>
      </c>
      <c r="C1162" s="2" t="s">
        <v>2772</v>
      </c>
      <c r="D1162" s="2" t="s">
        <v>4648</v>
      </c>
      <c r="E1162" s="2" t="s">
        <v>4942</v>
      </c>
      <c r="F1162" s="2" t="s">
        <v>2773</v>
      </c>
      <c r="G1162" s="2">
        <v>42.985999999999997</v>
      </c>
      <c r="H1162" s="2" t="s">
        <v>4644</v>
      </c>
      <c r="I1162" s="2" t="s">
        <v>4645</v>
      </c>
      <c r="J1162" s="2" t="s">
        <v>4695</v>
      </c>
      <c r="K1162" s="2">
        <v>54</v>
      </c>
      <c r="L1162" s="2" t="s">
        <v>4647</v>
      </c>
    </row>
    <row r="1163" spans="1:12" ht="33.75" customHeight="1" x14ac:dyDescent="0.25">
      <c r="A1163" s="14" t="s">
        <v>2774</v>
      </c>
      <c r="B1163" s="3" t="s">
        <v>2775</v>
      </c>
      <c r="C1163" s="3" t="s">
        <v>2776</v>
      </c>
      <c r="D1163" s="3" t="s">
        <v>4648</v>
      </c>
      <c r="E1163" s="3" t="s">
        <v>4943</v>
      </c>
      <c r="F1163" s="3" t="s">
        <v>2777</v>
      </c>
      <c r="G1163" s="3">
        <v>43.256</v>
      </c>
      <c r="H1163" s="3" t="s">
        <v>4644</v>
      </c>
      <c r="I1163" s="3" t="s">
        <v>4645</v>
      </c>
      <c r="J1163" s="3" t="s">
        <v>4723</v>
      </c>
      <c r="K1163" s="3">
        <v>51</v>
      </c>
      <c r="L1163" s="3" t="s">
        <v>4647</v>
      </c>
    </row>
    <row r="1164" spans="1:12" ht="33.75" customHeight="1" x14ac:dyDescent="0.25">
      <c r="A1164" s="13" t="s">
        <v>2778</v>
      </c>
      <c r="B1164" s="2" t="s">
        <v>2779</v>
      </c>
      <c r="C1164" s="2" t="s">
        <v>2780</v>
      </c>
      <c r="D1164" s="2" t="s">
        <v>4648</v>
      </c>
      <c r="E1164" s="2" t="s">
        <v>4944</v>
      </c>
      <c r="F1164" s="2" t="s">
        <v>2781</v>
      </c>
      <c r="G1164" s="2">
        <v>44.335999999999999</v>
      </c>
      <c r="H1164" s="2" t="s">
        <v>4644</v>
      </c>
      <c r="I1164" s="2" t="s">
        <v>4645</v>
      </c>
      <c r="J1164" s="2" t="s">
        <v>4697</v>
      </c>
      <c r="K1164" s="2">
        <v>45</v>
      </c>
      <c r="L1164" s="2" t="s">
        <v>4647</v>
      </c>
    </row>
    <row r="1165" spans="1:12" ht="33.75" customHeight="1" x14ac:dyDescent="0.25">
      <c r="A1165" s="14" t="s">
        <v>2782</v>
      </c>
      <c r="B1165" s="3" t="s">
        <v>2783</v>
      </c>
      <c r="C1165" s="3" t="s">
        <v>2784</v>
      </c>
      <c r="D1165" s="3" t="s">
        <v>4648</v>
      </c>
      <c r="E1165" s="3" t="s">
        <v>4945</v>
      </c>
      <c r="F1165" s="3" t="s">
        <v>2785</v>
      </c>
      <c r="G1165" s="3">
        <v>46.286000000000001</v>
      </c>
      <c r="H1165" s="3" t="s">
        <v>4644</v>
      </c>
      <c r="I1165" s="3" t="s">
        <v>4645</v>
      </c>
      <c r="J1165" s="3" t="s">
        <v>4691</v>
      </c>
      <c r="K1165" s="3">
        <v>42</v>
      </c>
      <c r="L1165" s="3" t="s">
        <v>4647</v>
      </c>
    </row>
    <row r="1166" spans="1:12" ht="33.75" customHeight="1" x14ac:dyDescent="0.25">
      <c r="A1166" s="13" t="s">
        <v>2786</v>
      </c>
      <c r="B1166" s="2" t="s">
        <v>673</v>
      </c>
      <c r="C1166" s="2" t="s">
        <v>2787</v>
      </c>
      <c r="D1166" s="2" t="s">
        <v>4648</v>
      </c>
      <c r="E1166" s="2" t="s">
        <v>4779</v>
      </c>
      <c r="F1166" s="2" t="s">
        <v>675</v>
      </c>
      <c r="G1166" s="2">
        <v>29.5824</v>
      </c>
      <c r="H1166" s="2" t="s">
        <v>4644</v>
      </c>
      <c r="I1166" s="2" t="s">
        <v>4645</v>
      </c>
      <c r="J1166" s="2" t="s">
        <v>4684</v>
      </c>
      <c r="K1166" s="2">
        <v>63</v>
      </c>
      <c r="L1166" s="2" t="s">
        <v>4647</v>
      </c>
    </row>
    <row r="1167" spans="1:12" ht="33.75" customHeight="1" x14ac:dyDescent="0.25">
      <c r="A1167" s="14" t="s">
        <v>2788</v>
      </c>
      <c r="B1167" s="3" t="s">
        <v>906</v>
      </c>
      <c r="C1167" s="3" t="s">
        <v>2789</v>
      </c>
      <c r="D1167" s="3" t="s">
        <v>4648</v>
      </c>
      <c r="E1167" s="3" t="s">
        <v>4803</v>
      </c>
      <c r="F1167" s="3" t="s">
        <v>908</v>
      </c>
      <c r="G1167" s="3">
        <v>29.468399999999999</v>
      </c>
      <c r="H1167" s="3" t="s">
        <v>4644</v>
      </c>
      <c r="I1167" s="3" t="s">
        <v>4645</v>
      </c>
      <c r="J1167" s="3" t="s">
        <v>4693</v>
      </c>
      <c r="K1167" s="3">
        <v>54</v>
      </c>
      <c r="L1167" s="3" t="s">
        <v>4647</v>
      </c>
    </row>
    <row r="1168" spans="1:12" ht="33.75" customHeight="1" x14ac:dyDescent="0.25">
      <c r="A1168" s="13" t="s">
        <v>2790</v>
      </c>
      <c r="B1168" s="2" t="s">
        <v>906</v>
      </c>
      <c r="C1168" s="2" t="s">
        <v>2791</v>
      </c>
      <c r="D1168" s="2" t="s">
        <v>4648</v>
      </c>
      <c r="E1168" s="2" t="s">
        <v>4803</v>
      </c>
      <c r="F1168" s="2" t="s">
        <v>908</v>
      </c>
      <c r="G1168" s="2">
        <v>29.468399999999999</v>
      </c>
      <c r="H1168" s="2" t="s">
        <v>4644</v>
      </c>
      <c r="I1168" s="2" t="s">
        <v>4645</v>
      </c>
      <c r="J1168" s="2" t="s">
        <v>4723</v>
      </c>
      <c r="K1168" s="2">
        <v>54</v>
      </c>
      <c r="L1168" s="2" t="s">
        <v>4647</v>
      </c>
    </row>
    <row r="1169" spans="1:12" ht="33.75" customHeight="1" x14ac:dyDescent="0.25">
      <c r="A1169" s="14" t="s">
        <v>2792</v>
      </c>
      <c r="B1169" s="3" t="s">
        <v>665</v>
      </c>
      <c r="C1169" s="3" t="s">
        <v>2793</v>
      </c>
      <c r="D1169" s="3" t="s">
        <v>4648</v>
      </c>
      <c r="E1169" s="3" t="s">
        <v>4777</v>
      </c>
      <c r="F1169" s="3" t="s">
        <v>667</v>
      </c>
      <c r="G1169" s="3">
        <v>29.432400000000001</v>
      </c>
      <c r="H1169" s="3" t="s">
        <v>4644</v>
      </c>
      <c r="I1169" s="3" t="s">
        <v>4645</v>
      </c>
      <c r="J1169" s="3" t="s">
        <v>4697</v>
      </c>
      <c r="K1169" s="3">
        <v>45</v>
      </c>
      <c r="L1169" s="3" t="s">
        <v>4647</v>
      </c>
    </row>
    <row r="1170" spans="1:12" ht="33.75" customHeight="1" x14ac:dyDescent="0.25">
      <c r="A1170" s="13" t="s">
        <v>2794</v>
      </c>
      <c r="B1170" s="2" t="s">
        <v>687</v>
      </c>
      <c r="C1170" s="2" t="s">
        <v>2795</v>
      </c>
      <c r="D1170" s="2" t="s">
        <v>4648</v>
      </c>
      <c r="E1170" s="2" t="s">
        <v>4782</v>
      </c>
      <c r="F1170" s="2" t="s">
        <v>689</v>
      </c>
      <c r="G1170" s="2">
        <v>34.045439999999999</v>
      </c>
      <c r="H1170" s="2" t="s">
        <v>4644</v>
      </c>
      <c r="I1170" s="2" t="s">
        <v>4645</v>
      </c>
      <c r="J1170" s="2" t="s">
        <v>4719</v>
      </c>
      <c r="K1170" s="2">
        <v>72</v>
      </c>
      <c r="L1170" s="2" t="s">
        <v>4647</v>
      </c>
    </row>
    <row r="1171" spans="1:12" ht="33.75" customHeight="1" x14ac:dyDescent="0.25">
      <c r="A1171" s="14" t="s">
        <v>2796</v>
      </c>
      <c r="B1171" s="3" t="s">
        <v>644</v>
      </c>
      <c r="C1171" s="3" t="s">
        <v>2797</v>
      </c>
      <c r="D1171" s="3" t="s">
        <v>4648</v>
      </c>
      <c r="E1171" s="3" t="s">
        <v>4774</v>
      </c>
      <c r="F1171" s="3" t="s">
        <v>646</v>
      </c>
      <c r="G1171" s="3">
        <v>33.864400000000003</v>
      </c>
      <c r="H1171" s="3" t="s">
        <v>4644</v>
      </c>
      <c r="I1171" s="3" t="s">
        <v>4645</v>
      </c>
      <c r="J1171" s="3" t="s">
        <v>4770</v>
      </c>
      <c r="K1171" s="3">
        <v>63</v>
      </c>
      <c r="L1171" s="3" t="s">
        <v>4647</v>
      </c>
    </row>
    <row r="1172" spans="1:12" ht="33.75" customHeight="1" x14ac:dyDescent="0.25">
      <c r="A1172" s="13" t="s">
        <v>2798</v>
      </c>
      <c r="B1172" s="2" t="s">
        <v>656</v>
      </c>
      <c r="C1172" s="2" t="s">
        <v>2799</v>
      </c>
      <c r="D1172" s="2" t="s">
        <v>4648</v>
      </c>
      <c r="E1172" s="2" t="s">
        <v>4776</v>
      </c>
      <c r="F1172" s="2" t="s">
        <v>658</v>
      </c>
      <c r="G1172" s="2">
        <v>30.368400000000001</v>
      </c>
      <c r="H1172" s="2" t="s">
        <v>4644</v>
      </c>
      <c r="I1172" s="2" t="s">
        <v>4645</v>
      </c>
      <c r="J1172" s="2" t="s">
        <v>4735</v>
      </c>
      <c r="K1172" s="2">
        <v>72</v>
      </c>
      <c r="L1172" s="2" t="s">
        <v>4647</v>
      </c>
    </row>
    <row r="1173" spans="1:12" ht="33.75" customHeight="1" x14ac:dyDescent="0.25">
      <c r="A1173" s="14" t="s">
        <v>2800</v>
      </c>
      <c r="B1173" s="3" t="s">
        <v>656</v>
      </c>
      <c r="C1173" s="3" t="s">
        <v>2801</v>
      </c>
      <c r="D1173" s="3" t="s">
        <v>4648</v>
      </c>
      <c r="E1173" s="3" t="s">
        <v>4776</v>
      </c>
      <c r="F1173" s="3" t="s">
        <v>658</v>
      </c>
      <c r="G1173" s="3">
        <v>30.368400000000001</v>
      </c>
      <c r="H1173" s="3" t="s">
        <v>4644</v>
      </c>
      <c r="I1173" s="3" t="s">
        <v>4645</v>
      </c>
      <c r="J1173" s="3" t="s">
        <v>4682</v>
      </c>
      <c r="K1173" s="3">
        <v>72</v>
      </c>
      <c r="L1173" s="3" t="s">
        <v>4647</v>
      </c>
    </row>
    <row r="1174" spans="1:12" ht="33.75" customHeight="1" x14ac:dyDescent="0.25">
      <c r="A1174" s="13" t="s">
        <v>2802</v>
      </c>
      <c r="B1174" s="2" t="s">
        <v>612</v>
      </c>
      <c r="C1174" s="2" t="s">
        <v>2803</v>
      </c>
      <c r="D1174" s="2" t="s">
        <v>4648</v>
      </c>
      <c r="E1174" s="2" t="s">
        <v>4765</v>
      </c>
      <c r="F1174" s="2" t="s">
        <v>614</v>
      </c>
      <c r="G1174" s="2">
        <v>29.712399999999999</v>
      </c>
      <c r="H1174" s="2" t="s">
        <v>4644</v>
      </c>
      <c r="I1174" s="2" t="s">
        <v>4645</v>
      </c>
      <c r="J1174" s="2" t="s">
        <v>4695</v>
      </c>
      <c r="K1174" s="2">
        <v>63</v>
      </c>
      <c r="L1174" s="2" t="s">
        <v>4647</v>
      </c>
    </row>
    <row r="1175" spans="1:12" ht="33.75" customHeight="1" x14ac:dyDescent="0.25">
      <c r="A1175" s="14" t="s">
        <v>2804</v>
      </c>
      <c r="B1175" s="3" t="s">
        <v>612</v>
      </c>
      <c r="C1175" s="3" t="s">
        <v>2805</v>
      </c>
      <c r="D1175" s="3" t="s">
        <v>4648</v>
      </c>
      <c r="E1175" s="3" t="s">
        <v>4765</v>
      </c>
      <c r="F1175" s="3" t="s">
        <v>614</v>
      </c>
      <c r="G1175" s="3">
        <v>29.712399999999999</v>
      </c>
      <c r="H1175" s="3" t="s">
        <v>4644</v>
      </c>
      <c r="I1175" s="3" t="s">
        <v>4645</v>
      </c>
      <c r="J1175" s="3" t="s">
        <v>4695</v>
      </c>
      <c r="K1175" s="3">
        <v>63</v>
      </c>
      <c r="L1175" s="3" t="s">
        <v>4647</v>
      </c>
    </row>
    <row r="1176" spans="1:12" ht="33.75" customHeight="1" x14ac:dyDescent="0.25">
      <c r="A1176" s="13" t="s">
        <v>2806</v>
      </c>
      <c r="B1176" s="2" t="s">
        <v>714</v>
      </c>
      <c r="C1176" s="2" t="s">
        <v>2807</v>
      </c>
      <c r="D1176" s="2" t="s">
        <v>4648</v>
      </c>
      <c r="E1176" s="2" t="s">
        <v>4784</v>
      </c>
      <c r="F1176" s="2" t="s">
        <v>716</v>
      </c>
      <c r="G1176" s="2">
        <v>34.793999999999997</v>
      </c>
      <c r="H1176" s="2" t="s">
        <v>4644</v>
      </c>
      <c r="I1176" s="2" t="s">
        <v>4645</v>
      </c>
      <c r="J1176" s="2" t="s">
        <v>4729</v>
      </c>
      <c r="K1176" s="2">
        <v>120</v>
      </c>
      <c r="L1176" s="2" t="s">
        <v>4647</v>
      </c>
    </row>
    <row r="1177" spans="1:12" ht="33.75" customHeight="1" x14ac:dyDescent="0.25">
      <c r="A1177" s="14" t="s">
        <v>2808</v>
      </c>
      <c r="B1177" s="3" t="s">
        <v>681</v>
      </c>
      <c r="C1177" s="3" t="s">
        <v>2809</v>
      </c>
      <c r="D1177" s="3" t="s">
        <v>4648</v>
      </c>
      <c r="E1177" s="3" t="s">
        <v>4781</v>
      </c>
      <c r="F1177" s="3" t="s">
        <v>683</v>
      </c>
      <c r="G1177" s="3">
        <v>34.743600000000001</v>
      </c>
      <c r="H1177" s="3" t="s">
        <v>4644</v>
      </c>
      <c r="I1177" s="3" t="s">
        <v>4645</v>
      </c>
      <c r="J1177" s="3" t="s">
        <v>4726</v>
      </c>
      <c r="K1177" s="3">
        <v>96</v>
      </c>
      <c r="L1177" s="3" t="s">
        <v>4647</v>
      </c>
    </row>
    <row r="1178" spans="1:12" ht="33.75" customHeight="1" x14ac:dyDescent="0.25">
      <c r="A1178" s="13" t="s">
        <v>2810</v>
      </c>
      <c r="B1178" s="2" t="s">
        <v>470</v>
      </c>
      <c r="C1178" s="2" t="s">
        <v>2811</v>
      </c>
      <c r="D1178" s="2" t="s">
        <v>4648</v>
      </c>
      <c r="E1178" s="2" t="s">
        <v>4743</v>
      </c>
      <c r="F1178" s="2" t="s">
        <v>472</v>
      </c>
      <c r="G1178" s="2">
        <v>30.052320000000002</v>
      </c>
      <c r="H1178" s="2" t="s">
        <v>4644</v>
      </c>
      <c r="I1178" s="2" t="s">
        <v>4645</v>
      </c>
      <c r="J1178" s="2" t="s">
        <v>4744</v>
      </c>
      <c r="K1178" s="2">
        <v>72</v>
      </c>
      <c r="L1178" s="2" t="s">
        <v>4647</v>
      </c>
    </row>
    <row r="1179" spans="1:12" ht="33.75" customHeight="1" x14ac:dyDescent="0.25">
      <c r="A1179" s="14" t="s">
        <v>2812</v>
      </c>
      <c r="B1179" s="3" t="s">
        <v>470</v>
      </c>
      <c r="C1179" s="3" t="s">
        <v>2813</v>
      </c>
      <c r="D1179" s="3" t="s">
        <v>4648</v>
      </c>
      <c r="E1179" s="3" t="s">
        <v>4743</v>
      </c>
      <c r="F1179" s="3" t="s">
        <v>472</v>
      </c>
      <c r="G1179" s="3">
        <v>30.052320000000002</v>
      </c>
      <c r="H1179" s="3" t="s">
        <v>4644</v>
      </c>
      <c r="I1179" s="3" t="s">
        <v>4645</v>
      </c>
      <c r="J1179" s="3" t="s">
        <v>4744</v>
      </c>
      <c r="K1179" s="3">
        <v>72</v>
      </c>
      <c r="L1179" s="3" t="s">
        <v>4647</v>
      </c>
    </row>
    <row r="1180" spans="1:12" ht="33.75" customHeight="1" x14ac:dyDescent="0.25">
      <c r="A1180" s="13" t="s">
        <v>2814</v>
      </c>
      <c r="B1180" s="2" t="s">
        <v>687</v>
      </c>
      <c r="C1180" s="2" t="s">
        <v>2815</v>
      </c>
      <c r="D1180" s="2" t="s">
        <v>4648</v>
      </c>
      <c r="E1180" s="2" t="s">
        <v>4782</v>
      </c>
      <c r="F1180" s="2" t="s">
        <v>689</v>
      </c>
      <c r="G1180" s="2">
        <v>34.045439999999999</v>
      </c>
      <c r="H1180" s="2" t="s">
        <v>4644</v>
      </c>
      <c r="I1180" s="2" t="s">
        <v>4645</v>
      </c>
      <c r="J1180" s="2" t="s">
        <v>4719</v>
      </c>
      <c r="K1180" s="2">
        <v>72</v>
      </c>
      <c r="L1180" s="2" t="s">
        <v>4647</v>
      </c>
    </row>
    <row r="1181" spans="1:12" ht="33.75" customHeight="1" x14ac:dyDescent="0.25">
      <c r="A1181" s="14" t="s">
        <v>2816</v>
      </c>
      <c r="B1181" s="3" t="s">
        <v>650</v>
      </c>
      <c r="C1181" s="3" t="s">
        <v>2817</v>
      </c>
      <c r="D1181" s="3" t="s">
        <v>4648</v>
      </c>
      <c r="E1181" s="3" t="s">
        <v>4775</v>
      </c>
      <c r="F1181" s="3" t="s">
        <v>652</v>
      </c>
      <c r="G1181" s="3">
        <v>33.497</v>
      </c>
      <c r="H1181" s="3" t="s">
        <v>4644</v>
      </c>
      <c r="I1181" s="3" t="s">
        <v>4645</v>
      </c>
      <c r="J1181" s="3" t="s">
        <v>4721</v>
      </c>
      <c r="K1181" s="3">
        <v>54</v>
      </c>
      <c r="L1181" s="3" t="s">
        <v>4647</v>
      </c>
    </row>
    <row r="1182" spans="1:12" ht="33.75" customHeight="1" x14ac:dyDescent="0.25">
      <c r="A1182" s="13" t="s">
        <v>2818</v>
      </c>
      <c r="B1182" s="2" t="s">
        <v>63</v>
      </c>
      <c r="C1182" s="2" t="s">
        <v>2819</v>
      </c>
      <c r="D1182" s="2" t="s">
        <v>4648</v>
      </c>
      <c r="E1182" s="2" t="s">
        <v>4649</v>
      </c>
      <c r="F1182" s="2" t="s">
        <v>65</v>
      </c>
      <c r="G1182" s="2">
        <v>31.412400000000002</v>
      </c>
      <c r="H1182" s="2" t="s">
        <v>4644</v>
      </c>
      <c r="I1182" s="2" t="s">
        <v>4645</v>
      </c>
      <c r="J1182" s="2" t="s">
        <v>4650</v>
      </c>
      <c r="K1182" s="2">
        <v>30</v>
      </c>
      <c r="L1182" s="2" t="s">
        <v>4647</v>
      </c>
    </row>
    <row r="1183" spans="1:12" ht="33.75" customHeight="1" x14ac:dyDescent="0.25">
      <c r="A1183" s="14" t="s">
        <v>2820</v>
      </c>
      <c r="B1183" s="3" t="s">
        <v>69</v>
      </c>
      <c r="C1183" s="3" t="s">
        <v>2821</v>
      </c>
      <c r="D1183" s="3" t="s">
        <v>4648</v>
      </c>
      <c r="E1183" s="3" t="s">
        <v>4651</v>
      </c>
      <c r="F1183" s="3" t="s">
        <v>71</v>
      </c>
      <c r="G1183" s="3">
        <v>32.102400000000003</v>
      </c>
      <c r="H1183" s="3" t="s">
        <v>4644</v>
      </c>
      <c r="I1183" s="3" t="s">
        <v>4645</v>
      </c>
      <c r="J1183" s="3" t="s">
        <v>4652</v>
      </c>
      <c r="K1183" s="3">
        <v>30</v>
      </c>
      <c r="L1183" s="3" t="s">
        <v>4647</v>
      </c>
    </row>
    <row r="1184" spans="1:12" ht="33.75" customHeight="1" x14ac:dyDescent="0.25">
      <c r="A1184" s="13" t="s">
        <v>2822</v>
      </c>
      <c r="B1184" s="2" t="s">
        <v>73</v>
      </c>
      <c r="C1184" s="2" t="s">
        <v>2823</v>
      </c>
      <c r="D1184" s="2" t="s">
        <v>4648</v>
      </c>
      <c r="E1184" s="2" t="s">
        <v>4653</v>
      </c>
      <c r="F1184" s="2" t="s">
        <v>75</v>
      </c>
      <c r="G1184" s="2">
        <v>31.538399999999999</v>
      </c>
      <c r="H1184" s="2" t="s">
        <v>4644</v>
      </c>
      <c r="I1184" s="2" t="s">
        <v>4645</v>
      </c>
      <c r="J1184" s="2" t="s">
        <v>4646</v>
      </c>
      <c r="K1184" s="2">
        <v>21</v>
      </c>
      <c r="L1184" s="2" t="s">
        <v>4647</v>
      </c>
    </row>
    <row r="1185" spans="1:12" ht="33.75" customHeight="1" x14ac:dyDescent="0.25">
      <c r="A1185" s="14" t="s">
        <v>2824</v>
      </c>
      <c r="B1185" s="3" t="s">
        <v>69</v>
      </c>
      <c r="C1185" s="3" t="s">
        <v>2825</v>
      </c>
      <c r="D1185" s="3" t="s">
        <v>4648</v>
      </c>
      <c r="E1185" s="3" t="s">
        <v>4651</v>
      </c>
      <c r="F1185" s="3" t="s">
        <v>71</v>
      </c>
      <c r="G1185" s="3">
        <v>32.102400000000003</v>
      </c>
      <c r="H1185" s="3" t="s">
        <v>4644</v>
      </c>
      <c r="I1185" s="3" t="s">
        <v>4645</v>
      </c>
      <c r="J1185" s="3" t="s">
        <v>4652</v>
      </c>
      <c r="K1185" s="3">
        <v>30</v>
      </c>
      <c r="L1185" s="3" t="s">
        <v>4647</v>
      </c>
    </row>
    <row r="1186" spans="1:12" ht="33.75" customHeight="1" x14ac:dyDescent="0.25">
      <c r="A1186" s="13" t="s">
        <v>2826</v>
      </c>
      <c r="B1186" s="2" t="s">
        <v>73</v>
      </c>
      <c r="C1186" s="2" t="s">
        <v>2827</v>
      </c>
      <c r="D1186" s="2" t="s">
        <v>4648</v>
      </c>
      <c r="E1186" s="2" t="s">
        <v>4653</v>
      </c>
      <c r="F1186" s="2" t="s">
        <v>75</v>
      </c>
      <c r="G1186" s="2">
        <v>31.538399999999999</v>
      </c>
      <c r="H1186" s="2" t="s">
        <v>4644</v>
      </c>
      <c r="I1186" s="2" t="s">
        <v>4645</v>
      </c>
      <c r="J1186" s="2" t="s">
        <v>4646</v>
      </c>
      <c r="K1186" s="2">
        <v>21</v>
      </c>
      <c r="L1186" s="2" t="s">
        <v>4647</v>
      </c>
    </row>
    <row r="1187" spans="1:12" ht="33.75" customHeight="1" x14ac:dyDescent="0.25">
      <c r="A1187" s="14" t="s">
        <v>2828</v>
      </c>
      <c r="B1187" s="3" t="s">
        <v>63</v>
      </c>
      <c r="C1187" s="3" t="s">
        <v>2829</v>
      </c>
      <c r="D1187" s="3" t="s">
        <v>4648</v>
      </c>
      <c r="E1187" s="3" t="s">
        <v>4649</v>
      </c>
      <c r="F1187" s="3" t="s">
        <v>65</v>
      </c>
      <c r="G1187" s="3">
        <v>31.412400000000002</v>
      </c>
      <c r="H1187" s="3" t="s">
        <v>4644</v>
      </c>
      <c r="I1187" s="3" t="s">
        <v>4645</v>
      </c>
      <c r="J1187" s="3" t="s">
        <v>4650</v>
      </c>
      <c r="K1187" s="3">
        <v>30</v>
      </c>
      <c r="L1187" s="3" t="s">
        <v>4647</v>
      </c>
    </row>
    <row r="1188" spans="1:12" ht="33.75" customHeight="1" x14ac:dyDescent="0.25">
      <c r="A1188" s="13" t="s">
        <v>2830</v>
      </c>
      <c r="B1188" s="2" t="s">
        <v>69</v>
      </c>
      <c r="C1188" s="2" t="s">
        <v>2831</v>
      </c>
      <c r="D1188" s="2" t="s">
        <v>4648</v>
      </c>
      <c r="E1188" s="2" t="s">
        <v>4651</v>
      </c>
      <c r="F1188" s="2" t="s">
        <v>71</v>
      </c>
      <c r="G1188" s="2">
        <v>32.102400000000003</v>
      </c>
      <c r="H1188" s="2" t="s">
        <v>4644</v>
      </c>
      <c r="I1188" s="2" t="s">
        <v>4645</v>
      </c>
      <c r="J1188" s="2" t="s">
        <v>4652</v>
      </c>
      <c r="K1188" s="2">
        <v>30</v>
      </c>
      <c r="L1188" s="2" t="s">
        <v>4647</v>
      </c>
    </row>
    <row r="1189" spans="1:12" ht="33.75" customHeight="1" x14ac:dyDescent="0.25">
      <c r="A1189" s="14" t="s">
        <v>2832</v>
      </c>
      <c r="B1189" s="3" t="s">
        <v>69</v>
      </c>
      <c r="C1189" s="3" t="s">
        <v>2833</v>
      </c>
      <c r="D1189" s="3" t="s">
        <v>4648</v>
      </c>
      <c r="E1189" s="3" t="s">
        <v>4651</v>
      </c>
      <c r="F1189" s="3" t="s">
        <v>71</v>
      </c>
      <c r="G1189" s="3">
        <v>32.102400000000003</v>
      </c>
      <c r="H1189" s="3" t="s">
        <v>4644</v>
      </c>
      <c r="I1189" s="3" t="s">
        <v>4645</v>
      </c>
      <c r="J1189" s="3" t="s">
        <v>4652</v>
      </c>
      <c r="K1189" s="3">
        <v>30</v>
      </c>
      <c r="L1189" s="3" t="s">
        <v>4647</v>
      </c>
    </row>
    <row r="1190" spans="1:12" ht="33.75" customHeight="1" x14ac:dyDescent="0.25">
      <c r="A1190" s="13" t="s">
        <v>2834</v>
      </c>
      <c r="B1190" s="2" t="s">
        <v>73</v>
      </c>
      <c r="C1190" s="2" t="s">
        <v>2835</v>
      </c>
      <c r="D1190" s="2" t="s">
        <v>4648</v>
      </c>
      <c r="E1190" s="2" t="s">
        <v>4653</v>
      </c>
      <c r="F1190" s="2" t="s">
        <v>75</v>
      </c>
      <c r="G1190" s="2">
        <v>31.538399999999999</v>
      </c>
      <c r="H1190" s="2" t="s">
        <v>4644</v>
      </c>
      <c r="I1190" s="2" t="s">
        <v>4645</v>
      </c>
      <c r="J1190" s="2" t="s">
        <v>4646</v>
      </c>
      <c r="K1190" s="2">
        <v>21</v>
      </c>
      <c r="L1190" s="2" t="s">
        <v>4647</v>
      </c>
    </row>
    <row r="1191" spans="1:12" ht="33.75" customHeight="1" x14ac:dyDescent="0.25">
      <c r="A1191" s="14" t="s">
        <v>2836</v>
      </c>
      <c r="B1191" s="3" t="s">
        <v>226</v>
      </c>
      <c r="C1191" s="3" t="s">
        <v>2837</v>
      </c>
      <c r="D1191" s="3"/>
      <c r="E1191" s="3" t="s">
        <v>4688</v>
      </c>
      <c r="F1191" s="3" t="s">
        <v>228</v>
      </c>
      <c r="G1191" s="3">
        <v>30.6632</v>
      </c>
      <c r="H1191" s="3" t="s">
        <v>4644</v>
      </c>
      <c r="I1191" s="3" t="s">
        <v>4645</v>
      </c>
      <c r="J1191" s="3" t="s">
        <v>4650</v>
      </c>
      <c r="K1191" s="3">
        <v>24</v>
      </c>
      <c r="L1191" s="3" t="s">
        <v>4647</v>
      </c>
    </row>
    <row r="1192" spans="1:12" ht="33.75" customHeight="1" x14ac:dyDescent="0.25">
      <c r="A1192" s="13" t="s">
        <v>2838</v>
      </c>
      <c r="B1192" s="2" t="s">
        <v>1294</v>
      </c>
      <c r="C1192" s="2" t="s">
        <v>2839</v>
      </c>
      <c r="D1192" s="2" t="s">
        <v>4741</v>
      </c>
      <c r="E1192" s="2" t="s">
        <v>4819</v>
      </c>
      <c r="F1192" s="2" t="s">
        <v>1296</v>
      </c>
      <c r="G1192" s="2">
        <v>27.925999999999998</v>
      </c>
      <c r="H1192" s="2" t="s">
        <v>4644</v>
      </c>
      <c r="I1192" s="2" t="s">
        <v>4645</v>
      </c>
      <c r="J1192" s="2" t="s">
        <v>4735</v>
      </c>
      <c r="K1192" s="2">
        <v>57</v>
      </c>
      <c r="L1192" s="2" t="s">
        <v>4647</v>
      </c>
    </row>
    <row r="1193" spans="1:12" ht="33.75" customHeight="1" x14ac:dyDescent="0.25">
      <c r="A1193" s="14" t="s">
        <v>2840</v>
      </c>
      <c r="B1193" s="3" t="s">
        <v>820</v>
      </c>
      <c r="C1193" s="3" t="s">
        <v>2841</v>
      </c>
      <c r="D1193" s="3" t="s">
        <v>4946</v>
      </c>
      <c r="E1193" s="3" t="s">
        <v>4795</v>
      </c>
      <c r="F1193" s="3" t="s">
        <v>822</v>
      </c>
      <c r="G1193" s="3">
        <v>27.639199999999999</v>
      </c>
      <c r="H1193" s="3" t="s">
        <v>4644</v>
      </c>
      <c r="I1193" s="3" t="s">
        <v>4645</v>
      </c>
      <c r="J1193" s="3" t="s">
        <v>4735</v>
      </c>
      <c r="K1193" s="3">
        <v>57</v>
      </c>
      <c r="L1193" s="3" t="s">
        <v>4647</v>
      </c>
    </row>
    <row r="1194" spans="1:12" ht="33.75" customHeight="1" x14ac:dyDescent="0.25">
      <c r="A1194" s="13" t="s">
        <v>2842</v>
      </c>
      <c r="B1194" s="2" t="s">
        <v>1878</v>
      </c>
      <c r="C1194" s="2" t="s">
        <v>2843</v>
      </c>
      <c r="D1194" s="2" t="s">
        <v>4946</v>
      </c>
      <c r="E1194" s="2" t="s">
        <v>4870</v>
      </c>
      <c r="F1194" s="2" t="s">
        <v>1880</v>
      </c>
      <c r="G1194" s="2">
        <v>27.639199999999999</v>
      </c>
      <c r="H1194" s="2" t="s">
        <v>4644</v>
      </c>
      <c r="I1194" s="2" t="s">
        <v>4645</v>
      </c>
      <c r="J1194" s="2" t="s">
        <v>4695</v>
      </c>
      <c r="K1194" s="2">
        <v>51</v>
      </c>
      <c r="L1194" s="2" t="s">
        <v>4647</v>
      </c>
    </row>
    <row r="1195" spans="1:12" ht="33.75" customHeight="1" x14ac:dyDescent="0.25">
      <c r="A1195" s="14" t="s">
        <v>2844</v>
      </c>
      <c r="B1195" s="3" t="s">
        <v>1878</v>
      </c>
      <c r="C1195" s="3" t="s">
        <v>2845</v>
      </c>
      <c r="D1195" s="3" t="s">
        <v>4946</v>
      </c>
      <c r="E1195" s="3" t="s">
        <v>4870</v>
      </c>
      <c r="F1195" s="3" t="s">
        <v>1880</v>
      </c>
      <c r="G1195" s="3">
        <v>27.639199999999999</v>
      </c>
      <c r="H1195" s="3" t="s">
        <v>4644</v>
      </c>
      <c r="I1195" s="3" t="s">
        <v>4645</v>
      </c>
      <c r="J1195" s="3" t="s">
        <v>4695</v>
      </c>
      <c r="K1195" s="3">
        <v>51</v>
      </c>
      <c r="L1195" s="3" t="s">
        <v>4647</v>
      </c>
    </row>
    <row r="1196" spans="1:12" ht="33.75" customHeight="1" x14ac:dyDescent="0.25">
      <c r="A1196" s="13" t="s">
        <v>2846</v>
      </c>
      <c r="B1196" s="2" t="s">
        <v>2696</v>
      </c>
      <c r="C1196" s="2" t="s">
        <v>2847</v>
      </c>
      <c r="D1196" s="2" t="s">
        <v>4946</v>
      </c>
      <c r="E1196" s="2" t="s">
        <v>4934</v>
      </c>
      <c r="F1196" s="2" t="s">
        <v>2698</v>
      </c>
      <c r="G1196" s="2">
        <v>27.639199999999999</v>
      </c>
      <c r="H1196" s="2" t="s">
        <v>4644</v>
      </c>
      <c r="I1196" s="2" t="s">
        <v>4645</v>
      </c>
      <c r="J1196" s="2" t="s">
        <v>4697</v>
      </c>
      <c r="K1196" s="2">
        <v>36</v>
      </c>
      <c r="L1196" s="2" t="s">
        <v>4647</v>
      </c>
    </row>
    <row r="1197" spans="1:12" ht="33.75" customHeight="1" x14ac:dyDescent="0.25">
      <c r="A1197" s="14" t="s">
        <v>2848</v>
      </c>
      <c r="B1197" s="3" t="s">
        <v>2536</v>
      </c>
      <c r="C1197" s="3" t="s">
        <v>2849</v>
      </c>
      <c r="D1197" s="3" t="s">
        <v>4946</v>
      </c>
      <c r="E1197" s="3" t="s">
        <v>4926</v>
      </c>
      <c r="F1197" s="3" t="s">
        <v>2538</v>
      </c>
      <c r="G1197" s="3">
        <v>30.193999999999999</v>
      </c>
      <c r="H1197" s="3" t="s">
        <v>4644</v>
      </c>
      <c r="I1197" s="3" t="s">
        <v>4645</v>
      </c>
      <c r="J1197" s="3" t="s">
        <v>4646</v>
      </c>
      <c r="K1197" s="3">
        <v>18</v>
      </c>
      <c r="L1197" s="3" t="s">
        <v>4647</v>
      </c>
    </row>
    <row r="1198" spans="1:12" ht="33.75" customHeight="1" x14ac:dyDescent="0.25">
      <c r="A1198" s="13" t="s">
        <v>2850</v>
      </c>
      <c r="B1198" s="2" t="s">
        <v>820</v>
      </c>
      <c r="C1198" s="2" t="s">
        <v>2851</v>
      </c>
      <c r="D1198" s="2" t="s">
        <v>4946</v>
      </c>
      <c r="E1198" s="2" t="s">
        <v>4795</v>
      </c>
      <c r="F1198" s="2" t="s">
        <v>822</v>
      </c>
      <c r="G1198" s="2">
        <v>27.639199999999999</v>
      </c>
      <c r="H1198" s="2" t="s">
        <v>4644</v>
      </c>
      <c r="I1198" s="2" t="s">
        <v>4645</v>
      </c>
      <c r="J1198" s="2" t="s">
        <v>4735</v>
      </c>
      <c r="K1198" s="2">
        <v>57</v>
      </c>
      <c r="L1198" s="2" t="s">
        <v>4647</v>
      </c>
    </row>
    <row r="1199" spans="1:12" ht="33.75" customHeight="1" x14ac:dyDescent="0.25">
      <c r="A1199" s="14" t="s">
        <v>2852</v>
      </c>
      <c r="B1199" s="3" t="s">
        <v>1878</v>
      </c>
      <c r="C1199" s="3" t="s">
        <v>2853</v>
      </c>
      <c r="D1199" s="3" t="s">
        <v>4946</v>
      </c>
      <c r="E1199" s="3" t="s">
        <v>4870</v>
      </c>
      <c r="F1199" s="3" t="s">
        <v>1880</v>
      </c>
      <c r="G1199" s="3">
        <v>27.639199999999999</v>
      </c>
      <c r="H1199" s="3" t="s">
        <v>4644</v>
      </c>
      <c r="I1199" s="3" t="s">
        <v>4645</v>
      </c>
      <c r="J1199" s="3" t="s">
        <v>4695</v>
      </c>
      <c r="K1199" s="3">
        <v>51</v>
      </c>
      <c r="L1199" s="3" t="s">
        <v>4647</v>
      </c>
    </row>
    <row r="1200" spans="1:12" ht="33.75" customHeight="1" x14ac:dyDescent="0.25">
      <c r="A1200" s="13" t="s">
        <v>2854</v>
      </c>
      <c r="B1200" s="2" t="s">
        <v>1884</v>
      </c>
      <c r="C1200" s="2" t="s">
        <v>2855</v>
      </c>
      <c r="D1200" s="2" t="s">
        <v>4946</v>
      </c>
      <c r="E1200" s="2" t="s">
        <v>4871</v>
      </c>
      <c r="F1200" s="2" t="s">
        <v>1886</v>
      </c>
      <c r="G1200" s="2">
        <v>27.639199999999999</v>
      </c>
      <c r="H1200" s="2" t="s">
        <v>4644</v>
      </c>
      <c r="I1200" s="2" t="s">
        <v>4645</v>
      </c>
      <c r="J1200" s="2" t="s">
        <v>4723</v>
      </c>
      <c r="K1200" s="2">
        <v>42</v>
      </c>
      <c r="L1200" s="2" t="s">
        <v>4647</v>
      </c>
    </row>
    <row r="1201" spans="1:12" ht="33.75" customHeight="1" x14ac:dyDescent="0.25">
      <c r="A1201" s="14" t="s">
        <v>2856</v>
      </c>
      <c r="B1201" s="3" t="s">
        <v>2696</v>
      </c>
      <c r="C1201" s="3" t="s">
        <v>2857</v>
      </c>
      <c r="D1201" s="3" t="s">
        <v>4946</v>
      </c>
      <c r="E1201" s="3" t="s">
        <v>4934</v>
      </c>
      <c r="F1201" s="3" t="s">
        <v>2698</v>
      </c>
      <c r="G1201" s="3">
        <v>27.639199999999999</v>
      </c>
      <c r="H1201" s="3" t="s">
        <v>4644</v>
      </c>
      <c r="I1201" s="3" t="s">
        <v>4645</v>
      </c>
      <c r="J1201" s="3" t="s">
        <v>4697</v>
      </c>
      <c r="K1201" s="3">
        <v>36</v>
      </c>
      <c r="L1201" s="3" t="s">
        <v>4647</v>
      </c>
    </row>
    <row r="1202" spans="1:12" ht="33.75" customHeight="1" x14ac:dyDescent="0.25">
      <c r="A1202" s="13" t="s">
        <v>2858</v>
      </c>
      <c r="B1202" s="2" t="s">
        <v>2696</v>
      </c>
      <c r="C1202" s="2" t="s">
        <v>2859</v>
      </c>
      <c r="D1202" s="2" t="s">
        <v>4946</v>
      </c>
      <c r="E1202" s="2" t="s">
        <v>4934</v>
      </c>
      <c r="F1202" s="2" t="s">
        <v>2698</v>
      </c>
      <c r="G1202" s="2">
        <v>27.639199999999999</v>
      </c>
      <c r="H1202" s="2" t="s">
        <v>4644</v>
      </c>
      <c r="I1202" s="2" t="s">
        <v>4645</v>
      </c>
      <c r="J1202" s="2" t="s">
        <v>4691</v>
      </c>
      <c r="K1202" s="2">
        <v>36</v>
      </c>
      <c r="L1202" s="2" t="s">
        <v>4647</v>
      </c>
    </row>
    <row r="1203" spans="1:12" ht="33.75" customHeight="1" x14ac:dyDescent="0.25">
      <c r="A1203" s="14" t="s">
        <v>2860</v>
      </c>
      <c r="B1203" s="3" t="s">
        <v>422</v>
      </c>
      <c r="C1203" s="3" t="s">
        <v>2861</v>
      </c>
      <c r="D1203" s="3"/>
      <c r="E1203" s="3" t="s">
        <v>4736</v>
      </c>
      <c r="F1203" s="3" t="s">
        <v>424</v>
      </c>
      <c r="G1203" s="3">
        <v>30.7272</v>
      </c>
      <c r="H1203" s="3" t="s">
        <v>4644</v>
      </c>
      <c r="I1203" s="3" t="s">
        <v>4645</v>
      </c>
      <c r="J1203" s="3" t="s">
        <v>4735</v>
      </c>
      <c r="K1203" s="3">
        <v>76</v>
      </c>
      <c r="L1203" s="3" t="s">
        <v>4647</v>
      </c>
    </row>
    <row r="1204" spans="1:12" ht="33.75" customHeight="1" x14ac:dyDescent="0.25">
      <c r="A1204" s="13" t="s">
        <v>2862</v>
      </c>
      <c r="B1204" s="2" t="s">
        <v>2037</v>
      </c>
      <c r="C1204" s="2" t="s">
        <v>2863</v>
      </c>
      <c r="D1204" s="2"/>
      <c r="E1204" s="2" t="s">
        <v>4884</v>
      </c>
      <c r="F1204" s="2" t="s">
        <v>2039</v>
      </c>
      <c r="G1204" s="2">
        <v>31.226199999999999</v>
      </c>
      <c r="H1204" s="2" t="s">
        <v>4644</v>
      </c>
      <c r="I1204" s="2" t="s">
        <v>4645</v>
      </c>
      <c r="J1204" s="2" t="s">
        <v>4733</v>
      </c>
      <c r="K1204" s="2">
        <v>96</v>
      </c>
      <c r="L1204" s="2" t="s">
        <v>4647</v>
      </c>
    </row>
    <row r="1205" spans="1:12" ht="33.75" customHeight="1" x14ac:dyDescent="0.25">
      <c r="A1205" s="14" t="s">
        <v>2864</v>
      </c>
      <c r="B1205" s="3" t="s">
        <v>89</v>
      </c>
      <c r="C1205" s="3" t="s">
        <v>539</v>
      </c>
      <c r="D1205" s="3"/>
      <c r="E1205" s="3" t="s">
        <v>4659</v>
      </c>
      <c r="F1205" s="3" t="s">
        <v>91</v>
      </c>
      <c r="G1205" s="3">
        <v>32.389200000000002</v>
      </c>
      <c r="H1205" s="3" t="s">
        <v>4644</v>
      </c>
      <c r="I1205" s="3" t="s">
        <v>4645</v>
      </c>
      <c r="J1205" s="3" t="s">
        <v>4652</v>
      </c>
      <c r="K1205" s="3">
        <v>30</v>
      </c>
      <c r="L1205" s="3" t="s">
        <v>4647</v>
      </c>
    </row>
    <row r="1206" spans="1:12" ht="33.75" customHeight="1" x14ac:dyDescent="0.25">
      <c r="A1206" s="13" t="s">
        <v>2865</v>
      </c>
      <c r="B1206" s="2" t="s">
        <v>63</v>
      </c>
      <c r="C1206" s="2" t="s">
        <v>2866</v>
      </c>
      <c r="D1206" s="2" t="s">
        <v>4648</v>
      </c>
      <c r="E1206" s="2" t="s">
        <v>4649</v>
      </c>
      <c r="F1206" s="2" t="s">
        <v>65</v>
      </c>
      <c r="G1206" s="2">
        <v>31.412400000000002</v>
      </c>
      <c r="H1206" s="2" t="s">
        <v>4644</v>
      </c>
      <c r="I1206" s="2" t="s">
        <v>4645</v>
      </c>
      <c r="J1206" s="2" t="s">
        <v>4650</v>
      </c>
      <c r="K1206" s="2">
        <v>30</v>
      </c>
      <c r="L1206" s="2" t="s">
        <v>4647</v>
      </c>
    </row>
    <row r="1207" spans="1:12" ht="33.75" customHeight="1" x14ac:dyDescent="0.25">
      <c r="A1207" s="14" t="s">
        <v>2867</v>
      </c>
      <c r="B1207" s="3" t="s">
        <v>69</v>
      </c>
      <c r="C1207" s="3" t="s">
        <v>2868</v>
      </c>
      <c r="D1207" s="3" t="s">
        <v>4648</v>
      </c>
      <c r="E1207" s="3" t="s">
        <v>4651</v>
      </c>
      <c r="F1207" s="3" t="s">
        <v>71</v>
      </c>
      <c r="G1207" s="3">
        <v>32.102400000000003</v>
      </c>
      <c r="H1207" s="3" t="s">
        <v>4644</v>
      </c>
      <c r="I1207" s="3" t="s">
        <v>4645</v>
      </c>
      <c r="J1207" s="3" t="s">
        <v>4652</v>
      </c>
      <c r="K1207" s="3">
        <v>30</v>
      </c>
      <c r="L1207" s="3" t="s">
        <v>4647</v>
      </c>
    </row>
    <row r="1208" spans="1:12" ht="33.75" customHeight="1" x14ac:dyDescent="0.25">
      <c r="A1208" s="13" t="s">
        <v>2869</v>
      </c>
      <c r="B1208" s="2" t="s">
        <v>69</v>
      </c>
      <c r="C1208" s="2" t="s">
        <v>2870</v>
      </c>
      <c r="D1208" s="2" t="s">
        <v>4648</v>
      </c>
      <c r="E1208" s="2" t="s">
        <v>4651</v>
      </c>
      <c r="F1208" s="2" t="s">
        <v>71</v>
      </c>
      <c r="G1208" s="2">
        <v>32.102400000000003</v>
      </c>
      <c r="H1208" s="2" t="s">
        <v>4644</v>
      </c>
      <c r="I1208" s="2" t="s">
        <v>4645</v>
      </c>
      <c r="J1208" s="2" t="s">
        <v>4652</v>
      </c>
      <c r="K1208" s="2">
        <v>30</v>
      </c>
      <c r="L1208" s="2" t="s">
        <v>4647</v>
      </c>
    </row>
    <row r="1209" spans="1:12" ht="33.75" customHeight="1" x14ac:dyDescent="0.25">
      <c r="A1209" s="14" t="s">
        <v>2871</v>
      </c>
      <c r="B1209" s="3" t="s">
        <v>73</v>
      </c>
      <c r="C1209" s="3" t="s">
        <v>2872</v>
      </c>
      <c r="D1209" s="3" t="s">
        <v>4648</v>
      </c>
      <c r="E1209" s="3" t="s">
        <v>4653</v>
      </c>
      <c r="F1209" s="3" t="s">
        <v>75</v>
      </c>
      <c r="G1209" s="3">
        <v>31.538399999999999</v>
      </c>
      <c r="H1209" s="3" t="s">
        <v>4644</v>
      </c>
      <c r="I1209" s="3" t="s">
        <v>4645</v>
      </c>
      <c r="J1209" s="3" t="s">
        <v>4646</v>
      </c>
      <c r="K1209" s="3">
        <v>21</v>
      </c>
      <c r="L1209" s="3" t="s">
        <v>4647</v>
      </c>
    </row>
    <row r="1210" spans="1:12" ht="33.75" customHeight="1" x14ac:dyDescent="0.25">
      <c r="A1210" s="13" t="s">
        <v>2873</v>
      </c>
      <c r="B1210" s="2" t="s">
        <v>63</v>
      </c>
      <c r="C1210" s="2" t="s">
        <v>2874</v>
      </c>
      <c r="D1210" s="2" t="s">
        <v>4648</v>
      </c>
      <c r="E1210" s="2" t="s">
        <v>4649</v>
      </c>
      <c r="F1210" s="2" t="s">
        <v>65</v>
      </c>
      <c r="G1210" s="2">
        <v>31.412400000000002</v>
      </c>
      <c r="H1210" s="2" t="s">
        <v>4644</v>
      </c>
      <c r="I1210" s="2" t="s">
        <v>4645</v>
      </c>
      <c r="J1210" s="2" t="s">
        <v>4650</v>
      </c>
      <c r="K1210" s="2">
        <v>30</v>
      </c>
      <c r="L1210" s="2" t="s">
        <v>4647</v>
      </c>
    </row>
    <row r="1211" spans="1:12" ht="33.75" customHeight="1" x14ac:dyDescent="0.25">
      <c r="A1211" s="14" t="s">
        <v>2875</v>
      </c>
      <c r="B1211" s="3" t="s">
        <v>69</v>
      </c>
      <c r="C1211" s="3" t="s">
        <v>2876</v>
      </c>
      <c r="D1211" s="3" t="s">
        <v>4648</v>
      </c>
      <c r="E1211" s="3" t="s">
        <v>4651</v>
      </c>
      <c r="F1211" s="3" t="s">
        <v>71</v>
      </c>
      <c r="G1211" s="3">
        <v>32.102400000000003</v>
      </c>
      <c r="H1211" s="3" t="s">
        <v>4644</v>
      </c>
      <c r="I1211" s="3" t="s">
        <v>4645</v>
      </c>
      <c r="J1211" s="3" t="s">
        <v>4652</v>
      </c>
      <c r="K1211" s="3">
        <v>30</v>
      </c>
      <c r="L1211" s="3" t="s">
        <v>4647</v>
      </c>
    </row>
    <row r="1212" spans="1:12" ht="33.75" customHeight="1" x14ac:dyDescent="0.25">
      <c r="A1212" s="13" t="s">
        <v>2877</v>
      </c>
      <c r="B1212" s="2" t="s">
        <v>73</v>
      </c>
      <c r="C1212" s="2" t="s">
        <v>2878</v>
      </c>
      <c r="D1212" s="2" t="s">
        <v>4648</v>
      </c>
      <c r="E1212" s="2" t="s">
        <v>4653</v>
      </c>
      <c r="F1212" s="2" t="s">
        <v>75</v>
      </c>
      <c r="G1212" s="2">
        <v>31.538399999999999</v>
      </c>
      <c r="H1212" s="2" t="s">
        <v>4644</v>
      </c>
      <c r="I1212" s="2" t="s">
        <v>4645</v>
      </c>
      <c r="J1212" s="2" t="s">
        <v>4646</v>
      </c>
      <c r="K1212" s="2">
        <v>21</v>
      </c>
      <c r="L1212" s="2" t="s">
        <v>4647</v>
      </c>
    </row>
    <row r="1213" spans="1:12" ht="33.75" customHeight="1" x14ac:dyDescent="0.25">
      <c r="A1213" s="14" t="s">
        <v>2879</v>
      </c>
      <c r="B1213" s="3" t="s">
        <v>69</v>
      </c>
      <c r="C1213" s="3" t="s">
        <v>2880</v>
      </c>
      <c r="D1213" s="3" t="s">
        <v>4648</v>
      </c>
      <c r="E1213" s="3" t="s">
        <v>4651</v>
      </c>
      <c r="F1213" s="3" t="s">
        <v>71</v>
      </c>
      <c r="G1213" s="3">
        <v>32.102400000000003</v>
      </c>
      <c r="H1213" s="3" t="s">
        <v>4644</v>
      </c>
      <c r="I1213" s="3" t="s">
        <v>4645</v>
      </c>
      <c r="J1213" s="3" t="s">
        <v>4652</v>
      </c>
      <c r="K1213" s="3">
        <v>30</v>
      </c>
      <c r="L1213" s="3" t="s">
        <v>4647</v>
      </c>
    </row>
    <row r="1214" spans="1:12" ht="33.75" customHeight="1" x14ac:dyDescent="0.25">
      <c r="A1214" s="13" t="s">
        <v>2881</v>
      </c>
      <c r="B1214" s="2" t="s">
        <v>73</v>
      </c>
      <c r="C1214" s="2" t="s">
        <v>2882</v>
      </c>
      <c r="D1214" s="2" t="s">
        <v>4648</v>
      </c>
      <c r="E1214" s="2" t="s">
        <v>4653</v>
      </c>
      <c r="F1214" s="2" t="s">
        <v>75</v>
      </c>
      <c r="G1214" s="2">
        <v>31.538399999999999</v>
      </c>
      <c r="H1214" s="2" t="s">
        <v>4644</v>
      </c>
      <c r="I1214" s="2" t="s">
        <v>4645</v>
      </c>
      <c r="J1214" s="2" t="s">
        <v>4646</v>
      </c>
      <c r="K1214" s="2">
        <v>21</v>
      </c>
      <c r="L1214" s="2" t="s">
        <v>4647</v>
      </c>
    </row>
    <row r="1215" spans="1:12" ht="33.75" customHeight="1" x14ac:dyDescent="0.25">
      <c r="A1215" s="14" t="s">
        <v>2883</v>
      </c>
      <c r="B1215" s="3" t="s">
        <v>73</v>
      </c>
      <c r="C1215" s="3" t="s">
        <v>2884</v>
      </c>
      <c r="D1215" s="3" t="s">
        <v>4648</v>
      </c>
      <c r="E1215" s="3" t="s">
        <v>4653</v>
      </c>
      <c r="F1215" s="3" t="s">
        <v>75</v>
      </c>
      <c r="G1215" s="3">
        <v>31.538399999999999</v>
      </c>
      <c r="H1215" s="3" t="s">
        <v>4644</v>
      </c>
      <c r="I1215" s="3" t="s">
        <v>4645</v>
      </c>
      <c r="J1215" s="3" t="s">
        <v>4646</v>
      </c>
      <c r="K1215" s="3">
        <v>21</v>
      </c>
      <c r="L1215" s="3" t="s">
        <v>4647</v>
      </c>
    </row>
    <row r="1216" spans="1:12" ht="33.75" customHeight="1" x14ac:dyDescent="0.25">
      <c r="A1216" s="13" t="s">
        <v>2885</v>
      </c>
      <c r="B1216" s="2" t="s">
        <v>63</v>
      </c>
      <c r="C1216" s="2" t="s">
        <v>2886</v>
      </c>
      <c r="D1216" s="2" t="s">
        <v>4648</v>
      </c>
      <c r="E1216" s="2" t="s">
        <v>4649</v>
      </c>
      <c r="F1216" s="2" t="s">
        <v>65</v>
      </c>
      <c r="G1216" s="2">
        <v>31.412400000000002</v>
      </c>
      <c r="H1216" s="2" t="s">
        <v>4644</v>
      </c>
      <c r="I1216" s="2" t="s">
        <v>4645</v>
      </c>
      <c r="J1216" s="2" t="s">
        <v>4650</v>
      </c>
      <c r="K1216" s="2">
        <v>30</v>
      </c>
      <c r="L1216" s="2" t="s">
        <v>4647</v>
      </c>
    </row>
    <row r="1217" spans="1:12" ht="33.75" customHeight="1" x14ac:dyDescent="0.25">
      <c r="A1217" s="14" t="s">
        <v>2887</v>
      </c>
      <c r="B1217" s="3" t="s">
        <v>69</v>
      </c>
      <c r="C1217" s="3" t="s">
        <v>2888</v>
      </c>
      <c r="D1217" s="3" t="s">
        <v>4648</v>
      </c>
      <c r="E1217" s="3" t="s">
        <v>4651</v>
      </c>
      <c r="F1217" s="3" t="s">
        <v>71</v>
      </c>
      <c r="G1217" s="3">
        <v>32.102400000000003</v>
      </c>
      <c r="H1217" s="3" t="s">
        <v>4644</v>
      </c>
      <c r="I1217" s="3" t="s">
        <v>4645</v>
      </c>
      <c r="J1217" s="3" t="s">
        <v>4652</v>
      </c>
      <c r="K1217" s="3">
        <v>30</v>
      </c>
      <c r="L1217" s="3" t="s">
        <v>4647</v>
      </c>
    </row>
    <row r="1218" spans="1:12" ht="33.75" customHeight="1" x14ac:dyDescent="0.25">
      <c r="A1218" s="13" t="s">
        <v>2889</v>
      </c>
      <c r="B1218" s="2" t="s">
        <v>73</v>
      </c>
      <c r="C1218" s="2" t="s">
        <v>2890</v>
      </c>
      <c r="D1218" s="2" t="s">
        <v>4648</v>
      </c>
      <c r="E1218" s="2" t="s">
        <v>4653</v>
      </c>
      <c r="F1218" s="2" t="s">
        <v>75</v>
      </c>
      <c r="G1218" s="2">
        <v>31.538399999999999</v>
      </c>
      <c r="H1218" s="2" t="s">
        <v>4644</v>
      </c>
      <c r="I1218" s="2" t="s">
        <v>4645</v>
      </c>
      <c r="J1218" s="2" t="s">
        <v>4646</v>
      </c>
      <c r="K1218" s="2">
        <v>21</v>
      </c>
      <c r="L1218" s="2" t="s">
        <v>4647</v>
      </c>
    </row>
    <row r="1219" spans="1:12" ht="33.75" customHeight="1" x14ac:dyDescent="0.25">
      <c r="A1219" s="14" t="s">
        <v>2891</v>
      </c>
      <c r="B1219" s="3" t="s">
        <v>73</v>
      </c>
      <c r="C1219" s="3" t="s">
        <v>2892</v>
      </c>
      <c r="D1219" s="3" t="s">
        <v>4648</v>
      </c>
      <c r="E1219" s="3" t="s">
        <v>4653</v>
      </c>
      <c r="F1219" s="3" t="s">
        <v>75</v>
      </c>
      <c r="G1219" s="3">
        <v>31.538399999999999</v>
      </c>
      <c r="H1219" s="3" t="s">
        <v>4644</v>
      </c>
      <c r="I1219" s="3" t="s">
        <v>4645</v>
      </c>
      <c r="J1219" s="3" t="s">
        <v>4646</v>
      </c>
      <c r="K1219" s="3">
        <v>21</v>
      </c>
      <c r="L1219" s="3" t="s">
        <v>4647</v>
      </c>
    </row>
    <row r="1220" spans="1:12" ht="33.75" customHeight="1" x14ac:dyDescent="0.25">
      <c r="A1220" s="13" t="s">
        <v>2893</v>
      </c>
      <c r="B1220" s="2" t="s">
        <v>2654</v>
      </c>
      <c r="C1220" s="2" t="s">
        <v>2894</v>
      </c>
      <c r="D1220" s="2" t="s">
        <v>4923</v>
      </c>
      <c r="E1220" s="2" t="s">
        <v>4933</v>
      </c>
      <c r="F1220" s="2" t="s">
        <v>2656</v>
      </c>
      <c r="G1220" s="2">
        <v>29.63</v>
      </c>
      <c r="H1220" s="2" t="s">
        <v>4644</v>
      </c>
      <c r="I1220" s="2" t="s">
        <v>4645</v>
      </c>
      <c r="J1220" s="2" t="s">
        <v>4650</v>
      </c>
      <c r="K1220" s="2">
        <v>24</v>
      </c>
      <c r="L1220" s="2" t="s">
        <v>4647</v>
      </c>
    </row>
    <row r="1221" spans="1:12" ht="33.75" customHeight="1" x14ac:dyDescent="0.25">
      <c r="A1221" s="14" t="s">
        <v>2895</v>
      </c>
      <c r="B1221" s="3" t="s">
        <v>414</v>
      </c>
      <c r="C1221" s="3" t="s">
        <v>2896</v>
      </c>
      <c r="D1221" s="3" t="s">
        <v>4663</v>
      </c>
      <c r="E1221" s="3" t="s">
        <v>4732</v>
      </c>
      <c r="F1221" s="3" t="s">
        <v>416</v>
      </c>
      <c r="G1221" s="3">
        <v>31.0092</v>
      </c>
      <c r="H1221" s="3" t="s">
        <v>4644</v>
      </c>
      <c r="I1221" s="3" t="s">
        <v>4645</v>
      </c>
      <c r="J1221" s="3" t="s">
        <v>4733</v>
      </c>
      <c r="K1221" s="3">
        <v>87</v>
      </c>
      <c r="L1221" s="3" t="s">
        <v>4647</v>
      </c>
    </row>
    <row r="1222" spans="1:12" ht="33.75" customHeight="1" x14ac:dyDescent="0.25">
      <c r="A1222" s="13" t="s">
        <v>2897</v>
      </c>
      <c r="B1222" s="2" t="s">
        <v>2898</v>
      </c>
      <c r="C1222" s="2" t="s">
        <v>2899</v>
      </c>
      <c r="D1222" s="2" t="s">
        <v>4737</v>
      </c>
      <c r="E1222" s="2" t="s">
        <v>4947</v>
      </c>
      <c r="F1222" s="2" t="s">
        <v>2900</v>
      </c>
      <c r="G1222" s="2">
        <v>28.617000000000001</v>
      </c>
      <c r="H1222" s="2" t="s">
        <v>4644</v>
      </c>
      <c r="I1222" s="2" t="s">
        <v>4645</v>
      </c>
      <c r="J1222" s="2" t="s">
        <v>4691</v>
      </c>
      <c r="K1222" s="2">
        <v>42</v>
      </c>
      <c r="L1222" s="2" t="s">
        <v>4647</v>
      </c>
    </row>
    <row r="1223" spans="1:12" ht="33.75" customHeight="1" x14ac:dyDescent="0.25">
      <c r="A1223" s="14" t="s">
        <v>2901</v>
      </c>
      <c r="B1223" s="3" t="s">
        <v>1479</v>
      </c>
      <c r="C1223" s="3" t="s">
        <v>2902</v>
      </c>
      <c r="D1223" s="3" t="s">
        <v>4737</v>
      </c>
      <c r="E1223" s="3" t="s">
        <v>4830</v>
      </c>
      <c r="F1223" s="3" t="s">
        <v>1481</v>
      </c>
      <c r="G1223" s="3">
        <v>28.617000000000001</v>
      </c>
      <c r="H1223" s="3" t="s">
        <v>4644</v>
      </c>
      <c r="I1223" s="3" t="s">
        <v>4645</v>
      </c>
      <c r="J1223" s="3" t="s">
        <v>4684</v>
      </c>
      <c r="K1223" s="3">
        <v>63</v>
      </c>
      <c r="L1223" s="3" t="s">
        <v>4647</v>
      </c>
    </row>
    <row r="1224" spans="1:12" ht="33.75" customHeight="1" x14ac:dyDescent="0.25">
      <c r="A1224" s="13" t="s">
        <v>2903</v>
      </c>
      <c r="B1224" s="2" t="s">
        <v>400</v>
      </c>
      <c r="C1224" s="2" t="s">
        <v>2904</v>
      </c>
      <c r="D1224" s="2"/>
      <c r="E1224" s="2" t="s">
        <v>4730</v>
      </c>
      <c r="F1224" s="2" t="s">
        <v>402</v>
      </c>
      <c r="G1224" s="2">
        <v>34.332239999999999</v>
      </c>
      <c r="H1224" s="2" t="s">
        <v>4644</v>
      </c>
      <c r="I1224" s="2" t="s">
        <v>4645</v>
      </c>
      <c r="J1224" s="2" t="s">
        <v>4719</v>
      </c>
      <c r="K1224" s="2">
        <v>72</v>
      </c>
      <c r="L1224" s="2" t="s">
        <v>4647</v>
      </c>
    </row>
    <row r="1225" spans="1:12" ht="33.75" customHeight="1" x14ac:dyDescent="0.25">
      <c r="A1225" s="14" t="s">
        <v>2905</v>
      </c>
      <c r="B1225" s="3" t="s">
        <v>386</v>
      </c>
      <c r="C1225" s="3" t="s">
        <v>2906</v>
      </c>
      <c r="D1225" s="3"/>
      <c r="E1225" s="3" t="s">
        <v>4727</v>
      </c>
      <c r="F1225" s="3" t="s">
        <v>388</v>
      </c>
      <c r="G1225" s="3">
        <v>33.783799999999999</v>
      </c>
      <c r="H1225" s="3" t="s">
        <v>4644</v>
      </c>
      <c r="I1225" s="3" t="s">
        <v>4645</v>
      </c>
      <c r="J1225" s="3" t="s">
        <v>4721</v>
      </c>
      <c r="K1225" s="3">
        <v>54</v>
      </c>
      <c r="L1225" s="3" t="s">
        <v>4647</v>
      </c>
    </row>
    <row r="1226" spans="1:12" ht="33.75" customHeight="1" x14ac:dyDescent="0.25">
      <c r="A1226" s="13" t="s">
        <v>2907</v>
      </c>
      <c r="B1226" s="2" t="s">
        <v>418</v>
      </c>
      <c r="C1226" s="2" t="s">
        <v>2908</v>
      </c>
      <c r="D1226" s="2" t="s">
        <v>4773</v>
      </c>
      <c r="E1226" s="2" t="s">
        <v>4734</v>
      </c>
      <c r="F1226" s="2" t="s">
        <v>420</v>
      </c>
      <c r="G1226" s="2">
        <v>30.655200000000001</v>
      </c>
      <c r="H1226" s="2" t="s">
        <v>4644</v>
      </c>
      <c r="I1226" s="2" t="s">
        <v>4645</v>
      </c>
      <c r="J1226" s="2" t="s">
        <v>4682</v>
      </c>
      <c r="K1226" s="2">
        <v>72</v>
      </c>
      <c r="L1226" s="2" t="s">
        <v>4647</v>
      </c>
    </row>
    <row r="1227" spans="1:12" ht="33.75" customHeight="1" x14ac:dyDescent="0.25">
      <c r="A1227" s="14" t="s">
        <v>2909</v>
      </c>
      <c r="B1227" s="3" t="s">
        <v>418</v>
      </c>
      <c r="C1227" s="3" t="s">
        <v>2910</v>
      </c>
      <c r="D1227" s="3" t="s">
        <v>4773</v>
      </c>
      <c r="E1227" s="3" t="s">
        <v>4734</v>
      </c>
      <c r="F1227" s="3" t="s">
        <v>420</v>
      </c>
      <c r="G1227" s="3">
        <v>30.655200000000001</v>
      </c>
      <c r="H1227" s="3" t="s">
        <v>4644</v>
      </c>
      <c r="I1227" s="3" t="s">
        <v>4645</v>
      </c>
      <c r="J1227" s="3" t="s">
        <v>4682</v>
      </c>
      <c r="K1227" s="3">
        <v>72</v>
      </c>
      <c r="L1227" s="3" t="s">
        <v>4647</v>
      </c>
    </row>
    <row r="1228" spans="1:12" ht="33.75" customHeight="1" x14ac:dyDescent="0.25">
      <c r="A1228" s="13" t="s">
        <v>2911</v>
      </c>
      <c r="B1228" s="2" t="s">
        <v>356</v>
      </c>
      <c r="C1228" s="2" t="s">
        <v>2912</v>
      </c>
      <c r="D1228" s="2"/>
      <c r="E1228" s="2" t="s">
        <v>4716</v>
      </c>
      <c r="F1228" s="2" t="s">
        <v>358</v>
      </c>
      <c r="G1228" s="2">
        <v>29.5992</v>
      </c>
      <c r="H1228" s="2" t="s">
        <v>4644</v>
      </c>
      <c r="I1228" s="2" t="s">
        <v>4645</v>
      </c>
      <c r="J1228" s="2" t="s">
        <v>4691</v>
      </c>
      <c r="K1228" s="2">
        <v>42</v>
      </c>
      <c r="L1228" s="2" t="s">
        <v>4647</v>
      </c>
    </row>
    <row r="1229" spans="1:12" ht="33.75" customHeight="1" x14ac:dyDescent="0.25">
      <c r="A1229" s="14" t="s">
        <v>2913</v>
      </c>
      <c r="B1229" s="3" t="s">
        <v>2373</v>
      </c>
      <c r="C1229" s="3" t="s">
        <v>2914</v>
      </c>
      <c r="D1229" s="3" t="s">
        <v>4737</v>
      </c>
      <c r="E1229" s="3" t="s">
        <v>4909</v>
      </c>
      <c r="F1229" s="3" t="s">
        <v>2375</v>
      </c>
      <c r="G1229" s="3">
        <v>28.649000000000001</v>
      </c>
      <c r="H1229" s="3" t="s">
        <v>4644</v>
      </c>
      <c r="I1229" s="3" t="s">
        <v>4645</v>
      </c>
      <c r="J1229" s="3" t="s">
        <v>4708</v>
      </c>
      <c r="K1229" s="3">
        <v>90</v>
      </c>
      <c r="L1229" s="3" t="s">
        <v>4647</v>
      </c>
    </row>
    <row r="1230" spans="1:12" ht="33.75" customHeight="1" x14ac:dyDescent="0.25">
      <c r="A1230" s="13" t="s">
        <v>2915</v>
      </c>
      <c r="B1230" s="2" t="s">
        <v>422</v>
      </c>
      <c r="C1230" s="2" t="s">
        <v>2916</v>
      </c>
      <c r="D1230" s="2" t="s">
        <v>4714</v>
      </c>
      <c r="E1230" s="2" t="s">
        <v>4736</v>
      </c>
      <c r="F1230" s="2" t="s">
        <v>424</v>
      </c>
      <c r="G1230" s="2">
        <v>30.7272</v>
      </c>
      <c r="H1230" s="2" t="s">
        <v>4644</v>
      </c>
      <c r="I1230" s="2" t="s">
        <v>4645</v>
      </c>
      <c r="J1230" s="2" t="s">
        <v>4682</v>
      </c>
      <c r="K1230" s="2">
        <v>76</v>
      </c>
      <c r="L1230" s="2" t="s">
        <v>4647</v>
      </c>
    </row>
    <row r="1231" spans="1:12" ht="33.75" customHeight="1" x14ac:dyDescent="0.25">
      <c r="A1231" s="14" t="s">
        <v>2917</v>
      </c>
      <c r="B1231" s="3" t="s">
        <v>846</v>
      </c>
      <c r="C1231" s="3" t="s">
        <v>2918</v>
      </c>
      <c r="D1231" s="3" t="s">
        <v>4714</v>
      </c>
      <c r="E1231" s="3" t="s">
        <v>4800</v>
      </c>
      <c r="F1231" s="3" t="s">
        <v>848</v>
      </c>
      <c r="G1231" s="3">
        <v>29.944199999999999</v>
      </c>
      <c r="H1231" s="3" t="s">
        <v>4644</v>
      </c>
      <c r="I1231" s="3" t="s">
        <v>4645</v>
      </c>
      <c r="J1231" s="3" t="s">
        <v>4684</v>
      </c>
      <c r="K1231" s="3">
        <v>68</v>
      </c>
      <c r="L1231" s="3" t="s">
        <v>4647</v>
      </c>
    </row>
    <row r="1232" spans="1:12" ht="33.75" customHeight="1" x14ac:dyDescent="0.25">
      <c r="A1232" s="13" t="s">
        <v>2919</v>
      </c>
      <c r="B1232" s="2" t="s">
        <v>273</v>
      </c>
      <c r="C1232" s="2" t="s">
        <v>2920</v>
      </c>
      <c r="D1232" s="2" t="s">
        <v>4714</v>
      </c>
      <c r="E1232" s="2" t="s">
        <v>4694</v>
      </c>
      <c r="F1232" s="2" t="s">
        <v>275</v>
      </c>
      <c r="G1232" s="2">
        <v>30.084199999999999</v>
      </c>
      <c r="H1232" s="2" t="s">
        <v>4644</v>
      </c>
      <c r="I1232" s="2" t="s">
        <v>4645</v>
      </c>
      <c r="J1232" s="2" t="s">
        <v>4695</v>
      </c>
      <c r="K1232" s="2">
        <v>68</v>
      </c>
      <c r="L1232" s="2" t="s">
        <v>4647</v>
      </c>
    </row>
    <row r="1233" spans="1:12" ht="33.75" customHeight="1" x14ac:dyDescent="0.25">
      <c r="A1233" s="14" t="s">
        <v>2921</v>
      </c>
      <c r="B1233" s="3" t="s">
        <v>277</v>
      </c>
      <c r="C1233" s="3" t="s">
        <v>2922</v>
      </c>
      <c r="D1233" s="3" t="s">
        <v>4714</v>
      </c>
      <c r="E1233" s="3" t="s">
        <v>4696</v>
      </c>
      <c r="F1233" s="3" t="s">
        <v>279</v>
      </c>
      <c r="G1233" s="3">
        <v>29.7592</v>
      </c>
      <c r="H1233" s="3" t="s">
        <v>4644</v>
      </c>
      <c r="I1233" s="3" t="s">
        <v>4645</v>
      </c>
      <c r="J1233" s="3" t="s">
        <v>4697</v>
      </c>
      <c r="K1233" s="3">
        <v>48</v>
      </c>
      <c r="L1233" s="3" t="s">
        <v>4647</v>
      </c>
    </row>
    <row r="1234" spans="1:12" ht="33.75" customHeight="1" x14ac:dyDescent="0.25">
      <c r="A1234" s="13" t="s">
        <v>2923</v>
      </c>
      <c r="B1234" s="2" t="s">
        <v>372</v>
      </c>
      <c r="C1234" s="2" t="s">
        <v>2924</v>
      </c>
      <c r="D1234" s="2" t="s">
        <v>4714</v>
      </c>
      <c r="E1234" s="2" t="s">
        <v>4720</v>
      </c>
      <c r="F1234" s="2" t="s">
        <v>374</v>
      </c>
      <c r="G1234" s="2">
        <v>32.852400000000003</v>
      </c>
      <c r="H1234" s="2" t="s">
        <v>4644</v>
      </c>
      <c r="I1234" s="2" t="s">
        <v>4645</v>
      </c>
      <c r="J1234" s="2" t="s">
        <v>4721</v>
      </c>
      <c r="K1234" s="2">
        <v>48</v>
      </c>
      <c r="L1234" s="2" t="s">
        <v>4647</v>
      </c>
    </row>
    <row r="1235" spans="1:12" ht="33.75" customHeight="1" x14ac:dyDescent="0.25">
      <c r="A1235" s="14" t="s">
        <v>2925</v>
      </c>
      <c r="B1235" s="3" t="s">
        <v>372</v>
      </c>
      <c r="C1235" s="3" t="s">
        <v>2926</v>
      </c>
      <c r="D1235" s="3" t="s">
        <v>4714</v>
      </c>
      <c r="E1235" s="3" t="s">
        <v>4720</v>
      </c>
      <c r="F1235" s="3" t="s">
        <v>374</v>
      </c>
      <c r="G1235" s="3">
        <v>32.852400000000003</v>
      </c>
      <c r="H1235" s="3" t="s">
        <v>4644</v>
      </c>
      <c r="I1235" s="3" t="s">
        <v>4645</v>
      </c>
      <c r="J1235" s="3" t="s">
        <v>4721</v>
      </c>
      <c r="K1235" s="3">
        <v>48</v>
      </c>
      <c r="L1235" s="3" t="s">
        <v>4647</v>
      </c>
    </row>
    <row r="1236" spans="1:12" ht="33.75" customHeight="1" x14ac:dyDescent="0.25">
      <c r="A1236" s="13" t="s">
        <v>2927</v>
      </c>
      <c r="B1236" s="2" t="s">
        <v>400</v>
      </c>
      <c r="C1236" s="2" t="s">
        <v>1447</v>
      </c>
      <c r="D1236" s="2"/>
      <c r="E1236" s="2" t="s">
        <v>4730</v>
      </c>
      <c r="F1236" s="2" t="s">
        <v>402</v>
      </c>
      <c r="G1236" s="2">
        <v>34.332239999999999</v>
      </c>
      <c r="H1236" s="2" t="s">
        <v>4644</v>
      </c>
      <c r="I1236" s="2" t="s">
        <v>4645</v>
      </c>
      <c r="J1236" s="2" t="s">
        <v>4719</v>
      </c>
      <c r="K1236" s="2">
        <v>72</v>
      </c>
      <c r="L1236" s="2" t="s">
        <v>4647</v>
      </c>
    </row>
    <row r="1237" spans="1:12" ht="33.75" customHeight="1" x14ac:dyDescent="0.25">
      <c r="A1237" s="14" t="s">
        <v>2928</v>
      </c>
      <c r="B1237" s="3" t="s">
        <v>89</v>
      </c>
      <c r="C1237" s="3" t="s">
        <v>2929</v>
      </c>
      <c r="D1237" s="3"/>
      <c r="E1237" s="3" t="s">
        <v>4659</v>
      </c>
      <c r="F1237" s="3" t="s">
        <v>91</v>
      </c>
      <c r="G1237" s="3">
        <v>32.389200000000002</v>
      </c>
      <c r="H1237" s="3" t="s">
        <v>4644</v>
      </c>
      <c r="I1237" s="3" t="s">
        <v>4645</v>
      </c>
      <c r="J1237" s="3" t="s">
        <v>4652</v>
      </c>
      <c r="K1237" s="3">
        <v>30</v>
      </c>
      <c r="L1237" s="3" t="s">
        <v>4647</v>
      </c>
    </row>
    <row r="1238" spans="1:12" ht="33.75" customHeight="1" x14ac:dyDescent="0.25">
      <c r="A1238" s="13" t="s">
        <v>2930</v>
      </c>
      <c r="B1238" s="2" t="s">
        <v>2391</v>
      </c>
      <c r="C1238" s="2" t="s">
        <v>2931</v>
      </c>
      <c r="D1238" s="2"/>
      <c r="E1238" s="2" t="s">
        <v>4912</v>
      </c>
      <c r="F1238" s="2" t="s">
        <v>2393</v>
      </c>
      <c r="G1238" s="2">
        <v>32.3872</v>
      </c>
      <c r="H1238" s="2" t="s">
        <v>4644</v>
      </c>
      <c r="I1238" s="2" t="s">
        <v>4645</v>
      </c>
      <c r="J1238" s="2" t="s">
        <v>4770</v>
      </c>
      <c r="K1238" s="2">
        <v>48</v>
      </c>
      <c r="L1238" s="2" t="s">
        <v>4647</v>
      </c>
    </row>
    <row r="1239" spans="1:12" ht="33.75" customHeight="1" x14ac:dyDescent="0.25">
      <c r="A1239" s="14" t="s">
        <v>2932</v>
      </c>
      <c r="B1239" s="3" t="s">
        <v>226</v>
      </c>
      <c r="C1239" s="3" t="s">
        <v>2933</v>
      </c>
      <c r="D1239" s="3"/>
      <c r="E1239" s="3" t="s">
        <v>4688</v>
      </c>
      <c r="F1239" s="3" t="s">
        <v>228</v>
      </c>
      <c r="G1239" s="3">
        <v>30.6632</v>
      </c>
      <c r="H1239" s="3" t="s">
        <v>4644</v>
      </c>
      <c r="I1239" s="3" t="s">
        <v>4645</v>
      </c>
      <c r="J1239" s="3" t="s">
        <v>4650</v>
      </c>
      <c r="K1239" s="3">
        <v>24</v>
      </c>
      <c r="L1239" s="3" t="s">
        <v>4647</v>
      </c>
    </row>
    <row r="1240" spans="1:12" ht="33.75" customHeight="1" x14ac:dyDescent="0.25">
      <c r="A1240" s="13" t="s">
        <v>2934</v>
      </c>
      <c r="B1240" s="2" t="s">
        <v>112</v>
      </c>
      <c r="C1240" s="2" t="s">
        <v>2935</v>
      </c>
      <c r="D1240" s="2"/>
      <c r="E1240" s="2" t="s">
        <v>4660</v>
      </c>
      <c r="F1240" s="2" t="s">
        <v>114</v>
      </c>
      <c r="G1240" s="2">
        <v>30.7682</v>
      </c>
      <c r="H1240" s="2" t="s">
        <v>4644</v>
      </c>
      <c r="I1240" s="2" t="s">
        <v>4645</v>
      </c>
      <c r="J1240" s="2" t="s">
        <v>4652</v>
      </c>
      <c r="K1240" s="2">
        <v>21</v>
      </c>
      <c r="L1240" s="2" t="s">
        <v>4647</v>
      </c>
    </row>
    <row r="1241" spans="1:12" ht="33.75" customHeight="1" x14ac:dyDescent="0.25">
      <c r="A1241" s="14" t="s">
        <v>2936</v>
      </c>
      <c r="B1241" s="3" t="s">
        <v>1151</v>
      </c>
      <c r="C1241" s="3" t="s">
        <v>1175</v>
      </c>
      <c r="D1241" s="3"/>
      <c r="E1241" s="3" t="s">
        <v>4812</v>
      </c>
      <c r="F1241" s="3" t="s">
        <v>1153</v>
      </c>
      <c r="G1241" s="3">
        <v>30.6372</v>
      </c>
      <c r="H1241" s="3" t="s">
        <v>4644</v>
      </c>
      <c r="I1241" s="3" t="s">
        <v>4645</v>
      </c>
      <c r="J1241" s="3" t="s">
        <v>4723</v>
      </c>
      <c r="K1241" s="3">
        <v>72</v>
      </c>
      <c r="L1241" s="3" t="s">
        <v>4647</v>
      </c>
    </row>
    <row r="1242" spans="1:12" ht="33.75" customHeight="1" x14ac:dyDescent="0.25">
      <c r="A1242" s="13" t="s">
        <v>2937</v>
      </c>
      <c r="B1242" s="2" t="s">
        <v>77</v>
      </c>
      <c r="C1242" s="2" t="s">
        <v>2938</v>
      </c>
      <c r="D1242" s="2" t="s">
        <v>4760</v>
      </c>
      <c r="E1242" s="2" t="s">
        <v>4654</v>
      </c>
      <c r="F1242" s="2" t="s">
        <v>79</v>
      </c>
      <c r="G1242" s="2">
        <v>31.699200000000001</v>
      </c>
      <c r="H1242" s="2" t="s">
        <v>4644</v>
      </c>
      <c r="I1242" s="2" t="s">
        <v>4645</v>
      </c>
      <c r="J1242" s="2" t="s">
        <v>4650</v>
      </c>
      <c r="K1242" s="2">
        <v>30</v>
      </c>
      <c r="L1242" s="2" t="s">
        <v>4647</v>
      </c>
    </row>
    <row r="1243" spans="1:12" ht="33.75" customHeight="1" x14ac:dyDescent="0.25">
      <c r="A1243" s="14" t="s">
        <v>2939</v>
      </c>
      <c r="B1243" s="3" t="s">
        <v>89</v>
      </c>
      <c r="C1243" s="3" t="s">
        <v>2940</v>
      </c>
      <c r="D1243" s="3" t="s">
        <v>4760</v>
      </c>
      <c r="E1243" s="3" t="s">
        <v>4659</v>
      </c>
      <c r="F1243" s="3" t="s">
        <v>91</v>
      </c>
      <c r="G1243" s="3">
        <v>32.389200000000002</v>
      </c>
      <c r="H1243" s="3" t="s">
        <v>4644</v>
      </c>
      <c r="I1243" s="3" t="s">
        <v>4645</v>
      </c>
      <c r="J1243" s="3" t="s">
        <v>4652</v>
      </c>
      <c r="K1243" s="3">
        <v>30</v>
      </c>
      <c r="L1243" s="3" t="s">
        <v>4647</v>
      </c>
    </row>
    <row r="1244" spans="1:12" ht="33.75" customHeight="1" x14ac:dyDescent="0.25">
      <c r="A1244" s="13" t="s">
        <v>2941</v>
      </c>
      <c r="B1244" s="2" t="s">
        <v>57</v>
      </c>
      <c r="C1244" s="2" t="s">
        <v>2942</v>
      </c>
      <c r="D1244" s="2" t="s">
        <v>4760</v>
      </c>
      <c r="E1244" s="2" t="s">
        <v>4643</v>
      </c>
      <c r="F1244" s="2" t="s">
        <v>59</v>
      </c>
      <c r="G1244" s="2">
        <v>31.825199999999999</v>
      </c>
      <c r="H1244" s="2" t="s">
        <v>4644</v>
      </c>
      <c r="I1244" s="2" t="s">
        <v>4645</v>
      </c>
      <c r="J1244" s="2" t="s">
        <v>4646</v>
      </c>
      <c r="K1244" s="2">
        <v>21</v>
      </c>
      <c r="L1244" s="2" t="s">
        <v>4647</v>
      </c>
    </row>
    <row r="1245" spans="1:12" ht="33.75" customHeight="1" x14ac:dyDescent="0.25">
      <c r="A1245" s="14" t="s">
        <v>2943</v>
      </c>
      <c r="B1245" s="3" t="s">
        <v>418</v>
      </c>
      <c r="C1245" s="3" t="s">
        <v>2944</v>
      </c>
      <c r="D1245" s="3"/>
      <c r="E1245" s="3" t="s">
        <v>4734</v>
      </c>
      <c r="F1245" s="3" t="s">
        <v>420</v>
      </c>
      <c r="G1245" s="3">
        <v>30.655200000000001</v>
      </c>
      <c r="H1245" s="3" t="s">
        <v>4644</v>
      </c>
      <c r="I1245" s="3" t="s">
        <v>4645</v>
      </c>
      <c r="J1245" s="3" t="s">
        <v>4682</v>
      </c>
      <c r="K1245" s="3">
        <v>72</v>
      </c>
      <c r="L1245" s="3" t="s">
        <v>4647</v>
      </c>
    </row>
    <row r="1246" spans="1:12" ht="33.75" customHeight="1" x14ac:dyDescent="0.25">
      <c r="A1246" s="13" t="s">
        <v>2945</v>
      </c>
      <c r="B1246" s="2" t="s">
        <v>142</v>
      </c>
      <c r="C1246" s="2" t="s">
        <v>2946</v>
      </c>
      <c r="D1246" s="2" t="s">
        <v>4676</v>
      </c>
      <c r="E1246" s="2" t="s">
        <v>4875</v>
      </c>
      <c r="F1246" s="2" t="s">
        <v>144</v>
      </c>
      <c r="G1246" s="2"/>
      <c r="H1246" s="2" t="s">
        <v>4666</v>
      </c>
      <c r="I1246" s="2" t="s">
        <v>4667</v>
      </c>
      <c r="J1246" s="2" t="s">
        <v>4721</v>
      </c>
      <c r="K1246" s="2">
        <v>15</v>
      </c>
      <c r="L1246" s="2" t="s">
        <v>4668</v>
      </c>
    </row>
    <row r="1247" spans="1:12" ht="33.75" customHeight="1" x14ac:dyDescent="0.25">
      <c r="A1247" s="14" t="s">
        <v>2947</v>
      </c>
      <c r="B1247" s="3" t="s">
        <v>89</v>
      </c>
      <c r="C1247" s="3" t="s">
        <v>2948</v>
      </c>
      <c r="D1247" s="3"/>
      <c r="E1247" s="3" t="s">
        <v>4659</v>
      </c>
      <c r="F1247" s="3" t="s">
        <v>91</v>
      </c>
      <c r="G1247" s="3">
        <v>32.389200000000002</v>
      </c>
      <c r="H1247" s="3" t="s">
        <v>4644</v>
      </c>
      <c r="I1247" s="3" t="s">
        <v>4645</v>
      </c>
      <c r="J1247" s="3" t="s">
        <v>4652</v>
      </c>
      <c r="K1247" s="3">
        <v>30</v>
      </c>
      <c r="L1247" s="3" t="s">
        <v>4647</v>
      </c>
    </row>
    <row r="1248" spans="1:12" ht="33.75" customHeight="1" x14ac:dyDescent="0.25">
      <c r="A1248" s="13" t="s">
        <v>2949</v>
      </c>
      <c r="B1248" s="2" t="s">
        <v>57</v>
      </c>
      <c r="C1248" s="2" t="s">
        <v>2950</v>
      </c>
      <c r="D1248" s="2"/>
      <c r="E1248" s="2" t="s">
        <v>4643</v>
      </c>
      <c r="F1248" s="2" t="s">
        <v>59</v>
      </c>
      <c r="G1248" s="2">
        <v>31.825199999999999</v>
      </c>
      <c r="H1248" s="2" t="s">
        <v>4644</v>
      </c>
      <c r="I1248" s="2" t="s">
        <v>4645</v>
      </c>
      <c r="J1248" s="2" t="s">
        <v>4646</v>
      </c>
      <c r="K1248" s="2">
        <v>21</v>
      </c>
      <c r="L1248" s="2" t="s">
        <v>4647</v>
      </c>
    </row>
    <row r="1249" spans="1:12" ht="33.75" customHeight="1" x14ac:dyDescent="0.25">
      <c r="A1249" s="14" t="s">
        <v>2951</v>
      </c>
      <c r="B1249" s="3" t="s">
        <v>515</v>
      </c>
      <c r="C1249" s="3" t="s">
        <v>2952</v>
      </c>
      <c r="D1249" s="3" t="s">
        <v>4648</v>
      </c>
      <c r="E1249" s="3" t="s">
        <v>4749</v>
      </c>
      <c r="F1249" s="3" t="s">
        <v>517</v>
      </c>
      <c r="G1249" s="3">
        <v>29.3124</v>
      </c>
      <c r="H1249" s="3" t="s">
        <v>4644</v>
      </c>
      <c r="I1249" s="3" t="s">
        <v>4645</v>
      </c>
      <c r="J1249" s="3" t="s">
        <v>4691</v>
      </c>
      <c r="K1249" s="3">
        <v>42</v>
      </c>
      <c r="L1249" s="3" t="s">
        <v>4647</v>
      </c>
    </row>
    <row r="1250" spans="1:12" ht="33.75" customHeight="1" x14ac:dyDescent="0.25">
      <c r="A1250" s="13" t="s">
        <v>2953</v>
      </c>
      <c r="B1250" s="2" t="s">
        <v>1727</v>
      </c>
      <c r="C1250" s="2" t="s">
        <v>2954</v>
      </c>
      <c r="D1250" s="2"/>
      <c r="E1250" s="2" t="s">
        <v>4847</v>
      </c>
      <c r="F1250" s="2" t="s">
        <v>1729</v>
      </c>
      <c r="G1250" s="2">
        <v>29.0792</v>
      </c>
      <c r="H1250" s="2" t="s">
        <v>4644</v>
      </c>
      <c r="I1250" s="2" t="s">
        <v>4645</v>
      </c>
      <c r="J1250" s="2" t="s">
        <v>4691</v>
      </c>
      <c r="K1250" s="2">
        <v>36</v>
      </c>
      <c r="L1250" s="2" t="s">
        <v>4647</v>
      </c>
    </row>
    <row r="1251" spans="1:12" ht="33.75" customHeight="1" x14ac:dyDescent="0.25">
      <c r="A1251" s="14" t="s">
        <v>2955</v>
      </c>
      <c r="B1251" s="3" t="s">
        <v>378</v>
      </c>
      <c r="C1251" s="3" t="s">
        <v>2956</v>
      </c>
      <c r="D1251" s="3"/>
      <c r="E1251" s="3" t="s">
        <v>4722</v>
      </c>
      <c r="F1251" s="3" t="s">
        <v>380</v>
      </c>
      <c r="G1251" s="3">
        <v>29.743200000000002</v>
      </c>
      <c r="H1251" s="3" t="s">
        <v>4644</v>
      </c>
      <c r="I1251" s="3" t="s">
        <v>4645</v>
      </c>
      <c r="J1251" s="3" t="s">
        <v>4693</v>
      </c>
      <c r="K1251" s="3">
        <v>56</v>
      </c>
      <c r="L1251" s="3" t="s">
        <v>4647</v>
      </c>
    </row>
    <row r="1252" spans="1:12" ht="33.75" customHeight="1" x14ac:dyDescent="0.25">
      <c r="A1252" s="13" t="s">
        <v>2957</v>
      </c>
      <c r="B1252" s="2" t="s">
        <v>57</v>
      </c>
      <c r="C1252" s="2" t="s">
        <v>2958</v>
      </c>
      <c r="D1252" s="2" t="s">
        <v>4705</v>
      </c>
      <c r="E1252" s="2" t="s">
        <v>4643</v>
      </c>
      <c r="F1252" s="2" t="s">
        <v>59</v>
      </c>
      <c r="G1252" s="2">
        <v>31.825199999999999</v>
      </c>
      <c r="H1252" s="2" t="s">
        <v>4644</v>
      </c>
      <c r="I1252" s="2" t="s">
        <v>4645</v>
      </c>
      <c r="J1252" s="2" t="s">
        <v>4646</v>
      </c>
      <c r="K1252" s="2">
        <v>21</v>
      </c>
      <c r="L1252" s="2" t="s">
        <v>4647</v>
      </c>
    </row>
    <row r="1253" spans="1:12" ht="33.75" customHeight="1" x14ac:dyDescent="0.25">
      <c r="A1253" s="14" t="s">
        <v>2959</v>
      </c>
      <c r="B1253" s="3" t="s">
        <v>2960</v>
      </c>
      <c r="C1253" s="3" t="s">
        <v>2961</v>
      </c>
      <c r="D1253" s="3" t="s">
        <v>4705</v>
      </c>
      <c r="E1253" s="3" t="s">
        <v>4948</v>
      </c>
      <c r="F1253" s="3" t="s">
        <v>2962</v>
      </c>
      <c r="G1253" s="3">
        <v>47.458399999999997</v>
      </c>
      <c r="H1253" s="3" t="s">
        <v>4644</v>
      </c>
      <c r="I1253" s="3" t="s">
        <v>4645</v>
      </c>
      <c r="J1253" s="3" t="s">
        <v>4721</v>
      </c>
      <c r="K1253" s="3">
        <v>51</v>
      </c>
      <c r="L1253" s="3" t="s">
        <v>4647</v>
      </c>
    </row>
    <row r="1254" spans="1:12" ht="33.75" customHeight="1" x14ac:dyDescent="0.25">
      <c r="A1254" s="13" t="s">
        <v>2963</v>
      </c>
      <c r="B1254" s="2" t="s">
        <v>324</v>
      </c>
      <c r="C1254" s="2" t="s">
        <v>2964</v>
      </c>
      <c r="D1254" s="2" t="s">
        <v>4705</v>
      </c>
      <c r="E1254" s="2" t="s">
        <v>4704</v>
      </c>
      <c r="F1254" s="2" t="s">
        <v>326</v>
      </c>
      <c r="G1254" s="2">
        <v>29.719200000000001</v>
      </c>
      <c r="H1254" s="2" t="s">
        <v>4644</v>
      </c>
      <c r="I1254" s="2" t="s">
        <v>4645</v>
      </c>
      <c r="J1254" s="2" t="s">
        <v>4697</v>
      </c>
      <c r="K1254" s="2">
        <v>45</v>
      </c>
      <c r="L1254" s="2" t="s">
        <v>4647</v>
      </c>
    </row>
    <row r="1255" spans="1:12" ht="33.75" customHeight="1" x14ac:dyDescent="0.25">
      <c r="A1255" s="14" t="s">
        <v>2965</v>
      </c>
      <c r="B1255" s="3" t="s">
        <v>356</v>
      </c>
      <c r="C1255" s="3" t="s">
        <v>2966</v>
      </c>
      <c r="D1255" s="3" t="s">
        <v>4705</v>
      </c>
      <c r="E1255" s="3" t="s">
        <v>4716</v>
      </c>
      <c r="F1255" s="3" t="s">
        <v>358</v>
      </c>
      <c r="G1255" s="3">
        <v>29.5992</v>
      </c>
      <c r="H1255" s="3" t="s">
        <v>4644</v>
      </c>
      <c r="I1255" s="3" t="s">
        <v>4645</v>
      </c>
      <c r="J1255" s="3" t="s">
        <v>4691</v>
      </c>
      <c r="K1255" s="3">
        <v>42</v>
      </c>
      <c r="L1255" s="3" t="s">
        <v>4647</v>
      </c>
    </row>
    <row r="1256" spans="1:12" ht="33.75" customHeight="1" x14ac:dyDescent="0.25">
      <c r="A1256" s="13" t="s">
        <v>2967</v>
      </c>
      <c r="B1256" s="2" t="s">
        <v>422</v>
      </c>
      <c r="C1256" s="2" t="s">
        <v>2968</v>
      </c>
      <c r="D1256" s="2"/>
      <c r="E1256" s="2" t="s">
        <v>4736</v>
      </c>
      <c r="F1256" s="2" t="s">
        <v>424</v>
      </c>
      <c r="G1256" s="2">
        <v>30.7272</v>
      </c>
      <c r="H1256" s="2" t="s">
        <v>4644</v>
      </c>
      <c r="I1256" s="2" t="s">
        <v>4645</v>
      </c>
      <c r="J1256" s="2" t="s">
        <v>4735</v>
      </c>
      <c r="K1256" s="2">
        <v>76</v>
      </c>
      <c r="L1256" s="2" t="s">
        <v>4647</v>
      </c>
    </row>
    <row r="1257" spans="1:12" ht="33.75" customHeight="1" x14ac:dyDescent="0.25">
      <c r="A1257" s="14" t="s">
        <v>2969</v>
      </c>
      <c r="B1257" s="3" t="s">
        <v>156</v>
      </c>
      <c r="C1257" s="3" t="s">
        <v>2970</v>
      </c>
      <c r="D1257" s="3"/>
      <c r="E1257" s="3" t="s">
        <v>4670</v>
      </c>
      <c r="F1257" s="3" t="s">
        <v>158</v>
      </c>
      <c r="G1257" s="3">
        <v>30.987200000000001</v>
      </c>
      <c r="H1257" s="3" t="s">
        <v>4644</v>
      </c>
      <c r="I1257" s="3" t="s">
        <v>4645</v>
      </c>
      <c r="J1257" s="3" t="s">
        <v>4646</v>
      </c>
      <c r="K1257" s="3">
        <v>18</v>
      </c>
      <c r="L1257" s="3" t="s">
        <v>4647</v>
      </c>
    </row>
    <row r="1258" spans="1:12" ht="33.75" customHeight="1" x14ac:dyDescent="0.25">
      <c r="A1258" s="13" t="s">
        <v>2971</v>
      </c>
      <c r="B1258" s="2" t="s">
        <v>1151</v>
      </c>
      <c r="C1258" s="2" t="s">
        <v>2972</v>
      </c>
      <c r="D1258" s="2" t="s">
        <v>4922</v>
      </c>
      <c r="E1258" s="2" t="s">
        <v>4812</v>
      </c>
      <c r="F1258" s="2" t="s">
        <v>1153</v>
      </c>
      <c r="G1258" s="2">
        <v>30.6372</v>
      </c>
      <c r="H1258" s="2" t="s">
        <v>4644</v>
      </c>
      <c r="I1258" s="2" t="s">
        <v>4645</v>
      </c>
      <c r="J1258" s="2" t="s">
        <v>4723</v>
      </c>
      <c r="K1258" s="2">
        <v>72</v>
      </c>
      <c r="L1258" s="2" t="s">
        <v>4647</v>
      </c>
    </row>
    <row r="1259" spans="1:12" ht="33.75" customHeight="1" x14ac:dyDescent="0.25">
      <c r="A1259" s="14" t="s">
        <v>2973</v>
      </c>
      <c r="B1259" s="3" t="s">
        <v>414</v>
      </c>
      <c r="C1259" s="3" t="s">
        <v>2974</v>
      </c>
      <c r="D1259" s="3" t="s">
        <v>4922</v>
      </c>
      <c r="E1259" s="3" t="s">
        <v>4732</v>
      </c>
      <c r="F1259" s="3" t="s">
        <v>416</v>
      </c>
      <c r="G1259" s="3">
        <v>31.0092</v>
      </c>
      <c r="H1259" s="3" t="s">
        <v>4644</v>
      </c>
      <c r="I1259" s="3" t="s">
        <v>4645</v>
      </c>
      <c r="J1259" s="3" t="s">
        <v>4733</v>
      </c>
      <c r="K1259" s="3">
        <v>87</v>
      </c>
      <c r="L1259" s="3" t="s">
        <v>4647</v>
      </c>
    </row>
    <row r="1260" spans="1:12" ht="33.75" customHeight="1" x14ac:dyDescent="0.25">
      <c r="A1260" s="13" t="s">
        <v>2975</v>
      </c>
      <c r="B1260" s="2" t="s">
        <v>418</v>
      </c>
      <c r="C1260" s="2" t="s">
        <v>2976</v>
      </c>
      <c r="D1260" s="2" t="s">
        <v>4922</v>
      </c>
      <c r="E1260" s="2" t="s">
        <v>4734</v>
      </c>
      <c r="F1260" s="2" t="s">
        <v>420</v>
      </c>
      <c r="G1260" s="2">
        <v>30.655200000000001</v>
      </c>
      <c r="H1260" s="2" t="s">
        <v>4644</v>
      </c>
      <c r="I1260" s="2" t="s">
        <v>4645</v>
      </c>
      <c r="J1260" s="2" t="s">
        <v>4735</v>
      </c>
      <c r="K1260" s="2">
        <v>72</v>
      </c>
      <c r="L1260" s="2" t="s">
        <v>4647</v>
      </c>
    </row>
    <row r="1261" spans="1:12" ht="33.75" customHeight="1" x14ac:dyDescent="0.25">
      <c r="A1261" s="14" t="s">
        <v>2977</v>
      </c>
      <c r="B1261" s="3" t="s">
        <v>366</v>
      </c>
      <c r="C1261" s="3" t="s">
        <v>2978</v>
      </c>
      <c r="D1261" s="3"/>
      <c r="E1261" s="3" t="s">
        <v>4718</v>
      </c>
      <c r="F1261" s="3" t="s">
        <v>368</v>
      </c>
      <c r="G1261" s="3">
        <v>32.983400000000003</v>
      </c>
      <c r="H1261" s="3" t="s">
        <v>4644</v>
      </c>
      <c r="I1261" s="3" t="s">
        <v>4645</v>
      </c>
      <c r="J1261" s="3" t="s">
        <v>4719</v>
      </c>
      <c r="K1261" s="3">
        <v>60</v>
      </c>
      <c r="L1261" s="3" t="s">
        <v>4647</v>
      </c>
    </row>
    <row r="1262" spans="1:12" ht="33.75" customHeight="1" x14ac:dyDescent="0.25">
      <c r="A1262" s="13" t="s">
        <v>2979</v>
      </c>
      <c r="B1262" s="2" t="s">
        <v>356</v>
      </c>
      <c r="C1262" s="2" t="s">
        <v>2980</v>
      </c>
      <c r="D1262" s="2"/>
      <c r="E1262" s="2" t="s">
        <v>4716</v>
      </c>
      <c r="F1262" s="2" t="s">
        <v>358</v>
      </c>
      <c r="G1262" s="2">
        <v>29.5992</v>
      </c>
      <c r="H1262" s="2" t="s">
        <v>4644</v>
      </c>
      <c r="I1262" s="2" t="s">
        <v>4645</v>
      </c>
      <c r="J1262" s="2" t="s">
        <v>4691</v>
      </c>
      <c r="K1262" s="2">
        <v>42</v>
      </c>
      <c r="L1262" s="2" t="s">
        <v>4647</v>
      </c>
    </row>
    <row r="1263" spans="1:12" ht="33.75" customHeight="1" x14ac:dyDescent="0.25">
      <c r="A1263" s="14" t="s">
        <v>2981</v>
      </c>
      <c r="B1263" s="3" t="s">
        <v>89</v>
      </c>
      <c r="C1263" s="3" t="s">
        <v>2982</v>
      </c>
      <c r="D1263" s="3"/>
      <c r="E1263" s="3" t="s">
        <v>4659</v>
      </c>
      <c r="F1263" s="3" t="s">
        <v>91</v>
      </c>
      <c r="G1263" s="3">
        <v>32.389200000000002</v>
      </c>
      <c r="H1263" s="3" t="s">
        <v>4644</v>
      </c>
      <c r="I1263" s="3" t="s">
        <v>4645</v>
      </c>
      <c r="J1263" s="3" t="s">
        <v>4652</v>
      </c>
      <c r="K1263" s="3">
        <v>30</v>
      </c>
      <c r="L1263" s="3" t="s">
        <v>4647</v>
      </c>
    </row>
    <row r="1264" spans="1:12" ht="33.75" customHeight="1" x14ac:dyDescent="0.25">
      <c r="A1264" s="13" t="s">
        <v>2983</v>
      </c>
      <c r="B1264" s="2" t="s">
        <v>57</v>
      </c>
      <c r="C1264" s="2" t="s">
        <v>2984</v>
      </c>
      <c r="D1264" s="2"/>
      <c r="E1264" s="2" t="s">
        <v>4643</v>
      </c>
      <c r="F1264" s="2" t="s">
        <v>59</v>
      </c>
      <c r="G1264" s="2">
        <v>31.825199999999999</v>
      </c>
      <c r="H1264" s="2" t="s">
        <v>4644</v>
      </c>
      <c r="I1264" s="2" t="s">
        <v>4645</v>
      </c>
      <c r="J1264" s="2" t="s">
        <v>4646</v>
      </c>
      <c r="K1264" s="2">
        <v>21</v>
      </c>
      <c r="L1264" s="2" t="s">
        <v>4647</v>
      </c>
    </row>
    <row r="1265" spans="1:12" ht="33.75" customHeight="1" x14ac:dyDescent="0.25">
      <c r="A1265" s="14" t="s">
        <v>2985</v>
      </c>
      <c r="B1265" s="3" t="s">
        <v>681</v>
      </c>
      <c r="C1265" s="3" t="s">
        <v>2986</v>
      </c>
      <c r="D1265" s="3" t="s">
        <v>4648</v>
      </c>
      <c r="E1265" s="3" t="s">
        <v>4781</v>
      </c>
      <c r="F1265" s="3" t="s">
        <v>683</v>
      </c>
      <c r="G1265" s="3">
        <v>34.743600000000001</v>
      </c>
      <c r="H1265" s="3" t="s">
        <v>4644</v>
      </c>
      <c r="I1265" s="3" t="s">
        <v>4645</v>
      </c>
      <c r="J1265" s="3" t="s">
        <v>4726</v>
      </c>
      <c r="K1265" s="3">
        <v>96</v>
      </c>
      <c r="L1265" s="3" t="s">
        <v>4647</v>
      </c>
    </row>
    <row r="1266" spans="1:12" ht="33.75" customHeight="1" x14ac:dyDescent="0.25">
      <c r="A1266" s="13" t="s">
        <v>2987</v>
      </c>
      <c r="B1266" s="2" t="s">
        <v>1715</v>
      </c>
      <c r="C1266" s="2" t="s">
        <v>2988</v>
      </c>
      <c r="D1266" s="2" t="s">
        <v>4714</v>
      </c>
      <c r="E1266" s="2" t="s">
        <v>4844</v>
      </c>
      <c r="F1266" s="2" t="s">
        <v>1717</v>
      </c>
      <c r="G1266" s="2">
        <v>29.805199999999999</v>
      </c>
      <c r="H1266" s="2" t="s">
        <v>4644</v>
      </c>
      <c r="I1266" s="2" t="s">
        <v>4645</v>
      </c>
      <c r="J1266" s="2" t="s">
        <v>4735</v>
      </c>
      <c r="K1266" s="2">
        <v>57</v>
      </c>
      <c r="L1266" s="2" t="s">
        <v>4647</v>
      </c>
    </row>
    <row r="1267" spans="1:12" ht="33.75" customHeight="1" x14ac:dyDescent="0.25">
      <c r="A1267" s="14" t="s">
        <v>2989</v>
      </c>
      <c r="B1267" s="3" t="s">
        <v>1719</v>
      </c>
      <c r="C1267" s="3" t="s">
        <v>2990</v>
      </c>
      <c r="D1267" s="3" t="s">
        <v>4714</v>
      </c>
      <c r="E1267" s="3" t="s">
        <v>4845</v>
      </c>
      <c r="F1267" s="3" t="s">
        <v>1721</v>
      </c>
      <c r="G1267" s="3">
        <v>29.3232</v>
      </c>
      <c r="H1267" s="3" t="s">
        <v>4644</v>
      </c>
      <c r="I1267" s="3" t="s">
        <v>4645</v>
      </c>
      <c r="J1267" s="3" t="s">
        <v>4695</v>
      </c>
      <c r="K1267" s="3">
        <v>51</v>
      </c>
      <c r="L1267" s="3" t="s">
        <v>4647</v>
      </c>
    </row>
    <row r="1268" spans="1:12" ht="33.75" customHeight="1" x14ac:dyDescent="0.25">
      <c r="A1268" s="13" t="s">
        <v>2991</v>
      </c>
      <c r="B1268" s="2" t="s">
        <v>1723</v>
      </c>
      <c r="C1268" s="2" t="s">
        <v>2992</v>
      </c>
      <c r="D1268" s="2" t="s">
        <v>4714</v>
      </c>
      <c r="E1268" s="2" t="s">
        <v>4846</v>
      </c>
      <c r="F1268" s="2" t="s">
        <v>1725</v>
      </c>
      <c r="G1268" s="2">
        <v>29.0672</v>
      </c>
      <c r="H1268" s="2" t="s">
        <v>4644</v>
      </c>
      <c r="I1268" s="2" t="s">
        <v>4645</v>
      </c>
      <c r="J1268" s="2" t="s">
        <v>4723</v>
      </c>
      <c r="K1268" s="2">
        <v>42</v>
      </c>
      <c r="L1268" s="2" t="s">
        <v>4647</v>
      </c>
    </row>
    <row r="1269" spans="1:12" ht="33.75" customHeight="1" x14ac:dyDescent="0.25">
      <c r="A1269" s="14" t="s">
        <v>2993</v>
      </c>
      <c r="B1269" s="3" t="s">
        <v>1719</v>
      </c>
      <c r="C1269" s="3" t="s">
        <v>2994</v>
      </c>
      <c r="D1269" s="3" t="s">
        <v>4714</v>
      </c>
      <c r="E1269" s="3" t="s">
        <v>4845</v>
      </c>
      <c r="F1269" s="3" t="s">
        <v>1721</v>
      </c>
      <c r="G1269" s="3">
        <v>29.3232</v>
      </c>
      <c r="H1269" s="3" t="s">
        <v>4644</v>
      </c>
      <c r="I1269" s="3" t="s">
        <v>4645</v>
      </c>
      <c r="J1269" s="3" t="s">
        <v>4695</v>
      </c>
      <c r="K1269" s="3">
        <v>51</v>
      </c>
      <c r="L1269" s="3" t="s">
        <v>4647</v>
      </c>
    </row>
    <row r="1270" spans="1:12" ht="33.75" customHeight="1" x14ac:dyDescent="0.25">
      <c r="A1270" s="13" t="s">
        <v>2995</v>
      </c>
      <c r="B1270" s="2" t="s">
        <v>418</v>
      </c>
      <c r="C1270" s="2" t="s">
        <v>2996</v>
      </c>
      <c r="D1270" s="2" t="s">
        <v>4724</v>
      </c>
      <c r="E1270" s="2" t="s">
        <v>4734</v>
      </c>
      <c r="F1270" s="2" t="s">
        <v>420</v>
      </c>
      <c r="G1270" s="2">
        <v>30.655200000000001</v>
      </c>
      <c r="H1270" s="2" t="s">
        <v>4644</v>
      </c>
      <c r="I1270" s="2" t="s">
        <v>4645</v>
      </c>
      <c r="J1270" s="2" t="s">
        <v>4682</v>
      </c>
      <c r="K1270" s="2">
        <v>72</v>
      </c>
      <c r="L1270" s="2" t="s">
        <v>4647</v>
      </c>
    </row>
    <row r="1271" spans="1:12" ht="33.75" customHeight="1" x14ac:dyDescent="0.25">
      <c r="A1271" s="14" t="s">
        <v>2997</v>
      </c>
      <c r="B1271" s="3" t="s">
        <v>588</v>
      </c>
      <c r="C1271" s="3" t="s">
        <v>2998</v>
      </c>
      <c r="D1271" s="3" t="s">
        <v>4724</v>
      </c>
      <c r="E1271" s="3" t="s">
        <v>4761</v>
      </c>
      <c r="F1271" s="3" t="s">
        <v>590</v>
      </c>
      <c r="G1271" s="3">
        <v>29.869199999999999</v>
      </c>
      <c r="H1271" s="3" t="s">
        <v>4644</v>
      </c>
      <c r="I1271" s="3" t="s">
        <v>4645</v>
      </c>
      <c r="J1271" s="3" t="s">
        <v>4684</v>
      </c>
      <c r="K1271" s="3">
        <v>63</v>
      </c>
      <c r="L1271" s="3" t="s">
        <v>4647</v>
      </c>
    </row>
    <row r="1272" spans="1:12" ht="33.75" customHeight="1" x14ac:dyDescent="0.25">
      <c r="A1272" s="13" t="s">
        <v>2999</v>
      </c>
      <c r="B1272" s="2" t="s">
        <v>990</v>
      </c>
      <c r="C1272" s="2" t="s">
        <v>3000</v>
      </c>
      <c r="D1272" s="2" t="s">
        <v>4724</v>
      </c>
      <c r="E1272" s="2" t="s">
        <v>4806</v>
      </c>
      <c r="F1272" s="2" t="s">
        <v>992</v>
      </c>
      <c r="G1272" s="2">
        <v>29.755199999999999</v>
      </c>
      <c r="H1272" s="2" t="s">
        <v>4644</v>
      </c>
      <c r="I1272" s="2" t="s">
        <v>4645</v>
      </c>
      <c r="J1272" s="2" t="s">
        <v>4693</v>
      </c>
      <c r="K1272" s="2">
        <v>54</v>
      </c>
      <c r="L1272" s="2" t="s">
        <v>4647</v>
      </c>
    </row>
    <row r="1273" spans="1:12" ht="33.75" customHeight="1" x14ac:dyDescent="0.25">
      <c r="A1273" s="14" t="s">
        <v>3001</v>
      </c>
      <c r="B1273" s="3" t="s">
        <v>324</v>
      </c>
      <c r="C1273" s="3" t="s">
        <v>3002</v>
      </c>
      <c r="D1273" s="3" t="s">
        <v>4724</v>
      </c>
      <c r="E1273" s="3" t="s">
        <v>4704</v>
      </c>
      <c r="F1273" s="3" t="s">
        <v>326</v>
      </c>
      <c r="G1273" s="3">
        <v>29.719200000000001</v>
      </c>
      <c r="H1273" s="3" t="s">
        <v>4644</v>
      </c>
      <c r="I1273" s="3" t="s">
        <v>4645</v>
      </c>
      <c r="J1273" s="3" t="s">
        <v>4697</v>
      </c>
      <c r="K1273" s="3">
        <v>45</v>
      </c>
      <c r="L1273" s="3" t="s">
        <v>4647</v>
      </c>
    </row>
    <row r="1274" spans="1:12" ht="33.75" customHeight="1" x14ac:dyDescent="0.25">
      <c r="A1274" s="13" t="s">
        <v>3003</v>
      </c>
      <c r="B1274" s="2" t="s">
        <v>1715</v>
      </c>
      <c r="C1274" s="2" t="s">
        <v>3004</v>
      </c>
      <c r="D1274" s="2"/>
      <c r="E1274" s="2" t="s">
        <v>4844</v>
      </c>
      <c r="F1274" s="2" t="s">
        <v>1717</v>
      </c>
      <c r="G1274" s="2">
        <v>29.805199999999999</v>
      </c>
      <c r="H1274" s="2" t="s">
        <v>4644</v>
      </c>
      <c r="I1274" s="2" t="s">
        <v>4645</v>
      </c>
      <c r="J1274" s="2" t="s">
        <v>4735</v>
      </c>
      <c r="K1274" s="2">
        <v>57</v>
      </c>
      <c r="L1274" s="2" t="s">
        <v>4647</v>
      </c>
    </row>
    <row r="1275" spans="1:12" ht="33.75" customHeight="1" x14ac:dyDescent="0.25">
      <c r="A1275" s="14" t="s">
        <v>3005</v>
      </c>
      <c r="B1275" s="3" t="s">
        <v>366</v>
      </c>
      <c r="C1275" s="3" t="s">
        <v>3006</v>
      </c>
      <c r="D1275" s="3"/>
      <c r="E1275" s="3" t="s">
        <v>4718</v>
      </c>
      <c r="F1275" s="3" t="s">
        <v>368</v>
      </c>
      <c r="G1275" s="3">
        <v>32.983400000000003</v>
      </c>
      <c r="H1275" s="3" t="s">
        <v>4644</v>
      </c>
      <c r="I1275" s="3" t="s">
        <v>4645</v>
      </c>
      <c r="J1275" s="3" t="s">
        <v>4719</v>
      </c>
      <c r="K1275" s="3">
        <v>60</v>
      </c>
      <c r="L1275" s="3" t="s">
        <v>4647</v>
      </c>
    </row>
    <row r="1276" spans="1:12" ht="33.75" customHeight="1" x14ac:dyDescent="0.25">
      <c r="A1276" s="13" t="s">
        <v>3007</v>
      </c>
      <c r="B1276" s="2" t="s">
        <v>404</v>
      </c>
      <c r="C1276" s="2" t="s">
        <v>3008</v>
      </c>
      <c r="D1276" s="2" t="s">
        <v>4773</v>
      </c>
      <c r="E1276" s="2" t="s">
        <v>4731</v>
      </c>
      <c r="F1276" s="2" t="s">
        <v>406</v>
      </c>
      <c r="G1276" s="2">
        <v>29.999199999999998</v>
      </c>
      <c r="H1276" s="2" t="s">
        <v>4644</v>
      </c>
      <c r="I1276" s="2" t="s">
        <v>4645</v>
      </c>
      <c r="J1276" s="2" t="s">
        <v>4695</v>
      </c>
      <c r="K1276" s="2">
        <v>63</v>
      </c>
      <c r="L1276" s="2" t="s">
        <v>4647</v>
      </c>
    </row>
    <row r="1277" spans="1:12" ht="33.75" customHeight="1" x14ac:dyDescent="0.25">
      <c r="A1277" s="14" t="s">
        <v>3009</v>
      </c>
      <c r="B1277" s="3" t="s">
        <v>418</v>
      </c>
      <c r="C1277" s="3" t="s">
        <v>3010</v>
      </c>
      <c r="D1277" s="3" t="s">
        <v>4773</v>
      </c>
      <c r="E1277" s="3" t="s">
        <v>4734</v>
      </c>
      <c r="F1277" s="3" t="s">
        <v>420</v>
      </c>
      <c r="G1277" s="3">
        <v>30.655200000000001</v>
      </c>
      <c r="H1277" s="3" t="s">
        <v>4644</v>
      </c>
      <c r="I1277" s="3" t="s">
        <v>4645</v>
      </c>
      <c r="J1277" s="3" t="s">
        <v>4682</v>
      </c>
      <c r="K1277" s="3">
        <v>72</v>
      </c>
      <c r="L1277" s="3" t="s">
        <v>4647</v>
      </c>
    </row>
    <row r="1278" spans="1:12" ht="33.75" customHeight="1" x14ac:dyDescent="0.25">
      <c r="A1278" s="13" t="s">
        <v>3011</v>
      </c>
      <c r="B1278" s="2" t="s">
        <v>57</v>
      </c>
      <c r="C1278" s="2" t="s">
        <v>2190</v>
      </c>
      <c r="D1278" s="2"/>
      <c r="E1278" s="2" t="s">
        <v>4643</v>
      </c>
      <c r="F1278" s="2" t="s">
        <v>59</v>
      </c>
      <c r="G1278" s="2">
        <v>31.825199999999999</v>
      </c>
      <c r="H1278" s="2" t="s">
        <v>4644</v>
      </c>
      <c r="I1278" s="2" t="s">
        <v>4645</v>
      </c>
      <c r="J1278" s="2" t="s">
        <v>4646</v>
      </c>
      <c r="K1278" s="2">
        <v>21</v>
      </c>
      <c r="L1278" s="2" t="s">
        <v>4647</v>
      </c>
    </row>
    <row r="1279" spans="1:12" ht="33.75" customHeight="1" x14ac:dyDescent="0.25">
      <c r="A1279" s="14" t="s">
        <v>3012</v>
      </c>
      <c r="B1279" s="3" t="s">
        <v>588</v>
      </c>
      <c r="C1279" s="3" t="s">
        <v>3013</v>
      </c>
      <c r="D1279" s="3"/>
      <c r="E1279" s="3" t="s">
        <v>4761</v>
      </c>
      <c r="F1279" s="3" t="s">
        <v>590</v>
      </c>
      <c r="G1279" s="3">
        <v>29.869199999999999</v>
      </c>
      <c r="H1279" s="3" t="s">
        <v>4644</v>
      </c>
      <c r="I1279" s="3" t="s">
        <v>4645</v>
      </c>
      <c r="J1279" s="3" t="s">
        <v>4684</v>
      </c>
      <c r="K1279" s="3">
        <v>63</v>
      </c>
      <c r="L1279" s="3" t="s">
        <v>4647</v>
      </c>
    </row>
    <row r="1280" spans="1:12" ht="33.75" customHeight="1" x14ac:dyDescent="0.25">
      <c r="A1280" s="13" t="s">
        <v>3014</v>
      </c>
      <c r="B1280" s="2" t="s">
        <v>2137</v>
      </c>
      <c r="C1280" s="2" t="s">
        <v>3015</v>
      </c>
      <c r="D1280" s="2" t="s">
        <v>4741</v>
      </c>
      <c r="E1280" s="2" t="s">
        <v>4885</v>
      </c>
      <c r="F1280" s="2" t="s">
        <v>2139</v>
      </c>
      <c r="G1280" s="2">
        <v>27.925999999999998</v>
      </c>
      <c r="H1280" s="2" t="s">
        <v>4644</v>
      </c>
      <c r="I1280" s="2" t="s">
        <v>4645</v>
      </c>
      <c r="J1280" s="2" t="s">
        <v>4697</v>
      </c>
      <c r="K1280" s="2">
        <v>36</v>
      </c>
      <c r="L1280" s="2" t="s">
        <v>4647</v>
      </c>
    </row>
    <row r="1281" spans="1:12" ht="33.75" customHeight="1" x14ac:dyDescent="0.25">
      <c r="A1281" s="14" t="s">
        <v>3016</v>
      </c>
      <c r="B1281" s="3" t="s">
        <v>2137</v>
      </c>
      <c r="C1281" s="3" t="s">
        <v>3017</v>
      </c>
      <c r="D1281" s="3" t="s">
        <v>4741</v>
      </c>
      <c r="E1281" s="3" t="s">
        <v>4885</v>
      </c>
      <c r="F1281" s="3" t="s">
        <v>2139</v>
      </c>
      <c r="G1281" s="3">
        <v>27.925999999999998</v>
      </c>
      <c r="H1281" s="3" t="s">
        <v>4644</v>
      </c>
      <c r="I1281" s="3" t="s">
        <v>4645</v>
      </c>
      <c r="J1281" s="3" t="s">
        <v>4697</v>
      </c>
      <c r="K1281" s="3">
        <v>36</v>
      </c>
      <c r="L1281" s="3" t="s">
        <v>4647</v>
      </c>
    </row>
    <row r="1282" spans="1:12" ht="33.75" customHeight="1" x14ac:dyDescent="0.25">
      <c r="A1282" s="13" t="s">
        <v>3018</v>
      </c>
      <c r="B1282" s="2" t="s">
        <v>3019</v>
      </c>
      <c r="C1282" s="2" t="s">
        <v>3020</v>
      </c>
      <c r="D1282" s="2" t="s">
        <v>4741</v>
      </c>
      <c r="E1282" s="2" t="s">
        <v>4949</v>
      </c>
      <c r="F1282" s="2" t="s">
        <v>3021</v>
      </c>
      <c r="G1282" s="2">
        <v>27.925999999999998</v>
      </c>
      <c r="H1282" s="2" t="s">
        <v>4644</v>
      </c>
      <c r="I1282" s="2" t="s">
        <v>4645</v>
      </c>
      <c r="J1282" s="2" t="s">
        <v>4695</v>
      </c>
      <c r="K1282" s="2">
        <v>45</v>
      </c>
      <c r="L1282" s="2" t="s">
        <v>4647</v>
      </c>
    </row>
    <row r="1283" spans="1:12" ht="33.75" customHeight="1" x14ac:dyDescent="0.25">
      <c r="A1283" s="14" t="s">
        <v>3022</v>
      </c>
      <c r="B1283" s="3" t="s">
        <v>3019</v>
      </c>
      <c r="C1283" s="3" t="s">
        <v>3023</v>
      </c>
      <c r="D1283" s="3" t="s">
        <v>4741</v>
      </c>
      <c r="E1283" s="3" t="s">
        <v>4949</v>
      </c>
      <c r="F1283" s="3" t="s">
        <v>3021</v>
      </c>
      <c r="G1283" s="3">
        <v>27.925999999999998</v>
      </c>
      <c r="H1283" s="3" t="s">
        <v>4644</v>
      </c>
      <c r="I1283" s="3" t="s">
        <v>4645</v>
      </c>
      <c r="J1283" s="3" t="s">
        <v>4695</v>
      </c>
      <c r="K1283" s="3">
        <v>45</v>
      </c>
      <c r="L1283" s="3" t="s">
        <v>4647</v>
      </c>
    </row>
    <row r="1284" spans="1:12" ht="33.75" customHeight="1" x14ac:dyDescent="0.25">
      <c r="A1284" s="13" t="s">
        <v>3024</v>
      </c>
      <c r="B1284" s="2" t="s">
        <v>1723</v>
      </c>
      <c r="C1284" s="2" t="s">
        <v>3025</v>
      </c>
      <c r="D1284" s="2"/>
      <c r="E1284" s="2" t="s">
        <v>4846</v>
      </c>
      <c r="F1284" s="2" t="s">
        <v>1725</v>
      </c>
      <c r="G1284" s="2">
        <v>29.0672</v>
      </c>
      <c r="H1284" s="2" t="s">
        <v>4644</v>
      </c>
      <c r="I1284" s="2" t="s">
        <v>4645</v>
      </c>
      <c r="J1284" s="2" t="s">
        <v>4723</v>
      </c>
      <c r="K1284" s="2">
        <v>42</v>
      </c>
      <c r="L1284" s="2" t="s">
        <v>4647</v>
      </c>
    </row>
    <row r="1285" spans="1:12" ht="33.75" customHeight="1" x14ac:dyDescent="0.25">
      <c r="A1285" s="14" t="s">
        <v>3026</v>
      </c>
      <c r="B1285" s="3" t="s">
        <v>418</v>
      </c>
      <c r="C1285" s="3" t="s">
        <v>3027</v>
      </c>
      <c r="D1285" s="3" t="s">
        <v>4661</v>
      </c>
      <c r="E1285" s="3" t="s">
        <v>4734</v>
      </c>
      <c r="F1285" s="3" t="s">
        <v>420</v>
      </c>
      <c r="G1285" s="3">
        <v>30.655200000000001</v>
      </c>
      <c r="H1285" s="3" t="s">
        <v>4644</v>
      </c>
      <c r="I1285" s="3" t="s">
        <v>4645</v>
      </c>
      <c r="J1285" s="3" t="s">
        <v>4735</v>
      </c>
      <c r="K1285" s="3">
        <v>72</v>
      </c>
      <c r="L1285" s="3" t="s">
        <v>4647</v>
      </c>
    </row>
    <row r="1286" spans="1:12" ht="33.75" customHeight="1" x14ac:dyDescent="0.25">
      <c r="A1286" s="13" t="s">
        <v>3028</v>
      </c>
      <c r="B1286" s="2" t="s">
        <v>418</v>
      </c>
      <c r="C1286" s="2" t="s">
        <v>3029</v>
      </c>
      <c r="D1286" s="2"/>
      <c r="E1286" s="2" t="s">
        <v>4734</v>
      </c>
      <c r="F1286" s="2" t="s">
        <v>420</v>
      </c>
      <c r="G1286" s="2">
        <v>30.655200000000001</v>
      </c>
      <c r="H1286" s="2" t="s">
        <v>4644</v>
      </c>
      <c r="I1286" s="2" t="s">
        <v>4645</v>
      </c>
      <c r="J1286" s="2" t="s">
        <v>4735</v>
      </c>
      <c r="K1286" s="2">
        <v>72</v>
      </c>
      <c r="L1286" s="2" t="s">
        <v>4647</v>
      </c>
    </row>
    <row r="1287" spans="1:12" ht="33.75" customHeight="1" x14ac:dyDescent="0.25">
      <c r="A1287" s="14" t="s">
        <v>3030</v>
      </c>
      <c r="B1287" s="3" t="s">
        <v>404</v>
      </c>
      <c r="C1287" s="3" t="s">
        <v>3031</v>
      </c>
      <c r="D1287" s="3"/>
      <c r="E1287" s="3" t="s">
        <v>4731</v>
      </c>
      <c r="F1287" s="3" t="s">
        <v>406</v>
      </c>
      <c r="G1287" s="3">
        <v>29.999199999999998</v>
      </c>
      <c r="H1287" s="3" t="s">
        <v>4644</v>
      </c>
      <c r="I1287" s="3" t="s">
        <v>4645</v>
      </c>
      <c r="J1287" s="3" t="s">
        <v>4695</v>
      </c>
      <c r="K1287" s="3">
        <v>63</v>
      </c>
      <c r="L1287" s="3" t="s">
        <v>4647</v>
      </c>
    </row>
    <row r="1288" spans="1:12" ht="33.75" customHeight="1" x14ac:dyDescent="0.25">
      <c r="A1288" s="13" t="s">
        <v>3032</v>
      </c>
      <c r="B1288" s="2" t="s">
        <v>990</v>
      </c>
      <c r="C1288" s="2" t="s">
        <v>3033</v>
      </c>
      <c r="D1288" s="2"/>
      <c r="E1288" s="2" t="s">
        <v>4806</v>
      </c>
      <c r="F1288" s="2" t="s">
        <v>992</v>
      </c>
      <c r="G1288" s="2">
        <v>29.755199999999999</v>
      </c>
      <c r="H1288" s="2" t="s">
        <v>4644</v>
      </c>
      <c r="I1288" s="2" t="s">
        <v>4645</v>
      </c>
      <c r="J1288" s="2" t="s">
        <v>4723</v>
      </c>
      <c r="K1288" s="2">
        <v>54</v>
      </c>
      <c r="L1288" s="2" t="s">
        <v>4647</v>
      </c>
    </row>
    <row r="1289" spans="1:12" ht="33.75" customHeight="1" x14ac:dyDescent="0.25">
      <c r="A1289" s="14" t="s">
        <v>3034</v>
      </c>
      <c r="B1289" s="3" t="s">
        <v>324</v>
      </c>
      <c r="C1289" s="3" t="s">
        <v>3035</v>
      </c>
      <c r="D1289" s="3"/>
      <c r="E1289" s="3" t="s">
        <v>4704</v>
      </c>
      <c r="F1289" s="3" t="s">
        <v>326</v>
      </c>
      <c r="G1289" s="3">
        <v>29.719200000000001</v>
      </c>
      <c r="H1289" s="3" t="s">
        <v>4644</v>
      </c>
      <c r="I1289" s="3" t="s">
        <v>4645</v>
      </c>
      <c r="J1289" s="3" t="s">
        <v>4697</v>
      </c>
      <c r="K1289" s="3">
        <v>45</v>
      </c>
      <c r="L1289" s="3" t="s">
        <v>4647</v>
      </c>
    </row>
    <row r="1290" spans="1:12" ht="33.75" customHeight="1" x14ac:dyDescent="0.25">
      <c r="A1290" s="13" t="s">
        <v>3036</v>
      </c>
      <c r="B1290" s="2" t="s">
        <v>418</v>
      </c>
      <c r="C1290" s="2" t="s">
        <v>3037</v>
      </c>
      <c r="D1290" s="2"/>
      <c r="E1290" s="2" t="s">
        <v>4734</v>
      </c>
      <c r="F1290" s="2" t="s">
        <v>420</v>
      </c>
      <c r="G1290" s="2">
        <v>30.655200000000001</v>
      </c>
      <c r="H1290" s="2" t="s">
        <v>4644</v>
      </c>
      <c r="I1290" s="2" t="s">
        <v>4645</v>
      </c>
      <c r="J1290" s="2" t="s">
        <v>4735</v>
      </c>
      <c r="K1290" s="2">
        <v>72</v>
      </c>
      <c r="L1290" s="2" t="s">
        <v>4647</v>
      </c>
    </row>
    <row r="1291" spans="1:12" ht="33.75" customHeight="1" x14ac:dyDescent="0.25">
      <c r="A1291" s="14" t="s">
        <v>3038</v>
      </c>
      <c r="B1291" s="3" t="s">
        <v>404</v>
      </c>
      <c r="C1291" s="3" t="s">
        <v>3039</v>
      </c>
      <c r="D1291" s="3"/>
      <c r="E1291" s="3" t="s">
        <v>4731</v>
      </c>
      <c r="F1291" s="3" t="s">
        <v>406</v>
      </c>
      <c r="G1291" s="3">
        <v>29.999199999999998</v>
      </c>
      <c r="H1291" s="3" t="s">
        <v>4644</v>
      </c>
      <c r="I1291" s="3" t="s">
        <v>4645</v>
      </c>
      <c r="J1291" s="3" t="s">
        <v>4695</v>
      </c>
      <c r="K1291" s="3">
        <v>63</v>
      </c>
      <c r="L1291" s="3" t="s">
        <v>4647</v>
      </c>
    </row>
    <row r="1292" spans="1:12" ht="33.75" customHeight="1" x14ac:dyDescent="0.25">
      <c r="A1292" s="13" t="s">
        <v>3040</v>
      </c>
      <c r="B1292" s="2" t="s">
        <v>324</v>
      </c>
      <c r="C1292" s="2" t="s">
        <v>3041</v>
      </c>
      <c r="D1292" s="2"/>
      <c r="E1292" s="2" t="s">
        <v>4704</v>
      </c>
      <c r="F1292" s="2" t="s">
        <v>326</v>
      </c>
      <c r="G1292" s="2">
        <v>29.719200000000001</v>
      </c>
      <c r="H1292" s="2" t="s">
        <v>4644</v>
      </c>
      <c r="I1292" s="2" t="s">
        <v>4645</v>
      </c>
      <c r="J1292" s="2" t="s">
        <v>4697</v>
      </c>
      <c r="K1292" s="2">
        <v>45</v>
      </c>
      <c r="L1292" s="2" t="s">
        <v>4647</v>
      </c>
    </row>
    <row r="1293" spans="1:12" ht="33.75" customHeight="1" x14ac:dyDescent="0.25">
      <c r="A1293" s="14" t="s">
        <v>3042</v>
      </c>
      <c r="B1293" s="3" t="s">
        <v>418</v>
      </c>
      <c r="C1293" s="3" t="s">
        <v>3043</v>
      </c>
      <c r="D1293" s="3"/>
      <c r="E1293" s="3" t="s">
        <v>4734</v>
      </c>
      <c r="F1293" s="3" t="s">
        <v>420</v>
      </c>
      <c r="G1293" s="3">
        <v>30.655200000000001</v>
      </c>
      <c r="H1293" s="3" t="s">
        <v>4644</v>
      </c>
      <c r="I1293" s="3" t="s">
        <v>4645</v>
      </c>
      <c r="J1293" s="3" t="s">
        <v>4735</v>
      </c>
      <c r="K1293" s="3">
        <v>72</v>
      </c>
      <c r="L1293" s="3" t="s">
        <v>4647</v>
      </c>
    </row>
    <row r="1294" spans="1:12" ht="33.75" customHeight="1" x14ac:dyDescent="0.25">
      <c r="A1294" s="13" t="s">
        <v>3044</v>
      </c>
      <c r="B1294" s="2" t="s">
        <v>404</v>
      </c>
      <c r="C1294" s="2" t="s">
        <v>3045</v>
      </c>
      <c r="D1294" s="2"/>
      <c r="E1294" s="2" t="s">
        <v>4731</v>
      </c>
      <c r="F1294" s="2" t="s">
        <v>406</v>
      </c>
      <c r="G1294" s="2">
        <v>29.999199999999998</v>
      </c>
      <c r="H1294" s="2" t="s">
        <v>4644</v>
      </c>
      <c r="I1294" s="2" t="s">
        <v>4645</v>
      </c>
      <c r="J1294" s="2" t="s">
        <v>4695</v>
      </c>
      <c r="K1294" s="2">
        <v>63</v>
      </c>
      <c r="L1294" s="2" t="s">
        <v>4647</v>
      </c>
    </row>
    <row r="1295" spans="1:12" ht="33.75" customHeight="1" x14ac:dyDescent="0.25">
      <c r="A1295" s="14" t="s">
        <v>3046</v>
      </c>
      <c r="B1295" s="3" t="s">
        <v>324</v>
      </c>
      <c r="C1295" s="3" t="s">
        <v>3047</v>
      </c>
      <c r="D1295" s="3"/>
      <c r="E1295" s="3" t="s">
        <v>4704</v>
      </c>
      <c r="F1295" s="3" t="s">
        <v>326</v>
      </c>
      <c r="G1295" s="3">
        <v>29.719200000000001</v>
      </c>
      <c r="H1295" s="3" t="s">
        <v>4644</v>
      </c>
      <c r="I1295" s="3" t="s">
        <v>4645</v>
      </c>
      <c r="J1295" s="3" t="s">
        <v>4697</v>
      </c>
      <c r="K1295" s="3">
        <v>45</v>
      </c>
      <c r="L1295" s="3" t="s">
        <v>4647</v>
      </c>
    </row>
    <row r="1296" spans="1:12" ht="33.75" customHeight="1" x14ac:dyDescent="0.25">
      <c r="A1296" s="13" t="s">
        <v>3048</v>
      </c>
      <c r="B1296" s="2" t="s">
        <v>382</v>
      </c>
      <c r="C1296" s="2" t="s">
        <v>1348</v>
      </c>
      <c r="D1296" s="2"/>
      <c r="E1296" s="2" t="s">
        <v>4725</v>
      </c>
      <c r="F1296" s="2" t="s">
        <v>384</v>
      </c>
      <c r="G1296" s="2">
        <v>35.3172</v>
      </c>
      <c r="H1296" s="2" t="s">
        <v>4644</v>
      </c>
      <c r="I1296" s="2" t="s">
        <v>4645</v>
      </c>
      <c r="J1296" s="2" t="s">
        <v>4726</v>
      </c>
      <c r="K1296" s="2">
        <v>96</v>
      </c>
      <c r="L1296" s="2" t="s">
        <v>4647</v>
      </c>
    </row>
    <row r="1297" spans="1:12" ht="33.75" customHeight="1" x14ac:dyDescent="0.25">
      <c r="A1297" s="14" t="s">
        <v>3049</v>
      </c>
      <c r="B1297" s="3" t="s">
        <v>794</v>
      </c>
      <c r="C1297" s="3" t="s">
        <v>3050</v>
      </c>
      <c r="D1297" s="3"/>
      <c r="E1297" s="3" t="s">
        <v>4791</v>
      </c>
      <c r="F1297" s="3" t="s">
        <v>796</v>
      </c>
      <c r="G1297" s="3">
        <v>34.151200000000003</v>
      </c>
      <c r="H1297" s="3" t="s">
        <v>4644</v>
      </c>
      <c r="I1297" s="3" t="s">
        <v>4645</v>
      </c>
      <c r="J1297" s="3" t="s">
        <v>4770</v>
      </c>
      <c r="K1297" s="3">
        <v>63</v>
      </c>
      <c r="L1297" s="3" t="s">
        <v>4647</v>
      </c>
    </row>
    <row r="1298" spans="1:12" ht="33.75" customHeight="1" x14ac:dyDescent="0.25">
      <c r="A1298" s="13" t="s">
        <v>3051</v>
      </c>
      <c r="B1298" s="2" t="s">
        <v>63</v>
      </c>
      <c r="C1298" s="2" t="s">
        <v>3052</v>
      </c>
      <c r="D1298" s="2" t="s">
        <v>4889</v>
      </c>
      <c r="E1298" s="2" t="s">
        <v>4649</v>
      </c>
      <c r="F1298" s="2" t="s">
        <v>65</v>
      </c>
      <c r="G1298" s="2">
        <v>31.412400000000002</v>
      </c>
      <c r="H1298" s="2" t="s">
        <v>4644</v>
      </c>
      <c r="I1298" s="2" t="s">
        <v>4645</v>
      </c>
      <c r="J1298" s="2" t="s">
        <v>4650</v>
      </c>
      <c r="K1298" s="2">
        <v>30</v>
      </c>
      <c r="L1298" s="2" t="s">
        <v>4647</v>
      </c>
    </row>
    <row r="1299" spans="1:12" ht="33.75" customHeight="1" x14ac:dyDescent="0.25">
      <c r="A1299" s="14" t="s">
        <v>3053</v>
      </c>
      <c r="B1299" s="3" t="s">
        <v>3054</v>
      </c>
      <c r="C1299" s="3" t="s">
        <v>3055</v>
      </c>
      <c r="D1299" s="3" t="s">
        <v>4950</v>
      </c>
      <c r="E1299" s="3" t="s">
        <v>4951</v>
      </c>
      <c r="F1299" s="3" t="s">
        <v>3056</v>
      </c>
      <c r="G1299" s="3">
        <v>29.76</v>
      </c>
      <c r="H1299" s="3" t="s">
        <v>4644</v>
      </c>
      <c r="I1299" s="3" t="s">
        <v>4645</v>
      </c>
      <c r="J1299" s="3" t="s">
        <v>4735</v>
      </c>
      <c r="K1299" s="3">
        <v>48</v>
      </c>
      <c r="L1299" s="3" t="s">
        <v>4647</v>
      </c>
    </row>
    <row r="1300" spans="1:12" ht="33.75" customHeight="1" x14ac:dyDescent="0.25">
      <c r="A1300" s="13" t="s">
        <v>3057</v>
      </c>
      <c r="B1300" s="2" t="s">
        <v>3058</v>
      </c>
      <c r="C1300" s="2" t="s">
        <v>3059</v>
      </c>
      <c r="D1300" s="2" t="s">
        <v>4950</v>
      </c>
      <c r="E1300" s="2" t="s">
        <v>4952</v>
      </c>
      <c r="F1300" s="2" t="s">
        <v>3060</v>
      </c>
      <c r="G1300" s="2">
        <v>29.323</v>
      </c>
      <c r="H1300" s="2" t="s">
        <v>4644</v>
      </c>
      <c r="I1300" s="2" t="s">
        <v>4645</v>
      </c>
      <c r="J1300" s="2" t="s">
        <v>4695</v>
      </c>
      <c r="K1300" s="2">
        <v>42</v>
      </c>
      <c r="L1300" s="2" t="s">
        <v>4647</v>
      </c>
    </row>
    <row r="1301" spans="1:12" ht="33.75" customHeight="1" x14ac:dyDescent="0.25">
      <c r="A1301" s="14" t="s">
        <v>3061</v>
      </c>
      <c r="B1301" s="3" t="s">
        <v>3062</v>
      </c>
      <c r="C1301" s="3" t="s">
        <v>3063</v>
      </c>
      <c r="D1301" s="3" t="s">
        <v>4950</v>
      </c>
      <c r="E1301" s="3" t="s">
        <v>4953</v>
      </c>
      <c r="F1301" s="3" t="s">
        <v>3064</v>
      </c>
      <c r="G1301" s="3">
        <v>29.16</v>
      </c>
      <c r="H1301" s="3" t="s">
        <v>4644</v>
      </c>
      <c r="I1301" s="3" t="s">
        <v>4645</v>
      </c>
      <c r="J1301" s="3" t="s">
        <v>4723</v>
      </c>
      <c r="K1301" s="3">
        <v>36</v>
      </c>
      <c r="L1301" s="3" t="s">
        <v>4647</v>
      </c>
    </row>
    <row r="1302" spans="1:12" ht="33.75" customHeight="1" x14ac:dyDescent="0.25">
      <c r="A1302" s="13" t="s">
        <v>3065</v>
      </c>
      <c r="B1302" s="2" t="s">
        <v>3066</v>
      </c>
      <c r="C1302" s="2" t="s">
        <v>3067</v>
      </c>
      <c r="D1302" s="2" t="s">
        <v>4950</v>
      </c>
      <c r="E1302" s="2" t="s">
        <v>4954</v>
      </c>
      <c r="F1302" s="2" t="s">
        <v>3068</v>
      </c>
      <c r="G1302" s="2">
        <v>29.135999999999999</v>
      </c>
      <c r="H1302" s="2" t="s">
        <v>4644</v>
      </c>
      <c r="I1302" s="2" t="s">
        <v>4645</v>
      </c>
      <c r="J1302" s="2" t="s">
        <v>4697</v>
      </c>
      <c r="K1302" s="2">
        <v>30</v>
      </c>
      <c r="L1302" s="2" t="s">
        <v>4647</v>
      </c>
    </row>
    <row r="1303" spans="1:12" ht="33.75" customHeight="1" x14ac:dyDescent="0.25">
      <c r="A1303" s="14" t="s">
        <v>3069</v>
      </c>
      <c r="B1303" s="3" t="s">
        <v>3070</v>
      </c>
      <c r="C1303" s="3" t="s">
        <v>3071</v>
      </c>
      <c r="D1303" s="3" t="s">
        <v>4950</v>
      </c>
      <c r="E1303" s="3" t="s">
        <v>4955</v>
      </c>
      <c r="F1303" s="3" t="s">
        <v>3072</v>
      </c>
      <c r="G1303" s="3">
        <v>29.056000000000001</v>
      </c>
      <c r="H1303" s="3" t="s">
        <v>4644</v>
      </c>
      <c r="I1303" s="3" t="s">
        <v>4645</v>
      </c>
      <c r="J1303" s="3" t="s">
        <v>4691</v>
      </c>
      <c r="K1303" s="3">
        <v>28</v>
      </c>
      <c r="L1303" s="3" t="s">
        <v>4647</v>
      </c>
    </row>
    <row r="1304" spans="1:12" ht="33.75" customHeight="1" x14ac:dyDescent="0.25">
      <c r="A1304" s="13" t="s">
        <v>3073</v>
      </c>
      <c r="B1304" s="2" t="s">
        <v>324</v>
      </c>
      <c r="C1304" s="2" t="s">
        <v>3074</v>
      </c>
      <c r="D1304" s="2"/>
      <c r="E1304" s="2" t="s">
        <v>4704</v>
      </c>
      <c r="F1304" s="2" t="s">
        <v>326</v>
      </c>
      <c r="G1304" s="2">
        <v>29.719200000000001</v>
      </c>
      <c r="H1304" s="2" t="s">
        <v>4644</v>
      </c>
      <c r="I1304" s="2" t="s">
        <v>4645</v>
      </c>
      <c r="J1304" s="2" t="s">
        <v>4697</v>
      </c>
      <c r="K1304" s="2">
        <v>45</v>
      </c>
      <c r="L1304" s="2" t="s">
        <v>4647</v>
      </c>
    </row>
    <row r="1305" spans="1:12" ht="33.75" customHeight="1" x14ac:dyDescent="0.25">
      <c r="A1305" s="14" t="s">
        <v>3075</v>
      </c>
      <c r="B1305" s="3" t="s">
        <v>519</v>
      </c>
      <c r="C1305" s="3" t="s">
        <v>3076</v>
      </c>
      <c r="D1305" s="3" t="s">
        <v>4956</v>
      </c>
      <c r="E1305" s="3" t="s">
        <v>4750</v>
      </c>
      <c r="F1305" s="3" t="s">
        <v>521</v>
      </c>
      <c r="G1305" s="3">
        <v>30.339120000000001</v>
      </c>
      <c r="H1305" s="3" t="s">
        <v>4644</v>
      </c>
      <c r="I1305" s="3" t="s">
        <v>4645</v>
      </c>
      <c r="J1305" s="3" t="s">
        <v>4744</v>
      </c>
      <c r="K1305" s="3">
        <v>72</v>
      </c>
      <c r="L1305" s="3" t="s">
        <v>4647</v>
      </c>
    </row>
    <row r="1306" spans="1:12" ht="33.75" customHeight="1" x14ac:dyDescent="0.25">
      <c r="A1306" s="13" t="s">
        <v>3077</v>
      </c>
      <c r="B1306" s="2" t="s">
        <v>400</v>
      </c>
      <c r="C1306" s="2" t="s">
        <v>3078</v>
      </c>
      <c r="D1306" s="2" t="s">
        <v>4956</v>
      </c>
      <c r="E1306" s="2" t="s">
        <v>4730</v>
      </c>
      <c r="F1306" s="2" t="s">
        <v>402</v>
      </c>
      <c r="G1306" s="2">
        <v>34.332239999999999</v>
      </c>
      <c r="H1306" s="2" t="s">
        <v>4644</v>
      </c>
      <c r="I1306" s="2" t="s">
        <v>4645</v>
      </c>
      <c r="J1306" s="2" t="s">
        <v>4719</v>
      </c>
      <c r="K1306" s="2">
        <v>72</v>
      </c>
      <c r="L1306" s="2" t="s">
        <v>4647</v>
      </c>
    </row>
    <row r="1307" spans="1:12" ht="33.75" customHeight="1" x14ac:dyDescent="0.25">
      <c r="A1307" s="14" t="s">
        <v>3079</v>
      </c>
      <c r="B1307" s="3" t="s">
        <v>1151</v>
      </c>
      <c r="C1307" s="3" t="s">
        <v>3080</v>
      </c>
      <c r="D1307" s="3" t="s">
        <v>4956</v>
      </c>
      <c r="E1307" s="3" t="s">
        <v>4812</v>
      </c>
      <c r="F1307" s="3" t="s">
        <v>1153</v>
      </c>
      <c r="G1307" s="3">
        <v>30.6372</v>
      </c>
      <c r="H1307" s="3" t="s">
        <v>4644</v>
      </c>
      <c r="I1307" s="3" t="s">
        <v>4645</v>
      </c>
      <c r="J1307" s="3" t="s">
        <v>4723</v>
      </c>
      <c r="K1307" s="3">
        <v>72</v>
      </c>
      <c r="L1307" s="3" t="s">
        <v>4647</v>
      </c>
    </row>
    <row r="1308" spans="1:12" ht="33.75" customHeight="1" x14ac:dyDescent="0.25">
      <c r="A1308" s="13" t="s">
        <v>3081</v>
      </c>
      <c r="B1308" s="2" t="s">
        <v>404</v>
      </c>
      <c r="C1308" s="2" t="s">
        <v>3082</v>
      </c>
      <c r="D1308" s="2" t="s">
        <v>4956</v>
      </c>
      <c r="E1308" s="2" t="s">
        <v>4731</v>
      </c>
      <c r="F1308" s="2" t="s">
        <v>406</v>
      </c>
      <c r="G1308" s="2">
        <v>29.999199999999998</v>
      </c>
      <c r="H1308" s="2" t="s">
        <v>4644</v>
      </c>
      <c r="I1308" s="2" t="s">
        <v>4645</v>
      </c>
      <c r="J1308" s="2" t="s">
        <v>4695</v>
      </c>
      <c r="K1308" s="2">
        <v>63</v>
      </c>
      <c r="L1308" s="2" t="s">
        <v>4647</v>
      </c>
    </row>
    <row r="1309" spans="1:12" ht="33.75" customHeight="1" x14ac:dyDescent="0.25">
      <c r="A1309" s="14" t="s">
        <v>3083</v>
      </c>
      <c r="B1309" s="3" t="s">
        <v>414</v>
      </c>
      <c r="C1309" s="3" t="s">
        <v>3084</v>
      </c>
      <c r="D1309" s="3" t="s">
        <v>4956</v>
      </c>
      <c r="E1309" s="3" t="s">
        <v>4732</v>
      </c>
      <c r="F1309" s="3" t="s">
        <v>416</v>
      </c>
      <c r="G1309" s="3">
        <v>31.0092</v>
      </c>
      <c r="H1309" s="3" t="s">
        <v>4644</v>
      </c>
      <c r="I1309" s="3" t="s">
        <v>4645</v>
      </c>
      <c r="J1309" s="3" t="s">
        <v>4733</v>
      </c>
      <c r="K1309" s="3">
        <v>87</v>
      </c>
      <c r="L1309" s="3" t="s">
        <v>4647</v>
      </c>
    </row>
    <row r="1310" spans="1:12" ht="33.75" customHeight="1" x14ac:dyDescent="0.25">
      <c r="A1310" s="13" t="s">
        <v>3085</v>
      </c>
      <c r="B1310" s="2" t="s">
        <v>794</v>
      </c>
      <c r="C1310" s="2" t="s">
        <v>3086</v>
      </c>
      <c r="D1310" s="2" t="s">
        <v>4956</v>
      </c>
      <c r="E1310" s="2" t="s">
        <v>4791</v>
      </c>
      <c r="F1310" s="2" t="s">
        <v>796</v>
      </c>
      <c r="G1310" s="2">
        <v>34.151200000000003</v>
      </c>
      <c r="H1310" s="2" t="s">
        <v>4644</v>
      </c>
      <c r="I1310" s="2" t="s">
        <v>4645</v>
      </c>
      <c r="J1310" s="2" t="s">
        <v>4770</v>
      </c>
      <c r="K1310" s="2">
        <v>63</v>
      </c>
      <c r="L1310" s="2" t="s">
        <v>4647</v>
      </c>
    </row>
    <row r="1311" spans="1:12" ht="33.75" customHeight="1" x14ac:dyDescent="0.25">
      <c r="A1311" s="14" t="s">
        <v>3087</v>
      </c>
      <c r="B1311" s="3" t="s">
        <v>382</v>
      </c>
      <c r="C1311" s="3" t="s">
        <v>3088</v>
      </c>
      <c r="D1311" s="3" t="s">
        <v>4956</v>
      </c>
      <c r="E1311" s="3" t="s">
        <v>4725</v>
      </c>
      <c r="F1311" s="3" t="s">
        <v>384</v>
      </c>
      <c r="G1311" s="3">
        <v>35.3172</v>
      </c>
      <c r="H1311" s="3" t="s">
        <v>4644</v>
      </c>
      <c r="I1311" s="3" t="s">
        <v>4645</v>
      </c>
      <c r="J1311" s="3" t="s">
        <v>4726</v>
      </c>
      <c r="K1311" s="3">
        <v>96</v>
      </c>
      <c r="L1311" s="3" t="s">
        <v>4647</v>
      </c>
    </row>
    <row r="1312" spans="1:12" ht="33.75" customHeight="1" x14ac:dyDescent="0.25">
      <c r="A1312" s="13" t="s">
        <v>3089</v>
      </c>
      <c r="B1312" s="2" t="s">
        <v>794</v>
      </c>
      <c r="C1312" s="2" t="s">
        <v>1048</v>
      </c>
      <c r="D1312" s="2"/>
      <c r="E1312" s="2" t="s">
        <v>4791</v>
      </c>
      <c r="F1312" s="2" t="s">
        <v>796</v>
      </c>
      <c r="G1312" s="2">
        <v>34.151200000000003</v>
      </c>
      <c r="H1312" s="2" t="s">
        <v>4644</v>
      </c>
      <c r="I1312" s="2" t="s">
        <v>4645</v>
      </c>
      <c r="J1312" s="2" t="s">
        <v>4770</v>
      </c>
      <c r="K1312" s="2">
        <v>63</v>
      </c>
      <c r="L1312" s="2" t="s">
        <v>4647</v>
      </c>
    </row>
    <row r="1313" spans="1:12" ht="33.75" customHeight="1" x14ac:dyDescent="0.25">
      <c r="A1313" s="14" t="s">
        <v>3090</v>
      </c>
      <c r="B1313" s="3" t="s">
        <v>418</v>
      </c>
      <c r="C1313" s="3" t="s">
        <v>1747</v>
      </c>
      <c r="D1313" s="3" t="s">
        <v>4773</v>
      </c>
      <c r="E1313" s="3" t="s">
        <v>4734</v>
      </c>
      <c r="F1313" s="3" t="s">
        <v>420</v>
      </c>
      <c r="G1313" s="3">
        <v>30.655200000000001</v>
      </c>
      <c r="H1313" s="3" t="s">
        <v>4644</v>
      </c>
      <c r="I1313" s="3" t="s">
        <v>4645</v>
      </c>
      <c r="J1313" s="3" t="s">
        <v>4735</v>
      </c>
      <c r="K1313" s="3">
        <v>72</v>
      </c>
      <c r="L1313" s="3" t="s">
        <v>4647</v>
      </c>
    </row>
    <row r="1314" spans="1:12" ht="33.75" customHeight="1" x14ac:dyDescent="0.25">
      <c r="A1314" s="13" t="s">
        <v>3091</v>
      </c>
      <c r="B1314" s="2" t="s">
        <v>386</v>
      </c>
      <c r="C1314" s="2" t="s">
        <v>3092</v>
      </c>
      <c r="D1314" s="2" t="s">
        <v>4957</v>
      </c>
      <c r="E1314" s="2" t="s">
        <v>4727</v>
      </c>
      <c r="F1314" s="2" t="s">
        <v>388</v>
      </c>
      <c r="G1314" s="2">
        <v>33.783799999999999</v>
      </c>
      <c r="H1314" s="2" t="s">
        <v>4644</v>
      </c>
      <c r="I1314" s="2" t="s">
        <v>4645</v>
      </c>
      <c r="J1314" s="2" t="s">
        <v>4721</v>
      </c>
      <c r="K1314" s="2">
        <v>54</v>
      </c>
      <c r="L1314" s="2" t="s">
        <v>4647</v>
      </c>
    </row>
    <row r="1315" spans="1:12" ht="33.75" customHeight="1" x14ac:dyDescent="0.25">
      <c r="A1315" s="14" t="s">
        <v>3093</v>
      </c>
      <c r="B1315" s="3" t="s">
        <v>418</v>
      </c>
      <c r="C1315" s="3" t="s">
        <v>3094</v>
      </c>
      <c r="D1315" s="3" t="s">
        <v>4957</v>
      </c>
      <c r="E1315" s="3" t="s">
        <v>4734</v>
      </c>
      <c r="F1315" s="3" t="s">
        <v>420</v>
      </c>
      <c r="G1315" s="3">
        <v>30.655200000000001</v>
      </c>
      <c r="H1315" s="3" t="s">
        <v>4644</v>
      </c>
      <c r="I1315" s="3" t="s">
        <v>4645</v>
      </c>
      <c r="J1315" s="3" t="s">
        <v>4735</v>
      </c>
      <c r="K1315" s="3">
        <v>72</v>
      </c>
      <c r="L1315" s="3" t="s">
        <v>4647</v>
      </c>
    </row>
    <row r="1316" spans="1:12" ht="33.75" customHeight="1" x14ac:dyDescent="0.25">
      <c r="A1316" s="13" t="s">
        <v>3095</v>
      </c>
      <c r="B1316" s="2" t="s">
        <v>418</v>
      </c>
      <c r="C1316" s="2" t="s">
        <v>3096</v>
      </c>
      <c r="D1316" s="2" t="s">
        <v>4957</v>
      </c>
      <c r="E1316" s="2" t="s">
        <v>4734</v>
      </c>
      <c r="F1316" s="2" t="s">
        <v>420</v>
      </c>
      <c r="G1316" s="2">
        <v>30.655200000000001</v>
      </c>
      <c r="H1316" s="2" t="s">
        <v>4644</v>
      </c>
      <c r="I1316" s="2" t="s">
        <v>4645</v>
      </c>
      <c r="J1316" s="2" t="s">
        <v>4735</v>
      </c>
      <c r="K1316" s="2">
        <v>72</v>
      </c>
      <c r="L1316" s="2" t="s">
        <v>4647</v>
      </c>
    </row>
    <row r="1317" spans="1:12" ht="33.75" customHeight="1" x14ac:dyDescent="0.25">
      <c r="A1317" s="14" t="s">
        <v>3097</v>
      </c>
      <c r="B1317" s="3" t="s">
        <v>382</v>
      </c>
      <c r="C1317" s="3" t="s">
        <v>3098</v>
      </c>
      <c r="D1317" s="3" t="s">
        <v>4957</v>
      </c>
      <c r="E1317" s="3" t="s">
        <v>4725</v>
      </c>
      <c r="F1317" s="3" t="s">
        <v>384</v>
      </c>
      <c r="G1317" s="3">
        <v>35.3172</v>
      </c>
      <c r="H1317" s="3" t="s">
        <v>4644</v>
      </c>
      <c r="I1317" s="3" t="s">
        <v>4645</v>
      </c>
      <c r="J1317" s="3" t="s">
        <v>4726</v>
      </c>
      <c r="K1317" s="3">
        <v>96</v>
      </c>
      <c r="L1317" s="3" t="s">
        <v>4647</v>
      </c>
    </row>
    <row r="1318" spans="1:12" ht="33.75" customHeight="1" x14ac:dyDescent="0.25">
      <c r="A1318" s="13" t="s">
        <v>3099</v>
      </c>
      <c r="B1318" s="2" t="s">
        <v>404</v>
      </c>
      <c r="C1318" s="2" t="s">
        <v>3100</v>
      </c>
      <c r="D1318" s="2" t="s">
        <v>4957</v>
      </c>
      <c r="E1318" s="2" t="s">
        <v>4731</v>
      </c>
      <c r="F1318" s="2" t="s">
        <v>406</v>
      </c>
      <c r="G1318" s="2">
        <v>29.999199999999998</v>
      </c>
      <c r="H1318" s="2" t="s">
        <v>4644</v>
      </c>
      <c r="I1318" s="2" t="s">
        <v>4645</v>
      </c>
      <c r="J1318" s="2" t="s">
        <v>4695</v>
      </c>
      <c r="K1318" s="2">
        <v>63</v>
      </c>
      <c r="L1318" s="2" t="s">
        <v>4647</v>
      </c>
    </row>
    <row r="1319" spans="1:12" ht="33.75" customHeight="1" x14ac:dyDescent="0.25">
      <c r="A1319" s="14" t="s">
        <v>3101</v>
      </c>
      <c r="B1319" s="3" t="s">
        <v>57</v>
      </c>
      <c r="C1319" s="3" t="s">
        <v>3102</v>
      </c>
      <c r="D1319" s="3" t="s">
        <v>4957</v>
      </c>
      <c r="E1319" s="3" t="s">
        <v>4643</v>
      </c>
      <c r="F1319" s="3" t="s">
        <v>59</v>
      </c>
      <c r="G1319" s="3">
        <v>31.825199999999999</v>
      </c>
      <c r="H1319" s="3" t="s">
        <v>4644</v>
      </c>
      <c r="I1319" s="3" t="s">
        <v>4645</v>
      </c>
      <c r="J1319" s="3" t="s">
        <v>4646</v>
      </c>
      <c r="K1319" s="3">
        <v>21</v>
      </c>
      <c r="L1319" s="3" t="s">
        <v>4647</v>
      </c>
    </row>
    <row r="1320" spans="1:12" ht="33.75" customHeight="1" x14ac:dyDescent="0.25">
      <c r="A1320" s="13" t="s">
        <v>3103</v>
      </c>
      <c r="B1320" s="2" t="s">
        <v>324</v>
      </c>
      <c r="C1320" s="2" t="s">
        <v>3104</v>
      </c>
      <c r="D1320" s="2" t="s">
        <v>4957</v>
      </c>
      <c r="E1320" s="2" t="s">
        <v>4704</v>
      </c>
      <c r="F1320" s="2" t="s">
        <v>326</v>
      </c>
      <c r="G1320" s="2">
        <v>29.719200000000001</v>
      </c>
      <c r="H1320" s="2" t="s">
        <v>4644</v>
      </c>
      <c r="I1320" s="2" t="s">
        <v>4645</v>
      </c>
      <c r="J1320" s="2" t="s">
        <v>4697</v>
      </c>
      <c r="K1320" s="2">
        <v>45</v>
      </c>
      <c r="L1320" s="2" t="s">
        <v>4647</v>
      </c>
    </row>
    <row r="1321" spans="1:12" ht="33.75" customHeight="1" x14ac:dyDescent="0.25">
      <c r="A1321" s="14" t="s">
        <v>3105</v>
      </c>
      <c r="B1321" s="3" t="s">
        <v>400</v>
      </c>
      <c r="C1321" s="3" t="s">
        <v>3106</v>
      </c>
      <c r="D1321" s="3" t="s">
        <v>4957</v>
      </c>
      <c r="E1321" s="3" t="s">
        <v>4730</v>
      </c>
      <c r="F1321" s="3" t="s">
        <v>402</v>
      </c>
      <c r="G1321" s="3">
        <v>34.332239999999999</v>
      </c>
      <c r="H1321" s="3" t="s">
        <v>4644</v>
      </c>
      <c r="I1321" s="3" t="s">
        <v>4645</v>
      </c>
      <c r="J1321" s="3" t="s">
        <v>4719</v>
      </c>
      <c r="K1321" s="3">
        <v>72</v>
      </c>
      <c r="L1321" s="3" t="s">
        <v>4647</v>
      </c>
    </row>
    <row r="1322" spans="1:12" ht="33.75" customHeight="1" x14ac:dyDescent="0.25">
      <c r="A1322" s="13" t="s">
        <v>3107</v>
      </c>
      <c r="B1322" s="2" t="s">
        <v>89</v>
      </c>
      <c r="C1322" s="2" t="s">
        <v>3108</v>
      </c>
      <c r="D1322" s="2"/>
      <c r="E1322" s="2" t="s">
        <v>4659</v>
      </c>
      <c r="F1322" s="2" t="s">
        <v>91</v>
      </c>
      <c r="G1322" s="2">
        <v>32.389200000000002</v>
      </c>
      <c r="H1322" s="2" t="s">
        <v>4644</v>
      </c>
      <c r="I1322" s="2" t="s">
        <v>4645</v>
      </c>
      <c r="J1322" s="2" t="s">
        <v>4652</v>
      </c>
      <c r="K1322" s="2">
        <v>30</v>
      </c>
      <c r="L1322" s="2" t="s">
        <v>4647</v>
      </c>
    </row>
    <row r="1323" spans="1:12" ht="33.75" customHeight="1" x14ac:dyDescent="0.25">
      <c r="A1323" s="14" t="s">
        <v>3109</v>
      </c>
      <c r="B1323" s="3" t="s">
        <v>73</v>
      </c>
      <c r="C1323" s="3" t="s">
        <v>3110</v>
      </c>
      <c r="D1323" s="3" t="s">
        <v>4958</v>
      </c>
      <c r="E1323" s="3" t="s">
        <v>4653</v>
      </c>
      <c r="F1323" s="3" t="s">
        <v>75</v>
      </c>
      <c r="G1323" s="3">
        <v>31.538399999999999</v>
      </c>
      <c r="H1323" s="3" t="s">
        <v>4644</v>
      </c>
      <c r="I1323" s="3" t="s">
        <v>4645</v>
      </c>
      <c r="J1323" s="3" t="s">
        <v>4646</v>
      </c>
      <c r="K1323" s="3">
        <v>21</v>
      </c>
      <c r="L1323" s="3" t="s">
        <v>4647</v>
      </c>
    </row>
    <row r="1324" spans="1:12" ht="33.75" customHeight="1" x14ac:dyDescent="0.25">
      <c r="A1324" s="13" t="s">
        <v>3111</v>
      </c>
      <c r="B1324" s="2" t="s">
        <v>826</v>
      </c>
      <c r="C1324" s="2" t="s">
        <v>3112</v>
      </c>
      <c r="D1324" s="2" t="s">
        <v>4741</v>
      </c>
      <c r="E1324" s="2" t="s">
        <v>4796</v>
      </c>
      <c r="F1324" s="2" t="s">
        <v>828</v>
      </c>
      <c r="G1324" s="2">
        <v>28.366</v>
      </c>
      <c r="H1324" s="2" t="s">
        <v>4644</v>
      </c>
      <c r="I1324" s="2" t="s">
        <v>4645</v>
      </c>
      <c r="J1324" s="2" t="s">
        <v>4733</v>
      </c>
      <c r="K1324" s="2">
        <v>72</v>
      </c>
      <c r="L1324" s="2" t="s">
        <v>4647</v>
      </c>
    </row>
    <row r="1325" spans="1:12" ht="33.75" customHeight="1" x14ac:dyDescent="0.25">
      <c r="A1325" s="14" t="s">
        <v>3113</v>
      </c>
      <c r="B1325" s="3" t="s">
        <v>2141</v>
      </c>
      <c r="C1325" s="3" t="s">
        <v>3114</v>
      </c>
      <c r="D1325" s="3" t="s">
        <v>4741</v>
      </c>
      <c r="E1325" s="3" t="s">
        <v>4886</v>
      </c>
      <c r="F1325" s="3" t="s">
        <v>2143</v>
      </c>
      <c r="G1325" s="3">
        <v>30.326000000000001</v>
      </c>
      <c r="H1325" s="3" t="s">
        <v>4644</v>
      </c>
      <c r="I1325" s="3" t="s">
        <v>4645</v>
      </c>
      <c r="J1325" s="3" t="s">
        <v>4719</v>
      </c>
      <c r="K1325" s="3">
        <v>63</v>
      </c>
      <c r="L1325" s="3" t="s">
        <v>4647</v>
      </c>
    </row>
    <row r="1326" spans="1:12" ht="33.75" customHeight="1" x14ac:dyDescent="0.25">
      <c r="A1326" s="13" t="s">
        <v>3115</v>
      </c>
      <c r="B1326" s="2" t="s">
        <v>390</v>
      </c>
      <c r="C1326" s="2" t="s">
        <v>3116</v>
      </c>
      <c r="D1326" s="2" t="s">
        <v>4648</v>
      </c>
      <c r="E1326" s="2" t="s">
        <v>4728</v>
      </c>
      <c r="F1326" s="2" t="s">
        <v>392</v>
      </c>
      <c r="G1326" s="2">
        <v>35.367600000000003</v>
      </c>
      <c r="H1326" s="2" t="s">
        <v>4644</v>
      </c>
      <c r="I1326" s="2" t="s">
        <v>4645</v>
      </c>
      <c r="J1326" s="2" t="s">
        <v>4729</v>
      </c>
      <c r="K1326" s="2">
        <v>120</v>
      </c>
      <c r="L1326" s="2" t="s">
        <v>4647</v>
      </c>
    </row>
    <row r="1327" spans="1:12" ht="33.75" customHeight="1" x14ac:dyDescent="0.25">
      <c r="A1327" s="14" t="s">
        <v>3117</v>
      </c>
      <c r="B1327" s="3" t="s">
        <v>418</v>
      </c>
      <c r="C1327" s="3" t="s">
        <v>3118</v>
      </c>
      <c r="D1327" s="3" t="s">
        <v>4648</v>
      </c>
      <c r="E1327" s="3" t="s">
        <v>4734</v>
      </c>
      <c r="F1327" s="3" t="s">
        <v>420</v>
      </c>
      <c r="G1327" s="3">
        <v>30.655200000000001</v>
      </c>
      <c r="H1327" s="3" t="s">
        <v>4644</v>
      </c>
      <c r="I1327" s="3" t="s">
        <v>4645</v>
      </c>
      <c r="J1327" s="3" t="s">
        <v>4735</v>
      </c>
      <c r="K1327" s="3">
        <v>72</v>
      </c>
      <c r="L1327" s="3" t="s">
        <v>4647</v>
      </c>
    </row>
    <row r="1328" spans="1:12" ht="33.75" customHeight="1" x14ac:dyDescent="0.25">
      <c r="A1328" s="13" t="s">
        <v>3119</v>
      </c>
      <c r="B1328" s="2" t="s">
        <v>324</v>
      </c>
      <c r="C1328" s="2" t="s">
        <v>3120</v>
      </c>
      <c r="D1328" s="2" t="s">
        <v>4648</v>
      </c>
      <c r="E1328" s="2" t="s">
        <v>4704</v>
      </c>
      <c r="F1328" s="2" t="s">
        <v>326</v>
      </c>
      <c r="G1328" s="2">
        <v>29.719200000000001</v>
      </c>
      <c r="H1328" s="2" t="s">
        <v>4644</v>
      </c>
      <c r="I1328" s="2" t="s">
        <v>4645</v>
      </c>
      <c r="J1328" s="2" t="s">
        <v>4697</v>
      </c>
      <c r="K1328" s="2">
        <v>45</v>
      </c>
      <c r="L1328" s="2" t="s">
        <v>4647</v>
      </c>
    </row>
    <row r="1329" spans="1:12" ht="33.75" customHeight="1" x14ac:dyDescent="0.25">
      <c r="A1329" s="14" t="s">
        <v>3121</v>
      </c>
      <c r="B1329" s="3" t="s">
        <v>404</v>
      </c>
      <c r="C1329" s="3" t="s">
        <v>3122</v>
      </c>
      <c r="D1329" s="3" t="s">
        <v>4648</v>
      </c>
      <c r="E1329" s="3" t="s">
        <v>4731</v>
      </c>
      <c r="F1329" s="3" t="s">
        <v>406</v>
      </c>
      <c r="G1329" s="3">
        <v>29.999199999999998</v>
      </c>
      <c r="H1329" s="3" t="s">
        <v>4644</v>
      </c>
      <c r="I1329" s="3" t="s">
        <v>4645</v>
      </c>
      <c r="J1329" s="3" t="s">
        <v>4695</v>
      </c>
      <c r="K1329" s="3">
        <v>63</v>
      </c>
      <c r="L1329" s="3" t="s">
        <v>4647</v>
      </c>
    </row>
    <row r="1330" spans="1:12" ht="33.75" customHeight="1" x14ac:dyDescent="0.25">
      <c r="A1330" s="13" t="s">
        <v>3123</v>
      </c>
      <c r="B1330" s="2" t="s">
        <v>3124</v>
      </c>
      <c r="C1330" s="2" t="s">
        <v>3125</v>
      </c>
      <c r="D1330" s="2" t="s">
        <v>4648</v>
      </c>
      <c r="E1330" s="2" t="s">
        <v>4959</v>
      </c>
      <c r="F1330" s="2" t="s">
        <v>3126</v>
      </c>
      <c r="G1330" s="2">
        <v>34.070599999999999</v>
      </c>
      <c r="H1330" s="2" t="s">
        <v>4644</v>
      </c>
      <c r="I1330" s="2" t="s">
        <v>4645</v>
      </c>
      <c r="J1330" s="2" t="s">
        <v>4721</v>
      </c>
      <c r="K1330" s="2">
        <v>54</v>
      </c>
      <c r="L1330" s="2" t="s">
        <v>4647</v>
      </c>
    </row>
    <row r="1331" spans="1:12" ht="33.75" customHeight="1" x14ac:dyDescent="0.25">
      <c r="A1331" s="14" t="s">
        <v>3127</v>
      </c>
      <c r="B1331" s="3" t="s">
        <v>3128</v>
      </c>
      <c r="C1331" s="3" t="s">
        <v>3129</v>
      </c>
      <c r="D1331" s="3" t="s">
        <v>4648</v>
      </c>
      <c r="E1331" s="3" t="s">
        <v>4960</v>
      </c>
      <c r="F1331" s="3" t="s">
        <v>3130</v>
      </c>
      <c r="G1331" s="3">
        <v>31.986000000000001</v>
      </c>
      <c r="H1331" s="3" t="s">
        <v>4644</v>
      </c>
      <c r="I1331" s="3" t="s">
        <v>4645</v>
      </c>
      <c r="J1331" s="3" t="s">
        <v>4650</v>
      </c>
      <c r="K1331" s="3">
        <v>30</v>
      </c>
      <c r="L1331" s="3" t="s">
        <v>4647</v>
      </c>
    </row>
    <row r="1332" spans="1:12" ht="33.75" customHeight="1" x14ac:dyDescent="0.25">
      <c r="A1332" s="13" t="s">
        <v>3131</v>
      </c>
      <c r="B1332" s="2" t="s">
        <v>3132</v>
      </c>
      <c r="C1332" s="2" t="s">
        <v>3133</v>
      </c>
      <c r="D1332" s="2" t="s">
        <v>4648</v>
      </c>
      <c r="E1332" s="2" t="s">
        <v>4961</v>
      </c>
      <c r="F1332" s="2" t="s">
        <v>3134</v>
      </c>
      <c r="G1332" s="2">
        <v>32.676000000000002</v>
      </c>
      <c r="H1332" s="2" t="s">
        <v>4644</v>
      </c>
      <c r="I1332" s="2" t="s">
        <v>4645</v>
      </c>
      <c r="J1332" s="2" t="s">
        <v>4652</v>
      </c>
      <c r="K1332" s="2">
        <v>30</v>
      </c>
      <c r="L1332" s="2" t="s">
        <v>4647</v>
      </c>
    </row>
    <row r="1333" spans="1:12" ht="33.75" customHeight="1" x14ac:dyDescent="0.25">
      <c r="A1333" s="14" t="s">
        <v>3135</v>
      </c>
      <c r="B1333" s="3" t="s">
        <v>120</v>
      </c>
      <c r="C1333" s="3" t="s">
        <v>3136</v>
      </c>
      <c r="D1333" s="3"/>
      <c r="E1333" s="3" t="s">
        <v>4662</v>
      </c>
      <c r="F1333" s="3" t="s">
        <v>122</v>
      </c>
      <c r="G1333" s="3">
        <v>33.349800000000002</v>
      </c>
      <c r="H1333" s="3" t="s">
        <v>4644</v>
      </c>
      <c r="I1333" s="3" t="s">
        <v>4645</v>
      </c>
      <c r="J1333" s="3" t="s">
        <v>4656</v>
      </c>
      <c r="K1333" s="3">
        <v>45</v>
      </c>
      <c r="L1333" s="3" t="s">
        <v>4647</v>
      </c>
    </row>
    <row r="1334" spans="1:12" ht="33.75" customHeight="1" x14ac:dyDescent="0.25">
      <c r="A1334" s="13" t="s">
        <v>3137</v>
      </c>
      <c r="B1334" s="2" t="s">
        <v>681</v>
      </c>
      <c r="C1334" s="2" t="s">
        <v>3138</v>
      </c>
      <c r="D1334" s="2" t="s">
        <v>4648</v>
      </c>
      <c r="E1334" s="2" t="s">
        <v>4781</v>
      </c>
      <c r="F1334" s="2" t="s">
        <v>683</v>
      </c>
      <c r="G1334" s="2">
        <v>34.743600000000001</v>
      </c>
      <c r="H1334" s="2" t="s">
        <v>4644</v>
      </c>
      <c r="I1334" s="2" t="s">
        <v>4645</v>
      </c>
      <c r="J1334" s="2" t="s">
        <v>4726</v>
      </c>
      <c r="K1334" s="2">
        <v>96</v>
      </c>
      <c r="L1334" s="2" t="s">
        <v>4647</v>
      </c>
    </row>
    <row r="1335" spans="1:12" ht="33.75" customHeight="1" x14ac:dyDescent="0.25">
      <c r="A1335" s="14" t="s">
        <v>3139</v>
      </c>
      <c r="B1335" s="3" t="s">
        <v>2141</v>
      </c>
      <c r="C1335" s="3" t="s">
        <v>3140</v>
      </c>
      <c r="D1335" s="3" t="s">
        <v>4741</v>
      </c>
      <c r="E1335" s="3" t="s">
        <v>4886</v>
      </c>
      <c r="F1335" s="3" t="s">
        <v>2143</v>
      </c>
      <c r="G1335" s="3">
        <v>30.326000000000001</v>
      </c>
      <c r="H1335" s="3" t="s">
        <v>4644</v>
      </c>
      <c r="I1335" s="3" t="s">
        <v>4645</v>
      </c>
      <c r="J1335" s="3" t="s">
        <v>4719</v>
      </c>
      <c r="K1335" s="3">
        <v>63</v>
      </c>
      <c r="L1335" s="3" t="s">
        <v>4647</v>
      </c>
    </row>
    <row r="1336" spans="1:12" ht="33.75" customHeight="1" x14ac:dyDescent="0.25">
      <c r="A1336" s="13" t="s">
        <v>3141</v>
      </c>
      <c r="B1336" s="2" t="s">
        <v>2153</v>
      </c>
      <c r="C1336" s="2" t="s">
        <v>3142</v>
      </c>
      <c r="D1336" s="2" t="s">
        <v>4741</v>
      </c>
      <c r="E1336" s="2" t="s">
        <v>4888</v>
      </c>
      <c r="F1336" s="2" t="s">
        <v>2155</v>
      </c>
      <c r="G1336" s="2">
        <v>30.326000000000001</v>
      </c>
      <c r="H1336" s="2" t="s">
        <v>4644</v>
      </c>
      <c r="I1336" s="2" t="s">
        <v>4645</v>
      </c>
      <c r="J1336" s="2" t="s">
        <v>4721</v>
      </c>
      <c r="K1336" s="2">
        <v>48</v>
      </c>
      <c r="L1336" s="2" t="s">
        <v>4647</v>
      </c>
    </row>
    <row r="1337" spans="1:12" ht="33.75" customHeight="1" x14ac:dyDescent="0.25">
      <c r="A1337" s="14" t="s">
        <v>3143</v>
      </c>
      <c r="B1337" s="3" t="s">
        <v>77</v>
      </c>
      <c r="C1337" s="3" t="s">
        <v>3144</v>
      </c>
      <c r="D1337" s="3" t="s">
        <v>4962</v>
      </c>
      <c r="E1337" s="3" t="s">
        <v>4654</v>
      </c>
      <c r="F1337" s="3" t="s">
        <v>79</v>
      </c>
      <c r="G1337" s="3">
        <v>31.699200000000001</v>
      </c>
      <c r="H1337" s="3" t="s">
        <v>4644</v>
      </c>
      <c r="I1337" s="3" t="s">
        <v>4645</v>
      </c>
      <c r="J1337" s="3" t="s">
        <v>4650</v>
      </c>
      <c r="K1337" s="3">
        <v>30</v>
      </c>
      <c r="L1337" s="3" t="s">
        <v>4647</v>
      </c>
    </row>
    <row r="1338" spans="1:12" ht="33.75" customHeight="1" x14ac:dyDescent="0.25">
      <c r="A1338" s="13" t="s">
        <v>3145</v>
      </c>
      <c r="B1338" s="2" t="s">
        <v>89</v>
      </c>
      <c r="C1338" s="2" t="s">
        <v>3146</v>
      </c>
      <c r="D1338" s="2" t="s">
        <v>4962</v>
      </c>
      <c r="E1338" s="2" t="s">
        <v>4659</v>
      </c>
      <c r="F1338" s="2" t="s">
        <v>91</v>
      </c>
      <c r="G1338" s="2">
        <v>32.389200000000002</v>
      </c>
      <c r="H1338" s="2" t="s">
        <v>4644</v>
      </c>
      <c r="I1338" s="2" t="s">
        <v>4645</v>
      </c>
      <c r="J1338" s="2" t="s">
        <v>4652</v>
      </c>
      <c r="K1338" s="2">
        <v>30</v>
      </c>
      <c r="L1338" s="2" t="s">
        <v>4647</v>
      </c>
    </row>
    <row r="1339" spans="1:12" ht="33.75" customHeight="1" x14ac:dyDescent="0.25">
      <c r="A1339" s="14" t="s">
        <v>3147</v>
      </c>
      <c r="B1339" s="3" t="s">
        <v>1294</v>
      </c>
      <c r="C1339" s="3" t="s">
        <v>3148</v>
      </c>
      <c r="D1339" s="3" t="s">
        <v>4741</v>
      </c>
      <c r="E1339" s="3" t="s">
        <v>4819</v>
      </c>
      <c r="F1339" s="3" t="s">
        <v>1296</v>
      </c>
      <c r="G1339" s="3">
        <v>27.925999999999998</v>
      </c>
      <c r="H1339" s="3" t="s">
        <v>4644</v>
      </c>
      <c r="I1339" s="3" t="s">
        <v>4645</v>
      </c>
      <c r="J1339" s="3" t="s">
        <v>4735</v>
      </c>
      <c r="K1339" s="3">
        <v>57</v>
      </c>
      <c r="L1339" s="3" t="s">
        <v>4647</v>
      </c>
    </row>
    <row r="1340" spans="1:12" ht="33.75" customHeight="1" x14ac:dyDescent="0.25">
      <c r="A1340" s="13" t="s">
        <v>3149</v>
      </c>
      <c r="B1340" s="2" t="s">
        <v>3019</v>
      </c>
      <c r="C1340" s="2" t="s">
        <v>3150</v>
      </c>
      <c r="D1340" s="2" t="s">
        <v>4741</v>
      </c>
      <c r="E1340" s="2" t="s">
        <v>4949</v>
      </c>
      <c r="F1340" s="2" t="s">
        <v>3021</v>
      </c>
      <c r="G1340" s="2">
        <v>27.925999999999998</v>
      </c>
      <c r="H1340" s="2" t="s">
        <v>4644</v>
      </c>
      <c r="I1340" s="2" t="s">
        <v>4645</v>
      </c>
      <c r="J1340" s="2" t="s">
        <v>4695</v>
      </c>
      <c r="K1340" s="2">
        <v>45</v>
      </c>
      <c r="L1340" s="2" t="s">
        <v>4647</v>
      </c>
    </row>
    <row r="1341" spans="1:12" ht="33.75" customHeight="1" x14ac:dyDescent="0.25">
      <c r="A1341" s="14" t="s">
        <v>3151</v>
      </c>
      <c r="B1341" s="3" t="s">
        <v>2401</v>
      </c>
      <c r="C1341" s="3" t="s">
        <v>3152</v>
      </c>
      <c r="D1341" s="3"/>
      <c r="E1341" s="3" t="s">
        <v>4913</v>
      </c>
      <c r="F1341" s="3" t="s">
        <v>2403</v>
      </c>
      <c r="G1341" s="3">
        <v>29.949200000000001</v>
      </c>
      <c r="H1341" s="3" t="s">
        <v>4644</v>
      </c>
      <c r="I1341" s="3" t="s">
        <v>4645</v>
      </c>
      <c r="J1341" s="3" t="s">
        <v>4708</v>
      </c>
      <c r="K1341" s="3">
        <v>96</v>
      </c>
      <c r="L1341" s="3" t="s">
        <v>4647</v>
      </c>
    </row>
    <row r="1342" spans="1:12" ht="33.75" customHeight="1" x14ac:dyDescent="0.25">
      <c r="A1342" s="13" t="s">
        <v>3153</v>
      </c>
      <c r="B1342" s="2" t="s">
        <v>226</v>
      </c>
      <c r="C1342" s="2" t="s">
        <v>3154</v>
      </c>
      <c r="D1342" s="2"/>
      <c r="E1342" s="2" t="s">
        <v>4688</v>
      </c>
      <c r="F1342" s="2" t="s">
        <v>228</v>
      </c>
      <c r="G1342" s="2">
        <v>30.6632</v>
      </c>
      <c r="H1342" s="2" t="s">
        <v>4644</v>
      </c>
      <c r="I1342" s="2" t="s">
        <v>4645</v>
      </c>
      <c r="J1342" s="2" t="s">
        <v>4650</v>
      </c>
      <c r="K1342" s="2">
        <v>24</v>
      </c>
      <c r="L1342" s="2" t="s">
        <v>4647</v>
      </c>
    </row>
    <row r="1343" spans="1:12" ht="33.75" customHeight="1" x14ac:dyDescent="0.25">
      <c r="A1343" s="14" t="s">
        <v>3155</v>
      </c>
      <c r="B1343" s="3" t="s">
        <v>156</v>
      </c>
      <c r="C1343" s="3" t="s">
        <v>3156</v>
      </c>
      <c r="D1343" s="3"/>
      <c r="E1343" s="3" t="s">
        <v>4670</v>
      </c>
      <c r="F1343" s="3" t="s">
        <v>158</v>
      </c>
      <c r="G1343" s="3">
        <v>30.987200000000001</v>
      </c>
      <c r="H1343" s="3" t="s">
        <v>4644</v>
      </c>
      <c r="I1343" s="3" t="s">
        <v>4645</v>
      </c>
      <c r="J1343" s="3" t="s">
        <v>4646</v>
      </c>
      <c r="K1343" s="3">
        <v>18</v>
      </c>
      <c r="L1343" s="3" t="s">
        <v>4647</v>
      </c>
    </row>
    <row r="1344" spans="1:12" ht="33.75" customHeight="1" x14ac:dyDescent="0.25">
      <c r="A1344" s="13" t="s">
        <v>3157</v>
      </c>
      <c r="B1344" s="2" t="s">
        <v>57</v>
      </c>
      <c r="C1344" s="2" t="s">
        <v>3158</v>
      </c>
      <c r="D1344" s="2" t="s">
        <v>4893</v>
      </c>
      <c r="E1344" s="2" t="s">
        <v>4643</v>
      </c>
      <c r="F1344" s="2" t="s">
        <v>59</v>
      </c>
      <c r="G1344" s="2">
        <v>31.825199999999999</v>
      </c>
      <c r="H1344" s="2" t="s">
        <v>4644</v>
      </c>
      <c r="I1344" s="2" t="s">
        <v>4645</v>
      </c>
      <c r="J1344" s="2" t="s">
        <v>4646</v>
      </c>
      <c r="K1344" s="2">
        <v>21</v>
      </c>
      <c r="L1344" s="2" t="s">
        <v>4647</v>
      </c>
    </row>
    <row r="1345" spans="1:12" ht="33.75" customHeight="1" x14ac:dyDescent="0.25">
      <c r="A1345" s="14" t="s">
        <v>3159</v>
      </c>
      <c r="B1345" s="3" t="s">
        <v>418</v>
      </c>
      <c r="C1345" s="3" t="s">
        <v>3160</v>
      </c>
      <c r="D1345" s="3" t="s">
        <v>4893</v>
      </c>
      <c r="E1345" s="3" t="s">
        <v>4734</v>
      </c>
      <c r="F1345" s="3" t="s">
        <v>420</v>
      </c>
      <c r="G1345" s="3">
        <v>30.655200000000001</v>
      </c>
      <c r="H1345" s="3" t="s">
        <v>4644</v>
      </c>
      <c r="I1345" s="3" t="s">
        <v>4645</v>
      </c>
      <c r="J1345" s="3" t="s">
        <v>4735</v>
      </c>
      <c r="K1345" s="3">
        <v>72</v>
      </c>
      <c r="L1345" s="3" t="s">
        <v>4647</v>
      </c>
    </row>
    <row r="1346" spans="1:12" ht="33.75" customHeight="1" x14ac:dyDescent="0.25">
      <c r="A1346" s="13" t="s">
        <v>3161</v>
      </c>
      <c r="B1346" s="2" t="s">
        <v>414</v>
      </c>
      <c r="C1346" s="2" t="s">
        <v>3162</v>
      </c>
      <c r="D1346" s="2" t="s">
        <v>4893</v>
      </c>
      <c r="E1346" s="2" t="s">
        <v>4732</v>
      </c>
      <c r="F1346" s="2" t="s">
        <v>416</v>
      </c>
      <c r="G1346" s="2">
        <v>31.0092</v>
      </c>
      <c r="H1346" s="2" t="s">
        <v>4644</v>
      </c>
      <c r="I1346" s="2" t="s">
        <v>4645</v>
      </c>
      <c r="J1346" s="2" t="s">
        <v>4733</v>
      </c>
      <c r="K1346" s="2">
        <v>87</v>
      </c>
      <c r="L1346" s="2" t="s">
        <v>4647</v>
      </c>
    </row>
    <row r="1347" spans="1:12" ht="33.75" customHeight="1" x14ac:dyDescent="0.25">
      <c r="A1347" s="14" t="s">
        <v>3163</v>
      </c>
      <c r="B1347" s="3" t="s">
        <v>418</v>
      </c>
      <c r="C1347" s="3" t="s">
        <v>3164</v>
      </c>
      <c r="D1347" s="3" t="s">
        <v>4893</v>
      </c>
      <c r="E1347" s="3" t="s">
        <v>4734</v>
      </c>
      <c r="F1347" s="3" t="s">
        <v>420</v>
      </c>
      <c r="G1347" s="3">
        <v>30.655200000000001</v>
      </c>
      <c r="H1347" s="3" t="s">
        <v>4644</v>
      </c>
      <c r="I1347" s="3" t="s">
        <v>4645</v>
      </c>
      <c r="J1347" s="3" t="s">
        <v>4682</v>
      </c>
      <c r="K1347" s="3">
        <v>72</v>
      </c>
      <c r="L1347" s="3" t="s">
        <v>4647</v>
      </c>
    </row>
    <row r="1348" spans="1:12" ht="33.75" customHeight="1" x14ac:dyDescent="0.25">
      <c r="A1348" s="13" t="s">
        <v>3165</v>
      </c>
      <c r="B1348" s="2" t="s">
        <v>588</v>
      </c>
      <c r="C1348" s="2" t="s">
        <v>3166</v>
      </c>
      <c r="D1348" s="2" t="s">
        <v>4893</v>
      </c>
      <c r="E1348" s="2" t="s">
        <v>4761</v>
      </c>
      <c r="F1348" s="2" t="s">
        <v>590</v>
      </c>
      <c r="G1348" s="2">
        <v>29.869199999999999</v>
      </c>
      <c r="H1348" s="2" t="s">
        <v>4644</v>
      </c>
      <c r="I1348" s="2" t="s">
        <v>4645</v>
      </c>
      <c r="J1348" s="2" t="s">
        <v>4684</v>
      </c>
      <c r="K1348" s="2">
        <v>63</v>
      </c>
      <c r="L1348" s="2" t="s">
        <v>4647</v>
      </c>
    </row>
    <row r="1349" spans="1:12" ht="33.75" customHeight="1" x14ac:dyDescent="0.25">
      <c r="A1349" s="14" t="s">
        <v>3167</v>
      </c>
      <c r="B1349" s="3" t="s">
        <v>3168</v>
      </c>
      <c r="C1349" s="3" t="s">
        <v>3169</v>
      </c>
      <c r="D1349" s="3" t="s">
        <v>4648</v>
      </c>
      <c r="E1349" s="3" t="s">
        <v>4963</v>
      </c>
      <c r="F1349" s="3" t="s">
        <v>3170</v>
      </c>
      <c r="G1349" s="3">
        <v>48.606000000000002</v>
      </c>
      <c r="H1349" s="3" t="s">
        <v>4644</v>
      </c>
      <c r="I1349" s="3" t="s">
        <v>4645</v>
      </c>
      <c r="J1349" s="3" t="s">
        <v>4733</v>
      </c>
      <c r="K1349" s="3">
        <v>80</v>
      </c>
      <c r="L1349" s="3" t="s">
        <v>4647</v>
      </c>
    </row>
    <row r="1350" spans="1:12" ht="33.75" customHeight="1" x14ac:dyDescent="0.25">
      <c r="A1350" s="13" t="s">
        <v>3171</v>
      </c>
      <c r="B1350" s="2" t="s">
        <v>3172</v>
      </c>
      <c r="C1350" s="2" t="s">
        <v>3173</v>
      </c>
      <c r="D1350" s="2" t="s">
        <v>4648</v>
      </c>
      <c r="E1350" s="2" t="s">
        <v>4964</v>
      </c>
      <c r="F1350" s="2" t="s">
        <v>3174</v>
      </c>
      <c r="G1350" s="2">
        <v>46.765999999999998</v>
      </c>
      <c r="H1350" s="2" t="s">
        <v>4644</v>
      </c>
      <c r="I1350" s="2" t="s">
        <v>4645</v>
      </c>
      <c r="J1350" s="2" t="s">
        <v>4733</v>
      </c>
      <c r="K1350" s="2">
        <v>72</v>
      </c>
      <c r="L1350" s="2" t="s">
        <v>4647</v>
      </c>
    </row>
    <row r="1351" spans="1:12" ht="33.75" customHeight="1" x14ac:dyDescent="0.25">
      <c r="A1351" s="14" t="s">
        <v>3175</v>
      </c>
      <c r="B1351" s="3" t="s">
        <v>1884</v>
      </c>
      <c r="C1351" s="3" t="s">
        <v>3176</v>
      </c>
      <c r="D1351" s="3" t="s">
        <v>4741</v>
      </c>
      <c r="E1351" s="3" t="s">
        <v>4871</v>
      </c>
      <c r="F1351" s="3" t="s">
        <v>1886</v>
      </c>
      <c r="G1351" s="3">
        <v>27.639199999999999</v>
      </c>
      <c r="H1351" s="3" t="s">
        <v>4644</v>
      </c>
      <c r="I1351" s="3" t="s">
        <v>4645</v>
      </c>
      <c r="J1351" s="3" t="s">
        <v>4723</v>
      </c>
      <c r="K1351" s="3">
        <v>42</v>
      </c>
      <c r="L1351" s="3" t="s">
        <v>4647</v>
      </c>
    </row>
    <row r="1352" spans="1:12" ht="33.75" customHeight="1" x14ac:dyDescent="0.25">
      <c r="A1352" s="13" t="s">
        <v>3177</v>
      </c>
      <c r="B1352" s="2" t="s">
        <v>1294</v>
      </c>
      <c r="C1352" s="2" t="s">
        <v>3178</v>
      </c>
      <c r="D1352" s="2" t="s">
        <v>4741</v>
      </c>
      <c r="E1352" s="2" t="s">
        <v>4819</v>
      </c>
      <c r="F1352" s="2" t="s">
        <v>1296</v>
      </c>
      <c r="G1352" s="2">
        <v>27.925999999999998</v>
      </c>
      <c r="H1352" s="2" t="s">
        <v>4644</v>
      </c>
      <c r="I1352" s="2" t="s">
        <v>4645</v>
      </c>
      <c r="J1352" s="2" t="s">
        <v>4735</v>
      </c>
      <c r="K1352" s="2">
        <v>57</v>
      </c>
      <c r="L1352" s="2" t="s">
        <v>4647</v>
      </c>
    </row>
    <row r="1353" spans="1:12" ht="33.75" customHeight="1" x14ac:dyDescent="0.25">
      <c r="A1353" s="14" t="s">
        <v>3179</v>
      </c>
      <c r="B1353" s="3" t="s">
        <v>1781</v>
      </c>
      <c r="C1353" s="3" t="s">
        <v>3180</v>
      </c>
      <c r="D1353" s="3" t="s">
        <v>4741</v>
      </c>
      <c r="E1353" s="3" t="s">
        <v>4858</v>
      </c>
      <c r="F1353" s="3" t="s">
        <v>1783</v>
      </c>
      <c r="G1353" s="3">
        <v>27.925999999999998</v>
      </c>
      <c r="H1353" s="3" t="s">
        <v>4644</v>
      </c>
      <c r="I1353" s="3" t="s">
        <v>4645</v>
      </c>
      <c r="J1353" s="3" t="s">
        <v>4695</v>
      </c>
      <c r="K1353" s="3">
        <v>48</v>
      </c>
      <c r="L1353" s="3" t="s">
        <v>4647</v>
      </c>
    </row>
    <row r="1354" spans="1:12" ht="33.75" customHeight="1" x14ac:dyDescent="0.25">
      <c r="A1354" s="13" t="s">
        <v>3181</v>
      </c>
      <c r="B1354" s="2" t="s">
        <v>878</v>
      </c>
      <c r="C1354" s="2" t="s">
        <v>3182</v>
      </c>
      <c r="D1354" s="2" t="s">
        <v>4741</v>
      </c>
      <c r="E1354" s="2" t="s">
        <v>4802</v>
      </c>
      <c r="F1354" s="2" t="s">
        <v>880</v>
      </c>
      <c r="G1354" s="2">
        <v>27.925999999999998</v>
      </c>
      <c r="H1354" s="2" t="s">
        <v>4644</v>
      </c>
      <c r="I1354" s="2" t="s">
        <v>4645</v>
      </c>
      <c r="J1354" s="2" t="s">
        <v>4684</v>
      </c>
      <c r="K1354" s="2">
        <v>51</v>
      </c>
      <c r="L1354" s="2" t="s">
        <v>4647</v>
      </c>
    </row>
    <row r="1355" spans="1:12" ht="33.75" customHeight="1" x14ac:dyDescent="0.25">
      <c r="A1355" s="14" t="s">
        <v>3183</v>
      </c>
      <c r="B1355" s="3" t="s">
        <v>830</v>
      </c>
      <c r="C1355" s="3" t="s">
        <v>3184</v>
      </c>
      <c r="D1355" s="3" t="s">
        <v>4741</v>
      </c>
      <c r="E1355" s="3" t="s">
        <v>4797</v>
      </c>
      <c r="F1355" s="3" t="s">
        <v>832</v>
      </c>
      <c r="G1355" s="3">
        <v>27.925999999999998</v>
      </c>
      <c r="H1355" s="3" t="s">
        <v>4644</v>
      </c>
      <c r="I1355" s="3" t="s">
        <v>4645</v>
      </c>
      <c r="J1355" s="3" t="s">
        <v>4723</v>
      </c>
      <c r="K1355" s="3">
        <v>42</v>
      </c>
      <c r="L1355" s="3" t="s">
        <v>4647</v>
      </c>
    </row>
    <row r="1356" spans="1:12" ht="33.75" customHeight="1" x14ac:dyDescent="0.25">
      <c r="A1356" s="13" t="s">
        <v>3185</v>
      </c>
      <c r="B1356" s="2" t="s">
        <v>830</v>
      </c>
      <c r="C1356" s="2" t="s">
        <v>3186</v>
      </c>
      <c r="D1356" s="2" t="s">
        <v>4741</v>
      </c>
      <c r="E1356" s="2" t="s">
        <v>4797</v>
      </c>
      <c r="F1356" s="2" t="s">
        <v>832</v>
      </c>
      <c r="G1356" s="2">
        <v>27.925999999999998</v>
      </c>
      <c r="H1356" s="2" t="s">
        <v>4644</v>
      </c>
      <c r="I1356" s="2" t="s">
        <v>4645</v>
      </c>
      <c r="J1356" s="2" t="s">
        <v>4723</v>
      </c>
      <c r="K1356" s="2">
        <v>42</v>
      </c>
      <c r="L1356" s="2" t="s">
        <v>4647</v>
      </c>
    </row>
    <row r="1357" spans="1:12" ht="33.75" customHeight="1" x14ac:dyDescent="0.25">
      <c r="A1357" s="14" t="s">
        <v>3187</v>
      </c>
      <c r="B1357" s="3" t="s">
        <v>2137</v>
      </c>
      <c r="C1357" s="3" t="s">
        <v>3188</v>
      </c>
      <c r="D1357" s="3" t="s">
        <v>4741</v>
      </c>
      <c r="E1357" s="3" t="s">
        <v>4885</v>
      </c>
      <c r="F1357" s="3" t="s">
        <v>2139</v>
      </c>
      <c r="G1357" s="3">
        <v>27.925999999999998</v>
      </c>
      <c r="H1357" s="3" t="s">
        <v>4644</v>
      </c>
      <c r="I1357" s="3" t="s">
        <v>4645</v>
      </c>
      <c r="J1357" s="3" t="s">
        <v>4697</v>
      </c>
      <c r="K1357" s="3">
        <v>36</v>
      </c>
      <c r="L1357" s="3" t="s">
        <v>4647</v>
      </c>
    </row>
    <row r="1358" spans="1:12" ht="33.75" customHeight="1" x14ac:dyDescent="0.25">
      <c r="A1358" s="13" t="s">
        <v>3189</v>
      </c>
      <c r="B1358" s="2" t="s">
        <v>1294</v>
      </c>
      <c r="C1358" s="2" t="s">
        <v>3190</v>
      </c>
      <c r="D1358" s="2" t="s">
        <v>4741</v>
      </c>
      <c r="E1358" s="2" t="s">
        <v>4819</v>
      </c>
      <c r="F1358" s="2" t="s">
        <v>1296</v>
      </c>
      <c r="G1358" s="2">
        <v>27.925999999999998</v>
      </c>
      <c r="H1358" s="2" t="s">
        <v>4644</v>
      </c>
      <c r="I1358" s="2" t="s">
        <v>4645</v>
      </c>
      <c r="J1358" s="2" t="s">
        <v>4735</v>
      </c>
      <c r="K1358" s="2">
        <v>57</v>
      </c>
      <c r="L1358" s="2" t="s">
        <v>4647</v>
      </c>
    </row>
    <row r="1359" spans="1:12" ht="33.75" customHeight="1" x14ac:dyDescent="0.25">
      <c r="A1359" s="14" t="s">
        <v>3191</v>
      </c>
      <c r="B1359" s="3" t="s">
        <v>1294</v>
      </c>
      <c r="C1359" s="3" t="s">
        <v>3192</v>
      </c>
      <c r="D1359" s="3" t="s">
        <v>4741</v>
      </c>
      <c r="E1359" s="3" t="s">
        <v>4819</v>
      </c>
      <c r="F1359" s="3" t="s">
        <v>1296</v>
      </c>
      <c r="G1359" s="3">
        <v>27.925999999999998</v>
      </c>
      <c r="H1359" s="3" t="s">
        <v>4644</v>
      </c>
      <c r="I1359" s="3" t="s">
        <v>4645</v>
      </c>
      <c r="J1359" s="3" t="s">
        <v>4735</v>
      </c>
      <c r="K1359" s="3">
        <v>57</v>
      </c>
      <c r="L1359" s="3" t="s">
        <v>4647</v>
      </c>
    </row>
    <row r="1360" spans="1:12" ht="33.75" customHeight="1" x14ac:dyDescent="0.25">
      <c r="A1360" s="13" t="s">
        <v>3193</v>
      </c>
      <c r="B1360" s="2" t="s">
        <v>1781</v>
      </c>
      <c r="C1360" s="2" t="s">
        <v>3194</v>
      </c>
      <c r="D1360" s="2" t="s">
        <v>4741</v>
      </c>
      <c r="E1360" s="2" t="s">
        <v>4858</v>
      </c>
      <c r="F1360" s="2" t="s">
        <v>1783</v>
      </c>
      <c r="G1360" s="2">
        <v>27.925999999999998</v>
      </c>
      <c r="H1360" s="2" t="s">
        <v>4644</v>
      </c>
      <c r="I1360" s="2" t="s">
        <v>4645</v>
      </c>
      <c r="J1360" s="2" t="s">
        <v>4695</v>
      </c>
      <c r="K1360" s="2">
        <v>48</v>
      </c>
      <c r="L1360" s="2" t="s">
        <v>4647</v>
      </c>
    </row>
    <row r="1361" spans="1:12" ht="33.75" customHeight="1" x14ac:dyDescent="0.25">
      <c r="A1361" s="14" t="s">
        <v>3195</v>
      </c>
      <c r="B1361" s="3" t="s">
        <v>1781</v>
      </c>
      <c r="C1361" s="3" t="s">
        <v>3196</v>
      </c>
      <c r="D1361" s="3" t="s">
        <v>4741</v>
      </c>
      <c r="E1361" s="3" t="s">
        <v>4858</v>
      </c>
      <c r="F1361" s="3" t="s">
        <v>1783</v>
      </c>
      <c r="G1361" s="3">
        <v>27.925999999999998</v>
      </c>
      <c r="H1361" s="3" t="s">
        <v>4644</v>
      </c>
      <c r="I1361" s="3" t="s">
        <v>4645</v>
      </c>
      <c r="J1361" s="3" t="s">
        <v>4695</v>
      </c>
      <c r="K1361" s="3">
        <v>48</v>
      </c>
      <c r="L1361" s="3" t="s">
        <v>4647</v>
      </c>
    </row>
    <row r="1362" spans="1:12" ht="33.75" customHeight="1" x14ac:dyDescent="0.25">
      <c r="A1362" s="13" t="s">
        <v>3197</v>
      </c>
      <c r="B1362" s="2" t="s">
        <v>878</v>
      </c>
      <c r="C1362" s="2" t="s">
        <v>3198</v>
      </c>
      <c r="D1362" s="2" t="s">
        <v>4741</v>
      </c>
      <c r="E1362" s="2" t="s">
        <v>4802</v>
      </c>
      <c r="F1362" s="2" t="s">
        <v>880</v>
      </c>
      <c r="G1362" s="2">
        <v>27.925999999999998</v>
      </c>
      <c r="H1362" s="2" t="s">
        <v>4644</v>
      </c>
      <c r="I1362" s="2" t="s">
        <v>4645</v>
      </c>
      <c r="J1362" s="2" t="s">
        <v>4684</v>
      </c>
      <c r="K1362" s="2">
        <v>51</v>
      </c>
      <c r="L1362" s="2" t="s">
        <v>4647</v>
      </c>
    </row>
    <row r="1363" spans="1:12" ht="33.75" customHeight="1" x14ac:dyDescent="0.25">
      <c r="A1363" s="14" t="s">
        <v>3199</v>
      </c>
      <c r="B1363" s="3" t="s">
        <v>878</v>
      </c>
      <c r="C1363" s="3" t="s">
        <v>3200</v>
      </c>
      <c r="D1363" s="3" t="s">
        <v>4741</v>
      </c>
      <c r="E1363" s="3" t="s">
        <v>4802</v>
      </c>
      <c r="F1363" s="3" t="s">
        <v>880</v>
      </c>
      <c r="G1363" s="3">
        <v>27.925999999999998</v>
      </c>
      <c r="H1363" s="3" t="s">
        <v>4644</v>
      </c>
      <c r="I1363" s="3" t="s">
        <v>4645</v>
      </c>
      <c r="J1363" s="3" t="s">
        <v>4684</v>
      </c>
      <c r="K1363" s="3">
        <v>51</v>
      </c>
      <c r="L1363" s="3" t="s">
        <v>4647</v>
      </c>
    </row>
    <row r="1364" spans="1:12" ht="33.75" customHeight="1" x14ac:dyDescent="0.25">
      <c r="A1364" s="13" t="s">
        <v>3201</v>
      </c>
      <c r="B1364" s="2" t="s">
        <v>830</v>
      </c>
      <c r="C1364" s="2" t="s">
        <v>3202</v>
      </c>
      <c r="D1364" s="2" t="s">
        <v>4741</v>
      </c>
      <c r="E1364" s="2" t="s">
        <v>4797</v>
      </c>
      <c r="F1364" s="2" t="s">
        <v>832</v>
      </c>
      <c r="G1364" s="2">
        <v>27.925999999999998</v>
      </c>
      <c r="H1364" s="2" t="s">
        <v>4644</v>
      </c>
      <c r="I1364" s="2" t="s">
        <v>4645</v>
      </c>
      <c r="J1364" s="2" t="s">
        <v>4723</v>
      </c>
      <c r="K1364" s="2">
        <v>42</v>
      </c>
      <c r="L1364" s="2" t="s">
        <v>4647</v>
      </c>
    </row>
    <row r="1365" spans="1:12" ht="33.75" customHeight="1" x14ac:dyDescent="0.25">
      <c r="A1365" s="14" t="s">
        <v>3203</v>
      </c>
      <c r="B1365" s="3" t="s">
        <v>2137</v>
      </c>
      <c r="C1365" s="3" t="s">
        <v>3204</v>
      </c>
      <c r="D1365" s="3" t="s">
        <v>4741</v>
      </c>
      <c r="E1365" s="3" t="s">
        <v>4885</v>
      </c>
      <c r="F1365" s="3" t="s">
        <v>2139</v>
      </c>
      <c r="G1365" s="3">
        <v>27.925999999999998</v>
      </c>
      <c r="H1365" s="3" t="s">
        <v>4644</v>
      </c>
      <c r="I1365" s="3" t="s">
        <v>4645</v>
      </c>
      <c r="J1365" s="3" t="s">
        <v>4697</v>
      </c>
      <c r="K1365" s="3">
        <v>36</v>
      </c>
      <c r="L1365" s="3" t="s">
        <v>4647</v>
      </c>
    </row>
    <row r="1366" spans="1:12" ht="33.75" customHeight="1" x14ac:dyDescent="0.25">
      <c r="A1366" s="13" t="s">
        <v>3205</v>
      </c>
      <c r="B1366" s="2" t="s">
        <v>2137</v>
      </c>
      <c r="C1366" s="2" t="s">
        <v>3206</v>
      </c>
      <c r="D1366" s="2" t="s">
        <v>4741</v>
      </c>
      <c r="E1366" s="2" t="s">
        <v>4885</v>
      </c>
      <c r="F1366" s="2" t="s">
        <v>2139</v>
      </c>
      <c r="G1366" s="2">
        <v>27.925999999999998</v>
      </c>
      <c r="H1366" s="2" t="s">
        <v>4644</v>
      </c>
      <c r="I1366" s="2" t="s">
        <v>4645</v>
      </c>
      <c r="J1366" s="2" t="s">
        <v>4697</v>
      </c>
      <c r="K1366" s="2">
        <v>36</v>
      </c>
      <c r="L1366" s="2" t="s">
        <v>4647</v>
      </c>
    </row>
    <row r="1367" spans="1:12" ht="33.75" customHeight="1" x14ac:dyDescent="0.25">
      <c r="A1367" s="14" t="s">
        <v>3207</v>
      </c>
      <c r="B1367" s="3" t="s">
        <v>1294</v>
      </c>
      <c r="C1367" s="3" t="s">
        <v>3208</v>
      </c>
      <c r="D1367" s="3" t="s">
        <v>4741</v>
      </c>
      <c r="E1367" s="3" t="s">
        <v>4819</v>
      </c>
      <c r="F1367" s="3" t="s">
        <v>1296</v>
      </c>
      <c r="G1367" s="3">
        <v>27.925999999999998</v>
      </c>
      <c r="H1367" s="3" t="s">
        <v>4644</v>
      </c>
      <c r="I1367" s="3" t="s">
        <v>4645</v>
      </c>
      <c r="J1367" s="3" t="s">
        <v>4735</v>
      </c>
      <c r="K1367" s="3">
        <v>57</v>
      </c>
      <c r="L1367" s="3" t="s">
        <v>4647</v>
      </c>
    </row>
    <row r="1368" spans="1:12" ht="33.75" customHeight="1" x14ac:dyDescent="0.25">
      <c r="A1368" s="13" t="s">
        <v>3209</v>
      </c>
      <c r="B1368" s="2" t="s">
        <v>878</v>
      </c>
      <c r="C1368" s="2" t="s">
        <v>3210</v>
      </c>
      <c r="D1368" s="2" t="s">
        <v>4741</v>
      </c>
      <c r="E1368" s="2" t="s">
        <v>4802</v>
      </c>
      <c r="F1368" s="2" t="s">
        <v>880</v>
      </c>
      <c r="G1368" s="2">
        <v>27.925999999999998</v>
      </c>
      <c r="H1368" s="2" t="s">
        <v>4644</v>
      </c>
      <c r="I1368" s="2" t="s">
        <v>4645</v>
      </c>
      <c r="J1368" s="2" t="s">
        <v>4695</v>
      </c>
      <c r="K1368" s="2">
        <v>51</v>
      </c>
      <c r="L1368" s="2" t="s">
        <v>4647</v>
      </c>
    </row>
    <row r="1369" spans="1:12" ht="33.75" customHeight="1" x14ac:dyDescent="0.25">
      <c r="A1369" s="14" t="s">
        <v>3211</v>
      </c>
      <c r="B1369" s="3" t="s">
        <v>878</v>
      </c>
      <c r="C1369" s="3" t="s">
        <v>3212</v>
      </c>
      <c r="D1369" s="3" t="s">
        <v>4741</v>
      </c>
      <c r="E1369" s="3" t="s">
        <v>4802</v>
      </c>
      <c r="F1369" s="3" t="s">
        <v>880</v>
      </c>
      <c r="G1369" s="3">
        <v>27.925999999999998</v>
      </c>
      <c r="H1369" s="3" t="s">
        <v>4644</v>
      </c>
      <c r="I1369" s="3" t="s">
        <v>4645</v>
      </c>
      <c r="J1369" s="3" t="s">
        <v>4684</v>
      </c>
      <c r="K1369" s="3">
        <v>51</v>
      </c>
      <c r="L1369" s="3" t="s">
        <v>4647</v>
      </c>
    </row>
    <row r="1370" spans="1:12" ht="33.75" customHeight="1" x14ac:dyDescent="0.25">
      <c r="A1370" s="13" t="s">
        <v>3213</v>
      </c>
      <c r="B1370" s="2" t="s">
        <v>2137</v>
      </c>
      <c r="C1370" s="2" t="s">
        <v>3214</v>
      </c>
      <c r="D1370" s="2" t="s">
        <v>4741</v>
      </c>
      <c r="E1370" s="2" t="s">
        <v>4885</v>
      </c>
      <c r="F1370" s="2" t="s">
        <v>2139</v>
      </c>
      <c r="G1370" s="2">
        <v>27.925999999999998</v>
      </c>
      <c r="H1370" s="2" t="s">
        <v>4644</v>
      </c>
      <c r="I1370" s="2" t="s">
        <v>4645</v>
      </c>
      <c r="J1370" s="2" t="s">
        <v>4697</v>
      </c>
      <c r="K1370" s="2">
        <v>36</v>
      </c>
      <c r="L1370" s="2" t="s">
        <v>4647</v>
      </c>
    </row>
    <row r="1371" spans="1:12" ht="33.75" customHeight="1" x14ac:dyDescent="0.25">
      <c r="A1371" s="14" t="s">
        <v>3215</v>
      </c>
      <c r="B1371" s="3" t="s">
        <v>1294</v>
      </c>
      <c r="C1371" s="3" t="s">
        <v>3216</v>
      </c>
      <c r="D1371" s="3" t="s">
        <v>4706</v>
      </c>
      <c r="E1371" s="3" t="s">
        <v>4819</v>
      </c>
      <c r="F1371" s="3" t="s">
        <v>1296</v>
      </c>
      <c r="G1371" s="3">
        <v>27.925999999999998</v>
      </c>
      <c r="H1371" s="3" t="s">
        <v>4644</v>
      </c>
      <c r="I1371" s="3" t="s">
        <v>4645</v>
      </c>
      <c r="J1371" s="3" t="s">
        <v>4735</v>
      </c>
      <c r="K1371" s="3">
        <v>57</v>
      </c>
      <c r="L1371" s="3" t="s">
        <v>4647</v>
      </c>
    </row>
    <row r="1372" spans="1:12" ht="33.75" customHeight="1" x14ac:dyDescent="0.25">
      <c r="A1372" s="13" t="s">
        <v>3217</v>
      </c>
      <c r="B1372" s="2" t="s">
        <v>1294</v>
      </c>
      <c r="C1372" s="2" t="s">
        <v>3218</v>
      </c>
      <c r="D1372" s="2" t="s">
        <v>4706</v>
      </c>
      <c r="E1372" s="2" t="s">
        <v>4819</v>
      </c>
      <c r="F1372" s="2" t="s">
        <v>1296</v>
      </c>
      <c r="G1372" s="2">
        <v>27.925999999999998</v>
      </c>
      <c r="H1372" s="2" t="s">
        <v>4644</v>
      </c>
      <c r="I1372" s="2" t="s">
        <v>4645</v>
      </c>
      <c r="J1372" s="2" t="s">
        <v>4735</v>
      </c>
      <c r="K1372" s="2">
        <v>57</v>
      </c>
      <c r="L1372" s="2" t="s">
        <v>4647</v>
      </c>
    </row>
    <row r="1373" spans="1:12" ht="33.75" customHeight="1" x14ac:dyDescent="0.25">
      <c r="A1373" s="14" t="s">
        <v>3219</v>
      </c>
      <c r="B1373" s="3" t="s">
        <v>878</v>
      </c>
      <c r="C1373" s="3" t="s">
        <v>3220</v>
      </c>
      <c r="D1373" s="3" t="s">
        <v>4706</v>
      </c>
      <c r="E1373" s="3" t="s">
        <v>4802</v>
      </c>
      <c r="F1373" s="3" t="s">
        <v>880</v>
      </c>
      <c r="G1373" s="3">
        <v>27.925999999999998</v>
      </c>
      <c r="H1373" s="3" t="s">
        <v>4644</v>
      </c>
      <c r="I1373" s="3" t="s">
        <v>4645</v>
      </c>
      <c r="J1373" s="3" t="s">
        <v>4695</v>
      </c>
      <c r="K1373" s="3">
        <v>51</v>
      </c>
      <c r="L1373" s="3" t="s">
        <v>4647</v>
      </c>
    </row>
    <row r="1374" spans="1:12" ht="33.75" customHeight="1" x14ac:dyDescent="0.25">
      <c r="A1374" s="13" t="s">
        <v>3221</v>
      </c>
      <c r="B1374" s="2" t="s">
        <v>878</v>
      </c>
      <c r="C1374" s="2" t="s">
        <v>3222</v>
      </c>
      <c r="D1374" s="2" t="s">
        <v>4706</v>
      </c>
      <c r="E1374" s="2" t="s">
        <v>4802</v>
      </c>
      <c r="F1374" s="2" t="s">
        <v>880</v>
      </c>
      <c r="G1374" s="2">
        <v>27.925999999999998</v>
      </c>
      <c r="H1374" s="2" t="s">
        <v>4644</v>
      </c>
      <c r="I1374" s="2" t="s">
        <v>4645</v>
      </c>
      <c r="J1374" s="2" t="s">
        <v>4695</v>
      </c>
      <c r="K1374" s="2">
        <v>51</v>
      </c>
      <c r="L1374" s="2" t="s">
        <v>4647</v>
      </c>
    </row>
    <row r="1375" spans="1:12" ht="33.75" customHeight="1" x14ac:dyDescent="0.25">
      <c r="A1375" s="14" t="s">
        <v>3223</v>
      </c>
      <c r="B1375" s="3" t="s">
        <v>878</v>
      </c>
      <c r="C1375" s="3" t="s">
        <v>3224</v>
      </c>
      <c r="D1375" s="3" t="s">
        <v>4706</v>
      </c>
      <c r="E1375" s="3" t="s">
        <v>4802</v>
      </c>
      <c r="F1375" s="3" t="s">
        <v>880</v>
      </c>
      <c r="G1375" s="3">
        <v>27.925999999999998</v>
      </c>
      <c r="H1375" s="3" t="s">
        <v>4644</v>
      </c>
      <c r="I1375" s="3" t="s">
        <v>4645</v>
      </c>
      <c r="J1375" s="3" t="s">
        <v>4684</v>
      </c>
      <c r="K1375" s="3">
        <v>51</v>
      </c>
      <c r="L1375" s="3" t="s">
        <v>4647</v>
      </c>
    </row>
    <row r="1376" spans="1:12" ht="33.75" customHeight="1" x14ac:dyDescent="0.25">
      <c r="A1376" s="13" t="s">
        <v>3225</v>
      </c>
      <c r="B1376" s="2" t="s">
        <v>2137</v>
      </c>
      <c r="C1376" s="2" t="s">
        <v>3226</v>
      </c>
      <c r="D1376" s="2" t="s">
        <v>4706</v>
      </c>
      <c r="E1376" s="2" t="s">
        <v>4885</v>
      </c>
      <c r="F1376" s="2" t="s">
        <v>2139</v>
      </c>
      <c r="G1376" s="2">
        <v>27.925999999999998</v>
      </c>
      <c r="H1376" s="2" t="s">
        <v>4644</v>
      </c>
      <c r="I1376" s="2" t="s">
        <v>4645</v>
      </c>
      <c r="J1376" s="2" t="s">
        <v>4697</v>
      </c>
      <c r="K1376" s="2">
        <v>36</v>
      </c>
      <c r="L1376" s="2" t="s">
        <v>4647</v>
      </c>
    </row>
    <row r="1377" spans="1:12" ht="33.75" customHeight="1" x14ac:dyDescent="0.25">
      <c r="A1377" s="14" t="s">
        <v>3227</v>
      </c>
      <c r="B1377" s="3" t="s">
        <v>1294</v>
      </c>
      <c r="C1377" s="3" t="s">
        <v>3228</v>
      </c>
      <c r="D1377" s="3" t="s">
        <v>4741</v>
      </c>
      <c r="E1377" s="3" t="s">
        <v>4819</v>
      </c>
      <c r="F1377" s="3" t="s">
        <v>1296</v>
      </c>
      <c r="G1377" s="3">
        <v>27.925999999999998</v>
      </c>
      <c r="H1377" s="3" t="s">
        <v>4644</v>
      </c>
      <c r="I1377" s="3" t="s">
        <v>4645</v>
      </c>
      <c r="J1377" s="3" t="s">
        <v>4735</v>
      </c>
      <c r="K1377" s="3">
        <v>57</v>
      </c>
      <c r="L1377" s="3" t="s">
        <v>4647</v>
      </c>
    </row>
    <row r="1378" spans="1:12" ht="33.75" customHeight="1" x14ac:dyDescent="0.25">
      <c r="A1378" s="13" t="s">
        <v>3229</v>
      </c>
      <c r="B1378" s="2" t="s">
        <v>3230</v>
      </c>
      <c r="C1378" s="2" t="s">
        <v>3231</v>
      </c>
      <c r="D1378" s="2" t="s">
        <v>4851</v>
      </c>
      <c r="E1378" s="2" t="s">
        <v>4965</v>
      </c>
      <c r="F1378" s="2" t="s">
        <v>3232</v>
      </c>
      <c r="G1378" s="2">
        <v>39.356000000000002</v>
      </c>
      <c r="H1378" s="2" t="s">
        <v>4644</v>
      </c>
      <c r="I1378" s="2" t="s">
        <v>4645</v>
      </c>
      <c r="J1378" s="2" t="s">
        <v>4735</v>
      </c>
      <c r="K1378" s="2">
        <v>44</v>
      </c>
      <c r="L1378" s="2" t="s">
        <v>4647</v>
      </c>
    </row>
    <row r="1379" spans="1:12" ht="33.75" customHeight="1" x14ac:dyDescent="0.25">
      <c r="A1379" s="14" t="s">
        <v>3233</v>
      </c>
      <c r="B1379" s="3" t="s">
        <v>3234</v>
      </c>
      <c r="C1379" s="3" t="s">
        <v>3235</v>
      </c>
      <c r="D1379" s="3" t="s">
        <v>4701</v>
      </c>
      <c r="E1379" s="3" t="s">
        <v>4966</v>
      </c>
      <c r="F1379" s="3" t="s">
        <v>3236</v>
      </c>
      <c r="G1379" s="3">
        <v>50.456000000000003</v>
      </c>
      <c r="H1379" s="3" t="s">
        <v>4644</v>
      </c>
      <c r="I1379" s="3" t="s">
        <v>4645</v>
      </c>
      <c r="J1379" s="3" t="s">
        <v>4735</v>
      </c>
      <c r="K1379" s="3">
        <v>88</v>
      </c>
      <c r="L1379" s="3" t="s">
        <v>4647</v>
      </c>
    </row>
    <row r="1380" spans="1:12" ht="33.75" customHeight="1" x14ac:dyDescent="0.25">
      <c r="A1380" s="13" t="s">
        <v>3237</v>
      </c>
      <c r="B1380" s="2" t="s">
        <v>1294</v>
      </c>
      <c r="C1380" s="2" t="s">
        <v>3238</v>
      </c>
      <c r="D1380" s="2" t="s">
        <v>4851</v>
      </c>
      <c r="E1380" s="2" t="s">
        <v>4819</v>
      </c>
      <c r="F1380" s="2" t="s">
        <v>1296</v>
      </c>
      <c r="G1380" s="2">
        <v>27.925999999999998</v>
      </c>
      <c r="H1380" s="2" t="s">
        <v>4644</v>
      </c>
      <c r="I1380" s="2" t="s">
        <v>4645</v>
      </c>
      <c r="J1380" s="2" t="s">
        <v>4735</v>
      </c>
      <c r="K1380" s="2">
        <v>57</v>
      </c>
      <c r="L1380" s="2" t="s">
        <v>4647</v>
      </c>
    </row>
    <row r="1381" spans="1:12" ht="33.75" customHeight="1" x14ac:dyDescent="0.25">
      <c r="A1381" s="14" t="s">
        <v>3239</v>
      </c>
      <c r="B1381" s="3" t="s">
        <v>1294</v>
      </c>
      <c r="C1381" s="3" t="s">
        <v>3240</v>
      </c>
      <c r="D1381" s="3" t="s">
        <v>4741</v>
      </c>
      <c r="E1381" s="3" t="s">
        <v>4819</v>
      </c>
      <c r="F1381" s="3" t="s">
        <v>1296</v>
      </c>
      <c r="G1381" s="3">
        <v>27.925999999999998</v>
      </c>
      <c r="H1381" s="3" t="s">
        <v>4644</v>
      </c>
      <c r="I1381" s="3" t="s">
        <v>4645</v>
      </c>
      <c r="J1381" s="3" t="s">
        <v>4735</v>
      </c>
      <c r="K1381" s="3">
        <v>57</v>
      </c>
      <c r="L1381" s="3" t="s">
        <v>4647</v>
      </c>
    </row>
    <row r="1382" spans="1:12" ht="33.75" customHeight="1" x14ac:dyDescent="0.25">
      <c r="A1382" s="13" t="s">
        <v>3241</v>
      </c>
      <c r="B1382" s="2" t="s">
        <v>1294</v>
      </c>
      <c r="C1382" s="2" t="s">
        <v>3242</v>
      </c>
      <c r="D1382" s="2" t="s">
        <v>4741</v>
      </c>
      <c r="E1382" s="2" t="s">
        <v>4819</v>
      </c>
      <c r="F1382" s="2" t="s">
        <v>1296</v>
      </c>
      <c r="G1382" s="2">
        <v>27.925999999999998</v>
      </c>
      <c r="H1382" s="2" t="s">
        <v>4644</v>
      </c>
      <c r="I1382" s="2" t="s">
        <v>4645</v>
      </c>
      <c r="J1382" s="2" t="s">
        <v>4735</v>
      </c>
      <c r="K1382" s="2">
        <v>57</v>
      </c>
      <c r="L1382" s="2" t="s">
        <v>4647</v>
      </c>
    </row>
    <row r="1383" spans="1:12" ht="33.75" customHeight="1" x14ac:dyDescent="0.25">
      <c r="A1383" s="14" t="s">
        <v>3243</v>
      </c>
      <c r="B1383" s="3" t="s">
        <v>3234</v>
      </c>
      <c r="C1383" s="3" t="s">
        <v>3244</v>
      </c>
      <c r="D1383" s="3" t="s">
        <v>4701</v>
      </c>
      <c r="E1383" s="3" t="s">
        <v>4966</v>
      </c>
      <c r="F1383" s="3" t="s">
        <v>3236</v>
      </c>
      <c r="G1383" s="3">
        <v>50.456000000000003</v>
      </c>
      <c r="H1383" s="3" t="s">
        <v>4644</v>
      </c>
      <c r="I1383" s="3" t="s">
        <v>4645</v>
      </c>
      <c r="J1383" s="3" t="s">
        <v>4735</v>
      </c>
      <c r="K1383" s="3">
        <v>88</v>
      </c>
      <c r="L1383" s="3" t="s">
        <v>4647</v>
      </c>
    </row>
    <row r="1384" spans="1:12" ht="33.75" customHeight="1" x14ac:dyDescent="0.25">
      <c r="A1384" s="13" t="s">
        <v>3245</v>
      </c>
      <c r="B1384" s="2" t="s">
        <v>3246</v>
      </c>
      <c r="C1384" s="2" t="s">
        <v>3247</v>
      </c>
      <c r="D1384" s="2" t="s">
        <v>4851</v>
      </c>
      <c r="E1384" s="2" t="s">
        <v>4967</v>
      </c>
      <c r="F1384" s="2" t="s">
        <v>3248</v>
      </c>
      <c r="G1384" s="2">
        <v>44.905999999999999</v>
      </c>
      <c r="H1384" s="2" t="s">
        <v>4644</v>
      </c>
      <c r="I1384" s="2" t="s">
        <v>4645</v>
      </c>
      <c r="J1384" s="2" t="s">
        <v>4735</v>
      </c>
      <c r="K1384" s="2">
        <v>66</v>
      </c>
      <c r="L1384" s="2" t="s">
        <v>4647</v>
      </c>
    </row>
    <row r="1385" spans="1:12" ht="33.75" customHeight="1" x14ac:dyDescent="0.25">
      <c r="A1385" s="14" t="s">
        <v>3249</v>
      </c>
      <c r="B1385" s="3" t="s">
        <v>1294</v>
      </c>
      <c r="C1385" s="3" t="s">
        <v>3250</v>
      </c>
      <c r="D1385" s="3" t="s">
        <v>4851</v>
      </c>
      <c r="E1385" s="3" t="s">
        <v>4819</v>
      </c>
      <c r="F1385" s="3" t="s">
        <v>1296</v>
      </c>
      <c r="G1385" s="3">
        <v>27.925999999999998</v>
      </c>
      <c r="H1385" s="3" t="s">
        <v>4644</v>
      </c>
      <c r="I1385" s="3" t="s">
        <v>4645</v>
      </c>
      <c r="J1385" s="3" t="s">
        <v>4735</v>
      </c>
      <c r="K1385" s="3">
        <v>57</v>
      </c>
      <c r="L1385" s="3" t="s">
        <v>4647</v>
      </c>
    </row>
    <row r="1386" spans="1:12" ht="33.75" customHeight="1" x14ac:dyDescent="0.25">
      <c r="A1386" s="13" t="s">
        <v>3251</v>
      </c>
      <c r="B1386" s="2" t="s">
        <v>3252</v>
      </c>
      <c r="C1386" s="2" t="s">
        <v>3253</v>
      </c>
      <c r="D1386" s="2" t="s">
        <v>4920</v>
      </c>
      <c r="E1386" s="2" t="s">
        <v>4968</v>
      </c>
      <c r="F1386" s="2" t="s">
        <v>3254</v>
      </c>
      <c r="G1386" s="2">
        <v>30.942</v>
      </c>
      <c r="H1386" s="2" t="s">
        <v>4644</v>
      </c>
      <c r="I1386" s="2" t="s">
        <v>4645</v>
      </c>
      <c r="J1386" s="2" t="s">
        <v>4735</v>
      </c>
      <c r="K1386" s="2">
        <v>72</v>
      </c>
      <c r="L1386" s="2" t="s">
        <v>4647</v>
      </c>
    </row>
    <row r="1387" spans="1:12" ht="33.75" customHeight="1" x14ac:dyDescent="0.25">
      <c r="A1387" s="14" t="s">
        <v>3255</v>
      </c>
      <c r="B1387" s="3" t="s">
        <v>878</v>
      </c>
      <c r="C1387" s="3" t="s">
        <v>3256</v>
      </c>
      <c r="D1387" s="3" t="s">
        <v>4741</v>
      </c>
      <c r="E1387" s="3" t="s">
        <v>4802</v>
      </c>
      <c r="F1387" s="3" t="s">
        <v>880</v>
      </c>
      <c r="G1387" s="3">
        <v>27.925999999999998</v>
      </c>
      <c r="H1387" s="3" t="s">
        <v>4644</v>
      </c>
      <c r="I1387" s="3" t="s">
        <v>4645</v>
      </c>
      <c r="J1387" s="3" t="s">
        <v>4695</v>
      </c>
      <c r="K1387" s="3">
        <v>51</v>
      </c>
      <c r="L1387" s="3" t="s">
        <v>4647</v>
      </c>
    </row>
    <row r="1388" spans="1:12" ht="33.75" customHeight="1" x14ac:dyDescent="0.25">
      <c r="A1388" s="13" t="s">
        <v>3257</v>
      </c>
      <c r="B1388" s="2" t="s">
        <v>878</v>
      </c>
      <c r="C1388" s="2" t="s">
        <v>3258</v>
      </c>
      <c r="D1388" s="2" t="s">
        <v>4741</v>
      </c>
      <c r="E1388" s="2" t="s">
        <v>4802</v>
      </c>
      <c r="F1388" s="2" t="s">
        <v>880</v>
      </c>
      <c r="G1388" s="2">
        <v>27.925999999999998</v>
      </c>
      <c r="H1388" s="2" t="s">
        <v>4644</v>
      </c>
      <c r="I1388" s="2" t="s">
        <v>4645</v>
      </c>
      <c r="J1388" s="2" t="s">
        <v>4695</v>
      </c>
      <c r="K1388" s="2">
        <v>51</v>
      </c>
      <c r="L1388" s="2" t="s">
        <v>4647</v>
      </c>
    </row>
    <row r="1389" spans="1:12" ht="33.75" customHeight="1" x14ac:dyDescent="0.25">
      <c r="A1389" s="14" t="s">
        <v>3259</v>
      </c>
      <c r="B1389" s="3" t="s">
        <v>878</v>
      </c>
      <c r="C1389" s="3" t="s">
        <v>3260</v>
      </c>
      <c r="D1389" s="3" t="s">
        <v>4741</v>
      </c>
      <c r="E1389" s="3" t="s">
        <v>4802</v>
      </c>
      <c r="F1389" s="3" t="s">
        <v>880</v>
      </c>
      <c r="G1389" s="3">
        <v>27.925999999999998</v>
      </c>
      <c r="H1389" s="3" t="s">
        <v>4644</v>
      </c>
      <c r="I1389" s="3" t="s">
        <v>4645</v>
      </c>
      <c r="J1389" s="3" t="s">
        <v>4695</v>
      </c>
      <c r="K1389" s="3">
        <v>51</v>
      </c>
      <c r="L1389" s="3" t="s">
        <v>4647</v>
      </c>
    </row>
    <row r="1390" spans="1:12" ht="33.75" customHeight="1" x14ac:dyDescent="0.25">
      <c r="A1390" s="13" t="s">
        <v>3261</v>
      </c>
      <c r="B1390" s="2" t="s">
        <v>878</v>
      </c>
      <c r="C1390" s="2" t="s">
        <v>3262</v>
      </c>
      <c r="D1390" s="2" t="s">
        <v>4741</v>
      </c>
      <c r="E1390" s="2" t="s">
        <v>4802</v>
      </c>
      <c r="F1390" s="2" t="s">
        <v>880</v>
      </c>
      <c r="G1390" s="2">
        <v>27.925999999999998</v>
      </c>
      <c r="H1390" s="2" t="s">
        <v>4644</v>
      </c>
      <c r="I1390" s="2" t="s">
        <v>4645</v>
      </c>
      <c r="J1390" s="2" t="s">
        <v>4695</v>
      </c>
      <c r="K1390" s="2">
        <v>51</v>
      </c>
      <c r="L1390" s="2" t="s">
        <v>4647</v>
      </c>
    </row>
    <row r="1391" spans="1:12" ht="33.75" customHeight="1" x14ac:dyDescent="0.25">
      <c r="A1391" s="14" t="s">
        <v>3263</v>
      </c>
      <c r="B1391" s="3" t="s">
        <v>3264</v>
      </c>
      <c r="C1391" s="3" t="s">
        <v>3265</v>
      </c>
      <c r="D1391" s="3" t="s">
        <v>4851</v>
      </c>
      <c r="E1391" s="3" t="s">
        <v>4969</v>
      </c>
      <c r="F1391" s="3" t="s">
        <v>3266</v>
      </c>
      <c r="G1391" s="3">
        <v>37.795999999999999</v>
      </c>
      <c r="H1391" s="3" t="s">
        <v>4644</v>
      </c>
      <c r="I1391" s="3" t="s">
        <v>4645</v>
      </c>
      <c r="J1391" s="3" t="s">
        <v>4695</v>
      </c>
      <c r="K1391" s="3">
        <v>36</v>
      </c>
      <c r="L1391" s="3" t="s">
        <v>4647</v>
      </c>
    </row>
    <row r="1392" spans="1:12" ht="33.75" customHeight="1" x14ac:dyDescent="0.25">
      <c r="A1392" s="13" t="s">
        <v>3267</v>
      </c>
      <c r="B1392" s="2" t="s">
        <v>878</v>
      </c>
      <c r="C1392" s="2" t="s">
        <v>3268</v>
      </c>
      <c r="D1392" s="2" t="s">
        <v>4741</v>
      </c>
      <c r="E1392" s="2" t="s">
        <v>4802</v>
      </c>
      <c r="F1392" s="2" t="s">
        <v>880</v>
      </c>
      <c r="G1392" s="2">
        <v>27.925999999999998</v>
      </c>
      <c r="H1392" s="2" t="s">
        <v>4644</v>
      </c>
      <c r="I1392" s="2" t="s">
        <v>4645</v>
      </c>
      <c r="J1392" s="2" t="s">
        <v>4695</v>
      </c>
      <c r="K1392" s="2">
        <v>51</v>
      </c>
      <c r="L1392" s="2" t="s">
        <v>4647</v>
      </c>
    </row>
    <row r="1393" spans="1:12" ht="33.75" customHeight="1" x14ac:dyDescent="0.25">
      <c r="A1393" s="14" t="s">
        <v>3269</v>
      </c>
      <c r="B1393" s="3" t="s">
        <v>3270</v>
      </c>
      <c r="C1393" s="3" t="s">
        <v>3265</v>
      </c>
      <c r="D1393" s="3" t="s">
        <v>4851</v>
      </c>
      <c r="E1393" s="3" t="s">
        <v>4970</v>
      </c>
      <c r="F1393" s="3" t="s">
        <v>3271</v>
      </c>
      <c r="G1393" s="3">
        <v>42.566000000000003</v>
      </c>
      <c r="H1393" s="3" t="s">
        <v>4644</v>
      </c>
      <c r="I1393" s="3" t="s">
        <v>4645</v>
      </c>
      <c r="J1393" s="3" t="s">
        <v>4695</v>
      </c>
      <c r="K1393" s="3">
        <v>54</v>
      </c>
      <c r="L1393" s="3" t="s">
        <v>4647</v>
      </c>
    </row>
    <row r="1394" spans="1:12" ht="33.75" customHeight="1" x14ac:dyDescent="0.25">
      <c r="A1394" s="13" t="s">
        <v>3272</v>
      </c>
      <c r="B1394" s="2" t="s">
        <v>878</v>
      </c>
      <c r="C1394" s="2" t="s">
        <v>3273</v>
      </c>
      <c r="D1394" s="2" t="s">
        <v>4851</v>
      </c>
      <c r="E1394" s="2" t="s">
        <v>4802</v>
      </c>
      <c r="F1394" s="2" t="s">
        <v>880</v>
      </c>
      <c r="G1394" s="2">
        <v>27.925999999999998</v>
      </c>
      <c r="H1394" s="2" t="s">
        <v>4644</v>
      </c>
      <c r="I1394" s="2" t="s">
        <v>4645</v>
      </c>
      <c r="J1394" s="2" t="s">
        <v>4695</v>
      </c>
      <c r="K1394" s="2">
        <v>51</v>
      </c>
      <c r="L1394" s="2" t="s">
        <v>4647</v>
      </c>
    </row>
    <row r="1395" spans="1:12" ht="33.75" customHeight="1" x14ac:dyDescent="0.25">
      <c r="A1395" s="14" t="s">
        <v>3274</v>
      </c>
      <c r="B1395" s="3" t="s">
        <v>878</v>
      </c>
      <c r="C1395" s="3" t="s">
        <v>3275</v>
      </c>
      <c r="D1395" s="3" t="s">
        <v>4741</v>
      </c>
      <c r="E1395" s="3" t="s">
        <v>4802</v>
      </c>
      <c r="F1395" s="3" t="s">
        <v>880</v>
      </c>
      <c r="G1395" s="3">
        <v>27.925999999999998</v>
      </c>
      <c r="H1395" s="3" t="s">
        <v>4644</v>
      </c>
      <c r="I1395" s="3" t="s">
        <v>4645</v>
      </c>
      <c r="J1395" s="3" t="s">
        <v>4695</v>
      </c>
      <c r="K1395" s="3">
        <v>51</v>
      </c>
      <c r="L1395" s="3" t="s">
        <v>4647</v>
      </c>
    </row>
    <row r="1396" spans="1:12" ht="33.75" customHeight="1" x14ac:dyDescent="0.25">
      <c r="A1396" s="13" t="s">
        <v>3276</v>
      </c>
      <c r="B1396" s="2" t="s">
        <v>878</v>
      </c>
      <c r="C1396" s="2" t="s">
        <v>3277</v>
      </c>
      <c r="D1396" s="2" t="s">
        <v>4741</v>
      </c>
      <c r="E1396" s="2" t="s">
        <v>4802</v>
      </c>
      <c r="F1396" s="2" t="s">
        <v>880</v>
      </c>
      <c r="G1396" s="2">
        <v>27.925999999999998</v>
      </c>
      <c r="H1396" s="2" t="s">
        <v>4644</v>
      </c>
      <c r="I1396" s="2" t="s">
        <v>4645</v>
      </c>
      <c r="J1396" s="2" t="s">
        <v>4684</v>
      </c>
      <c r="K1396" s="2">
        <v>51</v>
      </c>
      <c r="L1396" s="2" t="s">
        <v>4647</v>
      </c>
    </row>
    <row r="1397" spans="1:12" ht="33.75" customHeight="1" x14ac:dyDescent="0.25">
      <c r="A1397" s="14" t="s">
        <v>3278</v>
      </c>
      <c r="B1397" s="3" t="s">
        <v>878</v>
      </c>
      <c r="C1397" s="3" t="s">
        <v>3279</v>
      </c>
      <c r="D1397" s="3" t="s">
        <v>4851</v>
      </c>
      <c r="E1397" s="3" t="s">
        <v>4802</v>
      </c>
      <c r="F1397" s="3" t="s">
        <v>880</v>
      </c>
      <c r="G1397" s="3">
        <v>27.925999999999998</v>
      </c>
      <c r="H1397" s="3" t="s">
        <v>4644</v>
      </c>
      <c r="I1397" s="3" t="s">
        <v>4645</v>
      </c>
      <c r="J1397" s="3" t="s">
        <v>4684</v>
      </c>
      <c r="K1397" s="3">
        <v>51</v>
      </c>
      <c r="L1397" s="3" t="s">
        <v>4647</v>
      </c>
    </row>
    <row r="1398" spans="1:12" ht="33.75" customHeight="1" x14ac:dyDescent="0.25">
      <c r="A1398" s="13" t="s">
        <v>3280</v>
      </c>
      <c r="B1398" s="2" t="s">
        <v>2137</v>
      </c>
      <c r="C1398" s="2" t="s">
        <v>3281</v>
      </c>
      <c r="D1398" s="2" t="s">
        <v>4741</v>
      </c>
      <c r="E1398" s="2" t="s">
        <v>4885</v>
      </c>
      <c r="F1398" s="2" t="s">
        <v>2139</v>
      </c>
      <c r="G1398" s="2">
        <v>27.925999999999998</v>
      </c>
      <c r="H1398" s="2" t="s">
        <v>4644</v>
      </c>
      <c r="I1398" s="2" t="s">
        <v>4645</v>
      </c>
      <c r="J1398" s="2" t="s">
        <v>4697</v>
      </c>
      <c r="K1398" s="2">
        <v>36</v>
      </c>
      <c r="L1398" s="2" t="s">
        <v>4647</v>
      </c>
    </row>
    <row r="1399" spans="1:12" ht="33.75" customHeight="1" x14ac:dyDescent="0.25">
      <c r="A1399" s="14" t="s">
        <v>3282</v>
      </c>
      <c r="B1399" s="3" t="s">
        <v>3283</v>
      </c>
      <c r="C1399" s="3" t="s">
        <v>3284</v>
      </c>
      <c r="D1399" s="3" t="s">
        <v>4971</v>
      </c>
      <c r="E1399" s="3" t="s">
        <v>4972</v>
      </c>
      <c r="F1399" s="3" t="s">
        <v>3285</v>
      </c>
      <c r="G1399" s="3">
        <v>28.475999999999999</v>
      </c>
      <c r="H1399" s="3" t="s">
        <v>4644</v>
      </c>
      <c r="I1399" s="3" t="s">
        <v>4645</v>
      </c>
      <c r="J1399" s="3" t="s">
        <v>4697</v>
      </c>
      <c r="K1399" s="3">
        <v>45</v>
      </c>
      <c r="L1399" s="3" t="s">
        <v>4647</v>
      </c>
    </row>
    <row r="1400" spans="1:12" ht="33.75" customHeight="1" x14ac:dyDescent="0.25">
      <c r="A1400" s="13" t="s">
        <v>3286</v>
      </c>
      <c r="B1400" s="2" t="s">
        <v>3287</v>
      </c>
      <c r="C1400" s="2" t="s">
        <v>3288</v>
      </c>
      <c r="D1400" s="2" t="s">
        <v>4701</v>
      </c>
      <c r="E1400" s="2" t="s">
        <v>4973</v>
      </c>
      <c r="F1400" s="2" t="s">
        <v>3289</v>
      </c>
      <c r="G1400" s="2">
        <v>49.136000000000003</v>
      </c>
      <c r="H1400" s="2" t="s">
        <v>4644</v>
      </c>
      <c r="I1400" s="2" t="s">
        <v>4645</v>
      </c>
      <c r="J1400" s="2" t="s">
        <v>4697</v>
      </c>
      <c r="K1400" s="2">
        <v>60</v>
      </c>
      <c r="L1400" s="2" t="s">
        <v>4647</v>
      </c>
    </row>
    <row r="1401" spans="1:12" ht="33.75" customHeight="1" x14ac:dyDescent="0.25">
      <c r="A1401" s="14" t="s">
        <v>3290</v>
      </c>
      <c r="B1401" s="3" t="s">
        <v>3291</v>
      </c>
      <c r="C1401" s="3" t="s">
        <v>3292</v>
      </c>
      <c r="D1401" s="3" t="s">
        <v>4851</v>
      </c>
      <c r="E1401" s="3" t="s">
        <v>4974</v>
      </c>
      <c r="F1401" s="3" t="s">
        <v>3293</v>
      </c>
      <c r="G1401" s="3">
        <v>43.915999999999997</v>
      </c>
      <c r="H1401" s="3" t="s">
        <v>4644</v>
      </c>
      <c r="I1401" s="3" t="s">
        <v>4645</v>
      </c>
      <c r="J1401" s="3" t="s">
        <v>4697</v>
      </c>
      <c r="K1401" s="3">
        <v>45</v>
      </c>
      <c r="L1401" s="3" t="s">
        <v>4647</v>
      </c>
    </row>
    <row r="1402" spans="1:12" ht="33.75" customHeight="1" x14ac:dyDescent="0.25">
      <c r="A1402" s="13" t="s">
        <v>3294</v>
      </c>
      <c r="B1402" s="2" t="s">
        <v>2137</v>
      </c>
      <c r="C1402" s="2" t="s">
        <v>3295</v>
      </c>
      <c r="D1402" s="2" t="s">
        <v>4851</v>
      </c>
      <c r="E1402" s="2" t="s">
        <v>4885</v>
      </c>
      <c r="F1402" s="2" t="s">
        <v>2139</v>
      </c>
      <c r="G1402" s="2">
        <v>27.925999999999998</v>
      </c>
      <c r="H1402" s="2" t="s">
        <v>4644</v>
      </c>
      <c r="I1402" s="2" t="s">
        <v>4645</v>
      </c>
      <c r="J1402" s="2" t="s">
        <v>4697</v>
      </c>
      <c r="K1402" s="2">
        <v>36</v>
      </c>
      <c r="L1402" s="2" t="s">
        <v>4647</v>
      </c>
    </row>
    <row r="1403" spans="1:12" ht="33.75" customHeight="1" x14ac:dyDescent="0.25">
      <c r="A1403" s="14" t="s">
        <v>3296</v>
      </c>
      <c r="B1403" s="3" t="s">
        <v>324</v>
      </c>
      <c r="C1403" s="3" t="s">
        <v>3297</v>
      </c>
      <c r="D1403" s="3" t="s">
        <v>4851</v>
      </c>
      <c r="E1403" s="3" t="s">
        <v>4704</v>
      </c>
      <c r="F1403" s="3" t="s">
        <v>326</v>
      </c>
      <c r="G1403" s="3">
        <v>29.719200000000001</v>
      </c>
      <c r="H1403" s="3" t="s">
        <v>4644</v>
      </c>
      <c r="I1403" s="3" t="s">
        <v>4645</v>
      </c>
      <c r="J1403" s="3" t="s">
        <v>4697</v>
      </c>
      <c r="K1403" s="3">
        <v>45</v>
      </c>
      <c r="L1403" s="3" t="s">
        <v>4647</v>
      </c>
    </row>
    <row r="1404" spans="1:12" ht="33.75" customHeight="1" x14ac:dyDescent="0.25">
      <c r="A1404" s="13" t="s">
        <v>3298</v>
      </c>
      <c r="B1404" s="2" t="s">
        <v>3287</v>
      </c>
      <c r="C1404" s="2" t="s">
        <v>3299</v>
      </c>
      <c r="D1404" s="2" t="s">
        <v>4663</v>
      </c>
      <c r="E1404" s="2" t="s">
        <v>4973</v>
      </c>
      <c r="F1404" s="2" t="s">
        <v>3289</v>
      </c>
      <c r="G1404" s="2">
        <v>49.136000000000003</v>
      </c>
      <c r="H1404" s="2" t="s">
        <v>4644</v>
      </c>
      <c r="I1404" s="2" t="s">
        <v>4645</v>
      </c>
      <c r="J1404" s="2" t="s">
        <v>4697</v>
      </c>
      <c r="K1404" s="2">
        <v>60</v>
      </c>
      <c r="L1404" s="2" t="s">
        <v>4647</v>
      </c>
    </row>
    <row r="1405" spans="1:12" ht="33.75" customHeight="1" x14ac:dyDescent="0.25">
      <c r="A1405" s="14" t="s">
        <v>3300</v>
      </c>
      <c r="B1405" s="3" t="s">
        <v>89</v>
      </c>
      <c r="C1405" s="3" t="s">
        <v>3301</v>
      </c>
      <c r="D1405" s="3" t="s">
        <v>4975</v>
      </c>
      <c r="E1405" s="3" t="s">
        <v>4659</v>
      </c>
      <c r="F1405" s="3" t="s">
        <v>91</v>
      </c>
      <c r="G1405" s="3">
        <v>32.389200000000002</v>
      </c>
      <c r="H1405" s="3" t="s">
        <v>4644</v>
      </c>
      <c r="I1405" s="3" t="s">
        <v>4645</v>
      </c>
      <c r="J1405" s="3" t="s">
        <v>4652</v>
      </c>
      <c r="K1405" s="3">
        <v>30</v>
      </c>
      <c r="L1405" s="3" t="s">
        <v>4647</v>
      </c>
    </row>
    <row r="1406" spans="1:12" ht="33.75" customHeight="1" x14ac:dyDescent="0.25">
      <c r="A1406" s="13" t="s">
        <v>3302</v>
      </c>
      <c r="B1406" s="2" t="s">
        <v>89</v>
      </c>
      <c r="C1406" s="2" t="s">
        <v>3303</v>
      </c>
      <c r="D1406" s="2" t="s">
        <v>4893</v>
      </c>
      <c r="E1406" s="2" t="s">
        <v>4659</v>
      </c>
      <c r="F1406" s="2" t="s">
        <v>91</v>
      </c>
      <c r="G1406" s="2">
        <v>32.389200000000002</v>
      </c>
      <c r="H1406" s="2" t="s">
        <v>4644</v>
      </c>
      <c r="I1406" s="2" t="s">
        <v>4645</v>
      </c>
      <c r="J1406" s="2" t="s">
        <v>4652</v>
      </c>
      <c r="K1406" s="2">
        <v>30</v>
      </c>
      <c r="L1406" s="2" t="s">
        <v>4647</v>
      </c>
    </row>
    <row r="1407" spans="1:12" ht="33.75" customHeight="1" x14ac:dyDescent="0.25">
      <c r="A1407" s="14" t="s">
        <v>3304</v>
      </c>
      <c r="B1407" s="3" t="s">
        <v>3305</v>
      </c>
      <c r="C1407" s="3" t="s">
        <v>3306</v>
      </c>
      <c r="D1407" s="3" t="s">
        <v>4893</v>
      </c>
      <c r="E1407" s="3" t="s">
        <v>4976</v>
      </c>
      <c r="F1407" s="3" t="s">
        <v>3307</v>
      </c>
      <c r="G1407" s="3">
        <v>28.139199999999999</v>
      </c>
      <c r="H1407" s="3" t="s">
        <v>4644</v>
      </c>
      <c r="I1407" s="3" t="s">
        <v>4645</v>
      </c>
      <c r="J1407" s="3" t="s">
        <v>4733</v>
      </c>
      <c r="K1407" s="3">
        <v>87</v>
      </c>
      <c r="L1407" s="3" t="s">
        <v>4647</v>
      </c>
    </row>
    <row r="1408" spans="1:12" ht="33.75" customHeight="1" x14ac:dyDescent="0.25">
      <c r="A1408" s="13" t="s">
        <v>3308</v>
      </c>
      <c r="B1408" s="2" t="s">
        <v>3309</v>
      </c>
      <c r="C1408" s="2" t="s">
        <v>3310</v>
      </c>
      <c r="D1408" s="2" t="s">
        <v>4893</v>
      </c>
      <c r="E1408" s="2" t="s">
        <v>4977</v>
      </c>
      <c r="F1408" s="2" t="s">
        <v>3311</v>
      </c>
      <c r="G1408" s="2">
        <v>27.9192</v>
      </c>
      <c r="H1408" s="2" t="s">
        <v>4644</v>
      </c>
      <c r="I1408" s="2" t="s">
        <v>4645</v>
      </c>
      <c r="J1408" s="2" t="s">
        <v>4682</v>
      </c>
      <c r="K1408" s="2">
        <v>72</v>
      </c>
      <c r="L1408" s="2" t="s">
        <v>4647</v>
      </c>
    </row>
    <row r="1409" spans="1:12" ht="33.75" customHeight="1" x14ac:dyDescent="0.25">
      <c r="A1409" s="14" t="s">
        <v>3312</v>
      </c>
      <c r="B1409" s="3" t="s">
        <v>3313</v>
      </c>
      <c r="C1409" s="3" t="s">
        <v>3314</v>
      </c>
      <c r="D1409" s="3" t="s">
        <v>4893</v>
      </c>
      <c r="E1409" s="3" t="s">
        <v>4978</v>
      </c>
      <c r="F1409" s="3" t="s">
        <v>3315</v>
      </c>
      <c r="G1409" s="3">
        <v>27.9192</v>
      </c>
      <c r="H1409" s="3" t="s">
        <v>4644</v>
      </c>
      <c r="I1409" s="3" t="s">
        <v>4645</v>
      </c>
      <c r="J1409" s="3" t="s">
        <v>4684</v>
      </c>
      <c r="K1409" s="3">
        <v>63</v>
      </c>
      <c r="L1409" s="3" t="s">
        <v>4647</v>
      </c>
    </row>
    <row r="1410" spans="1:12" ht="33.75" customHeight="1" x14ac:dyDescent="0.25">
      <c r="A1410" s="13" t="s">
        <v>3316</v>
      </c>
      <c r="B1410" s="2" t="s">
        <v>142</v>
      </c>
      <c r="C1410" s="2" t="s">
        <v>3317</v>
      </c>
      <c r="D1410" s="2" t="s">
        <v>4676</v>
      </c>
      <c r="E1410" s="2" t="s">
        <v>4979</v>
      </c>
      <c r="F1410" s="2" t="s">
        <v>144</v>
      </c>
      <c r="G1410" s="2"/>
      <c r="H1410" s="2" t="s">
        <v>4666</v>
      </c>
      <c r="I1410" s="2" t="s">
        <v>4667</v>
      </c>
      <c r="J1410" s="2" t="s">
        <v>4650</v>
      </c>
      <c r="K1410" s="2">
        <v>8</v>
      </c>
      <c r="L1410" s="2" t="s">
        <v>4668</v>
      </c>
    </row>
    <row r="1411" spans="1:12" ht="33.75" customHeight="1" x14ac:dyDescent="0.25">
      <c r="A1411" s="14" t="s">
        <v>3318</v>
      </c>
      <c r="B1411" s="3" t="s">
        <v>77</v>
      </c>
      <c r="C1411" s="3" t="s">
        <v>3319</v>
      </c>
      <c r="D1411" s="3"/>
      <c r="E1411" s="3" t="s">
        <v>4654</v>
      </c>
      <c r="F1411" s="3" t="s">
        <v>79</v>
      </c>
      <c r="G1411" s="3">
        <v>31.699200000000001</v>
      </c>
      <c r="H1411" s="3" t="s">
        <v>4644</v>
      </c>
      <c r="I1411" s="3" t="s">
        <v>4645</v>
      </c>
      <c r="J1411" s="3" t="s">
        <v>4650</v>
      </c>
      <c r="K1411" s="3">
        <v>30</v>
      </c>
      <c r="L1411" s="3" t="s">
        <v>4647</v>
      </c>
    </row>
    <row r="1412" spans="1:12" ht="33.75" customHeight="1" x14ac:dyDescent="0.25">
      <c r="A1412" s="13" t="s">
        <v>3320</v>
      </c>
      <c r="B1412" s="2" t="s">
        <v>418</v>
      </c>
      <c r="C1412" s="2" t="s">
        <v>3321</v>
      </c>
      <c r="D1412" s="2" t="s">
        <v>4661</v>
      </c>
      <c r="E1412" s="2" t="s">
        <v>4734</v>
      </c>
      <c r="F1412" s="2" t="s">
        <v>420</v>
      </c>
      <c r="G1412" s="2">
        <v>30.655200000000001</v>
      </c>
      <c r="H1412" s="2" t="s">
        <v>4644</v>
      </c>
      <c r="I1412" s="2" t="s">
        <v>4645</v>
      </c>
      <c r="J1412" s="2" t="s">
        <v>4735</v>
      </c>
      <c r="K1412" s="2">
        <v>72</v>
      </c>
      <c r="L1412" s="2" t="s">
        <v>4647</v>
      </c>
    </row>
    <row r="1413" spans="1:12" ht="33.75" customHeight="1" x14ac:dyDescent="0.25">
      <c r="A1413" s="14" t="s">
        <v>3322</v>
      </c>
      <c r="B1413" s="3" t="s">
        <v>990</v>
      </c>
      <c r="C1413" s="3" t="s">
        <v>3323</v>
      </c>
      <c r="D1413" s="3" t="s">
        <v>4661</v>
      </c>
      <c r="E1413" s="3" t="s">
        <v>4806</v>
      </c>
      <c r="F1413" s="3" t="s">
        <v>992</v>
      </c>
      <c r="G1413" s="3">
        <v>29.755199999999999</v>
      </c>
      <c r="H1413" s="3" t="s">
        <v>4644</v>
      </c>
      <c r="I1413" s="3" t="s">
        <v>4645</v>
      </c>
      <c r="J1413" s="3" t="s">
        <v>4723</v>
      </c>
      <c r="K1413" s="3">
        <v>54</v>
      </c>
      <c r="L1413" s="3" t="s">
        <v>4647</v>
      </c>
    </row>
    <row r="1414" spans="1:12" ht="33.75" customHeight="1" x14ac:dyDescent="0.25">
      <c r="A1414" s="13" t="s">
        <v>3324</v>
      </c>
      <c r="B1414" s="2" t="s">
        <v>400</v>
      </c>
      <c r="C1414" s="2" t="s">
        <v>3325</v>
      </c>
      <c r="D1414" s="2" t="s">
        <v>4702</v>
      </c>
      <c r="E1414" s="2" t="s">
        <v>4730</v>
      </c>
      <c r="F1414" s="2" t="s">
        <v>402</v>
      </c>
      <c r="G1414" s="2">
        <v>34.332239999999999</v>
      </c>
      <c r="H1414" s="2" t="s">
        <v>4644</v>
      </c>
      <c r="I1414" s="2" t="s">
        <v>4645</v>
      </c>
      <c r="J1414" s="2" t="s">
        <v>4719</v>
      </c>
      <c r="K1414" s="2">
        <v>72</v>
      </c>
      <c r="L1414" s="2" t="s">
        <v>4647</v>
      </c>
    </row>
    <row r="1415" spans="1:12" ht="33.75" customHeight="1" x14ac:dyDescent="0.25">
      <c r="A1415" s="14" t="s">
        <v>3326</v>
      </c>
      <c r="B1415" s="3" t="s">
        <v>3327</v>
      </c>
      <c r="C1415" s="3" t="s">
        <v>3328</v>
      </c>
      <c r="D1415" s="3"/>
      <c r="E1415" s="3" t="s">
        <v>4980</v>
      </c>
      <c r="F1415" s="3" t="s">
        <v>3329</v>
      </c>
      <c r="G1415" s="3">
        <v>46.578400000000002</v>
      </c>
      <c r="H1415" s="3" t="s">
        <v>4644</v>
      </c>
      <c r="I1415" s="3" t="s">
        <v>4645</v>
      </c>
      <c r="J1415" s="3" t="s">
        <v>4721</v>
      </c>
      <c r="K1415" s="3">
        <v>51</v>
      </c>
      <c r="L1415" s="3" t="s">
        <v>4647</v>
      </c>
    </row>
    <row r="1416" spans="1:12" ht="33.75" customHeight="1" x14ac:dyDescent="0.25">
      <c r="A1416" s="13" t="s">
        <v>3330</v>
      </c>
      <c r="B1416" s="2" t="s">
        <v>188</v>
      </c>
      <c r="C1416" s="2" t="s">
        <v>3331</v>
      </c>
      <c r="D1416" s="2" t="s">
        <v>4648</v>
      </c>
      <c r="E1416" s="2" t="s">
        <v>4679</v>
      </c>
      <c r="F1416" s="2" t="s">
        <v>190</v>
      </c>
      <c r="G1416" s="2">
        <v>30.700399999999998</v>
      </c>
      <c r="H1416" s="2" t="s">
        <v>4644</v>
      </c>
      <c r="I1416" s="2" t="s">
        <v>4645</v>
      </c>
      <c r="J1416" s="2" t="s">
        <v>4646</v>
      </c>
      <c r="K1416" s="2">
        <v>18</v>
      </c>
      <c r="L1416" s="2" t="s">
        <v>4647</v>
      </c>
    </row>
    <row r="1417" spans="1:12" ht="33.75" customHeight="1" x14ac:dyDescent="0.25">
      <c r="A1417" s="14" t="s">
        <v>3332</v>
      </c>
      <c r="B1417" s="3" t="s">
        <v>73</v>
      </c>
      <c r="C1417" s="3" t="s">
        <v>3333</v>
      </c>
      <c r="D1417" s="3" t="s">
        <v>4648</v>
      </c>
      <c r="E1417" s="3" t="s">
        <v>4653</v>
      </c>
      <c r="F1417" s="3" t="s">
        <v>75</v>
      </c>
      <c r="G1417" s="3">
        <v>31.538399999999999</v>
      </c>
      <c r="H1417" s="3" t="s">
        <v>4644</v>
      </c>
      <c r="I1417" s="3" t="s">
        <v>4645</v>
      </c>
      <c r="J1417" s="3" t="s">
        <v>4646</v>
      </c>
      <c r="K1417" s="3">
        <v>21</v>
      </c>
      <c r="L1417" s="3" t="s">
        <v>4647</v>
      </c>
    </row>
    <row r="1418" spans="1:12" ht="33.75" customHeight="1" x14ac:dyDescent="0.25">
      <c r="A1418" s="13" t="s">
        <v>3334</v>
      </c>
      <c r="B1418" s="2" t="s">
        <v>2582</v>
      </c>
      <c r="C1418" s="2" t="s">
        <v>3335</v>
      </c>
      <c r="D1418" s="2" t="s">
        <v>4741</v>
      </c>
      <c r="E1418" s="2" t="s">
        <v>4929</v>
      </c>
      <c r="F1418" s="2" t="s">
        <v>2584</v>
      </c>
      <c r="G1418" s="2">
        <v>27.925999999999998</v>
      </c>
      <c r="H1418" s="2" t="s">
        <v>4644</v>
      </c>
      <c r="I1418" s="2" t="s">
        <v>4645</v>
      </c>
      <c r="J1418" s="2" t="s">
        <v>4691</v>
      </c>
      <c r="K1418" s="2">
        <v>33</v>
      </c>
      <c r="L1418" s="2" t="s">
        <v>4647</v>
      </c>
    </row>
    <row r="1419" spans="1:12" ht="33.75" customHeight="1" x14ac:dyDescent="0.25">
      <c r="A1419" s="14" t="s">
        <v>3336</v>
      </c>
      <c r="B1419" s="3" t="s">
        <v>112</v>
      </c>
      <c r="C1419" s="3" t="s">
        <v>3337</v>
      </c>
      <c r="D1419" s="3"/>
      <c r="E1419" s="3" t="s">
        <v>4660</v>
      </c>
      <c r="F1419" s="3" t="s">
        <v>114</v>
      </c>
      <c r="G1419" s="3">
        <v>30.7682</v>
      </c>
      <c r="H1419" s="3" t="s">
        <v>4644</v>
      </c>
      <c r="I1419" s="3" t="s">
        <v>4645</v>
      </c>
      <c r="J1419" s="3" t="s">
        <v>4652</v>
      </c>
      <c r="K1419" s="3">
        <v>21</v>
      </c>
      <c r="L1419" s="3" t="s">
        <v>4647</v>
      </c>
    </row>
    <row r="1420" spans="1:12" ht="33.75" customHeight="1" x14ac:dyDescent="0.25">
      <c r="A1420" s="13" t="s">
        <v>3338</v>
      </c>
      <c r="B1420" s="2" t="s">
        <v>156</v>
      </c>
      <c r="C1420" s="2" t="s">
        <v>3339</v>
      </c>
      <c r="D1420" s="2"/>
      <c r="E1420" s="2" t="s">
        <v>4670</v>
      </c>
      <c r="F1420" s="2" t="s">
        <v>158</v>
      </c>
      <c r="G1420" s="2">
        <v>30.987200000000001</v>
      </c>
      <c r="H1420" s="2" t="s">
        <v>4644</v>
      </c>
      <c r="I1420" s="2" t="s">
        <v>4645</v>
      </c>
      <c r="J1420" s="2" t="s">
        <v>4646</v>
      </c>
      <c r="K1420" s="2">
        <v>18</v>
      </c>
      <c r="L1420" s="2" t="s">
        <v>4647</v>
      </c>
    </row>
    <row r="1421" spans="1:12" ht="33.75" customHeight="1" x14ac:dyDescent="0.25">
      <c r="A1421" s="14" t="s">
        <v>3340</v>
      </c>
      <c r="B1421" s="3" t="s">
        <v>422</v>
      </c>
      <c r="C1421" s="3" t="s">
        <v>3341</v>
      </c>
      <c r="D1421" s="3"/>
      <c r="E1421" s="3" t="s">
        <v>4736</v>
      </c>
      <c r="F1421" s="3" t="s">
        <v>424</v>
      </c>
      <c r="G1421" s="3">
        <v>30.7272</v>
      </c>
      <c r="H1421" s="3" t="s">
        <v>4644</v>
      </c>
      <c r="I1421" s="3" t="s">
        <v>4645</v>
      </c>
      <c r="J1421" s="3" t="s">
        <v>4735</v>
      </c>
      <c r="K1421" s="3">
        <v>76</v>
      </c>
      <c r="L1421" s="3" t="s">
        <v>4647</v>
      </c>
    </row>
    <row r="1422" spans="1:12" ht="33.75" customHeight="1" x14ac:dyDescent="0.25">
      <c r="A1422" s="13" t="s">
        <v>3342</v>
      </c>
      <c r="B1422" s="2" t="s">
        <v>1723</v>
      </c>
      <c r="C1422" s="2" t="s">
        <v>3343</v>
      </c>
      <c r="D1422" s="2"/>
      <c r="E1422" s="2" t="s">
        <v>4846</v>
      </c>
      <c r="F1422" s="2" t="s">
        <v>1725</v>
      </c>
      <c r="G1422" s="2">
        <v>29.0672</v>
      </c>
      <c r="H1422" s="2" t="s">
        <v>4644</v>
      </c>
      <c r="I1422" s="2" t="s">
        <v>4645</v>
      </c>
      <c r="J1422" s="2" t="s">
        <v>4723</v>
      </c>
      <c r="K1422" s="2">
        <v>42</v>
      </c>
      <c r="L1422" s="2" t="s">
        <v>4647</v>
      </c>
    </row>
    <row r="1423" spans="1:12" ht="33.75" customHeight="1" x14ac:dyDescent="0.25">
      <c r="A1423" s="14" t="s">
        <v>3344</v>
      </c>
      <c r="B1423" s="3" t="s">
        <v>277</v>
      </c>
      <c r="C1423" s="3" t="s">
        <v>3345</v>
      </c>
      <c r="D1423" s="3"/>
      <c r="E1423" s="3" t="s">
        <v>4696</v>
      </c>
      <c r="F1423" s="3" t="s">
        <v>279</v>
      </c>
      <c r="G1423" s="3">
        <v>29.7592</v>
      </c>
      <c r="H1423" s="3" t="s">
        <v>4644</v>
      </c>
      <c r="I1423" s="3" t="s">
        <v>4645</v>
      </c>
      <c r="J1423" s="3" t="s">
        <v>4697</v>
      </c>
      <c r="K1423" s="3">
        <v>48</v>
      </c>
      <c r="L1423" s="3" t="s">
        <v>4647</v>
      </c>
    </row>
    <row r="1424" spans="1:12" ht="33.75" customHeight="1" x14ac:dyDescent="0.25">
      <c r="A1424" s="13" t="s">
        <v>3346</v>
      </c>
      <c r="B1424" s="2" t="s">
        <v>1727</v>
      </c>
      <c r="C1424" s="2" t="s">
        <v>3347</v>
      </c>
      <c r="D1424" s="2"/>
      <c r="E1424" s="2" t="s">
        <v>4847</v>
      </c>
      <c r="F1424" s="2" t="s">
        <v>1729</v>
      </c>
      <c r="G1424" s="2">
        <v>29.0792</v>
      </c>
      <c r="H1424" s="2" t="s">
        <v>4644</v>
      </c>
      <c r="I1424" s="2" t="s">
        <v>4645</v>
      </c>
      <c r="J1424" s="2" t="s">
        <v>4691</v>
      </c>
      <c r="K1424" s="2">
        <v>36</v>
      </c>
      <c r="L1424" s="2" t="s">
        <v>4647</v>
      </c>
    </row>
    <row r="1425" spans="1:12" ht="33.75" customHeight="1" x14ac:dyDescent="0.25">
      <c r="A1425" s="14" t="s">
        <v>3348</v>
      </c>
      <c r="B1425" s="3" t="s">
        <v>3349</v>
      </c>
      <c r="C1425" s="3" t="s">
        <v>3350</v>
      </c>
      <c r="D1425" s="3"/>
      <c r="E1425" s="3" t="s">
        <v>4981</v>
      </c>
      <c r="F1425" s="3" t="s">
        <v>3351</v>
      </c>
      <c r="G1425" s="3">
        <v>27.859200000000001</v>
      </c>
      <c r="H1425" s="3" t="s">
        <v>4644</v>
      </c>
      <c r="I1425" s="3" t="s">
        <v>4645</v>
      </c>
      <c r="J1425" s="3" t="s">
        <v>4733</v>
      </c>
      <c r="K1425" s="3">
        <v>96</v>
      </c>
      <c r="L1425" s="3" t="s">
        <v>4647</v>
      </c>
    </row>
    <row r="1426" spans="1:12" ht="33.75" customHeight="1" x14ac:dyDescent="0.25">
      <c r="A1426" s="13" t="s">
        <v>3352</v>
      </c>
      <c r="B1426" s="2" t="s">
        <v>382</v>
      </c>
      <c r="C1426" s="2" t="s">
        <v>3353</v>
      </c>
      <c r="D1426" s="2" t="s">
        <v>4922</v>
      </c>
      <c r="E1426" s="2" t="s">
        <v>4725</v>
      </c>
      <c r="F1426" s="2" t="s">
        <v>384</v>
      </c>
      <c r="G1426" s="2">
        <v>35.3172</v>
      </c>
      <c r="H1426" s="2" t="s">
        <v>4644</v>
      </c>
      <c r="I1426" s="2" t="s">
        <v>4645</v>
      </c>
      <c r="J1426" s="2" t="s">
        <v>4726</v>
      </c>
      <c r="K1426" s="2">
        <v>96</v>
      </c>
      <c r="L1426" s="2" t="s">
        <v>4647</v>
      </c>
    </row>
    <row r="1427" spans="1:12" ht="33.75" customHeight="1" x14ac:dyDescent="0.25">
      <c r="A1427" s="14" t="s">
        <v>3354</v>
      </c>
      <c r="B1427" s="3" t="s">
        <v>404</v>
      </c>
      <c r="C1427" s="3" t="s">
        <v>2233</v>
      </c>
      <c r="D1427" s="3" t="s">
        <v>4773</v>
      </c>
      <c r="E1427" s="3" t="s">
        <v>4731</v>
      </c>
      <c r="F1427" s="3" t="s">
        <v>406</v>
      </c>
      <c r="G1427" s="3">
        <v>29.999199999999998</v>
      </c>
      <c r="H1427" s="3" t="s">
        <v>4644</v>
      </c>
      <c r="I1427" s="3" t="s">
        <v>4645</v>
      </c>
      <c r="J1427" s="3" t="s">
        <v>4695</v>
      </c>
      <c r="K1427" s="3">
        <v>63</v>
      </c>
      <c r="L1427" s="3" t="s">
        <v>4647</v>
      </c>
    </row>
    <row r="1428" spans="1:12" ht="33.75" customHeight="1" x14ac:dyDescent="0.25">
      <c r="A1428" s="13" t="s">
        <v>3355</v>
      </c>
      <c r="B1428" s="2" t="s">
        <v>3356</v>
      </c>
      <c r="C1428" s="2" t="s">
        <v>3357</v>
      </c>
      <c r="D1428" s="2"/>
      <c r="E1428" s="2" t="s">
        <v>4982</v>
      </c>
      <c r="F1428" s="2" t="s">
        <v>3358</v>
      </c>
      <c r="G1428" s="2">
        <v>27.819199999999999</v>
      </c>
      <c r="H1428" s="2" t="s">
        <v>4644</v>
      </c>
      <c r="I1428" s="2" t="s">
        <v>4645</v>
      </c>
      <c r="J1428" s="2" t="s">
        <v>4721</v>
      </c>
      <c r="K1428" s="2">
        <v>48</v>
      </c>
      <c r="L1428" s="2" t="s">
        <v>4647</v>
      </c>
    </row>
    <row r="1429" spans="1:12" ht="33.75" customHeight="1" x14ac:dyDescent="0.25">
      <c r="A1429" s="14" t="s">
        <v>3359</v>
      </c>
      <c r="B1429" s="3" t="s">
        <v>400</v>
      </c>
      <c r="C1429" s="3" t="s">
        <v>3360</v>
      </c>
      <c r="D1429" s="3"/>
      <c r="E1429" s="3" t="s">
        <v>4730</v>
      </c>
      <c r="F1429" s="3" t="s">
        <v>402</v>
      </c>
      <c r="G1429" s="3">
        <v>34.332239999999999</v>
      </c>
      <c r="H1429" s="3" t="s">
        <v>4644</v>
      </c>
      <c r="I1429" s="3" t="s">
        <v>4645</v>
      </c>
      <c r="J1429" s="3" t="s">
        <v>4719</v>
      </c>
      <c r="K1429" s="3">
        <v>72</v>
      </c>
      <c r="L1429" s="3" t="s">
        <v>4647</v>
      </c>
    </row>
    <row r="1430" spans="1:12" ht="33.75" customHeight="1" x14ac:dyDescent="0.25">
      <c r="A1430" s="13" t="s">
        <v>3361</v>
      </c>
      <c r="B1430" s="2" t="s">
        <v>878</v>
      </c>
      <c r="C1430" s="2" t="s">
        <v>3362</v>
      </c>
      <c r="D1430" s="2" t="s">
        <v>4741</v>
      </c>
      <c r="E1430" s="2" t="s">
        <v>4802</v>
      </c>
      <c r="F1430" s="2" t="s">
        <v>880</v>
      </c>
      <c r="G1430" s="2">
        <v>27.925999999999998</v>
      </c>
      <c r="H1430" s="2" t="s">
        <v>4644</v>
      </c>
      <c r="I1430" s="2" t="s">
        <v>4645</v>
      </c>
      <c r="J1430" s="2" t="s">
        <v>4684</v>
      </c>
      <c r="K1430" s="2">
        <v>51</v>
      </c>
      <c r="L1430" s="2" t="s">
        <v>4647</v>
      </c>
    </row>
    <row r="1431" spans="1:12" ht="33.75" customHeight="1" x14ac:dyDescent="0.25">
      <c r="A1431" s="14" t="s">
        <v>3363</v>
      </c>
      <c r="B1431" s="3" t="s">
        <v>2137</v>
      </c>
      <c r="C1431" s="3" t="s">
        <v>3364</v>
      </c>
      <c r="D1431" s="3" t="s">
        <v>4741</v>
      </c>
      <c r="E1431" s="3" t="s">
        <v>4885</v>
      </c>
      <c r="F1431" s="3" t="s">
        <v>2139</v>
      </c>
      <c r="G1431" s="3">
        <v>27.925999999999998</v>
      </c>
      <c r="H1431" s="3" t="s">
        <v>4644</v>
      </c>
      <c r="I1431" s="3" t="s">
        <v>4645</v>
      </c>
      <c r="J1431" s="3" t="s">
        <v>4697</v>
      </c>
      <c r="K1431" s="3">
        <v>36</v>
      </c>
      <c r="L1431" s="3" t="s">
        <v>4647</v>
      </c>
    </row>
    <row r="1432" spans="1:12" ht="33.75" customHeight="1" x14ac:dyDescent="0.25">
      <c r="A1432" s="13" t="s">
        <v>3365</v>
      </c>
      <c r="B1432" s="2" t="s">
        <v>2137</v>
      </c>
      <c r="C1432" s="2" t="s">
        <v>3366</v>
      </c>
      <c r="D1432" s="2" t="s">
        <v>4741</v>
      </c>
      <c r="E1432" s="2" t="s">
        <v>4885</v>
      </c>
      <c r="F1432" s="2" t="s">
        <v>2139</v>
      </c>
      <c r="G1432" s="2">
        <v>27.925999999999998</v>
      </c>
      <c r="H1432" s="2" t="s">
        <v>4644</v>
      </c>
      <c r="I1432" s="2" t="s">
        <v>4645</v>
      </c>
      <c r="J1432" s="2" t="s">
        <v>4697</v>
      </c>
      <c r="K1432" s="2">
        <v>36</v>
      </c>
      <c r="L1432" s="2" t="s">
        <v>4647</v>
      </c>
    </row>
    <row r="1433" spans="1:12" ht="33.75" customHeight="1" x14ac:dyDescent="0.25">
      <c r="A1433" s="14" t="s">
        <v>3367</v>
      </c>
      <c r="B1433" s="3" t="s">
        <v>2572</v>
      </c>
      <c r="C1433" s="3" t="s">
        <v>3368</v>
      </c>
      <c r="D1433" s="3" t="s">
        <v>4741</v>
      </c>
      <c r="E1433" s="3" t="s">
        <v>4928</v>
      </c>
      <c r="F1433" s="3" t="s">
        <v>2574</v>
      </c>
      <c r="G1433" s="3">
        <v>27.925999999999998</v>
      </c>
      <c r="H1433" s="3" t="s">
        <v>4644</v>
      </c>
      <c r="I1433" s="3" t="s">
        <v>4645</v>
      </c>
      <c r="J1433" s="3" t="s">
        <v>4735</v>
      </c>
      <c r="K1433" s="3">
        <v>54</v>
      </c>
      <c r="L1433" s="3" t="s">
        <v>4647</v>
      </c>
    </row>
    <row r="1434" spans="1:12" ht="33.75" customHeight="1" x14ac:dyDescent="0.25">
      <c r="A1434" s="13" t="s">
        <v>3369</v>
      </c>
      <c r="B1434" s="2" t="s">
        <v>1781</v>
      </c>
      <c r="C1434" s="2" t="s">
        <v>3370</v>
      </c>
      <c r="D1434" s="2" t="s">
        <v>4741</v>
      </c>
      <c r="E1434" s="2" t="s">
        <v>4858</v>
      </c>
      <c r="F1434" s="2" t="s">
        <v>1783</v>
      </c>
      <c r="G1434" s="2">
        <v>27.925999999999998</v>
      </c>
      <c r="H1434" s="2" t="s">
        <v>4644</v>
      </c>
      <c r="I1434" s="2" t="s">
        <v>4645</v>
      </c>
      <c r="J1434" s="2" t="s">
        <v>4695</v>
      </c>
      <c r="K1434" s="2">
        <v>48</v>
      </c>
      <c r="L1434" s="2" t="s">
        <v>4647</v>
      </c>
    </row>
    <row r="1435" spans="1:12" ht="33.75" customHeight="1" x14ac:dyDescent="0.25">
      <c r="A1435" s="14" t="s">
        <v>3371</v>
      </c>
      <c r="B1435" s="3" t="s">
        <v>830</v>
      </c>
      <c r="C1435" s="3" t="s">
        <v>3372</v>
      </c>
      <c r="D1435" s="3" t="s">
        <v>4741</v>
      </c>
      <c r="E1435" s="3" t="s">
        <v>4797</v>
      </c>
      <c r="F1435" s="3" t="s">
        <v>832</v>
      </c>
      <c r="G1435" s="3">
        <v>27.925999999999998</v>
      </c>
      <c r="H1435" s="3" t="s">
        <v>4644</v>
      </c>
      <c r="I1435" s="3" t="s">
        <v>4645</v>
      </c>
      <c r="J1435" s="3" t="s">
        <v>4723</v>
      </c>
      <c r="K1435" s="3">
        <v>42</v>
      </c>
      <c r="L1435" s="3" t="s">
        <v>4647</v>
      </c>
    </row>
    <row r="1436" spans="1:12" ht="33.75" customHeight="1" x14ac:dyDescent="0.25">
      <c r="A1436" s="13" t="s">
        <v>3373</v>
      </c>
      <c r="B1436" s="2" t="s">
        <v>2137</v>
      </c>
      <c r="C1436" s="2" t="s">
        <v>3374</v>
      </c>
      <c r="D1436" s="2" t="s">
        <v>4741</v>
      </c>
      <c r="E1436" s="2" t="s">
        <v>4885</v>
      </c>
      <c r="F1436" s="2" t="s">
        <v>2139</v>
      </c>
      <c r="G1436" s="2">
        <v>27.925999999999998</v>
      </c>
      <c r="H1436" s="2" t="s">
        <v>4644</v>
      </c>
      <c r="I1436" s="2" t="s">
        <v>4645</v>
      </c>
      <c r="J1436" s="2" t="s">
        <v>4697</v>
      </c>
      <c r="K1436" s="2">
        <v>36</v>
      </c>
      <c r="L1436" s="2" t="s">
        <v>4647</v>
      </c>
    </row>
    <row r="1437" spans="1:12" ht="33.75" customHeight="1" x14ac:dyDescent="0.25">
      <c r="A1437" s="14" t="s">
        <v>3375</v>
      </c>
      <c r="B1437" s="3" t="s">
        <v>2582</v>
      </c>
      <c r="C1437" s="3" t="s">
        <v>3376</v>
      </c>
      <c r="D1437" s="3" t="s">
        <v>4741</v>
      </c>
      <c r="E1437" s="3" t="s">
        <v>4929</v>
      </c>
      <c r="F1437" s="3" t="s">
        <v>2584</v>
      </c>
      <c r="G1437" s="3">
        <v>27.925999999999998</v>
      </c>
      <c r="H1437" s="3" t="s">
        <v>4644</v>
      </c>
      <c r="I1437" s="3" t="s">
        <v>4645</v>
      </c>
      <c r="J1437" s="3" t="s">
        <v>4691</v>
      </c>
      <c r="K1437" s="3">
        <v>33</v>
      </c>
      <c r="L1437" s="3" t="s">
        <v>4647</v>
      </c>
    </row>
    <row r="1438" spans="1:12" ht="33.75" customHeight="1" x14ac:dyDescent="0.25">
      <c r="A1438" s="13" t="s">
        <v>3377</v>
      </c>
      <c r="B1438" s="2" t="s">
        <v>1151</v>
      </c>
      <c r="C1438" s="2" t="s">
        <v>3378</v>
      </c>
      <c r="D1438" s="2" t="s">
        <v>4701</v>
      </c>
      <c r="E1438" s="2" t="s">
        <v>4812</v>
      </c>
      <c r="F1438" s="2" t="s">
        <v>1153</v>
      </c>
      <c r="G1438" s="2">
        <v>30.6372</v>
      </c>
      <c r="H1438" s="2" t="s">
        <v>4644</v>
      </c>
      <c r="I1438" s="2" t="s">
        <v>4645</v>
      </c>
      <c r="J1438" s="2" t="s">
        <v>4693</v>
      </c>
      <c r="K1438" s="2">
        <v>72</v>
      </c>
      <c r="L1438" s="2" t="s">
        <v>4647</v>
      </c>
    </row>
    <row r="1439" spans="1:12" ht="33.75" customHeight="1" x14ac:dyDescent="0.25">
      <c r="A1439" s="14" t="s">
        <v>3379</v>
      </c>
      <c r="B1439" s="3" t="s">
        <v>418</v>
      </c>
      <c r="C1439" s="3" t="s">
        <v>3380</v>
      </c>
      <c r="D1439" s="3" t="s">
        <v>4701</v>
      </c>
      <c r="E1439" s="3" t="s">
        <v>4734</v>
      </c>
      <c r="F1439" s="3" t="s">
        <v>420</v>
      </c>
      <c r="G1439" s="3">
        <v>30.655200000000001</v>
      </c>
      <c r="H1439" s="3" t="s">
        <v>4644</v>
      </c>
      <c r="I1439" s="3" t="s">
        <v>4645</v>
      </c>
      <c r="J1439" s="3" t="s">
        <v>4735</v>
      </c>
      <c r="K1439" s="3">
        <v>72</v>
      </c>
      <c r="L1439" s="3" t="s">
        <v>4647</v>
      </c>
    </row>
    <row r="1440" spans="1:12" ht="33.75" customHeight="1" x14ac:dyDescent="0.25">
      <c r="A1440" s="13" t="s">
        <v>3381</v>
      </c>
      <c r="B1440" s="2" t="s">
        <v>990</v>
      </c>
      <c r="C1440" s="2" t="s">
        <v>3382</v>
      </c>
      <c r="D1440" s="2" t="s">
        <v>4701</v>
      </c>
      <c r="E1440" s="2" t="s">
        <v>4806</v>
      </c>
      <c r="F1440" s="2" t="s">
        <v>992</v>
      </c>
      <c r="G1440" s="2">
        <v>29.755199999999999</v>
      </c>
      <c r="H1440" s="2" t="s">
        <v>4644</v>
      </c>
      <c r="I1440" s="2" t="s">
        <v>4645</v>
      </c>
      <c r="J1440" s="2" t="s">
        <v>4723</v>
      </c>
      <c r="K1440" s="2">
        <v>54</v>
      </c>
      <c r="L1440" s="2" t="s">
        <v>4647</v>
      </c>
    </row>
    <row r="1441" spans="1:12" ht="33.75" customHeight="1" x14ac:dyDescent="0.25">
      <c r="A1441" s="14" t="s">
        <v>3383</v>
      </c>
      <c r="B1441" s="3" t="s">
        <v>356</v>
      </c>
      <c r="C1441" s="3" t="s">
        <v>3384</v>
      </c>
      <c r="D1441" s="3" t="s">
        <v>4701</v>
      </c>
      <c r="E1441" s="3" t="s">
        <v>4716</v>
      </c>
      <c r="F1441" s="3" t="s">
        <v>358</v>
      </c>
      <c r="G1441" s="3">
        <v>29.5992</v>
      </c>
      <c r="H1441" s="3" t="s">
        <v>4644</v>
      </c>
      <c r="I1441" s="3" t="s">
        <v>4645</v>
      </c>
      <c r="J1441" s="3" t="s">
        <v>4691</v>
      </c>
      <c r="K1441" s="3">
        <v>42</v>
      </c>
      <c r="L1441" s="3" t="s">
        <v>4647</v>
      </c>
    </row>
    <row r="1442" spans="1:12" ht="33.75" customHeight="1" x14ac:dyDescent="0.25">
      <c r="A1442" s="13" t="s">
        <v>3385</v>
      </c>
      <c r="B1442" s="2" t="s">
        <v>418</v>
      </c>
      <c r="C1442" s="2" t="s">
        <v>3386</v>
      </c>
      <c r="D1442" s="2" t="s">
        <v>4701</v>
      </c>
      <c r="E1442" s="2" t="s">
        <v>4734</v>
      </c>
      <c r="F1442" s="2" t="s">
        <v>420</v>
      </c>
      <c r="G1442" s="2">
        <v>30.655200000000001</v>
      </c>
      <c r="H1442" s="2" t="s">
        <v>4644</v>
      </c>
      <c r="I1442" s="2" t="s">
        <v>4645</v>
      </c>
      <c r="J1442" s="2" t="s">
        <v>4735</v>
      </c>
      <c r="K1442" s="2">
        <v>72</v>
      </c>
      <c r="L1442" s="2" t="s">
        <v>4647</v>
      </c>
    </row>
    <row r="1443" spans="1:12" ht="33.75" customHeight="1" x14ac:dyDescent="0.25">
      <c r="A1443" s="14" t="s">
        <v>3387</v>
      </c>
      <c r="B1443" s="3" t="s">
        <v>404</v>
      </c>
      <c r="C1443" s="3" t="s">
        <v>3388</v>
      </c>
      <c r="D1443" s="3" t="s">
        <v>4701</v>
      </c>
      <c r="E1443" s="3" t="s">
        <v>4731</v>
      </c>
      <c r="F1443" s="3" t="s">
        <v>406</v>
      </c>
      <c r="G1443" s="3">
        <v>29.999199999999998</v>
      </c>
      <c r="H1443" s="3" t="s">
        <v>4644</v>
      </c>
      <c r="I1443" s="3" t="s">
        <v>4645</v>
      </c>
      <c r="J1443" s="3" t="s">
        <v>4695</v>
      </c>
      <c r="K1443" s="3">
        <v>63</v>
      </c>
      <c r="L1443" s="3" t="s">
        <v>4647</v>
      </c>
    </row>
    <row r="1444" spans="1:12" ht="33.75" customHeight="1" x14ac:dyDescent="0.25">
      <c r="A1444" s="13" t="s">
        <v>3389</v>
      </c>
      <c r="B1444" s="2" t="s">
        <v>990</v>
      </c>
      <c r="C1444" s="2" t="s">
        <v>3390</v>
      </c>
      <c r="D1444" s="2" t="s">
        <v>4701</v>
      </c>
      <c r="E1444" s="2" t="s">
        <v>4806</v>
      </c>
      <c r="F1444" s="2" t="s">
        <v>992</v>
      </c>
      <c r="G1444" s="2">
        <v>29.755199999999999</v>
      </c>
      <c r="H1444" s="2" t="s">
        <v>4644</v>
      </c>
      <c r="I1444" s="2" t="s">
        <v>4645</v>
      </c>
      <c r="J1444" s="2" t="s">
        <v>4723</v>
      </c>
      <c r="K1444" s="2">
        <v>54</v>
      </c>
      <c r="L1444" s="2" t="s">
        <v>4647</v>
      </c>
    </row>
    <row r="1445" spans="1:12" ht="33.75" customHeight="1" x14ac:dyDescent="0.25">
      <c r="A1445" s="14" t="s">
        <v>3391</v>
      </c>
      <c r="B1445" s="3" t="s">
        <v>324</v>
      </c>
      <c r="C1445" s="3" t="s">
        <v>3392</v>
      </c>
      <c r="D1445" s="3" t="s">
        <v>4701</v>
      </c>
      <c r="E1445" s="3" t="s">
        <v>4704</v>
      </c>
      <c r="F1445" s="3" t="s">
        <v>326</v>
      </c>
      <c r="G1445" s="3">
        <v>29.719200000000001</v>
      </c>
      <c r="H1445" s="3" t="s">
        <v>4644</v>
      </c>
      <c r="I1445" s="3" t="s">
        <v>4645</v>
      </c>
      <c r="J1445" s="3" t="s">
        <v>4697</v>
      </c>
      <c r="K1445" s="3">
        <v>45</v>
      </c>
      <c r="L1445" s="3" t="s">
        <v>4647</v>
      </c>
    </row>
    <row r="1446" spans="1:12" ht="33.75" customHeight="1" x14ac:dyDescent="0.25">
      <c r="A1446" s="13" t="s">
        <v>3393</v>
      </c>
      <c r="B1446" s="2" t="s">
        <v>1888</v>
      </c>
      <c r="C1446" s="2" t="s">
        <v>3394</v>
      </c>
      <c r="D1446" s="2" t="s">
        <v>4794</v>
      </c>
      <c r="E1446" s="2" t="s">
        <v>4872</v>
      </c>
      <c r="F1446" s="2" t="s">
        <v>1890</v>
      </c>
      <c r="G1446" s="2">
        <v>27.859200000000001</v>
      </c>
      <c r="H1446" s="2" t="s">
        <v>4644</v>
      </c>
      <c r="I1446" s="2" t="s">
        <v>4645</v>
      </c>
      <c r="J1446" s="2" t="s">
        <v>4710</v>
      </c>
      <c r="K1446" s="2">
        <v>72</v>
      </c>
      <c r="L1446" s="2" t="s">
        <v>4647</v>
      </c>
    </row>
    <row r="1447" spans="1:12" ht="33.75" customHeight="1" x14ac:dyDescent="0.25">
      <c r="A1447" s="14" t="s">
        <v>3395</v>
      </c>
      <c r="B1447" s="3" t="s">
        <v>1888</v>
      </c>
      <c r="C1447" s="3" t="s">
        <v>3396</v>
      </c>
      <c r="D1447" s="3" t="s">
        <v>4794</v>
      </c>
      <c r="E1447" s="3" t="s">
        <v>4872</v>
      </c>
      <c r="F1447" s="3" t="s">
        <v>1890</v>
      </c>
      <c r="G1447" s="3">
        <v>27.859200000000001</v>
      </c>
      <c r="H1447" s="3" t="s">
        <v>4644</v>
      </c>
      <c r="I1447" s="3" t="s">
        <v>4645</v>
      </c>
      <c r="J1447" s="3" t="s">
        <v>4733</v>
      </c>
      <c r="K1447" s="3">
        <v>72</v>
      </c>
      <c r="L1447" s="3" t="s">
        <v>4647</v>
      </c>
    </row>
    <row r="1448" spans="1:12" ht="33.75" customHeight="1" x14ac:dyDescent="0.25">
      <c r="A1448" s="13" t="s">
        <v>3397</v>
      </c>
      <c r="B1448" s="2" t="s">
        <v>2696</v>
      </c>
      <c r="C1448" s="2" t="s">
        <v>3398</v>
      </c>
      <c r="D1448" s="2" t="s">
        <v>4794</v>
      </c>
      <c r="E1448" s="2" t="s">
        <v>4934</v>
      </c>
      <c r="F1448" s="2" t="s">
        <v>2698</v>
      </c>
      <c r="G1448" s="2">
        <v>27.639199999999999</v>
      </c>
      <c r="H1448" s="2" t="s">
        <v>4644</v>
      </c>
      <c r="I1448" s="2" t="s">
        <v>4645</v>
      </c>
      <c r="J1448" s="2" t="s">
        <v>4697</v>
      </c>
      <c r="K1448" s="2">
        <v>36</v>
      </c>
      <c r="L1448" s="2" t="s">
        <v>4647</v>
      </c>
    </row>
    <row r="1449" spans="1:12" ht="33.75" customHeight="1" x14ac:dyDescent="0.25">
      <c r="A1449" s="14" t="s">
        <v>3399</v>
      </c>
      <c r="B1449" s="3" t="s">
        <v>1878</v>
      </c>
      <c r="C1449" s="3" t="s">
        <v>3400</v>
      </c>
      <c r="D1449" s="3" t="s">
        <v>4794</v>
      </c>
      <c r="E1449" s="3" t="s">
        <v>4870</v>
      </c>
      <c r="F1449" s="3" t="s">
        <v>1880</v>
      </c>
      <c r="G1449" s="3">
        <v>27.639199999999999</v>
      </c>
      <c r="H1449" s="3" t="s">
        <v>4644</v>
      </c>
      <c r="I1449" s="3" t="s">
        <v>4645</v>
      </c>
      <c r="J1449" s="3" t="s">
        <v>4695</v>
      </c>
      <c r="K1449" s="3">
        <v>51</v>
      </c>
      <c r="L1449" s="3" t="s">
        <v>4647</v>
      </c>
    </row>
    <row r="1450" spans="1:12" ht="33.75" customHeight="1" x14ac:dyDescent="0.25">
      <c r="A1450" s="13" t="s">
        <v>3401</v>
      </c>
      <c r="B1450" s="2" t="s">
        <v>1878</v>
      </c>
      <c r="C1450" s="2" t="s">
        <v>3402</v>
      </c>
      <c r="D1450" s="2" t="s">
        <v>4794</v>
      </c>
      <c r="E1450" s="2" t="s">
        <v>4870</v>
      </c>
      <c r="F1450" s="2" t="s">
        <v>1880</v>
      </c>
      <c r="G1450" s="2">
        <v>27.639199999999999</v>
      </c>
      <c r="H1450" s="2" t="s">
        <v>4644</v>
      </c>
      <c r="I1450" s="2" t="s">
        <v>4645</v>
      </c>
      <c r="J1450" s="2" t="s">
        <v>4684</v>
      </c>
      <c r="K1450" s="2">
        <v>51</v>
      </c>
      <c r="L1450" s="2" t="s">
        <v>4647</v>
      </c>
    </row>
    <row r="1451" spans="1:12" ht="33.75" customHeight="1" x14ac:dyDescent="0.25">
      <c r="A1451" s="14" t="s">
        <v>3403</v>
      </c>
      <c r="B1451" s="3" t="s">
        <v>1884</v>
      </c>
      <c r="C1451" s="3" t="s">
        <v>3404</v>
      </c>
      <c r="D1451" s="3" t="s">
        <v>4794</v>
      </c>
      <c r="E1451" s="3" t="s">
        <v>4871</v>
      </c>
      <c r="F1451" s="3" t="s">
        <v>1886</v>
      </c>
      <c r="G1451" s="3">
        <v>27.639199999999999</v>
      </c>
      <c r="H1451" s="3" t="s">
        <v>4644</v>
      </c>
      <c r="I1451" s="3" t="s">
        <v>4645</v>
      </c>
      <c r="J1451" s="3" t="s">
        <v>4693</v>
      </c>
      <c r="K1451" s="3">
        <v>42</v>
      </c>
      <c r="L1451" s="3" t="s">
        <v>4647</v>
      </c>
    </row>
    <row r="1452" spans="1:12" ht="33.75" customHeight="1" x14ac:dyDescent="0.25">
      <c r="A1452" s="13" t="s">
        <v>3405</v>
      </c>
      <c r="B1452" s="2" t="s">
        <v>1884</v>
      </c>
      <c r="C1452" s="2" t="s">
        <v>3406</v>
      </c>
      <c r="D1452" s="2" t="s">
        <v>4794</v>
      </c>
      <c r="E1452" s="2" t="s">
        <v>4871</v>
      </c>
      <c r="F1452" s="2" t="s">
        <v>1886</v>
      </c>
      <c r="G1452" s="2">
        <v>27.639199999999999</v>
      </c>
      <c r="H1452" s="2" t="s">
        <v>4644</v>
      </c>
      <c r="I1452" s="2" t="s">
        <v>4645</v>
      </c>
      <c r="J1452" s="2" t="s">
        <v>4723</v>
      </c>
      <c r="K1452" s="2">
        <v>42</v>
      </c>
      <c r="L1452" s="2" t="s">
        <v>4647</v>
      </c>
    </row>
    <row r="1453" spans="1:12" ht="33.75" customHeight="1" x14ac:dyDescent="0.25">
      <c r="A1453" s="14" t="s">
        <v>3407</v>
      </c>
      <c r="B1453" s="3" t="s">
        <v>656</v>
      </c>
      <c r="C1453" s="3" t="s">
        <v>3408</v>
      </c>
      <c r="D1453" s="3" t="s">
        <v>4648</v>
      </c>
      <c r="E1453" s="3" t="s">
        <v>4776</v>
      </c>
      <c r="F1453" s="3" t="s">
        <v>658</v>
      </c>
      <c r="G1453" s="3">
        <v>30.368400000000001</v>
      </c>
      <c r="H1453" s="3" t="s">
        <v>4644</v>
      </c>
      <c r="I1453" s="3" t="s">
        <v>4645</v>
      </c>
      <c r="J1453" s="3" t="s">
        <v>4735</v>
      </c>
      <c r="K1453" s="3">
        <v>72</v>
      </c>
      <c r="L1453" s="3" t="s">
        <v>4647</v>
      </c>
    </row>
    <row r="1454" spans="1:12" ht="33.75" customHeight="1" x14ac:dyDescent="0.25">
      <c r="A1454" s="13" t="s">
        <v>3409</v>
      </c>
      <c r="B1454" s="2" t="s">
        <v>612</v>
      </c>
      <c r="C1454" s="2" t="s">
        <v>3410</v>
      </c>
      <c r="D1454" s="2" t="s">
        <v>4648</v>
      </c>
      <c r="E1454" s="2" t="s">
        <v>4765</v>
      </c>
      <c r="F1454" s="2" t="s">
        <v>614</v>
      </c>
      <c r="G1454" s="2">
        <v>29.712399999999999</v>
      </c>
      <c r="H1454" s="2" t="s">
        <v>4644</v>
      </c>
      <c r="I1454" s="2" t="s">
        <v>4645</v>
      </c>
      <c r="J1454" s="2" t="s">
        <v>4695</v>
      </c>
      <c r="K1454" s="2">
        <v>63</v>
      </c>
      <c r="L1454" s="2" t="s">
        <v>4647</v>
      </c>
    </row>
    <row r="1455" spans="1:12" ht="33.75" customHeight="1" x14ac:dyDescent="0.25">
      <c r="A1455" s="14" t="s">
        <v>3411</v>
      </c>
      <c r="B1455" s="3" t="s">
        <v>612</v>
      </c>
      <c r="C1455" s="3" t="s">
        <v>3412</v>
      </c>
      <c r="D1455" s="3" t="s">
        <v>4648</v>
      </c>
      <c r="E1455" s="3" t="s">
        <v>4765</v>
      </c>
      <c r="F1455" s="3" t="s">
        <v>614</v>
      </c>
      <c r="G1455" s="3">
        <v>29.712399999999999</v>
      </c>
      <c r="H1455" s="3" t="s">
        <v>4644</v>
      </c>
      <c r="I1455" s="3" t="s">
        <v>4645</v>
      </c>
      <c r="J1455" s="3" t="s">
        <v>4695</v>
      </c>
      <c r="K1455" s="3">
        <v>63</v>
      </c>
      <c r="L1455" s="3" t="s">
        <v>4647</v>
      </c>
    </row>
    <row r="1456" spans="1:12" ht="33.75" customHeight="1" x14ac:dyDescent="0.25">
      <c r="A1456" s="13" t="s">
        <v>3413</v>
      </c>
      <c r="B1456" s="2" t="s">
        <v>665</v>
      </c>
      <c r="C1456" s="2" t="s">
        <v>3414</v>
      </c>
      <c r="D1456" s="2" t="s">
        <v>4648</v>
      </c>
      <c r="E1456" s="2" t="s">
        <v>4777</v>
      </c>
      <c r="F1456" s="2" t="s">
        <v>667</v>
      </c>
      <c r="G1456" s="2">
        <v>29.432400000000001</v>
      </c>
      <c r="H1456" s="2" t="s">
        <v>4644</v>
      </c>
      <c r="I1456" s="2" t="s">
        <v>4645</v>
      </c>
      <c r="J1456" s="2" t="s">
        <v>4697</v>
      </c>
      <c r="K1456" s="2">
        <v>45</v>
      </c>
      <c r="L1456" s="2" t="s">
        <v>4647</v>
      </c>
    </row>
    <row r="1457" spans="1:12" ht="33.75" customHeight="1" x14ac:dyDescent="0.25">
      <c r="A1457" s="14" t="s">
        <v>3415</v>
      </c>
      <c r="B1457" s="3" t="s">
        <v>669</v>
      </c>
      <c r="C1457" s="3" t="s">
        <v>3416</v>
      </c>
      <c r="D1457" s="3" t="s">
        <v>4648</v>
      </c>
      <c r="E1457" s="3" t="s">
        <v>4778</v>
      </c>
      <c r="F1457" s="3" t="s">
        <v>671</v>
      </c>
      <c r="G1457" s="3">
        <v>29.982399999999998</v>
      </c>
      <c r="H1457" s="3" t="s">
        <v>4644</v>
      </c>
      <c r="I1457" s="3" t="s">
        <v>4645</v>
      </c>
      <c r="J1457" s="3" t="s">
        <v>4710</v>
      </c>
      <c r="K1457" s="3">
        <v>87</v>
      </c>
      <c r="L1457" s="3" t="s">
        <v>4647</v>
      </c>
    </row>
    <row r="1458" spans="1:12" ht="33.75" customHeight="1" x14ac:dyDescent="0.25">
      <c r="A1458" s="13" t="s">
        <v>3417</v>
      </c>
      <c r="B1458" s="2" t="s">
        <v>673</v>
      </c>
      <c r="C1458" s="2" t="s">
        <v>3418</v>
      </c>
      <c r="D1458" s="2" t="s">
        <v>4648</v>
      </c>
      <c r="E1458" s="2" t="s">
        <v>4779</v>
      </c>
      <c r="F1458" s="2" t="s">
        <v>675</v>
      </c>
      <c r="G1458" s="2">
        <v>29.5824</v>
      </c>
      <c r="H1458" s="2" t="s">
        <v>4644</v>
      </c>
      <c r="I1458" s="2" t="s">
        <v>4645</v>
      </c>
      <c r="J1458" s="2" t="s">
        <v>4684</v>
      </c>
      <c r="K1458" s="2">
        <v>63</v>
      </c>
      <c r="L1458" s="2" t="s">
        <v>4647</v>
      </c>
    </row>
    <row r="1459" spans="1:12" ht="33.75" customHeight="1" x14ac:dyDescent="0.25">
      <c r="A1459" s="14" t="s">
        <v>3419</v>
      </c>
      <c r="B1459" s="3" t="s">
        <v>687</v>
      </c>
      <c r="C1459" s="3" t="s">
        <v>3420</v>
      </c>
      <c r="D1459" s="3" t="s">
        <v>4648</v>
      </c>
      <c r="E1459" s="3" t="s">
        <v>4782</v>
      </c>
      <c r="F1459" s="3" t="s">
        <v>689</v>
      </c>
      <c r="G1459" s="3">
        <v>34.045439999999999</v>
      </c>
      <c r="H1459" s="3" t="s">
        <v>4644</v>
      </c>
      <c r="I1459" s="3" t="s">
        <v>4645</v>
      </c>
      <c r="J1459" s="3" t="s">
        <v>4719</v>
      </c>
      <c r="K1459" s="3">
        <v>72</v>
      </c>
      <c r="L1459" s="3" t="s">
        <v>4647</v>
      </c>
    </row>
    <row r="1460" spans="1:12" ht="33.75" customHeight="1" x14ac:dyDescent="0.25">
      <c r="A1460" s="13" t="s">
        <v>3421</v>
      </c>
      <c r="B1460" s="2" t="s">
        <v>73</v>
      </c>
      <c r="C1460" s="2" t="s">
        <v>3422</v>
      </c>
      <c r="D1460" s="2" t="s">
        <v>4648</v>
      </c>
      <c r="E1460" s="2" t="s">
        <v>4653</v>
      </c>
      <c r="F1460" s="2" t="s">
        <v>75</v>
      </c>
      <c r="G1460" s="2">
        <v>31.538399999999999</v>
      </c>
      <c r="H1460" s="2" t="s">
        <v>4644</v>
      </c>
      <c r="I1460" s="2" t="s">
        <v>4645</v>
      </c>
      <c r="J1460" s="2" t="s">
        <v>4646</v>
      </c>
      <c r="K1460" s="2">
        <v>21</v>
      </c>
      <c r="L1460" s="2" t="s">
        <v>4647</v>
      </c>
    </row>
    <row r="1461" spans="1:12" ht="33.75" customHeight="1" x14ac:dyDescent="0.25">
      <c r="A1461" s="14" t="s">
        <v>3423</v>
      </c>
      <c r="B1461" s="3" t="s">
        <v>656</v>
      </c>
      <c r="C1461" s="3" t="s">
        <v>3424</v>
      </c>
      <c r="D1461" s="3" t="s">
        <v>4648</v>
      </c>
      <c r="E1461" s="3" t="s">
        <v>4776</v>
      </c>
      <c r="F1461" s="3" t="s">
        <v>658</v>
      </c>
      <c r="G1461" s="3">
        <v>30.368400000000001</v>
      </c>
      <c r="H1461" s="3" t="s">
        <v>4644</v>
      </c>
      <c r="I1461" s="3" t="s">
        <v>4645</v>
      </c>
      <c r="J1461" s="3" t="s">
        <v>4735</v>
      </c>
      <c r="K1461" s="3">
        <v>72</v>
      </c>
      <c r="L1461" s="3" t="s">
        <v>4647</v>
      </c>
    </row>
    <row r="1462" spans="1:12" ht="33.75" customHeight="1" x14ac:dyDescent="0.25">
      <c r="A1462" s="13" t="s">
        <v>3425</v>
      </c>
      <c r="B1462" s="2" t="s">
        <v>612</v>
      </c>
      <c r="C1462" s="2" t="s">
        <v>3426</v>
      </c>
      <c r="D1462" s="2" t="s">
        <v>4648</v>
      </c>
      <c r="E1462" s="2" t="s">
        <v>4765</v>
      </c>
      <c r="F1462" s="2" t="s">
        <v>614</v>
      </c>
      <c r="G1462" s="2">
        <v>29.712399999999999</v>
      </c>
      <c r="H1462" s="2" t="s">
        <v>4644</v>
      </c>
      <c r="I1462" s="2" t="s">
        <v>4645</v>
      </c>
      <c r="J1462" s="2" t="s">
        <v>4695</v>
      </c>
      <c r="K1462" s="2">
        <v>63</v>
      </c>
      <c r="L1462" s="2" t="s">
        <v>4647</v>
      </c>
    </row>
    <row r="1463" spans="1:12" ht="33.75" customHeight="1" x14ac:dyDescent="0.25">
      <c r="A1463" s="14" t="s">
        <v>3427</v>
      </c>
      <c r="B1463" s="3" t="s">
        <v>612</v>
      </c>
      <c r="C1463" s="3" t="s">
        <v>3428</v>
      </c>
      <c r="D1463" s="3" t="s">
        <v>4648</v>
      </c>
      <c r="E1463" s="3" t="s">
        <v>4765</v>
      </c>
      <c r="F1463" s="3" t="s">
        <v>614</v>
      </c>
      <c r="G1463" s="3">
        <v>29.712399999999999</v>
      </c>
      <c r="H1463" s="3" t="s">
        <v>4644</v>
      </c>
      <c r="I1463" s="3" t="s">
        <v>4645</v>
      </c>
      <c r="J1463" s="3" t="s">
        <v>4695</v>
      </c>
      <c r="K1463" s="3">
        <v>63</v>
      </c>
      <c r="L1463" s="3" t="s">
        <v>4647</v>
      </c>
    </row>
    <row r="1464" spans="1:12" ht="33.75" customHeight="1" x14ac:dyDescent="0.25">
      <c r="A1464" s="13" t="s">
        <v>3429</v>
      </c>
      <c r="B1464" s="2" t="s">
        <v>665</v>
      </c>
      <c r="C1464" s="2" t="s">
        <v>3430</v>
      </c>
      <c r="D1464" s="2" t="s">
        <v>4648</v>
      </c>
      <c r="E1464" s="2" t="s">
        <v>4777</v>
      </c>
      <c r="F1464" s="2" t="s">
        <v>667</v>
      </c>
      <c r="G1464" s="2">
        <v>29.432400000000001</v>
      </c>
      <c r="H1464" s="2" t="s">
        <v>4644</v>
      </c>
      <c r="I1464" s="2" t="s">
        <v>4645</v>
      </c>
      <c r="J1464" s="2" t="s">
        <v>4697</v>
      </c>
      <c r="K1464" s="2">
        <v>45</v>
      </c>
      <c r="L1464" s="2" t="s">
        <v>4647</v>
      </c>
    </row>
    <row r="1465" spans="1:12" ht="33.75" customHeight="1" x14ac:dyDescent="0.25">
      <c r="A1465" s="14" t="s">
        <v>3431</v>
      </c>
      <c r="B1465" s="3" t="s">
        <v>673</v>
      </c>
      <c r="C1465" s="3" t="s">
        <v>3432</v>
      </c>
      <c r="D1465" s="3" t="s">
        <v>4648</v>
      </c>
      <c r="E1465" s="3" t="s">
        <v>4779</v>
      </c>
      <c r="F1465" s="3" t="s">
        <v>675</v>
      </c>
      <c r="G1465" s="3">
        <v>29.5824</v>
      </c>
      <c r="H1465" s="3" t="s">
        <v>4644</v>
      </c>
      <c r="I1465" s="3" t="s">
        <v>4645</v>
      </c>
      <c r="J1465" s="3" t="s">
        <v>4684</v>
      </c>
      <c r="K1465" s="3">
        <v>63</v>
      </c>
      <c r="L1465" s="3" t="s">
        <v>4647</v>
      </c>
    </row>
    <row r="1466" spans="1:12" ht="33.75" customHeight="1" x14ac:dyDescent="0.25">
      <c r="A1466" s="13" t="s">
        <v>3433</v>
      </c>
      <c r="B1466" s="2" t="s">
        <v>650</v>
      </c>
      <c r="C1466" s="2" t="s">
        <v>3434</v>
      </c>
      <c r="D1466" s="2" t="s">
        <v>4648</v>
      </c>
      <c r="E1466" s="2" t="s">
        <v>4775</v>
      </c>
      <c r="F1466" s="2" t="s">
        <v>652</v>
      </c>
      <c r="G1466" s="2">
        <v>33.497</v>
      </c>
      <c r="H1466" s="2" t="s">
        <v>4644</v>
      </c>
      <c r="I1466" s="2" t="s">
        <v>4645</v>
      </c>
      <c r="J1466" s="2" t="s">
        <v>4721</v>
      </c>
      <c r="K1466" s="2">
        <v>54</v>
      </c>
      <c r="L1466" s="2" t="s">
        <v>4647</v>
      </c>
    </row>
    <row r="1467" spans="1:12" ht="33.75" customHeight="1" x14ac:dyDescent="0.25">
      <c r="A1467" s="14" t="s">
        <v>3435</v>
      </c>
      <c r="B1467" s="3" t="s">
        <v>63</v>
      </c>
      <c r="C1467" s="3" t="s">
        <v>3436</v>
      </c>
      <c r="D1467" s="3" t="s">
        <v>4648</v>
      </c>
      <c r="E1467" s="3" t="s">
        <v>4649</v>
      </c>
      <c r="F1467" s="3" t="s">
        <v>65</v>
      </c>
      <c r="G1467" s="3">
        <v>31.412400000000002</v>
      </c>
      <c r="H1467" s="3" t="s">
        <v>4644</v>
      </c>
      <c r="I1467" s="3" t="s">
        <v>4645</v>
      </c>
      <c r="J1467" s="3" t="s">
        <v>4650</v>
      </c>
      <c r="K1467" s="3">
        <v>30</v>
      </c>
      <c r="L1467" s="3" t="s">
        <v>4647</v>
      </c>
    </row>
    <row r="1468" spans="1:12" ht="33.75" customHeight="1" x14ac:dyDescent="0.25">
      <c r="A1468" s="13" t="s">
        <v>3437</v>
      </c>
      <c r="B1468" s="2" t="s">
        <v>69</v>
      </c>
      <c r="C1468" s="2" t="s">
        <v>3438</v>
      </c>
      <c r="D1468" s="2" t="s">
        <v>4648</v>
      </c>
      <c r="E1468" s="2" t="s">
        <v>4651</v>
      </c>
      <c r="F1468" s="2" t="s">
        <v>71</v>
      </c>
      <c r="G1468" s="2">
        <v>32.102400000000003</v>
      </c>
      <c r="H1468" s="2" t="s">
        <v>4644</v>
      </c>
      <c r="I1468" s="2" t="s">
        <v>4645</v>
      </c>
      <c r="J1468" s="2" t="s">
        <v>4652</v>
      </c>
      <c r="K1468" s="2">
        <v>30</v>
      </c>
      <c r="L1468" s="2" t="s">
        <v>4647</v>
      </c>
    </row>
    <row r="1469" spans="1:12" ht="33.75" customHeight="1" x14ac:dyDescent="0.25">
      <c r="A1469" s="14" t="s">
        <v>3439</v>
      </c>
      <c r="B1469" s="3" t="s">
        <v>73</v>
      </c>
      <c r="C1469" s="3" t="s">
        <v>3440</v>
      </c>
      <c r="D1469" s="3" t="s">
        <v>4648</v>
      </c>
      <c r="E1469" s="3" t="s">
        <v>4653</v>
      </c>
      <c r="F1469" s="3" t="s">
        <v>75</v>
      </c>
      <c r="G1469" s="3">
        <v>31.538399999999999</v>
      </c>
      <c r="H1469" s="3" t="s">
        <v>4644</v>
      </c>
      <c r="I1469" s="3" t="s">
        <v>4645</v>
      </c>
      <c r="J1469" s="3" t="s">
        <v>4646</v>
      </c>
      <c r="K1469" s="3">
        <v>21</v>
      </c>
      <c r="L1469" s="3" t="s">
        <v>4647</v>
      </c>
    </row>
    <row r="1470" spans="1:12" ht="33.75" customHeight="1" x14ac:dyDescent="0.25">
      <c r="A1470" s="13" t="s">
        <v>3441</v>
      </c>
      <c r="B1470" s="2" t="s">
        <v>83</v>
      </c>
      <c r="C1470" s="2" t="s">
        <v>3442</v>
      </c>
      <c r="D1470" s="2" t="s">
        <v>4648</v>
      </c>
      <c r="E1470" s="2" t="s">
        <v>4655</v>
      </c>
      <c r="F1470" s="2" t="s">
        <v>85</v>
      </c>
      <c r="G1470" s="2">
        <v>33.063000000000002</v>
      </c>
      <c r="H1470" s="2" t="s">
        <v>4644</v>
      </c>
      <c r="I1470" s="2" t="s">
        <v>4645</v>
      </c>
      <c r="J1470" s="2" t="s">
        <v>4656</v>
      </c>
      <c r="K1470" s="2">
        <v>45</v>
      </c>
      <c r="L1470" s="2" t="s">
        <v>4647</v>
      </c>
    </row>
    <row r="1471" spans="1:12" ht="33.75" customHeight="1" x14ac:dyDescent="0.25">
      <c r="A1471" s="14" t="s">
        <v>3443</v>
      </c>
      <c r="B1471" s="3" t="s">
        <v>656</v>
      </c>
      <c r="C1471" s="3" t="s">
        <v>3444</v>
      </c>
      <c r="D1471" s="3" t="s">
        <v>4648</v>
      </c>
      <c r="E1471" s="3" t="s">
        <v>4776</v>
      </c>
      <c r="F1471" s="3" t="s">
        <v>658</v>
      </c>
      <c r="G1471" s="3">
        <v>30.368400000000001</v>
      </c>
      <c r="H1471" s="3" t="s">
        <v>4644</v>
      </c>
      <c r="I1471" s="3" t="s">
        <v>4645</v>
      </c>
      <c r="J1471" s="3" t="s">
        <v>4735</v>
      </c>
      <c r="K1471" s="3">
        <v>72</v>
      </c>
      <c r="L1471" s="3" t="s">
        <v>4647</v>
      </c>
    </row>
    <row r="1472" spans="1:12" ht="33.75" customHeight="1" x14ac:dyDescent="0.25">
      <c r="A1472" s="13" t="s">
        <v>3445</v>
      </c>
      <c r="B1472" s="2" t="s">
        <v>612</v>
      </c>
      <c r="C1472" s="2" t="s">
        <v>3446</v>
      </c>
      <c r="D1472" s="2" t="s">
        <v>4648</v>
      </c>
      <c r="E1472" s="2" t="s">
        <v>4765</v>
      </c>
      <c r="F1472" s="2" t="s">
        <v>614</v>
      </c>
      <c r="G1472" s="2">
        <v>29.712399999999999</v>
      </c>
      <c r="H1472" s="2" t="s">
        <v>4644</v>
      </c>
      <c r="I1472" s="2" t="s">
        <v>4645</v>
      </c>
      <c r="J1472" s="2" t="s">
        <v>4695</v>
      </c>
      <c r="K1472" s="2">
        <v>63</v>
      </c>
      <c r="L1472" s="2" t="s">
        <v>4647</v>
      </c>
    </row>
    <row r="1473" spans="1:12" ht="33.75" customHeight="1" x14ac:dyDescent="0.25">
      <c r="A1473" s="14" t="s">
        <v>3447</v>
      </c>
      <c r="B1473" s="3" t="s">
        <v>612</v>
      </c>
      <c r="C1473" s="3" t="s">
        <v>3448</v>
      </c>
      <c r="D1473" s="3" t="s">
        <v>4648</v>
      </c>
      <c r="E1473" s="3" t="s">
        <v>4765</v>
      </c>
      <c r="F1473" s="3" t="s">
        <v>614</v>
      </c>
      <c r="G1473" s="3">
        <v>29.712399999999999</v>
      </c>
      <c r="H1473" s="3" t="s">
        <v>4644</v>
      </c>
      <c r="I1473" s="3" t="s">
        <v>4645</v>
      </c>
      <c r="J1473" s="3" t="s">
        <v>4695</v>
      </c>
      <c r="K1473" s="3">
        <v>63</v>
      </c>
      <c r="L1473" s="3" t="s">
        <v>4647</v>
      </c>
    </row>
    <row r="1474" spans="1:12" ht="33.75" customHeight="1" x14ac:dyDescent="0.25">
      <c r="A1474" s="13" t="s">
        <v>3449</v>
      </c>
      <c r="B1474" s="2" t="s">
        <v>665</v>
      </c>
      <c r="C1474" s="2" t="s">
        <v>3450</v>
      </c>
      <c r="D1474" s="2" t="s">
        <v>4648</v>
      </c>
      <c r="E1474" s="2" t="s">
        <v>4777</v>
      </c>
      <c r="F1474" s="2" t="s">
        <v>667</v>
      </c>
      <c r="G1474" s="2">
        <v>29.432400000000001</v>
      </c>
      <c r="H1474" s="2" t="s">
        <v>4644</v>
      </c>
      <c r="I1474" s="2" t="s">
        <v>4645</v>
      </c>
      <c r="J1474" s="2" t="s">
        <v>4697</v>
      </c>
      <c r="K1474" s="2">
        <v>45</v>
      </c>
      <c r="L1474" s="2" t="s">
        <v>4647</v>
      </c>
    </row>
    <row r="1475" spans="1:12" ht="33.75" customHeight="1" x14ac:dyDescent="0.25">
      <c r="A1475" s="14" t="s">
        <v>3451</v>
      </c>
      <c r="B1475" s="3" t="s">
        <v>673</v>
      </c>
      <c r="C1475" s="3" t="s">
        <v>3452</v>
      </c>
      <c r="D1475" s="3" t="s">
        <v>4648</v>
      </c>
      <c r="E1475" s="3" t="s">
        <v>4779</v>
      </c>
      <c r="F1475" s="3" t="s">
        <v>675</v>
      </c>
      <c r="G1475" s="3">
        <v>29.5824</v>
      </c>
      <c r="H1475" s="3" t="s">
        <v>4644</v>
      </c>
      <c r="I1475" s="3" t="s">
        <v>4645</v>
      </c>
      <c r="J1475" s="3" t="s">
        <v>4684</v>
      </c>
      <c r="K1475" s="3">
        <v>63</v>
      </c>
      <c r="L1475" s="3" t="s">
        <v>4647</v>
      </c>
    </row>
    <row r="1476" spans="1:12" ht="33.75" customHeight="1" x14ac:dyDescent="0.25">
      <c r="A1476" s="13" t="s">
        <v>3453</v>
      </c>
      <c r="B1476" s="2" t="s">
        <v>650</v>
      </c>
      <c r="C1476" s="2" t="s">
        <v>3454</v>
      </c>
      <c r="D1476" s="2" t="s">
        <v>4648</v>
      </c>
      <c r="E1476" s="2" t="s">
        <v>4775</v>
      </c>
      <c r="F1476" s="2" t="s">
        <v>652</v>
      </c>
      <c r="G1476" s="2">
        <v>33.497</v>
      </c>
      <c r="H1476" s="2" t="s">
        <v>4644</v>
      </c>
      <c r="I1476" s="2" t="s">
        <v>4645</v>
      </c>
      <c r="J1476" s="2" t="s">
        <v>4721</v>
      </c>
      <c r="K1476" s="2">
        <v>54</v>
      </c>
      <c r="L1476" s="2" t="s">
        <v>4647</v>
      </c>
    </row>
    <row r="1477" spans="1:12" ht="33.75" customHeight="1" x14ac:dyDescent="0.25">
      <c r="A1477" s="14" t="s">
        <v>3455</v>
      </c>
      <c r="B1477" s="3" t="s">
        <v>63</v>
      </c>
      <c r="C1477" s="3" t="s">
        <v>3456</v>
      </c>
      <c r="D1477" s="3" t="s">
        <v>4648</v>
      </c>
      <c r="E1477" s="3" t="s">
        <v>4649</v>
      </c>
      <c r="F1477" s="3" t="s">
        <v>65</v>
      </c>
      <c r="G1477" s="3">
        <v>31.412400000000002</v>
      </c>
      <c r="H1477" s="3" t="s">
        <v>4644</v>
      </c>
      <c r="I1477" s="3" t="s">
        <v>4645</v>
      </c>
      <c r="J1477" s="3" t="s">
        <v>4650</v>
      </c>
      <c r="K1477" s="3">
        <v>30</v>
      </c>
      <c r="L1477" s="3" t="s">
        <v>4647</v>
      </c>
    </row>
    <row r="1478" spans="1:12" ht="33.75" customHeight="1" x14ac:dyDescent="0.25">
      <c r="A1478" s="13" t="s">
        <v>3457</v>
      </c>
      <c r="B1478" s="2" t="s">
        <v>69</v>
      </c>
      <c r="C1478" s="2" t="s">
        <v>3458</v>
      </c>
      <c r="D1478" s="2" t="s">
        <v>4648</v>
      </c>
      <c r="E1478" s="2" t="s">
        <v>4651</v>
      </c>
      <c r="F1478" s="2" t="s">
        <v>71</v>
      </c>
      <c r="G1478" s="2">
        <v>32.102400000000003</v>
      </c>
      <c r="H1478" s="2" t="s">
        <v>4644</v>
      </c>
      <c r="I1478" s="2" t="s">
        <v>4645</v>
      </c>
      <c r="J1478" s="2" t="s">
        <v>4652</v>
      </c>
      <c r="K1478" s="2">
        <v>30</v>
      </c>
      <c r="L1478" s="2" t="s">
        <v>4647</v>
      </c>
    </row>
    <row r="1479" spans="1:12" ht="33.75" customHeight="1" x14ac:dyDescent="0.25">
      <c r="A1479" s="14" t="s">
        <v>3459</v>
      </c>
      <c r="B1479" s="3" t="s">
        <v>73</v>
      </c>
      <c r="C1479" s="3" t="s">
        <v>3460</v>
      </c>
      <c r="D1479" s="3" t="s">
        <v>4648</v>
      </c>
      <c r="E1479" s="3" t="s">
        <v>4653</v>
      </c>
      <c r="F1479" s="3" t="s">
        <v>75</v>
      </c>
      <c r="G1479" s="3">
        <v>31.538399999999999</v>
      </c>
      <c r="H1479" s="3" t="s">
        <v>4644</v>
      </c>
      <c r="I1479" s="3" t="s">
        <v>4645</v>
      </c>
      <c r="J1479" s="3" t="s">
        <v>4646</v>
      </c>
      <c r="K1479" s="3">
        <v>21</v>
      </c>
      <c r="L1479" s="3" t="s">
        <v>4647</v>
      </c>
    </row>
    <row r="1480" spans="1:12" ht="33.75" customHeight="1" x14ac:dyDescent="0.25">
      <c r="A1480" s="13" t="s">
        <v>3461</v>
      </c>
      <c r="B1480" s="2" t="s">
        <v>83</v>
      </c>
      <c r="C1480" s="2" t="s">
        <v>3462</v>
      </c>
      <c r="D1480" s="2" t="s">
        <v>4648</v>
      </c>
      <c r="E1480" s="2" t="s">
        <v>4655</v>
      </c>
      <c r="F1480" s="2" t="s">
        <v>85</v>
      </c>
      <c r="G1480" s="2">
        <v>33.063000000000002</v>
      </c>
      <c r="H1480" s="2" t="s">
        <v>4644</v>
      </c>
      <c r="I1480" s="2" t="s">
        <v>4645</v>
      </c>
      <c r="J1480" s="2" t="s">
        <v>4656</v>
      </c>
      <c r="K1480" s="2">
        <v>45</v>
      </c>
      <c r="L1480" s="2" t="s">
        <v>4647</v>
      </c>
    </row>
    <row r="1481" spans="1:12" ht="33.75" customHeight="1" x14ac:dyDescent="0.25">
      <c r="A1481" s="14" t="s">
        <v>3463</v>
      </c>
      <c r="B1481" s="3" t="s">
        <v>404</v>
      </c>
      <c r="C1481" s="3" t="s">
        <v>3464</v>
      </c>
      <c r="D1481" s="3" t="s">
        <v>4773</v>
      </c>
      <c r="E1481" s="3" t="s">
        <v>4731</v>
      </c>
      <c r="F1481" s="3" t="s">
        <v>406</v>
      </c>
      <c r="G1481" s="3">
        <v>29.999199999999998</v>
      </c>
      <c r="H1481" s="3" t="s">
        <v>4644</v>
      </c>
      <c r="I1481" s="3" t="s">
        <v>4645</v>
      </c>
      <c r="J1481" s="3" t="s">
        <v>4695</v>
      </c>
      <c r="K1481" s="3">
        <v>63</v>
      </c>
      <c r="L1481" s="3" t="s">
        <v>4647</v>
      </c>
    </row>
    <row r="1482" spans="1:12" ht="33.75" customHeight="1" x14ac:dyDescent="0.25">
      <c r="A1482" s="13" t="s">
        <v>3465</v>
      </c>
      <c r="B1482" s="2" t="s">
        <v>644</v>
      </c>
      <c r="C1482" s="2" t="s">
        <v>3466</v>
      </c>
      <c r="D1482" s="2" t="s">
        <v>4648</v>
      </c>
      <c r="E1482" s="2" t="s">
        <v>4774</v>
      </c>
      <c r="F1482" s="2" t="s">
        <v>646</v>
      </c>
      <c r="G1482" s="2">
        <v>33.864400000000003</v>
      </c>
      <c r="H1482" s="2" t="s">
        <v>4644</v>
      </c>
      <c r="I1482" s="2" t="s">
        <v>4645</v>
      </c>
      <c r="J1482" s="2" t="s">
        <v>4770</v>
      </c>
      <c r="K1482" s="2">
        <v>63</v>
      </c>
      <c r="L1482" s="2" t="s">
        <v>4647</v>
      </c>
    </row>
    <row r="1483" spans="1:12" ht="33.75" customHeight="1" x14ac:dyDescent="0.25">
      <c r="A1483" s="14" t="s">
        <v>3467</v>
      </c>
      <c r="B1483" s="3" t="s">
        <v>400</v>
      </c>
      <c r="C1483" s="3" t="s">
        <v>3468</v>
      </c>
      <c r="D1483" s="3" t="s">
        <v>4956</v>
      </c>
      <c r="E1483" s="3" t="s">
        <v>4730</v>
      </c>
      <c r="F1483" s="3" t="s">
        <v>402</v>
      </c>
      <c r="G1483" s="3">
        <v>34.332239999999999</v>
      </c>
      <c r="H1483" s="3" t="s">
        <v>4644</v>
      </c>
      <c r="I1483" s="3" t="s">
        <v>4645</v>
      </c>
      <c r="J1483" s="3" t="s">
        <v>4719</v>
      </c>
      <c r="K1483" s="3">
        <v>72</v>
      </c>
      <c r="L1483" s="3" t="s">
        <v>4647</v>
      </c>
    </row>
    <row r="1484" spans="1:12" ht="33.75" customHeight="1" x14ac:dyDescent="0.25">
      <c r="A1484" s="13" t="s">
        <v>3469</v>
      </c>
      <c r="B1484" s="2" t="s">
        <v>400</v>
      </c>
      <c r="C1484" s="2" t="s">
        <v>3470</v>
      </c>
      <c r="D1484" s="2" t="s">
        <v>4956</v>
      </c>
      <c r="E1484" s="2" t="s">
        <v>4730</v>
      </c>
      <c r="F1484" s="2" t="s">
        <v>402</v>
      </c>
      <c r="G1484" s="2">
        <v>34.332239999999999</v>
      </c>
      <c r="H1484" s="2" t="s">
        <v>4644</v>
      </c>
      <c r="I1484" s="2" t="s">
        <v>4645</v>
      </c>
      <c r="J1484" s="2" t="s">
        <v>4719</v>
      </c>
      <c r="K1484" s="2">
        <v>72</v>
      </c>
      <c r="L1484" s="2" t="s">
        <v>4647</v>
      </c>
    </row>
    <row r="1485" spans="1:12" ht="33.75" customHeight="1" x14ac:dyDescent="0.25">
      <c r="A1485" s="14" t="s">
        <v>3471</v>
      </c>
      <c r="B1485" s="3" t="s">
        <v>794</v>
      </c>
      <c r="C1485" s="3" t="s">
        <v>3472</v>
      </c>
      <c r="D1485" s="3" t="s">
        <v>4956</v>
      </c>
      <c r="E1485" s="3" t="s">
        <v>4791</v>
      </c>
      <c r="F1485" s="3" t="s">
        <v>796</v>
      </c>
      <c r="G1485" s="3">
        <v>34.151200000000003</v>
      </c>
      <c r="H1485" s="3" t="s">
        <v>4644</v>
      </c>
      <c r="I1485" s="3" t="s">
        <v>4645</v>
      </c>
      <c r="J1485" s="3" t="s">
        <v>4770</v>
      </c>
      <c r="K1485" s="3">
        <v>63</v>
      </c>
      <c r="L1485" s="3" t="s">
        <v>4647</v>
      </c>
    </row>
    <row r="1486" spans="1:12" ht="33.75" customHeight="1" x14ac:dyDescent="0.25">
      <c r="A1486" s="13" t="s">
        <v>3473</v>
      </c>
      <c r="B1486" s="2" t="s">
        <v>418</v>
      </c>
      <c r="C1486" s="2" t="s">
        <v>3474</v>
      </c>
      <c r="D1486" s="2" t="s">
        <v>4956</v>
      </c>
      <c r="E1486" s="2" t="s">
        <v>4734</v>
      </c>
      <c r="F1486" s="2" t="s">
        <v>420</v>
      </c>
      <c r="G1486" s="2">
        <v>30.655200000000001</v>
      </c>
      <c r="H1486" s="2" t="s">
        <v>4644</v>
      </c>
      <c r="I1486" s="2" t="s">
        <v>4645</v>
      </c>
      <c r="J1486" s="2" t="s">
        <v>4682</v>
      </c>
      <c r="K1486" s="2">
        <v>72</v>
      </c>
      <c r="L1486" s="2" t="s">
        <v>4647</v>
      </c>
    </row>
    <row r="1487" spans="1:12" ht="33.75" customHeight="1" x14ac:dyDescent="0.25">
      <c r="A1487" s="14" t="s">
        <v>3475</v>
      </c>
      <c r="B1487" s="3" t="s">
        <v>418</v>
      </c>
      <c r="C1487" s="3" t="s">
        <v>3476</v>
      </c>
      <c r="D1487" s="3" t="s">
        <v>4956</v>
      </c>
      <c r="E1487" s="3" t="s">
        <v>4734</v>
      </c>
      <c r="F1487" s="3" t="s">
        <v>420</v>
      </c>
      <c r="G1487" s="3">
        <v>30.655200000000001</v>
      </c>
      <c r="H1487" s="3" t="s">
        <v>4644</v>
      </c>
      <c r="I1487" s="3" t="s">
        <v>4645</v>
      </c>
      <c r="J1487" s="3" t="s">
        <v>4735</v>
      </c>
      <c r="K1487" s="3">
        <v>72</v>
      </c>
      <c r="L1487" s="3" t="s">
        <v>4647</v>
      </c>
    </row>
    <row r="1488" spans="1:12" ht="33.75" customHeight="1" x14ac:dyDescent="0.25">
      <c r="A1488" s="13" t="s">
        <v>3477</v>
      </c>
      <c r="B1488" s="2" t="s">
        <v>404</v>
      </c>
      <c r="C1488" s="2" t="s">
        <v>3478</v>
      </c>
      <c r="D1488" s="2" t="s">
        <v>4956</v>
      </c>
      <c r="E1488" s="2" t="s">
        <v>4731</v>
      </c>
      <c r="F1488" s="2" t="s">
        <v>406</v>
      </c>
      <c r="G1488" s="2">
        <v>29.999199999999998</v>
      </c>
      <c r="H1488" s="2" t="s">
        <v>4644</v>
      </c>
      <c r="I1488" s="2" t="s">
        <v>4645</v>
      </c>
      <c r="J1488" s="2" t="s">
        <v>4695</v>
      </c>
      <c r="K1488" s="2">
        <v>63</v>
      </c>
      <c r="L1488" s="2" t="s">
        <v>4647</v>
      </c>
    </row>
    <row r="1489" spans="1:12" ht="33.75" customHeight="1" x14ac:dyDescent="0.25">
      <c r="A1489" s="14" t="s">
        <v>3479</v>
      </c>
      <c r="B1489" s="3" t="s">
        <v>226</v>
      </c>
      <c r="C1489" s="3" t="s">
        <v>3480</v>
      </c>
      <c r="D1489" s="3"/>
      <c r="E1489" s="3" t="s">
        <v>4688</v>
      </c>
      <c r="F1489" s="3" t="s">
        <v>228</v>
      </c>
      <c r="G1489" s="3">
        <v>30.6632</v>
      </c>
      <c r="H1489" s="3" t="s">
        <v>4644</v>
      </c>
      <c r="I1489" s="3" t="s">
        <v>4645</v>
      </c>
      <c r="J1489" s="3" t="s">
        <v>4650</v>
      </c>
      <c r="K1489" s="3">
        <v>24</v>
      </c>
      <c r="L1489" s="3" t="s">
        <v>4647</v>
      </c>
    </row>
    <row r="1490" spans="1:12" ht="33.75" customHeight="1" x14ac:dyDescent="0.25">
      <c r="A1490" s="13" t="s">
        <v>3481</v>
      </c>
      <c r="B1490" s="2" t="s">
        <v>324</v>
      </c>
      <c r="C1490" s="2" t="s">
        <v>3482</v>
      </c>
      <c r="D1490" s="2" t="s">
        <v>4957</v>
      </c>
      <c r="E1490" s="2" t="s">
        <v>4704</v>
      </c>
      <c r="F1490" s="2" t="s">
        <v>326</v>
      </c>
      <c r="G1490" s="2">
        <v>29.719200000000001</v>
      </c>
      <c r="H1490" s="2" t="s">
        <v>4644</v>
      </c>
      <c r="I1490" s="2" t="s">
        <v>4645</v>
      </c>
      <c r="J1490" s="2" t="s">
        <v>4697</v>
      </c>
      <c r="K1490" s="2">
        <v>45</v>
      </c>
      <c r="L1490" s="2" t="s">
        <v>4647</v>
      </c>
    </row>
    <row r="1491" spans="1:12" ht="33.75" customHeight="1" x14ac:dyDescent="0.25">
      <c r="A1491" s="14" t="s">
        <v>3483</v>
      </c>
      <c r="B1491" s="3" t="s">
        <v>386</v>
      </c>
      <c r="C1491" s="3" t="s">
        <v>3484</v>
      </c>
      <c r="D1491" s="3" t="s">
        <v>4957</v>
      </c>
      <c r="E1491" s="3" t="s">
        <v>4727</v>
      </c>
      <c r="F1491" s="3" t="s">
        <v>388</v>
      </c>
      <c r="G1491" s="3">
        <v>33.783799999999999</v>
      </c>
      <c r="H1491" s="3" t="s">
        <v>4644</v>
      </c>
      <c r="I1491" s="3" t="s">
        <v>4645</v>
      </c>
      <c r="J1491" s="3" t="s">
        <v>4721</v>
      </c>
      <c r="K1491" s="3">
        <v>54</v>
      </c>
      <c r="L1491" s="3" t="s">
        <v>4647</v>
      </c>
    </row>
    <row r="1492" spans="1:12" ht="33.75" customHeight="1" x14ac:dyDescent="0.25">
      <c r="A1492" s="13" t="s">
        <v>3485</v>
      </c>
      <c r="B1492" s="2" t="s">
        <v>2037</v>
      </c>
      <c r="C1492" s="2" t="s">
        <v>3486</v>
      </c>
      <c r="D1492" s="2" t="s">
        <v>4882</v>
      </c>
      <c r="E1492" s="2" t="s">
        <v>4884</v>
      </c>
      <c r="F1492" s="2" t="s">
        <v>2039</v>
      </c>
      <c r="G1492" s="2">
        <v>31.226199999999999</v>
      </c>
      <c r="H1492" s="2" t="s">
        <v>4644</v>
      </c>
      <c r="I1492" s="2" t="s">
        <v>4645</v>
      </c>
      <c r="J1492" s="2" t="s">
        <v>4733</v>
      </c>
      <c r="K1492" s="2">
        <v>96</v>
      </c>
      <c r="L1492" s="2" t="s">
        <v>4647</v>
      </c>
    </row>
    <row r="1493" spans="1:12" ht="33.75" customHeight="1" x14ac:dyDescent="0.25">
      <c r="A1493" s="14" t="s">
        <v>3487</v>
      </c>
      <c r="B1493" s="3" t="s">
        <v>864</v>
      </c>
      <c r="C1493" s="3" t="s">
        <v>3488</v>
      </c>
      <c r="D1493" s="3" t="s">
        <v>4882</v>
      </c>
      <c r="E1493" s="3" t="s">
        <v>4801</v>
      </c>
      <c r="F1493" s="3" t="s">
        <v>866</v>
      </c>
      <c r="G1493" s="3">
        <v>30.653199999999998</v>
      </c>
      <c r="H1493" s="3" t="s">
        <v>4644</v>
      </c>
      <c r="I1493" s="3" t="s">
        <v>4645</v>
      </c>
      <c r="J1493" s="3" t="s">
        <v>4710</v>
      </c>
      <c r="K1493" s="3">
        <v>96</v>
      </c>
      <c r="L1493" s="3" t="s">
        <v>4647</v>
      </c>
    </row>
    <row r="1494" spans="1:12" ht="33.75" customHeight="1" x14ac:dyDescent="0.25">
      <c r="A1494" s="13" t="s">
        <v>3489</v>
      </c>
      <c r="B1494" s="2" t="s">
        <v>422</v>
      </c>
      <c r="C1494" s="2" t="s">
        <v>3490</v>
      </c>
      <c r="D1494" s="2" t="s">
        <v>4882</v>
      </c>
      <c r="E1494" s="2" t="s">
        <v>4736</v>
      </c>
      <c r="F1494" s="2" t="s">
        <v>424</v>
      </c>
      <c r="G1494" s="2">
        <v>30.7272</v>
      </c>
      <c r="H1494" s="2" t="s">
        <v>4644</v>
      </c>
      <c r="I1494" s="2" t="s">
        <v>4645</v>
      </c>
      <c r="J1494" s="2" t="s">
        <v>4735</v>
      </c>
      <c r="K1494" s="2">
        <v>76</v>
      </c>
      <c r="L1494" s="2" t="s">
        <v>4647</v>
      </c>
    </row>
    <row r="1495" spans="1:12" ht="33.75" customHeight="1" x14ac:dyDescent="0.25">
      <c r="A1495" s="14" t="s">
        <v>3491</v>
      </c>
      <c r="B1495" s="3" t="s">
        <v>273</v>
      </c>
      <c r="C1495" s="3" t="s">
        <v>3492</v>
      </c>
      <c r="D1495" s="3" t="s">
        <v>4882</v>
      </c>
      <c r="E1495" s="3" t="s">
        <v>4694</v>
      </c>
      <c r="F1495" s="3" t="s">
        <v>275</v>
      </c>
      <c r="G1495" s="3">
        <v>30.084199999999999</v>
      </c>
      <c r="H1495" s="3" t="s">
        <v>4644</v>
      </c>
      <c r="I1495" s="3" t="s">
        <v>4645</v>
      </c>
      <c r="J1495" s="3" t="s">
        <v>4695</v>
      </c>
      <c r="K1495" s="3">
        <v>68</v>
      </c>
      <c r="L1495" s="3" t="s">
        <v>4647</v>
      </c>
    </row>
    <row r="1496" spans="1:12" ht="33.75" customHeight="1" x14ac:dyDescent="0.25">
      <c r="A1496" s="13" t="s">
        <v>3493</v>
      </c>
      <c r="B1496" s="2" t="s">
        <v>378</v>
      </c>
      <c r="C1496" s="2" t="s">
        <v>3494</v>
      </c>
      <c r="D1496" s="2" t="s">
        <v>4882</v>
      </c>
      <c r="E1496" s="2" t="s">
        <v>4722</v>
      </c>
      <c r="F1496" s="2" t="s">
        <v>380</v>
      </c>
      <c r="G1496" s="2">
        <v>29.743200000000002</v>
      </c>
      <c r="H1496" s="2" t="s">
        <v>4644</v>
      </c>
      <c r="I1496" s="2" t="s">
        <v>4645</v>
      </c>
      <c r="J1496" s="2" t="s">
        <v>4693</v>
      </c>
      <c r="K1496" s="2">
        <v>56</v>
      </c>
      <c r="L1496" s="2" t="s">
        <v>4647</v>
      </c>
    </row>
    <row r="1497" spans="1:12" ht="33.75" customHeight="1" x14ac:dyDescent="0.25">
      <c r="A1497" s="14" t="s">
        <v>3495</v>
      </c>
      <c r="B1497" s="3" t="s">
        <v>404</v>
      </c>
      <c r="C1497" s="3" t="s">
        <v>3496</v>
      </c>
      <c r="D1497" s="3" t="s">
        <v>4701</v>
      </c>
      <c r="E1497" s="3" t="s">
        <v>4731</v>
      </c>
      <c r="F1497" s="3" t="s">
        <v>406</v>
      </c>
      <c r="G1497" s="3">
        <v>29.999199999999998</v>
      </c>
      <c r="H1497" s="3" t="s">
        <v>4644</v>
      </c>
      <c r="I1497" s="3" t="s">
        <v>4645</v>
      </c>
      <c r="J1497" s="3" t="s">
        <v>4695</v>
      </c>
      <c r="K1497" s="3">
        <v>63</v>
      </c>
      <c r="L1497" s="3" t="s">
        <v>4647</v>
      </c>
    </row>
    <row r="1498" spans="1:12" ht="33.75" customHeight="1" x14ac:dyDescent="0.25">
      <c r="A1498" s="13" t="s">
        <v>3497</v>
      </c>
      <c r="B1498" s="2" t="s">
        <v>588</v>
      </c>
      <c r="C1498" s="2" t="s">
        <v>3498</v>
      </c>
      <c r="D1498" s="2" t="s">
        <v>4701</v>
      </c>
      <c r="E1498" s="2" t="s">
        <v>4761</v>
      </c>
      <c r="F1498" s="2" t="s">
        <v>590</v>
      </c>
      <c r="G1498" s="2">
        <v>29.869199999999999</v>
      </c>
      <c r="H1498" s="2" t="s">
        <v>4644</v>
      </c>
      <c r="I1498" s="2" t="s">
        <v>4645</v>
      </c>
      <c r="J1498" s="2" t="s">
        <v>4684</v>
      </c>
      <c r="K1498" s="2">
        <v>63</v>
      </c>
      <c r="L1498" s="2" t="s">
        <v>4647</v>
      </c>
    </row>
    <row r="1499" spans="1:12" ht="33.75" customHeight="1" x14ac:dyDescent="0.25">
      <c r="A1499" s="14" t="s">
        <v>3499</v>
      </c>
      <c r="B1499" s="3" t="s">
        <v>677</v>
      </c>
      <c r="C1499" s="3" t="s">
        <v>3500</v>
      </c>
      <c r="D1499" s="3" t="s">
        <v>4648</v>
      </c>
      <c r="E1499" s="3" t="s">
        <v>4780</v>
      </c>
      <c r="F1499" s="3" t="s">
        <v>679</v>
      </c>
      <c r="G1499" s="3">
        <v>30.3504</v>
      </c>
      <c r="H1499" s="3" t="s">
        <v>4644</v>
      </c>
      <c r="I1499" s="3" t="s">
        <v>4645</v>
      </c>
      <c r="J1499" s="3" t="s">
        <v>4693</v>
      </c>
      <c r="K1499" s="3">
        <v>72</v>
      </c>
      <c r="L1499" s="3" t="s">
        <v>4647</v>
      </c>
    </row>
    <row r="1500" spans="1:12" ht="33.75" customHeight="1" x14ac:dyDescent="0.25">
      <c r="A1500" s="13" t="s">
        <v>3501</v>
      </c>
      <c r="B1500" s="2" t="s">
        <v>612</v>
      </c>
      <c r="C1500" s="2" t="s">
        <v>3502</v>
      </c>
      <c r="D1500" s="2" t="s">
        <v>4983</v>
      </c>
      <c r="E1500" s="2" t="s">
        <v>4765</v>
      </c>
      <c r="F1500" s="2" t="s">
        <v>614</v>
      </c>
      <c r="G1500" s="2">
        <v>29.712399999999999</v>
      </c>
      <c r="H1500" s="2" t="s">
        <v>4644</v>
      </c>
      <c r="I1500" s="2" t="s">
        <v>4645</v>
      </c>
      <c r="J1500" s="2" t="s">
        <v>4695</v>
      </c>
      <c r="K1500" s="2">
        <v>63</v>
      </c>
      <c r="L1500" s="2" t="s">
        <v>4647</v>
      </c>
    </row>
    <row r="1501" spans="1:12" ht="33.75" customHeight="1" x14ac:dyDescent="0.25">
      <c r="A1501" s="14" t="s">
        <v>3503</v>
      </c>
      <c r="B1501" s="3" t="s">
        <v>57</v>
      </c>
      <c r="C1501" s="3" t="s">
        <v>3504</v>
      </c>
      <c r="D1501" s="3" t="s">
        <v>4658</v>
      </c>
      <c r="E1501" s="3" t="s">
        <v>4643</v>
      </c>
      <c r="F1501" s="3" t="s">
        <v>59</v>
      </c>
      <c r="G1501" s="3">
        <v>31.825199999999999</v>
      </c>
      <c r="H1501" s="3" t="s">
        <v>4644</v>
      </c>
      <c r="I1501" s="3" t="s">
        <v>4645</v>
      </c>
      <c r="J1501" s="3" t="s">
        <v>4646</v>
      </c>
      <c r="K1501" s="3">
        <v>21</v>
      </c>
      <c r="L1501" s="3" t="s">
        <v>4647</v>
      </c>
    </row>
    <row r="1502" spans="1:12" ht="33.75" customHeight="1" x14ac:dyDescent="0.25">
      <c r="A1502" s="13" t="s">
        <v>3505</v>
      </c>
      <c r="B1502" s="2" t="s">
        <v>273</v>
      </c>
      <c r="C1502" s="2" t="s">
        <v>2326</v>
      </c>
      <c r="D1502" s="2"/>
      <c r="E1502" s="2" t="s">
        <v>4694</v>
      </c>
      <c r="F1502" s="2" t="s">
        <v>275</v>
      </c>
      <c r="G1502" s="2">
        <v>30.084199999999999</v>
      </c>
      <c r="H1502" s="2" t="s">
        <v>4644</v>
      </c>
      <c r="I1502" s="2" t="s">
        <v>4645</v>
      </c>
      <c r="J1502" s="2" t="s">
        <v>4695</v>
      </c>
      <c r="K1502" s="2">
        <v>68</v>
      </c>
      <c r="L1502" s="2" t="s">
        <v>4647</v>
      </c>
    </row>
    <row r="1503" spans="1:12" ht="33.75" customHeight="1" x14ac:dyDescent="0.25">
      <c r="A1503" s="14" t="s">
        <v>3506</v>
      </c>
      <c r="B1503" s="3" t="s">
        <v>277</v>
      </c>
      <c r="C1503" s="3" t="s">
        <v>3507</v>
      </c>
      <c r="D1503" s="3"/>
      <c r="E1503" s="3" t="s">
        <v>4696</v>
      </c>
      <c r="F1503" s="3" t="s">
        <v>279</v>
      </c>
      <c r="G1503" s="3">
        <v>29.7592</v>
      </c>
      <c r="H1503" s="3" t="s">
        <v>4644</v>
      </c>
      <c r="I1503" s="3" t="s">
        <v>4645</v>
      </c>
      <c r="J1503" s="3" t="s">
        <v>4697</v>
      </c>
      <c r="K1503" s="3">
        <v>48</v>
      </c>
      <c r="L1503" s="3" t="s">
        <v>4647</v>
      </c>
    </row>
    <row r="1504" spans="1:12" ht="33.75" customHeight="1" x14ac:dyDescent="0.25">
      <c r="A1504" s="13" t="s">
        <v>3508</v>
      </c>
      <c r="B1504" s="2" t="s">
        <v>846</v>
      </c>
      <c r="C1504" s="2" t="s">
        <v>3509</v>
      </c>
      <c r="D1504" s="2"/>
      <c r="E1504" s="2" t="s">
        <v>4800</v>
      </c>
      <c r="F1504" s="2" t="s">
        <v>848</v>
      </c>
      <c r="G1504" s="2">
        <v>29.944199999999999</v>
      </c>
      <c r="H1504" s="2" t="s">
        <v>4644</v>
      </c>
      <c r="I1504" s="2" t="s">
        <v>4645</v>
      </c>
      <c r="J1504" s="2" t="s">
        <v>4684</v>
      </c>
      <c r="K1504" s="2">
        <v>68</v>
      </c>
      <c r="L1504" s="2" t="s">
        <v>4647</v>
      </c>
    </row>
    <row r="1505" spans="1:12" ht="33.75" customHeight="1" x14ac:dyDescent="0.25">
      <c r="A1505" s="14" t="s">
        <v>3510</v>
      </c>
      <c r="B1505" s="3" t="s">
        <v>378</v>
      </c>
      <c r="C1505" s="3" t="s">
        <v>3511</v>
      </c>
      <c r="D1505" s="3"/>
      <c r="E1505" s="3" t="s">
        <v>4722</v>
      </c>
      <c r="F1505" s="3" t="s">
        <v>380</v>
      </c>
      <c r="G1505" s="3">
        <v>29.743200000000002</v>
      </c>
      <c r="H1505" s="3" t="s">
        <v>4644</v>
      </c>
      <c r="I1505" s="3" t="s">
        <v>4645</v>
      </c>
      <c r="J1505" s="3" t="s">
        <v>4723</v>
      </c>
      <c r="K1505" s="3">
        <v>56</v>
      </c>
      <c r="L1505" s="3" t="s">
        <v>4647</v>
      </c>
    </row>
    <row r="1506" spans="1:12" ht="33.75" customHeight="1" x14ac:dyDescent="0.25">
      <c r="A1506" s="13" t="s">
        <v>3512</v>
      </c>
      <c r="B1506" s="2" t="s">
        <v>277</v>
      </c>
      <c r="C1506" s="2" t="s">
        <v>3513</v>
      </c>
      <c r="D1506" s="2"/>
      <c r="E1506" s="2" t="s">
        <v>4696</v>
      </c>
      <c r="F1506" s="2" t="s">
        <v>279</v>
      </c>
      <c r="G1506" s="2">
        <v>29.7592</v>
      </c>
      <c r="H1506" s="2" t="s">
        <v>4644</v>
      </c>
      <c r="I1506" s="2" t="s">
        <v>4645</v>
      </c>
      <c r="J1506" s="2" t="s">
        <v>4697</v>
      </c>
      <c r="K1506" s="2">
        <v>48</v>
      </c>
      <c r="L1506" s="2" t="s">
        <v>4647</v>
      </c>
    </row>
    <row r="1507" spans="1:12" ht="33.75" customHeight="1" x14ac:dyDescent="0.25">
      <c r="A1507" s="14" t="s">
        <v>3514</v>
      </c>
      <c r="B1507" s="3" t="s">
        <v>366</v>
      </c>
      <c r="C1507" s="3" t="s">
        <v>3515</v>
      </c>
      <c r="D1507" s="3"/>
      <c r="E1507" s="3" t="s">
        <v>4718</v>
      </c>
      <c r="F1507" s="3" t="s">
        <v>368</v>
      </c>
      <c r="G1507" s="3">
        <v>32.983400000000003</v>
      </c>
      <c r="H1507" s="3" t="s">
        <v>4644</v>
      </c>
      <c r="I1507" s="3" t="s">
        <v>4645</v>
      </c>
      <c r="J1507" s="3" t="s">
        <v>4719</v>
      </c>
      <c r="K1507" s="3">
        <v>60</v>
      </c>
      <c r="L1507" s="3" t="s">
        <v>4647</v>
      </c>
    </row>
    <row r="1508" spans="1:12" ht="33.75" customHeight="1" x14ac:dyDescent="0.25">
      <c r="A1508" s="13" t="s">
        <v>3516</v>
      </c>
      <c r="B1508" s="2" t="s">
        <v>2391</v>
      </c>
      <c r="C1508" s="2" t="s">
        <v>3517</v>
      </c>
      <c r="D1508" s="2"/>
      <c r="E1508" s="2" t="s">
        <v>4912</v>
      </c>
      <c r="F1508" s="2" t="s">
        <v>2393</v>
      </c>
      <c r="G1508" s="2">
        <v>32.3872</v>
      </c>
      <c r="H1508" s="2" t="s">
        <v>4644</v>
      </c>
      <c r="I1508" s="2" t="s">
        <v>4645</v>
      </c>
      <c r="J1508" s="2" t="s">
        <v>4770</v>
      </c>
      <c r="K1508" s="2">
        <v>48</v>
      </c>
      <c r="L1508" s="2" t="s">
        <v>4647</v>
      </c>
    </row>
    <row r="1509" spans="1:12" ht="33.75" customHeight="1" x14ac:dyDescent="0.25">
      <c r="A1509" s="14" t="s">
        <v>3518</v>
      </c>
      <c r="B1509" s="3" t="s">
        <v>372</v>
      </c>
      <c r="C1509" s="3" t="s">
        <v>3519</v>
      </c>
      <c r="D1509" s="3"/>
      <c r="E1509" s="3" t="s">
        <v>4720</v>
      </c>
      <c r="F1509" s="3" t="s">
        <v>374</v>
      </c>
      <c r="G1509" s="3">
        <v>32.852400000000003</v>
      </c>
      <c r="H1509" s="3" t="s">
        <v>4644</v>
      </c>
      <c r="I1509" s="3" t="s">
        <v>4645</v>
      </c>
      <c r="J1509" s="3" t="s">
        <v>4721</v>
      </c>
      <c r="K1509" s="3">
        <v>48</v>
      </c>
      <c r="L1509" s="3" t="s">
        <v>4647</v>
      </c>
    </row>
    <row r="1510" spans="1:12" ht="33.75" customHeight="1" x14ac:dyDescent="0.25">
      <c r="A1510" s="13" t="s">
        <v>3520</v>
      </c>
      <c r="B1510" s="2" t="s">
        <v>3521</v>
      </c>
      <c r="C1510" s="2" t="s">
        <v>3522</v>
      </c>
      <c r="D1510" s="2"/>
      <c r="E1510" s="2" t="s">
        <v>4984</v>
      </c>
      <c r="F1510" s="2" t="s">
        <v>3523</v>
      </c>
      <c r="G1510" s="2">
        <v>47.756</v>
      </c>
      <c r="H1510" s="2" t="s">
        <v>4644</v>
      </c>
      <c r="I1510" s="2" t="s">
        <v>4645</v>
      </c>
      <c r="J1510" s="2" t="s">
        <v>4695</v>
      </c>
      <c r="K1510" s="2">
        <v>72</v>
      </c>
      <c r="L1510" s="2" t="s">
        <v>4647</v>
      </c>
    </row>
    <row r="1511" spans="1:12" ht="33.75" customHeight="1" x14ac:dyDescent="0.25">
      <c r="A1511" s="14" t="s">
        <v>3524</v>
      </c>
      <c r="B1511" s="3" t="s">
        <v>1294</v>
      </c>
      <c r="C1511" s="3" t="s">
        <v>3525</v>
      </c>
      <c r="D1511" s="3" t="s">
        <v>4741</v>
      </c>
      <c r="E1511" s="3" t="s">
        <v>4819</v>
      </c>
      <c r="F1511" s="3" t="s">
        <v>1296</v>
      </c>
      <c r="G1511" s="3">
        <v>27.925999999999998</v>
      </c>
      <c r="H1511" s="3" t="s">
        <v>4644</v>
      </c>
      <c r="I1511" s="3" t="s">
        <v>4645</v>
      </c>
      <c r="J1511" s="3" t="s">
        <v>4735</v>
      </c>
      <c r="K1511" s="3">
        <v>57</v>
      </c>
      <c r="L1511" s="3" t="s">
        <v>4647</v>
      </c>
    </row>
    <row r="1512" spans="1:12" ht="33.75" customHeight="1" x14ac:dyDescent="0.25">
      <c r="A1512" s="13" t="s">
        <v>3526</v>
      </c>
      <c r="B1512" s="2" t="s">
        <v>820</v>
      </c>
      <c r="C1512" s="2" t="s">
        <v>3527</v>
      </c>
      <c r="D1512" s="2" t="s">
        <v>4794</v>
      </c>
      <c r="E1512" s="2" t="s">
        <v>4795</v>
      </c>
      <c r="F1512" s="2" t="s">
        <v>822</v>
      </c>
      <c r="G1512" s="2">
        <v>27.639199999999999</v>
      </c>
      <c r="H1512" s="2" t="s">
        <v>4644</v>
      </c>
      <c r="I1512" s="2" t="s">
        <v>4645</v>
      </c>
      <c r="J1512" s="2" t="s">
        <v>4735</v>
      </c>
      <c r="K1512" s="2">
        <v>57</v>
      </c>
      <c r="L1512" s="2" t="s">
        <v>4647</v>
      </c>
    </row>
    <row r="1513" spans="1:12" ht="33.75" customHeight="1" x14ac:dyDescent="0.25">
      <c r="A1513" s="14" t="s">
        <v>3528</v>
      </c>
      <c r="B1513" s="3" t="s">
        <v>820</v>
      </c>
      <c r="C1513" s="3" t="s">
        <v>3529</v>
      </c>
      <c r="D1513" s="3" t="s">
        <v>4794</v>
      </c>
      <c r="E1513" s="3" t="s">
        <v>4795</v>
      </c>
      <c r="F1513" s="3" t="s">
        <v>822</v>
      </c>
      <c r="G1513" s="3">
        <v>27.639199999999999</v>
      </c>
      <c r="H1513" s="3" t="s">
        <v>4644</v>
      </c>
      <c r="I1513" s="3" t="s">
        <v>4645</v>
      </c>
      <c r="J1513" s="3" t="s">
        <v>4682</v>
      </c>
      <c r="K1513" s="3">
        <v>57</v>
      </c>
      <c r="L1513" s="3" t="s">
        <v>4647</v>
      </c>
    </row>
    <row r="1514" spans="1:12" ht="33.75" customHeight="1" x14ac:dyDescent="0.25">
      <c r="A1514" s="13" t="s">
        <v>3530</v>
      </c>
      <c r="B1514" s="2" t="s">
        <v>3531</v>
      </c>
      <c r="C1514" s="2" t="s">
        <v>3532</v>
      </c>
      <c r="D1514" s="2" t="s">
        <v>4689</v>
      </c>
      <c r="E1514" s="2" t="s">
        <v>4985</v>
      </c>
      <c r="F1514" s="2" t="s">
        <v>3533</v>
      </c>
      <c r="G1514" s="2">
        <v>27.373760000000001</v>
      </c>
      <c r="H1514" s="2" t="s">
        <v>4644</v>
      </c>
      <c r="I1514" s="2" t="s">
        <v>4645</v>
      </c>
      <c r="J1514" s="2" t="s">
        <v>4708</v>
      </c>
      <c r="K1514" s="2">
        <v>96</v>
      </c>
      <c r="L1514" s="2" t="s">
        <v>4668</v>
      </c>
    </row>
    <row r="1515" spans="1:12" ht="33.75" customHeight="1" x14ac:dyDescent="0.25">
      <c r="A1515" s="14" t="s">
        <v>3534</v>
      </c>
      <c r="B1515" s="3" t="s">
        <v>2454</v>
      </c>
      <c r="C1515" s="3" t="s">
        <v>3535</v>
      </c>
      <c r="D1515" s="3" t="s">
        <v>4915</v>
      </c>
      <c r="E1515" s="3" t="s">
        <v>4917</v>
      </c>
      <c r="F1515" s="3" t="s">
        <v>2456</v>
      </c>
      <c r="G1515" s="3">
        <v>28.565999999999999</v>
      </c>
      <c r="H1515" s="3" t="s">
        <v>4644</v>
      </c>
      <c r="I1515" s="3" t="s">
        <v>4645</v>
      </c>
      <c r="J1515" s="3" t="s">
        <v>4710</v>
      </c>
      <c r="K1515" s="3">
        <v>96</v>
      </c>
      <c r="L1515" s="3" t="s">
        <v>4647</v>
      </c>
    </row>
    <row r="1516" spans="1:12" ht="33.75" customHeight="1" x14ac:dyDescent="0.25">
      <c r="A1516" s="13" t="s">
        <v>3536</v>
      </c>
      <c r="B1516" s="2" t="s">
        <v>2458</v>
      </c>
      <c r="C1516" s="2" t="s">
        <v>3537</v>
      </c>
      <c r="D1516" s="2" t="s">
        <v>4915</v>
      </c>
      <c r="E1516" s="2" t="s">
        <v>4918</v>
      </c>
      <c r="F1516" s="2" t="s">
        <v>2460</v>
      </c>
      <c r="G1516" s="2">
        <v>28.126000000000001</v>
      </c>
      <c r="H1516" s="2" t="s">
        <v>4644</v>
      </c>
      <c r="I1516" s="2" t="s">
        <v>4645</v>
      </c>
      <c r="J1516" s="2" t="s">
        <v>4682</v>
      </c>
      <c r="K1516" s="2">
        <v>76</v>
      </c>
      <c r="L1516" s="2" t="s">
        <v>4647</v>
      </c>
    </row>
    <row r="1517" spans="1:12" ht="33.75" customHeight="1" x14ac:dyDescent="0.25">
      <c r="A1517" s="14" t="s">
        <v>3538</v>
      </c>
      <c r="B1517" s="3" t="s">
        <v>2458</v>
      </c>
      <c r="C1517" s="3" t="s">
        <v>3539</v>
      </c>
      <c r="D1517" s="3" t="s">
        <v>4915</v>
      </c>
      <c r="E1517" s="3" t="s">
        <v>4918</v>
      </c>
      <c r="F1517" s="3" t="s">
        <v>2460</v>
      </c>
      <c r="G1517" s="3">
        <v>28.126000000000001</v>
      </c>
      <c r="H1517" s="3" t="s">
        <v>4644</v>
      </c>
      <c r="I1517" s="3" t="s">
        <v>4645</v>
      </c>
      <c r="J1517" s="3" t="s">
        <v>4735</v>
      </c>
      <c r="K1517" s="3">
        <v>76</v>
      </c>
      <c r="L1517" s="3" t="s">
        <v>4647</v>
      </c>
    </row>
    <row r="1518" spans="1:12" ht="33.75" customHeight="1" x14ac:dyDescent="0.25">
      <c r="A1518" s="13" t="s">
        <v>3540</v>
      </c>
      <c r="B1518" s="2" t="s">
        <v>2462</v>
      </c>
      <c r="C1518" s="2" t="s">
        <v>3541</v>
      </c>
      <c r="D1518" s="2" t="s">
        <v>4915</v>
      </c>
      <c r="E1518" s="2" t="s">
        <v>4919</v>
      </c>
      <c r="F1518" s="2" t="s">
        <v>2464</v>
      </c>
      <c r="G1518" s="2">
        <v>28.126000000000001</v>
      </c>
      <c r="H1518" s="2" t="s">
        <v>4644</v>
      </c>
      <c r="I1518" s="2" t="s">
        <v>4645</v>
      </c>
      <c r="J1518" s="2" t="s">
        <v>4684</v>
      </c>
      <c r="K1518" s="2">
        <v>68</v>
      </c>
      <c r="L1518" s="2" t="s">
        <v>4647</v>
      </c>
    </row>
    <row r="1519" spans="1:12" ht="33.75" customHeight="1" x14ac:dyDescent="0.25">
      <c r="A1519" s="14" t="s">
        <v>3542</v>
      </c>
      <c r="B1519" s="3" t="s">
        <v>2462</v>
      </c>
      <c r="C1519" s="3" t="s">
        <v>3543</v>
      </c>
      <c r="D1519" s="3" t="s">
        <v>4915</v>
      </c>
      <c r="E1519" s="3" t="s">
        <v>4919</v>
      </c>
      <c r="F1519" s="3" t="s">
        <v>2464</v>
      </c>
      <c r="G1519" s="3">
        <v>28.126000000000001</v>
      </c>
      <c r="H1519" s="3" t="s">
        <v>4644</v>
      </c>
      <c r="I1519" s="3" t="s">
        <v>4645</v>
      </c>
      <c r="J1519" s="3" t="s">
        <v>4695</v>
      </c>
      <c r="K1519" s="3">
        <v>68</v>
      </c>
      <c r="L1519" s="3" t="s">
        <v>4647</v>
      </c>
    </row>
    <row r="1520" spans="1:12" ht="33.75" customHeight="1" x14ac:dyDescent="0.25">
      <c r="A1520" s="13" t="s">
        <v>3544</v>
      </c>
      <c r="B1520" s="2" t="s">
        <v>2700</v>
      </c>
      <c r="C1520" s="2" t="s">
        <v>3545</v>
      </c>
      <c r="D1520" s="2" t="s">
        <v>4915</v>
      </c>
      <c r="E1520" s="2" t="s">
        <v>4935</v>
      </c>
      <c r="F1520" s="2" t="s">
        <v>2702</v>
      </c>
      <c r="G1520" s="2">
        <v>28.126000000000001</v>
      </c>
      <c r="H1520" s="2" t="s">
        <v>4644</v>
      </c>
      <c r="I1520" s="2" t="s">
        <v>4645</v>
      </c>
      <c r="J1520" s="2" t="s">
        <v>4693</v>
      </c>
      <c r="K1520" s="2">
        <v>56</v>
      </c>
      <c r="L1520" s="2" t="s">
        <v>4647</v>
      </c>
    </row>
    <row r="1521" spans="1:12" ht="33.75" customHeight="1" x14ac:dyDescent="0.25">
      <c r="A1521" s="14" t="s">
        <v>3546</v>
      </c>
      <c r="B1521" s="3" t="s">
        <v>3547</v>
      </c>
      <c r="C1521" s="3" t="s">
        <v>3548</v>
      </c>
      <c r="D1521" s="3" t="s">
        <v>4915</v>
      </c>
      <c r="E1521" s="3" t="s">
        <v>4986</v>
      </c>
      <c r="F1521" s="3" t="s">
        <v>3549</v>
      </c>
      <c r="G1521" s="3">
        <v>28.126000000000001</v>
      </c>
      <c r="H1521" s="3" t="s">
        <v>4644</v>
      </c>
      <c r="I1521" s="3" t="s">
        <v>4645</v>
      </c>
      <c r="J1521" s="3" t="s">
        <v>4697</v>
      </c>
      <c r="K1521" s="3">
        <v>48</v>
      </c>
      <c r="L1521" s="3" t="s">
        <v>4647</v>
      </c>
    </row>
    <row r="1522" spans="1:12" ht="33.75" customHeight="1" x14ac:dyDescent="0.25">
      <c r="A1522" s="13" t="s">
        <v>3550</v>
      </c>
      <c r="B1522" s="2" t="s">
        <v>2458</v>
      </c>
      <c r="C1522" s="2" t="s">
        <v>3551</v>
      </c>
      <c r="D1522" s="2" t="s">
        <v>4915</v>
      </c>
      <c r="E1522" s="2" t="s">
        <v>4918</v>
      </c>
      <c r="F1522" s="2" t="s">
        <v>2460</v>
      </c>
      <c r="G1522" s="2">
        <v>28.126000000000001</v>
      </c>
      <c r="H1522" s="2" t="s">
        <v>4644</v>
      </c>
      <c r="I1522" s="2" t="s">
        <v>4645</v>
      </c>
      <c r="J1522" s="2" t="s">
        <v>4735</v>
      </c>
      <c r="K1522" s="2">
        <v>76</v>
      </c>
      <c r="L1522" s="2" t="s">
        <v>4647</v>
      </c>
    </row>
    <row r="1523" spans="1:12" ht="33.75" customHeight="1" x14ac:dyDescent="0.25">
      <c r="A1523" s="14" t="s">
        <v>3552</v>
      </c>
      <c r="B1523" s="3" t="s">
        <v>2462</v>
      </c>
      <c r="C1523" s="3" t="s">
        <v>3553</v>
      </c>
      <c r="D1523" s="3" t="s">
        <v>4915</v>
      </c>
      <c r="E1523" s="3" t="s">
        <v>4919</v>
      </c>
      <c r="F1523" s="3" t="s">
        <v>2464</v>
      </c>
      <c r="G1523" s="3">
        <v>28.126000000000001</v>
      </c>
      <c r="H1523" s="3" t="s">
        <v>4644</v>
      </c>
      <c r="I1523" s="3" t="s">
        <v>4645</v>
      </c>
      <c r="J1523" s="3" t="s">
        <v>4684</v>
      </c>
      <c r="K1523" s="3">
        <v>68</v>
      </c>
      <c r="L1523" s="3" t="s">
        <v>4647</v>
      </c>
    </row>
    <row r="1524" spans="1:12" ht="33.75" customHeight="1" x14ac:dyDescent="0.25">
      <c r="A1524" s="13" t="s">
        <v>3554</v>
      </c>
      <c r="B1524" s="2" t="s">
        <v>2462</v>
      </c>
      <c r="C1524" s="2" t="s">
        <v>3555</v>
      </c>
      <c r="D1524" s="2" t="s">
        <v>4915</v>
      </c>
      <c r="E1524" s="2" t="s">
        <v>4919</v>
      </c>
      <c r="F1524" s="2" t="s">
        <v>2464</v>
      </c>
      <c r="G1524" s="2">
        <v>28.126000000000001</v>
      </c>
      <c r="H1524" s="2" t="s">
        <v>4644</v>
      </c>
      <c r="I1524" s="2" t="s">
        <v>4645</v>
      </c>
      <c r="J1524" s="2" t="s">
        <v>4695</v>
      </c>
      <c r="K1524" s="2">
        <v>68</v>
      </c>
      <c r="L1524" s="2" t="s">
        <v>4647</v>
      </c>
    </row>
    <row r="1525" spans="1:12" ht="33.75" customHeight="1" x14ac:dyDescent="0.25">
      <c r="A1525" s="14" t="s">
        <v>3556</v>
      </c>
      <c r="B1525" s="3" t="s">
        <v>2700</v>
      </c>
      <c r="C1525" s="3" t="s">
        <v>3557</v>
      </c>
      <c r="D1525" s="3" t="s">
        <v>4915</v>
      </c>
      <c r="E1525" s="3" t="s">
        <v>4935</v>
      </c>
      <c r="F1525" s="3" t="s">
        <v>2702</v>
      </c>
      <c r="G1525" s="3">
        <v>28.126000000000001</v>
      </c>
      <c r="H1525" s="3" t="s">
        <v>4644</v>
      </c>
      <c r="I1525" s="3" t="s">
        <v>4645</v>
      </c>
      <c r="J1525" s="3" t="s">
        <v>4693</v>
      </c>
      <c r="K1525" s="3">
        <v>56</v>
      </c>
      <c r="L1525" s="3" t="s">
        <v>4647</v>
      </c>
    </row>
    <row r="1526" spans="1:12" ht="33.75" customHeight="1" x14ac:dyDescent="0.25">
      <c r="A1526" s="13" t="s">
        <v>3558</v>
      </c>
      <c r="B1526" s="2" t="s">
        <v>3547</v>
      </c>
      <c r="C1526" s="2" t="s">
        <v>3559</v>
      </c>
      <c r="D1526" s="2" t="s">
        <v>4915</v>
      </c>
      <c r="E1526" s="2" t="s">
        <v>4986</v>
      </c>
      <c r="F1526" s="2" t="s">
        <v>3549</v>
      </c>
      <c r="G1526" s="2">
        <v>28.126000000000001</v>
      </c>
      <c r="H1526" s="2" t="s">
        <v>4644</v>
      </c>
      <c r="I1526" s="2" t="s">
        <v>4645</v>
      </c>
      <c r="J1526" s="2" t="s">
        <v>4697</v>
      </c>
      <c r="K1526" s="2">
        <v>48</v>
      </c>
      <c r="L1526" s="2" t="s">
        <v>4647</v>
      </c>
    </row>
    <row r="1527" spans="1:12" ht="33.75" customHeight="1" x14ac:dyDescent="0.25">
      <c r="A1527" s="14" t="s">
        <v>3560</v>
      </c>
      <c r="B1527" s="3" t="s">
        <v>2458</v>
      </c>
      <c r="C1527" s="3" t="s">
        <v>3561</v>
      </c>
      <c r="D1527" s="3" t="s">
        <v>4915</v>
      </c>
      <c r="E1527" s="3" t="s">
        <v>4918</v>
      </c>
      <c r="F1527" s="3" t="s">
        <v>2460</v>
      </c>
      <c r="G1527" s="3">
        <v>28.126000000000001</v>
      </c>
      <c r="H1527" s="3" t="s">
        <v>4644</v>
      </c>
      <c r="I1527" s="3" t="s">
        <v>4645</v>
      </c>
      <c r="J1527" s="3" t="s">
        <v>4735</v>
      </c>
      <c r="K1527" s="3">
        <v>76</v>
      </c>
      <c r="L1527" s="3" t="s">
        <v>4647</v>
      </c>
    </row>
    <row r="1528" spans="1:12" ht="33.75" customHeight="1" x14ac:dyDescent="0.25">
      <c r="A1528" s="13" t="s">
        <v>3562</v>
      </c>
      <c r="B1528" s="2" t="s">
        <v>2462</v>
      </c>
      <c r="C1528" s="2" t="s">
        <v>3563</v>
      </c>
      <c r="D1528" s="2" t="s">
        <v>4915</v>
      </c>
      <c r="E1528" s="2" t="s">
        <v>4919</v>
      </c>
      <c r="F1528" s="2" t="s">
        <v>2464</v>
      </c>
      <c r="G1528" s="2">
        <v>28.126000000000001</v>
      </c>
      <c r="H1528" s="2" t="s">
        <v>4644</v>
      </c>
      <c r="I1528" s="2" t="s">
        <v>4645</v>
      </c>
      <c r="J1528" s="2" t="s">
        <v>4695</v>
      </c>
      <c r="K1528" s="2">
        <v>68</v>
      </c>
      <c r="L1528" s="2" t="s">
        <v>4647</v>
      </c>
    </row>
    <row r="1529" spans="1:12" ht="33.75" customHeight="1" x14ac:dyDescent="0.25">
      <c r="A1529" s="14" t="s">
        <v>3564</v>
      </c>
      <c r="B1529" s="3" t="s">
        <v>2700</v>
      </c>
      <c r="C1529" s="3" t="s">
        <v>3565</v>
      </c>
      <c r="D1529" s="3" t="s">
        <v>4915</v>
      </c>
      <c r="E1529" s="3" t="s">
        <v>4935</v>
      </c>
      <c r="F1529" s="3" t="s">
        <v>2702</v>
      </c>
      <c r="G1529" s="3">
        <v>28.126000000000001</v>
      </c>
      <c r="H1529" s="3" t="s">
        <v>4644</v>
      </c>
      <c r="I1529" s="3" t="s">
        <v>4645</v>
      </c>
      <c r="J1529" s="3" t="s">
        <v>4723</v>
      </c>
      <c r="K1529" s="3">
        <v>56</v>
      </c>
      <c r="L1529" s="3" t="s">
        <v>4647</v>
      </c>
    </row>
    <row r="1530" spans="1:12" ht="33.75" customHeight="1" x14ac:dyDescent="0.25">
      <c r="A1530" s="13" t="s">
        <v>3566</v>
      </c>
      <c r="B1530" s="2" t="s">
        <v>57</v>
      </c>
      <c r="C1530" s="2" t="s">
        <v>3567</v>
      </c>
      <c r="D1530" s="2"/>
      <c r="E1530" s="2" t="s">
        <v>4643</v>
      </c>
      <c r="F1530" s="2" t="s">
        <v>59</v>
      </c>
      <c r="G1530" s="2">
        <v>31.825199999999999</v>
      </c>
      <c r="H1530" s="2" t="s">
        <v>4644</v>
      </c>
      <c r="I1530" s="2" t="s">
        <v>4645</v>
      </c>
      <c r="J1530" s="2" t="s">
        <v>4646</v>
      </c>
      <c r="K1530" s="2">
        <v>21</v>
      </c>
      <c r="L1530" s="2" t="s">
        <v>4647</v>
      </c>
    </row>
    <row r="1531" spans="1:12" ht="33.75" customHeight="1" x14ac:dyDescent="0.25">
      <c r="A1531" s="14" t="s">
        <v>3568</v>
      </c>
      <c r="B1531" s="3" t="s">
        <v>89</v>
      </c>
      <c r="C1531" s="3" t="s">
        <v>3569</v>
      </c>
      <c r="D1531" s="3"/>
      <c r="E1531" s="3" t="s">
        <v>4659</v>
      </c>
      <c r="F1531" s="3" t="s">
        <v>91</v>
      </c>
      <c r="G1531" s="3">
        <v>32.389200000000002</v>
      </c>
      <c r="H1531" s="3" t="s">
        <v>4644</v>
      </c>
      <c r="I1531" s="3" t="s">
        <v>4645</v>
      </c>
      <c r="J1531" s="3" t="s">
        <v>4652</v>
      </c>
      <c r="K1531" s="3">
        <v>30</v>
      </c>
      <c r="L1531" s="3" t="s">
        <v>4647</v>
      </c>
    </row>
    <row r="1532" spans="1:12" ht="33.75" customHeight="1" x14ac:dyDescent="0.25">
      <c r="A1532" s="13" t="s">
        <v>3570</v>
      </c>
      <c r="B1532" s="2" t="s">
        <v>665</v>
      </c>
      <c r="C1532" s="2" t="s">
        <v>3571</v>
      </c>
      <c r="D1532" s="2" t="s">
        <v>4648</v>
      </c>
      <c r="E1532" s="2" t="s">
        <v>4777</v>
      </c>
      <c r="F1532" s="2" t="s">
        <v>667</v>
      </c>
      <c r="G1532" s="2">
        <v>29.432400000000001</v>
      </c>
      <c r="H1532" s="2" t="s">
        <v>4644</v>
      </c>
      <c r="I1532" s="2" t="s">
        <v>4645</v>
      </c>
      <c r="J1532" s="2" t="s">
        <v>4697</v>
      </c>
      <c r="K1532" s="2">
        <v>45</v>
      </c>
      <c r="L1532" s="2" t="s">
        <v>4647</v>
      </c>
    </row>
    <row r="1533" spans="1:12" ht="33.75" customHeight="1" x14ac:dyDescent="0.25">
      <c r="A1533" s="14" t="s">
        <v>3572</v>
      </c>
      <c r="B1533" s="3" t="s">
        <v>665</v>
      </c>
      <c r="C1533" s="3" t="s">
        <v>3573</v>
      </c>
      <c r="D1533" s="3" t="s">
        <v>4648</v>
      </c>
      <c r="E1533" s="3" t="s">
        <v>4777</v>
      </c>
      <c r="F1533" s="3" t="s">
        <v>667</v>
      </c>
      <c r="G1533" s="3">
        <v>29.432400000000001</v>
      </c>
      <c r="H1533" s="3" t="s">
        <v>4644</v>
      </c>
      <c r="I1533" s="3" t="s">
        <v>4645</v>
      </c>
      <c r="J1533" s="3" t="s">
        <v>4697</v>
      </c>
      <c r="K1533" s="3">
        <v>45</v>
      </c>
      <c r="L1533" s="3" t="s">
        <v>4647</v>
      </c>
    </row>
    <row r="1534" spans="1:12" ht="33.75" customHeight="1" x14ac:dyDescent="0.25">
      <c r="A1534" s="13" t="s">
        <v>3574</v>
      </c>
      <c r="B1534" s="2" t="s">
        <v>418</v>
      </c>
      <c r="C1534" s="2" t="s">
        <v>3575</v>
      </c>
      <c r="D1534" s="2" t="s">
        <v>4987</v>
      </c>
      <c r="E1534" s="2" t="s">
        <v>4734</v>
      </c>
      <c r="F1534" s="2" t="s">
        <v>420</v>
      </c>
      <c r="G1534" s="2">
        <v>30.655200000000001</v>
      </c>
      <c r="H1534" s="2" t="s">
        <v>4644</v>
      </c>
      <c r="I1534" s="2" t="s">
        <v>4645</v>
      </c>
      <c r="J1534" s="2" t="s">
        <v>4735</v>
      </c>
      <c r="K1534" s="2">
        <v>72</v>
      </c>
      <c r="L1534" s="2" t="s">
        <v>4647</v>
      </c>
    </row>
    <row r="1535" spans="1:12" ht="33.75" customHeight="1" x14ac:dyDescent="0.25">
      <c r="A1535" s="14" t="s">
        <v>3576</v>
      </c>
      <c r="B1535" s="3" t="s">
        <v>77</v>
      </c>
      <c r="C1535" s="3" t="s">
        <v>3577</v>
      </c>
      <c r="D1535" s="3"/>
      <c r="E1535" s="3" t="s">
        <v>4654</v>
      </c>
      <c r="F1535" s="3" t="s">
        <v>79</v>
      </c>
      <c r="G1535" s="3">
        <v>31.699200000000001</v>
      </c>
      <c r="H1535" s="3" t="s">
        <v>4644</v>
      </c>
      <c r="I1535" s="3" t="s">
        <v>4645</v>
      </c>
      <c r="J1535" s="3" t="s">
        <v>4650</v>
      </c>
      <c r="K1535" s="3">
        <v>30</v>
      </c>
      <c r="L1535" s="3" t="s">
        <v>4647</v>
      </c>
    </row>
    <row r="1536" spans="1:12" ht="33.75" customHeight="1" x14ac:dyDescent="0.25">
      <c r="A1536" s="13" t="s">
        <v>3578</v>
      </c>
      <c r="B1536" s="2" t="s">
        <v>77</v>
      </c>
      <c r="C1536" s="2" t="s">
        <v>3579</v>
      </c>
      <c r="D1536" s="2"/>
      <c r="E1536" s="2" t="s">
        <v>4654</v>
      </c>
      <c r="F1536" s="2" t="s">
        <v>79</v>
      </c>
      <c r="G1536" s="2">
        <v>31.699200000000001</v>
      </c>
      <c r="H1536" s="2" t="s">
        <v>4644</v>
      </c>
      <c r="I1536" s="2" t="s">
        <v>4645</v>
      </c>
      <c r="J1536" s="2" t="s">
        <v>4650</v>
      </c>
      <c r="K1536" s="2">
        <v>30</v>
      </c>
      <c r="L1536" s="2" t="s">
        <v>4647</v>
      </c>
    </row>
    <row r="1537" spans="1:12" ht="33.75" customHeight="1" x14ac:dyDescent="0.25">
      <c r="A1537" s="14" t="s">
        <v>3580</v>
      </c>
      <c r="B1537" s="3" t="s">
        <v>89</v>
      </c>
      <c r="C1537" s="3" t="s">
        <v>3581</v>
      </c>
      <c r="D1537" s="3"/>
      <c r="E1537" s="3" t="s">
        <v>4659</v>
      </c>
      <c r="F1537" s="3" t="s">
        <v>91</v>
      </c>
      <c r="G1537" s="3">
        <v>32.389200000000002</v>
      </c>
      <c r="H1537" s="3" t="s">
        <v>4644</v>
      </c>
      <c r="I1537" s="3" t="s">
        <v>4645</v>
      </c>
      <c r="J1537" s="3" t="s">
        <v>4652</v>
      </c>
      <c r="K1537" s="3">
        <v>30</v>
      </c>
      <c r="L1537" s="3" t="s">
        <v>4647</v>
      </c>
    </row>
    <row r="1538" spans="1:12" ht="33.75" customHeight="1" x14ac:dyDescent="0.25">
      <c r="A1538" s="13" t="s">
        <v>3582</v>
      </c>
      <c r="B1538" s="2" t="s">
        <v>156</v>
      </c>
      <c r="C1538" s="2" t="s">
        <v>3583</v>
      </c>
      <c r="D1538" s="2"/>
      <c r="E1538" s="2" t="s">
        <v>4670</v>
      </c>
      <c r="F1538" s="2" t="s">
        <v>158</v>
      </c>
      <c r="G1538" s="2">
        <v>30.987200000000001</v>
      </c>
      <c r="H1538" s="2" t="s">
        <v>4644</v>
      </c>
      <c r="I1538" s="2" t="s">
        <v>4645</v>
      </c>
      <c r="J1538" s="2" t="s">
        <v>4646</v>
      </c>
      <c r="K1538" s="2">
        <v>18</v>
      </c>
      <c r="L1538" s="2" t="s">
        <v>4647</v>
      </c>
    </row>
    <row r="1539" spans="1:12" ht="33.75" customHeight="1" x14ac:dyDescent="0.25">
      <c r="A1539" s="14" t="s">
        <v>3584</v>
      </c>
      <c r="B1539" s="3" t="s">
        <v>112</v>
      </c>
      <c r="C1539" s="3" t="s">
        <v>3585</v>
      </c>
      <c r="D1539" s="3"/>
      <c r="E1539" s="3" t="s">
        <v>4660</v>
      </c>
      <c r="F1539" s="3" t="s">
        <v>114</v>
      </c>
      <c r="G1539" s="3">
        <v>30.7682</v>
      </c>
      <c r="H1539" s="3" t="s">
        <v>4644</v>
      </c>
      <c r="I1539" s="3" t="s">
        <v>4645</v>
      </c>
      <c r="J1539" s="3" t="s">
        <v>4652</v>
      </c>
      <c r="K1539" s="3">
        <v>21</v>
      </c>
      <c r="L1539" s="3" t="s">
        <v>4647</v>
      </c>
    </row>
    <row r="1540" spans="1:12" ht="33.75" customHeight="1" x14ac:dyDescent="0.25">
      <c r="A1540" s="13" t="s">
        <v>3586</v>
      </c>
      <c r="B1540" s="2" t="s">
        <v>226</v>
      </c>
      <c r="C1540" s="2" t="s">
        <v>3587</v>
      </c>
      <c r="D1540" s="2"/>
      <c r="E1540" s="2" t="s">
        <v>4688</v>
      </c>
      <c r="F1540" s="2" t="s">
        <v>228</v>
      </c>
      <c r="G1540" s="2">
        <v>30.6632</v>
      </c>
      <c r="H1540" s="2" t="s">
        <v>4644</v>
      </c>
      <c r="I1540" s="2" t="s">
        <v>4645</v>
      </c>
      <c r="J1540" s="2" t="s">
        <v>4650</v>
      </c>
      <c r="K1540" s="2">
        <v>24</v>
      </c>
      <c r="L1540" s="2" t="s">
        <v>4647</v>
      </c>
    </row>
    <row r="1541" spans="1:12" ht="33.75" customHeight="1" x14ac:dyDescent="0.25">
      <c r="A1541" s="14" t="s">
        <v>3588</v>
      </c>
      <c r="B1541" s="3" t="s">
        <v>273</v>
      </c>
      <c r="C1541" s="3" t="s">
        <v>3589</v>
      </c>
      <c r="D1541" s="3"/>
      <c r="E1541" s="3" t="s">
        <v>4694</v>
      </c>
      <c r="F1541" s="3" t="s">
        <v>275</v>
      </c>
      <c r="G1541" s="3">
        <v>30.084199999999999</v>
      </c>
      <c r="H1541" s="3" t="s">
        <v>4644</v>
      </c>
      <c r="I1541" s="3" t="s">
        <v>4645</v>
      </c>
      <c r="J1541" s="3" t="s">
        <v>4695</v>
      </c>
      <c r="K1541" s="3">
        <v>68</v>
      </c>
      <c r="L1541" s="3" t="s">
        <v>4647</v>
      </c>
    </row>
    <row r="1542" spans="1:12" ht="33.75" customHeight="1" x14ac:dyDescent="0.25">
      <c r="A1542" s="13" t="s">
        <v>3590</v>
      </c>
      <c r="B1542" s="2" t="s">
        <v>422</v>
      </c>
      <c r="C1542" s="2" t="s">
        <v>3591</v>
      </c>
      <c r="D1542" s="2"/>
      <c r="E1542" s="2" t="s">
        <v>4736</v>
      </c>
      <c r="F1542" s="2" t="s">
        <v>424</v>
      </c>
      <c r="G1542" s="2">
        <v>30.7272</v>
      </c>
      <c r="H1542" s="2" t="s">
        <v>4644</v>
      </c>
      <c r="I1542" s="2" t="s">
        <v>4645</v>
      </c>
      <c r="J1542" s="2" t="s">
        <v>4735</v>
      </c>
      <c r="K1542" s="2">
        <v>76</v>
      </c>
      <c r="L1542" s="2" t="s">
        <v>4647</v>
      </c>
    </row>
    <row r="1543" spans="1:12" ht="33.75" customHeight="1" x14ac:dyDescent="0.25">
      <c r="A1543" s="14" t="s">
        <v>3592</v>
      </c>
      <c r="B1543" s="3" t="s">
        <v>2379</v>
      </c>
      <c r="C1543" s="3" t="s">
        <v>3593</v>
      </c>
      <c r="D1543" s="3"/>
      <c r="E1543" s="3" t="s">
        <v>4910</v>
      </c>
      <c r="F1543" s="3" t="s">
        <v>2381</v>
      </c>
      <c r="G1543" s="3">
        <v>31.98368</v>
      </c>
      <c r="H1543" s="3" t="s">
        <v>4644</v>
      </c>
      <c r="I1543" s="3" t="s">
        <v>4645</v>
      </c>
      <c r="J1543" s="3" t="s">
        <v>4656</v>
      </c>
      <c r="K1543" s="3">
        <v>36</v>
      </c>
      <c r="L1543" s="3" t="s">
        <v>4647</v>
      </c>
    </row>
    <row r="1544" spans="1:12" ht="33.75" customHeight="1" x14ac:dyDescent="0.25">
      <c r="A1544" s="13" t="s">
        <v>3594</v>
      </c>
      <c r="B1544" s="2" t="s">
        <v>418</v>
      </c>
      <c r="C1544" s="2" t="s">
        <v>3595</v>
      </c>
      <c r="D1544" s="2" t="s">
        <v>4773</v>
      </c>
      <c r="E1544" s="2" t="s">
        <v>4734</v>
      </c>
      <c r="F1544" s="2" t="s">
        <v>420</v>
      </c>
      <c r="G1544" s="2">
        <v>30.655200000000001</v>
      </c>
      <c r="H1544" s="2" t="s">
        <v>4644</v>
      </c>
      <c r="I1544" s="2" t="s">
        <v>4645</v>
      </c>
      <c r="J1544" s="2" t="s">
        <v>4682</v>
      </c>
      <c r="K1544" s="2">
        <v>72</v>
      </c>
      <c r="L1544" s="2" t="s">
        <v>4647</v>
      </c>
    </row>
    <row r="1545" spans="1:12" ht="33.75" customHeight="1" x14ac:dyDescent="0.25">
      <c r="A1545" s="14" t="s">
        <v>3596</v>
      </c>
      <c r="B1545" s="3" t="s">
        <v>418</v>
      </c>
      <c r="C1545" s="3" t="s">
        <v>3597</v>
      </c>
      <c r="D1545" s="3" t="s">
        <v>4773</v>
      </c>
      <c r="E1545" s="3" t="s">
        <v>4734</v>
      </c>
      <c r="F1545" s="3" t="s">
        <v>420</v>
      </c>
      <c r="G1545" s="3">
        <v>30.655200000000001</v>
      </c>
      <c r="H1545" s="3" t="s">
        <v>4644</v>
      </c>
      <c r="I1545" s="3" t="s">
        <v>4645</v>
      </c>
      <c r="J1545" s="3" t="s">
        <v>4735</v>
      </c>
      <c r="K1545" s="3">
        <v>72</v>
      </c>
      <c r="L1545" s="3" t="s">
        <v>4647</v>
      </c>
    </row>
    <row r="1546" spans="1:12" ht="33.75" customHeight="1" x14ac:dyDescent="0.25">
      <c r="A1546" s="13" t="s">
        <v>3598</v>
      </c>
      <c r="B1546" s="2" t="s">
        <v>404</v>
      </c>
      <c r="C1546" s="2" t="s">
        <v>3599</v>
      </c>
      <c r="D1546" s="2" t="s">
        <v>4773</v>
      </c>
      <c r="E1546" s="2" t="s">
        <v>4731</v>
      </c>
      <c r="F1546" s="2" t="s">
        <v>406</v>
      </c>
      <c r="G1546" s="2">
        <v>29.999199999999998</v>
      </c>
      <c r="H1546" s="2" t="s">
        <v>4644</v>
      </c>
      <c r="I1546" s="2" t="s">
        <v>4645</v>
      </c>
      <c r="J1546" s="2" t="s">
        <v>4695</v>
      </c>
      <c r="K1546" s="2">
        <v>63</v>
      </c>
      <c r="L1546" s="2" t="s">
        <v>4647</v>
      </c>
    </row>
    <row r="1547" spans="1:12" ht="33.75" customHeight="1" x14ac:dyDescent="0.25">
      <c r="A1547" s="14" t="s">
        <v>3600</v>
      </c>
      <c r="B1547" s="3" t="s">
        <v>404</v>
      </c>
      <c r="C1547" s="3" t="s">
        <v>3601</v>
      </c>
      <c r="D1547" s="3" t="s">
        <v>4773</v>
      </c>
      <c r="E1547" s="3" t="s">
        <v>4731</v>
      </c>
      <c r="F1547" s="3" t="s">
        <v>406</v>
      </c>
      <c r="G1547" s="3">
        <v>29.999199999999998</v>
      </c>
      <c r="H1547" s="3" t="s">
        <v>4644</v>
      </c>
      <c r="I1547" s="3" t="s">
        <v>4645</v>
      </c>
      <c r="J1547" s="3" t="s">
        <v>4695</v>
      </c>
      <c r="K1547" s="3">
        <v>63</v>
      </c>
      <c r="L1547" s="3" t="s">
        <v>4647</v>
      </c>
    </row>
    <row r="1548" spans="1:12" ht="33.75" customHeight="1" x14ac:dyDescent="0.25">
      <c r="A1548" s="13" t="s">
        <v>3602</v>
      </c>
      <c r="B1548" s="2" t="s">
        <v>418</v>
      </c>
      <c r="C1548" s="2" t="s">
        <v>3603</v>
      </c>
      <c r="D1548" s="2" t="s">
        <v>4773</v>
      </c>
      <c r="E1548" s="2" t="s">
        <v>4734</v>
      </c>
      <c r="F1548" s="2" t="s">
        <v>420</v>
      </c>
      <c r="G1548" s="2">
        <v>30.655200000000001</v>
      </c>
      <c r="H1548" s="2" t="s">
        <v>4644</v>
      </c>
      <c r="I1548" s="2" t="s">
        <v>4645</v>
      </c>
      <c r="J1548" s="2" t="s">
        <v>4735</v>
      </c>
      <c r="K1548" s="2">
        <v>72</v>
      </c>
      <c r="L1548" s="2" t="s">
        <v>4647</v>
      </c>
    </row>
    <row r="1549" spans="1:12" ht="33.75" customHeight="1" x14ac:dyDescent="0.25">
      <c r="A1549" s="14" t="s">
        <v>3604</v>
      </c>
      <c r="B1549" s="3" t="s">
        <v>418</v>
      </c>
      <c r="C1549" s="3" t="s">
        <v>3605</v>
      </c>
      <c r="D1549" s="3" t="s">
        <v>4773</v>
      </c>
      <c r="E1549" s="3" t="s">
        <v>4734</v>
      </c>
      <c r="F1549" s="3" t="s">
        <v>420</v>
      </c>
      <c r="G1549" s="3">
        <v>30.655200000000001</v>
      </c>
      <c r="H1549" s="3" t="s">
        <v>4644</v>
      </c>
      <c r="I1549" s="3" t="s">
        <v>4645</v>
      </c>
      <c r="J1549" s="3" t="s">
        <v>4735</v>
      </c>
      <c r="K1549" s="3">
        <v>72</v>
      </c>
      <c r="L1549" s="3" t="s">
        <v>4647</v>
      </c>
    </row>
    <row r="1550" spans="1:12" ht="33.75" customHeight="1" x14ac:dyDescent="0.25">
      <c r="A1550" s="13" t="s">
        <v>3606</v>
      </c>
      <c r="B1550" s="2" t="s">
        <v>404</v>
      </c>
      <c r="C1550" s="2" t="s">
        <v>3607</v>
      </c>
      <c r="D1550" s="2" t="s">
        <v>4773</v>
      </c>
      <c r="E1550" s="2" t="s">
        <v>4731</v>
      </c>
      <c r="F1550" s="2" t="s">
        <v>406</v>
      </c>
      <c r="G1550" s="2">
        <v>29.999199999999998</v>
      </c>
      <c r="H1550" s="2" t="s">
        <v>4644</v>
      </c>
      <c r="I1550" s="2" t="s">
        <v>4645</v>
      </c>
      <c r="J1550" s="2" t="s">
        <v>4695</v>
      </c>
      <c r="K1550" s="2">
        <v>63</v>
      </c>
      <c r="L1550" s="2" t="s">
        <v>4647</v>
      </c>
    </row>
    <row r="1551" spans="1:12" ht="33.75" customHeight="1" x14ac:dyDescent="0.25">
      <c r="A1551" s="14" t="s">
        <v>3608</v>
      </c>
      <c r="B1551" s="3" t="s">
        <v>794</v>
      </c>
      <c r="C1551" s="3" t="s">
        <v>3609</v>
      </c>
      <c r="D1551" s="3" t="s">
        <v>4773</v>
      </c>
      <c r="E1551" s="3" t="s">
        <v>4791</v>
      </c>
      <c r="F1551" s="3" t="s">
        <v>796</v>
      </c>
      <c r="G1551" s="3">
        <v>34.151200000000003</v>
      </c>
      <c r="H1551" s="3" t="s">
        <v>4644</v>
      </c>
      <c r="I1551" s="3" t="s">
        <v>4645</v>
      </c>
      <c r="J1551" s="3" t="s">
        <v>4770</v>
      </c>
      <c r="K1551" s="3">
        <v>63</v>
      </c>
      <c r="L1551" s="3" t="s">
        <v>4647</v>
      </c>
    </row>
    <row r="1552" spans="1:12" ht="33.75" customHeight="1" x14ac:dyDescent="0.25">
      <c r="A1552" s="13" t="s">
        <v>3610</v>
      </c>
      <c r="B1552" s="2" t="s">
        <v>404</v>
      </c>
      <c r="C1552" s="2" t="s">
        <v>2233</v>
      </c>
      <c r="D1552" s="2" t="s">
        <v>4773</v>
      </c>
      <c r="E1552" s="2" t="s">
        <v>4731</v>
      </c>
      <c r="F1552" s="2" t="s">
        <v>406</v>
      </c>
      <c r="G1552" s="2">
        <v>29.999199999999998</v>
      </c>
      <c r="H1552" s="2" t="s">
        <v>4644</v>
      </c>
      <c r="I1552" s="2" t="s">
        <v>4645</v>
      </c>
      <c r="J1552" s="2" t="s">
        <v>4695</v>
      </c>
      <c r="K1552" s="2">
        <v>63</v>
      </c>
      <c r="L1552" s="2" t="s">
        <v>4647</v>
      </c>
    </row>
    <row r="1553" spans="1:12" ht="33.75" customHeight="1" x14ac:dyDescent="0.25">
      <c r="A1553" s="14" t="s">
        <v>3611</v>
      </c>
      <c r="B1553" s="3" t="s">
        <v>418</v>
      </c>
      <c r="C1553" s="3" t="s">
        <v>2910</v>
      </c>
      <c r="D1553" s="3" t="s">
        <v>4773</v>
      </c>
      <c r="E1553" s="3" t="s">
        <v>4734</v>
      </c>
      <c r="F1553" s="3" t="s">
        <v>420</v>
      </c>
      <c r="G1553" s="3">
        <v>30.655200000000001</v>
      </c>
      <c r="H1553" s="3" t="s">
        <v>4644</v>
      </c>
      <c r="I1553" s="3" t="s">
        <v>4645</v>
      </c>
      <c r="J1553" s="3" t="s">
        <v>4682</v>
      </c>
      <c r="K1553" s="3">
        <v>72</v>
      </c>
      <c r="L1553" s="3" t="s">
        <v>4647</v>
      </c>
    </row>
    <row r="1554" spans="1:12" ht="33.75" customHeight="1" x14ac:dyDescent="0.25">
      <c r="A1554" s="13" t="s">
        <v>3612</v>
      </c>
      <c r="B1554" s="2" t="s">
        <v>418</v>
      </c>
      <c r="C1554" s="2" t="s">
        <v>2908</v>
      </c>
      <c r="D1554" s="2" t="s">
        <v>4773</v>
      </c>
      <c r="E1554" s="2" t="s">
        <v>4734</v>
      </c>
      <c r="F1554" s="2" t="s">
        <v>420</v>
      </c>
      <c r="G1554" s="2">
        <v>30.655200000000001</v>
      </c>
      <c r="H1554" s="2" t="s">
        <v>4644</v>
      </c>
      <c r="I1554" s="2" t="s">
        <v>4645</v>
      </c>
      <c r="J1554" s="2" t="s">
        <v>4682</v>
      </c>
      <c r="K1554" s="2">
        <v>72</v>
      </c>
      <c r="L1554" s="2" t="s">
        <v>4647</v>
      </c>
    </row>
    <row r="1555" spans="1:12" ht="33.75" customHeight="1" x14ac:dyDescent="0.25">
      <c r="A1555" s="14" t="s">
        <v>3613</v>
      </c>
      <c r="B1555" s="3" t="s">
        <v>2037</v>
      </c>
      <c r="C1555" s="3" t="s">
        <v>3614</v>
      </c>
      <c r="D1555" s="3"/>
      <c r="E1555" s="3" t="s">
        <v>4884</v>
      </c>
      <c r="F1555" s="3" t="s">
        <v>2039</v>
      </c>
      <c r="G1555" s="3">
        <v>31.226199999999999</v>
      </c>
      <c r="H1555" s="3" t="s">
        <v>4644</v>
      </c>
      <c r="I1555" s="3" t="s">
        <v>4645</v>
      </c>
      <c r="J1555" s="3" t="s">
        <v>4733</v>
      </c>
      <c r="K1555" s="3">
        <v>96</v>
      </c>
      <c r="L1555" s="3" t="s">
        <v>4647</v>
      </c>
    </row>
    <row r="1556" spans="1:12" ht="33.75" customHeight="1" x14ac:dyDescent="0.25">
      <c r="A1556" s="13" t="s">
        <v>3615</v>
      </c>
      <c r="B1556" s="2" t="s">
        <v>404</v>
      </c>
      <c r="C1556" s="2" t="s">
        <v>3616</v>
      </c>
      <c r="D1556" s="2" t="s">
        <v>4773</v>
      </c>
      <c r="E1556" s="2" t="s">
        <v>4731</v>
      </c>
      <c r="F1556" s="2" t="s">
        <v>406</v>
      </c>
      <c r="G1556" s="2">
        <v>29.999199999999998</v>
      </c>
      <c r="H1556" s="2" t="s">
        <v>4644</v>
      </c>
      <c r="I1556" s="2" t="s">
        <v>4645</v>
      </c>
      <c r="J1556" s="2" t="s">
        <v>4695</v>
      </c>
      <c r="K1556" s="2">
        <v>63</v>
      </c>
      <c r="L1556" s="2" t="s">
        <v>4647</v>
      </c>
    </row>
    <row r="1557" spans="1:12" ht="33.75" customHeight="1" x14ac:dyDescent="0.25">
      <c r="A1557" s="14" t="s">
        <v>3617</v>
      </c>
      <c r="B1557" s="3" t="s">
        <v>2536</v>
      </c>
      <c r="C1557" s="3" t="s">
        <v>3618</v>
      </c>
      <c r="D1557" s="3" t="s">
        <v>4794</v>
      </c>
      <c r="E1557" s="3" t="s">
        <v>4926</v>
      </c>
      <c r="F1557" s="3" t="s">
        <v>2538</v>
      </c>
      <c r="G1557" s="3">
        <v>30.193999999999999</v>
      </c>
      <c r="H1557" s="3" t="s">
        <v>4644</v>
      </c>
      <c r="I1557" s="3" t="s">
        <v>4645</v>
      </c>
      <c r="J1557" s="3" t="s">
        <v>4646</v>
      </c>
      <c r="K1557" s="3">
        <v>18</v>
      </c>
      <c r="L1557" s="3" t="s">
        <v>4647</v>
      </c>
    </row>
    <row r="1558" spans="1:12" ht="33.75" customHeight="1" x14ac:dyDescent="0.25">
      <c r="A1558" s="13" t="s">
        <v>3619</v>
      </c>
      <c r="B1558" s="2" t="s">
        <v>2532</v>
      </c>
      <c r="C1558" s="2" t="s">
        <v>3620</v>
      </c>
      <c r="D1558" s="2" t="s">
        <v>4794</v>
      </c>
      <c r="E1558" s="2" t="s">
        <v>4925</v>
      </c>
      <c r="F1558" s="2" t="s">
        <v>2534</v>
      </c>
      <c r="G1558" s="2">
        <v>29.9</v>
      </c>
      <c r="H1558" s="2" t="s">
        <v>4644</v>
      </c>
      <c r="I1558" s="2" t="s">
        <v>4645</v>
      </c>
      <c r="J1558" s="2" t="s">
        <v>4652</v>
      </c>
      <c r="K1558" s="2">
        <v>21</v>
      </c>
      <c r="L1558" s="2" t="s">
        <v>4647</v>
      </c>
    </row>
    <row r="1559" spans="1:12" ht="33.75" customHeight="1" x14ac:dyDescent="0.25">
      <c r="A1559" s="14" t="s">
        <v>3621</v>
      </c>
      <c r="B1559" s="3" t="s">
        <v>2526</v>
      </c>
      <c r="C1559" s="3" t="s">
        <v>3622</v>
      </c>
      <c r="D1559" s="3" t="s">
        <v>4794</v>
      </c>
      <c r="E1559" s="3" t="s">
        <v>4924</v>
      </c>
      <c r="F1559" s="3" t="s">
        <v>2528</v>
      </c>
      <c r="G1559" s="3">
        <v>27.506</v>
      </c>
      <c r="H1559" s="3" t="s">
        <v>4644</v>
      </c>
      <c r="I1559" s="3" t="s">
        <v>4645</v>
      </c>
      <c r="J1559" s="3" t="s">
        <v>4721</v>
      </c>
      <c r="K1559" s="3">
        <v>48</v>
      </c>
      <c r="L1559" s="3" t="s">
        <v>4647</v>
      </c>
    </row>
    <row r="1560" spans="1:12" ht="33.75" customHeight="1" x14ac:dyDescent="0.25">
      <c r="A1560" s="13" t="s">
        <v>3623</v>
      </c>
      <c r="B1560" s="2" t="s">
        <v>2526</v>
      </c>
      <c r="C1560" s="2" t="s">
        <v>3624</v>
      </c>
      <c r="D1560" s="2" t="s">
        <v>4794</v>
      </c>
      <c r="E1560" s="2" t="s">
        <v>4924</v>
      </c>
      <c r="F1560" s="2" t="s">
        <v>2528</v>
      </c>
      <c r="G1560" s="2">
        <v>27.506</v>
      </c>
      <c r="H1560" s="2" t="s">
        <v>4644</v>
      </c>
      <c r="I1560" s="2" t="s">
        <v>4645</v>
      </c>
      <c r="J1560" s="2" t="s">
        <v>4721</v>
      </c>
      <c r="K1560" s="2">
        <v>48</v>
      </c>
      <c r="L1560" s="2" t="s">
        <v>4647</v>
      </c>
    </row>
    <row r="1561" spans="1:12" ht="33.75" customHeight="1" x14ac:dyDescent="0.25">
      <c r="A1561" s="14" t="s">
        <v>3625</v>
      </c>
      <c r="B1561" s="3" t="s">
        <v>3626</v>
      </c>
      <c r="C1561" s="3" t="s">
        <v>3627</v>
      </c>
      <c r="D1561" s="3" t="s">
        <v>4794</v>
      </c>
      <c r="E1561" s="3" t="s">
        <v>4988</v>
      </c>
      <c r="F1561" s="3" t="s">
        <v>3628</v>
      </c>
      <c r="G1561" s="3">
        <v>27.506</v>
      </c>
      <c r="H1561" s="3" t="s">
        <v>4644</v>
      </c>
      <c r="I1561" s="3" t="s">
        <v>4645</v>
      </c>
      <c r="J1561" s="3" t="s">
        <v>4770</v>
      </c>
      <c r="K1561" s="3">
        <v>57</v>
      </c>
      <c r="L1561" s="3" t="s">
        <v>4647</v>
      </c>
    </row>
    <row r="1562" spans="1:12" ht="33.75" customHeight="1" x14ac:dyDescent="0.25">
      <c r="A1562" s="13" t="s">
        <v>3629</v>
      </c>
      <c r="B1562" s="2" t="s">
        <v>3630</v>
      </c>
      <c r="C1562" s="2" t="s">
        <v>3631</v>
      </c>
      <c r="D1562" s="2" t="s">
        <v>4794</v>
      </c>
      <c r="E1562" s="2" t="s">
        <v>4989</v>
      </c>
      <c r="F1562" s="2" t="s">
        <v>3632</v>
      </c>
      <c r="G1562" s="2">
        <v>27.506</v>
      </c>
      <c r="H1562" s="2" t="s">
        <v>4644</v>
      </c>
      <c r="I1562" s="2" t="s">
        <v>4645</v>
      </c>
      <c r="J1562" s="2" t="s">
        <v>4719</v>
      </c>
      <c r="K1562" s="2">
        <v>63</v>
      </c>
      <c r="L1562" s="2" t="s">
        <v>4647</v>
      </c>
    </row>
    <row r="1563" spans="1:12" ht="33.75" customHeight="1" x14ac:dyDescent="0.25">
      <c r="A1563" s="14" t="s">
        <v>3633</v>
      </c>
      <c r="B1563" s="3" t="s">
        <v>3630</v>
      </c>
      <c r="C1563" s="3" t="s">
        <v>3634</v>
      </c>
      <c r="D1563" s="3" t="s">
        <v>4794</v>
      </c>
      <c r="E1563" s="3" t="s">
        <v>4989</v>
      </c>
      <c r="F1563" s="3" t="s">
        <v>3632</v>
      </c>
      <c r="G1563" s="3">
        <v>27.506</v>
      </c>
      <c r="H1563" s="3" t="s">
        <v>4644</v>
      </c>
      <c r="I1563" s="3" t="s">
        <v>4645</v>
      </c>
      <c r="J1563" s="3" t="s">
        <v>4719</v>
      </c>
      <c r="K1563" s="3">
        <v>63</v>
      </c>
      <c r="L1563" s="3" t="s">
        <v>4647</v>
      </c>
    </row>
    <row r="1564" spans="1:12" ht="33.75" customHeight="1" x14ac:dyDescent="0.25">
      <c r="A1564" s="13" t="s">
        <v>3635</v>
      </c>
      <c r="B1564" s="2" t="s">
        <v>404</v>
      </c>
      <c r="C1564" s="2" t="s">
        <v>3636</v>
      </c>
      <c r="D1564" s="2" t="s">
        <v>4705</v>
      </c>
      <c r="E1564" s="2" t="s">
        <v>4731</v>
      </c>
      <c r="F1564" s="2" t="s">
        <v>406</v>
      </c>
      <c r="G1564" s="2">
        <v>29.999199999999998</v>
      </c>
      <c r="H1564" s="2" t="s">
        <v>4644</v>
      </c>
      <c r="I1564" s="2" t="s">
        <v>4645</v>
      </c>
      <c r="J1564" s="2" t="s">
        <v>4695</v>
      </c>
      <c r="K1564" s="2">
        <v>63</v>
      </c>
      <c r="L1564" s="2" t="s">
        <v>4647</v>
      </c>
    </row>
    <row r="1565" spans="1:12" ht="33.75" customHeight="1" x14ac:dyDescent="0.25">
      <c r="A1565" s="14" t="s">
        <v>3637</v>
      </c>
      <c r="B1565" s="3" t="s">
        <v>3305</v>
      </c>
      <c r="C1565" s="3" t="s">
        <v>3638</v>
      </c>
      <c r="D1565" s="3"/>
      <c r="E1565" s="3" t="s">
        <v>4976</v>
      </c>
      <c r="F1565" s="3" t="s">
        <v>3307</v>
      </c>
      <c r="G1565" s="3">
        <v>28.139199999999999</v>
      </c>
      <c r="H1565" s="3" t="s">
        <v>4644</v>
      </c>
      <c r="I1565" s="3" t="s">
        <v>4645</v>
      </c>
      <c r="J1565" s="3" t="s">
        <v>4733</v>
      </c>
      <c r="K1565" s="3">
        <v>87</v>
      </c>
      <c r="L1565" s="3" t="s">
        <v>4647</v>
      </c>
    </row>
    <row r="1566" spans="1:12" ht="33.75" customHeight="1" x14ac:dyDescent="0.25">
      <c r="A1566" s="13" t="s">
        <v>3639</v>
      </c>
      <c r="B1566" s="2" t="s">
        <v>3640</v>
      </c>
      <c r="C1566" s="2" t="s">
        <v>3641</v>
      </c>
      <c r="D1566" s="2"/>
      <c r="E1566" s="2" t="s">
        <v>4990</v>
      </c>
      <c r="F1566" s="2" t="s">
        <v>3642</v>
      </c>
      <c r="G1566" s="2">
        <v>27.9192</v>
      </c>
      <c r="H1566" s="2" t="s">
        <v>4644</v>
      </c>
      <c r="I1566" s="2" t="s">
        <v>4645</v>
      </c>
      <c r="J1566" s="2" t="s">
        <v>4697</v>
      </c>
      <c r="K1566" s="2">
        <v>45</v>
      </c>
      <c r="L1566" s="2" t="s">
        <v>4647</v>
      </c>
    </row>
    <row r="1567" spans="1:12" ht="33.75" customHeight="1" x14ac:dyDescent="0.25">
      <c r="A1567" s="14" t="s">
        <v>3643</v>
      </c>
      <c r="B1567" s="3" t="s">
        <v>3644</v>
      </c>
      <c r="C1567" s="3" t="s">
        <v>3645</v>
      </c>
      <c r="D1567" s="3"/>
      <c r="E1567" s="3" t="s">
        <v>4991</v>
      </c>
      <c r="F1567" s="3" t="s">
        <v>3646</v>
      </c>
      <c r="G1567" s="3">
        <v>31.23</v>
      </c>
      <c r="H1567" s="3" t="s">
        <v>4644</v>
      </c>
      <c r="I1567" s="3" t="s">
        <v>4645</v>
      </c>
      <c r="J1567" s="3" t="s">
        <v>4646</v>
      </c>
      <c r="K1567" s="3">
        <v>24</v>
      </c>
      <c r="L1567" s="3" t="s">
        <v>4647</v>
      </c>
    </row>
    <row r="1568" spans="1:12" ht="33.75" customHeight="1" x14ac:dyDescent="0.25">
      <c r="A1568" s="13" t="s">
        <v>3647</v>
      </c>
      <c r="B1568" s="2" t="s">
        <v>3648</v>
      </c>
      <c r="C1568" s="2" t="s">
        <v>3649</v>
      </c>
      <c r="D1568" s="2"/>
      <c r="E1568" s="2" t="s">
        <v>4992</v>
      </c>
      <c r="F1568" s="2" t="s">
        <v>3650</v>
      </c>
      <c r="G1568" s="2">
        <v>30.335999999999999</v>
      </c>
      <c r="H1568" s="2" t="s">
        <v>4644</v>
      </c>
      <c r="I1568" s="2" t="s">
        <v>4645</v>
      </c>
      <c r="J1568" s="2" t="s">
        <v>4650</v>
      </c>
      <c r="K1568" s="2">
        <v>30</v>
      </c>
      <c r="L1568" s="2" t="s">
        <v>4647</v>
      </c>
    </row>
    <row r="1569" spans="1:12" ht="33.75" customHeight="1" x14ac:dyDescent="0.25">
      <c r="A1569" s="14" t="s">
        <v>3651</v>
      </c>
      <c r="B1569" s="3" t="s">
        <v>386</v>
      </c>
      <c r="C1569" s="3" t="s">
        <v>3652</v>
      </c>
      <c r="D1569" s="3"/>
      <c r="E1569" s="3" t="s">
        <v>4727</v>
      </c>
      <c r="F1569" s="3" t="s">
        <v>388</v>
      </c>
      <c r="G1569" s="3">
        <v>33.783799999999999</v>
      </c>
      <c r="H1569" s="3" t="s">
        <v>4644</v>
      </c>
      <c r="I1569" s="3" t="s">
        <v>4645</v>
      </c>
      <c r="J1569" s="3" t="s">
        <v>4721</v>
      </c>
      <c r="K1569" s="3">
        <v>54</v>
      </c>
      <c r="L1569" s="3" t="s">
        <v>4647</v>
      </c>
    </row>
    <row r="1570" spans="1:12" ht="33.75" customHeight="1" x14ac:dyDescent="0.25">
      <c r="A1570" s="13" t="s">
        <v>3653</v>
      </c>
      <c r="B1570" s="2" t="s">
        <v>57</v>
      </c>
      <c r="C1570" s="2" t="s">
        <v>3654</v>
      </c>
      <c r="D1570" s="2" t="s">
        <v>4663</v>
      </c>
      <c r="E1570" s="2" t="s">
        <v>4643</v>
      </c>
      <c r="F1570" s="2" t="s">
        <v>59</v>
      </c>
      <c r="G1570" s="2">
        <v>31.825199999999999</v>
      </c>
      <c r="H1570" s="2" t="s">
        <v>4644</v>
      </c>
      <c r="I1570" s="2" t="s">
        <v>4645</v>
      </c>
      <c r="J1570" s="2" t="s">
        <v>4646</v>
      </c>
      <c r="K1570" s="2">
        <v>21</v>
      </c>
      <c r="L1570" s="2" t="s">
        <v>4647</v>
      </c>
    </row>
    <row r="1571" spans="1:12" ht="33.75" customHeight="1" x14ac:dyDescent="0.25">
      <c r="A1571" s="14" t="s">
        <v>3655</v>
      </c>
      <c r="B1571" s="3" t="s">
        <v>89</v>
      </c>
      <c r="C1571" s="3" t="s">
        <v>3656</v>
      </c>
      <c r="D1571" s="3" t="s">
        <v>4773</v>
      </c>
      <c r="E1571" s="3" t="s">
        <v>4659</v>
      </c>
      <c r="F1571" s="3" t="s">
        <v>91</v>
      </c>
      <c r="G1571" s="3">
        <v>32.389200000000002</v>
      </c>
      <c r="H1571" s="3" t="s">
        <v>4644</v>
      </c>
      <c r="I1571" s="3" t="s">
        <v>4645</v>
      </c>
      <c r="J1571" s="3" t="s">
        <v>4652</v>
      </c>
      <c r="K1571" s="3">
        <v>30</v>
      </c>
      <c r="L1571" s="3" t="s">
        <v>4647</v>
      </c>
    </row>
    <row r="1572" spans="1:12" ht="33.75" customHeight="1" x14ac:dyDescent="0.25">
      <c r="A1572" s="13" t="s">
        <v>3657</v>
      </c>
      <c r="B1572" s="2" t="s">
        <v>324</v>
      </c>
      <c r="C1572" s="2" t="s">
        <v>3658</v>
      </c>
      <c r="D1572" s="2" t="s">
        <v>4773</v>
      </c>
      <c r="E1572" s="2" t="s">
        <v>4704</v>
      </c>
      <c r="F1572" s="2" t="s">
        <v>326</v>
      </c>
      <c r="G1572" s="2">
        <v>29.719200000000001</v>
      </c>
      <c r="H1572" s="2" t="s">
        <v>4644</v>
      </c>
      <c r="I1572" s="2" t="s">
        <v>4645</v>
      </c>
      <c r="J1572" s="2" t="s">
        <v>4697</v>
      </c>
      <c r="K1572" s="2">
        <v>45</v>
      </c>
      <c r="L1572" s="2" t="s">
        <v>4647</v>
      </c>
    </row>
    <row r="1573" spans="1:12" ht="33.75" customHeight="1" x14ac:dyDescent="0.25">
      <c r="A1573" s="14" t="s">
        <v>3659</v>
      </c>
      <c r="B1573" s="3" t="s">
        <v>404</v>
      </c>
      <c r="C1573" s="3" t="s">
        <v>3660</v>
      </c>
      <c r="D1573" s="3" t="s">
        <v>4773</v>
      </c>
      <c r="E1573" s="3" t="s">
        <v>4731</v>
      </c>
      <c r="F1573" s="3" t="s">
        <v>406</v>
      </c>
      <c r="G1573" s="3">
        <v>29.999199999999998</v>
      </c>
      <c r="H1573" s="3" t="s">
        <v>4644</v>
      </c>
      <c r="I1573" s="3" t="s">
        <v>4645</v>
      </c>
      <c r="J1573" s="3" t="s">
        <v>4695</v>
      </c>
      <c r="K1573" s="3">
        <v>63</v>
      </c>
      <c r="L1573" s="3" t="s">
        <v>4647</v>
      </c>
    </row>
    <row r="1574" spans="1:12" ht="33.75" customHeight="1" x14ac:dyDescent="0.25">
      <c r="A1574" s="13" t="s">
        <v>3661</v>
      </c>
      <c r="B1574" s="2" t="s">
        <v>418</v>
      </c>
      <c r="C1574" s="2" t="s">
        <v>3662</v>
      </c>
      <c r="D1574" s="2" t="s">
        <v>4773</v>
      </c>
      <c r="E1574" s="2" t="s">
        <v>4734</v>
      </c>
      <c r="F1574" s="2" t="s">
        <v>420</v>
      </c>
      <c r="G1574" s="2">
        <v>30.655200000000001</v>
      </c>
      <c r="H1574" s="2" t="s">
        <v>4644</v>
      </c>
      <c r="I1574" s="2" t="s">
        <v>4645</v>
      </c>
      <c r="J1574" s="2" t="s">
        <v>4735</v>
      </c>
      <c r="K1574" s="2">
        <v>72</v>
      </c>
      <c r="L1574" s="2" t="s">
        <v>4647</v>
      </c>
    </row>
    <row r="1575" spans="1:12" ht="33.75" customHeight="1" x14ac:dyDescent="0.25">
      <c r="A1575" s="14" t="s">
        <v>3663</v>
      </c>
      <c r="B1575" s="3" t="s">
        <v>404</v>
      </c>
      <c r="C1575" s="3" t="s">
        <v>3664</v>
      </c>
      <c r="D1575" s="3" t="s">
        <v>4760</v>
      </c>
      <c r="E1575" s="3" t="s">
        <v>4731</v>
      </c>
      <c r="F1575" s="3" t="s">
        <v>406</v>
      </c>
      <c r="G1575" s="3">
        <v>29.999199999999998</v>
      </c>
      <c r="H1575" s="3" t="s">
        <v>4644</v>
      </c>
      <c r="I1575" s="3" t="s">
        <v>4645</v>
      </c>
      <c r="J1575" s="3" t="s">
        <v>4695</v>
      </c>
      <c r="K1575" s="3">
        <v>63</v>
      </c>
      <c r="L1575" s="3" t="s">
        <v>4647</v>
      </c>
    </row>
    <row r="1576" spans="1:12" ht="33.75" customHeight="1" x14ac:dyDescent="0.25">
      <c r="A1576" s="13" t="s">
        <v>3665</v>
      </c>
      <c r="B1576" s="2" t="s">
        <v>386</v>
      </c>
      <c r="C1576" s="2" t="s">
        <v>3666</v>
      </c>
      <c r="D1576" s="2" t="s">
        <v>4760</v>
      </c>
      <c r="E1576" s="2" t="s">
        <v>4727</v>
      </c>
      <c r="F1576" s="2" t="s">
        <v>388</v>
      </c>
      <c r="G1576" s="2">
        <v>33.783799999999999</v>
      </c>
      <c r="H1576" s="2" t="s">
        <v>4644</v>
      </c>
      <c r="I1576" s="2" t="s">
        <v>4645</v>
      </c>
      <c r="J1576" s="2" t="s">
        <v>4721</v>
      </c>
      <c r="K1576" s="2">
        <v>54</v>
      </c>
      <c r="L1576" s="2" t="s">
        <v>4647</v>
      </c>
    </row>
    <row r="1577" spans="1:12" ht="33.75" customHeight="1" x14ac:dyDescent="0.25">
      <c r="A1577" s="14" t="s">
        <v>3667</v>
      </c>
      <c r="B1577" s="3" t="s">
        <v>57</v>
      </c>
      <c r="C1577" s="3" t="s">
        <v>3668</v>
      </c>
      <c r="D1577" s="3" t="s">
        <v>4760</v>
      </c>
      <c r="E1577" s="3" t="s">
        <v>4643</v>
      </c>
      <c r="F1577" s="3" t="s">
        <v>59</v>
      </c>
      <c r="G1577" s="3">
        <v>31.825199999999999</v>
      </c>
      <c r="H1577" s="3" t="s">
        <v>4644</v>
      </c>
      <c r="I1577" s="3" t="s">
        <v>4645</v>
      </c>
      <c r="J1577" s="3" t="s">
        <v>4646</v>
      </c>
      <c r="K1577" s="3">
        <v>21</v>
      </c>
      <c r="L1577" s="3" t="s">
        <v>4647</v>
      </c>
    </row>
    <row r="1578" spans="1:12" ht="33.75" customHeight="1" x14ac:dyDescent="0.25">
      <c r="A1578" s="13" t="s">
        <v>3669</v>
      </c>
      <c r="B1578" s="2" t="s">
        <v>404</v>
      </c>
      <c r="C1578" s="2" t="s">
        <v>3670</v>
      </c>
      <c r="D1578" s="2"/>
      <c r="E1578" s="2" t="s">
        <v>4731</v>
      </c>
      <c r="F1578" s="2" t="s">
        <v>406</v>
      </c>
      <c r="G1578" s="2">
        <v>29.999199999999998</v>
      </c>
      <c r="H1578" s="2" t="s">
        <v>4644</v>
      </c>
      <c r="I1578" s="2" t="s">
        <v>4645</v>
      </c>
      <c r="J1578" s="2" t="s">
        <v>4695</v>
      </c>
      <c r="K1578" s="2">
        <v>63</v>
      </c>
      <c r="L1578" s="2" t="s">
        <v>4647</v>
      </c>
    </row>
    <row r="1579" spans="1:12" ht="33.75" customHeight="1" x14ac:dyDescent="0.25">
      <c r="A1579" s="14" t="s">
        <v>3671</v>
      </c>
      <c r="B1579" s="3" t="s">
        <v>1294</v>
      </c>
      <c r="C1579" s="3" t="s">
        <v>3672</v>
      </c>
      <c r="D1579" s="3" t="s">
        <v>4993</v>
      </c>
      <c r="E1579" s="3" t="s">
        <v>4819</v>
      </c>
      <c r="F1579" s="3" t="s">
        <v>1296</v>
      </c>
      <c r="G1579" s="3">
        <v>27.925999999999998</v>
      </c>
      <c r="H1579" s="3" t="s">
        <v>4644</v>
      </c>
      <c r="I1579" s="3" t="s">
        <v>4645</v>
      </c>
      <c r="J1579" s="3" t="s">
        <v>4735</v>
      </c>
      <c r="K1579" s="3">
        <v>57</v>
      </c>
      <c r="L1579" s="3" t="s">
        <v>4647</v>
      </c>
    </row>
    <row r="1580" spans="1:12" ht="33.75" customHeight="1" x14ac:dyDescent="0.25">
      <c r="A1580" s="13" t="s">
        <v>3673</v>
      </c>
      <c r="B1580" s="2" t="s">
        <v>878</v>
      </c>
      <c r="C1580" s="2" t="s">
        <v>3674</v>
      </c>
      <c r="D1580" s="2" t="s">
        <v>4993</v>
      </c>
      <c r="E1580" s="2" t="s">
        <v>4802</v>
      </c>
      <c r="F1580" s="2" t="s">
        <v>880</v>
      </c>
      <c r="G1580" s="2">
        <v>27.925999999999998</v>
      </c>
      <c r="H1580" s="2" t="s">
        <v>4644</v>
      </c>
      <c r="I1580" s="2" t="s">
        <v>4645</v>
      </c>
      <c r="J1580" s="2" t="s">
        <v>4695</v>
      </c>
      <c r="K1580" s="2">
        <v>51</v>
      </c>
      <c r="L1580" s="2" t="s">
        <v>4647</v>
      </c>
    </row>
    <row r="1581" spans="1:12" ht="33.75" customHeight="1" x14ac:dyDescent="0.25">
      <c r="A1581" s="14" t="s">
        <v>3675</v>
      </c>
      <c r="B1581" s="3" t="s">
        <v>878</v>
      </c>
      <c r="C1581" s="3" t="s">
        <v>3676</v>
      </c>
      <c r="D1581" s="3" t="s">
        <v>4993</v>
      </c>
      <c r="E1581" s="3" t="s">
        <v>4802</v>
      </c>
      <c r="F1581" s="3" t="s">
        <v>880</v>
      </c>
      <c r="G1581" s="3">
        <v>27.925999999999998</v>
      </c>
      <c r="H1581" s="3" t="s">
        <v>4644</v>
      </c>
      <c r="I1581" s="3" t="s">
        <v>4645</v>
      </c>
      <c r="J1581" s="3" t="s">
        <v>4684</v>
      </c>
      <c r="K1581" s="3">
        <v>51</v>
      </c>
      <c r="L1581" s="3" t="s">
        <v>4647</v>
      </c>
    </row>
    <row r="1582" spans="1:12" ht="33.75" customHeight="1" x14ac:dyDescent="0.25">
      <c r="A1582" s="13" t="s">
        <v>3677</v>
      </c>
      <c r="B1582" s="2" t="s">
        <v>2137</v>
      </c>
      <c r="C1582" s="2" t="s">
        <v>3678</v>
      </c>
      <c r="D1582" s="2" t="s">
        <v>4993</v>
      </c>
      <c r="E1582" s="2" t="s">
        <v>4885</v>
      </c>
      <c r="F1582" s="2" t="s">
        <v>2139</v>
      </c>
      <c r="G1582" s="2">
        <v>27.925999999999998</v>
      </c>
      <c r="H1582" s="2" t="s">
        <v>4644</v>
      </c>
      <c r="I1582" s="2" t="s">
        <v>4645</v>
      </c>
      <c r="J1582" s="2" t="s">
        <v>4697</v>
      </c>
      <c r="K1582" s="2">
        <v>36</v>
      </c>
      <c r="L1582" s="2" t="s">
        <v>4647</v>
      </c>
    </row>
    <row r="1583" spans="1:12" ht="33.75" customHeight="1" x14ac:dyDescent="0.25">
      <c r="A1583" s="14" t="s">
        <v>3679</v>
      </c>
      <c r="B1583" s="3" t="s">
        <v>673</v>
      </c>
      <c r="C1583" s="3" t="s">
        <v>3680</v>
      </c>
      <c r="D1583" s="3" t="s">
        <v>4648</v>
      </c>
      <c r="E1583" s="3" t="s">
        <v>4779</v>
      </c>
      <c r="F1583" s="3" t="s">
        <v>675</v>
      </c>
      <c r="G1583" s="3">
        <v>29.5824</v>
      </c>
      <c r="H1583" s="3" t="s">
        <v>4644</v>
      </c>
      <c r="I1583" s="3" t="s">
        <v>4645</v>
      </c>
      <c r="J1583" s="3" t="s">
        <v>4684</v>
      </c>
      <c r="K1583" s="3">
        <v>63</v>
      </c>
      <c r="L1583" s="3" t="s">
        <v>4647</v>
      </c>
    </row>
    <row r="1584" spans="1:12" ht="33.75" customHeight="1" x14ac:dyDescent="0.25">
      <c r="A1584" s="13" t="s">
        <v>3681</v>
      </c>
      <c r="B1584" s="2" t="s">
        <v>673</v>
      </c>
      <c r="C1584" s="2" t="s">
        <v>3682</v>
      </c>
      <c r="D1584" s="2" t="s">
        <v>4648</v>
      </c>
      <c r="E1584" s="2" t="s">
        <v>4779</v>
      </c>
      <c r="F1584" s="2" t="s">
        <v>675</v>
      </c>
      <c r="G1584" s="2">
        <v>29.5824</v>
      </c>
      <c r="H1584" s="2" t="s">
        <v>4644</v>
      </c>
      <c r="I1584" s="2" t="s">
        <v>4645</v>
      </c>
      <c r="J1584" s="2" t="s">
        <v>4684</v>
      </c>
      <c r="K1584" s="2">
        <v>63</v>
      </c>
      <c r="L1584" s="2" t="s">
        <v>4647</v>
      </c>
    </row>
    <row r="1585" spans="1:12" ht="33.75" customHeight="1" x14ac:dyDescent="0.25">
      <c r="A1585" s="14" t="s">
        <v>3683</v>
      </c>
      <c r="B1585" s="3" t="s">
        <v>673</v>
      </c>
      <c r="C1585" s="3" t="s">
        <v>3684</v>
      </c>
      <c r="D1585" s="3" t="s">
        <v>4648</v>
      </c>
      <c r="E1585" s="3" t="s">
        <v>4779</v>
      </c>
      <c r="F1585" s="3" t="s">
        <v>675</v>
      </c>
      <c r="G1585" s="3">
        <v>29.5824</v>
      </c>
      <c r="H1585" s="3" t="s">
        <v>4644</v>
      </c>
      <c r="I1585" s="3" t="s">
        <v>4645</v>
      </c>
      <c r="J1585" s="3" t="s">
        <v>4684</v>
      </c>
      <c r="K1585" s="3">
        <v>63</v>
      </c>
      <c r="L1585" s="3" t="s">
        <v>4647</v>
      </c>
    </row>
    <row r="1586" spans="1:12" ht="33.75" customHeight="1" x14ac:dyDescent="0.25">
      <c r="A1586" s="13" t="s">
        <v>3685</v>
      </c>
      <c r="B1586" s="2" t="s">
        <v>673</v>
      </c>
      <c r="C1586" s="2" t="s">
        <v>3686</v>
      </c>
      <c r="D1586" s="2" t="s">
        <v>4648</v>
      </c>
      <c r="E1586" s="2" t="s">
        <v>4779</v>
      </c>
      <c r="F1586" s="2" t="s">
        <v>675</v>
      </c>
      <c r="G1586" s="2">
        <v>29.5824</v>
      </c>
      <c r="H1586" s="2" t="s">
        <v>4644</v>
      </c>
      <c r="I1586" s="2" t="s">
        <v>4645</v>
      </c>
      <c r="J1586" s="2" t="s">
        <v>4684</v>
      </c>
      <c r="K1586" s="2">
        <v>63</v>
      </c>
      <c r="L1586" s="2" t="s">
        <v>4647</v>
      </c>
    </row>
    <row r="1587" spans="1:12" ht="33.75" customHeight="1" x14ac:dyDescent="0.25">
      <c r="A1587" s="14" t="s">
        <v>3687</v>
      </c>
      <c r="B1587" s="3" t="s">
        <v>57</v>
      </c>
      <c r="C1587" s="3" t="s">
        <v>3688</v>
      </c>
      <c r="D1587" s="3"/>
      <c r="E1587" s="3" t="s">
        <v>4643</v>
      </c>
      <c r="F1587" s="3" t="s">
        <v>59</v>
      </c>
      <c r="G1587" s="3">
        <v>31.825199999999999</v>
      </c>
      <c r="H1587" s="3" t="s">
        <v>4644</v>
      </c>
      <c r="I1587" s="3" t="s">
        <v>4645</v>
      </c>
      <c r="J1587" s="3" t="s">
        <v>4646</v>
      </c>
      <c r="K1587" s="3">
        <v>21</v>
      </c>
      <c r="L1587" s="3" t="s">
        <v>4647</v>
      </c>
    </row>
    <row r="1588" spans="1:12" ht="33.75" customHeight="1" x14ac:dyDescent="0.25">
      <c r="A1588" s="13" t="s">
        <v>3689</v>
      </c>
      <c r="B1588" s="2" t="s">
        <v>324</v>
      </c>
      <c r="C1588" s="2" t="s">
        <v>3690</v>
      </c>
      <c r="D1588" s="2" t="s">
        <v>4773</v>
      </c>
      <c r="E1588" s="2" t="s">
        <v>4704</v>
      </c>
      <c r="F1588" s="2" t="s">
        <v>326</v>
      </c>
      <c r="G1588" s="2">
        <v>29.719200000000001</v>
      </c>
      <c r="H1588" s="2" t="s">
        <v>4644</v>
      </c>
      <c r="I1588" s="2" t="s">
        <v>4645</v>
      </c>
      <c r="J1588" s="2" t="s">
        <v>4697</v>
      </c>
      <c r="K1588" s="2">
        <v>45</v>
      </c>
      <c r="L1588" s="2" t="s">
        <v>4647</v>
      </c>
    </row>
    <row r="1589" spans="1:12" ht="33.75" customHeight="1" x14ac:dyDescent="0.25">
      <c r="A1589" s="14" t="s">
        <v>3691</v>
      </c>
      <c r="B1589" s="3" t="s">
        <v>324</v>
      </c>
      <c r="C1589" s="3" t="s">
        <v>3692</v>
      </c>
      <c r="D1589" s="3"/>
      <c r="E1589" s="3" t="s">
        <v>4704</v>
      </c>
      <c r="F1589" s="3" t="s">
        <v>326</v>
      </c>
      <c r="G1589" s="3">
        <v>29.719200000000001</v>
      </c>
      <c r="H1589" s="3" t="s">
        <v>4644</v>
      </c>
      <c r="I1589" s="3" t="s">
        <v>4645</v>
      </c>
      <c r="J1589" s="3" t="s">
        <v>4697</v>
      </c>
      <c r="K1589" s="3">
        <v>45</v>
      </c>
      <c r="L1589" s="3" t="s">
        <v>4647</v>
      </c>
    </row>
    <row r="1590" spans="1:12" ht="33.75" customHeight="1" x14ac:dyDescent="0.25">
      <c r="A1590" s="13" t="s">
        <v>3693</v>
      </c>
      <c r="B1590" s="2" t="s">
        <v>794</v>
      </c>
      <c r="C1590" s="2" t="s">
        <v>3694</v>
      </c>
      <c r="D1590" s="2" t="s">
        <v>4773</v>
      </c>
      <c r="E1590" s="2" t="s">
        <v>4791</v>
      </c>
      <c r="F1590" s="2" t="s">
        <v>796</v>
      </c>
      <c r="G1590" s="2">
        <v>34.151200000000003</v>
      </c>
      <c r="H1590" s="2" t="s">
        <v>4644</v>
      </c>
      <c r="I1590" s="2" t="s">
        <v>4645</v>
      </c>
      <c r="J1590" s="2" t="s">
        <v>4770</v>
      </c>
      <c r="K1590" s="2">
        <v>63</v>
      </c>
      <c r="L1590" s="2" t="s">
        <v>4647</v>
      </c>
    </row>
    <row r="1591" spans="1:12" ht="33.75" customHeight="1" x14ac:dyDescent="0.25">
      <c r="A1591" s="14" t="s">
        <v>3695</v>
      </c>
      <c r="B1591" s="3" t="s">
        <v>794</v>
      </c>
      <c r="C1591" s="3" t="s">
        <v>3696</v>
      </c>
      <c r="D1591" s="3" t="s">
        <v>4773</v>
      </c>
      <c r="E1591" s="3" t="s">
        <v>4791</v>
      </c>
      <c r="F1591" s="3" t="s">
        <v>796</v>
      </c>
      <c r="G1591" s="3">
        <v>34.151200000000003</v>
      </c>
      <c r="H1591" s="3" t="s">
        <v>4644</v>
      </c>
      <c r="I1591" s="3" t="s">
        <v>4645</v>
      </c>
      <c r="J1591" s="3" t="s">
        <v>4770</v>
      </c>
      <c r="K1591" s="3">
        <v>63</v>
      </c>
      <c r="L1591" s="3" t="s">
        <v>4647</v>
      </c>
    </row>
    <row r="1592" spans="1:12" ht="33.75" customHeight="1" x14ac:dyDescent="0.25">
      <c r="A1592" s="13" t="s">
        <v>3697</v>
      </c>
      <c r="B1592" s="2" t="s">
        <v>404</v>
      </c>
      <c r="C1592" s="2" t="s">
        <v>3698</v>
      </c>
      <c r="D1592" s="2" t="s">
        <v>4773</v>
      </c>
      <c r="E1592" s="2" t="s">
        <v>4731</v>
      </c>
      <c r="F1592" s="2" t="s">
        <v>406</v>
      </c>
      <c r="G1592" s="2">
        <v>29.999199999999998</v>
      </c>
      <c r="H1592" s="2" t="s">
        <v>4644</v>
      </c>
      <c r="I1592" s="2" t="s">
        <v>4645</v>
      </c>
      <c r="J1592" s="2" t="s">
        <v>4695</v>
      </c>
      <c r="K1592" s="2">
        <v>63</v>
      </c>
      <c r="L1592" s="2" t="s">
        <v>4647</v>
      </c>
    </row>
    <row r="1593" spans="1:12" ht="33.75" customHeight="1" x14ac:dyDescent="0.25">
      <c r="A1593" s="14" t="s">
        <v>3699</v>
      </c>
      <c r="B1593" s="3" t="s">
        <v>418</v>
      </c>
      <c r="C1593" s="3" t="s">
        <v>2704</v>
      </c>
      <c r="D1593" s="3" t="s">
        <v>4773</v>
      </c>
      <c r="E1593" s="3" t="s">
        <v>4734</v>
      </c>
      <c r="F1593" s="3" t="s">
        <v>420</v>
      </c>
      <c r="G1593" s="3">
        <v>30.655200000000001</v>
      </c>
      <c r="H1593" s="3" t="s">
        <v>4644</v>
      </c>
      <c r="I1593" s="3" t="s">
        <v>4645</v>
      </c>
      <c r="J1593" s="3" t="s">
        <v>4735</v>
      </c>
      <c r="K1593" s="3">
        <v>72</v>
      </c>
      <c r="L1593" s="3" t="s">
        <v>4647</v>
      </c>
    </row>
    <row r="1594" spans="1:12" ht="33.75" customHeight="1" x14ac:dyDescent="0.25">
      <c r="A1594" s="13" t="s">
        <v>3700</v>
      </c>
      <c r="B1594" s="2" t="s">
        <v>404</v>
      </c>
      <c r="C1594" s="2" t="s">
        <v>3701</v>
      </c>
      <c r="D1594" s="2" t="s">
        <v>4773</v>
      </c>
      <c r="E1594" s="2" t="s">
        <v>4731</v>
      </c>
      <c r="F1594" s="2" t="s">
        <v>406</v>
      </c>
      <c r="G1594" s="2">
        <v>29.999199999999998</v>
      </c>
      <c r="H1594" s="2" t="s">
        <v>4644</v>
      </c>
      <c r="I1594" s="2" t="s">
        <v>4645</v>
      </c>
      <c r="J1594" s="2" t="s">
        <v>4695</v>
      </c>
      <c r="K1594" s="2">
        <v>63</v>
      </c>
      <c r="L1594" s="2" t="s">
        <v>4647</v>
      </c>
    </row>
    <row r="1595" spans="1:12" ht="33.75" customHeight="1" x14ac:dyDescent="0.25">
      <c r="A1595" s="14" t="s">
        <v>3702</v>
      </c>
      <c r="B1595" s="3" t="s">
        <v>794</v>
      </c>
      <c r="C1595" s="3" t="s">
        <v>3703</v>
      </c>
      <c r="D1595" s="3" t="s">
        <v>4773</v>
      </c>
      <c r="E1595" s="3" t="s">
        <v>4791</v>
      </c>
      <c r="F1595" s="3" t="s">
        <v>796</v>
      </c>
      <c r="G1595" s="3">
        <v>34.151200000000003</v>
      </c>
      <c r="H1595" s="3" t="s">
        <v>4644</v>
      </c>
      <c r="I1595" s="3" t="s">
        <v>4645</v>
      </c>
      <c r="J1595" s="3" t="s">
        <v>4770</v>
      </c>
      <c r="K1595" s="3">
        <v>63</v>
      </c>
      <c r="L1595" s="3" t="s">
        <v>4647</v>
      </c>
    </row>
    <row r="1596" spans="1:12" ht="33.75" customHeight="1" x14ac:dyDescent="0.25">
      <c r="A1596" s="13" t="s">
        <v>3704</v>
      </c>
      <c r="B1596" s="2" t="s">
        <v>418</v>
      </c>
      <c r="C1596" s="2" t="s">
        <v>3705</v>
      </c>
      <c r="D1596" s="2" t="s">
        <v>4773</v>
      </c>
      <c r="E1596" s="2" t="s">
        <v>4734</v>
      </c>
      <c r="F1596" s="2" t="s">
        <v>420</v>
      </c>
      <c r="G1596" s="2">
        <v>30.655200000000001</v>
      </c>
      <c r="H1596" s="2" t="s">
        <v>4644</v>
      </c>
      <c r="I1596" s="2" t="s">
        <v>4645</v>
      </c>
      <c r="J1596" s="2" t="s">
        <v>4735</v>
      </c>
      <c r="K1596" s="2">
        <v>72</v>
      </c>
      <c r="L1596" s="2" t="s">
        <v>4647</v>
      </c>
    </row>
    <row r="1597" spans="1:12" ht="33.75" customHeight="1" x14ac:dyDescent="0.25">
      <c r="A1597" s="14" t="s">
        <v>3706</v>
      </c>
      <c r="B1597" s="3" t="s">
        <v>378</v>
      </c>
      <c r="C1597" s="3" t="s">
        <v>3707</v>
      </c>
      <c r="D1597" s="3"/>
      <c r="E1597" s="3" t="s">
        <v>4722</v>
      </c>
      <c r="F1597" s="3" t="s">
        <v>380</v>
      </c>
      <c r="G1597" s="3">
        <v>29.743200000000002</v>
      </c>
      <c r="H1597" s="3" t="s">
        <v>4644</v>
      </c>
      <c r="I1597" s="3" t="s">
        <v>4645</v>
      </c>
      <c r="J1597" s="3" t="s">
        <v>4693</v>
      </c>
      <c r="K1597" s="3">
        <v>56</v>
      </c>
      <c r="L1597" s="3" t="s">
        <v>4647</v>
      </c>
    </row>
    <row r="1598" spans="1:12" ht="33.75" customHeight="1" x14ac:dyDescent="0.25">
      <c r="A1598" s="13" t="s">
        <v>3708</v>
      </c>
      <c r="B1598" s="2" t="s">
        <v>366</v>
      </c>
      <c r="C1598" s="2" t="s">
        <v>3709</v>
      </c>
      <c r="D1598" s="2"/>
      <c r="E1598" s="2" t="s">
        <v>4718</v>
      </c>
      <c r="F1598" s="2" t="s">
        <v>368</v>
      </c>
      <c r="G1598" s="2">
        <v>32.983400000000003</v>
      </c>
      <c r="H1598" s="2" t="s">
        <v>4644</v>
      </c>
      <c r="I1598" s="2" t="s">
        <v>4645</v>
      </c>
      <c r="J1598" s="2" t="s">
        <v>4719</v>
      </c>
      <c r="K1598" s="2">
        <v>60</v>
      </c>
      <c r="L1598" s="2" t="s">
        <v>4647</v>
      </c>
    </row>
    <row r="1599" spans="1:12" ht="33.75" customHeight="1" x14ac:dyDescent="0.25">
      <c r="A1599" s="14" t="s">
        <v>3710</v>
      </c>
      <c r="B1599" s="3" t="s">
        <v>2391</v>
      </c>
      <c r="C1599" s="3" t="s">
        <v>3711</v>
      </c>
      <c r="D1599" s="3"/>
      <c r="E1599" s="3" t="s">
        <v>4912</v>
      </c>
      <c r="F1599" s="3" t="s">
        <v>2393</v>
      </c>
      <c r="G1599" s="3">
        <v>32.3872</v>
      </c>
      <c r="H1599" s="3" t="s">
        <v>4644</v>
      </c>
      <c r="I1599" s="3" t="s">
        <v>4645</v>
      </c>
      <c r="J1599" s="3" t="s">
        <v>4770</v>
      </c>
      <c r="K1599" s="3">
        <v>48</v>
      </c>
      <c r="L1599" s="3" t="s">
        <v>4647</v>
      </c>
    </row>
    <row r="1600" spans="1:12" ht="33.75" customHeight="1" x14ac:dyDescent="0.25">
      <c r="A1600" s="13" t="s">
        <v>3712</v>
      </c>
      <c r="B1600" s="2" t="s">
        <v>2532</v>
      </c>
      <c r="C1600" s="2" t="s">
        <v>3713</v>
      </c>
      <c r="D1600" s="2" t="s">
        <v>4915</v>
      </c>
      <c r="E1600" s="2" t="s">
        <v>4925</v>
      </c>
      <c r="F1600" s="2" t="s">
        <v>2534</v>
      </c>
      <c r="G1600" s="2">
        <v>29.9</v>
      </c>
      <c r="H1600" s="2" t="s">
        <v>4644</v>
      </c>
      <c r="I1600" s="2" t="s">
        <v>4645</v>
      </c>
      <c r="J1600" s="2" t="s">
        <v>4652</v>
      </c>
      <c r="K1600" s="2">
        <v>21</v>
      </c>
      <c r="L1600" s="2" t="s">
        <v>4647</v>
      </c>
    </row>
    <row r="1601" spans="1:12" ht="33.75" customHeight="1" x14ac:dyDescent="0.25">
      <c r="A1601" s="14" t="s">
        <v>3714</v>
      </c>
      <c r="B1601" s="3" t="s">
        <v>2536</v>
      </c>
      <c r="C1601" s="3" t="s">
        <v>3715</v>
      </c>
      <c r="D1601" s="3" t="s">
        <v>4915</v>
      </c>
      <c r="E1601" s="3" t="s">
        <v>4926</v>
      </c>
      <c r="F1601" s="3" t="s">
        <v>2538</v>
      </c>
      <c r="G1601" s="3">
        <v>30.193999999999999</v>
      </c>
      <c r="H1601" s="3" t="s">
        <v>4644</v>
      </c>
      <c r="I1601" s="3" t="s">
        <v>4645</v>
      </c>
      <c r="J1601" s="3" t="s">
        <v>4646</v>
      </c>
      <c r="K1601" s="3">
        <v>18</v>
      </c>
      <c r="L1601" s="3" t="s">
        <v>4647</v>
      </c>
    </row>
    <row r="1602" spans="1:12" ht="33.75" customHeight="1" x14ac:dyDescent="0.25">
      <c r="A1602" s="13" t="s">
        <v>3716</v>
      </c>
      <c r="B1602" s="2" t="s">
        <v>3717</v>
      </c>
      <c r="C1602" s="2" t="s">
        <v>3718</v>
      </c>
      <c r="D1602" s="2" t="s">
        <v>4923</v>
      </c>
      <c r="E1602" s="2" t="s">
        <v>4994</v>
      </c>
      <c r="F1602" s="2" t="s">
        <v>3719</v>
      </c>
      <c r="G1602" s="2">
        <v>29.613199999999999</v>
      </c>
      <c r="H1602" s="2" t="s">
        <v>4644</v>
      </c>
      <c r="I1602" s="2" t="s">
        <v>4645</v>
      </c>
      <c r="J1602" s="2" t="s">
        <v>4652</v>
      </c>
      <c r="K1602" s="2">
        <v>21</v>
      </c>
      <c r="L1602" s="2" t="s">
        <v>4647</v>
      </c>
    </row>
    <row r="1603" spans="1:12" ht="33.75" customHeight="1" x14ac:dyDescent="0.25">
      <c r="A1603" s="14" t="s">
        <v>3720</v>
      </c>
      <c r="B1603" s="3" t="s">
        <v>222</v>
      </c>
      <c r="C1603" s="3" t="s">
        <v>3721</v>
      </c>
      <c r="D1603" s="3" t="s">
        <v>4923</v>
      </c>
      <c r="E1603" s="3" t="s">
        <v>4685</v>
      </c>
      <c r="F1603" s="3" t="s">
        <v>224</v>
      </c>
      <c r="G1603" s="3">
        <v>27.839200000000002</v>
      </c>
      <c r="H1603" s="3" t="s">
        <v>4644</v>
      </c>
      <c r="I1603" s="3" t="s">
        <v>4645</v>
      </c>
      <c r="J1603" s="3" t="s">
        <v>4697</v>
      </c>
      <c r="K1603" s="3">
        <v>48</v>
      </c>
      <c r="L1603" s="3" t="s">
        <v>4647</v>
      </c>
    </row>
    <row r="1604" spans="1:12" ht="33.75" customHeight="1" x14ac:dyDescent="0.25">
      <c r="A1604" s="13" t="s">
        <v>3722</v>
      </c>
      <c r="B1604" s="2" t="s">
        <v>222</v>
      </c>
      <c r="C1604" s="2" t="s">
        <v>3723</v>
      </c>
      <c r="D1604" s="2" t="s">
        <v>4923</v>
      </c>
      <c r="E1604" s="2" t="s">
        <v>4685</v>
      </c>
      <c r="F1604" s="2" t="s">
        <v>224</v>
      </c>
      <c r="G1604" s="2">
        <v>27.839200000000002</v>
      </c>
      <c r="H1604" s="2" t="s">
        <v>4644</v>
      </c>
      <c r="I1604" s="2" t="s">
        <v>4645</v>
      </c>
      <c r="J1604" s="2" t="s">
        <v>4697</v>
      </c>
      <c r="K1604" s="2">
        <v>48</v>
      </c>
      <c r="L1604" s="2" t="s">
        <v>4647</v>
      </c>
    </row>
    <row r="1605" spans="1:12" ht="33.75" customHeight="1" x14ac:dyDescent="0.25">
      <c r="A1605" s="14" t="s">
        <v>3724</v>
      </c>
      <c r="B1605" s="3" t="s">
        <v>3128</v>
      </c>
      <c r="C1605" s="3" t="s">
        <v>3725</v>
      </c>
      <c r="D1605" s="3" t="s">
        <v>4648</v>
      </c>
      <c r="E1605" s="3" t="s">
        <v>4960</v>
      </c>
      <c r="F1605" s="3" t="s">
        <v>3130</v>
      </c>
      <c r="G1605" s="3">
        <v>31.986000000000001</v>
      </c>
      <c r="H1605" s="3" t="s">
        <v>4644</v>
      </c>
      <c r="I1605" s="3" t="s">
        <v>4645</v>
      </c>
      <c r="J1605" s="3" t="s">
        <v>4650</v>
      </c>
      <c r="K1605" s="3">
        <v>30</v>
      </c>
      <c r="L1605" s="3" t="s">
        <v>4647</v>
      </c>
    </row>
    <row r="1606" spans="1:12" ht="33.75" customHeight="1" x14ac:dyDescent="0.25">
      <c r="A1606" s="13" t="s">
        <v>3726</v>
      </c>
      <c r="B1606" s="2" t="s">
        <v>3132</v>
      </c>
      <c r="C1606" s="2" t="s">
        <v>3727</v>
      </c>
      <c r="D1606" s="2" t="s">
        <v>4648</v>
      </c>
      <c r="E1606" s="2" t="s">
        <v>4961</v>
      </c>
      <c r="F1606" s="2" t="s">
        <v>3134</v>
      </c>
      <c r="G1606" s="2">
        <v>32.676000000000002</v>
      </c>
      <c r="H1606" s="2" t="s">
        <v>4644</v>
      </c>
      <c r="I1606" s="2" t="s">
        <v>4645</v>
      </c>
      <c r="J1606" s="2" t="s">
        <v>4652</v>
      </c>
      <c r="K1606" s="2">
        <v>30</v>
      </c>
      <c r="L1606" s="2" t="s">
        <v>4647</v>
      </c>
    </row>
    <row r="1607" spans="1:12" ht="33.75" customHeight="1" x14ac:dyDescent="0.25">
      <c r="A1607" s="14" t="s">
        <v>3728</v>
      </c>
      <c r="B1607" s="3" t="s">
        <v>3729</v>
      </c>
      <c r="C1607" s="3" t="s">
        <v>3730</v>
      </c>
      <c r="D1607" s="3" t="s">
        <v>4648</v>
      </c>
      <c r="E1607" s="3" t="s">
        <v>4995</v>
      </c>
      <c r="F1607" s="3" t="s">
        <v>3731</v>
      </c>
      <c r="G1607" s="3">
        <v>32.112000000000002</v>
      </c>
      <c r="H1607" s="3" t="s">
        <v>4644</v>
      </c>
      <c r="I1607" s="3" t="s">
        <v>4645</v>
      </c>
      <c r="J1607" s="3" t="s">
        <v>4646</v>
      </c>
      <c r="K1607" s="3">
        <v>21</v>
      </c>
      <c r="L1607" s="3" t="s">
        <v>4647</v>
      </c>
    </row>
    <row r="1608" spans="1:12" ht="33.75" customHeight="1" x14ac:dyDescent="0.25">
      <c r="A1608" s="13" t="s">
        <v>3732</v>
      </c>
      <c r="B1608" s="2" t="s">
        <v>3733</v>
      </c>
      <c r="C1608" s="2" t="s">
        <v>3734</v>
      </c>
      <c r="D1608" s="2" t="s">
        <v>4706</v>
      </c>
      <c r="E1608" s="2" t="s">
        <v>4996</v>
      </c>
      <c r="F1608" s="2" t="s">
        <v>3735</v>
      </c>
      <c r="G1608" s="2">
        <v>28.206</v>
      </c>
      <c r="H1608" s="2" t="s">
        <v>4644</v>
      </c>
      <c r="I1608" s="2" t="s">
        <v>4645</v>
      </c>
      <c r="J1608" s="2" t="s">
        <v>4697</v>
      </c>
      <c r="K1608" s="2">
        <v>45</v>
      </c>
      <c r="L1608" s="2" t="s">
        <v>4647</v>
      </c>
    </row>
    <row r="1609" spans="1:12" ht="33.75" customHeight="1" x14ac:dyDescent="0.25">
      <c r="A1609" s="14" t="s">
        <v>3736</v>
      </c>
      <c r="B1609" s="3" t="s">
        <v>142</v>
      </c>
      <c r="C1609" s="3" t="s">
        <v>3737</v>
      </c>
      <c r="D1609" s="3" t="s">
        <v>4997</v>
      </c>
      <c r="E1609" s="3" t="s">
        <v>4892</v>
      </c>
      <c r="F1609" s="3" t="s">
        <v>144</v>
      </c>
      <c r="G1609" s="3"/>
      <c r="H1609" s="3" t="s">
        <v>4666</v>
      </c>
      <c r="I1609" s="3" t="s">
        <v>4667</v>
      </c>
      <c r="J1609" s="3" t="s">
        <v>4695</v>
      </c>
      <c r="K1609" s="3">
        <v>18</v>
      </c>
      <c r="L1609" s="3" t="s">
        <v>4668</v>
      </c>
    </row>
    <row r="1610" spans="1:12" ht="33.75" customHeight="1" x14ac:dyDescent="0.25">
      <c r="A1610" s="13" t="s">
        <v>3738</v>
      </c>
      <c r="B1610" s="2" t="s">
        <v>142</v>
      </c>
      <c r="C1610" s="2" t="s">
        <v>3739</v>
      </c>
      <c r="D1610" s="2" t="s">
        <v>4997</v>
      </c>
      <c r="E1610" s="2" t="s">
        <v>4892</v>
      </c>
      <c r="F1610" s="2" t="s">
        <v>144</v>
      </c>
      <c r="G1610" s="2"/>
      <c r="H1610" s="2" t="s">
        <v>4666</v>
      </c>
      <c r="I1610" s="2" t="s">
        <v>4667</v>
      </c>
      <c r="J1610" s="2" t="s">
        <v>4695</v>
      </c>
      <c r="K1610" s="2">
        <v>18</v>
      </c>
      <c r="L1610" s="2" t="s">
        <v>4668</v>
      </c>
    </row>
    <row r="1611" spans="1:12" ht="33.75" customHeight="1" x14ac:dyDescent="0.25">
      <c r="A1611" s="14" t="s">
        <v>3740</v>
      </c>
      <c r="B1611" s="3" t="s">
        <v>404</v>
      </c>
      <c r="C1611" s="3" t="s">
        <v>3741</v>
      </c>
      <c r="D1611" s="3" t="s">
        <v>4702</v>
      </c>
      <c r="E1611" s="3" t="s">
        <v>4731</v>
      </c>
      <c r="F1611" s="3" t="s">
        <v>406</v>
      </c>
      <c r="G1611" s="3">
        <v>29.999199999999998</v>
      </c>
      <c r="H1611" s="3" t="s">
        <v>4644</v>
      </c>
      <c r="I1611" s="3" t="s">
        <v>4645</v>
      </c>
      <c r="J1611" s="3" t="s">
        <v>4695</v>
      </c>
      <c r="K1611" s="3">
        <v>63</v>
      </c>
      <c r="L1611" s="3" t="s">
        <v>4647</v>
      </c>
    </row>
    <row r="1612" spans="1:12" ht="33.75" customHeight="1" x14ac:dyDescent="0.25">
      <c r="A1612" s="13" t="s">
        <v>3742</v>
      </c>
      <c r="B1612" s="2" t="s">
        <v>89</v>
      </c>
      <c r="C1612" s="2" t="s">
        <v>3743</v>
      </c>
      <c r="D1612" s="2"/>
      <c r="E1612" s="2" t="s">
        <v>4659</v>
      </c>
      <c r="F1612" s="2" t="s">
        <v>91</v>
      </c>
      <c r="G1612" s="2">
        <v>32.389200000000002</v>
      </c>
      <c r="H1612" s="2" t="s">
        <v>4644</v>
      </c>
      <c r="I1612" s="2" t="s">
        <v>4645</v>
      </c>
      <c r="J1612" s="2" t="s">
        <v>4652</v>
      </c>
      <c r="K1612" s="2">
        <v>30</v>
      </c>
      <c r="L1612" s="2" t="s">
        <v>4647</v>
      </c>
    </row>
    <row r="1613" spans="1:12" ht="33.75" customHeight="1" x14ac:dyDescent="0.25">
      <c r="A1613" s="14" t="s">
        <v>3744</v>
      </c>
      <c r="B1613" s="3" t="s">
        <v>277</v>
      </c>
      <c r="C1613" s="3" t="s">
        <v>3745</v>
      </c>
      <c r="D1613" s="3"/>
      <c r="E1613" s="3" t="s">
        <v>4696</v>
      </c>
      <c r="F1613" s="3" t="s">
        <v>279</v>
      </c>
      <c r="G1613" s="3">
        <v>29.7592</v>
      </c>
      <c r="H1613" s="3" t="s">
        <v>4644</v>
      </c>
      <c r="I1613" s="3" t="s">
        <v>4645</v>
      </c>
      <c r="J1613" s="3" t="s">
        <v>4697</v>
      </c>
      <c r="K1613" s="3">
        <v>48</v>
      </c>
      <c r="L1613" s="3" t="s">
        <v>4647</v>
      </c>
    </row>
    <row r="1614" spans="1:12" ht="33.75" customHeight="1" x14ac:dyDescent="0.25">
      <c r="A1614" s="13" t="s">
        <v>3746</v>
      </c>
      <c r="B1614" s="2" t="s">
        <v>277</v>
      </c>
      <c r="C1614" s="2" t="s">
        <v>3747</v>
      </c>
      <c r="D1614" s="2"/>
      <c r="E1614" s="2" t="s">
        <v>4696</v>
      </c>
      <c r="F1614" s="2" t="s">
        <v>279</v>
      </c>
      <c r="G1614" s="2">
        <v>29.7592</v>
      </c>
      <c r="H1614" s="2" t="s">
        <v>4644</v>
      </c>
      <c r="I1614" s="2" t="s">
        <v>4645</v>
      </c>
      <c r="J1614" s="2" t="s">
        <v>4697</v>
      </c>
      <c r="K1614" s="2">
        <v>48</v>
      </c>
      <c r="L1614" s="2" t="s">
        <v>4647</v>
      </c>
    </row>
    <row r="1615" spans="1:12" ht="33.75" customHeight="1" x14ac:dyDescent="0.25">
      <c r="A1615" s="14" t="s">
        <v>3748</v>
      </c>
      <c r="B1615" s="3" t="s">
        <v>3749</v>
      </c>
      <c r="C1615" s="3" t="s">
        <v>3750</v>
      </c>
      <c r="D1615" s="3" t="s">
        <v>4648</v>
      </c>
      <c r="E1615" s="3" t="s">
        <v>4998</v>
      </c>
      <c r="F1615" s="3" t="s">
        <v>3751</v>
      </c>
      <c r="G1615" s="3">
        <v>50.456000000000003</v>
      </c>
      <c r="H1615" s="3" t="s">
        <v>4644</v>
      </c>
      <c r="I1615" s="3" t="s">
        <v>4645</v>
      </c>
      <c r="J1615" s="3" t="s">
        <v>4735</v>
      </c>
      <c r="K1615" s="3">
        <v>88</v>
      </c>
      <c r="L1615" s="3" t="s">
        <v>4647</v>
      </c>
    </row>
    <row r="1616" spans="1:12" ht="33.75" customHeight="1" x14ac:dyDescent="0.25">
      <c r="A1616" s="13" t="s">
        <v>3752</v>
      </c>
      <c r="B1616" s="2" t="s">
        <v>3753</v>
      </c>
      <c r="C1616" s="2" t="s">
        <v>3754</v>
      </c>
      <c r="D1616" s="2" t="s">
        <v>4648</v>
      </c>
      <c r="E1616" s="2" t="s">
        <v>4999</v>
      </c>
      <c r="F1616" s="2" t="s">
        <v>3755</v>
      </c>
      <c r="G1616" s="2">
        <v>47.335999999999999</v>
      </c>
      <c r="H1616" s="2" t="s">
        <v>4644</v>
      </c>
      <c r="I1616" s="2" t="s">
        <v>4645</v>
      </c>
      <c r="J1616" s="2" t="s">
        <v>4695</v>
      </c>
      <c r="K1616" s="2">
        <v>72</v>
      </c>
      <c r="L1616" s="2" t="s">
        <v>4647</v>
      </c>
    </row>
    <row r="1617" spans="1:12" ht="33.75" customHeight="1" x14ac:dyDescent="0.25">
      <c r="A1617" s="14" t="s">
        <v>3756</v>
      </c>
      <c r="B1617" s="3" t="s">
        <v>324</v>
      </c>
      <c r="C1617" s="3" t="s">
        <v>3757</v>
      </c>
      <c r="D1617" s="3" t="s">
        <v>4956</v>
      </c>
      <c r="E1617" s="3" t="s">
        <v>4704</v>
      </c>
      <c r="F1617" s="3" t="s">
        <v>326</v>
      </c>
      <c r="G1617" s="3">
        <v>29.719200000000001</v>
      </c>
      <c r="H1617" s="3" t="s">
        <v>4644</v>
      </c>
      <c r="I1617" s="3" t="s">
        <v>4645</v>
      </c>
      <c r="J1617" s="3" t="s">
        <v>4697</v>
      </c>
      <c r="K1617" s="3">
        <v>45</v>
      </c>
      <c r="L1617" s="3" t="s">
        <v>4647</v>
      </c>
    </row>
    <row r="1618" spans="1:12" ht="33.75" customHeight="1" x14ac:dyDescent="0.25">
      <c r="A1618" s="13" t="s">
        <v>3758</v>
      </c>
      <c r="B1618" s="2" t="s">
        <v>400</v>
      </c>
      <c r="C1618" s="2" t="s">
        <v>3759</v>
      </c>
      <c r="D1618" s="2" t="s">
        <v>5000</v>
      </c>
      <c r="E1618" s="2" t="s">
        <v>4730</v>
      </c>
      <c r="F1618" s="2" t="s">
        <v>402</v>
      </c>
      <c r="G1618" s="2">
        <v>34.332239999999999</v>
      </c>
      <c r="H1618" s="2" t="s">
        <v>4644</v>
      </c>
      <c r="I1618" s="2" t="s">
        <v>4645</v>
      </c>
      <c r="J1618" s="2" t="s">
        <v>4719</v>
      </c>
      <c r="K1618" s="2">
        <v>72</v>
      </c>
      <c r="L1618" s="2" t="s">
        <v>4647</v>
      </c>
    </row>
    <row r="1619" spans="1:12" ht="33.75" customHeight="1" x14ac:dyDescent="0.25">
      <c r="A1619" s="14" t="s">
        <v>3760</v>
      </c>
      <c r="B1619" s="3" t="s">
        <v>386</v>
      </c>
      <c r="C1619" s="3" t="s">
        <v>3761</v>
      </c>
      <c r="D1619" s="3" t="s">
        <v>5000</v>
      </c>
      <c r="E1619" s="3" t="s">
        <v>4727</v>
      </c>
      <c r="F1619" s="3" t="s">
        <v>388</v>
      </c>
      <c r="G1619" s="3">
        <v>33.783799999999999</v>
      </c>
      <c r="H1619" s="3" t="s">
        <v>4644</v>
      </c>
      <c r="I1619" s="3" t="s">
        <v>4645</v>
      </c>
      <c r="J1619" s="3" t="s">
        <v>4721</v>
      </c>
      <c r="K1619" s="3">
        <v>54</v>
      </c>
      <c r="L1619" s="3" t="s">
        <v>4647</v>
      </c>
    </row>
    <row r="1620" spans="1:12" ht="33.75" customHeight="1" x14ac:dyDescent="0.25">
      <c r="A1620" s="13" t="s">
        <v>3762</v>
      </c>
      <c r="B1620" s="2" t="s">
        <v>214</v>
      </c>
      <c r="C1620" s="2" t="s">
        <v>3763</v>
      </c>
      <c r="D1620" s="2" t="s">
        <v>4923</v>
      </c>
      <c r="E1620" s="2" t="s">
        <v>4681</v>
      </c>
      <c r="F1620" s="2" t="s">
        <v>216</v>
      </c>
      <c r="G1620" s="2">
        <v>27.839200000000002</v>
      </c>
      <c r="H1620" s="2" t="s">
        <v>4644</v>
      </c>
      <c r="I1620" s="2" t="s">
        <v>4645</v>
      </c>
      <c r="J1620" s="2" t="s">
        <v>4682</v>
      </c>
      <c r="K1620" s="2">
        <v>76</v>
      </c>
      <c r="L1620" s="2" t="s">
        <v>4647</v>
      </c>
    </row>
    <row r="1621" spans="1:12" ht="33.75" customHeight="1" x14ac:dyDescent="0.25">
      <c r="A1621" s="14" t="s">
        <v>3764</v>
      </c>
      <c r="B1621" s="3" t="s">
        <v>3765</v>
      </c>
      <c r="C1621" s="3" t="s">
        <v>3766</v>
      </c>
      <c r="D1621" s="3" t="s">
        <v>4923</v>
      </c>
      <c r="E1621" s="3" t="s">
        <v>5001</v>
      </c>
      <c r="F1621" s="3" t="s">
        <v>3767</v>
      </c>
      <c r="G1621" s="3">
        <v>27.839200000000002</v>
      </c>
      <c r="H1621" s="3" t="s">
        <v>4644</v>
      </c>
      <c r="I1621" s="3" t="s">
        <v>4645</v>
      </c>
      <c r="J1621" s="3" t="s">
        <v>4708</v>
      </c>
      <c r="K1621" s="3">
        <v>96</v>
      </c>
      <c r="L1621" s="3" t="s">
        <v>4647</v>
      </c>
    </row>
    <row r="1622" spans="1:12" ht="33.75" customHeight="1" x14ac:dyDescent="0.25">
      <c r="A1622" s="13" t="s">
        <v>3768</v>
      </c>
      <c r="B1622" s="2" t="s">
        <v>3769</v>
      </c>
      <c r="C1622" s="2" t="s">
        <v>3770</v>
      </c>
      <c r="D1622" s="2"/>
      <c r="E1622" s="2" t="s">
        <v>5002</v>
      </c>
      <c r="F1622" s="2" t="s">
        <v>3771</v>
      </c>
      <c r="G1622" s="2">
        <v>25.589960000000001</v>
      </c>
      <c r="H1622" s="2" t="s">
        <v>4644</v>
      </c>
      <c r="I1622" s="2" t="s">
        <v>4645</v>
      </c>
      <c r="J1622" s="2" t="s">
        <v>4746</v>
      </c>
      <c r="K1622" s="2">
        <v>27</v>
      </c>
      <c r="L1622" s="2" t="s">
        <v>4647</v>
      </c>
    </row>
    <row r="1623" spans="1:12" ht="33.75" customHeight="1" x14ac:dyDescent="0.25">
      <c r="A1623" s="14" t="s">
        <v>3772</v>
      </c>
      <c r="B1623" s="3" t="s">
        <v>390</v>
      </c>
      <c r="C1623" s="3" t="s">
        <v>3773</v>
      </c>
      <c r="D1623" s="3" t="s">
        <v>4893</v>
      </c>
      <c r="E1623" s="3" t="s">
        <v>4728</v>
      </c>
      <c r="F1623" s="3" t="s">
        <v>392</v>
      </c>
      <c r="G1623" s="3">
        <v>35.367600000000003</v>
      </c>
      <c r="H1623" s="3" t="s">
        <v>4644</v>
      </c>
      <c r="I1623" s="3" t="s">
        <v>4645</v>
      </c>
      <c r="J1623" s="3" t="s">
        <v>4729</v>
      </c>
      <c r="K1623" s="3">
        <v>120</v>
      </c>
      <c r="L1623" s="3" t="s">
        <v>4647</v>
      </c>
    </row>
    <row r="1624" spans="1:12" ht="33.75" customHeight="1" x14ac:dyDescent="0.25">
      <c r="A1624" s="13" t="s">
        <v>3774</v>
      </c>
      <c r="B1624" s="2" t="s">
        <v>414</v>
      </c>
      <c r="C1624" s="2" t="s">
        <v>3775</v>
      </c>
      <c r="D1624" s="2" t="s">
        <v>4893</v>
      </c>
      <c r="E1624" s="2" t="s">
        <v>4732</v>
      </c>
      <c r="F1624" s="2" t="s">
        <v>416</v>
      </c>
      <c r="G1624" s="2">
        <v>31.0092</v>
      </c>
      <c r="H1624" s="2" t="s">
        <v>4644</v>
      </c>
      <c r="I1624" s="2" t="s">
        <v>4645</v>
      </c>
      <c r="J1624" s="2" t="s">
        <v>4733</v>
      </c>
      <c r="K1624" s="2">
        <v>87</v>
      </c>
      <c r="L1624" s="2" t="s">
        <v>4647</v>
      </c>
    </row>
    <row r="1625" spans="1:12" ht="33.75" customHeight="1" x14ac:dyDescent="0.25">
      <c r="A1625" s="14" t="s">
        <v>3776</v>
      </c>
      <c r="B1625" s="3" t="s">
        <v>418</v>
      </c>
      <c r="C1625" s="3" t="s">
        <v>3310</v>
      </c>
      <c r="D1625" s="3" t="s">
        <v>4893</v>
      </c>
      <c r="E1625" s="3" t="s">
        <v>4734</v>
      </c>
      <c r="F1625" s="3" t="s">
        <v>420</v>
      </c>
      <c r="G1625" s="3">
        <v>30.655200000000001</v>
      </c>
      <c r="H1625" s="3" t="s">
        <v>4644</v>
      </c>
      <c r="I1625" s="3" t="s">
        <v>4645</v>
      </c>
      <c r="J1625" s="3" t="s">
        <v>4682</v>
      </c>
      <c r="K1625" s="3">
        <v>72</v>
      </c>
      <c r="L1625" s="3" t="s">
        <v>4647</v>
      </c>
    </row>
    <row r="1626" spans="1:12" ht="33.75" customHeight="1" x14ac:dyDescent="0.25">
      <c r="A1626" s="13" t="s">
        <v>3777</v>
      </c>
      <c r="B1626" s="2" t="s">
        <v>588</v>
      </c>
      <c r="C1626" s="2" t="s">
        <v>3314</v>
      </c>
      <c r="D1626" s="2" t="s">
        <v>4893</v>
      </c>
      <c r="E1626" s="2" t="s">
        <v>4761</v>
      </c>
      <c r="F1626" s="2" t="s">
        <v>590</v>
      </c>
      <c r="G1626" s="2">
        <v>29.869199999999999</v>
      </c>
      <c r="H1626" s="2" t="s">
        <v>4644</v>
      </c>
      <c r="I1626" s="2" t="s">
        <v>4645</v>
      </c>
      <c r="J1626" s="2" t="s">
        <v>4684</v>
      </c>
      <c r="K1626" s="2">
        <v>63</v>
      </c>
      <c r="L1626" s="2" t="s">
        <v>4647</v>
      </c>
    </row>
    <row r="1627" spans="1:12" ht="33.75" customHeight="1" x14ac:dyDescent="0.25">
      <c r="A1627" s="14" t="s">
        <v>3778</v>
      </c>
      <c r="B1627" s="3" t="s">
        <v>390</v>
      </c>
      <c r="C1627" s="3" t="s">
        <v>3779</v>
      </c>
      <c r="D1627" s="3"/>
      <c r="E1627" s="3" t="s">
        <v>4728</v>
      </c>
      <c r="F1627" s="3" t="s">
        <v>392</v>
      </c>
      <c r="G1627" s="3">
        <v>35.367600000000003</v>
      </c>
      <c r="H1627" s="3" t="s">
        <v>4644</v>
      </c>
      <c r="I1627" s="3" t="s">
        <v>4645</v>
      </c>
      <c r="J1627" s="3" t="s">
        <v>4729</v>
      </c>
      <c r="K1627" s="3">
        <v>120</v>
      </c>
      <c r="L1627" s="3" t="s">
        <v>4647</v>
      </c>
    </row>
    <row r="1628" spans="1:12" ht="33.75" customHeight="1" x14ac:dyDescent="0.25">
      <c r="A1628" s="13" t="s">
        <v>3780</v>
      </c>
      <c r="B1628" s="2" t="s">
        <v>57</v>
      </c>
      <c r="C1628" s="2" t="s">
        <v>3781</v>
      </c>
      <c r="D1628" s="2"/>
      <c r="E1628" s="2" t="s">
        <v>4643</v>
      </c>
      <c r="F1628" s="2" t="s">
        <v>59</v>
      </c>
      <c r="G1628" s="2">
        <v>31.825199999999999</v>
      </c>
      <c r="H1628" s="2" t="s">
        <v>4644</v>
      </c>
      <c r="I1628" s="2" t="s">
        <v>4645</v>
      </c>
      <c r="J1628" s="2" t="s">
        <v>4646</v>
      </c>
      <c r="K1628" s="2">
        <v>21</v>
      </c>
      <c r="L1628" s="2" t="s">
        <v>4647</v>
      </c>
    </row>
    <row r="1629" spans="1:12" ht="33.75" customHeight="1" x14ac:dyDescent="0.25">
      <c r="A1629" s="14" t="s">
        <v>3782</v>
      </c>
      <c r="B1629" s="3" t="s">
        <v>390</v>
      </c>
      <c r="C1629" s="3" t="s">
        <v>3783</v>
      </c>
      <c r="D1629" s="3"/>
      <c r="E1629" s="3" t="s">
        <v>4728</v>
      </c>
      <c r="F1629" s="3" t="s">
        <v>392</v>
      </c>
      <c r="G1629" s="3">
        <v>35.367600000000003</v>
      </c>
      <c r="H1629" s="3" t="s">
        <v>4644</v>
      </c>
      <c r="I1629" s="3" t="s">
        <v>4645</v>
      </c>
      <c r="J1629" s="3" t="s">
        <v>4729</v>
      </c>
      <c r="K1629" s="3">
        <v>120</v>
      </c>
      <c r="L1629" s="3" t="s">
        <v>4647</v>
      </c>
    </row>
    <row r="1630" spans="1:12" ht="33.75" customHeight="1" x14ac:dyDescent="0.25">
      <c r="A1630" s="13" t="s">
        <v>3784</v>
      </c>
      <c r="B1630" s="2" t="s">
        <v>390</v>
      </c>
      <c r="C1630" s="2" t="s">
        <v>3785</v>
      </c>
      <c r="D1630" s="2"/>
      <c r="E1630" s="2" t="s">
        <v>4728</v>
      </c>
      <c r="F1630" s="2" t="s">
        <v>392</v>
      </c>
      <c r="G1630" s="2">
        <v>35.367600000000003</v>
      </c>
      <c r="H1630" s="2" t="s">
        <v>4644</v>
      </c>
      <c r="I1630" s="2" t="s">
        <v>4645</v>
      </c>
      <c r="J1630" s="2" t="s">
        <v>4729</v>
      </c>
      <c r="K1630" s="2">
        <v>120</v>
      </c>
      <c r="L1630" s="2" t="s">
        <v>4647</v>
      </c>
    </row>
    <row r="1631" spans="1:12" ht="33.75" customHeight="1" x14ac:dyDescent="0.25">
      <c r="A1631" s="14" t="s">
        <v>3786</v>
      </c>
      <c r="B1631" s="3" t="s">
        <v>390</v>
      </c>
      <c r="C1631" s="3" t="s">
        <v>3787</v>
      </c>
      <c r="D1631" s="3"/>
      <c r="E1631" s="3" t="s">
        <v>4728</v>
      </c>
      <c r="F1631" s="3" t="s">
        <v>392</v>
      </c>
      <c r="G1631" s="3">
        <v>35.367600000000003</v>
      </c>
      <c r="H1631" s="3" t="s">
        <v>4644</v>
      </c>
      <c r="I1631" s="3" t="s">
        <v>4645</v>
      </c>
      <c r="J1631" s="3" t="s">
        <v>4729</v>
      </c>
      <c r="K1631" s="3">
        <v>120</v>
      </c>
      <c r="L1631" s="3" t="s">
        <v>4647</v>
      </c>
    </row>
    <row r="1632" spans="1:12" ht="33.75" customHeight="1" x14ac:dyDescent="0.25">
      <c r="A1632" s="13" t="s">
        <v>3788</v>
      </c>
      <c r="B1632" s="2" t="s">
        <v>142</v>
      </c>
      <c r="C1632" s="2" t="s">
        <v>3789</v>
      </c>
      <c r="D1632" s="2" t="s">
        <v>4674</v>
      </c>
      <c r="E1632" s="2" t="s">
        <v>5003</v>
      </c>
      <c r="F1632" s="2" t="s">
        <v>144</v>
      </c>
      <c r="G1632" s="2"/>
      <c r="H1632" s="2" t="s">
        <v>4666</v>
      </c>
      <c r="I1632" s="2" t="s">
        <v>4667</v>
      </c>
      <c r="J1632" s="2" t="s">
        <v>4719</v>
      </c>
      <c r="K1632" s="2">
        <v>21</v>
      </c>
      <c r="L1632" s="2" t="s">
        <v>4668</v>
      </c>
    </row>
    <row r="1633" spans="1:12" ht="33.75" customHeight="1" x14ac:dyDescent="0.25">
      <c r="A1633" s="14" t="s">
        <v>3790</v>
      </c>
      <c r="B1633" s="3" t="s">
        <v>3791</v>
      </c>
      <c r="C1633" s="3" t="s">
        <v>3792</v>
      </c>
      <c r="D1633" s="3"/>
      <c r="E1633" s="3" t="s">
        <v>5004</v>
      </c>
      <c r="F1633" s="3" t="s">
        <v>3793</v>
      </c>
      <c r="G1633" s="3">
        <v>29.449200000000001</v>
      </c>
      <c r="H1633" s="3" t="s">
        <v>4644</v>
      </c>
      <c r="I1633" s="3" t="s">
        <v>4645</v>
      </c>
      <c r="J1633" s="3" t="s">
        <v>4686</v>
      </c>
      <c r="K1633" s="3">
        <v>45</v>
      </c>
      <c r="L1633" s="3" t="s">
        <v>4647</v>
      </c>
    </row>
    <row r="1634" spans="1:12" ht="33.75" customHeight="1" x14ac:dyDescent="0.25">
      <c r="A1634" s="13" t="s">
        <v>3794</v>
      </c>
      <c r="B1634" s="2" t="s">
        <v>2391</v>
      </c>
      <c r="C1634" s="2" t="s">
        <v>3795</v>
      </c>
      <c r="D1634" s="2" t="s">
        <v>5005</v>
      </c>
      <c r="E1634" s="2" t="s">
        <v>4912</v>
      </c>
      <c r="F1634" s="2" t="s">
        <v>2393</v>
      </c>
      <c r="G1634" s="2">
        <v>32.3872</v>
      </c>
      <c r="H1634" s="2" t="s">
        <v>4644</v>
      </c>
      <c r="I1634" s="2" t="s">
        <v>4645</v>
      </c>
      <c r="J1634" s="2" t="s">
        <v>4770</v>
      </c>
      <c r="K1634" s="2">
        <v>48</v>
      </c>
      <c r="L1634" s="2" t="s">
        <v>4647</v>
      </c>
    </row>
    <row r="1635" spans="1:12" ht="33.75" customHeight="1" x14ac:dyDescent="0.25">
      <c r="A1635" s="14" t="s">
        <v>3796</v>
      </c>
      <c r="B1635" s="3" t="s">
        <v>2391</v>
      </c>
      <c r="C1635" s="3" t="s">
        <v>3797</v>
      </c>
      <c r="D1635" s="3" t="s">
        <v>5005</v>
      </c>
      <c r="E1635" s="3" t="s">
        <v>4912</v>
      </c>
      <c r="F1635" s="3" t="s">
        <v>2393</v>
      </c>
      <c r="G1635" s="3">
        <v>32.3872</v>
      </c>
      <c r="H1635" s="3" t="s">
        <v>4644</v>
      </c>
      <c r="I1635" s="3" t="s">
        <v>4645</v>
      </c>
      <c r="J1635" s="3" t="s">
        <v>4770</v>
      </c>
      <c r="K1635" s="3">
        <v>48</v>
      </c>
      <c r="L1635" s="3" t="s">
        <v>4647</v>
      </c>
    </row>
    <row r="1636" spans="1:12" ht="33.75" customHeight="1" x14ac:dyDescent="0.25">
      <c r="A1636" s="13" t="s">
        <v>3798</v>
      </c>
      <c r="B1636" s="2" t="s">
        <v>366</v>
      </c>
      <c r="C1636" s="2" t="s">
        <v>3799</v>
      </c>
      <c r="D1636" s="2" t="s">
        <v>5005</v>
      </c>
      <c r="E1636" s="2" t="s">
        <v>4718</v>
      </c>
      <c r="F1636" s="2" t="s">
        <v>368</v>
      </c>
      <c r="G1636" s="2">
        <v>32.983400000000003</v>
      </c>
      <c r="H1636" s="2" t="s">
        <v>4644</v>
      </c>
      <c r="I1636" s="2" t="s">
        <v>4645</v>
      </c>
      <c r="J1636" s="2" t="s">
        <v>4719</v>
      </c>
      <c r="K1636" s="2">
        <v>60</v>
      </c>
      <c r="L1636" s="2" t="s">
        <v>4647</v>
      </c>
    </row>
    <row r="1637" spans="1:12" ht="33.75" customHeight="1" x14ac:dyDescent="0.25">
      <c r="A1637" s="14" t="s">
        <v>3800</v>
      </c>
      <c r="B1637" s="3" t="s">
        <v>372</v>
      </c>
      <c r="C1637" s="3" t="s">
        <v>3801</v>
      </c>
      <c r="D1637" s="3" t="s">
        <v>5005</v>
      </c>
      <c r="E1637" s="3" t="s">
        <v>4720</v>
      </c>
      <c r="F1637" s="3" t="s">
        <v>374</v>
      </c>
      <c r="G1637" s="3">
        <v>32.852400000000003</v>
      </c>
      <c r="H1637" s="3" t="s">
        <v>4644</v>
      </c>
      <c r="I1637" s="3" t="s">
        <v>4645</v>
      </c>
      <c r="J1637" s="3" t="s">
        <v>4721</v>
      </c>
      <c r="K1637" s="3">
        <v>48</v>
      </c>
      <c r="L1637" s="3" t="s">
        <v>4647</v>
      </c>
    </row>
    <row r="1638" spans="1:12" ht="33.75" customHeight="1" x14ac:dyDescent="0.25">
      <c r="A1638" s="13" t="s">
        <v>3802</v>
      </c>
      <c r="B1638" s="2" t="s">
        <v>372</v>
      </c>
      <c r="C1638" s="2" t="s">
        <v>3803</v>
      </c>
      <c r="D1638" s="2" t="s">
        <v>5005</v>
      </c>
      <c r="E1638" s="2" t="s">
        <v>4720</v>
      </c>
      <c r="F1638" s="2" t="s">
        <v>374</v>
      </c>
      <c r="G1638" s="2">
        <v>32.852400000000003</v>
      </c>
      <c r="H1638" s="2" t="s">
        <v>4644</v>
      </c>
      <c r="I1638" s="2" t="s">
        <v>4645</v>
      </c>
      <c r="J1638" s="2" t="s">
        <v>4721</v>
      </c>
      <c r="K1638" s="2">
        <v>48</v>
      </c>
      <c r="L1638" s="2" t="s">
        <v>4647</v>
      </c>
    </row>
    <row r="1639" spans="1:12" ht="33.75" customHeight="1" x14ac:dyDescent="0.25">
      <c r="A1639" s="14" t="s">
        <v>3804</v>
      </c>
      <c r="B1639" s="3" t="s">
        <v>2037</v>
      </c>
      <c r="C1639" s="3" t="s">
        <v>3805</v>
      </c>
      <c r="D1639" s="3" t="s">
        <v>5005</v>
      </c>
      <c r="E1639" s="3" t="s">
        <v>4884</v>
      </c>
      <c r="F1639" s="3" t="s">
        <v>2039</v>
      </c>
      <c r="G1639" s="3">
        <v>31.226199999999999</v>
      </c>
      <c r="H1639" s="3" t="s">
        <v>4644</v>
      </c>
      <c r="I1639" s="3" t="s">
        <v>4645</v>
      </c>
      <c r="J1639" s="3" t="s">
        <v>4733</v>
      </c>
      <c r="K1639" s="3">
        <v>96</v>
      </c>
      <c r="L1639" s="3" t="s">
        <v>4647</v>
      </c>
    </row>
    <row r="1640" spans="1:12" ht="33.75" customHeight="1" x14ac:dyDescent="0.25">
      <c r="A1640" s="13" t="s">
        <v>3806</v>
      </c>
      <c r="B1640" s="2" t="s">
        <v>422</v>
      </c>
      <c r="C1640" s="2" t="s">
        <v>3807</v>
      </c>
      <c r="D1640" s="2" t="s">
        <v>5005</v>
      </c>
      <c r="E1640" s="2" t="s">
        <v>4736</v>
      </c>
      <c r="F1640" s="2" t="s">
        <v>424</v>
      </c>
      <c r="G1640" s="2">
        <v>30.7272</v>
      </c>
      <c r="H1640" s="2" t="s">
        <v>4644</v>
      </c>
      <c r="I1640" s="2" t="s">
        <v>4645</v>
      </c>
      <c r="J1640" s="2" t="s">
        <v>4682</v>
      </c>
      <c r="K1640" s="2">
        <v>76</v>
      </c>
      <c r="L1640" s="2" t="s">
        <v>4647</v>
      </c>
    </row>
    <row r="1641" spans="1:12" ht="33.75" customHeight="1" x14ac:dyDescent="0.25">
      <c r="A1641" s="14" t="s">
        <v>3808</v>
      </c>
      <c r="B1641" s="3" t="s">
        <v>422</v>
      </c>
      <c r="C1641" s="3" t="s">
        <v>3809</v>
      </c>
      <c r="D1641" s="3" t="s">
        <v>5005</v>
      </c>
      <c r="E1641" s="3" t="s">
        <v>4736</v>
      </c>
      <c r="F1641" s="3" t="s">
        <v>424</v>
      </c>
      <c r="G1641" s="3">
        <v>30.7272</v>
      </c>
      <c r="H1641" s="3" t="s">
        <v>4644</v>
      </c>
      <c r="I1641" s="3" t="s">
        <v>4645</v>
      </c>
      <c r="J1641" s="3" t="s">
        <v>4735</v>
      </c>
      <c r="K1641" s="3">
        <v>76</v>
      </c>
      <c r="L1641" s="3" t="s">
        <v>4647</v>
      </c>
    </row>
    <row r="1642" spans="1:12" ht="33.75" customHeight="1" x14ac:dyDescent="0.25">
      <c r="A1642" s="13" t="s">
        <v>3810</v>
      </c>
      <c r="B1642" s="2" t="s">
        <v>846</v>
      </c>
      <c r="C1642" s="2" t="s">
        <v>3811</v>
      </c>
      <c r="D1642" s="2" t="s">
        <v>5005</v>
      </c>
      <c r="E1642" s="2" t="s">
        <v>4800</v>
      </c>
      <c r="F1642" s="2" t="s">
        <v>848</v>
      </c>
      <c r="G1642" s="2">
        <v>29.944199999999999</v>
      </c>
      <c r="H1642" s="2" t="s">
        <v>4644</v>
      </c>
      <c r="I1642" s="2" t="s">
        <v>4645</v>
      </c>
      <c r="J1642" s="2" t="s">
        <v>4684</v>
      </c>
      <c r="K1642" s="2">
        <v>68</v>
      </c>
      <c r="L1642" s="2" t="s">
        <v>4647</v>
      </c>
    </row>
    <row r="1643" spans="1:12" ht="33.75" customHeight="1" x14ac:dyDescent="0.25">
      <c r="A1643" s="14" t="s">
        <v>3812</v>
      </c>
      <c r="B1643" s="3" t="s">
        <v>273</v>
      </c>
      <c r="C1643" s="3" t="s">
        <v>3813</v>
      </c>
      <c r="D1643" s="3" t="s">
        <v>5005</v>
      </c>
      <c r="E1643" s="3" t="s">
        <v>4694</v>
      </c>
      <c r="F1643" s="3" t="s">
        <v>275</v>
      </c>
      <c r="G1643" s="3">
        <v>30.084199999999999</v>
      </c>
      <c r="H1643" s="3" t="s">
        <v>4644</v>
      </c>
      <c r="I1643" s="3" t="s">
        <v>4645</v>
      </c>
      <c r="J1643" s="3" t="s">
        <v>4695</v>
      </c>
      <c r="K1643" s="3">
        <v>68</v>
      </c>
      <c r="L1643" s="3" t="s">
        <v>4647</v>
      </c>
    </row>
    <row r="1644" spans="1:12" ht="33.75" customHeight="1" x14ac:dyDescent="0.25">
      <c r="A1644" s="13" t="s">
        <v>3814</v>
      </c>
      <c r="B1644" s="2" t="s">
        <v>277</v>
      </c>
      <c r="C1644" s="2" t="s">
        <v>3815</v>
      </c>
      <c r="D1644" s="2" t="s">
        <v>5005</v>
      </c>
      <c r="E1644" s="2" t="s">
        <v>4696</v>
      </c>
      <c r="F1644" s="2" t="s">
        <v>279</v>
      </c>
      <c r="G1644" s="2">
        <v>29.7592</v>
      </c>
      <c r="H1644" s="2" t="s">
        <v>4644</v>
      </c>
      <c r="I1644" s="2" t="s">
        <v>4645</v>
      </c>
      <c r="J1644" s="2" t="s">
        <v>4697</v>
      </c>
      <c r="K1644" s="2">
        <v>48</v>
      </c>
      <c r="L1644" s="2" t="s">
        <v>4647</v>
      </c>
    </row>
    <row r="1645" spans="1:12" ht="33.75" customHeight="1" x14ac:dyDescent="0.25">
      <c r="A1645" s="14" t="s">
        <v>3816</v>
      </c>
      <c r="B1645" s="3" t="s">
        <v>226</v>
      </c>
      <c r="C1645" s="3" t="s">
        <v>3817</v>
      </c>
      <c r="D1645" s="3" t="s">
        <v>5005</v>
      </c>
      <c r="E1645" s="3" t="s">
        <v>4688</v>
      </c>
      <c r="F1645" s="3" t="s">
        <v>228</v>
      </c>
      <c r="G1645" s="3">
        <v>30.6632</v>
      </c>
      <c r="H1645" s="3" t="s">
        <v>4644</v>
      </c>
      <c r="I1645" s="3" t="s">
        <v>4645</v>
      </c>
      <c r="J1645" s="3" t="s">
        <v>4650</v>
      </c>
      <c r="K1645" s="3">
        <v>24</v>
      </c>
      <c r="L1645" s="3" t="s">
        <v>4647</v>
      </c>
    </row>
    <row r="1646" spans="1:12" ht="33.75" customHeight="1" x14ac:dyDescent="0.25">
      <c r="A1646" s="13" t="s">
        <v>3818</v>
      </c>
      <c r="B1646" s="2" t="s">
        <v>226</v>
      </c>
      <c r="C1646" s="2" t="s">
        <v>3819</v>
      </c>
      <c r="D1646" s="2" t="s">
        <v>5005</v>
      </c>
      <c r="E1646" s="2" t="s">
        <v>4688</v>
      </c>
      <c r="F1646" s="2" t="s">
        <v>228</v>
      </c>
      <c r="G1646" s="2">
        <v>30.6632</v>
      </c>
      <c r="H1646" s="2" t="s">
        <v>4644</v>
      </c>
      <c r="I1646" s="2" t="s">
        <v>4645</v>
      </c>
      <c r="J1646" s="2" t="s">
        <v>4650</v>
      </c>
      <c r="K1646" s="2">
        <v>24</v>
      </c>
      <c r="L1646" s="2" t="s">
        <v>4647</v>
      </c>
    </row>
    <row r="1647" spans="1:12" ht="33.75" customHeight="1" x14ac:dyDescent="0.25">
      <c r="A1647" s="14" t="s">
        <v>3820</v>
      </c>
      <c r="B1647" s="3" t="s">
        <v>112</v>
      </c>
      <c r="C1647" s="3" t="s">
        <v>3821</v>
      </c>
      <c r="D1647" s="3" t="s">
        <v>5005</v>
      </c>
      <c r="E1647" s="3" t="s">
        <v>4660</v>
      </c>
      <c r="F1647" s="3" t="s">
        <v>114</v>
      </c>
      <c r="G1647" s="3">
        <v>30.7682</v>
      </c>
      <c r="H1647" s="3" t="s">
        <v>4644</v>
      </c>
      <c r="I1647" s="3" t="s">
        <v>4645</v>
      </c>
      <c r="J1647" s="3" t="s">
        <v>4652</v>
      </c>
      <c r="K1647" s="3">
        <v>21</v>
      </c>
      <c r="L1647" s="3" t="s">
        <v>4647</v>
      </c>
    </row>
    <row r="1648" spans="1:12" ht="33.75" customHeight="1" x14ac:dyDescent="0.25">
      <c r="A1648" s="13" t="s">
        <v>3822</v>
      </c>
      <c r="B1648" s="2" t="s">
        <v>156</v>
      </c>
      <c r="C1648" s="2" t="s">
        <v>3823</v>
      </c>
      <c r="D1648" s="2" t="s">
        <v>5005</v>
      </c>
      <c r="E1648" s="2" t="s">
        <v>4670</v>
      </c>
      <c r="F1648" s="2" t="s">
        <v>158</v>
      </c>
      <c r="G1648" s="2">
        <v>30.987200000000001</v>
      </c>
      <c r="H1648" s="2" t="s">
        <v>4644</v>
      </c>
      <c r="I1648" s="2" t="s">
        <v>4645</v>
      </c>
      <c r="J1648" s="2" t="s">
        <v>4646</v>
      </c>
      <c r="K1648" s="2">
        <v>18</v>
      </c>
      <c r="L1648" s="2" t="s">
        <v>4647</v>
      </c>
    </row>
    <row r="1649" spans="1:12" ht="33.75" customHeight="1" x14ac:dyDescent="0.25">
      <c r="A1649" s="14" t="s">
        <v>3824</v>
      </c>
      <c r="B1649" s="3" t="s">
        <v>156</v>
      </c>
      <c r="C1649" s="3" t="s">
        <v>3825</v>
      </c>
      <c r="D1649" s="3" t="s">
        <v>5005</v>
      </c>
      <c r="E1649" s="3" t="s">
        <v>4670</v>
      </c>
      <c r="F1649" s="3" t="s">
        <v>158</v>
      </c>
      <c r="G1649" s="3">
        <v>30.987200000000001</v>
      </c>
      <c r="H1649" s="3" t="s">
        <v>4644</v>
      </c>
      <c r="I1649" s="3" t="s">
        <v>4645</v>
      </c>
      <c r="J1649" s="3" t="s">
        <v>4646</v>
      </c>
      <c r="K1649" s="3">
        <v>18</v>
      </c>
      <c r="L1649" s="3" t="s">
        <v>4647</v>
      </c>
    </row>
    <row r="1650" spans="1:12" ht="33.75" customHeight="1" x14ac:dyDescent="0.25">
      <c r="A1650" s="13" t="s">
        <v>3826</v>
      </c>
      <c r="B1650" s="2" t="s">
        <v>324</v>
      </c>
      <c r="C1650" s="2" t="s">
        <v>3827</v>
      </c>
      <c r="D1650" s="2" t="s">
        <v>4773</v>
      </c>
      <c r="E1650" s="2" t="s">
        <v>4704</v>
      </c>
      <c r="F1650" s="2" t="s">
        <v>326</v>
      </c>
      <c r="G1650" s="2">
        <v>29.719200000000001</v>
      </c>
      <c r="H1650" s="2" t="s">
        <v>4644</v>
      </c>
      <c r="I1650" s="2" t="s">
        <v>4645</v>
      </c>
      <c r="J1650" s="2" t="s">
        <v>4697</v>
      </c>
      <c r="K1650" s="2">
        <v>45</v>
      </c>
      <c r="L1650" s="2" t="s">
        <v>4647</v>
      </c>
    </row>
    <row r="1651" spans="1:12" ht="33.75" customHeight="1" x14ac:dyDescent="0.25">
      <c r="A1651" s="14" t="s">
        <v>3828</v>
      </c>
      <c r="B1651" s="3" t="s">
        <v>418</v>
      </c>
      <c r="C1651" s="3" t="s">
        <v>3597</v>
      </c>
      <c r="D1651" s="3" t="s">
        <v>4773</v>
      </c>
      <c r="E1651" s="3" t="s">
        <v>4734</v>
      </c>
      <c r="F1651" s="3" t="s">
        <v>420</v>
      </c>
      <c r="G1651" s="3">
        <v>30.655200000000001</v>
      </c>
      <c r="H1651" s="3" t="s">
        <v>4644</v>
      </c>
      <c r="I1651" s="3" t="s">
        <v>4645</v>
      </c>
      <c r="J1651" s="3" t="s">
        <v>4735</v>
      </c>
      <c r="K1651" s="3">
        <v>72</v>
      </c>
      <c r="L1651" s="3" t="s">
        <v>4647</v>
      </c>
    </row>
    <row r="1652" spans="1:12" ht="33.75" customHeight="1" x14ac:dyDescent="0.25">
      <c r="A1652" s="13" t="s">
        <v>3829</v>
      </c>
      <c r="B1652" s="2" t="s">
        <v>1008</v>
      </c>
      <c r="C1652" s="2" t="s">
        <v>3830</v>
      </c>
      <c r="D1652" s="2" t="s">
        <v>5006</v>
      </c>
      <c r="E1652" s="2" t="s">
        <v>4807</v>
      </c>
      <c r="F1652" s="2" t="s">
        <v>1010</v>
      </c>
      <c r="G1652" s="2">
        <v>30.4892</v>
      </c>
      <c r="H1652" s="2" t="s">
        <v>4644</v>
      </c>
      <c r="I1652" s="2" t="s">
        <v>4645</v>
      </c>
      <c r="J1652" s="2" t="s">
        <v>4710</v>
      </c>
      <c r="K1652" s="2">
        <v>87</v>
      </c>
      <c r="L1652" s="2" t="s">
        <v>4647</v>
      </c>
    </row>
    <row r="1653" spans="1:12" ht="33.75" customHeight="1" x14ac:dyDescent="0.25">
      <c r="A1653" s="14" t="s">
        <v>3831</v>
      </c>
      <c r="B1653" s="3" t="s">
        <v>418</v>
      </c>
      <c r="C1653" s="3" t="s">
        <v>3832</v>
      </c>
      <c r="D1653" s="3" t="s">
        <v>5006</v>
      </c>
      <c r="E1653" s="3" t="s">
        <v>4734</v>
      </c>
      <c r="F1653" s="3" t="s">
        <v>420</v>
      </c>
      <c r="G1653" s="3">
        <v>30.655200000000001</v>
      </c>
      <c r="H1653" s="3" t="s">
        <v>4644</v>
      </c>
      <c r="I1653" s="3" t="s">
        <v>4645</v>
      </c>
      <c r="J1653" s="3" t="s">
        <v>4682</v>
      </c>
      <c r="K1653" s="3">
        <v>72</v>
      </c>
      <c r="L1653" s="3" t="s">
        <v>4647</v>
      </c>
    </row>
    <row r="1654" spans="1:12" ht="33.75" customHeight="1" x14ac:dyDescent="0.25">
      <c r="A1654" s="13" t="s">
        <v>3833</v>
      </c>
      <c r="B1654" s="2" t="s">
        <v>418</v>
      </c>
      <c r="C1654" s="2" t="s">
        <v>3834</v>
      </c>
      <c r="D1654" s="2" t="s">
        <v>5006</v>
      </c>
      <c r="E1654" s="2" t="s">
        <v>4734</v>
      </c>
      <c r="F1654" s="2" t="s">
        <v>420</v>
      </c>
      <c r="G1654" s="2">
        <v>30.655200000000001</v>
      </c>
      <c r="H1654" s="2" t="s">
        <v>4644</v>
      </c>
      <c r="I1654" s="2" t="s">
        <v>4645</v>
      </c>
      <c r="J1654" s="2" t="s">
        <v>4735</v>
      </c>
      <c r="K1654" s="2">
        <v>72</v>
      </c>
      <c r="L1654" s="2" t="s">
        <v>4647</v>
      </c>
    </row>
    <row r="1655" spans="1:12" ht="33.75" customHeight="1" x14ac:dyDescent="0.25">
      <c r="A1655" s="14" t="s">
        <v>3835</v>
      </c>
      <c r="B1655" s="3" t="s">
        <v>418</v>
      </c>
      <c r="C1655" s="3" t="s">
        <v>3836</v>
      </c>
      <c r="D1655" s="3" t="s">
        <v>5006</v>
      </c>
      <c r="E1655" s="3" t="s">
        <v>4734</v>
      </c>
      <c r="F1655" s="3" t="s">
        <v>420</v>
      </c>
      <c r="G1655" s="3">
        <v>30.655200000000001</v>
      </c>
      <c r="H1655" s="3" t="s">
        <v>4644</v>
      </c>
      <c r="I1655" s="3" t="s">
        <v>4645</v>
      </c>
      <c r="J1655" s="3" t="s">
        <v>4735</v>
      </c>
      <c r="K1655" s="3">
        <v>72</v>
      </c>
      <c r="L1655" s="3" t="s">
        <v>4647</v>
      </c>
    </row>
    <row r="1656" spans="1:12" ht="33.75" customHeight="1" x14ac:dyDescent="0.25">
      <c r="A1656" s="13" t="s">
        <v>3837</v>
      </c>
      <c r="B1656" s="2" t="s">
        <v>418</v>
      </c>
      <c r="C1656" s="2" t="s">
        <v>3838</v>
      </c>
      <c r="D1656" s="2" t="s">
        <v>5006</v>
      </c>
      <c r="E1656" s="2" t="s">
        <v>4734</v>
      </c>
      <c r="F1656" s="2" t="s">
        <v>420</v>
      </c>
      <c r="G1656" s="2">
        <v>30.655200000000001</v>
      </c>
      <c r="H1656" s="2" t="s">
        <v>4644</v>
      </c>
      <c r="I1656" s="2" t="s">
        <v>4645</v>
      </c>
      <c r="J1656" s="2" t="s">
        <v>4735</v>
      </c>
      <c r="K1656" s="2">
        <v>72</v>
      </c>
      <c r="L1656" s="2" t="s">
        <v>4647</v>
      </c>
    </row>
    <row r="1657" spans="1:12" ht="33.75" customHeight="1" x14ac:dyDescent="0.25">
      <c r="A1657" s="14" t="s">
        <v>3839</v>
      </c>
      <c r="B1657" s="3" t="s">
        <v>404</v>
      </c>
      <c r="C1657" s="3" t="s">
        <v>3840</v>
      </c>
      <c r="D1657" s="3" t="s">
        <v>5006</v>
      </c>
      <c r="E1657" s="3" t="s">
        <v>4731</v>
      </c>
      <c r="F1657" s="3" t="s">
        <v>406</v>
      </c>
      <c r="G1657" s="3">
        <v>29.999199999999998</v>
      </c>
      <c r="H1657" s="3" t="s">
        <v>4644</v>
      </c>
      <c r="I1657" s="3" t="s">
        <v>4645</v>
      </c>
      <c r="J1657" s="3" t="s">
        <v>4695</v>
      </c>
      <c r="K1657" s="3">
        <v>63</v>
      </c>
      <c r="L1657" s="3" t="s">
        <v>4647</v>
      </c>
    </row>
    <row r="1658" spans="1:12" ht="33.75" customHeight="1" x14ac:dyDescent="0.25">
      <c r="A1658" s="13" t="s">
        <v>3841</v>
      </c>
      <c r="B1658" s="2" t="s">
        <v>390</v>
      </c>
      <c r="C1658" s="2" t="s">
        <v>3842</v>
      </c>
      <c r="D1658" s="2" t="s">
        <v>5006</v>
      </c>
      <c r="E1658" s="2" t="s">
        <v>4728</v>
      </c>
      <c r="F1658" s="2" t="s">
        <v>392</v>
      </c>
      <c r="G1658" s="2">
        <v>35.367600000000003</v>
      </c>
      <c r="H1658" s="2" t="s">
        <v>4644</v>
      </c>
      <c r="I1658" s="2" t="s">
        <v>4645</v>
      </c>
      <c r="J1658" s="2" t="s">
        <v>4729</v>
      </c>
      <c r="K1658" s="2">
        <v>120</v>
      </c>
      <c r="L1658" s="2" t="s">
        <v>4647</v>
      </c>
    </row>
    <row r="1659" spans="1:12" ht="33.75" customHeight="1" x14ac:dyDescent="0.25">
      <c r="A1659" s="14" t="s">
        <v>3843</v>
      </c>
      <c r="B1659" s="3" t="s">
        <v>382</v>
      </c>
      <c r="C1659" s="3" t="s">
        <v>3844</v>
      </c>
      <c r="D1659" s="3" t="s">
        <v>5006</v>
      </c>
      <c r="E1659" s="3" t="s">
        <v>4725</v>
      </c>
      <c r="F1659" s="3" t="s">
        <v>384</v>
      </c>
      <c r="G1659" s="3">
        <v>35.3172</v>
      </c>
      <c r="H1659" s="3" t="s">
        <v>4644</v>
      </c>
      <c r="I1659" s="3" t="s">
        <v>4645</v>
      </c>
      <c r="J1659" s="3" t="s">
        <v>4726</v>
      </c>
      <c r="K1659" s="3">
        <v>96</v>
      </c>
      <c r="L1659" s="3" t="s">
        <v>4647</v>
      </c>
    </row>
    <row r="1660" spans="1:12" ht="33.75" customHeight="1" x14ac:dyDescent="0.25">
      <c r="A1660" s="13" t="s">
        <v>3845</v>
      </c>
      <c r="B1660" s="2" t="s">
        <v>794</v>
      </c>
      <c r="C1660" s="2" t="s">
        <v>3846</v>
      </c>
      <c r="D1660" s="2" t="s">
        <v>5006</v>
      </c>
      <c r="E1660" s="2" t="s">
        <v>4791</v>
      </c>
      <c r="F1660" s="2" t="s">
        <v>796</v>
      </c>
      <c r="G1660" s="2">
        <v>34.151200000000003</v>
      </c>
      <c r="H1660" s="2" t="s">
        <v>4644</v>
      </c>
      <c r="I1660" s="2" t="s">
        <v>4645</v>
      </c>
      <c r="J1660" s="2" t="s">
        <v>4770</v>
      </c>
      <c r="K1660" s="2">
        <v>63</v>
      </c>
      <c r="L1660" s="2" t="s">
        <v>4647</v>
      </c>
    </row>
    <row r="1661" spans="1:12" ht="33.75" customHeight="1" x14ac:dyDescent="0.25">
      <c r="A1661" s="14" t="s">
        <v>3847</v>
      </c>
      <c r="B1661" s="3" t="s">
        <v>404</v>
      </c>
      <c r="C1661" s="3" t="s">
        <v>3848</v>
      </c>
      <c r="D1661" s="3" t="s">
        <v>4724</v>
      </c>
      <c r="E1661" s="3" t="s">
        <v>4731</v>
      </c>
      <c r="F1661" s="3" t="s">
        <v>406</v>
      </c>
      <c r="G1661" s="3">
        <v>29.999199999999998</v>
      </c>
      <c r="H1661" s="3" t="s">
        <v>4644</v>
      </c>
      <c r="I1661" s="3" t="s">
        <v>4645</v>
      </c>
      <c r="J1661" s="3" t="s">
        <v>4695</v>
      </c>
      <c r="K1661" s="3">
        <v>63</v>
      </c>
      <c r="L1661" s="3" t="s">
        <v>4647</v>
      </c>
    </row>
    <row r="1662" spans="1:12" ht="33.75" customHeight="1" x14ac:dyDescent="0.25">
      <c r="A1662" s="13" t="s">
        <v>3849</v>
      </c>
      <c r="B1662" s="2" t="s">
        <v>990</v>
      </c>
      <c r="C1662" s="2" t="s">
        <v>3850</v>
      </c>
      <c r="D1662" s="2" t="s">
        <v>4724</v>
      </c>
      <c r="E1662" s="2" t="s">
        <v>4806</v>
      </c>
      <c r="F1662" s="2" t="s">
        <v>992</v>
      </c>
      <c r="G1662" s="2">
        <v>29.755199999999999</v>
      </c>
      <c r="H1662" s="2" t="s">
        <v>4644</v>
      </c>
      <c r="I1662" s="2" t="s">
        <v>4645</v>
      </c>
      <c r="J1662" s="2" t="s">
        <v>4723</v>
      </c>
      <c r="K1662" s="2">
        <v>54</v>
      </c>
      <c r="L1662" s="2" t="s">
        <v>4647</v>
      </c>
    </row>
    <row r="1663" spans="1:12" ht="33.75" customHeight="1" x14ac:dyDescent="0.25">
      <c r="A1663" s="14" t="s">
        <v>3851</v>
      </c>
      <c r="B1663" s="3" t="s">
        <v>418</v>
      </c>
      <c r="C1663" s="3" t="s">
        <v>3852</v>
      </c>
      <c r="D1663" s="3" t="s">
        <v>4724</v>
      </c>
      <c r="E1663" s="3" t="s">
        <v>4734</v>
      </c>
      <c r="F1663" s="3" t="s">
        <v>420</v>
      </c>
      <c r="G1663" s="3">
        <v>30.655200000000001</v>
      </c>
      <c r="H1663" s="3" t="s">
        <v>4644</v>
      </c>
      <c r="I1663" s="3" t="s">
        <v>4645</v>
      </c>
      <c r="J1663" s="3" t="s">
        <v>4735</v>
      </c>
      <c r="K1663" s="3">
        <v>72</v>
      </c>
      <c r="L1663" s="3" t="s">
        <v>4647</v>
      </c>
    </row>
    <row r="1664" spans="1:12" ht="33.75" customHeight="1" x14ac:dyDescent="0.25">
      <c r="A1664" s="13" t="s">
        <v>3853</v>
      </c>
      <c r="B1664" s="2" t="s">
        <v>404</v>
      </c>
      <c r="C1664" s="2" t="s">
        <v>3854</v>
      </c>
      <c r="D1664" s="2" t="s">
        <v>4724</v>
      </c>
      <c r="E1664" s="2" t="s">
        <v>4731</v>
      </c>
      <c r="F1664" s="2" t="s">
        <v>406</v>
      </c>
      <c r="G1664" s="2">
        <v>29.999199999999998</v>
      </c>
      <c r="H1664" s="2" t="s">
        <v>4644</v>
      </c>
      <c r="I1664" s="2" t="s">
        <v>4645</v>
      </c>
      <c r="J1664" s="2" t="s">
        <v>4695</v>
      </c>
      <c r="K1664" s="2">
        <v>63</v>
      </c>
      <c r="L1664" s="2" t="s">
        <v>4647</v>
      </c>
    </row>
    <row r="1665" spans="1:12" ht="33.75" customHeight="1" x14ac:dyDescent="0.25">
      <c r="A1665" s="14" t="s">
        <v>3855</v>
      </c>
      <c r="B1665" s="3" t="s">
        <v>990</v>
      </c>
      <c r="C1665" s="3" t="s">
        <v>3856</v>
      </c>
      <c r="D1665" s="3" t="s">
        <v>4724</v>
      </c>
      <c r="E1665" s="3" t="s">
        <v>4806</v>
      </c>
      <c r="F1665" s="3" t="s">
        <v>992</v>
      </c>
      <c r="G1665" s="3">
        <v>29.755199999999999</v>
      </c>
      <c r="H1665" s="3" t="s">
        <v>4644</v>
      </c>
      <c r="I1665" s="3" t="s">
        <v>4645</v>
      </c>
      <c r="J1665" s="3" t="s">
        <v>4723</v>
      </c>
      <c r="K1665" s="3">
        <v>54</v>
      </c>
      <c r="L1665" s="3" t="s">
        <v>4647</v>
      </c>
    </row>
    <row r="1666" spans="1:12" ht="33.75" customHeight="1" x14ac:dyDescent="0.25">
      <c r="A1666" s="13" t="s">
        <v>3857</v>
      </c>
      <c r="B1666" s="2" t="s">
        <v>324</v>
      </c>
      <c r="C1666" s="2" t="s">
        <v>3858</v>
      </c>
      <c r="D1666" s="2" t="s">
        <v>4724</v>
      </c>
      <c r="E1666" s="2" t="s">
        <v>4704</v>
      </c>
      <c r="F1666" s="2" t="s">
        <v>326</v>
      </c>
      <c r="G1666" s="2">
        <v>29.719200000000001</v>
      </c>
      <c r="H1666" s="2" t="s">
        <v>4644</v>
      </c>
      <c r="I1666" s="2" t="s">
        <v>4645</v>
      </c>
      <c r="J1666" s="2" t="s">
        <v>4697</v>
      </c>
      <c r="K1666" s="2">
        <v>45</v>
      </c>
      <c r="L1666" s="2" t="s">
        <v>4647</v>
      </c>
    </row>
    <row r="1667" spans="1:12" ht="33.75" customHeight="1" x14ac:dyDescent="0.25">
      <c r="A1667" s="14" t="s">
        <v>3859</v>
      </c>
      <c r="B1667" s="3" t="s">
        <v>3860</v>
      </c>
      <c r="C1667" s="3" t="s">
        <v>3861</v>
      </c>
      <c r="D1667" s="3" t="s">
        <v>5007</v>
      </c>
      <c r="E1667" s="3" t="s">
        <v>5008</v>
      </c>
      <c r="F1667" s="3" t="s">
        <v>3862</v>
      </c>
      <c r="G1667" s="3">
        <v>30.039200000000001</v>
      </c>
      <c r="H1667" s="3" t="s">
        <v>4644</v>
      </c>
      <c r="I1667" s="3" t="s">
        <v>4645</v>
      </c>
      <c r="J1667" s="3" t="s">
        <v>4652</v>
      </c>
      <c r="K1667" s="3">
        <v>21</v>
      </c>
      <c r="L1667" s="3" t="s">
        <v>4647</v>
      </c>
    </row>
    <row r="1668" spans="1:12" ht="33.75" customHeight="1" x14ac:dyDescent="0.25">
      <c r="A1668" s="13" t="s">
        <v>3863</v>
      </c>
      <c r="B1668" s="2" t="s">
        <v>3860</v>
      </c>
      <c r="C1668" s="2" t="s">
        <v>3864</v>
      </c>
      <c r="D1668" s="2" t="s">
        <v>5007</v>
      </c>
      <c r="E1668" s="2" t="s">
        <v>5008</v>
      </c>
      <c r="F1668" s="2" t="s">
        <v>3862</v>
      </c>
      <c r="G1668" s="2">
        <v>30.039200000000001</v>
      </c>
      <c r="H1668" s="2" t="s">
        <v>4644</v>
      </c>
      <c r="I1668" s="2" t="s">
        <v>4645</v>
      </c>
      <c r="J1668" s="2" t="s">
        <v>4652</v>
      </c>
      <c r="K1668" s="2">
        <v>21</v>
      </c>
      <c r="L1668" s="2" t="s">
        <v>4647</v>
      </c>
    </row>
    <row r="1669" spans="1:12" ht="33.75" customHeight="1" x14ac:dyDescent="0.25">
      <c r="A1669" s="14" t="s">
        <v>3865</v>
      </c>
      <c r="B1669" s="3" t="s">
        <v>3866</v>
      </c>
      <c r="C1669" s="3" t="s">
        <v>3867</v>
      </c>
      <c r="D1669" s="3" t="s">
        <v>5007</v>
      </c>
      <c r="E1669" s="3" t="s">
        <v>5009</v>
      </c>
      <c r="F1669" s="3" t="s">
        <v>3868</v>
      </c>
      <c r="G1669" s="3">
        <v>30.039200000000001</v>
      </c>
      <c r="H1669" s="3" t="s">
        <v>4644</v>
      </c>
      <c r="I1669" s="3" t="s">
        <v>4645</v>
      </c>
      <c r="J1669" s="3" t="s">
        <v>4646</v>
      </c>
      <c r="K1669" s="3">
        <v>18</v>
      </c>
      <c r="L1669" s="3" t="s">
        <v>4647</v>
      </c>
    </row>
    <row r="1670" spans="1:12" ht="33.75" customHeight="1" x14ac:dyDescent="0.25">
      <c r="A1670" s="13" t="s">
        <v>3869</v>
      </c>
      <c r="B1670" s="2" t="s">
        <v>3860</v>
      </c>
      <c r="C1670" s="2" t="s">
        <v>3870</v>
      </c>
      <c r="D1670" s="2" t="s">
        <v>5007</v>
      </c>
      <c r="E1670" s="2" t="s">
        <v>5008</v>
      </c>
      <c r="F1670" s="2" t="s">
        <v>3862</v>
      </c>
      <c r="G1670" s="2">
        <v>30.039200000000001</v>
      </c>
      <c r="H1670" s="2" t="s">
        <v>4644</v>
      </c>
      <c r="I1670" s="2" t="s">
        <v>4645</v>
      </c>
      <c r="J1670" s="2" t="s">
        <v>4652</v>
      </c>
      <c r="K1670" s="2">
        <v>21</v>
      </c>
      <c r="L1670" s="2" t="s">
        <v>4647</v>
      </c>
    </row>
    <row r="1671" spans="1:12" ht="33.75" customHeight="1" x14ac:dyDescent="0.25">
      <c r="A1671" s="14" t="s">
        <v>3871</v>
      </c>
      <c r="B1671" s="3" t="s">
        <v>3860</v>
      </c>
      <c r="C1671" s="3" t="s">
        <v>3872</v>
      </c>
      <c r="D1671" s="3" t="s">
        <v>5007</v>
      </c>
      <c r="E1671" s="3" t="s">
        <v>5008</v>
      </c>
      <c r="F1671" s="3" t="s">
        <v>3862</v>
      </c>
      <c r="G1671" s="3">
        <v>30.039200000000001</v>
      </c>
      <c r="H1671" s="3" t="s">
        <v>4644</v>
      </c>
      <c r="I1671" s="3" t="s">
        <v>4645</v>
      </c>
      <c r="J1671" s="3" t="s">
        <v>4652</v>
      </c>
      <c r="K1671" s="3">
        <v>21</v>
      </c>
      <c r="L1671" s="3" t="s">
        <v>4647</v>
      </c>
    </row>
    <row r="1672" spans="1:12" ht="33.75" customHeight="1" x14ac:dyDescent="0.25">
      <c r="A1672" s="13" t="s">
        <v>3873</v>
      </c>
      <c r="B1672" s="2" t="s">
        <v>3866</v>
      </c>
      <c r="C1672" s="2" t="s">
        <v>3874</v>
      </c>
      <c r="D1672" s="2" t="s">
        <v>5007</v>
      </c>
      <c r="E1672" s="2" t="s">
        <v>5009</v>
      </c>
      <c r="F1672" s="2" t="s">
        <v>3868</v>
      </c>
      <c r="G1672" s="2">
        <v>30.039200000000001</v>
      </c>
      <c r="H1672" s="2" t="s">
        <v>4644</v>
      </c>
      <c r="I1672" s="2" t="s">
        <v>4645</v>
      </c>
      <c r="J1672" s="2" t="s">
        <v>4646</v>
      </c>
      <c r="K1672" s="2">
        <v>18</v>
      </c>
      <c r="L1672" s="2" t="s">
        <v>4647</v>
      </c>
    </row>
    <row r="1673" spans="1:12" ht="33.75" customHeight="1" x14ac:dyDescent="0.25">
      <c r="A1673" s="14" t="s">
        <v>3875</v>
      </c>
      <c r="B1673" s="3" t="s">
        <v>3860</v>
      </c>
      <c r="C1673" s="3" t="s">
        <v>3876</v>
      </c>
      <c r="D1673" s="3" t="s">
        <v>5007</v>
      </c>
      <c r="E1673" s="3" t="s">
        <v>5008</v>
      </c>
      <c r="F1673" s="3" t="s">
        <v>3862</v>
      </c>
      <c r="G1673" s="3">
        <v>30.039200000000001</v>
      </c>
      <c r="H1673" s="3" t="s">
        <v>4644</v>
      </c>
      <c r="I1673" s="3" t="s">
        <v>4645</v>
      </c>
      <c r="J1673" s="3" t="s">
        <v>4652</v>
      </c>
      <c r="K1673" s="3">
        <v>21</v>
      </c>
      <c r="L1673" s="3" t="s">
        <v>4647</v>
      </c>
    </row>
    <row r="1674" spans="1:12" ht="33.75" customHeight="1" x14ac:dyDescent="0.25">
      <c r="A1674" s="13" t="s">
        <v>3877</v>
      </c>
      <c r="B1674" s="2" t="s">
        <v>3878</v>
      </c>
      <c r="C1674" s="2" t="s">
        <v>3879</v>
      </c>
      <c r="D1674" s="2" t="s">
        <v>5007</v>
      </c>
      <c r="E1674" s="2" t="s">
        <v>5010</v>
      </c>
      <c r="F1674" s="2" t="s">
        <v>3880</v>
      </c>
      <c r="G1674" s="2">
        <v>29.039200000000001</v>
      </c>
      <c r="H1674" s="2" t="s">
        <v>4644</v>
      </c>
      <c r="I1674" s="2" t="s">
        <v>4645</v>
      </c>
      <c r="J1674" s="2" t="s">
        <v>4646</v>
      </c>
      <c r="K1674" s="2">
        <v>12</v>
      </c>
      <c r="L1674" s="2" t="s">
        <v>4647</v>
      </c>
    </row>
    <row r="1675" spans="1:12" ht="33.75" customHeight="1" x14ac:dyDescent="0.25">
      <c r="A1675" s="14" t="s">
        <v>3881</v>
      </c>
      <c r="B1675" s="3" t="s">
        <v>3860</v>
      </c>
      <c r="C1675" s="3" t="s">
        <v>3882</v>
      </c>
      <c r="D1675" s="3" t="s">
        <v>5007</v>
      </c>
      <c r="E1675" s="3" t="s">
        <v>5008</v>
      </c>
      <c r="F1675" s="3" t="s">
        <v>3862</v>
      </c>
      <c r="G1675" s="3">
        <v>30.039200000000001</v>
      </c>
      <c r="H1675" s="3" t="s">
        <v>4644</v>
      </c>
      <c r="I1675" s="3" t="s">
        <v>4645</v>
      </c>
      <c r="J1675" s="3" t="s">
        <v>4652</v>
      </c>
      <c r="K1675" s="3">
        <v>21</v>
      </c>
      <c r="L1675" s="3" t="s">
        <v>4647</v>
      </c>
    </row>
    <row r="1676" spans="1:12" ht="33.75" customHeight="1" x14ac:dyDescent="0.25">
      <c r="A1676" s="13" t="s">
        <v>3883</v>
      </c>
      <c r="B1676" s="2" t="s">
        <v>3860</v>
      </c>
      <c r="C1676" s="2" t="s">
        <v>3884</v>
      </c>
      <c r="D1676" s="2" t="s">
        <v>5007</v>
      </c>
      <c r="E1676" s="2" t="s">
        <v>5008</v>
      </c>
      <c r="F1676" s="2" t="s">
        <v>3862</v>
      </c>
      <c r="G1676" s="2">
        <v>30.039200000000001</v>
      </c>
      <c r="H1676" s="2" t="s">
        <v>4644</v>
      </c>
      <c r="I1676" s="2" t="s">
        <v>4645</v>
      </c>
      <c r="J1676" s="2" t="s">
        <v>4652</v>
      </c>
      <c r="K1676" s="2">
        <v>21</v>
      </c>
      <c r="L1676" s="2" t="s">
        <v>4647</v>
      </c>
    </row>
    <row r="1677" spans="1:12" ht="33.75" customHeight="1" x14ac:dyDescent="0.25">
      <c r="A1677" s="14" t="s">
        <v>3885</v>
      </c>
      <c r="B1677" s="3" t="s">
        <v>3866</v>
      </c>
      <c r="C1677" s="3" t="s">
        <v>3886</v>
      </c>
      <c r="D1677" s="3" t="s">
        <v>5007</v>
      </c>
      <c r="E1677" s="3" t="s">
        <v>5009</v>
      </c>
      <c r="F1677" s="3" t="s">
        <v>3868</v>
      </c>
      <c r="G1677" s="3">
        <v>30.039200000000001</v>
      </c>
      <c r="H1677" s="3" t="s">
        <v>4644</v>
      </c>
      <c r="I1677" s="3" t="s">
        <v>4645</v>
      </c>
      <c r="J1677" s="3" t="s">
        <v>4646</v>
      </c>
      <c r="K1677" s="3">
        <v>18</v>
      </c>
      <c r="L1677" s="3" t="s">
        <v>4647</v>
      </c>
    </row>
    <row r="1678" spans="1:12" ht="33.75" customHeight="1" x14ac:dyDescent="0.25">
      <c r="A1678" s="13" t="s">
        <v>3887</v>
      </c>
      <c r="B1678" s="2" t="s">
        <v>3860</v>
      </c>
      <c r="C1678" s="2" t="s">
        <v>3888</v>
      </c>
      <c r="D1678" s="2" t="s">
        <v>5007</v>
      </c>
      <c r="E1678" s="2" t="s">
        <v>5008</v>
      </c>
      <c r="F1678" s="2" t="s">
        <v>3862</v>
      </c>
      <c r="G1678" s="2">
        <v>30.039200000000001</v>
      </c>
      <c r="H1678" s="2" t="s">
        <v>4644</v>
      </c>
      <c r="I1678" s="2" t="s">
        <v>4645</v>
      </c>
      <c r="J1678" s="2" t="s">
        <v>4652</v>
      </c>
      <c r="K1678" s="2">
        <v>21</v>
      </c>
      <c r="L1678" s="2" t="s">
        <v>4647</v>
      </c>
    </row>
    <row r="1679" spans="1:12" ht="33.75" customHeight="1" x14ac:dyDescent="0.25">
      <c r="A1679" s="14" t="s">
        <v>3889</v>
      </c>
      <c r="B1679" s="3" t="s">
        <v>3860</v>
      </c>
      <c r="C1679" s="3" t="s">
        <v>3890</v>
      </c>
      <c r="D1679" s="3" t="s">
        <v>5007</v>
      </c>
      <c r="E1679" s="3" t="s">
        <v>5008</v>
      </c>
      <c r="F1679" s="3" t="s">
        <v>3862</v>
      </c>
      <c r="G1679" s="3">
        <v>30.039200000000001</v>
      </c>
      <c r="H1679" s="3" t="s">
        <v>4644</v>
      </c>
      <c r="I1679" s="3" t="s">
        <v>4645</v>
      </c>
      <c r="J1679" s="3" t="s">
        <v>4652</v>
      </c>
      <c r="K1679" s="3">
        <v>21</v>
      </c>
      <c r="L1679" s="3" t="s">
        <v>4647</v>
      </c>
    </row>
    <row r="1680" spans="1:12" ht="33.75" customHeight="1" x14ac:dyDescent="0.25">
      <c r="A1680" s="13" t="s">
        <v>3891</v>
      </c>
      <c r="B1680" s="2" t="s">
        <v>3866</v>
      </c>
      <c r="C1680" s="2" t="s">
        <v>3892</v>
      </c>
      <c r="D1680" s="2" t="s">
        <v>5007</v>
      </c>
      <c r="E1680" s="2" t="s">
        <v>5009</v>
      </c>
      <c r="F1680" s="2" t="s">
        <v>3868</v>
      </c>
      <c r="G1680" s="2">
        <v>30.039200000000001</v>
      </c>
      <c r="H1680" s="2" t="s">
        <v>4644</v>
      </c>
      <c r="I1680" s="2" t="s">
        <v>4645</v>
      </c>
      <c r="J1680" s="2" t="s">
        <v>4646</v>
      </c>
      <c r="K1680" s="2">
        <v>18</v>
      </c>
      <c r="L1680" s="2" t="s">
        <v>4647</v>
      </c>
    </row>
    <row r="1681" spans="1:12" ht="33.75" customHeight="1" x14ac:dyDescent="0.25">
      <c r="A1681" s="14" t="s">
        <v>3893</v>
      </c>
      <c r="B1681" s="3" t="s">
        <v>3860</v>
      </c>
      <c r="C1681" s="3" t="s">
        <v>3894</v>
      </c>
      <c r="D1681" s="3" t="s">
        <v>5007</v>
      </c>
      <c r="E1681" s="3" t="s">
        <v>5008</v>
      </c>
      <c r="F1681" s="3" t="s">
        <v>3862</v>
      </c>
      <c r="G1681" s="3">
        <v>30.039200000000001</v>
      </c>
      <c r="H1681" s="3" t="s">
        <v>4644</v>
      </c>
      <c r="I1681" s="3" t="s">
        <v>4645</v>
      </c>
      <c r="J1681" s="3" t="s">
        <v>4652</v>
      </c>
      <c r="K1681" s="3">
        <v>21</v>
      </c>
      <c r="L1681" s="3" t="s">
        <v>4647</v>
      </c>
    </row>
    <row r="1682" spans="1:12" ht="33.75" customHeight="1" x14ac:dyDescent="0.25">
      <c r="A1682" s="13" t="s">
        <v>3895</v>
      </c>
      <c r="B1682" s="2" t="s">
        <v>3878</v>
      </c>
      <c r="C1682" s="2" t="s">
        <v>3896</v>
      </c>
      <c r="D1682" s="2" t="s">
        <v>5007</v>
      </c>
      <c r="E1682" s="2" t="s">
        <v>5010</v>
      </c>
      <c r="F1682" s="2" t="s">
        <v>3880</v>
      </c>
      <c r="G1682" s="2">
        <v>29.039200000000001</v>
      </c>
      <c r="H1682" s="2" t="s">
        <v>4644</v>
      </c>
      <c r="I1682" s="2" t="s">
        <v>4645</v>
      </c>
      <c r="J1682" s="2" t="s">
        <v>4646</v>
      </c>
      <c r="K1682" s="2">
        <v>12</v>
      </c>
      <c r="L1682" s="2" t="s">
        <v>4647</v>
      </c>
    </row>
    <row r="1683" spans="1:12" ht="33.75" customHeight="1" x14ac:dyDescent="0.25">
      <c r="A1683" s="14" t="s">
        <v>3897</v>
      </c>
      <c r="B1683" s="3" t="s">
        <v>422</v>
      </c>
      <c r="C1683" s="3" t="s">
        <v>3807</v>
      </c>
      <c r="D1683" s="3" t="s">
        <v>5005</v>
      </c>
      <c r="E1683" s="3" t="s">
        <v>4736</v>
      </c>
      <c r="F1683" s="3" t="s">
        <v>424</v>
      </c>
      <c r="G1683" s="3">
        <v>30.7272</v>
      </c>
      <c r="H1683" s="3" t="s">
        <v>4644</v>
      </c>
      <c r="I1683" s="3" t="s">
        <v>4645</v>
      </c>
      <c r="J1683" s="3" t="s">
        <v>4682</v>
      </c>
      <c r="K1683" s="3">
        <v>76</v>
      </c>
      <c r="L1683" s="3" t="s">
        <v>4647</v>
      </c>
    </row>
    <row r="1684" spans="1:12" ht="33.75" customHeight="1" x14ac:dyDescent="0.25">
      <c r="A1684" s="13" t="s">
        <v>3898</v>
      </c>
      <c r="B1684" s="2" t="s">
        <v>422</v>
      </c>
      <c r="C1684" s="2" t="s">
        <v>3899</v>
      </c>
      <c r="D1684" s="2" t="s">
        <v>5005</v>
      </c>
      <c r="E1684" s="2" t="s">
        <v>4736</v>
      </c>
      <c r="F1684" s="2" t="s">
        <v>424</v>
      </c>
      <c r="G1684" s="2">
        <v>30.7272</v>
      </c>
      <c r="H1684" s="2" t="s">
        <v>4644</v>
      </c>
      <c r="I1684" s="2" t="s">
        <v>4645</v>
      </c>
      <c r="J1684" s="2" t="s">
        <v>4735</v>
      </c>
      <c r="K1684" s="2">
        <v>76</v>
      </c>
      <c r="L1684" s="2" t="s">
        <v>4647</v>
      </c>
    </row>
    <row r="1685" spans="1:12" ht="33.75" customHeight="1" x14ac:dyDescent="0.25">
      <c r="A1685" s="14" t="s">
        <v>3900</v>
      </c>
      <c r="B1685" s="3" t="s">
        <v>324</v>
      </c>
      <c r="C1685" s="3" t="s">
        <v>3901</v>
      </c>
      <c r="D1685" s="3" t="s">
        <v>4760</v>
      </c>
      <c r="E1685" s="3" t="s">
        <v>4704</v>
      </c>
      <c r="F1685" s="3" t="s">
        <v>326</v>
      </c>
      <c r="G1685" s="3">
        <v>29.719200000000001</v>
      </c>
      <c r="H1685" s="3" t="s">
        <v>4644</v>
      </c>
      <c r="I1685" s="3" t="s">
        <v>4645</v>
      </c>
      <c r="J1685" s="3" t="s">
        <v>4697</v>
      </c>
      <c r="K1685" s="3">
        <v>45</v>
      </c>
      <c r="L1685" s="3" t="s">
        <v>4647</v>
      </c>
    </row>
    <row r="1686" spans="1:12" ht="33.75" customHeight="1" x14ac:dyDescent="0.25">
      <c r="A1686" s="13" t="s">
        <v>3902</v>
      </c>
      <c r="B1686" s="2" t="s">
        <v>386</v>
      </c>
      <c r="C1686" s="2" t="s">
        <v>3903</v>
      </c>
      <c r="D1686" s="2" t="s">
        <v>4760</v>
      </c>
      <c r="E1686" s="2" t="s">
        <v>4727</v>
      </c>
      <c r="F1686" s="2" t="s">
        <v>388</v>
      </c>
      <c r="G1686" s="2">
        <v>33.783799999999999</v>
      </c>
      <c r="H1686" s="2" t="s">
        <v>4644</v>
      </c>
      <c r="I1686" s="2" t="s">
        <v>4645</v>
      </c>
      <c r="J1686" s="2" t="s">
        <v>4721</v>
      </c>
      <c r="K1686" s="2">
        <v>54</v>
      </c>
      <c r="L1686" s="2" t="s">
        <v>4647</v>
      </c>
    </row>
    <row r="1687" spans="1:12" ht="33.75" customHeight="1" x14ac:dyDescent="0.25">
      <c r="A1687" s="14" t="s">
        <v>3904</v>
      </c>
      <c r="B1687" s="3" t="s">
        <v>386</v>
      </c>
      <c r="C1687" s="3" t="s">
        <v>3905</v>
      </c>
      <c r="D1687" s="3" t="s">
        <v>5011</v>
      </c>
      <c r="E1687" s="3" t="s">
        <v>4727</v>
      </c>
      <c r="F1687" s="3" t="s">
        <v>388</v>
      </c>
      <c r="G1687" s="3">
        <v>33.783799999999999</v>
      </c>
      <c r="H1687" s="3" t="s">
        <v>4644</v>
      </c>
      <c r="I1687" s="3" t="s">
        <v>4645</v>
      </c>
      <c r="J1687" s="3" t="s">
        <v>4721</v>
      </c>
      <c r="K1687" s="3">
        <v>54</v>
      </c>
      <c r="L1687" s="3" t="s">
        <v>4647</v>
      </c>
    </row>
    <row r="1688" spans="1:12" ht="33.75" customHeight="1" x14ac:dyDescent="0.25">
      <c r="A1688" s="13" t="s">
        <v>3906</v>
      </c>
      <c r="B1688" s="2" t="s">
        <v>77</v>
      </c>
      <c r="C1688" s="2" t="s">
        <v>3907</v>
      </c>
      <c r="D1688" s="2" t="s">
        <v>5011</v>
      </c>
      <c r="E1688" s="2" t="s">
        <v>4654</v>
      </c>
      <c r="F1688" s="2" t="s">
        <v>79</v>
      </c>
      <c r="G1688" s="2">
        <v>31.699200000000001</v>
      </c>
      <c r="H1688" s="2" t="s">
        <v>4644</v>
      </c>
      <c r="I1688" s="2" t="s">
        <v>4645</v>
      </c>
      <c r="J1688" s="2" t="s">
        <v>4650</v>
      </c>
      <c r="K1688" s="2">
        <v>30</v>
      </c>
      <c r="L1688" s="2" t="s">
        <v>4647</v>
      </c>
    </row>
    <row r="1689" spans="1:12" ht="33.75" customHeight="1" x14ac:dyDescent="0.25">
      <c r="A1689" s="14" t="s">
        <v>3908</v>
      </c>
      <c r="B1689" s="3" t="s">
        <v>120</v>
      </c>
      <c r="C1689" s="3" t="s">
        <v>3909</v>
      </c>
      <c r="D1689" s="3" t="s">
        <v>5011</v>
      </c>
      <c r="E1689" s="3" t="s">
        <v>4662</v>
      </c>
      <c r="F1689" s="3" t="s">
        <v>122</v>
      </c>
      <c r="G1689" s="3">
        <v>33.349800000000002</v>
      </c>
      <c r="H1689" s="3" t="s">
        <v>4644</v>
      </c>
      <c r="I1689" s="3" t="s">
        <v>4645</v>
      </c>
      <c r="J1689" s="3" t="s">
        <v>4656</v>
      </c>
      <c r="K1689" s="3">
        <v>45</v>
      </c>
      <c r="L1689" s="3" t="s">
        <v>4647</v>
      </c>
    </row>
    <row r="1690" spans="1:12" ht="33.75" customHeight="1" x14ac:dyDescent="0.25">
      <c r="A1690" s="13" t="s">
        <v>3910</v>
      </c>
      <c r="B1690" s="2" t="s">
        <v>650</v>
      </c>
      <c r="C1690" s="2" t="s">
        <v>3911</v>
      </c>
      <c r="D1690" s="2" t="s">
        <v>4889</v>
      </c>
      <c r="E1690" s="2" t="s">
        <v>4775</v>
      </c>
      <c r="F1690" s="2" t="s">
        <v>652</v>
      </c>
      <c r="G1690" s="2">
        <v>33.497</v>
      </c>
      <c r="H1690" s="2" t="s">
        <v>4644</v>
      </c>
      <c r="I1690" s="2" t="s">
        <v>4645</v>
      </c>
      <c r="J1690" s="2" t="s">
        <v>4721</v>
      </c>
      <c r="K1690" s="2">
        <v>54</v>
      </c>
      <c r="L1690" s="2" t="s">
        <v>4647</v>
      </c>
    </row>
    <row r="1691" spans="1:12" ht="33.75" customHeight="1" x14ac:dyDescent="0.25">
      <c r="A1691" s="14" t="s">
        <v>3912</v>
      </c>
      <c r="B1691" s="3" t="s">
        <v>222</v>
      </c>
      <c r="C1691" s="3" t="s">
        <v>3913</v>
      </c>
      <c r="D1691" s="3" t="s">
        <v>4680</v>
      </c>
      <c r="E1691" s="3" t="s">
        <v>4685</v>
      </c>
      <c r="F1691" s="3" t="s">
        <v>224</v>
      </c>
      <c r="G1691" s="3">
        <v>27.839200000000002</v>
      </c>
      <c r="H1691" s="3" t="s">
        <v>4644</v>
      </c>
      <c r="I1691" s="3" t="s">
        <v>4645</v>
      </c>
      <c r="J1691" s="3" t="s">
        <v>4697</v>
      </c>
      <c r="K1691" s="3">
        <v>48</v>
      </c>
      <c r="L1691" s="3" t="s">
        <v>4647</v>
      </c>
    </row>
    <row r="1692" spans="1:12" ht="33.75" customHeight="1" x14ac:dyDescent="0.25">
      <c r="A1692" s="13" t="s">
        <v>3914</v>
      </c>
      <c r="B1692" s="2" t="s">
        <v>515</v>
      </c>
      <c r="C1692" s="2" t="s">
        <v>3915</v>
      </c>
      <c r="D1692" s="2" t="s">
        <v>4648</v>
      </c>
      <c r="E1692" s="2" t="s">
        <v>4749</v>
      </c>
      <c r="F1692" s="2" t="s">
        <v>517</v>
      </c>
      <c r="G1692" s="2">
        <v>29.3124</v>
      </c>
      <c r="H1692" s="2" t="s">
        <v>4644</v>
      </c>
      <c r="I1692" s="2" t="s">
        <v>4645</v>
      </c>
      <c r="J1692" s="2" t="s">
        <v>4691</v>
      </c>
      <c r="K1692" s="2">
        <v>42</v>
      </c>
      <c r="L1692" s="2" t="s">
        <v>4647</v>
      </c>
    </row>
    <row r="1693" spans="1:12" ht="33.75" customHeight="1" x14ac:dyDescent="0.25">
      <c r="A1693" s="14" t="s">
        <v>3916</v>
      </c>
      <c r="B1693" s="3" t="s">
        <v>515</v>
      </c>
      <c r="C1693" s="3" t="s">
        <v>3917</v>
      </c>
      <c r="D1693" s="3" t="s">
        <v>4648</v>
      </c>
      <c r="E1693" s="3" t="s">
        <v>4749</v>
      </c>
      <c r="F1693" s="3" t="s">
        <v>517</v>
      </c>
      <c r="G1693" s="3">
        <v>29.3124</v>
      </c>
      <c r="H1693" s="3" t="s">
        <v>4644</v>
      </c>
      <c r="I1693" s="3" t="s">
        <v>4645</v>
      </c>
      <c r="J1693" s="3" t="s">
        <v>4691</v>
      </c>
      <c r="K1693" s="3">
        <v>42</v>
      </c>
      <c r="L1693" s="3" t="s">
        <v>4647</v>
      </c>
    </row>
    <row r="1694" spans="1:12" ht="33.75" customHeight="1" x14ac:dyDescent="0.25">
      <c r="A1694" s="13" t="s">
        <v>3918</v>
      </c>
      <c r="B1694" s="2" t="s">
        <v>2037</v>
      </c>
      <c r="C1694" s="2" t="s">
        <v>3919</v>
      </c>
      <c r="D1694" s="2" t="s">
        <v>4882</v>
      </c>
      <c r="E1694" s="2" t="s">
        <v>4884</v>
      </c>
      <c r="F1694" s="2" t="s">
        <v>2039</v>
      </c>
      <c r="G1694" s="2">
        <v>31.226199999999999</v>
      </c>
      <c r="H1694" s="2" t="s">
        <v>4644</v>
      </c>
      <c r="I1694" s="2" t="s">
        <v>4645</v>
      </c>
      <c r="J1694" s="2" t="s">
        <v>4733</v>
      </c>
      <c r="K1694" s="2">
        <v>96</v>
      </c>
      <c r="L1694" s="2" t="s">
        <v>4647</v>
      </c>
    </row>
    <row r="1695" spans="1:12" ht="33.75" customHeight="1" x14ac:dyDescent="0.25">
      <c r="A1695" s="14" t="s">
        <v>3920</v>
      </c>
      <c r="B1695" s="3" t="s">
        <v>3921</v>
      </c>
      <c r="C1695" s="3" t="s">
        <v>3922</v>
      </c>
      <c r="D1695" s="3" t="s">
        <v>4851</v>
      </c>
      <c r="E1695" s="3" t="s">
        <v>5012</v>
      </c>
      <c r="F1695" s="3" t="s">
        <v>3923</v>
      </c>
      <c r="G1695" s="3">
        <v>46.670200000000001</v>
      </c>
      <c r="H1695" s="3" t="s">
        <v>4644</v>
      </c>
      <c r="I1695" s="3" t="s">
        <v>4645</v>
      </c>
      <c r="J1695" s="3" t="s">
        <v>4719</v>
      </c>
      <c r="K1695" s="3">
        <v>60</v>
      </c>
      <c r="L1695" s="3" t="s">
        <v>4647</v>
      </c>
    </row>
    <row r="1696" spans="1:12" ht="33.75" customHeight="1" x14ac:dyDescent="0.25">
      <c r="A1696" s="13" t="s">
        <v>3924</v>
      </c>
      <c r="B1696" s="2" t="s">
        <v>3925</v>
      </c>
      <c r="C1696" s="2" t="s">
        <v>3926</v>
      </c>
      <c r="D1696" s="2" t="s">
        <v>4851</v>
      </c>
      <c r="E1696" s="2" t="s">
        <v>5013</v>
      </c>
      <c r="F1696" s="2" t="s">
        <v>3927</v>
      </c>
      <c r="G1696" s="2">
        <v>44.006799999999998</v>
      </c>
      <c r="H1696" s="2" t="s">
        <v>4644</v>
      </c>
      <c r="I1696" s="2" t="s">
        <v>4645</v>
      </c>
      <c r="J1696" s="2" t="s">
        <v>4721</v>
      </c>
      <c r="K1696" s="2">
        <v>42</v>
      </c>
      <c r="L1696" s="2" t="s">
        <v>4647</v>
      </c>
    </row>
    <row r="1697" spans="1:12" ht="33.75" customHeight="1" x14ac:dyDescent="0.25">
      <c r="A1697" s="14" t="s">
        <v>3928</v>
      </c>
      <c r="B1697" s="3" t="s">
        <v>3929</v>
      </c>
      <c r="C1697" s="3" t="s">
        <v>3930</v>
      </c>
      <c r="D1697" s="3" t="s">
        <v>4950</v>
      </c>
      <c r="E1697" s="3" t="s">
        <v>5014</v>
      </c>
      <c r="F1697" s="3" t="s">
        <v>3931</v>
      </c>
      <c r="G1697" s="3">
        <v>30.045999999999999</v>
      </c>
      <c r="H1697" s="3" t="s">
        <v>4644</v>
      </c>
      <c r="I1697" s="3" t="s">
        <v>4645</v>
      </c>
      <c r="J1697" s="3" t="s">
        <v>4697</v>
      </c>
      <c r="K1697" s="3">
        <v>48</v>
      </c>
      <c r="L1697" s="3" t="s">
        <v>4647</v>
      </c>
    </row>
    <row r="1698" spans="1:12" ht="33.75" customHeight="1" x14ac:dyDescent="0.25">
      <c r="A1698" s="13" t="s">
        <v>3932</v>
      </c>
      <c r="B1698" s="2" t="s">
        <v>1817</v>
      </c>
      <c r="C1698" s="2" t="s">
        <v>3933</v>
      </c>
      <c r="D1698" s="2" t="s">
        <v>4950</v>
      </c>
      <c r="E1698" s="2" t="s">
        <v>4863</v>
      </c>
      <c r="F1698" s="2" t="s">
        <v>1819</v>
      </c>
      <c r="G1698" s="2">
        <v>29.366</v>
      </c>
      <c r="H1698" s="2" t="s">
        <v>4644</v>
      </c>
      <c r="I1698" s="2" t="s">
        <v>4645</v>
      </c>
      <c r="J1698" s="2" t="s">
        <v>4691</v>
      </c>
      <c r="K1698" s="2">
        <v>36</v>
      </c>
      <c r="L1698" s="2" t="s">
        <v>4647</v>
      </c>
    </row>
    <row r="1699" spans="1:12" ht="33.75" customHeight="1" x14ac:dyDescent="0.25">
      <c r="A1699" s="14" t="s">
        <v>3934</v>
      </c>
      <c r="B1699" s="3" t="s">
        <v>222</v>
      </c>
      <c r="C1699" s="3" t="s">
        <v>3935</v>
      </c>
      <c r="D1699" s="3" t="s">
        <v>4923</v>
      </c>
      <c r="E1699" s="3" t="s">
        <v>4685</v>
      </c>
      <c r="F1699" s="3" t="s">
        <v>224</v>
      </c>
      <c r="G1699" s="3">
        <v>27.839200000000002</v>
      </c>
      <c r="H1699" s="3" t="s">
        <v>4644</v>
      </c>
      <c r="I1699" s="3" t="s">
        <v>4645</v>
      </c>
      <c r="J1699" s="3" t="s">
        <v>4697</v>
      </c>
      <c r="K1699" s="3">
        <v>48</v>
      </c>
      <c r="L1699" s="3" t="s">
        <v>4647</v>
      </c>
    </row>
    <row r="1700" spans="1:12" ht="33.75" customHeight="1" x14ac:dyDescent="0.25">
      <c r="A1700" s="13" t="s">
        <v>3936</v>
      </c>
      <c r="B1700" s="2" t="s">
        <v>3630</v>
      </c>
      <c r="C1700" s="2" t="s">
        <v>3937</v>
      </c>
      <c r="D1700" s="2" t="s">
        <v>4923</v>
      </c>
      <c r="E1700" s="2" t="s">
        <v>4989</v>
      </c>
      <c r="F1700" s="2" t="s">
        <v>3632</v>
      </c>
      <c r="G1700" s="2">
        <v>27.506</v>
      </c>
      <c r="H1700" s="2" t="s">
        <v>4644</v>
      </c>
      <c r="I1700" s="2" t="s">
        <v>4645</v>
      </c>
      <c r="J1700" s="2" t="s">
        <v>4719</v>
      </c>
      <c r="K1700" s="2">
        <v>63</v>
      </c>
      <c r="L1700" s="2" t="s">
        <v>4647</v>
      </c>
    </row>
    <row r="1701" spans="1:12" ht="33.75" customHeight="1" x14ac:dyDescent="0.25">
      <c r="A1701" s="14" t="s">
        <v>3938</v>
      </c>
      <c r="B1701" s="3" t="s">
        <v>3626</v>
      </c>
      <c r="C1701" s="3" t="s">
        <v>3939</v>
      </c>
      <c r="D1701" s="3" t="s">
        <v>4923</v>
      </c>
      <c r="E1701" s="3" t="s">
        <v>4988</v>
      </c>
      <c r="F1701" s="3" t="s">
        <v>3628</v>
      </c>
      <c r="G1701" s="3">
        <v>27.506</v>
      </c>
      <c r="H1701" s="3" t="s">
        <v>4644</v>
      </c>
      <c r="I1701" s="3" t="s">
        <v>4645</v>
      </c>
      <c r="J1701" s="3" t="s">
        <v>4770</v>
      </c>
      <c r="K1701" s="3">
        <v>57</v>
      </c>
      <c r="L1701" s="3" t="s">
        <v>4647</v>
      </c>
    </row>
    <row r="1702" spans="1:12" ht="33.75" customHeight="1" x14ac:dyDescent="0.25">
      <c r="A1702" s="13" t="s">
        <v>3940</v>
      </c>
      <c r="B1702" s="2" t="s">
        <v>3941</v>
      </c>
      <c r="C1702" s="2" t="s">
        <v>3942</v>
      </c>
      <c r="D1702" s="2" t="s">
        <v>4701</v>
      </c>
      <c r="E1702" s="2" t="s">
        <v>5015</v>
      </c>
      <c r="F1702" s="2" t="s">
        <v>3943</v>
      </c>
      <c r="G1702" s="2">
        <v>29.3062</v>
      </c>
      <c r="H1702" s="2" t="s">
        <v>4644</v>
      </c>
      <c r="I1702" s="2" t="s">
        <v>4645</v>
      </c>
      <c r="J1702" s="2" t="s">
        <v>4695</v>
      </c>
      <c r="K1702" s="2">
        <v>42</v>
      </c>
      <c r="L1702" s="2" t="s">
        <v>4647</v>
      </c>
    </row>
    <row r="1703" spans="1:12" ht="33.75" customHeight="1" x14ac:dyDescent="0.25">
      <c r="A1703" s="14" t="s">
        <v>3944</v>
      </c>
      <c r="B1703" s="3" t="s">
        <v>3945</v>
      </c>
      <c r="C1703" s="3" t="s">
        <v>3946</v>
      </c>
      <c r="D1703" s="3" t="s">
        <v>4701</v>
      </c>
      <c r="E1703" s="3" t="s">
        <v>5016</v>
      </c>
      <c r="F1703" s="3" t="s">
        <v>3947</v>
      </c>
      <c r="G1703" s="3">
        <v>29.1432</v>
      </c>
      <c r="H1703" s="3" t="s">
        <v>4644</v>
      </c>
      <c r="I1703" s="3" t="s">
        <v>4645</v>
      </c>
      <c r="J1703" s="3" t="s">
        <v>4723</v>
      </c>
      <c r="K1703" s="3">
        <v>36</v>
      </c>
      <c r="L1703" s="3" t="s">
        <v>4647</v>
      </c>
    </row>
    <row r="1704" spans="1:12" ht="33.75" customHeight="1" x14ac:dyDescent="0.25">
      <c r="A1704" s="13" t="s">
        <v>3948</v>
      </c>
      <c r="B1704" s="2" t="s">
        <v>418</v>
      </c>
      <c r="C1704" s="2" t="s">
        <v>3949</v>
      </c>
      <c r="D1704" s="2" t="s">
        <v>4701</v>
      </c>
      <c r="E1704" s="2" t="s">
        <v>4734</v>
      </c>
      <c r="F1704" s="2" t="s">
        <v>420</v>
      </c>
      <c r="G1704" s="2">
        <v>30.655200000000001</v>
      </c>
      <c r="H1704" s="2" t="s">
        <v>4644</v>
      </c>
      <c r="I1704" s="2" t="s">
        <v>4645</v>
      </c>
      <c r="J1704" s="2" t="s">
        <v>4735</v>
      </c>
      <c r="K1704" s="2">
        <v>72</v>
      </c>
      <c r="L1704" s="2" t="s">
        <v>4647</v>
      </c>
    </row>
    <row r="1705" spans="1:12" ht="33.75" customHeight="1" x14ac:dyDescent="0.25">
      <c r="A1705" s="14" t="s">
        <v>3950</v>
      </c>
      <c r="B1705" s="3" t="s">
        <v>404</v>
      </c>
      <c r="C1705" s="3" t="s">
        <v>3951</v>
      </c>
      <c r="D1705" s="3" t="s">
        <v>4701</v>
      </c>
      <c r="E1705" s="3" t="s">
        <v>4731</v>
      </c>
      <c r="F1705" s="3" t="s">
        <v>406</v>
      </c>
      <c r="G1705" s="3">
        <v>29.999199999999998</v>
      </c>
      <c r="H1705" s="3" t="s">
        <v>4644</v>
      </c>
      <c r="I1705" s="3" t="s">
        <v>4645</v>
      </c>
      <c r="J1705" s="3" t="s">
        <v>4695</v>
      </c>
      <c r="K1705" s="3">
        <v>63</v>
      </c>
      <c r="L1705" s="3" t="s">
        <v>4647</v>
      </c>
    </row>
    <row r="1706" spans="1:12" ht="33.75" customHeight="1" x14ac:dyDescent="0.25">
      <c r="A1706" s="13" t="s">
        <v>3952</v>
      </c>
      <c r="B1706" s="2" t="s">
        <v>990</v>
      </c>
      <c r="C1706" s="2" t="s">
        <v>3953</v>
      </c>
      <c r="D1706" s="2" t="s">
        <v>4701</v>
      </c>
      <c r="E1706" s="2" t="s">
        <v>4806</v>
      </c>
      <c r="F1706" s="2" t="s">
        <v>992</v>
      </c>
      <c r="G1706" s="2">
        <v>29.755199999999999</v>
      </c>
      <c r="H1706" s="2" t="s">
        <v>4644</v>
      </c>
      <c r="I1706" s="2" t="s">
        <v>4645</v>
      </c>
      <c r="J1706" s="2" t="s">
        <v>4723</v>
      </c>
      <c r="K1706" s="2">
        <v>54</v>
      </c>
      <c r="L1706" s="2" t="s">
        <v>4647</v>
      </c>
    </row>
    <row r="1707" spans="1:12" ht="33.75" customHeight="1" x14ac:dyDescent="0.25">
      <c r="A1707" s="14" t="s">
        <v>3954</v>
      </c>
      <c r="B1707" s="3" t="s">
        <v>470</v>
      </c>
      <c r="C1707" s="3" t="s">
        <v>3955</v>
      </c>
      <c r="D1707" s="3" t="s">
        <v>4889</v>
      </c>
      <c r="E1707" s="3" t="s">
        <v>4743</v>
      </c>
      <c r="F1707" s="3" t="s">
        <v>472</v>
      </c>
      <c r="G1707" s="3">
        <v>30.052320000000002</v>
      </c>
      <c r="H1707" s="3" t="s">
        <v>4644</v>
      </c>
      <c r="I1707" s="3" t="s">
        <v>4645</v>
      </c>
      <c r="J1707" s="3" t="s">
        <v>4744</v>
      </c>
      <c r="K1707" s="3">
        <v>72</v>
      </c>
      <c r="L1707" s="3" t="s">
        <v>4647</v>
      </c>
    </row>
    <row r="1708" spans="1:12" ht="33.75" customHeight="1" x14ac:dyDescent="0.25">
      <c r="A1708" s="13" t="s">
        <v>3956</v>
      </c>
      <c r="B1708" s="2" t="s">
        <v>650</v>
      </c>
      <c r="C1708" s="2" t="s">
        <v>3957</v>
      </c>
      <c r="D1708" s="2" t="s">
        <v>4889</v>
      </c>
      <c r="E1708" s="2" t="s">
        <v>4775</v>
      </c>
      <c r="F1708" s="2" t="s">
        <v>652</v>
      </c>
      <c r="G1708" s="2">
        <v>33.497</v>
      </c>
      <c r="H1708" s="2" t="s">
        <v>4644</v>
      </c>
      <c r="I1708" s="2" t="s">
        <v>4645</v>
      </c>
      <c r="J1708" s="2" t="s">
        <v>4721</v>
      </c>
      <c r="K1708" s="2">
        <v>54</v>
      </c>
      <c r="L1708" s="2" t="s">
        <v>4647</v>
      </c>
    </row>
    <row r="1709" spans="1:12" ht="33.75" customHeight="1" x14ac:dyDescent="0.25">
      <c r="A1709" s="14" t="s">
        <v>3958</v>
      </c>
      <c r="B1709" s="3" t="s">
        <v>386</v>
      </c>
      <c r="C1709" s="3" t="s">
        <v>3959</v>
      </c>
      <c r="D1709" s="3" t="s">
        <v>5006</v>
      </c>
      <c r="E1709" s="3" t="s">
        <v>4727</v>
      </c>
      <c r="F1709" s="3" t="s">
        <v>388</v>
      </c>
      <c r="G1709" s="3">
        <v>33.783799999999999</v>
      </c>
      <c r="H1709" s="3" t="s">
        <v>4644</v>
      </c>
      <c r="I1709" s="3" t="s">
        <v>4645</v>
      </c>
      <c r="J1709" s="3" t="s">
        <v>4721</v>
      </c>
      <c r="K1709" s="3">
        <v>54</v>
      </c>
      <c r="L1709" s="3" t="s">
        <v>4647</v>
      </c>
    </row>
    <row r="1710" spans="1:12" ht="33.75" customHeight="1" x14ac:dyDescent="0.25">
      <c r="A1710" s="13" t="s">
        <v>3960</v>
      </c>
      <c r="B1710" s="2" t="s">
        <v>644</v>
      </c>
      <c r="C1710" s="2" t="s">
        <v>3961</v>
      </c>
      <c r="D1710" s="2" t="s">
        <v>4889</v>
      </c>
      <c r="E1710" s="2" t="s">
        <v>4774</v>
      </c>
      <c r="F1710" s="2" t="s">
        <v>646</v>
      </c>
      <c r="G1710" s="2">
        <v>33.864400000000003</v>
      </c>
      <c r="H1710" s="2" t="s">
        <v>4644</v>
      </c>
      <c r="I1710" s="2" t="s">
        <v>4645</v>
      </c>
      <c r="J1710" s="2" t="s">
        <v>4770</v>
      </c>
      <c r="K1710" s="2">
        <v>63</v>
      </c>
      <c r="L1710" s="2" t="s">
        <v>4647</v>
      </c>
    </row>
    <row r="1711" spans="1:12" ht="33.75" customHeight="1" x14ac:dyDescent="0.25">
      <c r="A1711" s="14" t="s">
        <v>3962</v>
      </c>
      <c r="B1711" s="3" t="s">
        <v>422</v>
      </c>
      <c r="C1711" s="3" t="s">
        <v>3809</v>
      </c>
      <c r="D1711" s="3" t="s">
        <v>5005</v>
      </c>
      <c r="E1711" s="3" t="s">
        <v>4736</v>
      </c>
      <c r="F1711" s="3" t="s">
        <v>424</v>
      </c>
      <c r="G1711" s="3">
        <v>30.7272</v>
      </c>
      <c r="H1711" s="3" t="s">
        <v>4644</v>
      </c>
      <c r="I1711" s="3" t="s">
        <v>4645</v>
      </c>
      <c r="J1711" s="3" t="s">
        <v>4735</v>
      </c>
      <c r="K1711" s="3">
        <v>76</v>
      </c>
      <c r="L1711" s="3" t="s">
        <v>4647</v>
      </c>
    </row>
    <row r="1712" spans="1:12" ht="33.75" customHeight="1" x14ac:dyDescent="0.25">
      <c r="A1712" s="13" t="s">
        <v>3963</v>
      </c>
      <c r="B1712" s="2" t="s">
        <v>2379</v>
      </c>
      <c r="C1712" s="2" t="s">
        <v>3964</v>
      </c>
      <c r="D1712" s="2" t="s">
        <v>5005</v>
      </c>
      <c r="E1712" s="2" t="s">
        <v>4910</v>
      </c>
      <c r="F1712" s="2" t="s">
        <v>2381</v>
      </c>
      <c r="G1712" s="2">
        <v>31.98368</v>
      </c>
      <c r="H1712" s="2" t="s">
        <v>4644</v>
      </c>
      <c r="I1712" s="2" t="s">
        <v>4645</v>
      </c>
      <c r="J1712" s="2" t="s">
        <v>4656</v>
      </c>
      <c r="K1712" s="2">
        <v>36</v>
      </c>
      <c r="L1712" s="2" t="s">
        <v>4647</v>
      </c>
    </row>
    <row r="1713" spans="1:12" ht="33.75" customHeight="1" x14ac:dyDescent="0.25">
      <c r="A1713" s="14" t="s">
        <v>3965</v>
      </c>
      <c r="B1713" s="3" t="s">
        <v>226</v>
      </c>
      <c r="C1713" s="3" t="s">
        <v>3966</v>
      </c>
      <c r="D1713" s="3" t="s">
        <v>5005</v>
      </c>
      <c r="E1713" s="3" t="s">
        <v>4688</v>
      </c>
      <c r="F1713" s="3" t="s">
        <v>228</v>
      </c>
      <c r="G1713" s="3">
        <v>30.6632</v>
      </c>
      <c r="H1713" s="3" t="s">
        <v>4644</v>
      </c>
      <c r="I1713" s="3" t="s">
        <v>4645</v>
      </c>
      <c r="J1713" s="3" t="s">
        <v>4650</v>
      </c>
      <c r="K1713" s="3">
        <v>24</v>
      </c>
      <c r="L1713" s="3" t="s">
        <v>4647</v>
      </c>
    </row>
    <row r="1714" spans="1:12" ht="33.75" customHeight="1" x14ac:dyDescent="0.25">
      <c r="A1714" s="13" t="s">
        <v>3967</v>
      </c>
      <c r="B1714" s="2" t="s">
        <v>112</v>
      </c>
      <c r="C1714" s="2" t="s">
        <v>3968</v>
      </c>
      <c r="D1714" s="2" t="s">
        <v>5005</v>
      </c>
      <c r="E1714" s="2" t="s">
        <v>4660</v>
      </c>
      <c r="F1714" s="2" t="s">
        <v>114</v>
      </c>
      <c r="G1714" s="2">
        <v>30.7682</v>
      </c>
      <c r="H1714" s="2" t="s">
        <v>4644</v>
      </c>
      <c r="I1714" s="2" t="s">
        <v>4645</v>
      </c>
      <c r="J1714" s="2" t="s">
        <v>4652</v>
      </c>
      <c r="K1714" s="2">
        <v>21</v>
      </c>
      <c r="L1714" s="2" t="s">
        <v>4647</v>
      </c>
    </row>
    <row r="1715" spans="1:12" ht="33.75" customHeight="1" x14ac:dyDescent="0.25">
      <c r="A1715" s="14" t="s">
        <v>3969</v>
      </c>
      <c r="B1715" s="3" t="s">
        <v>156</v>
      </c>
      <c r="C1715" s="3" t="s">
        <v>3970</v>
      </c>
      <c r="D1715" s="3" t="s">
        <v>5005</v>
      </c>
      <c r="E1715" s="3" t="s">
        <v>4670</v>
      </c>
      <c r="F1715" s="3" t="s">
        <v>158</v>
      </c>
      <c r="G1715" s="3">
        <v>30.987200000000001</v>
      </c>
      <c r="H1715" s="3" t="s">
        <v>4644</v>
      </c>
      <c r="I1715" s="3" t="s">
        <v>4645</v>
      </c>
      <c r="J1715" s="3" t="s">
        <v>4646</v>
      </c>
      <c r="K1715" s="3">
        <v>18</v>
      </c>
      <c r="L1715" s="3" t="s">
        <v>4647</v>
      </c>
    </row>
    <row r="1716" spans="1:12" ht="33.75" customHeight="1" x14ac:dyDescent="0.25">
      <c r="A1716" s="13" t="s">
        <v>3971</v>
      </c>
      <c r="B1716" s="2" t="s">
        <v>2634</v>
      </c>
      <c r="C1716" s="2" t="s">
        <v>3972</v>
      </c>
      <c r="D1716" s="2" t="s">
        <v>4663</v>
      </c>
      <c r="E1716" s="2" t="s">
        <v>4932</v>
      </c>
      <c r="F1716" s="2" t="s">
        <v>2636</v>
      </c>
      <c r="G1716" s="2">
        <v>30.0852</v>
      </c>
      <c r="H1716" s="2" t="s">
        <v>4644</v>
      </c>
      <c r="I1716" s="2" t="s">
        <v>4645</v>
      </c>
      <c r="J1716" s="2" t="s">
        <v>4708</v>
      </c>
      <c r="K1716" s="2">
        <v>90</v>
      </c>
      <c r="L1716" s="2" t="s">
        <v>4647</v>
      </c>
    </row>
    <row r="1717" spans="1:12" ht="33.75" customHeight="1" x14ac:dyDescent="0.25">
      <c r="A1717" s="14" t="s">
        <v>3973</v>
      </c>
      <c r="B1717" s="3" t="s">
        <v>1948</v>
      </c>
      <c r="C1717" s="3" t="s">
        <v>3974</v>
      </c>
      <c r="D1717" s="3" t="s">
        <v>4689</v>
      </c>
      <c r="E1717" s="3" t="s">
        <v>4755</v>
      </c>
      <c r="F1717" s="3" t="s">
        <v>1950</v>
      </c>
      <c r="G1717" s="3">
        <v>27.513280000000002</v>
      </c>
      <c r="H1717" s="3" t="s">
        <v>4644</v>
      </c>
      <c r="I1717" s="3" t="s">
        <v>4645</v>
      </c>
      <c r="J1717" s="3" t="s">
        <v>4695</v>
      </c>
      <c r="K1717" s="3">
        <v>68</v>
      </c>
      <c r="L1717" s="3" t="s">
        <v>4668</v>
      </c>
    </row>
    <row r="1718" spans="1:12" ht="33.75" customHeight="1" x14ac:dyDescent="0.25">
      <c r="A1718" s="13" t="s">
        <v>3975</v>
      </c>
      <c r="B1718" s="2" t="s">
        <v>112</v>
      </c>
      <c r="C1718" s="2" t="s">
        <v>3585</v>
      </c>
      <c r="D1718" s="2"/>
      <c r="E1718" s="2" t="s">
        <v>4660</v>
      </c>
      <c r="F1718" s="2" t="s">
        <v>114</v>
      </c>
      <c r="G1718" s="2">
        <v>30.7682</v>
      </c>
      <c r="H1718" s="2" t="s">
        <v>4644</v>
      </c>
      <c r="I1718" s="2" t="s">
        <v>4645</v>
      </c>
      <c r="J1718" s="2" t="s">
        <v>4652</v>
      </c>
      <c r="K1718" s="2">
        <v>21</v>
      </c>
      <c r="L1718" s="2" t="s">
        <v>4647</v>
      </c>
    </row>
    <row r="1719" spans="1:12" ht="33.75" customHeight="1" x14ac:dyDescent="0.25">
      <c r="A1719" s="14" t="s">
        <v>3976</v>
      </c>
      <c r="B1719" s="3" t="s">
        <v>665</v>
      </c>
      <c r="C1719" s="3" t="s">
        <v>3977</v>
      </c>
      <c r="D1719" s="3" t="s">
        <v>4648</v>
      </c>
      <c r="E1719" s="3" t="s">
        <v>4777</v>
      </c>
      <c r="F1719" s="3" t="s">
        <v>667</v>
      </c>
      <c r="G1719" s="3">
        <v>29.432400000000001</v>
      </c>
      <c r="H1719" s="3" t="s">
        <v>4644</v>
      </c>
      <c r="I1719" s="3" t="s">
        <v>4645</v>
      </c>
      <c r="J1719" s="3" t="s">
        <v>4697</v>
      </c>
      <c r="K1719" s="3">
        <v>45</v>
      </c>
      <c r="L1719" s="3" t="s">
        <v>4647</v>
      </c>
    </row>
    <row r="1720" spans="1:12" ht="33.75" customHeight="1" x14ac:dyDescent="0.25">
      <c r="A1720" s="13" t="s">
        <v>3978</v>
      </c>
      <c r="B1720" s="2" t="s">
        <v>665</v>
      </c>
      <c r="C1720" s="2" t="s">
        <v>3979</v>
      </c>
      <c r="D1720" s="2" t="s">
        <v>4648</v>
      </c>
      <c r="E1720" s="2" t="s">
        <v>4777</v>
      </c>
      <c r="F1720" s="2" t="s">
        <v>667</v>
      </c>
      <c r="G1720" s="2">
        <v>29.432400000000001</v>
      </c>
      <c r="H1720" s="2" t="s">
        <v>4644</v>
      </c>
      <c r="I1720" s="2" t="s">
        <v>4645</v>
      </c>
      <c r="J1720" s="2" t="s">
        <v>4697</v>
      </c>
      <c r="K1720" s="2">
        <v>45</v>
      </c>
      <c r="L1720" s="2" t="s">
        <v>4647</v>
      </c>
    </row>
    <row r="1721" spans="1:12" ht="33.75" customHeight="1" x14ac:dyDescent="0.25">
      <c r="A1721" s="14" t="s">
        <v>3980</v>
      </c>
      <c r="B1721" s="3" t="s">
        <v>665</v>
      </c>
      <c r="C1721" s="3" t="s">
        <v>3981</v>
      </c>
      <c r="D1721" s="3" t="s">
        <v>4648</v>
      </c>
      <c r="E1721" s="3" t="s">
        <v>4777</v>
      </c>
      <c r="F1721" s="3" t="s">
        <v>667</v>
      </c>
      <c r="G1721" s="3">
        <v>29.432400000000001</v>
      </c>
      <c r="H1721" s="3" t="s">
        <v>4644</v>
      </c>
      <c r="I1721" s="3" t="s">
        <v>4645</v>
      </c>
      <c r="J1721" s="3" t="s">
        <v>4697</v>
      </c>
      <c r="K1721" s="3">
        <v>45</v>
      </c>
      <c r="L1721" s="3" t="s">
        <v>4647</v>
      </c>
    </row>
    <row r="1722" spans="1:12" ht="33.75" customHeight="1" x14ac:dyDescent="0.25">
      <c r="A1722" s="13" t="s">
        <v>3982</v>
      </c>
      <c r="B1722" s="2" t="s">
        <v>418</v>
      </c>
      <c r="C1722" s="2" t="s">
        <v>3983</v>
      </c>
      <c r="D1722" s="2" t="s">
        <v>4663</v>
      </c>
      <c r="E1722" s="2" t="s">
        <v>4734</v>
      </c>
      <c r="F1722" s="2" t="s">
        <v>420</v>
      </c>
      <c r="G1722" s="2">
        <v>30.655200000000001</v>
      </c>
      <c r="H1722" s="2" t="s">
        <v>4644</v>
      </c>
      <c r="I1722" s="2" t="s">
        <v>4645</v>
      </c>
      <c r="J1722" s="2" t="s">
        <v>4735</v>
      </c>
      <c r="K1722" s="2">
        <v>72</v>
      </c>
      <c r="L1722" s="2" t="s">
        <v>4647</v>
      </c>
    </row>
    <row r="1723" spans="1:12" ht="33.75" customHeight="1" x14ac:dyDescent="0.25">
      <c r="A1723" s="14" t="s">
        <v>3984</v>
      </c>
      <c r="B1723" s="3" t="s">
        <v>600</v>
      </c>
      <c r="C1723" s="3" t="s">
        <v>3985</v>
      </c>
      <c r="D1723" s="3" t="s">
        <v>4663</v>
      </c>
      <c r="E1723" s="3" t="s">
        <v>4762</v>
      </c>
      <c r="F1723" s="3" t="s">
        <v>602</v>
      </c>
      <c r="G1723" s="3">
        <v>30.269200000000001</v>
      </c>
      <c r="H1723" s="3" t="s">
        <v>4644</v>
      </c>
      <c r="I1723" s="3" t="s">
        <v>4645</v>
      </c>
      <c r="J1723" s="3" t="s">
        <v>4695</v>
      </c>
      <c r="K1723" s="3">
        <v>63</v>
      </c>
      <c r="L1723" s="3" t="s">
        <v>4647</v>
      </c>
    </row>
    <row r="1724" spans="1:12" ht="33.75" customHeight="1" x14ac:dyDescent="0.25">
      <c r="A1724" s="13" t="s">
        <v>3986</v>
      </c>
      <c r="B1724" s="2" t="s">
        <v>990</v>
      </c>
      <c r="C1724" s="2" t="s">
        <v>3987</v>
      </c>
      <c r="D1724" s="2" t="s">
        <v>4663</v>
      </c>
      <c r="E1724" s="2" t="s">
        <v>4806</v>
      </c>
      <c r="F1724" s="2" t="s">
        <v>992</v>
      </c>
      <c r="G1724" s="2">
        <v>29.755199999999999</v>
      </c>
      <c r="H1724" s="2" t="s">
        <v>4644</v>
      </c>
      <c r="I1724" s="2" t="s">
        <v>4645</v>
      </c>
      <c r="J1724" s="2" t="s">
        <v>4723</v>
      </c>
      <c r="K1724" s="2">
        <v>54</v>
      </c>
      <c r="L1724" s="2" t="s">
        <v>4647</v>
      </c>
    </row>
    <row r="1725" spans="1:12" ht="33.75" customHeight="1" x14ac:dyDescent="0.25">
      <c r="A1725" s="14" t="s">
        <v>3988</v>
      </c>
      <c r="B1725" s="3" t="s">
        <v>324</v>
      </c>
      <c r="C1725" s="3" t="s">
        <v>3989</v>
      </c>
      <c r="D1725" s="3" t="s">
        <v>4663</v>
      </c>
      <c r="E1725" s="3" t="s">
        <v>4704</v>
      </c>
      <c r="F1725" s="3" t="s">
        <v>326</v>
      </c>
      <c r="G1725" s="3">
        <v>29.719200000000001</v>
      </c>
      <c r="H1725" s="3" t="s">
        <v>4644</v>
      </c>
      <c r="I1725" s="3" t="s">
        <v>4645</v>
      </c>
      <c r="J1725" s="3" t="s">
        <v>4697</v>
      </c>
      <c r="K1725" s="3">
        <v>45</v>
      </c>
      <c r="L1725" s="3" t="s">
        <v>4647</v>
      </c>
    </row>
    <row r="1726" spans="1:12" ht="33.75" customHeight="1" x14ac:dyDescent="0.25">
      <c r="A1726" s="13" t="s">
        <v>3990</v>
      </c>
      <c r="B1726" s="2" t="s">
        <v>356</v>
      </c>
      <c r="C1726" s="2" t="s">
        <v>3991</v>
      </c>
      <c r="D1726" s="2" t="s">
        <v>4663</v>
      </c>
      <c r="E1726" s="2" t="s">
        <v>4716</v>
      </c>
      <c r="F1726" s="2" t="s">
        <v>358</v>
      </c>
      <c r="G1726" s="2">
        <v>29.5992</v>
      </c>
      <c r="H1726" s="2" t="s">
        <v>4644</v>
      </c>
      <c r="I1726" s="2" t="s">
        <v>4645</v>
      </c>
      <c r="J1726" s="2" t="s">
        <v>4691</v>
      </c>
      <c r="K1726" s="2">
        <v>42</v>
      </c>
      <c r="L1726" s="2" t="s">
        <v>4647</v>
      </c>
    </row>
    <row r="1727" spans="1:12" ht="33.75" customHeight="1" x14ac:dyDescent="0.25">
      <c r="A1727" s="14" t="s">
        <v>3992</v>
      </c>
      <c r="B1727" s="3" t="s">
        <v>1294</v>
      </c>
      <c r="C1727" s="3" t="s">
        <v>3993</v>
      </c>
      <c r="D1727" s="3" t="s">
        <v>4741</v>
      </c>
      <c r="E1727" s="3" t="s">
        <v>4819</v>
      </c>
      <c r="F1727" s="3" t="s">
        <v>1296</v>
      </c>
      <c r="G1727" s="3">
        <v>27.925999999999998</v>
      </c>
      <c r="H1727" s="3" t="s">
        <v>4644</v>
      </c>
      <c r="I1727" s="3" t="s">
        <v>4645</v>
      </c>
      <c r="J1727" s="3" t="s">
        <v>4735</v>
      </c>
      <c r="K1727" s="3">
        <v>57</v>
      </c>
      <c r="L1727" s="3" t="s">
        <v>4647</v>
      </c>
    </row>
    <row r="1728" spans="1:12" ht="33.75" customHeight="1" x14ac:dyDescent="0.25">
      <c r="A1728" s="13" t="s">
        <v>3994</v>
      </c>
      <c r="B1728" s="2" t="s">
        <v>878</v>
      </c>
      <c r="C1728" s="2" t="s">
        <v>3995</v>
      </c>
      <c r="D1728" s="2" t="s">
        <v>4741</v>
      </c>
      <c r="E1728" s="2" t="s">
        <v>4802</v>
      </c>
      <c r="F1728" s="2" t="s">
        <v>880</v>
      </c>
      <c r="G1728" s="2">
        <v>27.925999999999998</v>
      </c>
      <c r="H1728" s="2" t="s">
        <v>4644</v>
      </c>
      <c r="I1728" s="2" t="s">
        <v>4645</v>
      </c>
      <c r="J1728" s="2" t="s">
        <v>4695</v>
      </c>
      <c r="K1728" s="2">
        <v>51</v>
      </c>
      <c r="L1728" s="2" t="s">
        <v>4647</v>
      </c>
    </row>
    <row r="1729" spans="1:12" ht="33.75" customHeight="1" x14ac:dyDescent="0.25">
      <c r="A1729" s="14" t="s">
        <v>3996</v>
      </c>
      <c r="B1729" s="3" t="s">
        <v>2137</v>
      </c>
      <c r="C1729" s="3" t="s">
        <v>3997</v>
      </c>
      <c r="D1729" s="3" t="s">
        <v>4741</v>
      </c>
      <c r="E1729" s="3" t="s">
        <v>4885</v>
      </c>
      <c r="F1729" s="3" t="s">
        <v>2139</v>
      </c>
      <c r="G1729" s="3">
        <v>27.925999999999998</v>
      </c>
      <c r="H1729" s="3" t="s">
        <v>4644</v>
      </c>
      <c r="I1729" s="3" t="s">
        <v>4645</v>
      </c>
      <c r="J1729" s="3" t="s">
        <v>4697</v>
      </c>
      <c r="K1729" s="3">
        <v>36</v>
      </c>
      <c r="L1729" s="3" t="s">
        <v>4647</v>
      </c>
    </row>
    <row r="1730" spans="1:12" ht="33.75" customHeight="1" x14ac:dyDescent="0.25">
      <c r="A1730" s="13" t="s">
        <v>3998</v>
      </c>
      <c r="B1730" s="2" t="s">
        <v>334</v>
      </c>
      <c r="C1730" s="2" t="s">
        <v>335</v>
      </c>
      <c r="D1730" s="2" t="s">
        <v>4706</v>
      </c>
      <c r="E1730" s="2" t="s">
        <v>4707</v>
      </c>
      <c r="F1730" s="2" t="s">
        <v>336</v>
      </c>
      <c r="G1730" s="2">
        <v>27.925999999999998</v>
      </c>
      <c r="H1730" s="2" t="s">
        <v>4644</v>
      </c>
      <c r="I1730" s="2" t="s">
        <v>4645</v>
      </c>
      <c r="J1730" s="2" t="s">
        <v>4708</v>
      </c>
      <c r="K1730" s="2">
        <v>72</v>
      </c>
      <c r="L1730" s="2" t="s">
        <v>4647</v>
      </c>
    </row>
    <row r="1731" spans="1:12" ht="33.75" customHeight="1" x14ac:dyDescent="0.25">
      <c r="A1731" s="14" t="s">
        <v>3999</v>
      </c>
      <c r="B1731" s="3" t="s">
        <v>188</v>
      </c>
      <c r="C1731" s="3" t="s">
        <v>4000</v>
      </c>
      <c r="D1731" s="3" t="s">
        <v>4671</v>
      </c>
      <c r="E1731" s="3" t="s">
        <v>4679</v>
      </c>
      <c r="F1731" s="3" t="s">
        <v>190</v>
      </c>
      <c r="G1731" s="3">
        <v>30.700399999999998</v>
      </c>
      <c r="H1731" s="3" t="s">
        <v>4644</v>
      </c>
      <c r="I1731" s="3" t="s">
        <v>4645</v>
      </c>
      <c r="J1731" s="3" t="s">
        <v>4646</v>
      </c>
      <c r="K1731" s="3">
        <v>18</v>
      </c>
      <c r="L1731" s="3" t="s">
        <v>4647</v>
      </c>
    </row>
    <row r="1732" spans="1:12" ht="33.75" customHeight="1" x14ac:dyDescent="0.25">
      <c r="A1732" s="13" t="s">
        <v>4001</v>
      </c>
      <c r="B1732" s="2" t="s">
        <v>182</v>
      </c>
      <c r="C1732" s="2" t="s">
        <v>4002</v>
      </c>
      <c r="D1732" s="2" t="s">
        <v>4671</v>
      </c>
      <c r="E1732" s="2" t="s">
        <v>4678</v>
      </c>
      <c r="F1732" s="2" t="s">
        <v>184</v>
      </c>
      <c r="G1732" s="2">
        <v>29.185759999999998</v>
      </c>
      <c r="H1732" s="2" t="s">
        <v>4644</v>
      </c>
      <c r="I1732" s="2" t="s">
        <v>4645</v>
      </c>
      <c r="J1732" s="2" t="s">
        <v>4652</v>
      </c>
      <c r="K1732" s="2">
        <v>21</v>
      </c>
      <c r="L1732" s="2" t="s">
        <v>4668</v>
      </c>
    </row>
    <row r="1733" spans="1:12" ht="33.75" customHeight="1" x14ac:dyDescent="0.25">
      <c r="A1733" s="14" t="s">
        <v>4003</v>
      </c>
      <c r="B1733" s="3" t="s">
        <v>188</v>
      </c>
      <c r="C1733" s="3" t="s">
        <v>4004</v>
      </c>
      <c r="D1733" s="3" t="s">
        <v>4671</v>
      </c>
      <c r="E1733" s="3" t="s">
        <v>4679</v>
      </c>
      <c r="F1733" s="3" t="s">
        <v>190</v>
      </c>
      <c r="G1733" s="3">
        <v>30.700399999999998</v>
      </c>
      <c r="H1733" s="3" t="s">
        <v>4644</v>
      </c>
      <c r="I1733" s="3" t="s">
        <v>4645</v>
      </c>
      <c r="J1733" s="3" t="s">
        <v>4646</v>
      </c>
      <c r="K1733" s="3">
        <v>18</v>
      </c>
      <c r="L1733" s="3" t="s">
        <v>4647</v>
      </c>
    </row>
    <row r="1734" spans="1:12" ht="33.75" customHeight="1" x14ac:dyDescent="0.25">
      <c r="A1734" s="13" t="s">
        <v>4005</v>
      </c>
      <c r="B1734" s="2" t="s">
        <v>178</v>
      </c>
      <c r="C1734" s="2" t="s">
        <v>4006</v>
      </c>
      <c r="D1734" s="2" t="s">
        <v>4671</v>
      </c>
      <c r="E1734" s="2" t="s">
        <v>4677</v>
      </c>
      <c r="F1734" s="2" t="s">
        <v>180</v>
      </c>
      <c r="G1734" s="2">
        <v>28.922239999999999</v>
      </c>
      <c r="H1734" s="2" t="s">
        <v>4644</v>
      </c>
      <c r="I1734" s="2" t="s">
        <v>4645</v>
      </c>
      <c r="J1734" s="2" t="s">
        <v>4650</v>
      </c>
      <c r="K1734" s="2">
        <v>24</v>
      </c>
      <c r="L1734" s="2" t="s">
        <v>4668</v>
      </c>
    </row>
    <row r="1735" spans="1:12" ht="33.75" customHeight="1" x14ac:dyDescent="0.25">
      <c r="A1735" s="14" t="s">
        <v>4007</v>
      </c>
      <c r="B1735" s="3" t="s">
        <v>182</v>
      </c>
      <c r="C1735" s="3" t="s">
        <v>4008</v>
      </c>
      <c r="D1735" s="3" t="s">
        <v>4671</v>
      </c>
      <c r="E1735" s="3" t="s">
        <v>4678</v>
      </c>
      <c r="F1735" s="3" t="s">
        <v>184</v>
      </c>
      <c r="G1735" s="3">
        <v>29.185759999999998</v>
      </c>
      <c r="H1735" s="3" t="s">
        <v>4644</v>
      </c>
      <c r="I1735" s="3" t="s">
        <v>4645</v>
      </c>
      <c r="J1735" s="3" t="s">
        <v>4652</v>
      </c>
      <c r="K1735" s="3">
        <v>21</v>
      </c>
      <c r="L1735" s="3" t="s">
        <v>4668</v>
      </c>
    </row>
    <row r="1736" spans="1:12" ht="33.75" customHeight="1" x14ac:dyDescent="0.25">
      <c r="A1736" s="13" t="s">
        <v>4009</v>
      </c>
      <c r="B1736" s="2" t="s">
        <v>188</v>
      </c>
      <c r="C1736" s="2" t="s">
        <v>4010</v>
      </c>
      <c r="D1736" s="2" t="s">
        <v>4671</v>
      </c>
      <c r="E1736" s="2" t="s">
        <v>4679</v>
      </c>
      <c r="F1736" s="2" t="s">
        <v>190</v>
      </c>
      <c r="G1736" s="2">
        <v>30.700399999999998</v>
      </c>
      <c r="H1736" s="2" t="s">
        <v>4644</v>
      </c>
      <c r="I1736" s="2" t="s">
        <v>4645</v>
      </c>
      <c r="J1736" s="2" t="s">
        <v>4646</v>
      </c>
      <c r="K1736" s="2">
        <v>18</v>
      </c>
      <c r="L1736" s="2" t="s">
        <v>4647</v>
      </c>
    </row>
    <row r="1737" spans="1:12" ht="33.75" customHeight="1" x14ac:dyDescent="0.25">
      <c r="A1737" s="14" t="s">
        <v>4011</v>
      </c>
      <c r="B1737" s="3" t="s">
        <v>178</v>
      </c>
      <c r="C1737" s="3" t="s">
        <v>4012</v>
      </c>
      <c r="D1737" s="3" t="s">
        <v>4671</v>
      </c>
      <c r="E1737" s="3" t="s">
        <v>4677</v>
      </c>
      <c r="F1737" s="3" t="s">
        <v>180</v>
      </c>
      <c r="G1737" s="3">
        <v>28.922239999999999</v>
      </c>
      <c r="H1737" s="3" t="s">
        <v>4644</v>
      </c>
      <c r="I1737" s="3" t="s">
        <v>4645</v>
      </c>
      <c r="J1737" s="3" t="s">
        <v>4650</v>
      </c>
      <c r="K1737" s="3">
        <v>24</v>
      </c>
      <c r="L1737" s="3" t="s">
        <v>4668</v>
      </c>
    </row>
    <row r="1738" spans="1:12" ht="33.75" customHeight="1" x14ac:dyDescent="0.25">
      <c r="A1738" s="13" t="s">
        <v>4013</v>
      </c>
      <c r="B1738" s="2" t="s">
        <v>182</v>
      </c>
      <c r="C1738" s="2" t="s">
        <v>4014</v>
      </c>
      <c r="D1738" s="2" t="s">
        <v>4671</v>
      </c>
      <c r="E1738" s="2" t="s">
        <v>4678</v>
      </c>
      <c r="F1738" s="2" t="s">
        <v>184</v>
      </c>
      <c r="G1738" s="2">
        <v>29.185759999999998</v>
      </c>
      <c r="H1738" s="2" t="s">
        <v>4644</v>
      </c>
      <c r="I1738" s="2" t="s">
        <v>4645</v>
      </c>
      <c r="J1738" s="2" t="s">
        <v>4652</v>
      </c>
      <c r="K1738" s="2">
        <v>21</v>
      </c>
      <c r="L1738" s="2" t="s">
        <v>4668</v>
      </c>
    </row>
    <row r="1739" spans="1:12" ht="33.75" customHeight="1" x14ac:dyDescent="0.25">
      <c r="A1739" s="14" t="s">
        <v>4015</v>
      </c>
      <c r="B1739" s="3" t="s">
        <v>182</v>
      </c>
      <c r="C1739" s="3" t="s">
        <v>4016</v>
      </c>
      <c r="D1739" s="3" t="s">
        <v>4671</v>
      </c>
      <c r="E1739" s="3" t="s">
        <v>4678</v>
      </c>
      <c r="F1739" s="3" t="s">
        <v>184</v>
      </c>
      <c r="G1739" s="3">
        <v>29.185759999999998</v>
      </c>
      <c r="H1739" s="3" t="s">
        <v>4644</v>
      </c>
      <c r="I1739" s="3" t="s">
        <v>4645</v>
      </c>
      <c r="J1739" s="3" t="s">
        <v>4652</v>
      </c>
      <c r="K1739" s="3">
        <v>21</v>
      </c>
      <c r="L1739" s="3" t="s">
        <v>4668</v>
      </c>
    </row>
    <row r="1740" spans="1:12" ht="33.75" customHeight="1" x14ac:dyDescent="0.25">
      <c r="A1740" s="13" t="s">
        <v>4017</v>
      </c>
      <c r="B1740" s="2" t="s">
        <v>188</v>
      </c>
      <c r="C1740" s="2" t="s">
        <v>4018</v>
      </c>
      <c r="D1740" s="2" t="s">
        <v>4671</v>
      </c>
      <c r="E1740" s="2" t="s">
        <v>4679</v>
      </c>
      <c r="F1740" s="2" t="s">
        <v>190</v>
      </c>
      <c r="G1740" s="2">
        <v>30.700399999999998</v>
      </c>
      <c r="H1740" s="2" t="s">
        <v>4644</v>
      </c>
      <c r="I1740" s="2" t="s">
        <v>4645</v>
      </c>
      <c r="J1740" s="2" t="s">
        <v>4646</v>
      </c>
      <c r="K1740" s="2">
        <v>18</v>
      </c>
      <c r="L1740" s="2" t="s">
        <v>4647</v>
      </c>
    </row>
    <row r="1741" spans="1:12" ht="33.75" customHeight="1" x14ac:dyDescent="0.25">
      <c r="A1741" s="14" t="s">
        <v>4019</v>
      </c>
      <c r="B1741" s="3" t="s">
        <v>826</v>
      </c>
      <c r="C1741" s="3" t="s">
        <v>2125</v>
      </c>
      <c r="D1741" s="3" t="s">
        <v>4706</v>
      </c>
      <c r="E1741" s="3" t="s">
        <v>4796</v>
      </c>
      <c r="F1741" s="3" t="s">
        <v>828</v>
      </c>
      <c r="G1741" s="3">
        <v>28.366</v>
      </c>
      <c r="H1741" s="3" t="s">
        <v>4644</v>
      </c>
      <c r="I1741" s="3" t="s">
        <v>4645</v>
      </c>
      <c r="J1741" s="3" t="s">
        <v>4733</v>
      </c>
      <c r="K1741" s="3">
        <v>72</v>
      </c>
      <c r="L1741" s="3" t="s">
        <v>4647</v>
      </c>
    </row>
    <row r="1742" spans="1:12" ht="33.75" customHeight="1" x14ac:dyDescent="0.25">
      <c r="A1742" s="13" t="s">
        <v>4020</v>
      </c>
      <c r="B1742" s="2" t="s">
        <v>826</v>
      </c>
      <c r="C1742" s="2" t="s">
        <v>2127</v>
      </c>
      <c r="D1742" s="2" t="s">
        <v>4706</v>
      </c>
      <c r="E1742" s="2" t="s">
        <v>4796</v>
      </c>
      <c r="F1742" s="2" t="s">
        <v>828</v>
      </c>
      <c r="G1742" s="2">
        <v>28.366</v>
      </c>
      <c r="H1742" s="2" t="s">
        <v>4644</v>
      </c>
      <c r="I1742" s="2" t="s">
        <v>4645</v>
      </c>
      <c r="J1742" s="2" t="s">
        <v>4733</v>
      </c>
      <c r="K1742" s="2">
        <v>72</v>
      </c>
      <c r="L1742" s="2" t="s">
        <v>4647</v>
      </c>
    </row>
    <row r="1743" spans="1:12" ht="33.75" customHeight="1" x14ac:dyDescent="0.25">
      <c r="A1743" s="14" t="s">
        <v>4021</v>
      </c>
      <c r="B1743" s="3" t="s">
        <v>826</v>
      </c>
      <c r="C1743" s="3" t="s">
        <v>2129</v>
      </c>
      <c r="D1743" s="3" t="s">
        <v>4706</v>
      </c>
      <c r="E1743" s="3" t="s">
        <v>4796</v>
      </c>
      <c r="F1743" s="3" t="s">
        <v>828</v>
      </c>
      <c r="G1743" s="3">
        <v>28.366</v>
      </c>
      <c r="H1743" s="3" t="s">
        <v>4644</v>
      </c>
      <c r="I1743" s="3" t="s">
        <v>4645</v>
      </c>
      <c r="J1743" s="3" t="s">
        <v>4710</v>
      </c>
      <c r="K1743" s="3">
        <v>72</v>
      </c>
      <c r="L1743" s="3" t="s">
        <v>4647</v>
      </c>
    </row>
    <row r="1744" spans="1:12" ht="33.75" customHeight="1" x14ac:dyDescent="0.25">
      <c r="A1744" s="13" t="s">
        <v>4022</v>
      </c>
      <c r="B1744" s="2" t="s">
        <v>1294</v>
      </c>
      <c r="C1744" s="2" t="s">
        <v>2131</v>
      </c>
      <c r="D1744" s="2" t="s">
        <v>4706</v>
      </c>
      <c r="E1744" s="2" t="s">
        <v>4819</v>
      </c>
      <c r="F1744" s="2" t="s">
        <v>1296</v>
      </c>
      <c r="G1744" s="2">
        <v>27.925999999999998</v>
      </c>
      <c r="H1744" s="2" t="s">
        <v>4644</v>
      </c>
      <c r="I1744" s="2" t="s">
        <v>4645</v>
      </c>
      <c r="J1744" s="2" t="s">
        <v>4682</v>
      </c>
      <c r="K1744" s="2">
        <v>57</v>
      </c>
      <c r="L1744" s="2" t="s">
        <v>4647</v>
      </c>
    </row>
    <row r="1745" spans="1:12" ht="33.75" customHeight="1" x14ac:dyDescent="0.25">
      <c r="A1745" s="14" t="s">
        <v>4023</v>
      </c>
      <c r="B1745" s="3" t="s">
        <v>830</v>
      </c>
      <c r="C1745" s="3" t="s">
        <v>2133</v>
      </c>
      <c r="D1745" s="3" t="s">
        <v>4706</v>
      </c>
      <c r="E1745" s="3" t="s">
        <v>4797</v>
      </c>
      <c r="F1745" s="3" t="s">
        <v>832</v>
      </c>
      <c r="G1745" s="3">
        <v>27.925999999999998</v>
      </c>
      <c r="H1745" s="3" t="s">
        <v>4644</v>
      </c>
      <c r="I1745" s="3" t="s">
        <v>4645</v>
      </c>
      <c r="J1745" s="3" t="s">
        <v>4723</v>
      </c>
      <c r="K1745" s="3">
        <v>42</v>
      </c>
      <c r="L1745" s="3" t="s">
        <v>4647</v>
      </c>
    </row>
    <row r="1746" spans="1:12" ht="33.75" customHeight="1" x14ac:dyDescent="0.25">
      <c r="A1746" s="13" t="s">
        <v>4024</v>
      </c>
      <c r="B1746" s="2" t="s">
        <v>830</v>
      </c>
      <c r="C1746" s="2" t="s">
        <v>2135</v>
      </c>
      <c r="D1746" s="2" t="s">
        <v>4706</v>
      </c>
      <c r="E1746" s="2" t="s">
        <v>4797</v>
      </c>
      <c r="F1746" s="2" t="s">
        <v>832</v>
      </c>
      <c r="G1746" s="2">
        <v>27.925999999999998</v>
      </c>
      <c r="H1746" s="2" t="s">
        <v>4644</v>
      </c>
      <c r="I1746" s="2" t="s">
        <v>4645</v>
      </c>
      <c r="J1746" s="2" t="s">
        <v>4693</v>
      </c>
      <c r="K1746" s="2">
        <v>42</v>
      </c>
      <c r="L1746" s="2" t="s">
        <v>4647</v>
      </c>
    </row>
    <row r="1747" spans="1:12" ht="33.75" customHeight="1" x14ac:dyDescent="0.25">
      <c r="A1747" s="14" t="s">
        <v>4025</v>
      </c>
      <c r="B1747" s="3" t="s">
        <v>57</v>
      </c>
      <c r="C1747" s="3" t="s">
        <v>529</v>
      </c>
      <c r="D1747" s="3" t="s">
        <v>4663</v>
      </c>
      <c r="E1747" s="3" t="s">
        <v>4643</v>
      </c>
      <c r="F1747" s="3" t="s">
        <v>59</v>
      </c>
      <c r="G1747" s="3">
        <v>31.825199999999999</v>
      </c>
      <c r="H1747" s="3" t="s">
        <v>4644</v>
      </c>
      <c r="I1747" s="3" t="s">
        <v>4645</v>
      </c>
      <c r="J1747" s="3" t="s">
        <v>4646</v>
      </c>
      <c r="K1747" s="3">
        <v>21</v>
      </c>
      <c r="L1747" s="3" t="s">
        <v>4647</v>
      </c>
    </row>
    <row r="1748" spans="1:12" ht="33.75" customHeight="1" x14ac:dyDescent="0.25">
      <c r="A1748" s="13" t="s">
        <v>4026</v>
      </c>
      <c r="B1748" s="2" t="s">
        <v>588</v>
      </c>
      <c r="C1748" s="2" t="s">
        <v>4027</v>
      </c>
      <c r="D1748" s="2" t="s">
        <v>4957</v>
      </c>
      <c r="E1748" s="2" t="s">
        <v>4761</v>
      </c>
      <c r="F1748" s="2" t="s">
        <v>590</v>
      </c>
      <c r="G1748" s="2">
        <v>29.869199999999999</v>
      </c>
      <c r="H1748" s="2" t="s">
        <v>4644</v>
      </c>
      <c r="I1748" s="2" t="s">
        <v>4645</v>
      </c>
      <c r="J1748" s="2" t="s">
        <v>4684</v>
      </c>
      <c r="K1748" s="2">
        <v>63</v>
      </c>
      <c r="L1748" s="2" t="s">
        <v>4647</v>
      </c>
    </row>
    <row r="1749" spans="1:12" ht="33.75" customHeight="1" x14ac:dyDescent="0.25">
      <c r="A1749" s="14" t="s">
        <v>4028</v>
      </c>
      <c r="B1749" s="3" t="s">
        <v>1151</v>
      </c>
      <c r="C1749" s="3" t="s">
        <v>4029</v>
      </c>
      <c r="D1749" s="3" t="s">
        <v>4957</v>
      </c>
      <c r="E1749" s="3" t="s">
        <v>4812</v>
      </c>
      <c r="F1749" s="3" t="s">
        <v>1153</v>
      </c>
      <c r="G1749" s="3">
        <v>30.6372</v>
      </c>
      <c r="H1749" s="3" t="s">
        <v>4644</v>
      </c>
      <c r="I1749" s="3" t="s">
        <v>4645</v>
      </c>
      <c r="J1749" s="3" t="s">
        <v>4693</v>
      </c>
      <c r="K1749" s="3">
        <v>72</v>
      </c>
      <c r="L1749" s="3" t="s">
        <v>4647</v>
      </c>
    </row>
    <row r="1750" spans="1:12" ht="33.75" customHeight="1" x14ac:dyDescent="0.25">
      <c r="A1750" s="13" t="s">
        <v>4030</v>
      </c>
      <c r="B1750" s="2" t="s">
        <v>356</v>
      </c>
      <c r="C1750" s="2" t="s">
        <v>4031</v>
      </c>
      <c r="D1750" s="2" t="s">
        <v>4957</v>
      </c>
      <c r="E1750" s="2" t="s">
        <v>4716</v>
      </c>
      <c r="F1750" s="2" t="s">
        <v>358</v>
      </c>
      <c r="G1750" s="2">
        <v>29.5992</v>
      </c>
      <c r="H1750" s="2" t="s">
        <v>4644</v>
      </c>
      <c r="I1750" s="2" t="s">
        <v>4645</v>
      </c>
      <c r="J1750" s="2" t="s">
        <v>4691</v>
      </c>
      <c r="K1750" s="2">
        <v>42</v>
      </c>
      <c r="L1750" s="2" t="s">
        <v>4647</v>
      </c>
    </row>
    <row r="1751" spans="1:12" ht="33.75" customHeight="1" x14ac:dyDescent="0.25">
      <c r="A1751" s="14" t="s">
        <v>4032</v>
      </c>
      <c r="B1751" s="3" t="s">
        <v>390</v>
      </c>
      <c r="C1751" s="3" t="s">
        <v>4033</v>
      </c>
      <c r="D1751" s="3"/>
      <c r="E1751" s="3" t="s">
        <v>4728</v>
      </c>
      <c r="F1751" s="3" t="s">
        <v>392</v>
      </c>
      <c r="G1751" s="3">
        <v>35.367600000000003</v>
      </c>
      <c r="H1751" s="3" t="s">
        <v>4644</v>
      </c>
      <c r="I1751" s="3" t="s">
        <v>4645</v>
      </c>
      <c r="J1751" s="3" t="s">
        <v>4729</v>
      </c>
      <c r="K1751" s="3">
        <v>120</v>
      </c>
      <c r="L1751" s="3" t="s">
        <v>4647</v>
      </c>
    </row>
    <row r="1752" spans="1:12" ht="33.75" customHeight="1" x14ac:dyDescent="0.25">
      <c r="A1752" s="13" t="s">
        <v>4034</v>
      </c>
      <c r="B1752" s="2" t="s">
        <v>89</v>
      </c>
      <c r="C1752" s="2" t="s">
        <v>4035</v>
      </c>
      <c r="D1752" s="2"/>
      <c r="E1752" s="2" t="s">
        <v>4659</v>
      </c>
      <c r="F1752" s="2" t="s">
        <v>91</v>
      </c>
      <c r="G1752" s="2">
        <v>32.389200000000002</v>
      </c>
      <c r="H1752" s="2" t="s">
        <v>4644</v>
      </c>
      <c r="I1752" s="2" t="s">
        <v>4645</v>
      </c>
      <c r="J1752" s="2" t="s">
        <v>4652</v>
      </c>
      <c r="K1752" s="2">
        <v>30</v>
      </c>
      <c r="L1752" s="2" t="s">
        <v>4647</v>
      </c>
    </row>
    <row r="1753" spans="1:12" ht="33.75" customHeight="1" x14ac:dyDescent="0.25">
      <c r="A1753" s="14" t="s">
        <v>4036</v>
      </c>
      <c r="B1753" s="3" t="s">
        <v>1715</v>
      </c>
      <c r="C1753" s="3" t="s">
        <v>4037</v>
      </c>
      <c r="D1753" s="3" t="s">
        <v>5017</v>
      </c>
      <c r="E1753" s="3" t="s">
        <v>4844</v>
      </c>
      <c r="F1753" s="3" t="s">
        <v>1717</v>
      </c>
      <c r="G1753" s="3">
        <v>29.805199999999999</v>
      </c>
      <c r="H1753" s="3" t="s">
        <v>4644</v>
      </c>
      <c r="I1753" s="3" t="s">
        <v>4645</v>
      </c>
      <c r="J1753" s="3" t="s">
        <v>4682</v>
      </c>
      <c r="K1753" s="3">
        <v>57</v>
      </c>
      <c r="L1753" s="3" t="s">
        <v>4647</v>
      </c>
    </row>
    <row r="1754" spans="1:12" ht="33.75" customHeight="1" x14ac:dyDescent="0.25">
      <c r="A1754" s="13" t="s">
        <v>4038</v>
      </c>
      <c r="B1754" s="2" t="s">
        <v>1715</v>
      </c>
      <c r="C1754" s="2" t="s">
        <v>4039</v>
      </c>
      <c r="D1754" s="2" t="s">
        <v>5017</v>
      </c>
      <c r="E1754" s="2" t="s">
        <v>4844</v>
      </c>
      <c r="F1754" s="2" t="s">
        <v>1717</v>
      </c>
      <c r="G1754" s="2">
        <v>29.805199999999999</v>
      </c>
      <c r="H1754" s="2" t="s">
        <v>4644</v>
      </c>
      <c r="I1754" s="2" t="s">
        <v>4645</v>
      </c>
      <c r="J1754" s="2" t="s">
        <v>4682</v>
      </c>
      <c r="K1754" s="2">
        <v>57</v>
      </c>
      <c r="L1754" s="2" t="s">
        <v>4647</v>
      </c>
    </row>
    <row r="1755" spans="1:12" ht="33.75" customHeight="1" x14ac:dyDescent="0.25">
      <c r="A1755" s="14" t="s">
        <v>4040</v>
      </c>
      <c r="B1755" s="3" t="s">
        <v>1715</v>
      </c>
      <c r="C1755" s="3" t="s">
        <v>4041</v>
      </c>
      <c r="D1755" s="3" t="s">
        <v>5017</v>
      </c>
      <c r="E1755" s="3" t="s">
        <v>4844</v>
      </c>
      <c r="F1755" s="3" t="s">
        <v>1717</v>
      </c>
      <c r="G1755" s="3">
        <v>29.805199999999999</v>
      </c>
      <c r="H1755" s="3" t="s">
        <v>4644</v>
      </c>
      <c r="I1755" s="3" t="s">
        <v>4645</v>
      </c>
      <c r="J1755" s="3" t="s">
        <v>4735</v>
      </c>
      <c r="K1755" s="3">
        <v>57</v>
      </c>
      <c r="L1755" s="3" t="s">
        <v>4647</v>
      </c>
    </row>
    <row r="1756" spans="1:12" ht="33.75" customHeight="1" x14ac:dyDescent="0.25">
      <c r="A1756" s="13" t="s">
        <v>4042</v>
      </c>
      <c r="B1756" s="2" t="s">
        <v>4043</v>
      </c>
      <c r="C1756" s="2" t="s">
        <v>4044</v>
      </c>
      <c r="D1756" s="2" t="s">
        <v>5017</v>
      </c>
      <c r="E1756" s="2" t="s">
        <v>5018</v>
      </c>
      <c r="F1756" s="2" t="s">
        <v>4045</v>
      </c>
      <c r="G1756" s="2">
        <v>29.2182</v>
      </c>
      <c r="H1756" s="2" t="s">
        <v>4644</v>
      </c>
      <c r="I1756" s="2" t="s">
        <v>4645</v>
      </c>
      <c r="J1756" s="2" t="s">
        <v>4684</v>
      </c>
      <c r="K1756" s="2">
        <v>51</v>
      </c>
      <c r="L1756" s="2" t="s">
        <v>4647</v>
      </c>
    </row>
    <row r="1757" spans="1:12" ht="33.75" customHeight="1" x14ac:dyDescent="0.25">
      <c r="A1757" s="14" t="s">
        <v>4046</v>
      </c>
      <c r="B1757" s="3" t="s">
        <v>1719</v>
      </c>
      <c r="C1757" s="3" t="s">
        <v>4047</v>
      </c>
      <c r="D1757" s="3" t="s">
        <v>5017</v>
      </c>
      <c r="E1757" s="3" t="s">
        <v>4845</v>
      </c>
      <c r="F1757" s="3" t="s">
        <v>1721</v>
      </c>
      <c r="G1757" s="3">
        <v>29.3232</v>
      </c>
      <c r="H1757" s="3" t="s">
        <v>4644</v>
      </c>
      <c r="I1757" s="3" t="s">
        <v>4645</v>
      </c>
      <c r="J1757" s="3" t="s">
        <v>4695</v>
      </c>
      <c r="K1757" s="3">
        <v>51</v>
      </c>
      <c r="L1757" s="3" t="s">
        <v>4647</v>
      </c>
    </row>
    <row r="1758" spans="1:12" ht="33.75" customHeight="1" x14ac:dyDescent="0.25">
      <c r="A1758" s="13" t="s">
        <v>4048</v>
      </c>
      <c r="B1758" s="2" t="s">
        <v>1723</v>
      </c>
      <c r="C1758" s="2" t="s">
        <v>4049</v>
      </c>
      <c r="D1758" s="2" t="s">
        <v>5017</v>
      </c>
      <c r="E1758" s="2" t="s">
        <v>4846</v>
      </c>
      <c r="F1758" s="2" t="s">
        <v>1725</v>
      </c>
      <c r="G1758" s="2">
        <v>29.0672</v>
      </c>
      <c r="H1758" s="2" t="s">
        <v>4644</v>
      </c>
      <c r="I1758" s="2" t="s">
        <v>4645</v>
      </c>
      <c r="J1758" s="2" t="s">
        <v>4693</v>
      </c>
      <c r="K1758" s="2">
        <v>42</v>
      </c>
      <c r="L1758" s="2" t="s">
        <v>4647</v>
      </c>
    </row>
    <row r="1759" spans="1:12" ht="33.75" customHeight="1" x14ac:dyDescent="0.25">
      <c r="A1759" s="14" t="s">
        <v>4050</v>
      </c>
      <c r="B1759" s="3" t="s">
        <v>1723</v>
      </c>
      <c r="C1759" s="3" t="s">
        <v>4051</v>
      </c>
      <c r="D1759" s="3" t="s">
        <v>5017</v>
      </c>
      <c r="E1759" s="3" t="s">
        <v>4846</v>
      </c>
      <c r="F1759" s="3" t="s">
        <v>1725</v>
      </c>
      <c r="G1759" s="3">
        <v>29.0672</v>
      </c>
      <c r="H1759" s="3" t="s">
        <v>4644</v>
      </c>
      <c r="I1759" s="3" t="s">
        <v>4645</v>
      </c>
      <c r="J1759" s="3" t="s">
        <v>4693</v>
      </c>
      <c r="K1759" s="3">
        <v>42</v>
      </c>
      <c r="L1759" s="3" t="s">
        <v>4647</v>
      </c>
    </row>
    <row r="1760" spans="1:12" ht="33.75" customHeight="1" x14ac:dyDescent="0.25">
      <c r="A1760" s="13" t="s">
        <v>4052</v>
      </c>
      <c r="B1760" s="2" t="s">
        <v>1727</v>
      </c>
      <c r="C1760" s="2" t="s">
        <v>4053</v>
      </c>
      <c r="D1760" s="2" t="s">
        <v>5017</v>
      </c>
      <c r="E1760" s="2" t="s">
        <v>4847</v>
      </c>
      <c r="F1760" s="2" t="s">
        <v>1729</v>
      </c>
      <c r="G1760" s="2">
        <v>29.0792</v>
      </c>
      <c r="H1760" s="2" t="s">
        <v>4644</v>
      </c>
      <c r="I1760" s="2" t="s">
        <v>4645</v>
      </c>
      <c r="J1760" s="2" t="s">
        <v>4697</v>
      </c>
      <c r="K1760" s="2">
        <v>36</v>
      </c>
      <c r="L1760" s="2" t="s">
        <v>4647</v>
      </c>
    </row>
    <row r="1761" spans="1:12" ht="33.75" customHeight="1" x14ac:dyDescent="0.25">
      <c r="A1761" s="14" t="s">
        <v>4054</v>
      </c>
      <c r="B1761" s="3" t="s">
        <v>418</v>
      </c>
      <c r="C1761" s="3" t="s">
        <v>4055</v>
      </c>
      <c r="D1761" s="3" t="s">
        <v>4893</v>
      </c>
      <c r="E1761" s="3" t="s">
        <v>4734</v>
      </c>
      <c r="F1761" s="3" t="s">
        <v>420</v>
      </c>
      <c r="G1761" s="3">
        <v>30.655200000000001</v>
      </c>
      <c r="H1761" s="3" t="s">
        <v>4644</v>
      </c>
      <c r="I1761" s="3" t="s">
        <v>4645</v>
      </c>
      <c r="J1761" s="3" t="s">
        <v>4735</v>
      </c>
      <c r="K1761" s="3">
        <v>72</v>
      </c>
      <c r="L1761" s="3" t="s">
        <v>4647</v>
      </c>
    </row>
    <row r="1762" spans="1:12" ht="33.75" customHeight="1" x14ac:dyDescent="0.25">
      <c r="A1762" s="13" t="s">
        <v>4056</v>
      </c>
      <c r="B1762" s="2" t="s">
        <v>1008</v>
      </c>
      <c r="C1762" s="2" t="s">
        <v>4057</v>
      </c>
      <c r="D1762" s="2" t="s">
        <v>4893</v>
      </c>
      <c r="E1762" s="2" t="s">
        <v>4807</v>
      </c>
      <c r="F1762" s="2" t="s">
        <v>1010</v>
      </c>
      <c r="G1762" s="2">
        <v>30.4892</v>
      </c>
      <c r="H1762" s="2" t="s">
        <v>4644</v>
      </c>
      <c r="I1762" s="2" t="s">
        <v>4645</v>
      </c>
      <c r="J1762" s="2" t="s">
        <v>4710</v>
      </c>
      <c r="K1762" s="2">
        <v>87</v>
      </c>
      <c r="L1762" s="2" t="s">
        <v>4647</v>
      </c>
    </row>
    <row r="1763" spans="1:12" ht="33.75" customHeight="1" x14ac:dyDescent="0.25">
      <c r="A1763" s="14" t="s">
        <v>4058</v>
      </c>
      <c r="B1763" s="3" t="s">
        <v>2137</v>
      </c>
      <c r="C1763" s="3" t="s">
        <v>2138</v>
      </c>
      <c r="D1763" s="3" t="s">
        <v>4706</v>
      </c>
      <c r="E1763" s="3" t="s">
        <v>4885</v>
      </c>
      <c r="F1763" s="3" t="s">
        <v>2139</v>
      </c>
      <c r="G1763" s="3">
        <v>27.925999999999998</v>
      </c>
      <c r="H1763" s="3" t="s">
        <v>4644</v>
      </c>
      <c r="I1763" s="3" t="s">
        <v>4645</v>
      </c>
      <c r="J1763" s="3" t="s">
        <v>4686</v>
      </c>
      <c r="K1763" s="3">
        <v>36</v>
      </c>
      <c r="L1763" s="3" t="s">
        <v>4647</v>
      </c>
    </row>
    <row r="1764" spans="1:12" ht="33.75" customHeight="1" x14ac:dyDescent="0.25">
      <c r="A1764" s="13" t="s">
        <v>4059</v>
      </c>
      <c r="B1764" s="2" t="s">
        <v>2141</v>
      </c>
      <c r="C1764" s="2" t="s">
        <v>2142</v>
      </c>
      <c r="D1764" s="2" t="s">
        <v>4706</v>
      </c>
      <c r="E1764" s="2" t="s">
        <v>4886</v>
      </c>
      <c r="F1764" s="2" t="s">
        <v>2143</v>
      </c>
      <c r="G1764" s="2">
        <v>30.326000000000001</v>
      </c>
      <c r="H1764" s="2" t="s">
        <v>4644</v>
      </c>
      <c r="I1764" s="2" t="s">
        <v>4645</v>
      </c>
      <c r="J1764" s="2" t="s">
        <v>4719</v>
      </c>
      <c r="K1764" s="2">
        <v>63</v>
      </c>
      <c r="L1764" s="2" t="s">
        <v>4647</v>
      </c>
    </row>
    <row r="1765" spans="1:12" ht="33.75" customHeight="1" x14ac:dyDescent="0.25">
      <c r="A1765" s="14" t="s">
        <v>4060</v>
      </c>
      <c r="B1765" s="3" t="s">
        <v>2141</v>
      </c>
      <c r="C1765" s="3" t="s">
        <v>2145</v>
      </c>
      <c r="D1765" s="3" t="s">
        <v>4706</v>
      </c>
      <c r="E1765" s="3" t="s">
        <v>4886</v>
      </c>
      <c r="F1765" s="3" t="s">
        <v>2143</v>
      </c>
      <c r="G1765" s="3">
        <v>30.326000000000001</v>
      </c>
      <c r="H1765" s="3" t="s">
        <v>4644</v>
      </c>
      <c r="I1765" s="3" t="s">
        <v>4645</v>
      </c>
      <c r="J1765" s="3" t="s">
        <v>4719</v>
      </c>
      <c r="K1765" s="3">
        <v>63</v>
      </c>
      <c r="L1765" s="3" t="s">
        <v>4647</v>
      </c>
    </row>
    <row r="1766" spans="1:12" ht="33.75" customHeight="1" x14ac:dyDescent="0.25">
      <c r="A1766" s="13" t="s">
        <v>4061</v>
      </c>
      <c r="B1766" s="2" t="s">
        <v>2147</v>
      </c>
      <c r="C1766" s="2" t="s">
        <v>2148</v>
      </c>
      <c r="D1766" s="2" t="s">
        <v>4706</v>
      </c>
      <c r="E1766" s="2" t="s">
        <v>4887</v>
      </c>
      <c r="F1766" s="2" t="s">
        <v>2149</v>
      </c>
      <c r="G1766" s="2">
        <v>30.326000000000001</v>
      </c>
      <c r="H1766" s="2" t="s">
        <v>4644</v>
      </c>
      <c r="I1766" s="2" t="s">
        <v>4645</v>
      </c>
      <c r="J1766" s="2" t="s">
        <v>4770</v>
      </c>
      <c r="K1766" s="2">
        <v>57</v>
      </c>
      <c r="L1766" s="2" t="s">
        <v>4647</v>
      </c>
    </row>
    <row r="1767" spans="1:12" ht="33.75" customHeight="1" x14ac:dyDescent="0.25">
      <c r="A1767" s="14" t="s">
        <v>4062</v>
      </c>
      <c r="B1767" s="3" t="s">
        <v>2147</v>
      </c>
      <c r="C1767" s="3" t="s">
        <v>2151</v>
      </c>
      <c r="D1767" s="3" t="s">
        <v>4706</v>
      </c>
      <c r="E1767" s="3" t="s">
        <v>4887</v>
      </c>
      <c r="F1767" s="3" t="s">
        <v>2149</v>
      </c>
      <c r="G1767" s="3">
        <v>30.326000000000001</v>
      </c>
      <c r="H1767" s="3" t="s">
        <v>4644</v>
      </c>
      <c r="I1767" s="3" t="s">
        <v>4645</v>
      </c>
      <c r="J1767" s="3" t="s">
        <v>4770</v>
      </c>
      <c r="K1767" s="3">
        <v>57</v>
      </c>
      <c r="L1767" s="3" t="s">
        <v>4647</v>
      </c>
    </row>
    <row r="1768" spans="1:12" ht="33.75" customHeight="1" x14ac:dyDescent="0.25">
      <c r="A1768" s="13" t="s">
        <v>4063</v>
      </c>
      <c r="B1768" s="2" t="s">
        <v>2153</v>
      </c>
      <c r="C1768" s="2" t="s">
        <v>2157</v>
      </c>
      <c r="D1768" s="2" t="s">
        <v>4706</v>
      </c>
      <c r="E1768" s="2" t="s">
        <v>4888</v>
      </c>
      <c r="F1768" s="2" t="s">
        <v>2155</v>
      </c>
      <c r="G1768" s="2">
        <v>30.326000000000001</v>
      </c>
      <c r="H1768" s="2" t="s">
        <v>4644</v>
      </c>
      <c r="I1768" s="2" t="s">
        <v>4645</v>
      </c>
      <c r="J1768" s="2" t="s">
        <v>4721</v>
      </c>
      <c r="K1768" s="2">
        <v>48</v>
      </c>
      <c r="L1768" s="2" t="s">
        <v>4647</v>
      </c>
    </row>
    <row r="1769" spans="1:12" ht="33.75" customHeight="1" x14ac:dyDescent="0.25">
      <c r="A1769" s="14" t="s">
        <v>4064</v>
      </c>
      <c r="B1769" s="3" t="s">
        <v>2153</v>
      </c>
      <c r="C1769" s="3" t="s">
        <v>2154</v>
      </c>
      <c r="D1769" s="3" t="s">
        <v>4706</v>
      </c>
      <c r="E1769" s="3" t="s">
        <v>4888</v>
      </c>
      <c r="F1769" s="3" t="s">
        <v>2155</v>
      </c>
      <c r="G1769" s="3">
        <v>30.326000000000001</v>
      </c>
      <c r="H1769" s="3" t="s">
        <v>4644</v>
      </c>
      <c r="I1769" s="3" t="s">
        <v>4645</v>
      </c>
      <c r="J1769" s="3" t="s">
        <v>4721</v>
      </c>
      <c r="K1769" s="3">
        <v>48</v>
      </c>
      <c r="L1769" s="3" t="s">
        <v>4647</v>
      </c>
    </row>
    <row r="1770" spans="1:12" ht="33.75" customHeight="1" x14ac:dyDescent="0.25">
      <c r="A1770" s="13" t="s">
        <v>4065</v>
      </c>
      <c r="B1770" s="2" t="s">
        <v>1644</v>
      </c>
      <c r="C1770" s="2" t="s">
        <v>4066</v>
      </c>
      <c r="D1770" s="2"/>
      <c r="E1770" s="2" t="s">
        <v>4843</v>
      </c>
      <c r="F1770" s="2" t="s">
        <v>1646</v>
      </c>
      <c r="G1770" s="2">
        <v>33.118510000000001</v>
      </c>
      <c r="H1770" s="2" t="s">
        <v>4644</v>
      </c>
      <c r="I1770" s="2" t="s">
        <v>4645</v>
      </c>
      <c r="J1770" s="2" t="s">
        <v>4729</v>
      </c>
      <c r="K1770" s="2">
        <v>87</v>
      </c>
      <c r="L1770" s="2" t="s">
        <v>4647</v>
      </c>
    </row>
    <row r="1771" spans="1:12" ht="33.75" customHeight="1" x14ac:dyDescent="0.25">
      <c r="A1771" s="14" t="s">
        <v>4067</v>
      </c>
      <c r="B1771" s="3" t="s">
        <v>418</v>
      </c>
      <c r="C1771" s="3" t="s">
        <v>4068</v>
      </c>
      <c r="D1771" s="3" t="s">
        <v>4956</v>
      </c>
      <c r="E1771" s="3" t="s">
        <v>4734</v>
      </c>
      <c r="F1771" s="3" t="s">
        <v>420</v>
      </c>
      <c r="G1771" s="3">
        <v>30.655200000000001</v>
      </c>
      <c r="H1771" s="3" t="s">
        <v>4644</v>
      </c>
      <c r="I1771" s="3" t="s">
        <v>4645</v>
      </c>
      <c r="J1771" s="3" t="s">
        <v>4735</v>
      </c>
      <c r="K1771" s="3">
        <v>72</v>
      </c>
      <c r="L1771" s="3" t="s">
        <v>4647</v>
      </c>
    </row>
    <row r="1772" spans="1:12" ht="33.75" customHeight="1" x14ac:dyDescent="0.25">
      <c r="A1772" s="13" t="s">
        <v>4069</v>
      </c>
      <c r="B1772" s="2" t="s">
        <v>404</v>
      </c>
      <c r="C1772" s="2" t="s">
        <v>4070</v>
      </c>
      <c r="D1772" s="2" t="s">
        <v>4956</v>
      </c>
      <c r="E1772" s="2" t="s">
        <v>4731</v>
      </c>
      <c r="F1772" s="2" t="s">
        <v>406</v>
      </c>
      <c r="G1772" s="2">
        <v>29.999199999999998</v>
      </c>
      <c r="H1772" s="2" t="s">
        <v>4644</v>
      </c>
      <c r="I1772" s="2" t="s">
        <v>4645</v>
      </c>
      <c r="J1772" s="2" t="s">
        <v>4695</v>
      </c>
      <c r="K1772" s="2">
        <v>63</v>
      </c>
      <c r="L1772" s="2" t="s">
        <v>4647</v>
      </c>
    </row>
    <row r="1773" spans="1:12" ht="33.75" customHeight="1" x14ac:dyDescent="0.25">
      <c r="A1773" s="14" t="s">
        <v>4071</v>
      </c>
      <c r="B1773" s="3" t="s">
        <v>2556</v>
      </c>
      <c r="C1773" s="3" t="s">
        <v>4072</v>
      </c>
      <c r="D1773" s="3" t="s">
        <v>4956</v>
      </c>
      <c r="E1773" s="3" t="s">
        <v>4927</v>
      </c>
      <c r="F1773" s="3" t="s">
        <v>2558</v>
      </c>
      <c r="G1773" s="3">
        <v>30.3672</v>
      </c>
      <c r="H1773" s="3" t="s">
        <v>4644</v>
      </c>
      <c r="I1773" s="3" t="s">
        <v>4645</v>
      </c>
      <c r="J1773" s="3" t="s">
        <v>4723</v>
      </c>
      <c r="K1773" s="3">
        <v>72</v>
      </c>
      <c r="L1773" s="3" t="s">
        <v>4647</v>
      </c>
    </row>
    <row r="1774" spans="1:12" ht="33.75" customHeight="1" x14ac:dyDescent="0.25">
      <c r="A1774" s="13" t="s">
        <v>4073</v>
      </c>
      <c r="B1774" s="2" t="s">
        <v>324</v>
      </c>
      <c r="C1774" s="2" t="s">
        <v>3757</v>
      </c>
      <c r="D1774" s="2" t="s">
        <v>4956</v>
      </c>
      <c r="E1774" s="2" t="s">
        <v>4704</v>
      </c>
      <c r="F1774" s="2" t="s">
        <v>326</v>
      </c>
      <c r="G1774" s="2">
        <v>29.719200000000001</v>
      </c>
      <c r="H1774" s="2" t="s">
        <v>4644</v>
      </c>
      <c r="I1774" s="2" t="s">
        <v>4645</v>
      </c>
      <c r="J1774" s="2" t="s">
        <v>4697</v>
      </c>
      <c r="K1774" s="2">
        <v>45</v>
      </c>
      <c r="L1774" s="2" t="s">
        <v>4647</v>
      </c>
    </row>
    <row r="1775" spans="1:12" ht="33.75" customHeight="1" x14ac:dyDescent="0.25">
      <c r="A1775" s="14" t="s">
        <v>4074</v>
      </c>
      <c r="B1775" s="3" t="s">
        <v>77</v>
      </c>
      <c r="C1775" s="3" t="s">
        <v>4075</v>
      </c>
      <c r="D1775" s="3" t="s">
        <v>4956</v>
      </c>
      <c r="E1775" s="3" t="s">
        <v>4654</v>
      </c>
      <c r="F1775" s="3" t="s">
        <v>79</v>
      </c>
      <c r="G1775" s="3">
        <v>31.699200000000001</v>
      </c>
      <c r="H1775" s="3" t="s">
        <v>4644</v>
      </c>
      <c r="I1775" s="3" t="s">
        <v>4645</v>
      </c>
      <c r="J1775" s="3" t="s">
        <v>4650</v>
      </c>
      <c r="K1775" s="3">
        <v>30</v>
      </c>
      <c r="L1775" s="3" t="s">
        <v>4647</v>
      </c>
    </row>
    <row r="1776" spans="1:12" ht="33.75" customHeight="1" x14ac:dyDescent="0.25">
      <c r="A1776" s="13" t="s">
        <v>4076</v>
      </c>
      <c r="B1776" s="2" t="s">
        <v>89</v>
      </c>
      <c r="C1776" s="2" t="s">
        <v>4077</v>
      </c>
      <c r="D1776" s="2" t="s">
        <v>4956</v>
      </c>
      <c r="E1776" s="2" t="s">
        <v>4659</v>
      </c>
      <c r="F1776" s="2" t="s">
        <v>91</v>
      </c>
      <c r="G1776" s="2">
        <v>32.389200000000002</v>
      </c>
      <c r="H1776" s="2" t="s">
        <v>4644</v>
      </c>
      <c r="I1776" s="2" t="s">
        <v>4645</v>
      </c>
      <c r="J1776" s="2" t="s">
        <v>4652</v>
      </c>
      <c r="K1776" s="2">
        <v>30</v>
      </c>
      <c r="L1776" s="2" t="s">
        <v>4647</v>
      </c>
    </row>
    <row r="1777" spans="1:12" ht="33.75" customHeight="1" x14ac:dyDescent="0.25">
      <c r="A1777" s="14" t="s">
        <v>4078</v>
      </c>
      <c r="B1777" s="3" t="s">
        <v>77</v>
      </c>
      <c r="C1777" s="3" t="s">
        <v>4079</v>
      </c>
      <c r="D1777" s="3" t="s">
        <v>4773</v>
      </c>
      <c r="E1777" s="3" t="s">
        <v>4654</v>
      </c>
      <c r="F1777" s="3" t="s">
        <v>79</v>
      </c>
      <c r="G1777" s="3">
        <v>31.699200000000001</v>
      </c>
      <c r="H1777" s="3" t="s">
        <v>4644</v>
      </c>
      <c r="I1777" s="3" t="s">
        <v>4645</v>
      </c>
      <c r="J1777" s="3" t="s">
        <v>4650</v>
      </c>
      <c r="K1777" s="3">
        <v>30</v>
      </c>
      <c r="L1777" s="3" t="s">
        <v>4647</v>
      </c>
    </row>
    <row r="1778" spans="1:12" ht="33.75" customHeight="1" x14ac:dyDescent="0.25">
      <c r="A1778" s="13" t="s">
        <v>4080</v>
      </c>
      <c r="B1778" s="2" t="s">
        <v>386</v>
      </c>
      <c r="C1778" s="2" t="s">
        <v>4081</v>
      </c>
      <c r="D1778" s="2" t="s">
        <v>4773</v>
      </c>
      <c r="E1778" s="2" t="s">
        <v>4727</v>
      </c>
      <c r="F1778" s="2" t="s">
        <v>388</v>
      </c>
      <c r="G1778" s="2">
        <v>33.783799999999999</v>
      </c>
      <c r="H1778" s="2" t="s">
        <v>4644</v>
      </c>
      <c r="I1778" s="2" t="s">
        <v>4645</v>
      </c>
      <c r="J1778" s="2" t="s">
        <v>4721</v>
      </c>
      <c r="K1778" s="2">
        <v>54</v>
      </c>
      <c r="L1778" s="2" t="s">
        <v>4647</v>
      </c>
    </row>
    <row r="1779" spans="1:12" ht="33.75" customHeight="1" x14ac:dyDescent="0.25">
      <c r="A1779" s="14" t="s">
        <v>4082</v>
      </c>
      <c r="B1779" s="3" t="s">
        <v>2556</v>
      </c>
      <c r="C1779" s="3" t="s">
        <v>4083</v>
      </c>
      <c r="D1779" s="3" t="s">
        <v>4773</v>
      </c>
      <c r="E1779" s="3" t="s">
        <v>4927</v>
      </c>
      <c r="F1779" s="3" t="s">
        <v>2558</v>
      </c>
      <c r="G1779" s="3">
        <v>30.3672</v>
      </c>
      <c r="H1779" s="3" t="s">
        <v>4644</v>
      </c>
      <c r="I1779" s="3" t="s">
        <v>4645</v>
      </c>
      <c r="J1779" s="3" t="s">
        <v>4723</v>
      </c>
      <c r="K1779" s="3">
        <v>72</v>
      </c>
      <c r="L1779" s="3" t="s">
        <v>4647</v>
      </c>
    </row>
    <row r="1780" spans="1:12" ht="33.75" customHeight="1" x14ac:dyDescent="0.25">
      <c r="A1780" s="13" t="s">
        <v>4084</v>
      </c>
      <c r="B1780" s="2" t="s">
        <v>794</v>
      </c>
      <c r="C1780" s="2" t="s">
        <v>4085</v>
      </c>
      <c r="D1780" s="2" t="s">
        <v>4773</v>
      </c>
      <c r="E1780" s="2" t="s">
        <v>4791</v>
      </c>
      <c r="F1780" s="2" t="s">
        <v>796</v>
      </c>
      <c r="G1780" s="2">
        <v>34.151200000000003</v>
      </c>
      <c r="H1780" s="2" t="s">
        <v>4644</v>
      </c>
      <c r="I1780" s="2" t="s">
        <v>4645</v>
      </c>
      <c r="J1780" s="2" t="s">
        <v>4770</v>
      </c>
      <c r="K1780" s="2">
        <v>63</v>
      </c>
      <c r="L1780" s="2" t="s">
        <v>4647</v>
      </c>
    </row>
    <row r="1781" spans="1:12" ht="33.75" customHeight="1" x14ac:dyDescent="0.25">
      <c r="A1781" s="14" t="s">
        <v>4086</v>
      </c>
      <c r="B1781" s="3" t="s">
        <v>404</v>
      </c>
      <c r="C1781" s="3" t="s">
        <v>4087</v>
      </c>
      <c r="D1781" s="3" t="s">
        <v>4773</v>
      </c>
      <c r="E1781" s="3" t="s">
        <v>4731</v>
      </c>
      <c r="F1781" s="3" t="s">
        <v>406</v>
      </c>
      <c r="G1781" s="3">
        <v>29.999199999999998</v>
      </c>
      <c r="H1781" s="3" t="s">
        <v>4644</v>
      </c>
      <c r="I1781" s="3" t="s">
        <v>4645</v>
      </c>
      <c r="J1781" s="3" t="s">
        <v>4695</v>
      </c>
      <c r="K1781" s="3">
        <v>63</v>
      </c>
      <c r="L1781" s="3" t="s">
        <v>4647</v>
      </c>
    </row>
    <row r="1782" spans="1:12" ht="33.75" customHeight="1" x14ac:dyDescent="0.25">
      <c r="A1782" s="13" t="s">
        <v>4088</v>
      </c>
      <c r="B1782" s="2" t="s">
        <v>386</v>
      </c>
      <c r="C1782" s="2" t="s">
        <v>4089</v>
      </c>
      <c r="D1782" s="2" t="s">
        <v>4773</v>
      </c>
      <c r="E1782" s="2" t="s">
        <v>4727</v>
      </c>
      <c r="F1782" s="2" t="s">
        <v>388</v>
      </c>
      <c r="G1782" s="2">
        <v>33.783799999999999</v>
      </c>
      <c r="H1782" s="2" t="s">
        <v>4644</v>
      </c>
      <c r="I1782" s="2" t="s">
        <v>4645</v>
      </c>
      <c r="J1782" s="2" t="s">
        <v>4721</v>
      </c>
      <c r="K1782" s="2">
        <v>54</v>
      </c>
      <c r="L1782" s="2" t="s">
        <v>4647</v>
      </c>
    </row>
    <row r="1783" spans="1:12" ht="33.75" customHeight="1" x14ac:dyDescent="0.25">
      <c r="A1783" s="14" t="s">
        <v>4090</v>
      </c>
      <c r="B1783" s="3" t="s">
        <v>2556</v>
      </c>
      <c r="C1783" s="3" t="s">
        <v>4091</v>
      </c>
      <c r="D1783" s="3" t="s">
        <v>4773</v>
      </c>
      <c r="E1783" s="3" t="s">
        <v>4927</v>
      </c>
      <c r="F1783" s="3" t="s">
        <v>2558</v>
      </c>
      <c r="G1783" s="3">
        <v>30.3672</v>
      </c>
      <c r="H1783" s="3" t="s">
        <v>4644</v>
      </c>
      <c r="I1783" s="3" t="s">
        <v>4645</v>
      </c>
      <c r="J1783" s="3" t="s">
        <v>4723</v>
      </c>
      <c r="K1783" s="3">
        <v>72</v>
      </c>
      <c r="L1783" s="3" t="s">
        <v>4647</v>
      </c>
    </row>
    <row r="1784" spans="1:12" ht="33.75" customHeight="1" x14ac:dyDescent="0.25">
      <c r="A1784" s="13" t="s">
        <v>4092</v>
      </c>
      <c r="B1784" s="2" t="s">
        <v>404</v>
      </c>
      <c r="C1784" s="2" t="s">
        <v>4093</v>
      </c>
      <c r="D1784" s="2" t="s">
        <v>4773</v>
      </c>
      <c r="E1784" s="2" t="s">
        <v>4731</v>
      </c>
      <c r="F1784" s="2" t="s">
        <v>406</v>
      </c>
      <c r="G1784" s="2">
        <v>29.999199999999998</v>
      </c>
      <c r="H1784" s="2" t="s">
        <v>4644</v>
      </c>
      <c r="I1784" s="2" t="s">
        <v>4645</v>
      </c>
      <c r="J1784" s="2" t="s">
        <v>4695</v>
      </c>
      <c r="K1784" s="2">
        <v>63</v>
      </c>
      <c r="L1784" s="2" t="s">
        <v>4647</v>
      </c>
    </row>
    <row r="1785" spans="1:12" ht="33.75" customHeight="1" x14ac:dyDescent="0.25">
      <c r="A1785" s="14" t="s">
        <v>4094</v>
      </c>
      <c r="B1785" s="3" t="s">
        <v>2454</v>
      </c>
      <c r="C1785" s="3" t="s">
        <v>4095</v>
      </c>
      <c r="D1785" s="3" t="s">
        <v>4915</v>
      </c>
      <c r="E1785" s="3" t="s">
        <v>4917</v>
      </c>
      <c r="F1785" s="3" t="s">
        <v>2456</v>
      </c>
      <c r="G1785" s="3">
        <v>28.565999999999999</v>
      </c>
      <c r="H1785" s="3" t="s">
        <v>4644</v>
      </c>
      <c r="I1785" s="3" t="s">
        <v>4645</v>
      </c>
      <c r="J1785" s="3" t="s">
        <v>4733</v>
      </c>
      <c r="K1785" s="3">
        <v>96</v>
      </c>
      <c r="L1785" s="3" t="s">
        <v>4647</v>
      </c>
    </row>
    <row r="1786" spans="1:12" ht="33.75" customHeight="1" x14ac:dyDescent="0.25">
      <c r="A1786" s="13" t="s">
        <v>4096</v>
      </c>
      <c r="B1786" s="2" t="s">
        <v>2454</v>
      </c>
      <c r="C1786" s="2" t="s">
        <v>4097</v>
      </c>
      <c r="D1786" s="2" t="s">
        <v>4915</v>
      </c>
      <c r="E1786" s="2" t="s">
        <v>4917</v>
      </c>
      <c r="F1786" s="2" t="s">
        <v>2456</v>
      </c>
      <c r="G1786" s="2">
        <v>28.565999999999999</v>
      </c>
      <c r="H1786" s="2" t="s">
        <v>4644</v>
      </c>
      <c r="I1786" s="2" t="s">
        <v>4645</v>
      </c>
      <c r="J1786" s="2" t="s">
        <v>4733</v>
      </c>
      <c r="K1786" s="2">
        <v>96</v>
      </c>
      <c r="L1786" s="2" t="s">
        <v>4647</v>
      </c>
    </row>
    <row r="1787" spans="1:12" ht="33.75" customHeight="1" x14ac:dyDescent="0.25">
      <c r="A1787" s="14" t="s">
        <v>4098</v>
      </c>
      <c r="B1787" s="3" t="s">
        <v>2458</v>
      </c>
      <c r="C1787" s="3" t="s">
        <v>3537</v>
      </c>
      <c r="D1787" s="3" t="s">
        <v>4915</v>
      </c>
      <c r="E1787" s="3" t="s">
        <v>4918</v>
      </c>
      <c r="F1787" s="3" t="s">
        <v>2460</v>
      </c>
      <c r="G1787" s="3">
        <v>28.126000000000001</v>
      </c>
      <c r="H1787" s="3" t="s">
        <v>4644</v>
      </c>
      <c r="I1787" s="3" t="s">
        <v>4645</v>
      </c>
      <c r="J1787" s="3" t="s">
        <v>4682</v>
      </c>
      <c r="K1787" s="3">
        <v>76</v>
      </c>
      <c r="L1787" s="3" t="s">
        <v>4647</v>
      </c>
    </row>
    <row r="1788" spans="1:12" ht="33.75" customHeight="1" x14ac:dyDescent="0.25">
      <c r="A1788" s="13" t="s">
        <v>4099</v>
      </c>
      <c r="B1788" s="2" t="s">
        <v>2458</v>
      </c>
      <c r="C1788" s="2" t="s">
        <v>4100</v>
      </c>
      <c r="D1788" s="2" t="s">
        <v>4915</v>
      </c>
      <c r="E1788" s="2" t="s">
        <v>4918</v>
      </c>
      <c r="F1788" s="2" t="s">
        <v>2460</v>
      </c>
      <c r="G1788" s="2">
        <v>28.126000000000001</v>
      </c>
      <c r="H1788" s="2" t="s">
        <v>4644</v>
      </c>
      <c r="I1788" s="2" t="s">
        <v>4645</v>
      </c>
      <c r="J1788" s="2" t="s">
        <v>4735</v>
      </c>
      <c r="K1788" s="2">
        <v>76</v>
      </c>
      <c r="L1788" s="2" t="s">
        <v>4647</v>
      </c>
    </row>
    <row r="1789" spans="1:12" ht="33.75" customHeight="1" x14ac:dyDescent="0.25">
      <c r="A1789" s="14" t="s">
        <v>4101</v>
      </c>
      <c r="B1789" s="3" t="s">
        <v>2462</v>
      </c>
      <c r="C1789" s="3" t="s">
        <v>3541</v>
      </c>
      <c r="D1789" s="3" t="s">
        <v>4915</v>
      </c>
      <c r="E1789" s="3" t="s">
        <v>4919</v>
      </c>
      <c r="F1789" s="3" t="s">
        <v>2464</v>
      </c>
      <c r="G1789" s="3">
        <v>28.126000000000001</v>
      </c>
      <c r="H1789" s="3" t="s">
        <v>4644</v>
      </c>
      <c r="I1789" s="3" t="s">
        <v>4645</v>
      </c>
      <c r="J1789" s="3" t="s">
        <v>4684</v>
      </c>
      <c r="K1789" s="3">
        <v>68</v>
      </c>
      <c r="L1789" s="3" t="s">
        <v>4647</v>
      </c>
    </row>
    <row r="1790" spans="1:12" ht="33.75" customHeight="1" x14ac:dyDescent="0.25">
      <c r="A1790" s="13" t="s">
        <v>4102</v>
      </c>
      <c r="B1790" s="2" t="s">
        <v>2462</v>
      </c>
      <c r="C1790" s="2" t="s">
        <v>4103</v>
      </c>
      <c r="D1790" s="2" t="s">
        <v>4915</v>
      </c>
      <c r="E1790" s="2" t="s">
        <v>4919</v>
      </c>
      <c r="F1790" s="2" t="s">
        <v>2464</v>
      </c>
      <c r="G1790" s="2">
        <v>28.126000000000001</v>
      </c>
      <c r="H1790" s="2" t="s">
        <v>4644</v>
      </c>
      <c r="I1790" s="2" t="s">
        <v>4645</v>
      </c>
      <c r="J1790" s="2" t="s">
        <v>4695</v>
      </c>
      <c r="K1790" s="2">
        <v>68</v>
      </c>
      <c r="L1790" s="2" t="s">
        <v>4647</v>
      </c>
    </row>
    <row r="1791" spans="1:12" ht="33.75" customHeight="1" x14ac:dyDescent="0.25">
      <c r="A1791" s="14" t="s">
        <v>4104</v>
      </c>
      <c r="B1791" s="3" t="s">
        <v>2700</v>
      </c>
      <c r="C1791" s="3" t="s">
        <v>3545</v>
      </c>
      <c r="D1791" s="3" t="s">
        <v>4915</v>
      </c>
      <c r="E1791" s="3" t="s">
        <v>4935</v>
      </c>
      <c r="F1791" s="3" t="s">
        <v>2702</v>
      </c>
      <c r="G1791" s="3">
        <v>28.126000000000001</v>
      </c>
      <c r="H1791" s="3" t="s">
        <v>4644</v>
      </c>
      <c r="I1791" s="3" t="s">
        <v>4645</v>
      </c>
      <c r="J1791" s="3" t="s">
        <v>4693</v>
      </c>
      <c r="K1791" s="3">
        <v>56</v>
      </c>
      <c r="L1791" s="3" t="s">
        <v>4647</v>
      </c>
    </row>
    <row r="1792" spans="1:12" ht="33.75" customHeight="1" x14ac:dyDescent="0.25">
      <c r="A1792" s="13" t="s">
        <v>4105</v>
      </c>
      <c r="B1792" s="2" t="s">
        <v>2700</v>
      </c>
      <c r="C1792" s="2" t="s">
        <v>4106</v>
      </c>
      <c r="D1792" s="2" t="s">
        <v>4915</v>
      </c>
      <c r="E1792" s="2" t="s">
        <v>4935</v>
      </c>
      <c r="F1792" s="2" t="s">
        <v>2702</v>
      </c>
      <c r="G1792" s="2">
        <v>28.126000000000001</v>
      </c>
      <c r="H1792" s="2" t="s">
        <v>4644</v>
      </c>
      <c r="I1792" s="2" t="s">
        <v>4645</v>
      </c>
      <c r="J1792" s="2" t="s">
        <v>4723</v>
      </c>
      <c r="K1792" s="2">
        <v>56</v>
      </c>
      <c r="L1792" s="2" t="s">
        <v>4647</v>
      </c>
    </row>
    <row r="1793" spans="1:12" ht="33.75" customHeight="1" x14ac:dyDescent="0.25">
      <c r="A1793" s="14" t="s">
        <v>4107</v>
      </c>
      <c r="B1793" s="3" t="s">
        <v>3547</v>
      </c>
      <c r="C1793" s="3" t="s">
        <v>4108</v>
      </c>
      <c r="D1793" s="3" t="s">
        <v>4915</v>
      </c>
      <c r="E1793" s="3" t="s">
        <v>4986</v>
      </c>
      <c r="F1793" s="3" t="s">
        <v>3549</v>
      </c>
      <c r="G1793" s="3">
        <v>28.126000000000001</v>
      </c>
      <c r="H1793" s="3" t="s">
        <v>4644</v>
      </c>
      <c r="I1793" s="3" t="s">
        <v>4645</v>
      </c>
      <c r="J1793" s="3" t="s">
        <v>4697</v>
      </c>
      <c r="K1793" s="3">
        <v>48</v>
      </c>
      <c r="L1793" s="3" t="s">
        <v>4647</v>
      </c>
    </row>
    <row r="1794" spans="1:12" ht="33.75" customHeight="1" x14ac:dyDescent="0.25">
      <c r="A1794" s="13" t="s">
        <v>4109</v>
      </c>
      <c r="B1794" s="2" t="s">
        <v>2137</v>
      </c>
      <c r="C1794" s="2" t="s">
        <v>4110</v>
      </c>
      <c r="D1794" s="2" t="s">
        <v>4915</v>
      </c>
      <c r="E1794" s="2" t="s">
        <v>4885</v>
      </c>
      <c r="F1794" s="2" t="s">
        <v>2139</v>
      </c>
      <c r="G1794" s="2">
        <v>27.925999999999998</v>
      </c>
      <c r="H1794" s="2" t="s">
        <v>4644</v>
      </c>
      <c r="I1794" s="2" t="s">
        <v>4645</v>
      </c>
      <c r="J1794" s="2" t="s">
        <v>4691</v>
      </c>
      <c r="K1794" s="2">
        <v>36</v>
      </c>
      <c r="L1794" s="2" t="s">
        <v>4647</v>
      </c>
    </row>
    <row r="1795" spans="1:12" ht="33.75" customHeight="1" x14ac:dyDescent="0.25">
      <c r="A1795" s="14" t="s">
        <v>4111</v>
      </c>
      <c r="B1795" s="3" t="s">
        <v>794</v>
      </c>
      <c r="C1795" s="3" t="s">
        <v>4112</v>
      </c>
      <c r="D1795" s="3" t="s">
        <v>4956</v>
      </c>
      <c r="E1795" s="3" t="s">
        <v>4791</v>
      </c>
      <c r="F1795" s="3" t="s">
        <v>796</v>
      </c>
      <c r="G1795" s="3">
        <v>34.151200000000003</v>
      </c>
      <c r="H1795" s="3" t="s">
        <v>4644</v>
      </c>
      <c r="I1795" s="3" t="s">
        <v>4645</v>
      </c>
      <c r="J1795" s="3" t="s">
        <v>4770</v>
      </c>
      <c r="K1795" s="3">
        <v>63</v>
      </c>
      <c r="L1795" s="3" t="s">
        <v>4647</v>
      </c>
    </row>
    <row r="1796" spans="1:12" ht="33.75" customHeight="1" x14ac:dyDescent="0.25">
      <c r="A1796" s="13" t="s">
        <v>4113</v>
      </c>
      <c r="B1796" s="2" t="s">
        <v>226</v>
      </c>
      <c r="C1796" s="2" t="s">
        <v>4114</v>
      </c>
      <c r="D1796" s="2" t="s">
        <v>5005</v>
      </c>
      <c r="E1796" s="2" t="s">
        <v>4688</v>
      </c>
      <c r="F1796" s="2" t="s">
        <v>228</v>
      </c>
      <c r="G1796" s="2">
        <v>30.6632</v>
      </c>
      <c r="H1796" s="2" t="s">
        <v>4644</v>
      </c>
      <c r="I1796" s="2" t="s">
        <v>4645</v>
      </c>
      <c r="J1796" s="2" t="s">
        <v>4650</v>
      </c>
      <c r="K1796" s="2">
        <v>24</v>
      </c>
      <c r="L1796" s="2" t="s">
        <v>4647</v>
      </c>
    </row>
    <row r="1797" spans="1:12" ht="33.75" customHeight="1" x14ac:dyDescent="0.25">
      <c r="A1797" s="14" t="s">
        <v>4115</v>
      </c>
      <c r="B1797" s="3" t="s">
        <v>112</v>
      </c>
      <c r="C1797" s="3" t="s">
        <v>4116</v>
      </c>
      <c r="D1797" s="3" t="s">
        <v>5005</v>
      </c>
      <c r="E1797" s="3" t="s">
        <v>4660</v>
      </c>
      <c r="F1797" s="3" t="s">
        <v>114</v>
      </c>
      <c r="G1797" s="3">
        <v>30.7682</v>
      </c>
      <c r="H1797" s="3" t="s">
        <v>4644</v>
      </c>
      <c r="I1797" s="3" t="s">
        <v>4645</v>
      </c>
      <c r="J1797" s="3" t="s">
        <v>4652</v>
      </c>
      <c r="K1797" s="3">
        <v>21</v>
      </c>
      <c r="L1797" s="3" t="s">
        <v>4647</v>
      </c>
    </row>
    <row r="1798" spans="1:12" ht="33.75" customHeight="1" x14ac:dyDescent="0.25">
      <c r="A1798" s="13" t="s">
        <v>4117</v>
      </c>
      <c r="B1798" s="2" t="s">
        <v>112</v>
      </c>
      <c r="C1798" s="2" t="s">
        <v>3968</v>
      </c>
      <c r="D1798" s="2" t="s">
        <v>5005</v>
      </c>
      <c r="E1798" s="2" t="s">
        <v>4660</v>
      </c>
      <c r="F1798" s="2" t="s">
        <v>114</v>
      </c>
      <c r="G1798" s="2">
        <v>30.7682</v>
      </c>
      <c r="H1798" s="2" t="s">
        <v>4644</v>
      </c>
      <c r="I1798" s="2" t="s">
        <v>4645</v>
      </c>
      <c r="J1798" s="2" t="s">
        <v>4652</v>
      </c>
      <c r="K1798" s="2">
        <v>21</v>
      </c>
      <c r="L1798" s="2" t="s">
        <v>4647</v>
      </c>
    </row>
    <row r="1799" spans="1:12" ht="33.75" customHeight="1" x14ac:dyDescent="0.25">
      <c r="A1799" s="14" t="s">
        <v>4118</v>
      </c>
      <c r="B1799" s="3" t="s">
        <v>89</v>
      </c>
      <c r="C1799" s="3" t="s">
        <v>4119</v>
      </c>
      <c r="D1799" s="3"/>
      <c r="E1799" s="3" t="s">
        <v>4659</v>
      </c>
      <c r="F1799" s="3" t="s">
        <v>91</v>
      </c>
      <c r="G1799" s="3">
        <v>32.389200000000002</v>
      </c>
      <c r="H1799" s="3" t="s">
        <v>4644</v>
      </c>
      <c r="I1799" s="3" t="s">
        <v>4645</v>
      </c>
      <c r="J1799" s="3" t="s">
        <v>4652</v>
      </c>
      <c r="K1799" s="3">
        <v>30</v>
      </c>
      <c r="L1799" s="3" t="s">
        <v>4647</v>
      </c>
    </row>
    <row r="1800" spans="1:12" ht="33.75" customHeight="1" x14ac:dyDescent="0.25">
      <c r="A1800" s="13" t="s">
        <v>4120</v>
      </c>
      <c r="B1800" s="2" t="s">
        <v>3124</v>
      </c>
      <c r="C1800" s="2" t="s">
        <v>4121</v>
      </c>
      <c r="D1800" s="2" t="s">
        <v>4893</v>
      </c>
      <c r="E1800" s="2" t="s">
        <v>4959</v>
      </c>
      <c r="F1800" s="2" t="s">
        <v>3126</v>
      </c>
      <c r="G1800" s="2">
        <v>34.070599999999999</v>
      </c>
      <c r="H1800" s="2" t="s">
        <v>4644</v>
      </c>
      <c r="I1800" s="2" t="s">
        <v>4645</v>
      </c>
      <c r="J1800" s="2" t="s">
        <v>4721</v>
      </c>
      <c r="K1800" s="2">
        <v>54</v>
      </c>
      <c r="L1800" s="2" t="s">
        <v>4647</v>
      </c>
    </row>
    <row r="1801" spans="1:12" ht="33.75" customHeight="1" x14ac:dyDescent="0.25">
      <c r="A1801" s="14" t="s">
        <v>4122</v>
      </c>
      <c r="B1801" s="3" t="s">
        <v>665</v>
      </c>
      <c r="C1801" s="3" t="s">
        <v>4123</v>
      </c>
      <c r="D1801" s="3" t="s">
        <v>4864</v>
      </c>
      <c r="E1801" s="3" t="s">
        <v>4777</v>
      </c>
      <c r="F1801" s="3" t="s">
        <v>667</v>
      </c>
      <c r="G1801" s="3">
        <v>29.432400000000001</v>
      </c>
      <c r="H1801" s="3" t="s">
        <v>4644</v>
      </c>
      <c r="I1801" s="3" t="s">
        <v>4645</v>
      </c>
      <c r="J1801" s="3" t="s">
        <v>4697</v>
      </c>
      <c r="K1801" s="3">
        <v>45</v>
      </c>
      <c r="L1801" s="3" t="s">
        <v>4647</v>
      </c>
    </row>
    <row r="1802" spans="1:12" ht="33.75" customHeight="1" x14ac:dyDescent="0.25">
      <c r="A1802" s="13" t="s">
        <v>4124</v>
      </c>
      <c r="B1802" s="2" t="s">
        <v>677</v>
      </c>
      <c r="C1802" s="2" t="s">
        <v>4125</v>
      </c>
      <c r="D1802" s="2" t="s">
        <v>4864</v>
      </c>
      <c r="E1802" s="2" t="s">
        <v>4780</v>
      </c>
      <c r="F1802" s="2" t="s">
        <v>679</v>
      </c>
      <c r="G1802" s="2">
        <v>30.3504</v>
      </c>
      <c r="H1802" s="2" t="s">
        <v>4644</v>
      </c>
      <c r="I1802" s="2" t="s">
        <v>4645</v>
      </c>
      <c r="J1802" s="2" t="s">
        <v>4723</v>
      </c>
      <c r="K1802" s="2">
        <v>72</v>
      </c>
      <c r="L1802" s="2" t="s">
        <v>4647</v>
      </c>
    </row>
    <row r="1803" spans="1:12" ht="33.75" customHeight="1" x14ac:dyDescent="0.25">
      <c r="A1803" s="14" t="s">
        <v>4126</v>
      </c>
      <c r="B1803" s="3" t="s">
        <v>650</v>
      </c>
      <c r="C1803" s="3" t="s">
        <v>4127</v>
      </c>
      <c r="D1803" s="3" t="s">
        <v>4864</v>
      </c>
      <c r="E1803" s="3" t="s">
        <v>4775</v>
      </c>
      <c r="F1803" s="3" t="s">
        <v>652</v>
      </c>
      <c r="G1803" s="3">
        <v>33.497</v>
      </c>
      <c r="H1803" s="3" t="s">
        <v>4644</v>
      </c>
      <c r="I1803" s="3" t="s">
        <v>4645</v>
      </c>
      <c r="J1803" s="3" t="s">
        <v>4721</v>
      </c>
      <c r="K1803" s="3">
        <v>54</v>
      </c>
      <c r="L1803" s="3" t="s">
        <v>4647</v>
      </c>
    </row>
    <row r="1804" spans="1:12" ht="33.75" customHeight="1" x14ac:dyDescent="0.25">
      <c r="A1804" s="13" t="s">
        <v>4128</v>
      </c>
      <c r="B1804" s="2" t="s">
        <v>4129</v>
      </c>
      <c r="C1804" s="2" t="s">
        <v>4130</v>
      </c>
      <c r="D1804" s="2" t="s">
        <v>4771</v>
      </c>
      <c r="E1804" s="2" t="s">
        <v>5019</v>
      </c>
      <c r="F1804" s="2" t="s">
        <v>4131</v>
      </c>
      <c r="G1804" s="2">
        <v>28.007480000000001</v>
      </c>
      <c r="H1804" s="2" t="s">
        <v>4644</v>
      </c>
      <c r="I1804" s="2" t="s">
        <v>4645</v>
      </c>
      <c r="J1804" s="2" t="s">
        <v>4726</v>
      </c>
      <c r="K1804" s="2">
        <v>81</v>
      </c>
      <c r="L1804" s="2" t="s">
        <v>4668</v>
      </c>
    </row>
    <row r="1805" spans="1:12" ht="33.75" customHeight="1" x14ac:dyDescent="0.25">
      <c r="A1805" s="14" t="s">
        <v>4132</v>
      </c>
      <c r="B1805" s="3" t="s">
        <v>4129</v>
      </c>
      <c r="C1805" s="3" t="s">
        <v>4133</v>
      </c>
      <c r="D1805" s="3" t="s">
        <v>4771</v>
      </c>
      <c r="E1805" s="3" t="s">
        <v>5019</v>
      </c>
      <c r="F1805" s="3" t="s">
        <v>4131</v>
      </c>
      <c r="G1805" s="3">
        <v>28.007480000000001</v>
      </c>
      <c r="H1805" s="3" t="s">
        <v>4644</v>
      </c>
      <c r="I1805" s="3" t="s">
        <v>4645</v>
      </c>
      <c r="J1805" s="3" t="s">
        <v>4726</v>
      </c>
      <c r="K1805" s="3">
        <v>81</v>
      </c>
      <c r="L1805" s="3" t="s">
        <v>4668</v>
      </c>
    </row>
    <row r="1806" spans="1:12" ht="33.75" customHeight="1" x14ac:dyDescent="0.25">
      <c r="A1806" s="13" t="s">
        <v>4134</v>
      </c>
      <c r="B1806" s="2" t="s">
        <v>4135</v>
      </c>
      <c r="C1806" s="2" t="s">
        <v>4136</v>
      </c>
      <c r="D1806" s="2" t="s">
        <v>4771</v>
      </c>
      <c r="E1806" s="2" t="s">
        <v>5020</v>
      </c>
      <c r="F1806" s="2" t="s">
        <v>4137</v>
      </c>
      <c r="G1806" s="2">
        <v>28.257760000000001</v>
      </c>
      <c r="H1806" s="2" t="s">
        <v>4644</v>
      </c>
      <c r="I1806" s="2" t="s">
        <v>4645</v>
      </c>
      <c r="J1806" s="2" t="s">
        <v>4733</v>
      </c>
      <c r="K1806" s="2">
        <v>72</v>
      </c>
      <c r="L1806" s="2" t="s">
        <v>4668</v>
      </c>
    </row>
    <row r="1807" spans="1:12" ht="33.75" customHeight="1" x14ac:dyDescent="0.25">
      <c r="A1807" s="14" t="s">
        <v>4138</v>
      </c>
      <c r="B1807" s="3" t="s">
        <v>4139</v>
      </c>
      <c r="C1807" s="3" t="s">
        <v>4140</v>
      </c>
      <c r="D1807" s="3" t="s">
        <v>4771</v>
      </c>
      <c r="E1807" s="3" t="s">
        <v>5021</v>
      </c>
      <c r="F1807" s="3" t="s">
        <v>4141</v>
      </c>
      <c r="G1807" s="3">
        <v>27.981560000000002</v>
      </c>
      <c r="H1807" s="3" t="s">
        <v>4644</v>
      </c>
      <c r="I1807" s="3" t="s">
        <v>4645</v>
      </c>
      <c r="J1807" s="3" t="s">
        <v>4770</v>
      </c>
      <c r="K1807" s="3">
        <v>57</v>
      </c>
      <c r="L1807" s="3" t="s">
        <v>4668</v>
      </c>
    </row>
    <row r="1808" spans="1:12" ht="33.75" customHeight="1" x14ac:dyDescent="0.25">
      <c r="A1808" s="13" t="s">
        <v>4142</v>
      </c>
      <c r="B1808" s="2" t="s">
        <v>4143</v>
      </c>
      <c r="C1808" s="2" t="s">
        <v>4144</v>
      </c>
      <c r="D1808" s="2" t="s">
        <v>4687</v>
      </c>
      <c r="E1808" s="2" t="s">
        <v>4867</v>
      </c>
      <c r="F1808" s="2" t="s">
        <v>4145</v>
      </c>
      <c r="G1808" s="2">
        <v>27.7424</v>
      </c>
      <c r="H1808" s="2" t="s">
        <v>4644</v>
      </c>
      <c r="I1808" s="2" t="s">
        <v>4645</v>
      </c>
      <c r="J1808" s="2" t="s">
        <v>4691</v>
      </c>
      <c r="K1808" s="2">
        <v>36</v>
      </c>
      <c r="L1808" s="2" t="s">
        <v>4668</v>
      </c>
    </row>
    <row r="1809" spans="1:12" ht="33.75" customHeight="1" x14ac:dyDescent="0.25">
      <c r="A1809" s="14" t="s">
        <v>4146</v>
      </c>
      <c r="B1809" s="3" t="s">
        <v>156</v>
      </c>
      <c r="C1809" s="3" t="s">
        <v>4147</v>
      </c>
      <c r="D1809" s="3" t="s">
        <v>4687</v>
      </c>
      <c r="E1809" s="3" t="s">
        <v>4670</v>
      </c>
      <c r="F1809" s="3" t="s">
        <v>158</v>
      </c>
      <c r="G1809" s="3">
        <v>30.987200000000001</v>
      </c>
      <c r="H1809" s="3" t="s">
        <v>4644</v>
      </c>
      <c r="I1809" s="3" t="s">
        <v>4645</v>
      </c>
      <c r="J1809" s="3" t="s">
        <v>4646</v>
      </c>
      <c r="K1809" s="3">
        <v>18</v>
      </c>
      <c r="L1809" s="3" t="s">
        <v>4647</v>
      </c>
    </row>
    <row r="1810" spans="1:12" ht="33.75" customHeight="1" x14ac:dyDescent="0.25">
      <c r="A1810" s="13" t="s">
        <v>4148</v>
      </c>
      <c r="B1810" s="2" t="s">
        <v>632</v>
      </c>
      <c r="C1810" s="2" t="s">
        <v>4149</v>
      </c>
      <c r="D1810" s="2" t="s">
        <v>4771</v>
      </c>
      <c r="E1810" s="2" t="s">
        <v>4772</v>
      </c>
      <c r="F1810" s="2" t="s">
        <v>634</v>
      </c>
      <c r="G1810" s="2">
        <v>27.795079999999999</v>
      </c>
      <c r="H1810" s="2" t="s">
        <v>4644</v>
      </c>
      <c r="I1810" s="2" t="s">
        <v>4645</v>
      </c>
      <c r="J1810" s="2" t="s">
        <v>4695</v>
      </c>
      <c r="K1810" s="2">
        <v>51</v>
      </c>
      <c r="L1810" s="2" t="s">
        <v>4668</v>
      </c>
    </row>
    <row r="1811" spans="1:12" ht="33.75" customHeight="1" x14ac:dyDescent="0.25">
      <c r="A1811" s="14" t="s">
        <v>4150</v>
      </c>
      <c r="B1811" s="3" t="s">
        <v>1813</v>
      </c>
      <c r="C1811" s="3" t="s">
        <v>4151</v>
      </c>
      <c r="D1811" s="3" t="s">
        <v>4771</v>
      </c>
      <c r="E1811" s="3" t="s">
        <v>4862</v>
      </c>
      <c r="F1811" s="3" t="s">
        <v>1815</v>
      </c>
      <c r="G1811" s="3">
        <v>27.785360000000001</v>
      </c>
      <c r="H1811" s="3" t="s">
        <v>4644</v>
      </c>
      <c r="I1811" s="3" t="s">
        <v>4645</v>
      </c>
      <c r="J1811" s="3" t="s">
        <v>4693</v>
      </c>
      <c r="K1811" s="3">
        <v>42</v>
      </c>
      <c r="L1811" s="3" t="s">
        <v>4668</v>
      </c>
    </row>
    <row r="1812" spans="1:12" ht="33.75" customHeight="1" x14ac:dyDescent="0.25">
      <c r="A1812" s="13" t="s">
        <v>4152</v>
      </c>
      <c r="B1812" s="2" t="s">
        <v>1813</v>
      </c>
      <c r="C1812" s="2" t="s">
        <v>4153</v>
      </c>
      <c r="D1812" s="2" t="s">
        <v>4771</v>
      </c>
      <c r="E1812" s="2" t="s">
        <v>4862</v>
      </c>
      <c r="F1812" s="2" t="s">
        <v>1815</v>
      </c>
      <c r="G1812" s="2">
        <v>27.785360000000001</v>
      </c>
      <c r="H1812" s="2" t="s">
        <v>4644</v>
      </c>
      <c r="I1812" s="2" t="s">
        <v>4645</v>
      </c>
      <c r="J1812" s="2" t="s">
        <v>4723</v>
      </c>
      <c r="K1812" s="2">
        <v>42</v>
      </c>
      <c r="L1812" s="2" t="s">
        <v>4668</v>
      </c>
    </row>
    <row r="1813" spans="1:12" ht="33.75" customHeight="1" x14ac:dyDescent="0.25">
      <c r="A1813" s="14" t="s">
        <v>4154</v>
      </c>
      <c r="B1813" s="3" t="s">
        <v>4155</v>
      </c>
      <c r="C1813" s="3" t="s">
        <v>4156</v>
      </c>
      <c r="D1813" s="3" t="s">
        <v>4771</v>
      </c>
      <c r="E1813" s="3" t="s">
        <v>5022</v>
      </c>
      <c r="F1813" s="3" t="s">
        <v>4157</v>
      </c>
      <c r="G1813" s="3">
        <v>27.97184</v>
      </c>
      <c r="H1813" s="3" t="s">
        <v>4644</v>
      </c>
      <c r="I1813" s="3" t="s">
        <v>4645</v>
      </c>
      <c r="J1813" s="3" t="s">
        <v>4721</v>
      </c>
      <c r="K1813" s="3">
        <v>48</v>
      </c>
      <c r="L1813" s="3" t="s">
        <v>4668</v>
      </c>
    </row>
    <row r="1814" spans="1:12" ht="33.75" customHeight="1" x14ac:dyDescent="0.25">
      <c r="A1814" s="13" t="s">
        <v>4158</v>
      </c>
      <c r="B1814" s="2" t="s">
        <v>1817</v>
      </c>
      <c r="C1814" s="2" t="s">
        <v>4159</v>
      </c>
      <c r="D1814" s="2" t="s">
        <v>4771</v>
      </c>
      <c r="E1814" s="2" t="s">
        <v>4863</v>
      </c>
      <c r="F1814" s="2" t="s">
        <v>1819</v>
      </c>
      <c r="G1814" s="2">
        <v>29.366</v>
      </c>
      <c r="H1814" s="2" t="s">
        <v>4644</v>
      </c>
      <c r="I1814" s="2" t="s">
        <v>4645</v>
      </c>
      <c r="J1814" s="2" t="s">
        <v>4697</v>
      </c>
      <c r="K1814" s="2">
        <v>36</v>
      </c>
      <c r="L1814" s="2" t="s">
        <v>4647</v>
      </c>
    </row>
    <row r="1815" spans="1:12" ht="33.75" customHeight="1" x14ac:dyDescent="0.25">
      <c r="A1815" s="14" t="s">
        <v>4160</v>
      </c>
      <c r="B1815" s="3" t="s">
        <v>1817</v>
      </c>
      <c r="C1815" s="3" t="s">
        <v>4161</v>
      </c>
      <c r="D1815" s="3" t="s">
        <v>4771</v>
      </c>
      <c r="E1815" s="3" t="s">
        <v>4863</v>
      </c>
      <c r="F1815" s="3" t="s">
        <v>1819</v>
      </c>
      <c r="G1815" s="3">
        <v>29.366</v>
      </c>
      <c r="H1815" s="3" t="s">
        <v>4644</v>
      </c>
      <c r="I1815" s="3" t="s">
        <v>4645</v>
      </c>
      <c r="J1815" s="3" t="s">
        <v>4697</v>
      </c>
      <c r="K1815" s="3">
        <v>36</v>
      </c>
      <c r="L1815" s="3" t="s">
        <v>4647</v>
      </c>
    </row>
    <row r="1816" spans="1:12" ht="33.75" customHeight="1" x14ac:dyDescent="0.25">
      <c r="A1816" s="13" t="s">
        <v>4162</v>
      </c>
      <c r="B1816" s="2" t="s">
        <v>1817</v>
      </c>
      <c r="C1816" s="2" t="s">
        <v>4163</v>
      </c>
      <c r="D1816" s="2" t="s">
        <v>4771</v>
      </c>
      <c r="E1816" s="2" t="s">
        <v>4863</v>
      </c>
      <c r="F1816" s="2" t="s">
        <v>1819</v>
      </c>
      <c r="G1816" s="2">
        <v>29.366</v>
      </c>
      <c r="H1816" s="2" t="s">
        <v>4644</v>
      </c>
      <c r="I1816" s="2" t="s">
        <v>4645</v>
      </c>
      <c r="J1816" s="2" t="s">
        <v>4697</v>
      </c>
      <c r="K1816" s="2">
        <v>36</v>
      </c>
      <c r="L1816" s="2" t="s">
        <v>4647</v>
      </c>
    </row>
    <row r="1817" spans="1:12" ht="33.75" customHeight="1" x14ac:dyDescent="0.25">
      <c r="A1817" s="14" t="s">
        <v>4164</v>
      </c>
      <c r="B1817" s="3" t="s">
        <v>4165</v>
      </c>
      <c r="C1817" s="3" t="s">
        <v>4166</v>
      </c>
      <c r="D1817" s="3" t="s">
        <v>4771</v>
      </c>
      <c r="E1817" s="3" t="s">
        <v>5023</v>
      </c>
      <c r="F1817" s="3" t="s">
        <v>4167</v>
      </c>
      <c r="G1817" s="3">
        <v>27.958880000000001</v>
      </c>
      <c r="H1817" s="3" t="s">
        <v>4644</v>
      </c>
      <c r="I1817" s="3" t="s">
        <v>4645</v>
      </c>
      <c r="J1817" s="3" t="s">
        <v>4656</v>
      </c>
      <c r="K1817" s="3">
        <v>36</v>
      </c>
      <c r="L1817" s="3" t="s">
        <v>4668</v>
      </c>
    </row>
    <row r="1818" spans="1:12" ht="33.75" customHeight="1" x14ac:dyDescent="0.25">
      <c r="A1818" s="13" t="s">
        <v>4168</v>
      </c>
      <c r="B1818" s="2" t="s">
        <v>1817</v>
      </c>
      <c r="C1818" s="2" t="s">
        <v>4169</v>
      </c>
      <c r="D1818" s="2" t="s">
        <v>4771</v>
      </c>
      <c r="E1818" s="2" t="s">
        <v>4863</v>
      </c>
      <c r="F1818" s="2" t="s">
        <v>1819</v>
      </c>
      <c r="G1818" s="2">
        <v>29.366</v>
      </c>
      <c r="H1818" s="2" t="s">
        <v>4644</v>
      </c>
      <c r="I1818" s="2" t="s">
        <v>4645</v>
      </c>
      <c r="J1818" s="2" t="s">
        <v>4691</v>
      </c>
      <c r="K1818" s="2">
        <v>36</v>
      </c>
      <c r="L1818" s="2" t="s">
        <v>4647</v>
      </c>
    </row>
    <row r="1819" spans="1:12" ht="33.75" customHeight="1" x14ac:dyDescent="0.25">
      <c r="A1819" s="14" t="s">
        <v>4170</v>
      </c>
      <c r="B1819" s="3" t="s">
        <v>4171</v>
      </c>
      <c r="C1819" s="3" t="s">
        <v>4172</v>
      </c>
      <c r="D1819" s="3" t="s">
        <v>4771</v>
      </c>
      <c r="E1819" s="3" t="s">
        <v>5024</v>
      </c>
      <c r="F1819" s="3" t="s">
        <v>4173</v>
      </c>
      <c r="G1819" s="3">
        <v>27.378879999999999</v>
      </c>
      <c r="H1819" s="3" t="s">
        <v>4644</v>
      </c>
      <c r="I1819" s="3" t="s">
        <v>4645</v>
      </c>
      <c r="J1819" s="3" t="s">
        <v>4691</v>
      </c>
      <c r="K1819" s="3">
        <v>36</v>
      </c>
      <c r="L1819" s="3" t="s">
        <v>4668</v>
      </c>
    </row>
    <row r="1820" spans="1:12" ht="33.75" customHeight="1" x14ac:dyDescent="0.25">
      <c r="A1820" s="13" t="s">
        <v>4174</v>
      </c>
      <c r="B1820" s="2" t="s">
        <v>4175</v>
      </c>
      <c r="C1820" s="2" t="s">
        <v>4176</v>
      </c>
      <c r="D1820" s="2" t="s">
        <v>4771</v>
      </c>
      <c r="E1820" s="2" t="s">
        <v>5025</v>
      </c>
      <c r="F1820" s="2" t="s">
        <v>4177</v>
      </c>
      <c r="G1820" s="2">
        <v>29.469919999999998</v>
      </c>
      <c r="H1820" s="2" t="s">
        <v>4644</v>
      </c>
      <c r="I1820" s="2" t="s">
        <v>4645</v>
      </c>
      <c r="J1820" s="2" t="s">
        <v>4650</v>
      </c>
      <c r="K1820" s="2">
        <v>24</v>
      </c>
      <c r="L1820" s="2" t="s">
        <v>4668</v>
      </c>
    </row>
    <row r="1821" spans="1:12" ht="33.75" customHeight="1" x14ac:dyDescent="0.25">
      <c r="A1821" s="14" t="s">
        <v>4178</v>
      </c>
      <c r="B1821" s="3" t="s">
        <v>4179</v>
      </c>
      <c r="C1821" s="3" t="s">
        <v>4180</v>
      </c>
      <c r="D1821" s="3" t="s">
        <v>4771</v>
      </c>
      <c r="E1821" s="3" t="s">
        <v>5026</v>
      </c>
      <c r="F1821" s="3" t="s">
        <v>4181</v>
      </c>
      <c r="G1821" s="3">
        <v>29.73668</v>
      </c>
      <c r="H1821" s="3" t="s">
        <v>4644</v>
      </c>
      <c r="I1821" s="3" t="s">
        <v>4645</v>
      </c>
      <c r="J1821" s="3" t="s">
        <v>4652</v>
      </c>
      <c r="K1821" s="3">
        <v>21</v>
      </c>
      <c r="L1821" s="3" t="s">
        <v>4668</v>
      </c>
    </row>
    <row r="1822" spans="1:12" ht="33.75" customHeight="1" x14ac:dyDescent="0.25">
      <c r="A1822" s="13" t="s">
        <v>4182</v>
      </c>
      <c r="B1822" s="2" t="s">
        <v>4183</v>
      </c>
      <c r="C1822" s="2" t="s">
        <v>4184</v>
      </c>
      <c r="D1822" s="2" t="s">
        <v>4771</v>
      </c>
      <c r="E1822" s="2" t="s">
        <v>5027</v>
      </c>
      <c r="F1822" s="2" t="s">
        <v>4185</v>
      </c>
      <c r="G1822" s="2">
        <v>30.027439999999999</v>
      </c>
      <c r="H1822" s="2" t="s">
        <v>4644</v>
      </c>
      <c r="I1822" s="2" t="s">
        <v>4645</v>
      </c>
      <c r="J1822" s="2" t="s">
        <v>4646</v>
      </c>
      <c r="K1822" s="2">
        <v>18</v>
      </c>
      <c r="L1822" s="2" t="s">
        <v>4668</v>
      </c>
    </row>
    <row r="1823" spans="1:12" ht="33.75" customHeight="1" x14ac:dyDescent="0.25">
      <c r="A1823" s="14" t="s">
        <v>4186</v>
      </c>
      <c r="B1823" s="3" t="s">
        <v>4135</v>
      </c>
      <c r="C1823" s="3" t="s">
        <v>4187</v>
      </c>
      <c r="D1823" s="3" t="s">
        <v>4771</v>
      </c>
      <c r="E1823" s="3" t="s">
        <v>5020</v>
      </c>
      <c r="F1823" s="3" t="s">
        <v>4137</v>
      </c>
      <c r="G1823" s="3">
        <v>28.257760000000001</v>
      </c>
      <c r="H1823" s="3" t="s">
        <v>4644</v>
      </c>
      <c r="I1823" s="3" t="s">
        <v>4645</v>
      </c>
      <c r="J1823" s="3" t="s">
        <v>4733</v>
      </c>
      <c r="K1823" s="3">
        <v>72</v>
      </c>
      <c r="L1823" s="3" t="s">
        <v>4668</v>
      </c>
    </row>
    <row r="1824" spans="1:12" ht="33.75" customHeight="1" x14ac:dyDescent="0.25">
      <c r="A1824" s="13" t="s">
        <v>4188</v>
      </c>
      <c r="B1824" s="2" t="s">
        <v>4135</v>
      </c>
      <c r="C1824" s="2" t="s">
        <v>4189</v>
      </c>
      <c r="D1824" s="2" t="s">
        <v>4771</v>
      </c>
      <c r="E1824" s="2" t="s">
        <v>5020</v>
      </c>
      <c r="F1824" s="2" t="s">
        <v>4137</v>
      </c>
      <c r="G1824" s="2">
        <v>28.257760000000001</v>
      </c>
      <c r="H1824" s="2" t="s">
        <v>4644</v>
      </c>
      <c r="I1824" s="2" t="s">
        <v>4645</v>
      </c>
      <c r="J1824" s="2" t="s">
        <v>4733</v>
      </c>
      <c r="K1824" s="2">
        <v>72</v>
      </c>
      <c r="L1824" s="2" t="s">
        <v>4668</v>
      </c>
    </row>
    <row r="1825" spans="1:12" ht="33.75" customHeight="1" x14ac:dyDescent="0.25">
      <c r="A1825" s="14" t="s">
        <v>4190</v>
      </c>
      <c r="B1825" s="3" t="s">
        <v>4135</v>
      </c>
      <c r="C1825" s="3" t="s">
        <v>4191</v>
      </c>
      <c r="D1825" s="3" t="s">
        <v>4771</v>
      </c>
      <c r="E1825" s="3" t="s">
        <v>5020</v>
      </c>
      <c r="F1825" s="3" t="s">
        <v>4137</v>
      </c>
      <c r="G1825" s="3">
        <v>28.257760000000001</v>
      </c>
      <c r="H1825" s="3" t="s">
        <v>4644</v>
      </c>
      <c r="I1825" s="3" t="s">
        <v>4645</v>
      </c>
      <c r="J1825" s="3" t="s">
        <v>4733</v>
      </c>
      <c r="K1825" s="3">
        <v>72</v>
      </c>
      <c r="L1825" s="3" t="s">
        <v>4668</v>
      </c>
    </row>
    <row r="1826" spans="1:12" ht="33.75" customHeight="1" x14ac:dyDescent="0.25">
      <c r="A1826" s="13" t="s">
        <v>4192</v>
      </c>
      <c r="B1826" s="2" t="s">
        <v>4193</v>
      </c>
      <c r="C1826" s="2" t="s">
        <v>4194</v>
      </c>
      <c r="D1826" s="2" t="s">
        <v>4771</v>
      </c>
      <c r="E1826" s="2" t="s">
        <v>5028</v>
      </c>
      <c r="F1826" s="2" t="s">
        <v>4195</v>
      </c>
      <c r="G1826" s="2">
        <v>27.988040000000002</v>
      </c>
      <c r="H1826" s="2" t="s">
        <v>4644</v>
      </c>
      <c r="I1826" s="2" t="s">
        <v>4645</v>
      </c>
      <c r="J1826" s="2" t="s">
        <v>4719</v>
      </c>
      <c r="K1826" s="2">
        <v>63</v>
      </c>
      <c r="L1826" s="2" t="s">
        <v>4668</v>
      </c>
    </row>
    <row r="1827" spans="1:12" ht="33.75" customHeight="1" x14ac:dyDescent="0.25">
      <c r="A1827" s="14" t="s">
        <v>4196</v>
      </c>
      <c r="B1827" s="3" t="s">
        <v>632</v>
      </c>
      <c r="C1827" s="3" t="s">
        <v>4197</v>
      </c>
      <c r="D1827" s="3" t="s">
        <v>4771</v>
      </c>
      <c r="E1827" s="3" t="s">
        <v>4772</v>
      </c>
      <c r="F1827" s="3" t="s">
        <v>634</v>
      </c>
      <c r="G1827" s="3">
        <v>27.795079999999999</v>
      </c>
      <c r="H1827" s="3" t="s">
        <v>4644</v>
      </c>
      <c r="I1827" s="3" t="s">
        <v>4645</v>
      </c>
      <c r="J1827" s="3" t="s">
        <v>4695</v>
      </c>
      <c r="K1827" s="3">
        <v>51</v>
      </c>
      <c r="L1827" s="3" t="s">
        <v>4668</v>
      </c>
    </row>
    <row r="1828" spans="1:12" ht="33.75" customHeight="1" x14ac:dyDescent="0.25">
      <c r="A1828" s="13" t="s">
        <v>4198</v>
      </c>
      <c r="B1828" s="2" t="s">
        <v>1813</v>
      </c>
      <c r="C1828" s="2" t="s">
        <v>1814</v>
      </c>
      <c r="D1828" s="2" t="s">
        <v>4771</v>
      </c>
      <c r="E1828" s="2" t="s">
        <v>4862</v>
      </c>
      <c r="F1828" s="2" t="s">
        <v>1815</v>
      </c>
      <c r="G1828" s="2">
        <v>27.785360000000001</v>
      </c>
      <c r="H1828" s="2" t="s">
        <v>4644</v>
      </c>
      <c r="I1828" s="2" t="s">
        <v>4645</v>
      </c>
      <c r="J1828" s="2" t="s">
        <v>4693</v>
      </c>
      <c r="K1828" s="2">
        <v>42</v>
      </c>
      <c r="L1828" s="2" t="s">
        <v>4668</v>
      </c>
    </row>
    <row r="1829" spans="1:12" ht="33.75" customHeight="1" x14ac:dyDescent="0.25">
      <c r="A1829" s="14" t="s">
        <v>4199</v>
      </c>
      <c r="B1829" s="3" t="s">
        <v>404</v>
      </c>
      <c r="C1829" s="3" t="s">
        <v>4200</v>
      </c>
      <c r="D1829" s="3" t="s">
        <v>5006</v>
      </c>
      <c r="E1829" s="3" t="s">
        <v>4731</v>
      </c>
      <c r="F1829" s="3" t="s">
        <v>406</v>
      </c>
      <c r="G1829" s="3">
        <v>29.999199999999998</v>
      </c>
      <c r="H1829" s="3" t="s">
        <v>4644</v>
      </c>
      <c r="I1829" s="3" t="s">
        <v>4645</v>
      </c>
      <c r="J1829" s="3" t="s">
        <v>4695</v>
      </c>
      <c r="K1829" s="3">
        <v>63</v>
      </c>
      <c r="L1829" s="3" t="s">
        <v>4647</v>
      </c>
    </row>
    <row r="1830" spans="1:12" ht="33.75" customHeight="1" x14ac:dyDescent="0.25">
      <c r="A1830" s="13" t="s">
        <v>4201</v>
      </c>
      <c r="B1830" s="2" t="s">
        <v>356</v>
      </c>
      <c r="C1830" s="2" t="s">
        <v>4202</v>
      </c>
      <c r="D1830" s="2" t="s">
        <v>4956</v>
      </c>
      <c r="E1830" s="2" t="s">
        <v>4716</v>
      </c>
      <c r="F1830" s="2" t="s">
        <v>358</v>
      </c>
      <c r="G1830" s="2">
        <v>29.5992</v>
      </c>
      <c r="H1830" s="2" t="s">
        <v>4644</v>
      </c>
      <c r="I1830" s="2" t="s">
        <v>4645</v>
      </c>
      <c r="J1830" s="2" t="s">
        <v>4691</v>
      </c>
      <c r="K1830" s="2">
        <v>42</v>
      </c>
      <c r="L1830" s="2" t="s">
        <v>4647</v>
      </c>
    </row>
    <row r="1831" spans="1:12" ht="33.75" customHeight="1" x14ac:dyDescent="0.25">
      <c r="A1831" s="14" t="s">
        <v>4203</v>
      </c>
      <c r="B1831" s="3" t="s">
        <v>418</v>
      </c>
      <c r="C1831" s="3" t="s">
        <v>4204</v>
      </c>
      <c r="D1831" s="3" t="s">
        <v>4663</v>
      </c>
      <c r="E1831" s="3" t="s">
        <v>4734</v>
      </c>
      <c r="F1831" s="3" t="s">
        <v>420</v>
      </c>
      <c r="G1831" s="3">
        <v>30.655200000000001</v>
      </c>
      <c r="H1831" s="3" t="s">
        <v>4644</v>
      </c>
      <c r="I1831" s="3" t="s">
        <v>4645</v>
      </c>
      <c r="J1831" s="3" t="s">
        <v>4735</v>
      </c>
      <c r="K1831" s="3">
        <v>72</v>
      </c>
      <c r="L1831" s="3" t="s">
        <v>4647</v>
      </c>
    </row>
    <row r="1832" spans="1:12" ht="33.75" customHeight="1" x14ac:dyDescent="0.25">
      <c r="A1832" s="13" t="s">
        <v>4205</v>
      </c>
      <c r="B1832" s="2" t="s">
        <v>324</v>
      </c>
      <c r="C1832" s="2" t="s">
        <v>4206</v>
      </c>
      <c r="D1832" s="2" t="s">
        <v>5029</v>
      </c>
      <c r="E1832" s="2" t="s">
        <v>4704</v>
      </c>
      <c r="F1832" s="2" t="s">
        <v>326</v>
      </c>
      <c r="G1832" s="2">
        <v>29.719200000000001</v>
      </c>
      <c r="H1832" s="2" t="s">
        <v>4644</v>
      </c>
      <c r="I1832" s="2" t="s">
        <v>4645</v>
      </c>
      <c r="J1832" s="2" t="s">
        <v>4697</v>
      </c>
      <c r="K1832" s="2">
        <v>45</v>
      </c>
      <c r="L1832" s="2" t="s">
        <v>4647</v>
      </c>
    </row>
    <row r="1833" spans="1:12" ht="33.75" customHeight="1" x14ac:dyDescent="0.25">
      <c r="A1833" s="14" t="s">
        <v>4207</v>
      </c>
      <c r="B1833" s="3" t="s">
        <v>324</v>
      </c>
      <c r="C1833" s="3" t="s">
        <v>4208</v>
      </c>
      <c r="D1833" s="3" t="s">
        <v>5029</v>
      </c>
      <c r="E1833" s="3" t="s">
        <v>4704</v>
      </c>
      <c r="F1833" s="3" t="s">
        <v>326</v>
      </c>
      <c r="G1833" s="3">
        <v>29.719200000000001</v>
      </c>
      <c r="H1833" s="3" t="s">
        <v>4644</v>
      </c>
      <c r="I1833" s="3" t="s">
        <v>4645</v>
      </c>
      <c r="J1833" s="3" t="s">
        <v>4697</v>
      </c>
      <c r="K1833" s="3">
        <v>45</v>
      </c>
      <c r="L1833" s="3" t="s">
        <v>4647</v>
      </c>
    </row>
    <row r="1834" spans="1:12" ht="33.75" customHeight="1" x14ac:dyDescent="0.25">
      <c r="A1834" s="13" t="s">
        <v>4209</v>
      </c>
      <c r="B1834" s="2" t="s">
        <v>1008</v>
      </c>
      <c r="C1834" s="2" t="s">
        <v>4210</v>
      </c>
      <c r="D1834" s="2" t="s">
        <v>5029</v>
      </c>
      <c r="E1834" s="2" t="s">
        <v>4807</v>
      </c>
      <c r="F1834" s="2" t="s">
        <v>1010</v>
      </c>
      <c r="G1834" s="2">
        <v>30.4892</v>
      </c>
      <c r="H1834" s="2" t="s">
        <v>4644</v>
      </c>
      <c r="I1834" s="2" t="s">
        <v>4645</v>
      </c>
      <c r="J1834" s="2" t="s">
        <v>4710</v>
      </c>
      <c r="K1834" s="2">
        <v>87</v>
      </c>
      <c r="L1834" s="2" t="s">
        <v>4647</v>
      </c>
    </row>
    <row r="1835" spans="1:12" ht="33.75" customHeight="1" x14ac:dyDescent="0.25">
      <c r="A1835" s="14" t="s">
        <v>4211</v>
      </c>
      <c r="B1835" s="3" t="s">
        <v>57</v>
      </c>
      <c r="C1835" s="3" t="s">
        <v>4212</v>
      </c>
      <c r="D1835" s="3" t="s">
        <v>5029</v>
      </c>
      <c r="E1835" s="3" t="s">
        <v>4643</v>
      </c>
      <c r="F1835" s="3" t="s">
        <v>59</v>
      </c>
      <c r="G1835" s="3">
        <v>31.825199999999999</v>
      </c>
      <c r="H1835" s="3" t="s">
        <v>4644</v>
      </c>
      <c r="I1835" s="3" t="s">
        <v>4645</v>
      </c>
      <c r="J1835" s="3" t="s">
        <v>4646</v>
      </c>
      <c r="K1835" s="3">
        <v>21</v>
      </c>
      <c r="L1835" s="3" t="s">
        <v>4647</v>
      </c>
    </row>
    <row r="1836" spans="1:12" ht="33.75" customHeight="1" x14ac:dyDescent="0.25">
      <c r="A1836" s="13" t="s">
        <v>4213</v>
      </c>
      <c r="B1836" s="2" t="s">
        <v>372</v>
      </c>
      <c r="C1836" s="2" t="s">
        <v>4214</v>
      </c>
      <c r="D1836" s="2"/>
      <c r="E1836" s="2" t="s">
        <v>4720</v>
      </c>
      <c r="F1836" s="2" t="s">
        <v>374</v>
      </c>
      <c r="G1836" s="2">
        <v>32.852400000000003</v>
      </c>
      <c r="H1836" s="2" t="s">
        <v>4644</v>
      </c>
      <c r="I1836" s="2" t="s">
        <v>4645</v>
      </c>
      <c r="J1836" s="2" t="s">
        <v>4721</v>
      </c>
      <c r="K1836" s="2">
        <v>48</v>
      </c>
      <c r="L1836" s="2" t="s">
        <v>4647</v>
      </c>
    </row>
    <row r="1837" spans="1:12" ht="33.75" customHeight="1" x14ac:dyDescent="0.25">
      <c r="A1837" s="14" t="s">
        <v>4215</v>
      </c>
      <c r="B1837" s="3" t="s">
        <v>390</v>
      </c>
      <c r="C1837" s="3" t="s">
        <v>4216</v>
      </c>
      <c r="D1837" s="3" t="s">
        <v>4987</v>
      </c>
      <c r="E1837" s="3" t="s">
        <v>4728</v>
      </c>
      <c r="F1837" s="3" t="s">
        <v>392</v>
      </c>
      <c r="G1837" s="3">
        <v>35.367600000000003</v>
      </c>
      <c r="H1837" s="3" t="s">
        <v>4644</v>
      </c>
      <c r="I1837" s="3" t="s">
        <v>4645</v>
      </c>
      <c r="J1837" s="3" t="s">
        <v>4729</v>
      </c>
      <c r="K1837" s="3">
        <v>120</v>
      </c>
      <c r="L1837" s="3" t="s">
        <v>4647</v>
      </c>
    </row>
    <row r="1838" spans="1:12" ht="33.75" customHeight="1" x14ac:dyDescent="0.25">
      <c r="A1838" s="13" t="s">
        <v>4217</v>
      </c>
      <c r="B1838" s="2" t="s">
        <v>1084</v>
      </c>
      <c r="C1838" s="2" t="s">
        <v>4218</v>
      </c>
      <c r="D1838" s="2" t="s">
        <v>4702</v>
      </c>
      <c r="E1838" s="2" t="s">
        <v>4809</v>
      </c>
      <c r="F1838" s="2" t="s">
        <v>1086</v>
      </c>
      <c r="G1838" s="2">
        <v>47.458399999999997</v>
      </c>
      <c r="H1838" s="2" t="s">
        <v>4644</v>
      </c>
      <c r="I1838" s="2" t="s">
        <v>4645</v>
      </c>
      <c r="J1838" s="2" t="s">
        <v>4721</v>
      </c>
      <c r="K1838" s="2">
        <v>51</v>
      </c>
      <c r="L1838" s="2" t="s">
        <v>4647</v>
      </c>
    </row>
    <row r="1839" spans="1:12" ht="33.75" customHeight="1" x14ac:dyDescent="0.25">
      <c r="A1839" s="14" t="s">
        <v>4219</v>
      </c>
      <c r="B1839" s="3" t="s">
        <v>1151</v>
      </c>
      <c r="C1839" s="3" t="s">
        <v>4220</v>
      </c>
      <c r="D1839" s="3" t="s">
        <v>4705</v>
      </c>
      <c r="E1839" s="3" t="s">
        <v>4812</v>
      </c>
      <c r="F1839" s="3" t="s">
        <v>1153</v>
      </c>
      <c r="G1839" s="3">
        <v>30.6372</v>
      </c>
      <c r="H1839" s="3" t="s">
        <v>4644</v>
      </c>
      <c r="I1839" s="3" t="s">
        <v>4645</v>
      </c>
      <c r="J1839" s="3" t="s">
        <v>4693</v>
      </c>
      <c r="K1839" s="3">
        <v>72</v>
      </c>
      <c r="L1839" s="3" t="s">
        <v>4647</v>
      </c>
    </row>
    <row r="1840" spans="1:12" ht="33.75" customHeight="1" x14ac:dyDescent="0.25">
      <c r="A1840" s="13" t="s">
        <v>4221</v>
      </c>
      <c r="B1840" s="2" t="s">
        <v>1151</v>
      </c>
      <c r="C1840" s="2" t="s">
        <v>4222</v>
      </c>
      <c r="D1840" s="2" t="s">
        <v>5006</v>
      </c>
      <c r="E1840" s="2" t="s">
        <v>4812</v>
      </c>
      <c r="F1840" s="2" t="s">
        <v>1153</v>
      </c>
      <c r="G1840" s="2">
        <v>30.6372</v>
      </c>
      <c r="H1840" s="2" t="s">
        <v>4644</v>
      </c>
      <c r="I1840" s="2" t="s">
        <v>4645</v>
      </c>
      <c r="J1840" s="2" t="s">
        <v>4723</v>
      </c>
      <c r="K1840" s="2">
        <v>72</v>
      </c>
      <c r="L1840" s="2" t="s">
        <v>4647</v>
      </c>
    </row>
    <row r="1841" spans="1:12" ht="33.75" customHeight="1" x14ac:dyDescent="0.25">
      <c r="A1841" s="14" t="s">
        <v>4223</v>
      </c>
      <c r="B1841" s="3" t="s">
        <v>400</v>
      </c>
      <c r="C1841" s="3" t="s">
        <v>4224</v>
      </c>
      <c r="D1841" s="3" t="s">
        <v>4658</v>
      </c>
      <c r="E1841" s="3" t="s">
        <v>4730</v>
      </c>
      <c r="F1841" s="3" t="s">
        <v>402</v>
      </c>
      <c r="G1841" s="3">
        <v>34.332239999999999</v>
      </c>
      <c r="H1841" s="3" t="s">
        <v>4644</v>
      </c>
      <c r="I1841" s="3" t="s">
        <v>4645</v>
      </c>
      <c r="J1841" s="3" t="s">
        <v>4719</v>
      </c>
      <c r="K1841" s="3">
        <v>72</v>
      </c>
      <c r="L1841" s="3" t="s">
        <v>4647</v>
      </c>
    </row>
    <row r="1842" spans="1:12" ht="33.75" customHeight="1" x14ac:dyDescent="0.25">
      <c r="A1842" s="13" t="s">
        <v>4225</v>
      </c>
      <c r="B1842" s="2" t="s">
        <v>3309</v>
      </c>
      <c r="C1842" s="2" t="s">
        <v>4226</v>
      </c>
      <c r="D1842" s="2" t="s">
        <v>5030</v>
      </c>
      <c r="E1842" s="2" t="s">
        <v>4977</v>
      </c>
      <c r="F1842" s="2" t="s">
        <v>3311</v>
      </c>
      <c r="G1842" s="2">
        <v>27.9192</v>
      </c>
      <c r="H1842" s="2" t="s">
        <v>4644</v>
      </c>
      <c r="I1842" s="2" t="s">
        <v>4645</v>
      </c>
      <c r="J1842" s="2" t="s">
        <v>4735</v>
      </c>
      <c r="K1842" s="2">
        <v>72</v>
      </c>
      <c r="L1842" s="2" t="s">
        <v>4647</v>
      </c>
    </row>
    <row r="1843" spans="1:12" ht="33.75" customHeight="1" x14ac:dyDescent="0.25">
      <c r="A1843" s="14" t="s">
        <v>4227</v>
      </c>
      <c r="B1843" s="3" t="s">
        <v>1294</v>
      </c>
      <c r="C1843" s="3" t="s">
        <v>4228</v>
      </c>
      <c r="D1843" s="3" t="s">
        <v>5031</v>
      </c>
      <c r="E1843" s="3" t="s">
        <v>4819</v>
      </c>
      <c r="F1843" s="3" t="s">
        <v>1296</v>
      </c>
      <c r="G1843" s="3">
        <v>27.925999999999998</v>
      </c>
      <c r="H1843" s="3" t="s">
        <v>4644</v>
      </c>
      <c r="I1843" s="3" t="s">
        <v>4645</v>
      </c>
      <c r="J1843" s="3" t="s">
        <v>4735</v>
      </c>
      <c r="K1843" s="3">
        <v>57</v>
      </c>
      <c r="L1843" s="3" t="s">
        <v>4647</v>
      </c>
    </row>
    <row r="1844" spans="1:12" ht="33.75" customHeight="1" x14ac:dyDescent="0.25">
      <c r="A1844" s="13" t="s">
        <v>4229</v>
      </c>
      <c r="B1844" s="2" t="s">
        <v>1294</v>
      </c>
      <c r="C1844" s="2" t="s">
        <v>4230</v>
      </c>
      <c r="D1844" s="2" t="s">
        <v>5031</v>
      </c>
      <c r="E1844" s="2" t="s">
        <v>4819</v>
      </c>
      <c r="F1844" s="2" t="s">
        <v>1296</v>
      </c>
      <c r="G1844" s="2">
        <v>27.925999999999998</v>
      </c>
      <c r="H1844" s="2" t="s">
        <v>4644</v>
      </c>
      <c r="I1844" s="2" t="s">
        <v>4645</v>
      </c>
      <c r="J1844" s="2" t="s">
        <v>4735</v>
      </c>
      <c r="K1844" s="2">
        <v>57</v>
      </c>
      <c r="L1844" s="2" t="s">
        <v>4647</v>
      </c>
    </row>
    <row r="1845" spans="1:12" ht="33.75" customHeight="1" x14ac:dyDescent="0.25">
      <c r="A1845" s="14" t="s">
        <v>4231</v>
      </c>
      <c r="B1845" s="3" t="s">
        <v>878</v>
      </c>
      <c r="C1845" s="3" t="s">
        <v>4232</v>
      </c>
      <c r="D1845" s="3" t="s">
        <v>5031</v>
      </c>
      <c r="E1845" s="3" t="s">
        <v>4802</v>
      </c>
      <c r="F1845" s="3" t="s">
        <v>880</v>
      </c>
      <c r="G1845" s="3">
        <v>27.925999999999998</v>
      </c>
      <c r="H1845" s="3" t="s">
        <v>4644</v>
      </c>
      <c r="I1845" s="3" t="s">
        <v>4645</v>
      </c>
      <c r="J1845" s="3" t="s">
        <v>4684</v>
      </c>
      <c r="K1845" s="3">
        <v>51</v>
      </c>
      <c r="L1845" s="3" t="s">
        <v>4647</v>
      </c>
    </row>
    <row r="1846" spans="1:12" ht="33.75" customHeight="1" x14ac:dyDescent="0.25">
      <c r="A1846" s="13" t="s">
        <v>4233</v>
      </c>
      <c r="B1846" s="2" t="s">
        <v>878</v>
      </c>
      <c r="C1846" s="2" t="s">
        <v>4234</v>
      </c>
      <c r="D1846" s="2" t="s">
        <v>5031</v>
      </c>
      <c r="E1846" s="2" t="s">
        <v>4802</v>
      </c>
      <c r="F1846" s="2" t="s">
        <v>880</v>
      </c>
      <c r="G1846" s="2">
        <v>27.925999999999998</v>
      </c>
      <c r="H1846" s="2" t="s">
        <v>4644</v>
      </c>
      <c r="I1846" s="2" t="s">
        <v>4645</v>
      </c>
      <c r="J1846" s="2" t="s">
        <v>4695</v>
      </c>
      <c r="K1846" s="2">
        <v>51</v>
      </c>
      <c r="L1846" s="2" t="s">
        <v>4647</v>
      </c>
    </row>
    <row r="1847" spans="1:12" ht="33.75" customHeight="1" x14ac:dyDescent="0.25">
      <c r="A1847" s="14" t="s">
        <v>4235</v>
      </c>
      <c r="B1847" s="3" t="s">
        <v>1781</v>
      </c>
      <c r="C1847" s="3" t="s">
        <v>4236</v>
      </c>
      <c r="D1847" s="3" t="s">
        <v>5031</v>
      </c>
      <c r="E1847" s="3" t="s">
        <v>4858</v>
      </c>
      <c r="F1847" s="3" t="s">
        <v>1783</v>
      </c>
      <c r="G1847" s="3">
        <v>27.925999999999998</v>
      </c>
      <c r="H1847" s="3" t="s">
        <v>4644</v>
      </c>
      <c r="I1847" s="3" t="s">
        <v>4645</v>
      </c>
      <c r="J1847" s="3" t="s">
        <v>4695</v>
      </c>
      <c r="K1847" s="3">
        <v>48</v>
      </c>
      <c r="L1847" s="3" t="s">
        <v>4647</v>
      </c>
    </row>
    <row r="1848" spans="1:12" ht="33.75" customHeight="1" x14ac:dyDescent="0.25">
      <c r="A1848" s="13" t="s">
        <v>4237</v>
      </c>
      <c r="B1848" s="2" t="s">
        <v>2137</v>
      </c>
      <c r="C1848" s="2" t="s">
        <v>4238</v>
      </c>
      <c r="D1848" s="2" t="s">
        <v>5031</v>
      </c>
      <c r="E1848" s="2" t="s">
        <v>4885</v>
      </c>
      <c r="F1848" s="2" t="s">
        <v>2139</v>
      </c>
      <c r="G1848" s="2">
        <v>27.925999999999998</v>
      </c>
      <c r="H1848" s="2" t="s">
        <v>4644</v>
      </c>
      <c r="I1848" s="2" t="s">
        <v>4645</v>
      </c>
      <c r="J1848" s="2" t="s">
        <v>4697</v>
      </c>
      <c r="K1848" s="2">
        <v>36</v>
      </c>
      <c r="L1848" s="2" t="s">
        <v>4647</v>
      </c>
    </row>
    <row r="1849" spans="1:12" ht="33.75" customHeight="1" x14ac:dyDescent="0.25">
      <c r="A1849" s="14" t="s">
        <v>4239</v>
      </c>
      <c r="B1849" s="3" t="s">
        <v>324</v>
      </c>
      <c r="C1849" s="3" t="s">
        <v>4240</v>
      </c>
      <c r="D1849" s="3" t="s">
        <v>4773</v>
      </c>
      <c r="E1849" s="3" t="s">
        <v>4704</v>
      </c>
      <c r="F1849" s="3" t="s">
        <v>326</v>
      </c>
      <c r="G1849" s="3">
        <v>29.719200000000001</v>
      </c>
      <c r="H1849" s="3" t="s">
        <v>4644</v>
      </c>
      <c r="I1849" s="3" t="s">
        <v>4645</v>
      </c>
      <c r="J1849" s="3" t="s">
        <v>4697</v>
      </c>
      <c r="K1849" s="3">
        <v>45</v>
      </c>
      <c r="L1849" s="3" t="s">
        <v>4647</v>
      </c>
    </row>
    <row r="1850" spans="1:12" ht="33.75" customHeight="1" x14ac:dyDescent="0.25">
      <c r="A1850" s="13" t="s">
        <v>4241</v>
      </c>
      <c r="B1850" s="2" t="s">
        <v>57</v>
      </c>
      <c r="C1850" s="2" t="s">
        <v>4242</v>
      </c>
      <c r="D1850" s="2"/>
      <c r="E1850" s="2" t="s">
        <v>4643</v>
      </c>
      <c r="F1850" s="2" t="s">
        <v>59</v>
      </c>
      <c r="G1850" s="2">
        <v>31.825199999999999</v>
      </c>
      <c r="H1850" s="2" t="s">
        <v>4644</v>
      </c>
      <c r="I1850" s="2" t="s">
        <v>4645</v>
      </c>
      <c r="J1850" s="2" t="s">
        <v>4646</v>
      </c>
      <c r="K1850" s="2">
        <v>21</v>
      </c>
      <c r="L1850" s="2" t="s">
        <v>4647</v>
      </c>
    </row>
    <row r="1851" spans="1:12" ht="33.75" customHeight="1" x14ac:dyDescent="0.25">
      <c r="A1851" s="14" t="s">
        <v>4243</v>
      </c>
      <c r="B1851" s="3" t="s">
        <v>418</v>
      </c>
      <c r="C1851" s="3" t="s">
        <v>4244</v>
      </c>
      <c r="D1851" s="3"/>
      <c r="E1851" s="3" t="s">
        <v>4734</v>
      </c>
      <c r="F1851" s="3" t="s">
        <v>420</v>
      </c>
      <c r="G1851" s="3">
        <v>30.655200000000001</v>
      </c>
      <c r="H1851" s="3" t="s">
        <v>4644</v>
      </c>
      <c r="I1851" s="3" t="s">
        <v>4645</v>
      </c>
      <c r="J1851" s="3" t="s">
        <v>4735</v>
      </c>
      <c r="K1851" s="3">
        <v>72</v>
      </c>
      <c r="L1851" s="3" t="s">
        <v>4647</v>
      </c>
    </row>
    <row r="1852" spans="1:12" ht="33.75" customHeight="1" x14ac:dyDescent="0.25">
      <c r="A1852" s="13" t="s">
        <v>4245</v>
      </c>
      <c r="B1852" s="2" t="s">
        <v>418</v>
      </c>
      <c r="C1852" s="2" t="s">
        <v>4246</v>
      </c>
      <c r="D1852" s="2" t="s">
        <v>4773</v>
      </c>
      <c r="E1852" s="2" t="s">
        <v>4734</v>
      </c>
      <c r="F1852" s="2" t="s">
        <v>420</v>
      </c>
      <c r="G1852" s="2">
        <v>30.655200000000001</v>
      </c>
      <c r="H1852" s="2" t="s">
        <v>4644</v>
      </c>
      <c r="I1852" s="2" t="s">
        <v>4645</v>
      </c>
      <c r="J1852" s="2" t="s">
        <v>4682</v>
      </c>
      <c r="K1852" s="2">
        <v>72</v>
      </c>
      <c r="L1852" s="2" t="s">
        <v>4647</v>
      </c>
    </row>
    <row r="1853" spans="1:12" ht="33.75" customHeight="1" x14ac:dyDescent="0.25">
      <c r="A1853" s="14" t="s">
        <v>4247</v>
      </c>
      <c r="B1853" s="3" t="s">
        <v>404</v>
      </c>
      <c r="C1853" s="3" t="s">
        <v>3464</v>
      </c>
      <c r="D1853" s="3" t="s">
        <v>4773</v>
      </c>
      <c r="E1853" s="3" t="s">
        <v>4731</v>
      </c>
      <c r="F1853" s="3" t="s">
        <v>406</v>
      </c>
      <c r="G1853" s="3">
        <v>29.999199999999998</v>
      </c>
      <c r="H1853" s="3" t="s">
        <v>4644</v>
      </c>
      <c r="I1853" s="3" t="s">
        <v>4645</v>
      </c>
      <c r="J1853" s="3" t="s">
        <v>4695</v>
      </c>
      <c r="K1853" s="3">
        <v>63</v>
      </c>
      <c r="L1853" s="3" t="s">
        <v>4647</v>
      </c>
    </row>
    <row r="1854" spans="1:12" ht="33.75" customHeight="1" x14ac:dyDescent="0.25">
      <c r="A1854" s="13" t="s">
        <v>4248</v>
      </c>
      <c r="B1854" s="2" t="s">
        <v>418</v>
      </c>
      <c r="C1854" s="2" t="s">
        <v>4249</v>
      </c>
      <c r="D1854" s="2" t="s">
        <v>4773</v>
      </c>
      <c r="E1854" s="2" t="s">
        <v>4734</v>
      </c>
      <c r="F1854" s="2" t="s">
        <v>420</v>
      </c>
      <c r="G1854" s="2">
        <v>30.655200000000001</v>
      </c>
      <c r="H1854" s="2" t="s">
        <v>4644</v>
      </c>
      <c r="I1854" s="2" t="s">
        <v>4645</v>
      </c>
      <c r="J1854" s="2" t="s">
        <v>4735</v>
      </c>
      <c r="K1854" s="2">
        <v>72</v>
      </c>
      <c r="L1854" s="2" t="s">
        <v>4647</v>
      </c>
    </row>
    <row r="1855" spans="1:12" ht="33.75" customHeight="1" x14ac:dyDescent="0.25">
      <c r="A1855" s="14" t="s">
        <v>4250</v>
      </c>
      <c r="B1855" s="3" t="s">
        <v>2458</v>
      </c>
      <c r="C1855" s="3" t="s">
        <v>4251</v>
      </c>
      <c r="D1855" s="3" t="s">
        <v>4915</v>
      </c>
      <c r="E1855" s="3" t="s">
        <v>4918</v>
      </c>
      <c r="F1855" s="3" t="s">
        <v>2460</v>
      </c>
      <c r="G1855" s="3">
        <v>28.126000000000001</v>
      </c>
      <c r="H1855" s="3" t="s">
        <v>4644</v>
      </c>
      <c r="I1855" s="3" t="s">
        <v>4645</v>
      </c>
      <c r="J1855" s="3" t="s">
        <v>4735</v>
      </c>
      <c r="K1855" s="3">
        <v>76</v>
      </c>
      <c r="L1855" s="3" t="s">
        <v>4647</v>
      </c>
    </row>
    <row r="1856" spans="1:12" ht="33.75" customHeight="1" x14ac:dyDescent="0.25">
      <c r="A1856" s="13" t="s">
        <v>4252</v>
      </c>
      <c r="B1856" s="2" t="s">
        <v>2462</v>
      </c>
      <c r="C1856" s="2" t="s">
        <v>4253</v>
      </c>
      <c r="D1856" s="2" t="s">
        <v>4915</v>
      </c>
      <c r="E1856" s="2" t="s">
        <v>4919</v>
      </c>
      <c r="F1856" s="2" t="s">
        <v>2464</v>
      </c>
      <c r="G1856" s="2">
        <v>28.126000000000001</v>
      </c>
      <c r="H1856" s="2" t="s">
        <v>4644</v>
      </c>
      <c r="I1856" s="2" t="s">
        <v>4645</v>
      </c>
      <c r="J1856" s="2" t="s">
        <v>4695</v>
      </c>
      <c r="K1856" s="2">
        <v>68</v>
      </c>
      <c r="L1856" s="2" t="s">
        <v>4647</v>
      </c>
    </row>
    <row r="1857" spans="1:12" ht="33.75" customHeight="1" x14ac:dyDescent="0.25">
      <c r="A1857" s="14" t="s">
        <v>4254</v>
      </c>
      <c r="B1857" s="3" t="s">
        <v>2700</v>
      </c>
      <c r="C1857" s="3" t="s">
        <v>4255</v>
      </c>
      <c r="D1857" s="3" t="s">
        <v>4915</v>
      </c>
      <c r="E1857" s="3" t="s">
        <v>4935</v>
      </c>
      <c r="F1857" s="3" t="s">
        <v>2702</v>
      </c>
      <c r="G1857" s="3">
        <v>28.126000000000001</v>
      </c>
      <c r="H1857" s="3" t="s">
        <v>4644</v>
      </c>
      <c r="I1857" s="3" t="s">
        <v>4645</v>
      </c>
      <c r="J1857" s="3" t="s">
        <v>4723</v>
      </c>
      <c r="K1857" s="3">
        <v>56</v>
      </c>
      <c r="L1857" s="3" t="s">
        <v>4647</v>
      </c>
    </row>
    <row r="1858" spans="1:12" ht="33.75" customHeight="1" x14ac:dyDescent="0.25">
      <c r="A1858" s="13" t="s">
        <v>4256</v>
      </c>
      <c r="B1858" s="2" t="s">
        <v>3547</v>
      </c>
      <c r="C1858" s="2" t="s">
        <v>4257</v>
      </c>
      <c r="D1858" s="2" t="s">
        <v>4915</v>
      </c>
      <c r="E1858" s="2" t="s">
        <v>4986</v>
      </c>
      <c r="F1858" s="2" t="s">
        <v>3549</v>
      </c>
      <c r="G1858" s="2">
        <v>28.126000000000001</v>
      </c>
      <c r="H1858" s="2" t="s">
        <v>4644</v>
      </c>
      <c r="I1858" s="2" t="s">
        <v>4645</v>
      </c>
      <c r="J1858" s="2" t="s">
        <v>4697</v>
      </c>
      <c r="K1858" s="2">
        <v>48</v>
      </c>
      <c r="L1858" s="2" t="s">
        <v>4647</v>
      </c>
    </row>
    <row r="1859" spans="1:12" ht="33.75" customHeight="1" x14ac:dyDescent="0.25">
      <c r="A1859" s="14" t="s">
        <v>4258</v>
      </c>
      <c r="B1859" s="3" t="s">
        <v>4259</v>
      </c>
      <c r="C1859" s="3" t="s">
        <v>4260</v>
      </c>
      <c r="D1859" s="3" t="s">
        <v>5032</v>
      </c>
      <c r="E1859" s="3" t="s">
        <v>5033</v>
      </c>
      <c r="F1859" s="3" t="s">
        <v>4261</v>
      </c>
      <c r="G1859" s="3">
        <v>32.433999999999997</v>
      </c>
      <c r="H1859" s="3" t="s">
        <v>4644</v>
      </c>
      <c r="I1859" s="3" t="s">
        <v>4645</v>
      </c>
      <c r="J1859" s="3" t="s">
        <v>4646</v>
      </c>
      <c r="K1859" s="3">
        <v>18</v>
      </c>
      <c r="L1859" s="3" t="s">
        <v>4647</v>
      </c>
    </row>
    <row r="1860" spans="1:12" ht="33.75" customHeight="1" x14ac:dyDescent="0.25">
      <c r="A1860" s="13" t="s">
        <v>4262</v>
      </c>
      <c r="B1860" s="2" t="s">
        <v>366</v>
      </c>
      <c r="C1860" s="2" t="s">
        <v>4263</v>
      </c>
      <c r="D1860" s="2" t="s">
        <v>4714</v>
      </c>
      <c r="E1860" s="2" t="s">
        <v>4718</v>
      </c>
      <c r="F1860" s="2" t="s">
        <v>368</v>
      </c>
      <c r="G1860" s="2">
        <v>32.983400000000003</v>
      </c>
      <c r="H1860" s="2" t="s">
        <v>4644</v>
      </c>
      <c r="I1860" s="2" t="s">
        <v>4645</v>
      </c>
      <c r="J1860" s="2" t="s">
        <v>4719</v>
      </c>
      <c r="K1860" s="2">
        <v>60</v>
      </c>
      <c r="L1860" s="2" t="s">
        <v>4647</v>
      </c>
    </row>
    <row r="1861" spans="1:12" ht="33.75" customHeight="1" x14ac:dyDescent="0.25">
      <c r="A1861" s="14" t="s">
        <v>4264</v>
      </c>
      <c r="B1861" s="3" t="s">
        <v>1638</v>
      </c>
      <c r="C1861" s="3" t="s">
        <v>4265</v>
      </c>
      <c r="D1861" s="3" t="s">
        <v>4714</v>
      </c>
      <c r="E1861" s="3" t="s">
        <v>4842</v>
      </c>
      <c r="F1861" s="3" t="s">
        <v>1640</v>
      </c>
      <c r="G1861" s="3">
        <v>33.259399999999999</v>
      </c>
      <c r="H1861" s="3" t="s">
        <v>4644</v>
      </c>
      <c r="I1861" s="3" t="s">
        <v>4645</v>
      </c>
      <c r="J1861" s="3" t="s">
        <v>4726</v>
      </c>
      <c r="K1861" s="3">
        <v>72</v>
      </c>
      <c r="L1861" s="3" t="s">
        <v>4647</v>
      </c>
    </row>
    <row r="1862" spans="1:12" ht="33.75" customHeight="1" x14ac:dyDescent="0.25">
      <c r="A1862" s="13" t="s">
        <v>4266</v>
      </c>
      <c r="B1862" s="2" t="s">
        <v>1638</v>
      </c>
      <c r="C1862" s="2" t="s">
        <v>4267</v>
      </c>
      <c r="D1862" s="2" t="s">
        <v>4714</v>
      </c>
      <c r="E1862" s="2" t="s">
        <v>4842</v>
      </c>
      <c r="F1862" s="2" t="s">
        <v>1640</v>
      </c>
      <c r="G1862" s="2">
        <v>33.259399999999999</v>
      </c>
      <c r="H1862" s="2" t="s">
        <v>4644</v>
      </c>
      <c r="I1862" s="2" t="s">
        <v>4645</v>
      </c>
      <c r="J1862" s="2" t="s">
        <v>4726</v>
      </c>
      <c r="K1862" s="2">
        <v>72</v>
      </c>
      <c r="L1862" s="2" t="s">
        <v>4647</v>
      </c>
    </row>
    <row r="1863" spans="1:12" ht="33.75" customHeight="1" x14ac:dyDescent="0.25">
      <c r="A1863" s="14" t="s">
        <v>4268</v>
      </c>
      <c r="B1863" s="3" t="s">
        <v>1888</v>
      </c>
      <c r="C1863" s="3" t="s">
        <v>4269</v>
      </c>
      <c r="D1863" s="3" t="s">
        <v>4794</v>
      </c>
      <c r="E1863" s="3" t="s">
        <v>4872</v>
      </c>
      <c r="F1863" s="3" t="s">
        <v>1890</v>
      </c>
      <c r="G1863" s="3">
        <v>27.859200000000001</v>
      </c>
      <c r="H1863" s="3" t="s">
        <v>4644</v>
      </c>
      <c r="I1863" s="3" t="s">
        <v>4645</v>
      </c>
      <c r="J1863" s="3" t="s">
        <v>4733</v>
      </c>
      <c r="K1863" s="3">
        <v>72</v>
      </c>
      <c r="L1863" s="3" t="s">
        <v>4647</v>
      </c>
    </row>
    <row r="1864" spans="1:12" ht="33.75" customHeight="1" x14ac:dyDescent="0.25">
      <c r="A1864" s="13" t="s">
        <v>4270</v>
      </c>
      <c r="B1864" s="2" t="s">
        <v>1888</v>
      </c>
      <c r="C1864" s="2" t="s">
        <v>4271</v>
      </c>
      <c r="D1864" s="2" t="s">
        <v>4794</v>
      </c>
      <c r="E1864" s="2" t="s">
        <v>4872</v>
      </c>
      <c r="F1864" s="2" t="s">
        <v>1890</v>
      </c>
      <c r="G1864" s="2">
        <v>27.859200000000001</v>
      </c>
      <c r="H1864" s="2" t="s">
        <v>4644</v>
      </c>
      <c r="I1864" s="2" t="s">
        <v>4645</v>
      </c>
      <c r="J1864" s="2" t="s">
        <v>4710</v>
      </c>
      <c r="K1864" s="2">
        <v>72</v>
      </c>
      <c r="L1864" s="2" t="s">
        <v>4647</v>
      </c>
    </row>
    <row r="1865" spans="1:12" ht="33.75" customHeight="1" x14ac:dyDescent="0.25">
      <c r="A1865" s="14" t="s">
        <v>4272</v>
      </c>
      <c r="B1865" s="3" t="s">
        <v>1888</v>
      </c>
      <c r="C1865" s="3" t="s">
        <v>4273</v>
      </c>
      <c r="D1865" s="3" t="s">
        <v>4794</v>
      </c>
      <c r="E1865" s="3" t="s">
        <v>4872</v>
      </c>
      <c r="F1865" s="3" t="s">
        <v>1890</v>
      </c>
      <c r="G1865" s="3">
        <v>27.859200000000001</v>
      </c>
      <c r="H1865" s="3" t="s">
        <v>4644</v>
      </c>
      <c r="I1865" s="3" t="s">
        <v>4645</v>
      </c>
      <c r="J1865" s="3" t="s">
        <v>4710</v>
      </c>
      <c r="K1865" s="3">
        <v>72</v>
      </c>
      <c r="L1865" s="3" t="s">
        <v>4647</v>
      </c>
    </row>
    <row r="1866" spans="1:12" ht="33.75" customHeight="1" x14ac:dyDescent="0.25">
      <c r="A1866" s="13" t="s">
        <v>4274</v>
      </c>
      <c r="B1866" s="2" t="s">
        <v>820</v>
      </c>
      <c r="C1866" s="2" t="s">
        <v>4275</v>
      </c>
      <c r="D1866" s="2" t="s">
        <v>4794</v>
      </c>
      <c r="E1866" s="2" t="s">
        <v>4795</v>
      </c>
      <c r="F1866" s="2" t="s">
        <v>822</v>
      </c>
      <c r="G1866" s="2">
        <v>27.639199999999999</v>
      </c>
      <c r="H1866" s="2" t="s">
        <v>4644</v>
      </c>
      <c r="I1866" s="2" t="s">
        <v>4645</v>
      </c>
      <c r="J1866" s="2" t="s">
        <v>4735</v>
      </c>
      <c r="K1866" s="2">
        <v>57</v>
      </c>
      <c r="L1866" s="2" t="s">
        <v>4647</v>
      </c>
    </row>
    <row r="1867" spans="1:12" ht="33.75" customHeight="1" x14ac:dyDescent="0.25">
      <c r="A1867" s="14" t="s">
        <v>4276</v>
      </c>
      <c r="B1867" s="3" t="s">
        <v>820</v>
      </c>
      <c r="C1867" s="3" t="s">
        <v>4277</v>
      </c>
      <c r="D1867" s="3" t="s">
        <v>4794</v>
      </c>
      <c r="E1867" s="3" t="s">
        <v>4795</v>
      </c>
      <c r="F1867" s="3" t="s">
        <v>822</v>
      </c>
      <c r="G1867" s="3">
        <v>27.639199999999999</v>
      </c>
      <c r="H1867" s="3" t="s">
        <v>4644</v>
      </c>
      <c r="I1867" s="3" t="s">
        <v>4645</v>
      </c>
      <c r="J1867" s="3" t="s">
        <v>4682</v>
      </c>
      <c r="K1867" s="3">
        <v>57</v>
      </c>
      <c r="L1867" s="3" t="s">
        <v>4647</v>
      </c>
    </row>
    <row r="1868" spans="1:12" ht="33.75" customHeight="1" x14ac:dyDescent="0.25">
      <c r="A1868" s="13" t="s">
        <v>4278</v>
      </c>
      <c r="B1868" s="2" t="s">
        <v>1878</v>
      </c>
      <c r="C1868" s="2" t="s">
        <v>4279</v>
      </c>
      <c r="D1868" s="2" t="s">
        <v>4794</v>
      </c>
      <c r="E1868" s="2" t="s">
        <v>4870</v>
      </c>
      <c r="F1868" s="2" t="s">
        <v>1880</v>
      </c>
      <c r="G1868" s="2">
        <v>27.639199999999999</v>
      </c>
      <c r="H1868" s="2" t="s">
        <v>4644</v>
      </c>
      <c r="I1868" s="2" t="s">
        <v>4645</v>
      </c>
      <c r="J1868" s="2" t="s">
        <v>4684</v>
      </c>
      <c r="K1868" s="2">
        <v>51</v>
      </c>
      <c r="L1868" s="2" t="s">
        <v>4647</v>
      </c>
    </row>
    <row r="1869" spans="1:12" ht="33.75" customHeight="1" x14ac:dyDescent="0.25">
      <c r="A1869" s="14" t="s">
        <v>4280</v>
      </c>
      <c r="B1869" s="3" t="s">
        <v>1878</v>
      </c>
      <c r="C1869" s="3" t="s">
        <v>4281</v>
      </c>
      <c r="D1869" s="3" t="s">
        <v>4794</v>
      </c>
      <c r="E1869" s="3" t="s">
        <v>4870</v>
      </c>
      <c r="F1869" s="3" t="s">
        <v>1880</v>
      </c>
      <c r="G1869" s="3">
        <v>27.639199999999999</v>
      </c>
      <c r="H1869" s="3" t="s">
        <v>4644</v>
      </c>
      <c r="I1869" s="3" t="s">
        <v>4645</v>
      </c>
      <c r="J1869" s="3" t="s">
        <v>4695</v>
      </c>
      <c r="K1869" s="3">
        <v>51</v>
      </c>
      <c r="L1869" s="3" t="s">
        <v>4647</v>
      </c>
    </row>
    <row r="1870" spans="1:12" ht="33.75" customHeight="1" x14ac:dyDescent="0.25">
      <c r="A1870" s="13" t="s">
        <v>4282</v>
      </c>
      <c r="B1870" s="2" t="s">
        <v>1884</v>
      </c>
      <c r="C1870" s="2" t="s">
        <v>4283</v>
      </c>
      <c r="D1870" s="2" t="s">
        <v>4794</v>
      </c>
      <c r="E1870" s="2" t="s">
        <v>4871</v>
      </c>
      <c r="F1870" s="2" t="s">
        <v>1886</v>
      </c>
      <c r="G1870" s="2">
        <v>27.639199999999999</v>
      </c>
      <c r="H1870" s="2" t="s">
        <v>4644</v>
      </c>
      <c r="I1870" s="2" t="s">
        <v>4645</v>
      </c>
      <c r="J1870" s="2" t="s">
        <v>4723</v>
      </c>
      <c r="K1870" s="2">
        <v>42</v>
      </c>
      <c r="L1870" s="2" t="s">
        <v>4647</v>
      </c>
    </row>
    <row r="1871" spans="1:12" ht="33.75" customHeight="1" x14ac:dyDescent="0.25">
      <c r="A1871" s="14" t="s">
        <v>4284</v>
      </c>
      <c r="B1871" s="3" t="s">
        <v>1884</v>
      </c>
      <c r="C1871" s="3" t="s">
        <v>4285</v>
      </c>
      <c r="D1871" s="3" t="s">
        <v>4794</v>
      </c>
      <c r="E1871" s="3" t="s">
        <v>4871</v>
      </c>
      <c r="F1871" s="3" t="s">
        <v>1886</v>
      </c>
      <c r="G1871" s="3">
        <v>27.639199999999999</v>
      </c>
      <c r="H1871" s="3" t="s">
        <v>4644</v>
      </c>
      <c r="I1871" s="3" t="s">
        <v>4645</v>
      </c>
      <c r="J1871" s="3" t="s">
        <v>4693</v>
      </c>
      <c r="K1871" s="3">
        <v>42</v>
      </c>
      <c r="L1871" s="3" t="s">
        <v>4647</v>
      </c>
    </row>
    <row r="1872" spans="1:12" ht="33.75" customHeight="1" x14ac:dyDescent="0.25">
      <c r="A1872" s="13" t="s">
        <v>4286</v>
      </c>
      <c r="B1872" s="2" t="s">
        <v>2696</v>
      </c>
      <c r="C1872" s="2" t="s">
        <v>4287</v>
      </c>
      <c r="D1872" s="2" t="s">
        <v>4794</v>
      </c>
      <c r="E1872" s="2" t="s">
        <v>4934</v>
      </c>
      <c r="F1872" s="2" t="s">
        <v>2698</v>
      </c>
      <c r="G1872" s="2">
        <v>27.639199999999999</v>
      </c>
      <c r="H1872" s="2" t="s">
        <v>4644</v>
      </c>
      <c r="I1872" s="2" t="s">
        <v>4645</v>
      </c>
      <c r="J1872" s="2" t="s">
        <v>4697</v>
      </c>
      <c r="K1872" s="2">
        <v>36</v>
      </c>
      <c r="L1872" s="2" t="s">
        <v>4647</v>
      </c>
    </row>
    <row r="1873" spans="1:12" ht="33.75" customHeight="1" x14ac:dyDescent="0.25">
      <c r="A1873" s="14" t="s">
        <v>4288</v>
      </c>
      <c r="B1873" s="3" t="s">
        <v>390</v>
      </c>
      <c r="C1873" s="3" t="s">
        <v>4289</v>
      </c>
      <c r="D1873" s="3" t="s">
        <v>5034</v>
      </c>
      <c r="E1873" s="3" t="s">
        <v>4728</v>
      </c>
      <c r="F1873" s="3" t="s">
        <v>392</v>
      </c>
      <c r="G1873" s="3">
        <v>35.367600000000003</v>
      </c>
      <c r="H1873" s="3" t="s">
        <v>4644</v>
      </c>
      <c r="I1873" s="3" t="s">
        <v>4645</v>
      </c>
      <c r="J1873" s="3" t="s">
        <v>4729</v>
      </c>
      <c r="K1873" s="3">
        <v>120</v>
      </c>
      <c r="L1873" s="3" t="s">
        <v>4647</v>
      </c>
    </row>
    <row r="1874" spans="1:12" ht="33.75" customHeight="1" x14ac:dyDescent="0.25">
      <c r="A1874" s="13" t="s">
        <v>4290</v>
      </c>
      <c r="B1874" s="2" t="s">
        <v>382</v>
      </c>
      <c r="C1874" s="2" t="s">
        <v>4291</v>
      </c>
      <c r="D1874" s="2" t="s">
        <v>5034</v>
      </c>
      <c r="E1874" s="2" t="s">
        <v>4725</v>
      </c>
      <c r="F1874" s="2" t="s">
        <v>384</v>
      </c>
      <c r="G1874" s="2">
        <v>35.3172</v>
      </c>
      <c r="H1874" s="2" t="s">
        <v>4644</v>
      </c>
      <c r="I1874" s="2" t="s">
        <v>4645</v>
      </c>
      <c r="J1874" s="2" t="s">
        <v>4726</v>
      </c>
      <c r="K1874" s="2">
        <v>96</v>
      </c>
      <c r="L1874" s="2" t="s">
        <v>4647</v>
      </c>
    </row>
    <row r="1875" spans="1:12" ht="33.75" customHeight="1" x14ac:dyDescent="0.25">
      <c r="A1875" s="14" t="s">
        <v>4292</v>
      </c>
      <c r="B1875" s="3" t="s">
        <v>418</v>
      </c>
      <c r="C1875" s="3" t="s">
        <v>4293</v>
      </c>
      <c r="D1875" s="3" t="s">
        <v>5034</v>
      </c>
      <c r="E1875" s="3" t="s">
        <v>4734</v>
      </c>
      <c r="F1875" s="3" t="s">
        <v>420</v>
      </c>
      <c r="G1875" s="3">
        <v>30.655200000000001</v>
      </c>
      <c r="H1875" s="3" t="s">
        <v>4644</v>
      </c>
      <c r="I1875" s="3" t="s">
        <v>4645</v>
      </c>
      <c r="J1875" s="3" t="s">
        <v>4735</v>
      </c>
      <c r="K1875" s="3">
        <v>72</v>
      </c>
      <c r="L1875" s="3" t="s">
        <v>4647</v>
      </c>
    </row>
    <row r="1876" spans="1:12" ht="33.75" customHeight="1" x14ac:dyDescent="0.25">
      <c r="A1876" s="13" t="s">
        <v>4294</v>
      </c>
      <c r="B1876" s="2" t="s">
        <v>404</v>
      </c>
      <c r="C1876" s="2" t="s">
        <v>4295</v>
      </c>
      <c r="D1876" s="2" t="s">
        <v>5034</v>
      </c>
      <c r="E1876" s="2" t="s">
        <v>4731</v>
      </c>
      <c r="F1876" s="2" t="s">
        <v>406</v>
      </c>
      <c r="G1876" s="2">
        <v>29.999199999999998</v>
      </c>
      <c r="H1876" s="2" t="s">
        <v>4644</v>
      </c>
      <c r="I1876" s="2" t="s">
        <v>4645</v>
      </c>
      <c r="J1876" s="2" t="s">
        <v>4695</v>
      </c>
      <c r="K1876" s="2">
        <v>63</v>
      </c>
      <c r="L1876" s="2" t="s">
        <v>4647</v>
      </c>
    </row>
    <row r="1877" spans="1:12" ht="33.75" customHeight="1" x14ac:dyDescent="0.25">
      <c r="A1877" s="14" t="s">
        <v>4296</v>
      </c>
      <c r="B1877" s="3" t="s">
        <v>794</v>
      </c>
      <c r="C1877" s="3" t="s">
        <v>4297</v>
      </c>
      <c r="D1877" s="3" t="s">
        <v>5034</v>
      </c>
      <c r="E1877" s="3" t="s">
        <v>4791</v>
      </c>
      <c r="F1877" s="3" t="s">
        <v>796</v>
      </c>
      <c r="G1877" s="3">
        <v>34.151200000000003</v>
      </c>
      <c r="H1877" s="3" t="s">
        <v>4644</v>
      </c>
      <c r="I1877" s="3" t="s">
        <v>4645</v>
      </c>
      <c r="J1877" s="3" t="s">
        <v>4770</v>
      </c>
      <c r="K1877" s="3">
        <v>63</v>
      </c>
      <c r="L1877" s="3" t="s">
        <v>4647</v>
      </c>
    </row>
    <row r="1878" spans="1:12" ht="33.75" customHeight="1" x14ac:dyDescent="0.25">
      <c r="A1878" s="13" t="s">
        <v>4298</v>
      </c>
      <c r="B1878" s="2" t="s">
        <v>386</v>
      </c>
      <c r="C1878" s="2" t="s">
        <v>4299</v>
      </c>
      <c r="D1878" s="2" t="s">
        <v>5034</v>
      </c>
      <c r="E1878" s="2" t="s">
        <v>4727</v>
      </c>
      <c r="F1878" s="2" t="s">
        <v>388</v>
      </c>
      <c r="G1878" s="2">
        <v>33.783799999999999</v>
      </c>
      <c r="H1878" s="2" t="s">
        <v>4644</v>
      </c>
      <c r="I1878" s="2" t="s">
        <v>4645</v>
      </c>
      <c r="J1878" s="2" t="s">
        <v>4721</v>
      </c>
      <c r="K1878" s="2">
        <v>54</v>
      </c>
      <c r="L1878" s="2" t="s">
        <v>4647</v>
      </c>
    </row>
    <row r="1879" spans="1:12" ht="33.75" customHeight="1" x14ac:dyDescent="0.25">
      <c r="A1879" s="14" t="s">
        <v>4300</v>
      </c>
      <c r="B1879" s="3" t="s">
        <v>324</v>
      </c>
      <c r="C1879" s="3" t="s">
        <v>4301</v>
      </c>
      <c r="D1879" s="3" t="s">
        <v>5034</v>
      </c>
      <c r="E1879" s="3" t="s">
        <v>4704</v>
      </c>
      <c r="F1879" s="3" t="s">
        <v>326</v>
      </c>
      <c r="G1879" s="3">
        <v>29.719200000000001</v>
      </c>
      <c r="H1879" s="3" t="s">
        <v>4644</v>
      </c>
      <c r="I1879" s="3" t="s">
        <v>4645</v>
      </c>
      <c r="J1879" s="3" t="s">
        <v>4697</v>
      </c>
      <c r="K1879" s="3">
        <v>45</v>
      </c>
      <c r="L1879" s="3" t="s">
        <v>4647</v>
      </c>
    </row>
    <row r="1880" spans="1:12" ht="33.75" customHeight="1" x14ac:dyDescent="0.25">
      <c r="A1880" s="13" t="s">
        <v>4302</v>
      </c>
      <c r="B1880" s="2" t="s">
        <v>226</v>
      </c>
      <c r="C1880" s="2" t="s">
        <v>4303</v>
      </c>
      <c r="D1880" s="2" t="s">
        <v>4714</v>
      </c>
      <c r="E1880" s="2" t="s">
        <v>4688</v>
      </c>
      <c r="F1880" s="2" t="s">
        <v>228</v>
      </c>
      <c r="G1880" s="2">
        <v>30.6632</v>
      </c>
      <c r="H1880" s="2" t="s">
        <v>4644</v>
      </c>
      <c r="I1880" s="2" t="s">
        <v>4645</v>
      </c>
      <c r="J1880" s="2" t="s">
        <v>4650</v>
      </c>
      <c r="K1880" s="2">
        <v>24</v>
      </c>
      <c r="L1880" s="2" t="s">
        <v>4647</v>
      </c>
    </row>
    <row r="1881" spans="1:12" ht="33.75" customHeight="1" x14ac:dyDescent="0.25">
      <c r="A1881" s="14" t="s">
        <v>4304</v>
      </c>
      <c r="B1881" s="3" t="s">
        <v>112</v>
      </c>
      <c r="C1881" s="3" t="s">
        <v>4305</v>
      </c>
      <c r="D1881" s="3" t="s">
        <v>4714</v>
      </c>
      <c r="E1881" s="3" t="s">
        <v>4660</v>
      </c>
      <c r="F1881" s="3" t="s">
        <v>114</v>
      </c>
      <c r="G1881" s="3">
        <v>30.7682</v>
      </c>
      <c r="H1881" s="3" t="s">
        <v>4644</v>
      </c>
      <c r="I1881" s="3" t="s">
        <v>4645</v>
      </c>
      <c r="J1881" s="3" t="s">
        <v>4652</v>
      </c>
      <c r="K1881" s="3">
        <v>21</v>
      </c>
      <c r="L1881" s="3" t="s">
        <v>4647</v>
      </c>
    </row>
    <row r="1882" spans="1:12" ht="33.75" customHeight="1" x14ac:dyDescent="0.25">
      <c r="A1882" s="13" t="s">
        <v>4306</v>
      </c>
      <c r="B1882" s="2" t="s">
        <v>156</v>
      </c>
      <c r="C1882" s="2" t="s">
        <v>4307</v>
      </c>
      <c r="D1882" s="2" t="s">
        <v>4714</v>
      </c>
      <c r="E1882" s="2" t="s">
        <v>4670</v>
      </c>
      <c r="F1882" s="2" t="s">
        <v>158</v>
      </c>
      <c r="G1882" s="2">
        <v>30.987200000000001</v>
      </c>
      <c r="H1882" s="2" t="s">
        <v>4644</v>
      </c>
      <c r="I1882" s="2" t="s">
        <v>4645</v>
      </c>
      <c r="J1882" s="2" t="s">
        <v>4646</v>
      </c>
      <c r="K1882" s="2">
        <v>18</v>
      </c>
      <c r="L1882" s="2" t="s">
        <v>4647</v>
      </c>
    </row>
    <row r="1883" spans="1:12" ht="33.75" customHeight="1" x14ac:dyDescent="0.25">
      <c r="A1883" s="14" t="s">
        <v>4308</v>
      </c>
      <c r="B1883" s="3" t="s">
        <v>418</v>
      </c>
      <c r="C1883" s="3" t="s">
        <v>4309</v>
      </c>
      <c r="D1883" s="3"/>
      <c r="E1883" s="3" t="s">
        <v>4734</v>
      </c>
      <c r="F1883" s="3" t="s">
        <v>420</v>
      </c>
      <c r="G1883" s="3">
        <v>30.655200000000001</v>
      </c>
      <c r="H1883" s="3" t="s">
        <v>4644</v>
      </c>
      <c r="I1883" s="3" t="s">
        <v>4645</v>
      </c>
      <c r="J1883" s="3" t="s">
        <v>4735</v>
      </c>
      <c r="K1883" s="3">
        <v>72</v>
      </c>
      <c r="L1883" s="3" t="s">
        <v>4647</v>
      </c>
    </row>
    <row r="1884" spans="1:12" ht="33.75" customHeight="1" x14ac:dyDescent="0.25">
      <c r="A1884" s="13" t="s">
        <v>4310</v>
      </c>
      <c r="B1884" s="2" t="s">
        <v>390</v>
      </c>
      <c r="C1884" s="2" t="s">
        <v>4311</v>
      </c>
      <c r="D1884" s="2"/>
      <c r="E1884" s="2" t="s">
        <v>4728</v>
      </c>
      <c r="F1884" s="2" t="s">
        <v>392</v>
      </c>
      <c r="G1884" s="2">
        <v>35.367600000000003</v>
      </c>
      <c r="H1884" s="2" t="s">
        <v>4644</v>
      </c>
      <c r="I1884" s="2" t="s">
        <v>4645</v>
      </c>
      <c r="J1884" s="2" t="s">
        <v>4729</v>
      </c>
      <c r="K1884" s="2">
        <v>120</v>
      </c>
      <c r="L1884" s="2" t="s">
        <v>4647</v>
      </c>
    </row>
    <row r="1885" spans="1:12" ht="33.75" customHeight="1" x14ac:dyDescent="0.25">
      <c r="A1885" s="14" t="s">
        <v>4312</v>
      </c>
      <c r="B1885" s="3" t="s">
        <v>390</v>
      </c>
      <c r="C1885" s="3" t="s">
        <v>4313</v>
      </c>
      <c r="D1885" s="3"/>
      <c r="E1885" s="3" t="s">
        <v>4728</v>
      </c>
      <c r="F1885" s="3" t="s">
        <v>392</v>
      </c>
      <c r="G1885" s="3">
        <v>35.367600000000003</v>
      </c>
      <c r="H1885" s="3" t="s">
        <v>4644</v>
      </c>
      <c r="I1885" s="3" t="s">
        <v>4645</v>
      </c>
      <c r="J1885" s="3" t="s">
        <v>4729</v>
      </c>
      <c r="K1885" s="3">
        <v>120</v>
      </c>
      <c r="L1885" s="3" t="s">
        <v>4647</v>
      </c>
    </row>
    <row r="1886" spans="1:12" ht="33.75" customHeight="1" x14ac:dyDescent="0.25">
      <c r="A1886" s="13" t="s">
        <v>4314</v>
      </c>
      <c r="B1886" s="2" t="s">
        <v>390</v>
      </c>
      <c r="C1886" s="2" t="s">
        <v>4315</v>
      </c>
      <c r="D1886" s="2"/>
      <c r="E1886" s="2" t="s">
        <v>4728</v>
      </c>
      <c r="F1886" s="2" t="s">
        <v>392</v>
      </c>
      <c r="G1886" s="2">
        <v>35.367600000000003</v>
      </c>
      <c r="H1886" s="2" t="s">
        <v>4644</v>
      </c>
      <c r="I1886" s="2" t="s">
        <v>4645</v>
      </c>
      <c r="J1886" s="2" t="s">
        <v>4729</v>
      </c>
      <c r="K1886" s="2">
        <v>120</v>
      </c>
      <c r="L1886" s="2" t="s">
        <v>4647</v>
      </c>
    </row>
    <row r="1887" spans="1:12" ht="33.75" customHeight="1" x14ac:dyDescent="0.25">
      <c r="A1887" s="14" t="s">
        <v>4316</v>
      </c>
      <c r="B1887" s="3" t="s">
        <v>382</v>
      </c>
      <c r="C1887" s="3" t="s">
        <v>1680</v>
      </c>
      <c r="D1887" s="3"/>
      <c r="E1887" s="3" t="s">
        <v>4725</v>
      </c>
      <c r="F1887" s="3" t="s">
        <v>384</v>
      </c>
      <c r="G1887" s="3">
        <v>35.3172</v>
      </c>
      <c r="H1887" s="3" t="s">
        <v>4644</v>
      </c>
      <c r="I1887" s="3" t="s">
        <v>4645</v>
      </c>
      <c r="J1887" s="3" t="s">
        <v>4726</v>
      </c>
      <c r="K1887" s="3">
        <v>96</v>
      </c>
      <c r="L1887" s="3" t="s">
        <v>4647</v>
      </c>
    </row>
    <row r="1888" spans="1:12" ht="33.75" customHeight="1" x14ac:dyDescent="0.25">
      <c r="A1888" s="13" t="s">
        <v>4317</v>
      </c>
      <c r="B1888" s="2" t="s">
        <v>382</v>
      </c>
      <c r="C1888" s="2" t="s">
        <v>4318</v>
      </c>
      <c r="D1888" s="2"/>
      <c r="E1888" s="2" t="s">
        <v>4725</v>
      </c>
      <c r="F1888" s="2" t="s">
        <v>384</v>
      </c>
      <c r="G1888" s="2">
        <v>35.3172</v>
      </c>
      <c r="H1888" s="2" t="s">
        <v>4644</v>
      </c>
      <c r="I1888" s="2" t="s">
        <v>4645</v>
      </c>
      <c r="J1888" s="2" t="s">
        <v>4726</v>
      </c>
      <c r="K1888" s="2">
        <v>96</v>
      </c>
      <c r="L1888" s="2" t="s">
        <v>4647</v>
      </c>
    </row>
    <row r="1889" spans="1:12" ht="33.75" customHeight="1" x14ac:dyDescent="0.25">
      <c r="A1889" s="14" t="s">
        <v>4319</v>
      </c>
      <c r="B1889" s="3" t="s">
        <v>400</v>
      </c>
      <c r="C1889" s="3" t="s">
        <v>4320</v>
      </c>
      <c r="D1889" s="3"/>
      <c r="E1889" s="3" t="s">
        <v>4730</v>
      </c>
      <c r="F1889" s="3" t="s">
        <v>402</v>
      </c>
      <c r="G1889" s="3">
        <v>34.332239999999999</v>
      </c>
      <c r="H1889" s="3" t="s">
        <v>4644</v>
      </c>
      <c r="I1889" s="3" t="s">
        <v>4645</v>
      </c>
      <c r="J1889" s="3" t="s">
        <v>4719</v>
      </c>
      <c r="K1889" s="3">
        <v>72</v>
      </c>
      <c r="L1889" s="3" t="s">
        <v>4647</v>
      </c>
    </row>
    <row r="1890" spans="1:12" ht="33.75" customHeight="1" x14ac:dyDescent="0.25">
      <c r="A1890" s="13" t="s">
        <v>4321</v>
      </c>
      <c r="B1890" s="2" t="s">
        <v>794</v>
      </c>
      <c r="C1890" s="2" t="s">
        <v>4322</v>
      </c>
      <c r="D1890" s="2"/>
      <c r="E1890" s="2" t="s">
        <v>4791</v>
      </c>
      <c r="F1890" s="2" t="s">
        <v>796</v>
      </c>
      <c r="G1890" s="2">
        <v>34.151200000000003</v>
      </c>
      <c r="H1890" s="2" t="s">
        <v>4644</v>
      </c>
      <c r="I1890" s="2" t="s">
        <v>4645</v>
      </c>
      <c r="J1890" s="2" t="s">
        <v>4770</v>
      </c>
      <c r="K1890" s="2">
        <v>63</v>
      </c>
      <c r="L1890" s="2" t="s">
        <v>4647</v>
      </c>
    </row>
    <row r="1891" spans="1:12" ht="33.75" customHeight="1" x14ac:dyDescent="0.25">
      <c r="A1891" s="14" t="s">
        <v>4323</v>
      </c>
      <c r="B1891" s="3" t="s">
        <v>794</v>
      </c>
      <c r="C1891" s="3" t="s">
        <v>4324</v>
      </c>
      <c r="D1891" s="3"/>
      <c r="E1891" s="3" t="s">
        <v>4791</v>
      </c>
      <c r="F1891" s="3" t="s">
        <v>796</v>
      </c>
      <c r="G1891" s="3">
        <v>34.151200000000003</v>
      </c>
      <c r="H1891" s="3" t="s">
        <v>4644</v>
      </c>
      <c r="I1891" s="3" t="s">
        <v>4645</v>
      </c>
      <c r="J1891" s="3" t="s">
        <v>4770</v>
      </c>
      <c r="K1891" s="3">
        <v>63</v>
      </c>
      <c r="L1891" s="3" t="s">
        <v>4647</v>
      </c>
    </row>
    <row r="1892" spans="1:12" ht="33.75" customHeight="1" x14ac:dyDescent="0.25">
      <c r="A1892" s="13" t="s">
        <v>4325</v>
      </c>
      <c r="B1892" s="2" t="s">
        <v>386</v>
      </c>
      <c r="C1892" s="2" t="s">
        <v>4326</v>
      </c>
      <c r="D1892" s="2"/>
      <c r="E1892" s="2" t="s">
        <v>4727</v>
      </c>
      <c r="F1892" s="2" t="s">
        <v>388</v>
      </c>
      <c r="G1892" s="2">
        <v>33.783799999999999</v>
      </c>
      <c r="H1892" s="2" t="s">
        <v>4644</v>
      </c>
      <c r="I1892" s="2" t="s">
        <v>4645</v>
      </c>
      <c r="J1892" s="2" t="s">
        <v>4721</v>
      </c>
      <c r="K1892" s="2">
        <v>54</v>
      </c>
      <c r="L1892" s="2" t="s">
        <v>4647</v>
      </c>
    </row>
    <row r="1893" spans="1:12" ht="33.75" customHeight="1" x14ac:dyDescent="0.25">
      <c r="A1893" s="14" t="s">
        <v>4327</v>
      </c>
      <c r="B1893" s="3" t="s">
        <v>386</v>
      </c>
      <c r="C1893" s="3" t="s">
        <v>4328</v>
      </c>
      <c r="D1893" s="3"/>
      <c r="E1893" s="3" t="s">
        <v>4727</v>
      </c>
      <c r="F1893" s="3" t="s">
        <v>388</v>
      </c>
      <c r="G1893" s="3">
        <v>33.783799999999999</v>
      </c>
      <c r="H1893" s="3" t="s">
        <v>4644</v>
      </c>
      <c r="I1893" s="3" t="s">
        <v>4645</v>
      </c>
      <c r="J1893" s="3" t="s">
        <v>4721</v>
      </c>
      <c r="K1893" s="3">
        <v>54</v>
      </c>
      <c r="L1893" s="3" t="s">
        <v>4647</v>
      </c>
    </row>
    <row r="1894" spans="1:12" ht="33.75" customHeight="1" x14ac:dyDescent="0.25">
      <c r="A1894" s="13" t="s">
        <v>4329</v>
      </c>
      <c r="B1894" s="2" t="s">
        <v>386</v>
      </c>
      <c r="C1894" s="2" t="s">
        <v>4330</v>
      </c>
      <c r="D1894" s="2"/>
      <c r="E1894" s="2" t="s">
        <v>4727</v>
      </c>
      <c r="F1894" s="2" t="s">
        <v>388</v>
      </c>
      <c r="G1894" s="2">
        <v>33.783799999999999</v>
      </c>
      <c r="H1894" s="2" t="s">
        <v>4644</v>
      </c>
      <c r="I1894" s="2" t="s">
        <v>4645</v>
      </c>
      <c r="J1894" s="2" t="s">
        <v>4721</v>
      </c>
      <c r="K1894" s="2">
        <v>54</v>
      </c>
      <c r="L1894" s="2" t="s">
        <v>4647</v>
      </c>
    </row>
    <row r="1895" spans="1:12" ht="33.75" customHeight="1" x14ac:dyDescent="0.25">
      <c r="A1895" s="14" t="s">
        <v>4331</v>
      </c>
      <c r="B1895" s="3" t="s">
        <v>324</v>
      </c>
      <c r="C1895" s="3" t="s">
        <v>4332</v>
      </c>
      <c r="D1895" s="3"/>
      <c r="E1895" s="3" t="s">
        <v>4704</v>
      </c>
      <c r="F1895" s="3" t="s">
        <v>326</v>
      </c>
      <c r="G1895" s="3">
        <v>29.719200000000001</v>
      </c>
      <c r="H1895" s="3" t="s">
        <v>4644</v>
      </c>
      <c r="I1895" s="3" t="s">
        <v>4645</v>
      </c>
      <c r="J1895" s="3" t="s">
        <v>4697</v>
      </c>
      <c r="K1895" s="3">
        <v>45</v>
      </c>
      <c r="L1895" s="3" t="s">
        <v>4647</v>
      </c>
    </row>
    <row r="1896" spans="1:12" ht="33.75" customHeight="1" x14ac:dyDescent="0.25">
      <c r="A1896" s="13" t="s">
        <v>4333</v>
      </c>
      <c r="B1896" s="2" t="s">
        <v>400</v>
      </c>
      <c r="C1896" s="2" t="s">
        <v>4334</v>
      </c>
      <c r="D1896" s="2"/>
      <c r="E1896" s="2" t="s">
        <v>4730</v>
      </c>
      <c r="F1896" s="2" t="s">
        <v>402</v>
      </c>
      <c r="G1896" s="2">
        <v>34.332239999999999</v>
      </c>
      <c r="H1896" s="2" t="s">
        <v>4644</v>
      </c>
      <c r="I1896" s="2" t="s">
        <v>4645</v>
      </c>
      <c r="J1896" s="2" t="s">
        <v>4719</v>
      </c>
      <c r="K1896" s="2">
        <v>72</v>
      </c>
      <c r="L1896" s="2" t="s">
        <v>4647</v>
      </c>
    </row>
    <row r="1897" spans="1:12" ht="33.75" customHeight="1" x14ac:dyDescent="0.25">
      <c r="A1897" s="14" t="s">
        <v>4335</v>
      </c>
      <c r="B1897" s="3" t="s">
        <v>77</v>
      </c>
      <c r="C1897" s="3" t="s">
        <v>4336</v>
      </c>
      <c r="D1897" s="3"/>
      <c r="E1897" s="3" t="s">
        <v>4654</v>
      </c>
      <c r="F1897" s="3" t="s">
        <v>79</v>
      </c>
      <c r="G1897" s="3">
        <v>31.699200000000001</v>
      </c>
      <c r="H1897" s="3" t="s">
        <v>4644</v>
      </c>
      <c r="I1897" s="3" t="s">
        <v>4645</v>
      </c>
      <c r="J1897" s="3" t="s">
        <v>4650</v>
      </c>
      <c r="K1897" s="3">
        <v>30</v>
      </c>
      <c r="L1897" s="3" t="s">
        <v>4647</v>
      </c>
    </row>
    <row r="1898" spans="1:12" ht="33.75" customHeight="1" x14ac:dyDescent="0.25">
      <c r="A1898" s="13" t="s">
        <v>4337</v>
      </c>
      <c r="B1898" s="2" t="s">
        <v>57</v>
      </c>
      <c r="C1898" s="2" t="s">
        <v>4338</v>
      </c>
      <c r="D1898" s="2"/>
      <c r="E1898" s="2" t="s">
        <v>4643</v>
      </c>
      <c r="F1898" s="2" t="s">
        <v>59</v>
      </c>
      <c r="G1898" s="2">
        <v>31.825199999999999</v>
      </c>
      <c r="H1898" s="2" t="s">
        <v>4644</v>
      </c>
      <c r="I1898" s="2" t="s">
        <v>4645</v>
      </c>
      <c r="J1898" s="2" t="s">
        <v>4646</v>
      </c>
      <c r="K1898" s="2">
        <v>21</v>
      </c>
      <c r="L1898" s="2" t="s">
        <v>4647</v>
      </c>
    </row>
    <row r="1899" spans="1:12" ht="33.75" customHeight="1" x14ac:dyDescent="0.25">
      <c r="A1899" s="14" t="s">
        <v>4339</v>
      </c>
      <c r="B1899" s="3" t="s">
        <v>77</v>
      </c>
      <c r="C1899" s="3" t="s">
        <v>4340</v>
      </c>
      <c r="D1899" s="3"/>
      <c r="E1899" s="3" t="s">
        <v>4654</v>
      </c>
      <c r="F1899" s="3" t="s">
        <v>79</v>
      </c>
      <c r="G1899" s="3">
        <v>31.699200000000001</v>
      </c>
      <c r="H1899" s="3" t="s">
        <v>4644</v>
      </c>
      <c r="I1899" s="3" t="s">
        <v>4645</v>
      </c>
      <c r="J1899" s="3" t="s">
        <v>4650</v>
      </c>
      <c r="K1899" s="3">
        <v>30</v>
      </c>
      <c r="L1899" s="3" t="s">
        <v>4647</v>
      </c>
    </row>
    <row r="1900" spans="1:12" ht="33.75" customHeight="1" x14ac:dyDescent="0.25">
      <c r="A1900" s="13" t="s">
        <v>4341</v>
      </c>
      <c r="B1900" s="2" t="s">
        <v>89</v>
      </c>
      <c r="C1900" s="2" t="s">
        <v>4342</v>
      </c>
      <c r="D1900" s="2"/>
      <c r="E1900" s="2" t="s">
        <v>4659</v>
      </c>
      <c r="F1900" s="2" t="s">
        <v>91</v>
      </c>
      <c r="G1900" s="2">
        <v>32.389200000000002</v>
      </c>
      <c r="H1900" s="2" t="s">
        <v>4644</v>
      </c>
      <c r="I1900" s="2" t="s">
        <v>4645</v>
      </c>
      <c r="J1900" s="2" t="s">
        <v>4652</v>
      </c>
      <c r="K1900" s="2">
        <v>30</v>
      </c>
      <c r="L1900" s="2" t="s">
        <v>4647</v>
      </c>
    </row>
    <row r="1901" spans="1:12" ht="33.75" customHeight="1" x14ac:dyDescent="0.25">
      <c r="A1901" s="14" t="s">
        <v>4343</v>
      </c>
      <c r="B1901" s="3" t="s">
        <v>120</v>
      </c>
      <c r="C1901" s="3" t="s">
        <v>4344</v>
      </c>
      <c r="D1901" s="3"/>
      <c r="E1901" s="3" t="s">
        <v>4662</v>
      </c>
      <c r="F1901" s="3" t="s">
        <v>122</v>
      </c>
      <c r="G1901" s="3">
        <v>33.349800000000002</v>
      </c>
      <c r="H1901" s="3" t="s">
        <v>4644</v>
      </c>
      <c r="I1901" s="3" t="s">
        <v>4645</v>
      </c>
      <c r="J1901" s="3" t="s">
        <v>4656</v>
      </c>
      <c r="K1901" s="3">
        <v>45</v>
      </c>
      <c r="L1901" s="3" t="s">
        <v>4647</v>
      </c>
    </row>
    <row r="1902" spans="1:12" ht="33.75" customHeight="1" x14ac:dyDescent="0.25">
      <c r="A1902" s="13" t="s">
        <v>4345</v>
      </c>
      <c r="B1902" s="2" t="s">
        <v>990</v>
      </c>
      <c r="C1902" s="2" t="s">
        <v>4346</v>
      </c>
      <c r="D1902" s="2" t="s">
        <v>4702</v>
      </c>
      <c r="E1902" s="2" t="s">
        <v>4806</v>
      </c>
      <c r="F1902" s="2" t="s">
        <v>992</v>
      </c>
      <c r="G1902" s="2">
        <v>29.755199999999999</v>
      </c>
      <c r="H1902" s="2" t="s">
        <v>4644</v>
      </c>
      <c r="I1902" s="2" t="s">
        <v>4645</v>
      </c>
      <c r="J1902" s="2" t="s">
        <v>4723</v>
      </c>
      <c r="K1902" s="2">
        <v>54</v>
      </c>
      <c r="L1902" s="2" t="s">
        <v>4647</v>
      </c>
    </row>
    <row r="1903" spans="1:12" ht="33.75" customHeight="1" x14ac:dyDescent="0.25">
      <c r="A1903" s="14" t="s">
        <v>4347</v>
      </c>
      <c r="B1903" s="3" t="s">
        <v>404</v>
      </c>
      <c r="C1903" s="3" t="s">
        <v>4348</v>
      </c>
      <c r="D1903" s="3" t="s">
        <v>5035</v>
      </c>
      <c r="E1903" s="3" t="s">
        <v>4731</v>
      </c>
      <c r="F1903" s="3" t="s">
        <v>406</v>
      </c>
      <c r="G1903" s="3">
        <v>29.999199999999998</v>
      </c>
      <c r="H1903" s="3" t="s">
        <v>4644</v>
      </c>
      <c r="I1903" s="3" t="s">
        <v>4645</v>
      </c>
      <c r="J1903" s="3" t="s">
        <v>4695</v>
      </c>
      <c r="K1903" s="3">
        <v>63</v>
      </c>
      <c r="L1903" s="3" t="s">
        <v>4647</v>
      </c>
    </row>
    <row r="1904" spans="1:12" ht="33.75" customHeight="1" x14ac:dyDescent="0.25">
      <c r="A1904" s="13" t="s">
        <v>4349</v>
      </c>
      <c r="B1904" s="2" t="s">
        <v>57</v>
      </c>
      <c r="C1904" s="2" t="s">
        <v>4350</v>
      </c>
      <c r="D1904" s="2" t="s">
        <v>5035</v>
      </c>
      <c r="E1904" s="2" t="s">
        <v>4643</v>
      </c>
      <c r="F1904" s="2" t="s">
        <v>59</v>
      </c>
      <c r="G1904" s="2">
        <v>31.825199999999999</v>
      </c>
      <c r="H1904" s="2" t="s">
        <v>4644</v>
      </c>
      <c r="I1904" s="2" t="s">
        <v>4645</v>
      </c>
      <c r="J1904" s="2" t="s">
        <v>4646</v>
      </c>
      <c r="K1904" s="2">
        <v>21</v>
      </c>
      <c r="L1904" s="2" t="s">
        <v>4647</v>
      </c>
    </row>
    <row r="1905" spans="1:12" ht="33.75" customHeight="1" x14ac:dyDescent="0.25">
      <c r="A1905" s="14" t="s">
        <v>4351</v>
      </c>
      <c r="B1905" s="3" t="s">
        <v>990</v>
      </c>
      <c r="C1905" s="3" t="s">
        <v>4352</v>
      </c>
      <c r="D1905" s="3" t="s">
        <v>4711</v>
      </c>
      <c r="E1905" s="3" t="s">
        <v>4806</v>
      </c>
      <c r="F1905" s="3" t="s">
        <v>992</v>
      </c>
      <c r="G1905" s="3">
        <v>29.755199999999999</v>
      </c>
      <c r="H1905" s="3" t="s">
        <v>4644</v>
      </c>
      <c r="I1905" s="3" t="s">
        <v>4645</v>
      </c>
      <c r="J1905" s="3" t="s">
        <v>4723</v>
      </c>
      <c r="K1905" s="3">
        <v>54</v>
      </c>
      <c r="L1905" s="3" t="s">
        <v>4647</v>
      </c>
    </row>
    <row r="1906" spans="1:12" ht="33.75" customHeight="1" x14ac:dyDescent="0.25">
      <c r="A1906" s="13" t="s">
        <v>4353</v>
      </c>
      <c r="B1906" s="2" t="s">
        <v>404</v>
      </c>
      <c r="C1906" s="2" t="s">
        <v>4354</v>
      </c>
      <c r="D1906" s="2" t="s">
        <v>4711</v>
      </c>
      <c r="E1906" s="2" t="s">
        <v>4731</v>
      </c>
      <c r="F1906" s="2" t="s">
        <v>406</v>
      </c>
      <c r="G1906" s="2">
        <v>29.999199999999998</v>
      </c>
      <c r="H1906" s="2" t="s">
        <v>4644</v>
      </c>
      <c r="I1906" s="2" t="s">
        <v>4645</v>
      </c>
      <c r="J1906" s="2" t="s">
        <v>4695</v>
      </c>
      <c r="K1906" s="2">
        <v>63</v>
      </c>
      <c r="L1906" s="2" t="s">
        <v>4647</v>
      </c>
    </row>
    <row r="1907" spans="1:12" ht="33.75" customHeight="1" x14ac:dyDescent="0.25">
      <c r="A1907" s="14" t="s">
        <v>4355</v>
      </c>
      <c r="B1907" s="3" t="s">
        <v>588</v>
      </c>
      <c r="C1907" s="3" t="s">
        <v>4356</v>
      </c>
      <c r="D1907" s="3" t="s">
        <v>4711</v>
      </c>
      <c r="E1907" s="3" t="s">
        <v>4761</v>
      </c>
      <c r="F1907" s="3" t="s">
        <v>590</v>
      </c>
      <c r="G1907" s="3">
        <v>29.869199999999999</v>
      </c>
      <c r="H1907" s="3" t="s">
        <v>4644</v>
      </c>
      <c r="I1907" s="3" t="s">
        <v>4645</v>
      </c>
      <c r="J1907" s="3" t="s">
        <v>4684</v>
      </c>
      <c r="K1907" s="3">
        <v>63</v>
      </c>
      <c r="L1907" s="3" t="s">
        <v>4647</v>
      </c>
    </row>
    <row r="1908" spans="1:12" ht="33.75" customHeight="1" x14ac:dyDescent="0.25">
      <c r="A1908" s="13" t="s">
        <v>4357</v>
      </c>
      <c r="B1908" s="2" t="s">
        <v>990</v>
      </c>
      <c r="C1908" s="2" t="s">
        <v>4358</v>
      </c>
      <c r="D1908" s="2" t="s">
        <v>4711</v>
      </c>
      <c r="E1908" s="2" t="s">
        <v>4806</v>
      </c>
      <c r="F1908" s="2" t="s">
        <v>992</v>
      </c>
      <c r="G1908" s="2">
        <v>29.755199999999999</v>
      </c>
      <c r="H1908" s="2" t="s">
        <v>4644</v>
      </c>
      <c r="I1908" s="2" t="s">
        <v>4645</v>
      </c>
      <c r="J1908" s="2" t="s">
        <v>4723</v>
      </c>
      <c r="K1908" s="2">
        <v>54</v>
      </c>
      <c r="L1908" s="2" t="s">
        <v>4647</v>
      </c>
    </row>
    <row r="1909" spans="1:12" ht="33.75" customHeight="1" x14ac:dyDescent="0.25">
      <c r="A1909" s="14" t="s">
        <v>4359</v>
      </c>
      <c r="B1909" s="3" t="s">
        <v>1008</v>
      </c>
      <c r="C1909" s="3" t="s">
        <v>4360</v>
      </c>
      <c r="D1909" s="3" t="s">
        <v>4711</v>
      </c>
      <c r="E1909" s="3" t="s">
        <v>4807</v>
      </c>
      <c r="F1909" s="3" t="s">
        <v>1010</v>
      </c>
      <c r="G1909" s="3">
        <v>30.4892</v>
      </c>
      <c r="H1909" s="3" t="s">
        <v>4644</v>
      </c>
      <c r="I1909" s="3" t="s">
        <v>4645</v>
      </c>
      <c r="J1909" s="3" t="s">
        <v>4710</v>
      </c>
      <c r="K1909" s="3">
        <v>87</v>
      </c>
      <c r="L1909" s="3" t="s">
        <v>4647</v>
      </c>
    </row>
    <row r="1910" spans="1:12" ht="33.75" customHeight="1" x14ac:dyDescent="0.25">
      <c r="A1910" s="13" t="s">
        <v>4361</v>
      </c>
      <c r="B1910" s="2" t="s">
        <v>588</v>
      </c>
      <c r="C1910" s="2" t="s">
        <v>4362</v>
      </c>
      <c r="D1910" s="2" t="s">
        <v>4711</v>
      </c>
      <c r="E1910" s="2" t="s">
        <v>4761</v>
      </c>
      <c r="F1910" s="2" t="s">
        <v>590</v>
      </c>
      <c r="G1910" s="2">
        <v>29.869199999999999</v>
      </c>
      <c r="H1910" s="2" t="s">
        <v>4644</v>
      </c>
      <c r="I1910" s="2" t="s">
        <v>4645</v>
      </c>
      <c r="J1910" s="2" t="s">
        <v>4684</v>
      </c>
      <c r="K1910" s="2">
        <v>63</v>
      </c>
      <c r="L1910" s="2" t="s">
        <v>4647</v>
      </c>
    </row>
    <row r="1911" spans="1:12" ht="33.75" customHeight="1" x14ac:dyDescent="0.25">
      <c r="A1911" s="14" t="s">
        <v>4363</v>
      </c>
      <c r="B1911" s="3" t="s">
        <v>990</v>
      </c>
      <c r="C1911" s="3" t="s">
        <v>4364</v>
      </c>
      <c r="D1911" s="3" t="s">
        <v>4711</v>
      </c>
      <c r="E1911" s="3" t="s">
        <v>4806</v>
      </c>
      <c r="F1911" s="3" t="s">
        <v>992</v>
      </c>
      <c r="G1911" s="3">
        <v>29.755199999999999</v>
      </c>
      <c r="H1911" s="3" t="s">
        <v>4644</v>
      </c>
      <c r="I1911" s="3" t="s">
        <v>4645</v>
      </c>
      <c r="J1911" s="3" t="s">
        <v>4693</v>
      </c>
      <c r="K1911" s="3">
        <v>54</v>
      </c>
      <c r="L1911" s="3" t="s">
        <v>4647</v>
      </c>
    </row>
    <row r="1912" spans="1:12" ht="33.75" customHeight="1" x14ac:dyDescent="0.25">
      <c r="A1912" s="13" t="s">
        <v>4365</v>
      </c>
      <c r="B1912" s="2" t="s">
        <v>112</v>
      </c>
      <c r="C1912" s="2" t="s">
        <v>4366</v>
      </c>
      <c r="D1912" s="2" t="s">
        <v>4882</v>
      </c>
      <c r="E1912" s="2" t="s">
        <v>4660</v>
      </c>
      <c r="F1912" s="2" t="s">
        <v>114</v>
      </c>
      <c r="G1912" s="2">
        <v>30.7682</v>
      </c>
      <c r="H1912" s="2" t="s">
        <v>4644</v>
      </c>
      <c r="I1912" s="2" t="s">
        <v>4645</v>
      </c>
      <c r="J1912" s="2" t="s">
        <v>4652</v>
      </c>
      <c r="K1912" s="2">
        <v>21</v>
      </c>
      <c r="L1912" s="2" t="s">
        <v>4647</v>
      </c>
    </row>
    <row r="1913" spans="1:12" ht="33.75" customHeight="1" x14ac:dyDescent="0.25">
      <c r="A1913" s="14" t="s">
        <v>4367</v>
      </c>
      <c r="B1913" s="3" t="s">
        <v>156</v>
      </c>
      <c r="C1913" s="3" t="s">
        <v>4368</v>
      </c>
      <c r="D1913" s="3" t="s">
        <v>4882</v>
      </c>
      <c r="E1913" s="3" t="s">
        <v>4670</v>
      </c>
      <c r="F1913" s="3" t="s">
        <v>158</v>
      </c>
      <c r="G1913" s="3">
        <v>30.987200000000001</v>
      </c>
      <c r="H1913" s="3" t="s">
        <v>4644</v>
      </c>
      <c r="I1913" s="3" t="s">
        <v>4645</v>
      </c>
      <c r="J1913" s="3" t="s">
        <v>4646</v>
      </c>
      <c r="K1913" s="3">
        <v>18</v>
      </c>
      <c r="L1913" s="3" t="s">
        <v>4647</v>
      </c>
    </row>
    <row r="1914" spans="1:12" ht="33.75" customHeight="1" x14ac:dyDescent="0.25">
      <c r="A1914" s="13" t="s">
        <v>4369</v>
      </c>
      <c r="B1914" s="2" t="s">
        <v>2450</v>
      </c>
      <c r="C1914" s="2" t="s">
        <v>4370</v>
      </c>
      <c r="D1914" s="2" t="s">
        <v>4915</v>
      </c>
      <c r="E1914" s="2" t="s">
        <v>4916</v>
      </c>
      <c r="F1914" s="2" t="s">
        <v>2452</v>
      </c>
      <c r="G1914" s="2">
        <v>28.126000000000001</v>
      </c>
      <c r="H1914" s="2" t="s">
        <v>4644</v>
      </c>
      <c r="I1914" s="2" t="s">
        <v>4645</v>
      </c>
      <c r="J1914" s="2" t="s">
        <v>4708</v>
      </c>
      <c r="K1914" s="2">
        <v>96</v>
      </c>
      <c r="L1914" s="2" t="s">
        <v>4647</v>
      </c>
    </row>
    <row r="1915" spans="1:12" ht="33.75" customHeight="1" x14ac:dyDescent="0.25">
      <c r="A1915" s="14" t="s">
        <v>4371</v>
      </c>
      <c r="B1915" s="3" t="s">
        <v>2037</v>
      </c>
      <c r="C1915" s="3" t="s">
        <v>4372</v>
      </c>
      <c r="D1915" s="3" t="s">
        <v>5005</v>
      </c>
      <c r="E1915" s="3" t="s">
        <v>4884</v>
      </c>
      <c r="F1915" s="3" t="s">
        <v>2039</v>
      </c>
      <c r="G1915" s="3">
        <v>31.226199999999999</v>
      </c>
      <c r="H1915" s="3" t="s">
        <v>4644</v>
      </c>
      <c r="I1915" s="3" t="s">
        <v>4645</v>
      </c>
      <c r="J1915" s="3" t="s">
        <v>4710</v>
      </c>
      <c r="K1915" s="3">
        <v>96</v>
      </c>
      <c r="L1915" s="3" t="s">
        <v>4647</v>
      </c>
    </row>
    <row r="1916" spans="1:12" ht="33.75" customHeight="1" x14ac:dyDescent="0.25">
      <c r="A1916" s="13" t="s">
        <v>4373</v>
      </c>
      <c r="B1916" s="2" t="s">
        <v>4374</v>
      </c>
      <c r="C1916" s="2" t="s">
        <v>4375</v>
      </c>
      <c r="D1916" s="2" t="s">
        <v>4741</v>
      </c>
      <c r="E1916" s="2" t="s">
        <v>5036</v>
      </c>
      <c r="F1916" s="2" t="s">
        <v>4376</v>
      </c>
      <c r="G1916" s="2">
        <v>29.326000000000001</v>
      </c>
      <c r="H1916" s="2" t="s">
        <v>4644</v>
      </c>
      <c r="I1916" s="2" t="s">
        <v>4645</v>
      </c>
      <c r="J1916" s="2" t="s">
        <v>4646</v>
      </c>
      <c r="K1916" s="2">
        <v>12</v>
      </c>
      <c r="L1916" s="2" t="s">
        <v>4647</v>
      </c>
    </row>
    <row r="1917" spans="1:12" ht="33.75" customHeight="1" x14ac:dyDescent="0.25">
      <c r="A1917" s="14" t="s">
        <v>4377</v>
      </c>
      <c r="B1917" s="3" t="s">
        <v>57</v>
      </c>
      <c r="C1917" s="3" t="s">
        <v>4378</v>
      </c>
      <c r="D1917" s="3"/>
      <c r="E1917" s="3" t="s">
        <v>4643</v>
      </c>
      <c r="F1917" s="3" t="s">
        <v>59</v>
      </c>
      <c r="G1917" s="3">
        <v>31.825199999999999</v>
      </c>
      <c r="H1917" s="3" t="s">
        <v>4644</v>
      </c>
      <c r="I1917" s="3" t="s">
        <v>4645</v>
      </c>
      <c r="J1917" s="3" t="s">
        <v>4646</v>
      </c>
      <c r="K1917" s="3">
        <v>21</v>
      </c>
      <c r="L1917" s="3" t="s">
        <v>4647</v>
      </c>
    </row>
    <row r="1918" spans="1:12" ht="33.75" customHeight="1" x14ac:dyDescent="0.25">
      <c r="A1918" s="13" t="s">
        <v>4379</v>
      </c>
      <c r="B1918" s="2" t="s">
        <v>878</v>
      </c>
      <c r="C1918" s="2" t="s">
        <v>4380</v>
      </c>
      <c r="D1918" s="2" t="s">
        <v>4741</v>
      </c>
      <c r="E1918" s="2" t="s">
        <v>4802</v>
      </c>
      <c r="F1918" s="2" t="s">
        <v>880</v>
      </c>
      <c r="G1918" s="2">
        <v>27.925999999999998</v>
      </c>
      <c r="H1918" s="2" t="s">
        <v>4644</v>
      </c>
      <c r="I1918" s="2" t="s">
        <v>4645</v>
      </c>
      <c r="J1918" s="2" t="s">
        <v>4695</v>
      </c>
      <c r="K1918" s="2">
        <v>51</v>
      </c>
      <c r="L1918" s="2" t="s">
        <v>4647</v>
      </c>
    </row>
    <row r="1919" spans="1:12" ht="33.75" customHeight="1" x14ac:dyDescent="0.25">
      <c r="A1919" s="14" t="s">
        <v>4381</v>
      </c>
      <c r="B1919" s="3" t="s">
        <v>878</v>
      </c>
      <c r="C1919" s="3" t="s">
        <v>4382</v>
      </c>
      <c r="D1919" s="3" t="s">
        <v>4741</v>
      </c>
      <c r="E1919" s="3" t="s">
        <v>4802</v>
      </c>
      <c r="F1919" s="3" t="s">
        <v>880</v>
      </c>
      <c r="G1919" s="3">
        <v>27.925999999999998</v>
      </c>
      <c r="H1919" s="3" t="s">
        <v>4644</v>
      </c>
      <c r="I1919" s="3" t="s">
        <v>4645</v>
      </c>
      <c r="J1919" s="3" t="s">
        <v>4684</v>
      </c>
      <c r="K1919" s="3">
        <v>51</v>
      </c>
      <c r="L1919" s="3" t="s">
        <v>4647</v>
      </c>
    </row>
    <row r="1920" spans="1:12" ht="33.75" customHeight="1" x14ac:dyDescent="0.25">
      <c r="A1920" s="13" t="s">
        <v>4383</v>
      </c>
      <c r="B1920" s="2" t="s">
        <v>826</v>
      </c>
      <c r="C1920" s="2" t="s">
        <v>4384</v>
      </c>
      <c r="D1920" s="2" t="s">
        <v>5031</v>
      </c>
      <c r="E1920" s="2" t="s">
        <v>4796</v>
      </c>
      <c r="F1920" s="2" t="s">
        <v>828</v>
      </c>
      <c r="G1920" s="2">
        <v>28.366</v>
      </c>
      <c r="H1920" s="2" t="s">
        <v>4644</v>
      </c>
      <c r="I1920" s="2" t="s">
        <v>4645</v>
      </c>
      <c r="J1920" s="2" t="s">
        <v>4710</v>
      </c>
      <c r="K1920" s="2">
        <v>72</v>
      </c>
      <c r="L1920" s="2" t="s">
        <v>4647</v>
      </c>
    </row>
    <row r="1921" spans="1:12" ht="33.75" customHeight="1" x14ac:dyDescent="0.25">
      <c r="A1921" s="14" t="s">
        <v>4385</v>
      </c>
      <c r="B1921" s="3" t="s">
        <v>826</v>
      </c>
      <c r="C1921" s="3" t="s">
        <v>4386</v>
      </c>
      <c r="D1921" s="3" t="s">
        <v>5031</v>
      </c>
      <c r="E1921" s="3" t="s">
        <v>4796</v>
      </c>
      <c r="F1921" s="3" t="s">
        <v>828</v>
      </c>
      <c r="G1921" s="3">
        <v>28.366</v>
      </c>
      <c r="H1921" s="3" t="s">
        <v>4644</v>
      </c>
      <c r="I1921" s="3" t="s">
        <v>4645</v>
      </c>
      <c r="J1921" s="3" t="s">
        <v>4733</v>
      </c>
      <c r="K1921" s="3">
        <v>72</v>
      </c>
      <c r="L1921" s="3" t="s">
        <v>4647</v>
      </c>
    </row>
    <row r="1922" spans="1:12" ht="33.75" customHeight="1" x14ac:dyDescent="0.25">
      <c r="A1922" s="13" t="s">
        <v>4387</v>
      </c>
      <c r="B1922" s="2" t="s">
        <v>1294</v>
      </c>
      <c r="C1922" s="2" t="s">
        <v>4388</v>
      </c>
      <c r="D1922" s="2" t="s">
        <v>5031</v>
      </c>
      <c r="E1922" s="2" t="s">
        <v>4819</v>
      </c>
      <c r="F1922" s="2" t="s">
        <v>1296</v>
      </c>
      <c r="G1922" s="2">
        <v>27.925999999999998</v>
      </c>
      <c r="H1922" s="2" t="s">
        <v>4644</v>
      </c>
      <c r="I1922" s="2" t="s">
        <v>4645</v>
      </c>
      <c r="J1922" s="2" t="s">
        <v>4735</v>
      </c>
      <c r="K1922" s="2">
        <v>57</v>
      </c>
      <c r="L1922" s="2" t="s">
        <v>4647</v>
      </c>
    </row>
    <row r="1923" spans="1:12" ht="33.75" customHeight="1" x14ac:dyDescent="0.25">
      <c r="A1923" s="14" t="s">
        <v>4389</v>
      </c>
      <c r="B1923" s="3" t="s">
        <v>2141</v>
      </c>
      <c r="C1923" s="3" t="s">
        <v>4390</v>
      </c>
      <c r="D1923" s="3" t="s">
        <v>5031</v>
      </c>
      <c r="E1923" s="3" t="s">
        <v>4886</v>
      </c>
      <c r="F1923" s="3" t="s">
        <v>2143</v>
      </c>
      <c r="G1923" s="3">
        <v>30.326000000000001</v>
      </c>
      <c r="H1923" s="3" t="s">
        <v>4644</v>
      </c>
      <c r="I1923" s="3" t="s">
        <v>4645</v>
      </c>
      <c r="J1923" s="3" t="s">
        <v>4719</v>
      </c>
      <c r="K1923" s="3">
        <v>63</v>
      </c>
      <c r="L1923" s="3" t="s">
        <v>4647</v>
      </c>
    </row>
    <row r="1924" spans="1:12" ht="33.75" customHeight="1" x14ac:dyDescent="0.25">
      <c r="A1924" s="13" t="s">
        <v>4391</v>
      </c>
      <c r="B1924" s="2" t="s">
        <v>2147</v>
      </c>
      <c r="C1924" s="2" t="s">
        <v>4392</v>
      </c>
      <c r="D1924" s="2" t="s">
        <v>5031</v>
      </c>
      <c r="E1924" s="2" t="s">
        <v>4887</v>
      </c>
      <c r="F1924" s="2" t="s">
        <v>2149</v>
      </c>
      <c r="G1924" s="2">
        <v>30.326000000000001</v>
      </c>
      <c r="H1924" s="2" t="s">
        <v>4644</v>
      </c>
      <c r="I1924" s="2" t="s">
        <v>4645</v>
      </c>
      <c r="J1924" s="2" t="s">
        <v>4770</v>
      </c>
      <c r="K1924" s="2">
        <v>57</v>
      </c>
      <c r="L1924" s="2" t="s">
        <v>4647</v>
      </c>
    </row>
    <row r="1925" spans="1:12" ht="33.75" customHeight="1" x14ac:dyDescent="0.25">
      <c r="A1925" s="14" t="s">
        <v>4393</v>
      </c>
      <c r="B1925" s="3" t="s">
        <v>2147</v>
      </c>
      <c r="C1925" s="3" t="s">
        <v>4394</v>
      </c>
      <c r="D1925" s="3" t="s">
        <v>5031</v>
      </c>
      <c r="E1925" s="3" t="s">
        <v>4887</v>
      </c>
      <c r="F1925" s="3" t="s">
        <v>2149</v>
      </c>
      <c r="G1925" s="3">
        <v>30.326000000000001</v>
      </c>
      <c r="H1925" s="3" t="s">
        <v>4644</v>
      </c>
      <c r="I1925" s="3" t="s">
        <v>4645</v>
      </c>
      <c r="J1925" s="3" t="s">
        <v>4770</v>
      </c>
      <c r="K1925" s="3">
        <v>57</v>
      </c>
      <c r="L1925" s="3" t="s">
        <v>4647</v>
      </c>
    </row>
    <row r="1926" spans="1:12" ht="33.75" customHeight="1" x14ac:dyDescent="0.25">
      <c r="A1926" s="13" t="s">
        <v>4395</v>
      </c>
      <c r="B1926" s="2" t="s">
        <v>878</v>
      </c>
      <c r="C1926" s="2" t="s">
        <v>4396</v>
      </c>
      <c r="D1926" s="2" t="s">
        <v>5031</v>
      </c>
      <c r="E1926" s="2" t="s">
        <v>4802</v>
      </c>
      <c r="F1926" s="2" t="s">
        <v>880</v>
      </c>
      <c r="G1926" s="2">
        <v>27.925999999999998</v>
      </c>
      <c r="H1926" s="2" t="s">
        <v>4644</v>
      </c>
      <c r="I1926" s="2" t="s">
        <v>4645</v>
      </c>
      <c r="J1926" s="2" t="s">
        <v>4684</v>
      </c>
      <c r="K1926" s="2">
        <v>51</v>
      </c>
      <c r="L1926" s="2" t="s">
        <v>4647</v>
      </c>
    </row>
    <row r="1927" spans="1:12" ht="33.75" customHeight="1" x14ac:dyDescent="0.25">
      <c r="A1927" s="14" t="s">
        <v>4397</v>
      </c>
      <c r="B1927" s="3" t="s">
        <v>878</v>
      </c>
      <c r="C1927" s="3" t="s">
        <v>4398</v>
      </c>
      <c r="D1927" s="3" t="s">
        <v>5031</v>
      </c>
      <c r="E1927" s="3" t="s">
        <v>4802</v>
      </c>
      <c r="F1927" s="3" t="s">
        <v>880</v>
      </c>
      <c r="G1927" s="3">
        <v>27.925999999999998</v>
      </c>
      <c r="H1927" s="3" t="s">
        <v>4644</v>
      </c>
      <c r="I1927" s="3" t="s">
        <v>4645</v>
      </c>
      <c r="J1927" s="3" t="s">
        <v>4695</v>
      </c>
      <c r="K1927" s="3">
        <v>51</v>
      </c>
      <c r="L1927" s="3" t="s">
        <v>4647</v>
      </c>
    </row>
    <row r="1928" spans="1:12" ht="33.75" customHeight="1" x14ac:dyDescent="0.25">
      <c r="A1928" s="13" t="s">
        <v>4399</v>
      </c>
      <c r="B1928" s="2" t="s">
        <v>830</v>
      </c>
      <c r="C1928" s="2" t="s">
        <v>4400</v>
      </c>
      <c r="D1928" s="2" t="s">
        <v>5031</v>
      </c>
      <c r="E1928" s="2" t="s">
        <v>4797</v>
      </c>
      <c r="F1928" s="2" t="s">
        <v>832</v>
      </c>
      <c r="G1928" s="2">
        <v>27.925999999999998</v>
      </c>
      <c r="H1928" s="2" t="s">
        <v>4644</v>
      </c>
      <c r="I1928" s="2" t="s">
        <v>4645</v>
      </c>
      <c r="J1928" s="2" t="s">
        <v>4693</v>
      </c>
      <c r="K1928" s="2">
        <v>42</v>
      </c>
      <c r="L1928" s="2" t="s">
        <v>4647</v>
      </c>
    </row>
    <row r="1929" spans="1:12" ht="33.75" customHeight="1" x14ac:dyDescent="0.25">
      <c r="A1929" s="14" t="s">
        <v>4401</v>
      </c>
      <c r="B1929" s="3" t="s">
        <v>2137</v>
      </c>
      <c r="C1929" s="3" t="s">
        <v>4402</v>
      </c>
      <c r="D1929" s="3" t="s">
        <v>5031</v>
      </c>
      <c r="E1929" s="3" t="s">
        <v>4885</v>
      </c>
      <c r="F1929" s="3" t="s">
        <v>2139</v>
      </c>
      <c r="G1929" s="3">
        <v>27.925999999999998</v>
      </c>
      <c r="H1929" s="3" t="s">
        <v>4644</v>
      </c>
      <c r="I1929" s="3" t="s">
        <v>4645</v>
      </c>
      <c r="J1929" s="3" t="s">
        <v>4697</v>
      </c>
      <c r="K1929" s="3">
        <v>36</v>
      </c>
      <c r="L1929" s="3" t="s">
        <v>4647</v>
      </c>
    </row>
    <row r="1930" spans="1:12" ht="33.75" customHeight="1" x14ac:dyDescent="0.25">
      <c r="A1930" s="13" t="s">
        <v>4403</v>
      </c>
      <c r="B1930" s="2" t="s">
        <v>2153</v>
      </c>
      <c r="C1930" s="2" t="s">
        <v>4404</v>
      </c>
      <c r="D1930" s="2" t="s">
        <v>5031</v>
      </c>
      <c r="E1930" s="2" t="s">
        <v>4888</v>
      </c>
      <c r="F1930" s="2" t="s">
        <v>2155</v>
      </c>
      <c r="G1930" s="2">
        <v>30.326000000000001</v>
      </c>
      <c r="H1930" s="2" t="s">
        <v>4644</v>
      </c>
      <c r="I1930" s="2" t="s">
        <v>4645</v>
      </c>
      <c r="J1930" s="2" t="s">
        <v>4721</v>
      </c>
      <c r="K1930" s="2">
        <v>48</v>
      </c>
      <c r="L1930" s="2" t="s">
        <v>4647</v>
      </c>
    </row>
    <row r="1931" spans="1:12" ht="33.75" customHeight="1" x14ac:dyDescent="0.25">
      <c r="A1931" s="14" t="s">
        <v>4405</v>
      </c>
      <c r="B1931" s="3" t="s">
        <v>2153</v>
      </c>
      <c r="C1931" s="3" t="s">
        <v>4406</v>
      </c>
      <c r="D1931" s="3" t="s">
        <v>5031</v>
      </c>
      <c r="E1931" s="3" t="s">
        <v>4888</v>
      </c>
      <c r="F1931" s="3" t="s">
        <v>2155</v>
      </c>
      <c r="G1931" s="3">
        <v>30.326000000000001</v>
      </c>
      <c r="H1931" s="3" t="s">
        <v>4644</v>
      </c>
      <c r="I1931" s="3" t="s">
        <v>4645</v>
      </c>
      <c r="J1931" s="3" t="s">
        <v>4721</v>
      </c>
      <c r="K1931" s="3">
        <v>48</v>
      </c>
      <c r="L1931" s="3" t="s">
        <v>4647</v>
      </c>
    </row>
    <row r="1932" spans="1:12" ht="33.75" customHeight="1" x14ac:dyDescent="0.25">
      <c r="A1932" s="13" t="s">
        <v>4407</v>
      </c>
      <c r="B1932" s="2" t="s">
        <v>390</v>
      </c>
      <c r="C1932" s="2" t="s">
        <v>4408</v>
      </c>
      <c r="D1932" s="2" t="s">
        <v>4893</v>
      </c>
      <c r="E1932" s="2" t="s">
        <v>4728</v>
      </c>
      <c r="F1932" s="2" t="s">
        <v>392</v>
      </c>
      <c r="G1932" s="2">
        <v>35.367600000000003</v>
      </c>
      <c r="H1932" s="2" t="s">
        <v>4644</v>
      </c>
      <c r="I1932" s="2" t="s">
        <v>4645</v>
      </c>
      <c r="J1932" s="2" t="s">
        <v>4729</v>
      </c>
      <c r="K1932" s="2">
        <v>120</v>
      </c>
      <c r="L1932" s="2" t="s">
        <v>4647</v>
      </c>
    </row>
    <row r="1933" spans="1:12" ht="33.75" customHeight="1" x14ac:dyDescent="0.25">
      <c r="A1933" s="14" t="s">
        <v>4409</v>
      </c>
      <c r="B1933" s="3" t="s">
        <v>1008</v>
      </c>
      <c r="C1933" s="3" t="s">
        <v>4410</v>
      </c>
      <c r="D1933" s="3" t="s">
        <v>4893</v>
      </c>
      <c r="E1933" s="3" t="s">
        <v>4807</v>
      </c>
      <c r="F1933" s="3" t="s">
        <v>1010</v>
      </c>
      <c r="G1933" s="3">
        <v>30.4892</v>
      </c>
      <c r="H1933" s="3" t="s">
        <v>4644</v>
      </c>
      <c r="I1933" s="3" t="s">
        <v>4645</v>
      </c>
      <c r="J1933" s="3" t="s">
        <v>4710</v>
      </c>
      <c r="K1933" s="3">
        <v>87</v>
      </c>
      <c r="L1933" s="3" t="s">
        <v>4647</v>
      </c>
    </row>
    <row r="1934" spans="1:12" ht="33.75" customHeight="1" x14ac:dyDescent="0.25">
      <c r="A1934" s="13" t="s">
        <v>4411</v>
      </c>
      <c r="B1934" s="2" t="s">
        <v>418</v>
      </c>
      <c r="C1934" s="2" t="s">
        <v>4412</v>
      </c>
      <c r="D1934" s="2" t="s">
        <v>4893</v>
      </c>
      <c r="E1934" s="2" t="s">
        <v>4734</v>
      </c>
      <c r="F1934" s="2" t="s">
        <v>420</v>
      </c>
      <c r="G1934" s="2">
        <v>30.655200000000001</v>
      </c>
      <c r="H1934" s="2" t="s">
        <v>4644</v>
      </c>
      <c r="I1934" s="2" t="s">
        <v>4645</v>
      </c>
      <c r="J1934" s="2" t="s">
        <v>4682</v>
      </c>
      <c r="K1934" s="2">
        <v>72</v>
      </c>
      <c r="L1934" s="2" t="s">
        <v>4647</v>
      </c>
    </row>
    <row r="1935" spans="1:12" ht="33.75" customHeight="1" x14ac:dyDescent="0.25">
      <c r="A1935" s="14" t="s">
        <v>4413</v>
      </c>
      <c r="B1935" s="3" t="s">
        <v>588</v>
      </c>
      <c r="C1935" s="3" t="s">
        <v>4414</v>
      </c>
      <c r="D1935" s="3" t="s">
        <v>4893</v>
      </c>
      <c r="E1935" s="3" t="s">
        <v>4761</v>
      </c>
      <c r="F1935" s="3" t="s">
        <v>590</v>
      </c>
      <c r="G1935" s="3">
        <v>29.869199999999999</v>
      </c>
      <c r="H1935" s="3" t="s">
        <v>4644</v>
      </c>
      <c r="I1935" s="3" t="s">
        <v>4645</v>
      </c>
      <c r="J1935" s="3" t="s">
        <v>4684</v>
      </c>
      <c r="K1935" s="3">
        <v>63</v>
      </c>
      <c r="L1935" s="3" t="s">
        <v>4647</v>
      </c>
    </row>
    <row r="1936" spans="1:12" ht="33.75" customHeight="1" x14ac:dyDescent="0.25">
      <c r="A1936" s="13" t="s">
        <v>4415</v>
      </c>
      <c r="B1936" s="2" t="s">
        <v>3860</v>
      </c>
      <c r="C1936" s="2" t="s">
        <v>3870</v>
      </c>
      <c r="D1936" s="2" t="s">
        <v>5007</v>
      </c>
      <c r="E1936" s="2" t="s">
        <v>5008</v>
      </c>
      <c r="F1936" s="2" t="s">
        <v>3862</v>
      </c>
      <c r="G1936" s="2">
        <v>30.039200000000001</v>
      </c>
      <c r="H1936" s="2" t="s">
        <v>4644</v>
      </c>
      <c r="I1936" s="2" t="s">
        <v>4645</v>
      </c>
      <c r="J1936" s="2" t="s">
        <v>4652</v>
      </c>
      <c r="K1936" s="2">
        <v>21</v>
      </c>
      <c r="L1936" s="2" t="s">
        <v>4647</v>
      </c>
    </row>
    <row r="1937" spans="1:12" ht="33.75" customHeight="1" x14ac:dyDescent="0.25">
      <c r="A1937" s="14" t="s">
        <v>4416</v>
      </c>
      <c r="B1937" s="3" t="s">
        <v>3860</v>
      </c>
      <c r="C1937" s="3" t="s">
        <v>3872</v>
      </c>
      <c r="D1937" s="3" t="s">
        <v>5007</v>
      </c>
      <c r="E1937" s="3" t="s">
        <v>5008</v>
      </c>
      <c r="F1937" s="3" t="s">
        <v>3862</v>
      </c>
      <c r="G1937" s="3">
        <v>30.039200000000001</v>
      </c>
      <c r="H1937" s="3" t="s">
        <v>4644</v>
      </c>
      <c r="I1937" s="3" t="s">
        <v>4645</v>
      </c>
      <c r="J1937" s="3" t="s">
        <v>4652</v>
      </c>
      <c r="K1937" s="3">
        <v>21</v>
      </c>
      <c r="L1937" s="3" t="s">
        <v>4647</v>
      </c>
    </row>
    <row r="1938" spans="1:12" ht="33.75" customHeight="1" x14ac:dyDescent="0.25">
      <c r="A1938" s="13" t="s">
        <v>4417</v>
      </c>
      <c r="B1938" s="2" t="s">
        <v>3866</v>
      </c>
      <c r="C1938" s="2" t="s">
        <v>3874</v>
      </c>
      <c r="D1938" s="2" t="s">
        <v>5007</v>
      </c>
      <c r="E1938" s="2" t="s">
        <v>5009</v>
      </c>
      <c r="F1938" s="2" t="s">
        <v>3868</v>
      </c>
      <c r="G1938" s="2">
        <v>30.039200000000001</v>
      </c>
      <c r="H1938" s="2" t="s">
        <v>4644</v>
      </c>
      <c r="I1938" s="2" t="s">
        <v>4645</v>
      </c>
      <c r="J1938" s="2" t="s">
        <v>4646</v>
      </c>
      <c r="K1938" s="2">
        <v>18</v>
      </c>
      <c r="L1938" s="2" t="s">
        <v>4647</v>
      </c>
    </row>
    <row r="1939" spans="1:12" ht="33.75" customHeight="1" x14ac:dyDescent="0.25">
      <c r="A1939" s="14" t="s">
        <v>4418</v>
      </c>
      <c r="B1939" s="3" t="s">
        <v>3860</v>
      </c>
      <c r="C1939" s="3" t="s">
        <v>3876</v>
      </c>
      <c r="D1939" s="3" t="s">
        <v>5007</v>
      </c>
      <c r="E1939" s="3" t="s">
        <v>5008</v>
      </c>
      <c r="F1939" s="3" t="s">
        <v>3862</v>
      </c>
      <c r="G1939" s="3">
        <v>30.039200000000001</v>
      </c>
      <c r="H1939" s="3" t="s">
        <v>4644</v>
      </c>
      <c r="I1939" s="3" t="s">
        <v>4645</v>
      </c>
      <c r="J1939" s="3" t="s">
        <v>4652</v>
      </c>
      <c r="K1939" s="3">
        <v>21</v>
      </c>
      <c r="L1939" s="3" t="s">
        <v>4647</v>
      </c>
    </row>
    <row r="1940" spans="1:12" ht="33.75" customHeight="1" x14ac:dyDescent="0.25">
      <c r="A1940" s="13" t="s">
        <v>4419</v>
      </c>
      <c r="B1940" s="2" t="s">
        <v>3860</v>
      </c>
      <c r="C1940" s="2" t="s">
        <v>3888</v>
      </c>
      <c r="D1940" s="2" t="s">
        <v>5007</v>
      </c>
      <c r="E1940" s="2" t="s">
        <v>5008</v>
      </c>
      <c r="F1940" s="2" t="s">
        <v>3862</v>
      </c>
      <c r="G1940" s="2">
        <v>30.039200000000001</v>
      </c>
      <c r="H1940" s="2" t="s">
        <v>4644</v>
      </c>
      <c r="I1940" s="2" t="s">
        <v>4645</v>
      </c>
      <c r="J1940" s="2" t="s">
        <v>4652</v>
      </c>
      <c r="K1940" s="2">
        <v>21</v>
      </c>
      <c r="L1940" s="2" t="s">
        <v>4647</v>
      </c>
    </row>
    <row r="1941" spans="1:12" ht="33.75" customHeight="1" x14ac:dyDescent="0.25">
      <c r="A1941" s="14" t="s">
        <v>4420</v>
      </c>
      <c r="B1941" s="3" t="s">
        <v>3860</v>
      </c>
      <c r="C1941" s="3" t="s">
        <v>3890</v>
      </c>
      <c r="D1941" s="3" t="s">
        <v>5007</v>
      </c>
      <c r="E1941" s="3" t="s">
        <v>5008</v>
      </c>
      <c r="F1941" s="3" t="s">
        <v>3862</v>
      </c>
      <c r="G1941" s="3">
        <v>30.039200000000001</v>
      </c>
      <c r="H1941" s="3" t="s">
        <v>4644</v>
      </c>
      <c r="I1941" s="3" t="s">
        <v>4645</v>
      </c>
      <c r="J1941" s="3" t="s">
        <v>4652</v>
      </c>
      <c r="K1941" s="3">
        <v>21</v>
      </c>
      <c r="L1941" s="3" t="s">
        <v>4647</v>
      </c>
    </row>
    <row r="1942" spans="1:12" ht="33.75" customHeight="1" x14ac:dyDescent="0.25">
      <c r="A1942" s="13" t="s">
        <v>4421</v>
      </c>
      <c r="B1942" s="2" t="s">
        <v>3866</v>
      </c>
      <c r="C1942" s="2" t="s">
        <v>3892</v>
      </c>
      <c r="D1942" s="2" t="s">
        <v>5007</v>
      </c>
      <c r="E1942" s="2" t="s">
        <v>5009</v>
      </c>
      <c r="F1942" s="2" t="s">
        <v>3868</v>
      </c>
      <c r="G1942" s="2">
        <v>30.039200000000001</v>
      </c>
      <c r="H1942" s="2" t="s">
        <v>4644</v>
      </c>
      <c r="I1942" s="2" t="s">
        <v>4645</v>
      </c>
      <c r="J1942" s="2" t="s">
        <v>4646</v>
      </c>
      <c r="K1942" s="2">
        <v>18</v>
      </c>
      <c r="L1942" s="2" t="s">
        <v>4647</v>
      </c>
    </row>
    <row r="1943" spans="1:12" ht="33.75" customHeight="1" x14ac:dyDescent="0.25">
      <c r="A1943" s="14" t="s">
        <v>4422</v>
      </c>
      <c r="B1943" s="3" t="s">
        <v>3860</v>
      </c>
      <c r="C1943" s="3" t="s">
        <v>3894</v>
      </c>
      <c r="D1943" s="3" t="s">
        <v>5007</v>
      </c>
      <c r="E1943" s="3" t="s">
        <v>5008</v>
      </c>
      <c r="F1943" s="3" t="s">
        <v>3862</v>
      </c>
      <c r="G1943" s="3">
        <v>30.039200000000001</v>
      </c>
      <c r="H1943" s="3" t="s">
        <v>4644</v>
      </c>
      <c r="I1943" s="3" t="s">
        <v>4645</v>
      </c>
      <c r="J1943" s="3" t="s">
        <v>4652</v>
      </c>
      <c r="K1943" s="3">
        <v>21</v>
      </c>
      <c r="L1943" s="3" t="s">
        <v>4647</v>
      </c>
    </row>
    <row r="1944" spans="1:12" ht="33.75" customHeight="1" x14ac:dyDescent="0.25">
      <c r="A1944" s="13" t="s">
        <v>4423</v>
      </c>
      <c r="B1944" s="2" t="s">
        <v>414</v>
      </c>
      <c r="C1944" s="2" t="s">
        <v>4424</v>
      </c>
      <c r="D1944" s="2"/>
      <c r="E1944" s="2" t="s">
        <v>4732</v>
      </c>
      <c r="F1944" s="2" t="s">
        <v>416</v>
      </c>
      <c r="G1944" s="2">
        <v>31.0092</v>
      </c>
      <c r="H1944" s="2" t="s">
        <v>4644</v>
      </c>
      <c r="I1944" s="2" t="s">
        <v>4645</v>
      </c>
      <c r="J1944" s="2" t="s">
        <v>4733</v>
      </c>
      <c r="K1944" s="2">
        <v>87</v>
      </c>
      <c r="L1944" s="2" t="s">
        <v>4647</v>
      </c>
    </row>
    <row r="1945" spans="1:12" ht="33.75" customHeight="1" x14ac:dyDescent="0.25">
      <c r="A1945" s="14" t="s">
        <v>4425</v>
      </c>
      <c r="B1945" s="3" t="s">
        <v>4426</v>
      </c>
      <c r="C1945" s="3" t="s">
        <v>4427</v>
      </c>
      <c r="D1945" s="3" t="s">
        <v>4671</v>
      </c>
      <c r="E1945" s="3" t="s">
        <v>4901</v>
      </c>
      <c r="F1945" s="3" t="s">
        <v>4428</v>
      </c>
      <c r="G1945" s="3">
        <v>28.2624</v>
      </c>
      <c r="H1945" s="3" t="s">
        <v>4644</v>
      </c>
      <c r="I1945" s="3" t="s">
        <v>4645</v>
      </c>
      <c r="J1945" s="3" t="s">
        <v>4693</v>
      </c>
      <c r="K1945" s="3">
        <v>56</v>
      </c>
      <c r="L1945" s="3" t="s">
        <v>4668</v>
      </c>
    </row>
    <row r="1946" spans="1:12" ht="33.75" customHeight="1" x14ac:dyDescent="0.25">
      <c r="A1946" s="13" t="s">
        <v>4429</v>
      </c>
      <c r="B1946" s="2" t="s">
        <v>830</v>
      </c>
      <c r="C1946" s="2" t="s">
        <v>4430</v>
      </c>
      <c r="D1946" s="2" t="s">
        <v>4741</v>
      </c>
      <c r="E1946" s="2" t="s">
        <v>4797</v>
      </c>
      <c r="F1946" s="2" t="s">
        <v>832</v>
      </c>
      <c r="G1946" s="2">
        <v>27.925999999999998</v>
      </c>
      <c r="H1946" s="2" t="s">
        <v>4644</v>
      </c>
      <c r="I1946" s="2" t="s">
        <v>4645</v>
      </c>
      <c r="J1946" s="2" t="s">
        <v>4723</v>
      </c>
      <c r="K1946" s="2">
        <v>42</v>
      </c>
      <c r="L1946" s="2" t="s">
        <v>4647</v>
      </c>
    </row>
    <row r="1947" spans="1:12" ht="33.75" customHeight="1" x14ac:dyDescent="0.25">
      <c r="A1947" s="14" t="s">
        <v>4431</v>
      </c>
      <c r="B1947" s="3" t="s">
        <v>830</v>
      </c>
      <c r="C1947" s="3" t="s">
        <v>4432</v>
      </c>
      <c r="D1947" s="3" t="s">
        <v>4741</v>
      </c>
      <c r="E1947" s="3" t="s">
        <v>4797</v>
      </c>
      <c r="F1947" s="3" t="s">
        <v>832</v>
      </c>
      <c r="G1947" s="3">
        <v>27.925999999999998</v>
      </c>
      <c r="H1947" s="3" t="s">
        <v>4644</v>
      </c>
      <c r="I1947" s="3" t="s">
        <v>4645</v>
      </c>
      <c r="J1947" s="3" t="s">
        <v>4723</v>
      </c>
      <c r="K1947" s="3">
        <v>42</v>
      </c>
      <c r="L1947" s="3" t="s">
        <v>4647</v>
      </c>
    </row>
    <row r="1948" spans="1:12" ht="33.75" customHeight="1" x14ac:dyDescent="0.25">
      <c r="A1948" s="13" t="s">
        <v>4433</v>
      </c>
      <c r="B1948" s="2" t="s">
        <v>826</v>
      </c>
      <c r="C1948" s="2" t="s">
        <v>4434</v>
      </c>
      <c r="D1948" s="2" t="s">
        <v>4741</v>
      </c>
      <c r="E1948" s="2" t="s">
        <v>4796</v>
      </c>
      <c r="F1948" s="2" t="s">
        <v>828</v>
      </c>
      <c r="G1948" s="2">
        <v>28.366</v>
      </c>
      <c r="H1948" s="2" t="s">
        <v>4644</v>
      </c>
      <c r="I1948" s="2" t="s">
        <v>4645</v>
      </c>
      <c r="J1948" s="2" t="s">
        <v>4733</v>
      </c>
      <c r="K1948" s="2">
        <v>72</v>
      </c>
      <c r="L1948" s="2" t="s">
        <v>4647</v>
      </c>
    </row>
    <row r="1949" spans="1:12" ht="33.75" customHeight="1" x14ac:dyDescent="0.25">
      <c r="A1949" s="14" t="s">
        <v>4435</v>
      </c>
      <c r="B1949" s="3" t="s">
        <v>826</v>
      </c>
      <c r="C1949" s="3" t="s">
        <v>4436</v>
      </c>
      <c r="D1949" s="3" t="s">
        <v>4741</v>
      </c>
      <c r="E1949" s="3" t="s">
        <v>4796</v>
      </c>
      <c r="F1949" s="3" t="s">
        <v>828</v>
      </c>
      <c r="G1949" s="3">
        <v>28.366</v>
      </c>
      <c r="H1949" s="3" t="s">
        <v>4644</v>
      </c>
      <c r="I1949" s="3" t="s">
        <v>4645</v>
      </c>
      <c r="J1949" s="3" t="s">
        <v>4733</v>
      </c>
      <c r="K1949" s="3">
        <v>72</v>
      </c>
      <c r="L1949" s="3" t="s">
        <v>4647</v>
      </c>
    </row>
    <row r="1950" spans="1:12" ht="33.75" customHeight="1" x14ac:dyDescent="0.25">
      <c r="A1950" s="13" t="s">
        <v>4437</v>
      </c>
      <c r="B1950" s="2" t="s">
        <v>826</v>
      </c>
      <c r="C1950" s="2" t="s">
        <v>4438</v>
      </c>
      <c r="D1950" s="2" t="s">
        <v>4741</v>
      </c>
      <c r="E1950" s="2" t="s">
        <v>4796</v>
      </c>
      <c r="F1950" s="2" t="s">
        <v>828</v>
      </c>
      <c r="G1950" s="2">
        <v>28.366</v>
      </c>
      <c r="H1950" s="2" t="s">
        <v>4644</v>
      </c>
      <c r="I1950" s="2" t="s">
        <v>4645</v>
      </c>
      <c r="J1950" s="2" t="s">
        <v>4733</v>
      </c>
      <c r="K1950" s="2">
        <v>72</v>
      </c>
      <c r="L1950" s="2" t="s">
        <v>4647</v>
      </c>
    </row>
    <row r="1951" spans="1:12" ht="33.75" customHeight="1" x14ac:dyDescent="0.25">
      <c r="A1951" s="14" t="s">
        <v>4439</v>
      </c>
      <c r="B1951" s="3" t="s">
        <v>1294</v>
      </c>
      <c r="C1951" s="3" t="s">
        <v>4440</v>
      </c>
      <c r="D1951" s="3" t="s">
        <v>4741</v>
      </c>
      <c r="E1951" s="3" t="s">
        <v>4819</v>
      </c>
      <c r="F1951" s="3" t="s">
        <v>1296</v>
      </c>
      <c r="G1951" s="3">
        <v>27.925999999999998</v>
      </c>
      <c r="H1951" s="3" t="s">
        <v>4644</v>
      </c>
      <c r="I1951" s="3" t="s">
        <v>4645</v>
      </c>
      <c r="J1951" s="3" t="s">
        <v>4735</v>
      </c>
      <c r="K1951" s="3">
        <v>57</v>
      </c>
      <c r="L1951" s="3" t="s">
        <v>4647</v>
      </c>
    </row>
    <row r="1952" spans="1:12" ht="33.75" customHeight="1" x14ac:dyDescent="0.25">
      <c r="A1952" s="13" t="s">
        <v>4441</v>
      </c>
      <c r="B1952" s="2" t="s">
        <v>1294</v>
      </c>
      <c r="C1952" s="2" t="s">
        <v>4442</v>
      </c>
      <c r="D1952" s="2" t="s">
        <v>4741</v>
      </c>
      <c r="E1952" s="2" t="s">
        <v>4819</v>
      </c>
      <c r="F1952" s="2" t="s">
        <v>1296</v>
      </c>
      <c r="G1952" s="2">
        <v>27.925999999999998</v>
      </c>
      <c r="H1952" s="2" t="s">
        <v>4644</v>
      </c>
      <c r="I1952" s="2" t="s">
        <v>4645</v>
      </c>
      <c r="J1952" s="2" t="s">
        <v>4735</v>
      </c>
      <c r="K1952" s="2">
        <v>57</v>
      </c>
      <c r="L1952" s="2" t="s">
        <v>4647</v>
      </c>
    </row>
    <row r="1953" spans="1:12" ht="33.75" customHeight="1" x14ac:dyDescent="0.25">
      <c r="A1953" s="14" t="s">
        <v>4443</v>
      </c>
      <c r="B1953" s="3" t="s">
        <v>1294</v>
      </c>
      <c r="C1953" s="3" t="s">
        <v>4444</v>
      </c>
      <c r="D1953" s="3" t="s">
        <v>4741</v>
      </c>
      <c r="E1953" s="3" t="s">
        <v>4819</v>
      </c>
      <c r="F1953" s="3" t="s">
        <v>1296</v>
      </c>
      <c r="G1953" s="3">
        <v>27.925999999999998</v>
      </c>
      <c r="H1953" s="3" t="s">
        <v>4644</v>
      </c>
      <c r="I1953" s="3" t="s">
        <v>4645</v>
      </c>
      <c r="J1953" s="3" t="s">
        <v>4735</v>
      </c>
      <c r="K1953" s="3">
        <v>57</v>
      </c>
      <c r="L1953" s="3" t="s">
        <v>4647</v>
      </c>
    </row>
    <row r="1954" spans="1:12" ht="33.75" customHeight="1" x14ac:dyDescent="0.25">
      <c r="A1954" s="13" t="s">
        <v>4445</v>
      </c>
      <c r="B1954" s="2" t="s">
        <v>1294</v>
      </c>
      <c r="C1954" s="2" t="s">
        <v>4230</v>
      </c>
      <c r="D1954" s="2" t="s">
        <v>5031</v>
      </c>
      <c r="E1954" s="2" t="s">
        <v>4819</v>
      </c>
      <c r="F1954" s="2" t="s">
        <v>1296</v>
      </c>
      <c r="G1954" s="2">
        <v>27.925999999999998</v>
      </c>
      <c r="H1954" s="2" t="s">
        <v>4644</v>
      </c>
      <c r="I1954" s="2" t="s">
        <v>4645</v>
      </c>
      <c r="J1954" s="2" t="s">
        <v>4735</v>
      </c>
      <c r="K1954" s="2">
        <v>57</v>
      </c>
      <c r="L1954" s="2" t="s">
        <v>4647</v>
      </c>
    </row>
    <row r="1955" spans="1:12" ht="33.75" customHeight="1" x14ac:dyDescent="0.25">
      <c r="A1955" s="14" t="s">
        <v>4446</v>
      </c>
      <c r="B1955" s="3" t="s">
        <v>1781</v>
      </c>
      <c r="C1955" s="3" t="s">
        <v>4447</v>
      </c>
      <c r="D1955" s="3" t="s">
        <v>4741</v>
      </c>
      <c r="E1955" s="3" t="s">
        <v>4858</v>
      </c>
      <c r="F1955" s="3" t="s">
        <v>1783</v>
      </c>
      <c r="G1955" s="3">
        <v>27.925999999999998</v>
      </c>
      <c r="H1955" s="3" t="s">
        <v>4644</v>
      </c>
      <c r="I1955" s="3" t="s">
        <v>4645</v>
      </c>
      <c r="J1955" s="3" t="s">
        <v>4695</v>
      </c>
      <c r="K1955" s="3">
        <v>48</v>
      </c>
      <c r="L1955" s="3" t="s">
        <v>4647</v>
      </c>
    </row>
    <row r="1956" spans="1:12" ht="33.75" customHeight="1" x14ac:dyDescent="0.25">
      <c r="A1956" s="13" t="s">
        <v>4448</v>
      </c>
      <c r="B1956" s="2" t="s">
        <v>1781</v>
      </c>
      <c r="C1956" s="2" t="s">
        <v>4449</v>
      </c>
      <c r="D1956" s="2" t="s">
        <v>4741</v>
      </c>
      <c r="E1956" s="2" t="s">
        <v>4858</v>
      </c>
      <c r="F1956" s="2" t="s">
        <v>1783</v>
      </c>
      <c r="G1956" s="2">
        <v>27.925999999999998</v>
      </c>
      <c r="H1956" s="2" t="s">
        <v>4644</v>
      </c>
      <c r="I1956" s="2" t="s">
        <v>4645</v>
      </c>
      <c r="J1956" s="2" t="s">
        <v>4695</v>
      </c>
      <c r="K1956" s="2">
        <v>48</v>
      </c>
      <c r="L1956" s="2" t="s">
        <v>4647</v>
      </c>
    </row>
    <row r="1957" spans="1:12" ht="33.75" customHeight="1" x14ac:dyDescent="0.25">
      <c r="A1957" s="14" t="s">
        <v>4450</v>
      </c>
      <c r="B1957" s="3" t="s">
        <v>1781</v>
      </c>
      <c r="C1957" s="3" t="s">
        <v>4451</v>
      </c>
      <c r="D1957" s="3" t="s">
        <v>4741</v>
      </c>
      <c r="E1957" s="3" t="s">
        <v>4858</v>
      </c>
      <c r="F1957" s="3" t="s">
        <v>1783</v>
      </c>
      <c r="G1957" s="3">
        <v>27.925999999999998</v>
      </c>
      <c r="H1957" s="3" t="s">
        <v>4644</v>
      </c>
      <c r="I1957" s="3" t="s">
        <v>4645</v>
      </c>
      <c r="J1957" s="3" t="s">
        <v>4695</v>
      </c>
      <c r="K1957" s="3">
        <v>48</v>
      </c>
      <c r="L1957" s="3" t="s">
        <v>4647</v>
      </c>
    </row>
    <row r="1958" spans="1:12" ht="33.75" customHeight="1" x14ac:dyDescent="0.25">
      <c r="A1958" s="13" t="s">
        <v>4452</v>
      </c>
      <c r="B1958" s="2" t="s">
        <v>1781</v>
      </c>
      <c r="C1958" s="2" t="s">
        <v>4236</v>
      </c>
      <c r="D1958" s="2" t="s">
        <v>5031</v>
      </c>
      <c r="E1958" s="2" t="s">
        <v>4858</v>
      </c>
      <c r="F1958" s="2" t="s">
        <v>1783</v>
      </c>
      <c r="G1958" s="2">
        <v>27.925999999999998</v>
      </c>
      <c r="H1958" s="2" t="s">
        <v>4644</v>
      </c>
      <c r="I1958" s="2" t="s">
        <v>4645</v>
      </c>
      <c r="J1958" s="2" t="s">
        <v>4695</v>
      </c>
      <c r="K1958" s="2">
        <v>48</v>
      </c>
      <c r="L1958" s="2" t="s">
        <v>4647</v>
      </c>
    </row>
    <row r="1959" spans="1:12" ht="33.75" customHeight="1" x14ac:dyDescent="0.25">
      <c r="A1959" s="14" t="s">
        <v>4453</v>
      </c>
      <c r="B1959" s="3" t="s">
        <v>878</v>
      </c>
      <c r="C1959" s="3" t="s">
        <v>4454</v>
      </c>
      <c r="D1959" s="3" t="s">
        <v>4741</v>
      </c>
      <c r="E1959" s="3" t="s">
        <v>4802</v>
      </c>
      <c r="F1959" s="3" t="s">
        <v>880</v>
      </c>
      <c r="G1959" s="3">
        <v>27.925999999999998</v>
      </c>
      <c r="H1959" s="3" t="s">
        <v>4644</v>
      </c>
      <c r="I1959" s="3" t="s">
        <v>4645</v>
      </c>
      <c r="J1959" s="3" t="s">
        <v>4684</v>
      </c>
      <c r="K1959" s="3">
        <v>51</v>
      </c>
      <c r="L1959" s="3" t="s">
        <v>4647</v>
      </c>
    </row>
    <row r="1960" spans="1:12" ht="33.75" customHeight="1" x14ac:dyDescent="0.25">
      <c r="A1960" s="13" t="s">
        <v>4455</v>
      </c>
      <c r="B1960" s="2" t="s">
        <v>878</v>
      </c>
      <c r="C1960" s="2" t="s">
        <v>4456</v>
      </c>
      <c r="D1960" s="2" t="s">
        <v>4741</v>
      </c>
      <c r="E1960" s="2" t="s">
        <v>4802</v>
      </c>
      <c r="F1960" s="2" t="s">
        <v>880</v>
      </c>
      <c r="G1960" s="2">
        <v>27.925999999999998</v>
      </c>
      <c r="H1960" s="2" t="s">
        <v>4644</v>
      </c>
      <c r="I1960" s="2" t="s">
        <v>4645</v>
      </c>
      <c r="J1960" s="2" t="s">
        <v>4684</v>
      </c>
      <c r="K1960" s="2">
        <v>51</v>
      </c>
      <c r="L1960" s="2" t="s">
        <v>4647</v>
      </c>
    </row>
    <row r="1961" spans="1:12" ht="33.75" customHeight="1" x14ac:dyDescent="0.25">
      <c r="A1961" s="14" t="s">
        <v>4457</v>
      </c>
      <c r="B1961" s="3" t="s">
        <v>878</v>
      </c>
      <c r="C1961" s="3" t="s">
        <v>4458</v>
      </c>
      <c r="D1961" s="3" t="s">
        <v>4741</v>
      </c>
      <c r="E1961" s="3" t="s">
        <v>4802</v>
      </c>
      <c r="F1961" s="3" t="s">
        <v>880</v>
      </c>
      <c r="G1961" s="3">
        <v>27.925999999999998</v>
      </c>
      <c r="H1961" s="3" t="s">
        <v>4644</v>
      </c>
      <c r="I1961" s="3" t="s">
        <v>4645</v>
      </c>
      <c r="J1961" s="3" t="s">
        <v>4684</v>
      </c>
      <c r="K1961" s="3">
        <v>51</v>
      </c>
      <c r="L1961" s="3" t="s">
        <v>4647</v>
      </c>
    </row>
    <row r="1962" spans="1:12" ht="33.75" customHeight="1" x14ac:dyDescent="0.25">
      <c r="A1962" s="13" t="s">
        <v>4459</v>
      </c>
      <c r="B1962" s="2" t="s">
        <v>830</v>
      </c>
      <c r="C1962" s="2" t="s">
        <v>4460</v>
      </c>
      <c r="D1962" s="2" t="s">
        <v>4741</v>
      </c>
      <c r="E1962" s="2" t="s">
        <v>4797</v>
      </c>
      <c r="F1962" s="2" t="s">
        <v>832</v>
      </c>
      <c r="G1962" s="2">
        <v>27.925999999999998</v>
      </c>
      <c r="H1962" s="2" t="s">
        <v>4644</v>
      </c>
      <c r="I1962" s="2" t="s">
        <v>4645</v>
      </c>
      <c r="J1962" s="2" t="s">
        <v>4723</v>
      </c>
      <c r="K1962" s="2">
        <v>42</v>
      </c>
      <c r="L1962" s="2" t="s">
        <v>4647</v>
      </c>
    </row>
    <row r="1963" spans="1:12" ht="33.75" customHeight="1" x14ac:dyDescent="0.25">
      <c r="A1963" s="14" t="s">
        <v>4461</v>
      </c>
      <c r="B1963" s="3" t="s">
        <v>830</v>
      </c>
      <c r="C1963" s="3" t="s">
        <v>4462</v>
      </c>
      <c r="D1963" s="3" t="s">
        <v>4741</v>
      </c>
      <c r="E1963" s="3" t="s">
        <v>4797</v>
      </c>
      <c r="F1963" s="3" t="s">
        <v>832</v>
      </c>
      <c r="G1963" s="3">
        <v>27.925999999999998</v>
      </c>
      <c r="H1963" s="3" t="s">
        <v>4644</v>
      </c>
      <c r="I1963" s="3" t="s">
        <v>4645</v>
      </c>
      <c r="J1963" s="3" t="s">
        <v>4723</v>
      </c>
      <c r="K1963" s="3">
        <v>42</v>
      </c>
      <c r="L1963" s="3" t="s">
        <v>4647</v>
      </c>
    </row>
    <row r="1964" spans="1:12" ht="33.75" customHeight="1" x14ac:dyDescent="0.25">
      <c r="A1964" s="13" t="s">
        <v>4463</v>
      </c>
      <c r="B1964" s="2" t="s">
        <v>830</v>
      </c>
      <c r="C1964" s="2" t="s">
        <v>4464</v>
      </c>
      <c r="D1964" s="2" t="s">
        <v>4741</v>
      </c>
      <c r="E1964" s="2" t="s">
        <v>4797</v>
      </c>
      <c r="F1964" s="2" t="s">
        <v>832</v>
      </c>
      <c r="G1964" s="2">
        <v>27.925999999999998</v>
      </c>
      <c r="H1964" s="2" t="s">
        <v>4644</v>
      </c>
      <c r="I1964" s="2" t="s">
        <v>4645</v>
      </c>
      <c r="J1964" s="2" t="s">
        <v>4723</v>
      </c>
      <c r="K1964" s="2">
        <v>42</v>
      </c>
      <c r="L1964" s="2" t="s">
        <v>4647</v>
      </c>
    </row>
    <row r="1965" spans="1:12" ht="33.75" customHeight="1" x14ac:dyDescent="0.25">
      <c r="A1965" s="14" t="s">
        <v>4465</v>
      </c>
      <c r="B1965" s="3" t="s">
        <v>830</v>
      </c>
      <c r="C1965" s="3" t="s">
        <v>4466</v>
      </c>
      <c r="D1965" s="3" t="s">
        <v>4741</v>
      </c>
      <c r="E1965" s="3" t="s">
        <v>4797</v>
      </c>
      <c r="F1965" s="3" t="s">
        <v>832</v>
      </c>
      <c r="G1965" s="3">
        <v>27.925999999999998</v>
      </c>
      <c r="H1965" s="3" t="s">
        <v>4644</v>
      </c>
      <c r="I1965" s="3" t="s">
        <v>4645</v>
      </c>
      <c r="J1965" s="3" t="s">
        <v>4693</v>
      </c>
      <c r="K1965" s="3">
        <v>42</v>
      </c>
      <c r="L1965" s="3" t="s">
        <v>4647</v>
      </c>
    </row>
    <row r="1966" spans="1:12" ht="33.75" customHeight="1" x14ac:dyDescent="0.25">
      <c r="A1966" s="13" t="s">
        <v>4467</v>
      </c>
      <c r="B1966" s="2" t="s">
        <v>830</v>
      </c>
      <c r="C1966" s="2" t="s">
        <v>4468</v>
      </c>
      <c r="D1966" s="2" t="s">
        <v>4741</v>
      </c>
      <c r="E1966" s="2" t="s">
        <v>4797</v>
      </c>
      <c r="F1966" s="2" t="s">
        <v>832</v>
      </c>
      <c r="G1966" s="2">
        <v>27.925999999999998</v>
      </c>
      <c r="H1966" s="2" t="s">
        <v>4644</v>
      </c>
      <c r="I1966" s="2" t="s">
        <v>4645</v>
      </c>
      <c r="J1966" s="2" t="s">
        <v>4693</v>
      </c>
      <c r="K1966" s="2">
        <v>42</v>
      </c>
      <c r="L1966" s="2" t="s">
        <v>4647</v>
      </c>
    </row>
    <row r="1967" spans="1:12" ht="33.75" customHeight="1" x14ac:dyDescent="0.25">
      <c r="A1967" s="14" t="s">
        <v>4469</v>
      </c>
      <c r="B1967" s="3" t="s">
        <v>830</v>
      </c>
      <c r="C1967" s="3" t="s">
        <v>4470</v>
      </c>
      <c r="D1967" s="3" t="s">
        <v>4741</v>
      </c>
      <c r="E1967" s="3" t="s">
        <v>4797</v>
      </c>
      <c r="F1967" s="3" t="s">
        <v>832</v>
      </c>
      <c r="G1967" s="3">
        <v>27.925999999999998</v>
      </c>
      <c r="H1967" s="3" t="s">
        <v>4644</v>
      </c>
      <c r="I1967" s="3" t="s">
        <v>4645</v>
      </c>
      <c r="J1967" s="3" t="s">
        <v>4693</v>
      </c>
      <c r="K1967" s="3">
        <v>42</v>
      </c>
      <c r="L1967" s="3" t="s">
        <v>4647</v>
      </c>
    </row>
    <row r="1968" spans="1:12" ht="33.75" customHeight="1" x14ac:dyDescent="0.25">
      <c r="A1968" s="13" t="s">
        <v>4471</v>
      </c>
      <c r="B1968" s="2" t="s">
        <v>2137</v>
      </c>
      <c r="C1968" s="2" t="s">
        <v>4472</v>
      </c>
      <c r="D1968" s="2" t="s">
        <v>4741</v>
      </c>
      <c r="E1968" s="2" t="s">
        <v>4885</v>
      </c>
      <c r="F1968" s="2" t="s">
        <v>2139</v>
      </c>
      <c r="G1968" s="2">
        <v>27.925999999999998</v>
      </c>
      <c r="H1968" s="2" t="s">
        <v>4644</v>
      </c>
      <c r="I1968" s="2" t="s">
        <v>4645</v>
      </c>
      <c r="J1968" s="2" t="s">
        <v>4697</v>
      </c>
      <c r="K1968" s="2">
        <v>36</v>
      </c>
      <c r="L1968" s="2" t="s">
        <v>4647</v>
      </c>
    </row>
    <row r="1969" spans="1:12" ht="33.75" customHeight="1" x14ac:dyDescent="0.25">
      <c r="A1969" s="14" t="s">
        <v>4473</v>
      </c>
      <c r="B1969" s="3" t="s">
        <v>2137</v>
      </c>
      <c r="C1969" s="3" t="s">
        <v>4474</v>
      </c>
      <c r="D1969" s="3" t="s">
        <v>4741</v>
      </c>
      <c r="E1969" s="3" t="s">
        <v>4885</v>
      </c>
      <c r="F1969" s="3" t="s">
        <v>2139</v>
      </c>
      <c r="G1969" s="3">
        <v>27.925999999999998</v>
      </c>
      <c r="H1969" s="3" t="s">
        <v>4644</v>
      </c>
      <c r="I1969" s="3" t="s">
        <v>4645</v>
      </c>
      <c r="J1969" s="3" t="s">
        <v>4697</v>
      </c>
      <c r="K1969" s="3">
        <v>36</v>
      </c>
      <c r="L1969" s="3" t="s">
        <v>4647</v>
      </c>
    </row>
    <row r="1970" spans="1:12" ht="33.75" customHeight="1" x14ac:dyDescent="0.25">
      <c r="A1970" s="13" t="s">
        <v>4475</v>
      </c>
      <c r="B1970" s="2" t="s">
        <v>2137</v>
      </c>
      <c r="C1970" s="2" t="s">
        <v>4476</v>
      </c>
      <c r="D1970" s="2" t="s">
        <v>4741</v>
      </c>
      <c r="E1970" s="2" t="s">
        <v>4885</v>
      </c>
      <c r="F1970" s="2" t="s">
        <v>2139</v>
      </c>
      <c r="G1970" s="2">
        <v>27.925999999999998</v>
      </c>
      <c r="H1970" s="2" t="s">
        <v>4644</v>
      </c>
      <c r="I1970" s="2" t="s">
        <v>4645</v>
      </c>
      <c r="J1970" s="2" t="s">
        <v>4697</v>
      </c>
      <c r="K1970" s="2">
        <v>36</v>
      </c>
      <c r="L1970" s="2" t="s">
        <v>4647</v>
      </c>
    </row>
    <row r="1971" spans="1:12" ht="33.75" customHeight="1" x14ac:dyDescent="0.25">
      <c r="A1971" s="14" t="s">
        <v>4477</v>
      </c>
      <c r="B1971" s="3" t="s">
        <v>1294</v>
      </c>
      <c r="C1971" s="3" t="s">
        <v>2765</v>
      </c>
      <c r="D1971" s="3" t="s">
        <v>4741</v>
      </c>
      <c r="E1971" s="3" t="s">
        <v>4819</v>
      </c>
      <c r="F1971" s="3" t="s">
        <v>1296</v>
      </c>
      <c r="G1971" s="3">
        <v>27.925999999999998</v>
      </c>
      <c r="H1971" s="3" t="s">
        <v>4644</v>
      </c>
      <c r="I1971" s="3" t="s">
        <v>4645</v>
      </c>
      <c r="J1971" s="3" t="s">
        <v>4735</v>
      </c>
      <c r="K1971" s="3">
        <v>57</v>
      </c>
      <c r="L1971" s="3" t="s">
        <v>4647</v>
      </c>
    </row>
    <row r="1972" spans="1:12" ht="33.75" customHeight="1" x14ac:dyDescent="0.25">
      <c r="A1972" s="13" t="s">
        <v>4478</v>
      </c>
      <c r="B1972" s="2" t="s">
        <v>1294</v>
      </c>
      <c r="C1972" s="2" t="s">
        <v>4479</v>
      </c>
      <c r="D1972" s="2" t="s">
        <v>4741</v>
      </c>
      <c r="E1972" s="2" t="s">
        <v>4819</v>
      </c>
      <c r="F1972" s="2" t="s">
        <v>1296</v>
      </c>
      <c r="G1972" s="2">
        <v>27.925999999999998</v>
      </c>
      <c r="H1972" s="2" t="s">
        <v>4644</v>
      </c>
      <c r="I1972" s="2" t="s">
        <v>4645</v>
      </c>
      <c r="J1972" s="2" t="s">
        <v>4735</v>
      </c>
      <c r="K1972" s="2">
        <v>57</v>
      </c>
      <c r="L1972" s="2" t="s">
        <v>4647</v>
      </c>
    </row>
    <row r="1973" spans="1:12" ht="33.75" customHeight="1" x14ac:dyDescent="0.25">
      <c r="A1973" s="14" t="s">
        <v>4480</v>
      </c>
      <c r="B1973" s="3" t="s">
        <v>1294</v>
      </c>
      <c r="C1973" s="3" t="s">
        <v>4481</v>
      </c>
      <c r="D1973" s="3" t="s">
        <v>4741</v>
      </c>
      <c r="E1973" s="3" t="s">
        <v>4819</v>
      </c>
      <c r="F1973" s="3" t="s">
        <v>1296</v>
      </c>
      <c r="G1973" s="3">
        <v>27.925999999999998</v>
      </c>
      <c r="H1973" s="3" t="s">
        <v>4644</v>
      </c>
      <c r="I1973" s="3" t="s">
        <v>4645</v>
      </c>
      <c r="J1973" s="3" t="s">
        <v>4735</v>
      </c>
      <c r="K1973" s="3">
        <v>57</v>
      </c>
      <c r="L1973" s="3" t="s">
        <v>4647</v>
      </c>
    </row>
    <row r="1974" spans="1:12" ht="33.75" customHeight="1" x14ac:dyDescent="0.25">
      <c r="A1974" s="13" t="s">
        <v>4482</v>
      </c>
      <c r="B1974" s="2" t="s">
        <v>3019</v>
      </c>
      <c r="C1974" s="2" t="s">
        <v>3020</v>
      </c>
      <c r="D1974" s="2" t="s">
        <v>4741</v>
      </c>
      <c r="E1974" s="2" t="s">
        <v>4949</v>
      </c>
      <c r="F1974" s="2" t="s">
        <v>3021</v>
      </c>
      <c r="G1974" s="2">
        <v>27.925999999999998</v>
      </c>
      <c r="H1974" s="2" t="s">
        <v>4644</v>
      </c>
      <c r="I1974" s="2" t="s">
        <v>4645</v>
      </c>
      <c r="J1974" s="2" t="s">
        <v>4695</v>
      </c>
      <c r="K1974" s="2">
        <v>45</v>
      </c>
      <c r="L1974" s="2" t="s">
        <v>4647</v>
      </c>
    </row>
    <row r="1975" spans="1:12" ht="33.75" customHeight="1" x14ac:dyDescent="0.25">
      <c r="A1975" s="14" t="s">
        <v>4483</v>
      </c>
      <c r="B1975" s="3" t="s">
        <v>3019</v>
      </c>
      <c r="C1975" s="3" t="s">
        <v>4484</v>
      </c>
      <c r="D1975" s="3" t="s">
        <v>4741</v>
      </c>
      <c r="E1975" s="3" t="s">
        <v>4949</v>
      </c>
      <c r="F1975" s="3" t="s">
        <v>3021</v>
      </c>
      <c r="G1975" s="3">
        <v>27.925999999999998</v>
      </c>
      <c r="H1975" s="3" t="s">
        <v>4644</v>
      </c>
      <c r="I1975" s="3" t="s">
        <v>4645</v>
      </c>
      <c r="J1975" s="3" t="s">
        <v>4695</v>
      </c>
      <c r="K1975" s="3">
        <v>45</v>
      </c>
      <c r="L1975" s="3" t="s">
        <v>4647</v>
      </c>
    </row>
    <row r="1976" spans="1:12" ht="33.75" customHeight="1" x14ac:dyDescent="0.25">
      <c r="A1976" s="13" t="s">
        <v>4485</v>
      </c>
      <c r="B1976" s="2" t="s">
        <v>3019</v>
      </c>
      <c r="C1976" s="2" t="s">
        <v>4486</v>
      </c>
      <c r="D1976" s="2" t="s">
        <v>4741</v>
      </c>
      <c r="E1976" s="2" t="s">
        <v>4949</v>
      </c>
      <c r="F1976" s="2" t="s">
        <v>3021</v>
      </c>
      <c r="G1976" s="2">
        <v>27.925999999999998</v>
      </c>
      <c r="H1976" s="2" t="s">
        <v>4644</v>
      </c>
      <c r="I1976" s="2" t="s">
        <v>4645</v>
      </c>
      <c r="J1976" s="2" t="s">
        <v>4695</v>
      </c>
      <c r="K1976" s="2">
        <v>45</v>
      </c>
      <c r="L1976" s="2" t="s">
        <v>4647</v>
      </c>
    </row>
    <row r="1977" spans="1:12" ht="33.75" customHeight="1" x14ac:dyDescent="0.25">
      <c r="A1977" s="14" t="s">
        <v>4487</v>
      </c>
      <c r="B1977" s="3" t="s">
        <v>878</v>
      </c>
      <c r="C1977" s="3" t="s">
        <v>4488</v>
      </c>
      <c r="D1977" s="3" t="s">
        <v>4741</v>
      </c>
      <c r="E1977" s="3" t="s">
        <v>4802</v>
      </c>
      <c r="F1977" s="3" t="s">
        <v>880</v>
      </c>
      <c r="G1977" s="3">
        <v>27.925999999999998</v>
      </c>
      <c r="H1977" s="3" t="s">
        <v>4644</v>
      </c>
      <c r="I1977" s="3" t="s">
        <v>4645</v>
      </c>
      <c r="J1977" s="3" t="s">
        <v>4684</v>
      </c>
      <c r="K1977" s="3">
        <v>51</v>
      </c>
      <c r="L1977" s="3" t="s">
        <v>4647</v>
      </c>
    </row>
    <row r="1978" spans="1:12" ht="33.75" customHeight="1" x14ac:dyDescent="0.25">
      <c r="A1978" s="13" t="s">
        <v>4489</v>
      </c>
      <c r="B1978" s="2" t="s">
        <v>878</v>
      </c>
      <c r="C1978" s="2" t="s">
        <v>4490</v>
      </c>
      <c r="D1978" s="2" t="s">
        <v>4741</v>
      </c>
      <c r="E1978" s="2" t="s">
        <v>4802</v>
      </c>
      <c r="F1978" s="2" t="s">
        <v>880</v>
      </c>
      <c r="G1978" s="2">
        <v>27.925999999999998</v>
      </c>
      <c r="H1978" s="2" t="s">
        <v>4644</v>
      </c>
      <c r="I1978" s="2" t="s">
        <v>4645</v>
      </c>
      <c r="J1978" s="2" t="s">
        <v>4684</v>
      </c>
      <c r="K1978" s="2">
        <v>51</v>
      </c>
      <c r="L1978" s="2" t="s">
        <v>4647</v>
      </c>
    </row>
    <row r="1979" spans="1:12" ht="33.75" customHeight="1" x14ac:dyDescent="0.25">
      <c r="A1979" s="14" t="s">
        <v>4491</v>
      </c>
      <c r="B1979" s="3" t="s">
        <v>878</v>
      </c>
      <c r="C1979" s="3" t="s">
        <v>4492</v>
      </c>
      <c r="D1979" s="3" t="s">
        <v>4741</v>
      </c>
      <c r="E1979" s="3" t="s">
        <v>4802</v>
      </c>
      <c r="F1979" s="3" t="s">
        <v>880</v>
      </c>
      <c r="G1979" s="3">
        <v>27.925999999999998</v>
      </c>
      <c r="H1979" s="3" t="s">
        <v>4644</v>
      </c>
      <c r="I1979" s="3" t="s">
        <v>4645</v>
      </c>
      <c r="J1979" s="3" t="s">
        <v>4684</v>
      </c>
      <c r="K1979" s="3">
        <v>51</v>
      </c>
      <c r="L1979" s="3" t="s">
        <v>4647</v>
      </c>
    </row>
    <row r="1980" spans="1:12" ht="33.75" customHeight="1" x14ac:dyDescent="0.25">
      <c r="A1980" s="13" t="s">
        <v>4493</v>
      </c>
      <c r="B1980" s="2" t="s">
        <v>830</v>
      </c>
      <c r="C1980" s="2" t="s">
        <v>4494</v>
      </c>
      <c r="D1980" s="2" t="s">
        <v>4741</v>
      </c>
      <c r="E1980" s="2" t="s">
        <v>4797</v>
      </c>
      <c r="F1980" s="2" t="s">
        <v>832</v>
      </c>
      <c r="G1980" s="2">
        <v>27.925999999999998</v>
      </c>
      <c r="H1980" s="2" t="s">
        <v>4644</v>
      </c>
      <c r="I1980" s="2" t="s">
        <v>4645</v>
      </c>
      <c r="J1980" s="2" t="s">
        <v>4693</v>
      </c>
      <c r="K1980" s="2">
        <v>42</v>
      </c>
      <c r="L1980" s="2" t="s">
        <v>4647</v>
      </c>
    </row>
    <row r="1981" spans="1:12" ht="33.75" customHeight="1" x14ac:dyDescent="0.25">
      <c r="A1981" s="14" t="s">
        <v>4495</v>
      </c>
      <c r="B1981" s="3" t="s">
        <v>830</v>
      </c>
      <c r="C1981" s="3" t="s">
        <v>4496</v>
      </c>
      <c r="D1981" s="3" t="s">
        <v>4741</v>
      </c>
      <c r="E1981" s="3" t="s">
        <v>4797</v>
      </c>
      <c r="F1981" s="3" t="s">
        <v>832</v>
      </c>
      <c r="G1981" s="3">
        <v>27.925999999999998</v>
      </c>
      <c r="H1981" s="3" t="s">
        <v>4644</v>
      </c>
      <c r="I1981" s="3" t="s">
        <v>4645</v>
      </c>
      <c r="J1981" s="3" t="s">
        <v>4693</v>
      </c>
      <c r="K1981" s="3">
        <v>42</v>
      </c>
      <c r="L1981" s="3" t="s">
        <v>4647</v>
      </c>
    </row>
    <row r="1982" spans="1:12" ht="33.75" customHeight="1" x14ac:dyDescent="0.25">
      <c r="A1982" s="13" t="s">
        <v>4497</v>
      </c>
      <c r="B1982" s="2" t="s">
        <v>830</v>
      </c>
      <c r="C1982" s="2" t="s">
        <v>4498</v>
      </c>
      <c r="D1982" s="2" t="s">
        <v>4741</v>
      </c>
      <c r="E1982" s="2" t="s">
        <v>4797</v>
      </c>
      <c r="F1982" s="2" t="s">
        <v>832</v>
      </c>
      <c r="G1982" s="2">
        <v>27.925999999999998</v>
      </c>
      <c r="H1982" s="2" t="s">
        <v>4644</v>
      </c>
      <c r="I1982" s="2" t="s">
        <v>4645</v>
      </c>
      <c r="J1982" s="2" t="s">
        <v>4693</v>
      </c>
      <c r="K1982" s="2">
        <v>42</v>
      </c>
      <c r="L1982" s="2" t="s">
        <v>4647</v>
      </c>
    </row>
    <row r="1983" spans="1:12" ht="33.75" customHeight="1" x14ac:dyDescent="0.25">
      <c r="A1983" s="14" t="s">
        <v>4499</v>
      </c>
      <c r="B1983" s="3" t="s">
        <v>2137</v>
      </c>
      <c r="C1983" s="3" t="s">
        <v>3015</v>
      </c>
      <c r="D1983" s="3" t="s">
        <v>4741</v>
      </c>
      <c r="E1983" s="3" t="s">
        <v>4885</v>
      </c>
      <c r="F1983" s="3" t="s">
        <v>2139</v>
      </c>
      <c r="G1983" s="3">
        <v>27.925999999999998</v>
      </c>
      <c r="H1983" s="3" t="s">
        <v>4644</v>
      </c>
      <c r="I1983" s="3" t="s">
        <v>4645</v>
      </c>
      <c r="J1983" s="3" t="s">
        <v>4697</v>
      </c>
      <c r="K1983" s="3">
        <v>36</v>
      </c>
      <c r="L1983" s="3" t="s">
        <v>4647</v>
      </c>
    </row>
    <row r="1984" spans="1:12" ht="33.75" customHeight="1" x14ac:dyDescent="0.25">
      <c r="A1984" s="13" t="s">
        <v>4500</v>
      </c>
      <c r="B1984" s="2" t="s">
        <v>2137</v>
      </c>
      <c r="C1984" s="2" t="s">
        <v>4501</v>
      </c>
      <c r="D1984" s="2" t="s">
        <v>4741</v>
      </c>
      <c r="E1984" s="2" t="s">
        <v>4885</v>
      </c>
      <c r="F1984" s="2" t="s">
        <v>2139</v>
      </c>
      <c r="G1984" s="2">
        <v>27.925999999999998</v>
      </c>
      <c r="H1984" s="2" t="s">
        <v>4644</v>
      </c>
      <c r="I1984" s="2" t="s">
        <v>4645</v>
      </c>
      <c r="J1984" s="2" t="s">
        <v>4697</v>
      </c>
      <c r="K1984" s="2">
        <v>36</v>
      </c>
      <c r="L1984" s="2" t="s">
        <v>4647</v>
      </c>
    </row>
    <row r="1985" spans="1:12" ht="33.75" customHeight="1" x14ac:dyDescent="0.25">
      <c r="A1985" s="14" t="s">
        <v>4502</v>
      </c>
      <c r="B1985" s="3" t="s">
        <v>2137</v>
      </c>
      <c r="C1985" s="3" t="s">
        <v>4503</v>
      </c>
      <c r="D1985" s="3" t="s">
        <v>4741</v>
      </c>
      <c r="E1985" s="3" t="s">
        <v>4885</v>
      </c>
      <c r="F1985" s="3" t="s">
        <v>2139</v>
      </c>
      <c r="G1985" s="3">
        <v>27.925999999999998</v>
      </c>
      <c r="H1985" s="3" t="s">
        <v>4644</v>
      </c>
      <c r="I1985" s="3" t="s">
        <v>4645</v>
      </c>
      <c r="J1985" s="3" t="s">
        <v>4697</v>
      </c>
      <c r="K1985" s="3">
        <v>36</v>
      </c>
      <c r="L1985" s="3" t="s">
        <v>4647</v>
      </c>
    </row>
    <row r="1986" spans="1:12" ht="33.75" customHeight="1" x14ac:dyDescent="0.25">
      <c r="A1986" s="13" t="s">
        <v>4504</v>
      </c>
      <c r="B1986" s="2" t="s">
        <v>1928</v>
      </c>
      <c r="C1986" s="2" t="s">
        <v>4505</v>
      </c>
      <c r="D1986" s="2" t="s">
        <v>4689</v>
      </c>
      <c r="E1986" s="2" t="s">
        <v>4874</v>
      </c>
      <c r="F1986" s="2" t="s">
        <v>1930</v>
      </c>
      <c r="G1986" s="2">
        <v>27.530560000000001</v>
      </c>
      <c r="H1986" s="2" t="s">
        <v>4644</v>
      </c>
      <c r="I1986" s="2" t="s">
        <v>4645</v>
      </c>
      <c r="J1986" s="2" t="s">
        <v>4735</v>
      </c>
      <c r="K1986" s="2">
        <v>76</v>
      </c>
      <c r="L1986" s="2" t="s">
        <v>4668</v>
      </c>
    </row>
    <row r="1987" spans="1:12" ht="33.75" customHeight="1" x14ac:dyDescent="0.25">
      <c r="A1987" s="14" t="s">
        <v>4506</v>
      </c>
      <c r="B1987" s="3" t="s">
        <v>414</v>
      </c>
      <c r="C1987" s="3" t="s">
        <v>4507</v>
      </c>
      <c r="D1987" s="3" t="s">
        <v>4702</v>
      </c>
      <c r="E1987" s="3" t="s">
        <v>4732</v>
      </c>
      <c r="F1987" s="3" t="s">
        <v>416</v>
      </c>
      <c r="G1987" s="3">
        <v>31.0092</v>
      </c>
      <c r="H1987" s="3" t="s">
        <v>4644</v>
      </c>
      <c r="I1987" s="3" t="s">
        <v>4645</v>
      </c>
      <c r="J1987" s="3" t="s">
        <v>4733</v>
      </c>
      <c r="K1987" s="3">
        <v>87</v>
      </c>
      <c r="L1987" s="3" t="s">
        <v>4647</v>
      </c>
    </row>
    <row r="1988" spans="1:12" ht="33.75" customHeight="1" x14ac:dyDescent="0.25">
      <c r="A1988" s="13" t="s">
        <v>4508</v>
      </c>
      <c r="B1988" s="2" t="s">
        <v>418</v>
      </c>
      <c r="C1988" s="2" t="s">
        <v>4509</v>
      </c>
      <c r="D1988" s="2" t="s">
        <v>4702</v>
      </c>
      <c r="E1988" s="2" t="s">
        <v>4734</v>
      </c>
      <c r="F1988" s="2" t="s">
        <v>420</v>
      </c>
      <c r="G1988" s="2">
        <v>30.655200000000001</v>
      </c>
      <c r="H1988" s="2" t="s">
        <v>4644</v>
      </c>
      <c r="I1988" s="2" t="s">
        <v>4645</v>
      </c>
      <c r="J1988" s="2" t="s">
        <v>4682</v>
      </c>
      <c r="K1988" s="2">
        <v>72</v>
      </c>
      <c r="L1988" s="2" t="s">
        <v>4647</v>
      </c>
    </row>
    <row r="1989" spans="1:12" ht="33.75" customHeight="1" x14ac:dyDescent="0.25">
      <c r="A1989" s="14" t="s">
        <v>4510</v>
      </c>
      <c r="B1989" s="3" t="s">
        <v>89</v>
      </c>
      <c r="C1989" s="3" t="s">
        <v>4511</v>
      </c>
      <c r="D1989" s="3" t="s">
        <v>4702</v>
      </c>
      <c r="E1989" s="3" t="s">
        <v>4659</v>
      </c>
      <c r="F1989" s="3" t="s">
        <v>91</v>
      </c>
      <c r="G1989" s="3">
        <v>32.389200000000002</v>
      </c>
      <c r="H1989" s="3" t="s">
        <v>4644</v>
      </c>
      <c r="I1989" s="3" t="s">
        <v>4645</v>
      </c>
      <c r="J1989" s="3" t="s">
        <v>4652</v>
      </c>
      <c r="K1989" s="3">
        <v>30</v>
      </c>
      <c r="L1989" s="3" t="s">
        <v>4647</v>
      </c>
    </row>
    <row r="1990" spans="1:12" ht="33.75" customHeight="1" x14ac:dyDescent="0.25">
      <c r="A1990" s="13" t="s">
        <v>4512</v>
      </c>
      <c r="B1990" s="2" t="s">
        <v>57</v>
      </c>
      <c r="C1990" s="2" t="s">
        <v>4513</v>
      </c>
      <c r="D1990" s="2" t="s">
        <v>4702</v>
      </c>
      <c r="E1990" s="2" t="s">
        <v>4643</v>
      </c>
      <c r="F1990" s="2" t="s">
        <v>59</v>
      </c>
      <c r="G1990" s="2">
        <v>31.825199999999999</v>
      </c>
      <c r="H1990" s="2" t="s">
        <v>4644</v>
      </c>
      <c r="I1990" s="2" t="s">
        <v>4645</v>
      </c>
      <c r="J1990" s="2" t="s">
        <v>4646</v>
      </c>
      <c r="K1990" s="2">
        <v>21</v>
      </c>
      <c r="L1990" s="2" t="s">
        <v>4647</v>
      </c>
    </row>
    <row r="1991" spans="1:12" ht="33.75" customHeight="1" x14ac:dyDescent="0.25">
      <c r="A1991" s="14" t="s">
        <v>4514</v>
      </c>
      <c r="B1991" s="3" t="s">
        <v>826</v>
      </c>
      <c r="C1991" s="3" t="s">
        <v>4515</v>
      </c>
      <c r="D1991" s="3" t="s">
        <v>4741</v>
      </c>
      <c r="E1991" s="3" t="s">
        <v>4796</v>
      </c>
      <c r="F1991" s="3" t="s">
        <v>828</v>
      </c>
      <c r="G1991" s="3">
        <v>28.366</v>
      </c>
      <c r="H1991" s="3" t="s">
        <v>4644</v>
      </c>
      <c r="I1991" s="3" t="s">
        <v>4645</v>
      </c>
      <c r="J1991" s="3" t="s">
        <v>4733</v>
      </c>
      <c r="K1991" s="3">
        <v>72</v>
      </c>
      <c r="L1991" s="3" t="s">
        <v>4647</v>
      </c>
    </row>
    <row r="1992" spans="1:12" ht="33.75" customHeight="1" x14ac:dyDescent="0.25">
      <c r="A1992" s="13" t="s">
        <v>4516</v>
      </c>
      <c r="B1992" s="2" t="s">
        <v>4517</v>
      </c>
      <c r="C1992" s="2" t="s">
        <v>4518</v>
      </c>
      <c r="D1992" s="2" t="s">
        <v>4671</v>
      </c>
      <c r="E1992" s="2" t="s">
        <v>4867</v>
      </c>
      <c r="F1992" s="2" t="s">
        <v>4519</v>
      </c>
      <c r="G1992" s="2">
        <v>27.7424</v>
      </c>
      <c r="H1992" s="2" t="s">
        <v>4644</v>
      </c>
      <c r="I1992" s="2" t="s">
        <v>4645</v>
      </c>
      <c r="J1992" s="2" t="s">
        <v>4691</v>
      </c>
      <c r="K1992" s="2">
        <v>36</v>
      </c>
      <c r="L1992" s="2" t="s">
        <v>4668</v>
      </c>
    </row>
    <row r="1993" spans="1:12" ht="33.75" customHeight="1" x14ac:dyDescent="0.25">
      <c r="A1993" s="14" t="s">
        <v>4520</v>
      </c>
      <c r="B1993" s="3" t="s">
        <v>1967</v>
      </c>
      <c r="C1993" s="3" t="s">
        <v>4521</v>
      </c>
      <c r="D1993" s="3" t="s">
        <v>4671</v>
      </c>
      <c r="E1993" s="3" t="s">
        <v>4879</v>
      </c>
      <c r="F1993" s="3" t="s">
        <v>1969</v>
      </c>
      <c r="G1993" s="3">
        <v>30.68432</v>
      </c>
      <c r="H1993" s="3" t="s">
        <v>4644</v>
      </c>
      <c r="I1993" s="3" t="s">
        <v>4645</v>
      </c>
      <c r="J1993" s="3" t="s">
        <v>4726</v>
      </c>
      <c r="K1993" s="3">
        <v>72</v>
      </c>
      <c r="L1993" s="3" t="s">
        <v>4668</v>
      </c>
    </row>
    <row r="1994" spans="1:12" ht="33.75" customHeight="1" x14ac:dyDescent="0.25">
      <c r="A1994" s="13" t="s">
        <v>4522</v>
      </c>
      <c r="B1994" s="2" t="s">
        <v>112</v>
      </c>
      <c r="C1994" s="2" t="s">
        <v>4523</v>
      </c>
      <c r="D1994" s="2" t="s">
        <v>4882</v>
      </c>
      <c r="E1994" s="2" t="s">
        <v>4660</v>
      </c>
      <c r="F1994" s="2" t="s">
        <v>114</v>
      </c>
      <c r="G1994" s="2">
        <v>30.7682</v>
      </c>
      <c r="H1994" s="2" t="s">
        <v>4644</v>
      </c>
      <c r="I1994" s="2" t="s">
        <v>4645</v>
      </c>
      <c r="J1994" s="2" t="s">
        <v>4652</v>
      </c>
      <c r="K1994" s="2">
        <v>21</v>
      </c>
      <c r="L1994" s="2" t="s">
        <v>4647</v>
      </c>
    </row>
    <row r="1995" spans="1:12" ht="33.75" customHeight="1" x14ac:dyDescent="0.25">
      <c r="A1995" s="14" t="s">
        <v>4524</v>
      </c>
      <c r="B1995" s="3" t="s">
        <v>57</v>
      </c>
      <c r="C1995" s="3" t="s">
        <v>4525</v>
      </c>
      <c r="D1995" s="3"/>
      <c r="E1995" s="3" t="s">
        <v>4643</v>
      </c>
      <c r="F1995" s="3" t="s">
        <v>59</v>
      </c>
      <c r="G1995" s="3">
        <v>31.825199999999999</v>
      </c>
      <c r="H1995" s="3" t="s">
        <v>4644</v>
      </c>
      <c r="I1995" s="3" t="s">
        <v>4645</v>
      </c>
      <c r="J1995" s="3" t="s">
        <v>4646</v>
      </c>
      <c r="K1995" s="3">
        <v>21</v>
      </c>
      <c r="L1995" s="3" t="s">
        <v>4647</v>
      </c>
    </row>
    <row r="1996" spans="1:12" ht="33.75" customHeight="1" x14ac:dyDescent="0.25">
      <c r="A1996" s="13" t="s">
        <v>4526</v>
      </c>
      <c r="B1996" s="2" t="s">
        <v>1888</v>
      </c>
      <c r="C1996" s="2" t="s">
        <v>4527</v>
      </c>
      <c r="D1996" s="2" t="s">
        <v>4794</v>
      </c>
      <c r="E1996" s="2" t="s">
        <v>4872</v>
      </c>
      <c r="F1996" s="2" t="s">
        <v>1890</v>
      </c>
      <c r="G1996" s="2">
        <v>27.859200000000001</v>
      </c>
      <c r="H1996" s="2" t="s">
        <v>4644</v>
      </c>
      <c r="I1996" s="2" t="s">
        <v>4645</v>
      </c>
      <c r="J1996" s="2" t="s">
        <v>4733</v>
      </c>
      <c r="K1996" s="2">
        <v>72</v>
      </c>
      <c r="L1996" s="2" t="s">
        <v>4647</v>
      </c>
    </row>
    <row r="1997" spans="1:12" ht="33.75" customHeight="1" x14ac:dyDescent="0.25">
      <c r="A1997" s="14" t="s">
        <v>4528</v>
      </c>
      <c r="B1997" s="3" t="s">
        <v>820</v>
      </c>
      <c r="C1997" s="3" t="s">
        <v>4529</v>
      </c>
      <c r="D1997" s="3" t="s">
        <v>4794</v>
      </c>
      <c r="E1997" s="3" t="s">
        <v>4795</v>
      </c>
      <c r="F1997" s="3" t="s">
        <v>822</v>
      </c>
      <c r="G1997" s="3">
        <v>27.639199999999999</v>
      </c>
      <c r="H1997" s="3" t="s">
        <v>4644</v>
      </c>
      <c r="I1997" s="3" t="s">
        <v>4645</v>
      </c>
      <c r="J1997" s="3" t="s">
        <v>4735</v>
      </c>
      <c r="K1997" s="3">
        <v>57</v>
      </c>
      <c r="L1997" s="3" t="s">
        <v>4647</v>
      </c>
    </row>
    <row r="1998" spans="1:12" ht="33.75" customHeight="1" x14ac:dyDescent="0.25">
      <c r="A1998" s="13" t="s">
        <v>4530</v>
      </c>
      <c r="B1998" s="2" t="s">
        <v>1878</v>
      </c>
      <c r="C1998" s="2" t="s">
        <v>4279</v>
      </c>
      <c r="D1998" s="2" t="s">
        <v>4794</v>
      </c>
      <c r="E1998" s="2" t="s">
        <v>4870</v>
      </c>
      <c r="F1998" s="2" t="s">
        <v>1880</v>
      </c>
      <c r="G1998" s="2">
        <v>27.639199999999999</v>
      </c>
      <c r="H1998" s="2" t="s">
        <v>4644</v>
      </c>
      <c r="I1998" s="2" t="s">
        <v>4645</v>
      </c>
      <c r="J1998" s="2" t="s">
        <v>4684</v>
      </c>
      <c r="K1998" s="2">
        <v>51</v>
      </c>
      <c r="L1998" s="2" t="s">
        <v>4647</v>
      </c>
    </row>
    <row r="1999" spans="1:12" ht="33.75" customHeight="1" x14ac:dyDescent="0.25">
      <c r="A1999" s="14" t="s">
        <v>4531</v>
      </c>
      <c r="B1999" s="3" t="s">
        <v>1878</v>
      </c>
      <c r="C1999" s="3" t="s">
        <v>4532</v>
      </c>
      <c r="D1999" s="3" t="s">
        <v>4794</v>
      </c>
      <c r="E1999" s="3" t="s">
        <v>4870</v>
      </c>
      <c r="F1999" s="3" t="s">
        <v>1880</v>
      </c>
      <c r="G1999" s="3">
        <v>27.639199999999999</v>
      </c>
      <c r="H1999" s="3" t="s">
        <v>4644</v>
      </c>
      <c r="I1999" s="3" t="s">
        <v>4645</v>
      </c>
      <c r="J1999" s="3" t="s">
        <v>4695</v>
      </c>
      <c r="K1999" s="3">
        <v>51</v>
      </c>
      <c r="L1999" s="3" t="s">
        <v>4647</v>
      </c>
    </row>
    <row r="2000" spans="1:12" ht="33.75" customHeight="1" x14ac:dyDescent="0.25">
      <c r="A2000" s="13" t="s">
        <v>4533</v>
      </c>
      <c r="B2000" s="2" t="s">
        <v>4534</v>
      </c>
      <c r="C2000" s="2" t="s">
        <v>4535</v>
      </c>
      <c r="D2000" s="2" t="s">
        <v>5037</v>
      </c>
      <c r="E2000" s="2" t="s">
        <v>5038</v>
      </c>
      <c r="F2000" s="2" t="s">
        <v>4536</v>
      </c>
      <c r="G2000" s="2">
        <v>28.206</v>
      </c>
      <c r="H2000" s="2" t="s">
        <v>4644</v>
      </c>
      <c r="I2000" s="2" t="s">
        <v>4645</v>
      </c>
      <c r="J2000" s="2" t="s">
        <v>4695</v>
      </c>
      <c r="K2000" s="2">
        <v>63</v>
      </c>
      <c r="L2000" s="2" t="s">
        <v>4647</v>
      </c>
    </row>
    <row r="2001" spans="1:12" ht="33.75" customHeight="1" x14ac:dyDescent="0.25">
      <c r="A2001" s="14" t="s">
        <v>4537</v>
      </c>
      <c r="B2001" s="3" t="s">
        <v>4538</v>
      </c>
      <c r="C2001" s="3" t="s">
        <v>4539</v>
      </c>
      <c r="D2001" s="3" t="s">
        <v>5037</v>
      </c>
      <c r="E2001" s="3" t="s">
        <v>5039</v>
      </c>
      <c r="F2001" s="3" t="s">
        <v>4540</v>
      </c>
      <c r="G2001" s="3">
        <v>27.707999999999998</v>
      </c>
      <c r="H2001" s="3" t="s">
        <v>4644</v>
      </c>
      <c r="I2001" s="3" t="s">
        <v>4645</v>
      </c>
      <c r="J2001" s="3" t="s">
        <v>4719</v>
      </c>
      <c r="K2001" s="3">
        <v>72</v>
      </c>
      <c r="L2001" s="3" t="s">
        <v>4647</v>
      </c>
    </row>
    <row r="2002" spans="1:12" ht="33.75" customHeight="1" x14ac:dyDescent="0.25">
      <c r="A2002" s="13" t="s">
        <v>4541</v>
      </c>
      <c r="B2002" s="2" t="s">
        <v>2367</v>
      </c>
      <c r="C2002" s="2" t="s">
        <v>4542</v>
      </c>
      <c r="D2002" s="2" t="s">
        <v>5037</v>
      </c>
      <c r="E2002" s="2" t="s">
        <v>4908</v>
      </c>
      <c r="F2002" s="2" t="s">
        <v>2369</v>
      </c>
      <c r="G2002" s="2">
        <v>27.707999999999998</v>
      </c>
      <c r="H2002" s="2" t="s">
        <v>4644</v>
      </c>
      <c r="I2002" s="2" t="s">
        <v>4645</v>
      </c>
      <c r="J2002" s="2" t="s">
        <v>4770</v>
      </c>
      <c r="K2002" s="2">
        <v>63</v>
      </c>
      <c r="L2002" s="2" t="s">
        <v>4647</v>
      </c>
    </row>
    <row r="2003" spans="1:12" ht="33.75" customHeight="1" x14ac:dyDescent="0.25">
      <c r="A2003" s="14" t="s">
        <v>4543</v>
      </c>
      <c r="B2003" s="3" t="s">
        <v>1727</v>
      </c>
      <c r="C2003" s="3" t="s">
        <v>4544</v>
      </c>
      <c r="D2003" s="3"/>
      <c r="E2003" s="3" t="s">
        <v>4847</v>
      </c>
      <c r="F2003" s="3" t="s">
        <v>1729</v>
      </c>
      <c r="G2003" s="3">
        <v>29.0792</v>
      </c>
      <c r="H2003" s="3" t="s">
        <v>4644</v>
      </c>
      <c r="I2003" s="3" t="s">
        <v>4645</v>
      </c>
      <c r="J2003" s="3" t="s">
        <v>4691</v>
      </c>
      <c r="K2003" s="3">
        <v>36</v>
      </c>
      <c r="L2003" s="3" t="s">
        <v>4647</v>
      </c>
    </row>
    <row r="2004" spans="1:12" ht="33.75" customHeight="1" x14ac:dyDescent="0.25">
      <c r="A2004" s="13" t="s">
        <v>4545</v>
      </c>
      <c r="B2004" s="2" t="s">
        <v>400</v>
      </c>
      <c r="C2004" s="2" t="s">
        <v>4546</v>
      </c>
      <c r="D2004" s="2"/>
      <c r="E2004" s="2" t="s">
        <v>4730</v>
      </c>
      <c r="F2004" s="2" t="s">
        <v>402</v>
      </c>
      <c r="G2004" s="2">
        <v>34.332239999999999</v>
      </c>
      <c r="H2004" s="2" t="s">
        <v>4644</v>
      </c>
      <c r="I2004" s="2" t="s">
        <v>4645</v>
      </c>
      <c r="J2004" s="2" t="s">
        <v>4719</v>
      </c>
      <c r="K2004" s="2">
        <v>72</v>
      </c>
      <c r="L2004" s="2" t="s">
        <v>4647</v>
      </c>
    </row>
    <row r="2005" spans="1:12" ht="33.75" customHeight="1" x14ac:dyDescent="0.25">
      <c r="A2005" s="14" t="s">
        <v>4547</v>
      </c>
      <c r="B2005" s="3" t="s">
        <v>418</v>
      </c>
      <c r="C2005" s="3" t="s">
        <v>4548</v>
      </c>
      <c r="D2005" s="3" t="s">
        <v>4893</v>
      </c>
      <c r="E2005" s="3" t="s">
        <v>4734</v>
      </c>
      <c r="F2005" s="3" t="s">
        <v>420</v>
      </c>
      <c r="G2005" s="3">
        <v>30.655200000000001</v>
      </c>
      <c r="H2005" s="3" t="s">
        <v>4644</v>
      </c>
      <c r="I2005" s="3" t="s">
        <v>4645</v>
      </c>
      <c r="J2005" s="3" t="s">
        <v>4735</v>
      </c>
      <c r="K2005" s="3">
        <v>72</v>
      </c>
      <c r="L2005" s="3" t="s">
        <v>4647</v>
      </c>
    </row>
    <row r="2006" spans="1:12" ht="33.75" customHeight="1" x14ac:dyDescent="0.25">
      <c r="A2006" s="13" t="s">
        <v>4549</v>
      </c>
      <c r="B2006" s="2" t="s">
        <v>386</v>
      </c>
      <c r="C2006" s="2" t="s">
        <v>4550</v>
      </c>
      <c r="D2006" s="2" t="s">
        <v>4893</v>
      </c>
      <c r="E2006" s="2" t="s">
        <v>4727</v>
      </c>
      <c r="F2006" s="2" t="s">
        <v>388</v>
      </c>
      <c r="G2006" s="2">
        <v>33.783799999999999</v>
      </c>
      <c r="H2006" s="2" t="s">
        <v>4644</v>
      </c>
      <c r="I2006" s="2" t="s">
        <v>4645</v>
      </c>
      <c r="J2006" s="2" t="s">
        <v>4721</v>
      </c>
      <c r="K2006" s="2">
        <v>54</v>
      </c>
      <c r="L2006" s="2" t="s">
        <v>4647</v>
      </c>
    </row>
    <row r="2007" spans="1:12" ht="33.75" customHeight="1" x14ac:dyDescent="0.25">
      <c r="A2007" s="14" t="s">
        <v>4551</v>
      </c>
      <c r="B2007" s="3" t="s">
        <v>2458</v>
      </c>
      <c r="C2007" s="3" t="s">
        <v>4552</v>
      </c>
      <c r="D2007" s="3" t="s">
        <v>4915</v>
      </c>
      <c r="E2007" s="3" t="s">
        <v>4918</v>
      </c>
      <c r="F2007" s="3" t="s">
        <v>2460</v>
      </c>
      <c r="G2007" s="3">
        <v>28.126000000000001</v>
      </c>
      <c r="H2007" s="3" t="s">
        <v>4644</v>
      </c>
      <c r="I2007" s="3" t="s">
        <v>4645</v>
      </c>
      <c r="J2007" s="3" t="s">
        <v>4735</v>
      </c>
      <c r="K2007" s="3">
        <v>76</v>
      </c>
      <c r="L2007" s="3" t="s">
        <v>4647</v>
      </c>
    </row>
    <row r="2008" spans="1:12" ht="33.75" customHeight="1" x14ac:dyDescent="0.25">
      <c r="A2008" s="13" t="s">
        <v>4553</v>
      </c>
      <c r="B2008" s="2" t="s">
        <v>2462</v>
      </c>
      <c r="C2008" s="2" t="s">
        <v>4554</v>
      </c>
      <c r="D2008" s="2" t="s">
        <v>4915</v>
      </c>
      <c r="E2008" s="2" t="s">
        <v>4919</v>
      </c>
      <c r="F2008" s="2" t="s">
        <v>2464</v>
      </c>
      <c r="G2008" s="2">
        <v>28.126000000000001</v>
      </c>
      <c r="H2008" s="2" t="s">
        <v>4644</v>
      </c>
      <c r="I2008" s="2" t="s">
        <v>4645</v>
      </c>
      <c r="J2008" s="2" t="s">
        <v>4695</v>
      </c>
      <c r="K2008" s="2">
        <v>68</v>
      </c>
      <c r="L2008" s="2" t="s">
        <v>4647</v>
      </c>
    </row>
    <row r="2009" spans="1:12" ht="33.75" customHeight="1" x14ac:dyDescent="0.25">
      <c r="A2009" s="14" t="s">
        <v>4555</v>
      </c>
      <c r="B2009" s="3" t="s">
        <v>2700</v>
      </c>
      <c r="C2009" s="3" t="s">
        <v>4556</v>
      </c>
      <c r="D2009" s="3" t="s">
        <v>4915</v>
      </c>
      <c r="E2009" s="3" t="s">
        <v>4935</v>
      </c>
      <c r="F2009" s="3" t="s">
        <v>2702</v>
      </c>
      <c r="G2009" s="3">
        <v>28.126000000000001</v>
      </c>
      <c r="H2009" s="3" t="s">
        <v>4644</v>
      </c>
      <c r="I2009" s="3" t="s">
        <v>4645</v>
      </c>
      <c r="J2009" s="3" t="s">
        <v>4723</v>
      </c>
      <c r="K2009" s="3">
        <v>56</v>
      </c>
      <c r="L2009" s="3" t="s">
        <v>4647</v>
      </c>
    </row>
    <row r="2010" spans="1:12" ht="33.75" customHeight="1" x14ac:dyDescent="0.25">
      <c r="A2010" s="13" t="s">
        <v>4557</v>
      </c>
      <c r="B2010" s="2" t="s">
        <v>3547</v>
      </c>
      <c r="C2010" s="2" t="s">
        <v>4558</v>
      </c>
      <c r="D2010" s="2" t="s">
        <v>4915</v>
      </c>
      <c r="E2010" s="2" t="s">
        <v>4986</v>
      </c>
      <c r="F2010" s="2" t="s">
        <v>3549</v>
      </c>
      <c r="G2010" s="2">
        <v>28.126000000000001</v>
      </c>
      <c r="H2010" s="2" t="s">
        <v>4644</v>
      </c>
      <c r="I2010" s="2" t="s">
        <v>4645</v>
      </c>
      <c r="J2010" s="2" t="s">
        <v>4697</v>
      </c>
      <c r="K2010" s="2">
        <v>48</v>
      </c>
      <c r="L2010" s="2" t="s">
        <v>4647</v>
      </c>
    </row>
    <row r="2011" spans="1:12" ht="33.75" customHeight="1" x14ac:dyDescent="0.25">
      <c r="A2011" s="14" t="s">
        <v>4559</v>
      </c>
      <c r="B2011" s="3" t="s">
        <v>1781</v>
      </c>
      <c r="C2011" s="3" t="s">
        <v>4560</v>
      </c>
      <c r="D2011" s="3" t="s">
        <v>5031</v>
      </c>
      <c r="E2011" s="3" t="s">
        <v>4858</v>
      </c>
      <c r="F2011" s="3" t="s">
        <v>1783</v>
      </c>
      <c r="G2011" s="3">
        <v>27.925999999999998</v>
      </c>
      <c r="H2011" s="3" t="s">
        <v>4644</v>
      </c>
      <c r="I2011" s="3" t="s">
        <v>4645</v>
      </c>
      <c r="J2011" s="3" t="s">
        <v>4695</v>
      </c>
      <c r="K2011" s="3">
        <v>48</v>
      </c>
      <c r="L2011" s="3" t="s">
        <v>4647</v>
      </c>
    </row>
    <row r="2012" spans="1:12" ht="33.75" customHeight="1" x14ac:dyDescent="0.25">
      <c r="A2012" s="13" t="s">
        <v>4561</v>
      </c>
      <c r="B2012" s="2" t="s">
        <v>878</v>
      </c>
      <c r="C2012" s="2" t="s">
        <v>4562</v>
      </c>
      <c r="D2012" s="2" t="s">
        <v>5031</v>
      </c>
      <c r="E2012" s="2" t="s">
        <v>4802</v>
      </c>
      <c r="F2012" s="2" t="s">
        <v>880</v>
      </c>
      <c r="G2012" s="2">
        <v>27.925999999999998</v>
      </c>
      <c r="H2012" s="2" t="s">
        <v>4644</v>
      </c>
      <c r="I2012" s="2" t="s">
        <v>4645</v>
      </c>
      <c r="J2012" s="2" t="s">
        <v>4684</v>
      </c>
      <c r="K2012" s="2">
        <v>51</v>
      </c>
      <c r="L2012" s="2" t="s">
        <v>4647</v>
      </c>
    </row>
    <row r="2013" spans="1:12" ht="33.75" customHeight="1" x14ac:dyDescent="0.25">
      <c r="A2013" s="14" t="s">
        <v>4563</v>
      </c>
      <c r="B2013" s="3" t="s">
        <v>1781</v>
      </c>
      <c r="C2013" s="3" t="s">
        <v>4564</v>
      </c>
      <c r="D2013" s="3" t="s">
        <v>4706</v>
      </c>
      <c r="E2013" s="3" t="s">
        <v>4858</v>
      </c>
      <c r="F2013" s="3" t="s">
        <v>1783</v>
      </c>
      <c r="G2013" s="3">
        <v>27.925999999999998</v>
      </c>
      <c r="H2013" s="3" t="s">
        <v>4644</v>
      </c>
      <c r="I2013" s="3" t="s">
        <v>4645</v>
      </c>
      <c r="J2013" s="3" t="s">
        <v>4695</v>
      </c>
      <c r="K2013" s="3">
        <v>48</v>
      </c>
      <c r="L2013" s="3" t="s">
        <v>4647</v>
      </c>
    </row>
    <row r="2014" spans="1:12" ht="33.75" customHeight="1" x14ac:dyDescent="0.25">
      <c r="A2014" s="13" t="s">
        <v>4565</v>
      </c>
      <c r="B2014" s="2" t="s">
        <v>830</v>
      </c>
      <c r="C2014" s="2" t="s">
        <v>4566</v>
      </c>
      <c r="D2014" s="2" t="s">
        <v>4706</v>
      </c>
      <c r="E2014" s="2" t="s">
        <v>4797</v>
      </c>
      <c r="F2014" s="2" t="s">
        <v>832</v>
      </c>
      <c r="G2014" s="2">
        <v>27.925999999999998</v>
      </c>
      <c r="H2014" s="2" t="s">
        <v>4644</v>
      </c>
      <c r="I2014" s="2" t="s">
        <v>4645</v>
      </c>
      <c r="J2014" s="2" t="s">
        <v>4723</v>
      </c>
      <c r="K2014" s="2">
        <v>42</v>
      </c>
      <c r="L2014" s="2" t="s">
        <v>4647</v>
      </c>
    </row>
    <row r="2015" spans="1:12" ht="33.75" customHeight="1" x14ac:dyDescent="0.25">
      <c r="A2015" s="14" t="s">
        <v>4567</v>
      </c>
      <c r="B2015" s="3" t="s">
        <v>794</v>
      </c>
      <c r="C2015" s="3" t="s">
        <v>4568</v>
      </c>
      <c r="D2015" s="3" t="s">
        <v>4773</v>
      </c>
      <c r="E2015" s="3" t="s">
        <v>4791</v>
      </c>
      <c r="F2015" s="3" t="s">
        <v>796</v>
      </c>
      <c r="G2015" s="3">
        <v>34.151200000000003</v>
      </c>
      <c r="H2015" s="3" t="s">
        <v>4644</v>
      </c>
      <c r="I2015" s="3" t="s">
        <v>4645</v>
      </c>
      <c r="J2015" s="3" t="s">
        <v>4770</v>
      </c>
      <c r="K2015" s="3">
        <v>63</v>
      </c>
      <c r="L2015" s="3" t="s">
        <v>4647</v>
      </c>
    </row>
    <row r="2016" spans="1:12" ht="33.75" customHeight="1" x14ac:dyDescent="0.25">
      <c r="A2016" s="13" t="s">
        <v>4569</v>
      </c>
      <c r="B2016" s="2" t="s">
        <v>386</v>
      </c>
      <c r="C2016" s="2" t="s">
        <v>4570</v>
      </c>
      <c r="D2016" s="2" t="s">
        <v>4773</v>
      </c>
      <c r="E2016" s="2" t="s">
        <v>4727</v>
      </c>
      <c r="F2016" s="2" t="s">
        <v>388</v>
      </c>
      <c r="G2016" s="2">
        <v>33.783799999999999</v>
      </c>
      <c r="H2016" s="2" t="s">
        <v>4644</v>
      </c>
      <c r="I2016" s="2" t="s">
        <v>4645</v>
      </c>
      <c r="J2016" s="2" t="s">
        <v>4721</v>
      </c>
      <c r="K2016" s="2">
        <v>54</v>
      </c>
      <c r="L2016" s="2" t="s">
        <v>4647</v>
      </c>
    </row>
    <row r="2017" spans="1:12" ht="33.75" customHeight="1" x14ac:dyDescent="0.25">
      <c r="A2017" s="14" t="s">
        <v>4571</v>
      </c>
      <c r="B2017" s="3" t="s">
        <v>386</v>
      </c>
      <c r="C2017" s="3" t="s">
        <v>4081</v>
      </c>
      <c r="D2017" s="3" t="s">
        <v>4773</v>
      </c>
      <c r="E2017" s="3" t="s">
        <v>4727</v>
      </c>
      <c r="F2017" s="3" t="s">
        <v>388</v>
      </c>
      <c r="G2017" s="3">
        <v>33.783799999999999</v>
      </c>
      <c r="H2017" s="3" t="s">
        <v>4644</v>
      </c>
      <c r="I2017" s="3" t="s">
        <v>4645</v>
      </c>
      <c r="J2017" s="3" t="s">
        <v>4721</v>
      </c>
      <c r="K2017" s="3">
        <v>54</v>
      </c>
      <c r="L2017" s="3" t="s">
        <v>4647</v>
      </c>
    </row>
    <row r="2018" spans="1:12" ht="33.75" customHeight="1" x14ac:dyDescent="0.25">
      <c r="A2018" s="13" t="s">
        <v>4572</v>
      </c>
      <c r="B2018" s="2" t="s">
        <v>990</v>
      </c>
      <c r="C2018" s="2" t="s">
        <v>4573</v>
      </c>
      <c r="D2018" s="2" t="s">
        <v>4705</v>
      </c>
      <c r="E2018" s="2" t="s">
        <v>4806</v>
      </c>
      <c r="F2018" s="2" t="s">
        <v>992</v>
      </c>
      <c r="G2018" s="2">
        <v>29.755199999999999</v>
      </c>
      <c r="H2018" s="2" t="s">
        <v>4644</v>
      </c>
      <c r="I2018" s="2" t="s">
        <v>4645</v>
      </c>
      <c r="J2018" s="2" t="s">
        <v>4723</v>
      </c>
      <c r="K2018" s="2">
        <v>54</v>
      </c>
      <c r="L2018" s="2" t="s">
        <v>4647</v>
      </c>
    </row>
    <row r="2019" spans="1:12" ht="33.75" customHeight="1" x14ac:dyDescent="0.25">
      <c r="A2019" s="14" t="s">
        <v>4574</v>
      </c>
      <c r="B2019" s="3" t="s">
        <v>400</v>
      </c>
      <c r="C2019" s="3" t="s">
        <v>4575</v>
      </c>
      <c r="D2019" s="3" t="s">
        <v>4663</v>
      </c>
      <c r="E2019" s="3" t="s">
        <v>4730</v>
      </c>
      <c r="F2019" s="3" t="s">
        <v>402</v>
      </c>
      <c r="G2019" s="3">
        <v>34.332239999999999</v>
      </c>
      <c r="H2019" s="3" t="s">
        <v>4644</v>
      </c>
      <c r="I2019" s="3" t="s">
        <v>4645</v>
      </c>
      <c r="J2019" s="3" t="s">
        <v>4719</v>
      </c>
      <c r="K2019" s="3">
        <v>72</v>
      </c>
      <c r="L2019" s="3" t="s">
        <v>4647</v>
      </c>
    </row>
    <row r="2020" spans="1:12" ht="33.75" customHeight="1" x14ac:dyDescent="0.25">
      <c r="A2020" s="13" t="s">
        <v>4576</v>
      </c>
      <c r="B2020" s="2" t="s">
        <v>77</v>
      </c>
      <c r="C2020" s="2" t="s">
        <v>4577</v>
      </c>
      <c r="D2020" s="2" t="s">
        <v>4663</v>
      </c>
      <c r="E2020" s="2" t="s">
        <v>4654</v>
      </c>
      <c r="F2020" s="2" t="s">
        <v>79</v>
      </c>
      <c r="G2020" s="2">
        <v>31.699200000000001</v>
      </c>
      <c r="H2020" s="2" t="s">
        <v>4644</v>
      </c>
      <c r="I2020" s="2" t="s">
        <v>4645</v>
      </c>
      <c r="J2020" s="2" t="s">
        <v>4650</v>
      </c>
      <c r="K2020" s="2">
        <v>30</v>
      </c>
      <c r="L2020" s="2" t="s">
        <v>4647</v>
      </c>
    </row>
    <row r="2021" spans="1:12" ht="33.75" customHeight="1" x14ac:dyDescent="0.25">
      <c r="A2021" s="14" t="s">
        <v>4578</v>
      </c>
      <c r="B2021" s="3" t="s">
        <v>89</v>
      </c>
      <c r="C2021" s="3" t="s">
        <v>4579</v>
      </c>
      <c r="D2021" s="3"/>
      <c r="E2021" s="3" t="s">
        <v>4659</v>
      </c>
      <c r="F2021" s="3" t="s">
        <v>91</v>
      </c>
      <c r="G2021" s="3">
        <v>32.389200000000002</v>
      </c>
      <c r="H2021" s="3" t="s">
        <v>4644</v>
      </c>
      <c r="I2021" s="3" t="s">
        <v>4645</v>
      </c>
      <c r="J2021" s="3" t="s">
        <v>4652</v>
      </c>
      <c r="K2021" s="3">
        <v>30</v>
      </c>
      <c r="L2021" s="3" t="s">
        <v>4647</v>
      </c>
    </row>
    <row r="2022" spans="1:12" ht="33.75" customHeight="1" x14ac:dyDescent="0.25">
      <c r="A2022" s="13" t="s">
        <v>4580</v>
      </c>
      <c r="B2022" s="2" t="s">
        <v>324</v>
      </c>
      <c r="C2022" s="2" t="s">
        <v>4581</v>
      </c>
      <c r="D2022" s="2"/>
      <c r="E2022" s="2" t="s">
        <v>4704</v>
      </c>
      <c r="F2022" s="2" t="s">
        <v>326</v>
      </c>
      <c r="G2022" s="2">
        <v>29.719200000000001</v>
      </c>
      <c r="H2022" s="2" t="s">
        <v>4644</v>
      </c>
      <c r="I2022" s="2" t="s">
        <v>4645</v>
      </c>
      <c r="J2022" s="2" t="s">
        <v>4697</v>
      </c>
      <c r="K2022" s="2">
        <v>45</v>
      </c>
      <c r="L2022" s="2" t="s">
        <v>4647</v>
      </c>
    </row>
    <row r="2023" spans="1:12" ht="33.75" customHeight="1" x14ac:dyDescent="0.25">
      <c r="A2023" s="14" t="s">
        <v>4582</v>
      </c>
      <c r="B2023" s="3" t="s">
        <v>356</v>
      </c>
      <c r="C2023" s="3" t="s">
        <v>4583</v>
      </c>
      <c r="D2023" s="3"/>
      <c r="E2023" s="3" t="s">
        <v>4716</v>
      </c>
      <c r="F2023" s="3" t="s">
        <v>358</v>
      </c>
      <c r="G2023" s="3">
        <v>29.5992</v>
      </c>
      <c r="H2023" s="3" t="s">
        <v>4644</v>
      </c>
      <c r="I2023" s="3" t="s">
        <v>4645</v>
      </c>
      <c r="J2023" s="3" t="s">
        <v>4691</v>
      </c>
      <c r="K2023" s="3">
        <v>42</v>
      </c>
      <c r="L2023" s="3" t="s">
        <v>4647</v>
      </c>
    </row>
    <row r="2024" spans="1:12" ht="33.75" customHeight="1" x14ac:dyDescent="0.25">
      <c r="A2024" s="13" t="s">
        <v>4584</v>
      </c>
      <c r="B2024" s="2" t="s">
        <v>120</v>
      </c>
      <c r="C2024" s="2" t="s">
        <v>4585</v>
      </c>
      <c r="D2024" s="2"/>
      <c r="E2024" s="2" t="s">
        <v>4662</v>
      </c>
      <c r="F2024" s="2" t="s">
        <v>122</v>
      </c>
      <c r="G2024" s="2">
        <v>33.349800000000002</v>
      </c>
      <c r="H2024" s="2" t="s">
        <v>4644</v>
      </c>
      <c r="I2024" s="2" t="s">
        <v>4645</v>
      </c>
      <c r="J2024" s="2" t="s">
        <v>4657</v>
      </c>
      <c r="K2024" s="2">
        <v>45</v>
      </c>
      <c r="L2024" s="2" t="s">
        <v>4647</v>
      </c>
    </row>
    <row r="2025" spans="1:12" ht="33.75" customHeight="1" x14ac:dyDescent="0.25">
      <c r="A2025" s="14" t="s">
        <v>4586</v>
      </c>
      <c r="B2025" s="3" t="s">
        <v>57</v>
      </c>
      <c r="C2025" s="3" t="s">
        <v>4587</v>
      </c>
      <c r="D2025" s="3"/>
      <c r="E2025" s="3" t="s">
        <v>4643</v>
      </c>
      <c r="F2025" s="3" t="s">
        <v>59</v>
      </c>
      <c r="G2025" s="3">
        <v>31.825199999999999</v>
      </c>
      <c r="H2025" s="3" t="s">
        <v>4644</v>
      </c>
      <c r="I2025" s="3" t="s">
        <v>4645</v>
      </c>
      <c r="J2025" s="3" t="s">
        <v>4646</v>
      </c>
      <c r="K2025" s="3">
        <v>21</v>
      </c>
      <c r="L2025" s="3" t="s">
        <v>4647</v>
      </c>
    </row>
    <row r="2026" spans="1:12" ht="33.75" customHeight="1" x14ac:dyDescent="0.25">
      <c r="A2026" s="13" t="s">
        <v>4588</v>
      </c>
      <c r="B2026" s="2" t="s">
        <v>418</v>
      </c>
      <c r="C2026" s="2" t="s">
        <v>4589</v>
      </c>
      <c r="D2026" s="2" t="s">
        <v>4663</v>
      </c>
      <c r="E2026" s="2" t="s">
        <v>4734</v>
      </c>
      <c r="F2026" s="2" t="s">
        <v>420</v>
      </c>
      <c r="G2026" s="2">
        <v>30.655200000000001</v>
      </c>
      <c r="H2026" s="2" t="s">
        <v>4644</v>
      </c>
      <c r="I2026" s="2" t="s">
        <v>4645</v>
      </c>
      <c r="J2026" s="2" t="s">
        <v>4735</v>
      </c>
      <c r="K2026" s="2">
        <v>72</v>
      </c>
      <c r="L2026" s="2" t="s">
        <v>4647</v>
      </c>
    </row>
    <row r="2027" spans="1:12" ht="33.75" customHeight="1" x14ac:dyDescent="0.25">
      <c r="A2027" s="14" t="s">
        <v>4590</v>
      </c>
      <c r="B2027" s="3" t="s">
        <v>612</v>
      </c>
      <c r="C2027" s="3" t="s">
        <v>4591</v>
      </c>
      <c r="D2027" s="3" t="s">
        <v>4648</v>
      </c>
      <c r="E2027" s="3" t="s">
        <v>4765</v>
      </c>
      <c r="F2027" s="3" t="s">
        <v>614</v>
      </c>
      <c r="G2027" s="3">
        <v>29.712399999999999</v>
      </c>
      <c r="H2027" s="3" t="s">
        <v>4644</v>
      </c>
      <c r="I2027" s="3" t="s">
        <v>4645</v>
      </c>
      <c r="J2027" s="3" t="s">
        <v>4684</v>
      </c>
      <c r="K2027" s="3">
        <v>63</v>
      </c>
      <c r="L2027" s="3" t="s">
        <v>4647</v>
      </c>
    </row>
    <row r="2028" spans="1:12" ht="33.75" customHeight="1" x14ac:dyDescent="0.25">
      <c r="A2028" s="13" t="s">
        <v>4592</v>
      </c>
      <c r="B2028" s="2" t="s">
        <v>677</v>
      </c>
      <c r="C2028" s="2" t="s">
        <v>4593</v>
      </c>
      <c r="D2028" s="2" t="s">
        <v>4648</v>
      </c>
      <c r="E2028" s="2" t="s">
        <v>4780</v>
      </c>
      <c r="F2028" s="2" t="s">
        <v>679</v>
      </c>
      <c r="G2028" s="2">
        <v>30.3504</v>
      </c>
      <c r="H2028" s="2" t="s">
        <v>4644</v>
      </c>
      <c r="I2028" s="2" t="s">
        <v>4645</v>
      </c>
      <c r="J2028" s="2" t="s">
        <v>4693</v>
      </c>
      <c r="K2028" s="2">
        <v>72</v>
      </c>
      <c r="L2028" s="2" t="s">
        <v>4647</v>
      </c>
    </row>
    <row r="2029" spans="1:12" ht="33.75" customHeight="1" x14ac:dyDescent="0.25">
      <c r="A2029" s="14" t="s">
        <v>4594</v>
      </c>
      <c r="B2029" s="3" t="s">
        <v>57</v>
      </c>
      <c r="C2029" s="3" t="s">
        <v>4595</v>
      </c>
      <c r="D2029" s="3" t="s">
        <v>4702</v>
      </c>
      <c r="E2029" s="3" t="s">
        <v>4643</v>
      </c>
      <c r="F2029" s="3" t="s">
        <v>59</v>
      </c>
      <c r="G2029" s="3">
        <v>31.825199999999999</v>
      </c>
      <c r="H2029" s="3" t="s">
        <v>4644</v>
      </c>
      <c r="I2029" s="3" t="s">
        <v>4645</v>
      </c>
      <c r="J2029" s="3" t="s">
        <v>4646</v>
      </c>
      <c r="K2029" s="3">
        <v>21</v>
      </c>
      <c r="L2029" s="3" t="s">
        <v>4647</v>
      </c>
    </row>
    <row r="2030" spans="1:12" ht="33.75" customHeight="1" x14ac:dyDescent="0.25">
      <c r="A2030" s="13" t="s">
        <v>4596</v>
      </c>
      <c r="B2030" s="2" t="s">
        <v>418</v>
      </c>
      <c r="C2030" s="2" t="s">
        <v>4597</v>
      </c>
      <c r="D2030" s="2" t="s">
        <v>4702</v>
      </c>
      <c r="E2030" s="2" t="s">
        <v>4734</v>
      </c>
      <c r="F2030" s="2" t="s">
        <v>420</v>
      </c>
      <c r="G2030" s="2">
        <v>30.655200000000001</v>
      </c>
      <c r="H2030" s="2" t="s">
        <v>4644</v>
      </c>
      <c r="I2030" s="2" t="s">
        <v>4645</v>
      </c>
      <c r="J2030" s="2" t="s">
        <v>4735</v>
      </c>
      <c r="K2030" s="2">
        <v>72</v>
      </c>
      <c r="L2030" s="2" t="s">
        <v>4647</v>
      </c>
    </row>
    <row r="2031" spans="1:12" ht="33.75" customHeight="1" x14ac:dyDescent="0.25">
      <c r="A2031" s="14" t="s">
        <v>4598</v>
      </c>
      <c r="B2031" s="3" t="s">
        <v>404</v>
      </c>
      <c r="C2031" s="3" t="s">
        <v>4599</v>
      </c>
      <c r="D2031" s="3" t="s">
        <v>4702</v>
      </c>
      <c r="E2031" s="3" t="s">
        <v>4731</v>
      </c>
      <c r="F2031" s="3" t="s">
        <v>406</v>
      </c>
      <c r="G2031" s="3">
        <v>29.999199999999998</v>
      </c>
      <c r="H2031" s="3" t="s">
        <v>4644</v>
      </c>
      <c r="I2031" s="3" t="s">
        <v>4645</v>
      </c>
      <c r="J2031" s="3" t="s">
        <v>4695</v>
      </c>
      <c r="K2031" s="3">
        <v>63</v>
      </c>
      <c r="L2031" s="3" t="s">
        <v>4647</v>
      </c>
    </row>
    <row r="2032" spans="1:12" ht="33.75" customHeight="1" x14ac:dyDescent="0.25">
      <c r="A2032" s="13" t="s">
        <v>4600</v>
      </c>
      <c r="B2032" s="2" t="s">
        <v>3648</v>
      </c>
      <c r="C2032" s="2" t="s">
        <v>4601</v>
      </c>
      <c r="D2032" s="2"/>
      <c r="E2032" s="2" t="s">
        <v>4992</v>
      </c>
      <c r="F2032" s="2" t="s">
        <v>3650</v>
      </c>
      <c r="G2032" s="2">
        <v>30.335999999999999</v>
      </c>
      <c r="H2032" s="2" t="s">
        <v>4644</v>
      </c>
      <c r="I2032" s="2" t="s">
        <v>4645</v>
      </c>
      <c r="J2032" s="2" t="s">
        <v>4650</v>
      </c>
      <c r="K2032" s="2">
        <v>30</v>
      </c>
      <c r="L2032" s="2" t="s">
        <v>4647</v>
      </c>
    </row>
    <row r="2033" spans="1:12" ht="33.75" customHeight="1" x14ac:dyDescent="0.25">
      <c r="A2033" s="14" t="s">
        <v>4602</v>
      </c>
      <c r="B2033" s="3" t="s">
        <v>4603</v>
      </c>
      <c r="C2033" s="3" t="s">
        <v>4604</v>
      </c>
      <c r="D2033" s="3"/>
      <c r="E2033" s="3" t="s">
        <v>5040</v>
      </c>
      <c r="F2033" s="3" t="s">
        <v>4605</v>
      </c>
      <c r="G2033" s="3">
        <v>30.9392</v>
      </c>
      <c r="H2033" s="3" t="s">
        <v>4644</v>
      </c>
      <c r="I2033" s="3" t="s">
        <v>4645</v>
      </c>
      <c r="J2033" s="3" t="s">
        <v>4652</v>
      </c>
      <c r="K2033" s="3">
        <v>30</v>
      </c>
      <c r="L2033" s="3" t="s">
        <v>4647</v>
      </c>
    </row>
    <row r="2034" spans="1:12" ht="33.75" customHeight="1" x14ac:dyDescent="0.25">
      <c r="A2034" s="13" t="s">
        <v>4606</v>
      </c>
      <c r="B2034" s="2" t="s">
        <v>2634</v>
      </c>
      <c r="C2034" s="2" t="s">
        <v>4607</v>
      </c>
      <c r="D2034" s="2" t="s">
        <v>4724</v>
      </c>
      <c r="E2034" s="2" t="s">
        <v>4932</v>
      </c>
      <c r="F2034" s="2" t="s">
        <v>2636</v>
      </c>
      <c r="G2034" s="2">
        <v>30.0852</v>
      </c>
      <c r="H2034" s="2" t="s">
        <v>4644</v>
      </c>
      <c r="I2034" s="2" t="s">
        <v>4645</v>
      </c>
      <c r="J2034" s="2" t="s">
        <v>4708</v>
      </c>
      <c r="K2034" s="2">
        <v>90</v>
      </c>
      <c r="L2034" s="2" t="s">
        <v>4647</v>
      </c>
    </row>
    <row r="2035" spans="1:12" ht="33.75" customHeight="1" x14ac:dyDescent="0.25">
      <c r="A2035" s="14" t="s">
        <v>4608</v>
      </c>
      <c r="B2035" s="3" t="s">
        <v>1719</v>
      </c>
      <c r="C2035" s="3" t="s">
        <v>4609</v>
      </c>
      <c r="D2035" s="3"/>
      <c r="E2035" s="3" t="s">
        <v>4845</v>
      </c>
      <c r="F2035" s="3" t="s">
        <v>1721</v>
      </c>
      <c r="G2035" s="3">
        <v>29.3232</v>
      </c>
      <c r="H2035" s="3" t="s">
        <v>4644</v>
      </c>
      <c r="I2035" s="3" t="s">
        <v>4645</v>
      </c>
      <c r="J2035" s="3" t="s">
        <v>4695</v>
      </c>
      <c r="K2035" s="3">
        <v>51</v>
      </c>
      <c r="L2035" s="3" t="s">
        <v>4647</v>
      </c>
    </row>
    <row r="2036" spans="1:12" ht="33.75" customHeight="1" x14ac:dyDescent="0.25">
      <c r="A2036" s="13" t="s">
        <v>4610</v>
      </c>
      <c r="B2036" s="2" t="s">
        <v>1638</v>
      </c>
      <c r="C2036" s="2" t="s">
        <v>4611</v>
      </c>
      <c r="D2036" s="2" t="s">
        <v>4882</v>
      </c>
      <c r="E2036" s="2" t="s">
        <v>4842</v>
      </c>
      <c r="F2036" s="2" t="s">
        <v>1640</v>
      </c>
      <c r="G2036" s="2">
        <v>33.259399999999999</v>
      </c>
      <c r="H2036" s="2" t="s">
        <v>4644</v>
      </c>
      <c r="I2036" s="2" t="s">
        <v>4645</v>
      </c>
      <c r="J2036" s="2" t="s">
        <v>4726</v>
      </c>
      <c r="K2036" s="2">
        <v>72</v>
      </c>
      <c r="L2036" s="2" t="s">
        <v>4647</v>
      </c>
    </row>
    <row r="2037" spans="1:12" ht="33.75" customHeight="1" x14ac:dyDescent="0.25">
      <c r="A2037" s="14" t="s">
        <v>4612</v>
      </c>
      <c r="B2037" s="3" t="s">
        <v>366</v>
      </c>
      <c r="C2037" s="3" t="s">
        <v>4613</v>
      </c>
      <c r="D2037" s="3" t="s">
        <v>4882</v>
      </c>
      <c r="E2037" s="3" t="s">
        <v>4718</v>
      </c>
      <c r="F2037" s="3" t="s">
        <v>368</v>
      </c>
      <c r="G2037" s="3">
        <v>32.983400000000003</v>
      </c>
      <c r="H2037" s="3" t="s">
        <v>4644</v>
      </c>
      <c r="I2037" s="3" t="s">
        <v>4645</v>
      </c>
      <c r="J2037" s="3" t="s">
        <v>4719</v>
      </c>
      <c r="K2037" s="3">
        <v>60</v>
      </c>
      <c r="L2037" s="3" t="s">
        <v>4647</v>
      </c>
    </row>
    <row r="2038" spans="1:12" ht="33.75" customHeight="1" x14ac:dyDescent="0.25">
      <c r="A2038" s="13" t="s">
        <v>4614</v>
      </c>
      <c r="B2038" s="2" t="s">
        <v>2391</v>
      </c>
      <c r="C2038" s="2" t="s">
        <v>4615</v>
      </c>
      <c r="D2038" s="2" t="s">
        <v>4882</v>
      </c>
      <c r="E2038" s="2" t="s">
        <v>4912</v>
      </c>
      <c r="F2038" s="2" t="s">
        <v>2393</v>
      </c>
      <c r="G2038" s="2">
        <v>32.3872</v>
      </c>
      <c r="H2038" s="2" t="s">
        <v>4644</v>
      </c>
      <c r="I2038" s="2" t="s">
        <v>4645</v>
      </c>
      <c r="J2038" s="2" t="s">
        <v>4770</v>
      </c>
      <c r="K2038" s="2">
        <v>48</v>
      </c>
      <c r="L2038" s="2" t="s">
        <v>4647</v>
      </c>
    </row>
    <row r="2039" spans="1:12" ht="33.75" customHeight="1" x14ac:dyDescent="0.25">
      <c r="A2039" s="14" t="s">
        <v>4616</v>
      </c>
      <c r="B2039" s="3" t="s">
        <v>372</v>
      </c>
      <c r="C2039" s="3" t="s">
        <v>4617</v>
      </c>
      <c r="D2039" s="3" t="s">
        <v>4882</v>
      </c>
      <c r="E2039" s="3" t="s">
        <v>4720</v>
      </c>
      <c r="F2039" s="3" t="s">
        <v>374</v>
      </c>
      <c r="G2039" s="3">
        <v>32.852400000000003</v>
      </c>
      <c r="H2039" s="3" t="s">
        <v>4644</v>
      </c>
      <c r="I2039" s="3" t="s">
        <v>4645</v>
      </c>
      <c r="J2039" s="3" t="s">
        <v>4721</v>
      </c>
      <c r="K2039" s="3">
        <v>48</v>
      </c>
      <c r="L2039" s="3" t="s">
        <v>4647</v>
      </c>
    </row>
    <row r="2040" spans="1:12" ht="33.75" customHeight="1" x14ac:dyDescent="0.25">
      <c r="A2040" s="13" t="s">
        <v>4618</v>
      </c>
      <c r="B2040" s="2" t="s">
        <v>372</v>
      </c>
      <c r="C2040" s="2" t="s">
        <v>4619</v>
      </c>
      <c r="D2040" s="2" t="s">
        <v>4882</v>
      </c>
      <c r="E2040" s="2" t="s">
        <v>4720</v>
      </c>
      <c r="F2040" s="2" t="s">
        <v>374</v>
      </c>
      <c r="G2040" s="2">
        <v>32.852400000000003</v>
      </c>
      <c r="H2040" s="2" t="s">
        <v>4644</v>
      </c>
      <c r="I2040" s="2" t="s">
        <v>4645</v>
      </c>
      <c r="J2040" s="2" t="s">
        <v>4721</v>
      </c>
      <c r="K2040" s="2">
        <v>48</v>
      </c>
      <c r="L2040" s="2" t="s">
        <v>4647</v>
      </c>
    </row>
    <row r="2041" spans="1:12" ht="33.75" customHeight="1" x14ac:dyDescent="0.25">
      <c r="A2041" s="14" t="s">
        <v>4620</v>
      </c>
      <c r="B2041" s="3" t="s">
        <v>382</v>
      </c>
      <c r="C2041" s="3" t="s">
        <v>4621</v>
      </c>
      <c r="D2041" s="3" t="s">
        <v>4663</v>
      </c>
      <c r="E2041" s="3" t="s">
        <v>4725</v>
      </c>
      <c r="F2041" s="3" t="s">
        <v>384</v>
      </c>
      <c r="G2041" s="3">
        <v>35.3172</v>
      </c>
      <c r="H2041" s="3" t="s">
        <v>4644</v>
      </c>
      <c r="I2041" s="3" t="s">
        <v>4645</v>
      </c>
      <c r="J2041" s="3" t="s">
        <v>4726</v>
      </c>
      <c r="K2041" s="3">
        <v>96</v>
      </c>
      <c r="L2041" s="3" t="s">
        <v>4647</v>
      </c>
    </row>
    <row r="2042" spans="1:12" ht="33.75" customHeight="1" x14ac:dyDescent="0.25">
      <c r="A2042" s="13" t="s">
        <v>4622</v>
      </c>
      <c r="B2042" s="2" t="s">
        <v>142</v>
      </c>
      <c r="C2042" s="2" t="s">
        <v>4623</v>
      </c>
      <c r="D2042" s="2" t="s">
        <v>4669</v>
      </c>
      <c r="E2042" s="2" t="s">
        <v>4673</v>
      </c>
      <c r="F2042" s="2" t="s">
        <v>144</v>
      </c>
      <c r="G2042" s="2"/>
      <c r="H2042" s="2" t="s">
        <v>4666</v>
      </c>
      <c r="I2042" s="2" t="s">
        <v>4667</v>
      </c>
      <c r="J2042" s="2" t="s">
        <v>4646</v>
      </c>
      <c r="K2042" s="2">
        <v>4</v>
      </c>
      <c r="L2042" s="2" t="s">
        <v>4668</v>
      </c>
    </row>
    <row r="2043" spans="1:12" ht="33.75" customHeight="1" x14ac:dyDescent="0.25">
      <c r="A2043" s="14" t="s">
        <v>4624</v>
      </c>
      <c r="B2043" s="3" t="s">
        <v>386</v>
      </c>
      <c r="C2043" s="3" t="s">
        <v>4089</v>
      </c>
      <c r="D2043" s="3" t="s">
        <v>4773</v>
      </c>
      <c r="E2043" s="3" t="s">
        <v>4727</v>
      </c>
      <c r="F2043" s="3" t="s">
        <v>388</v>
      </c>
      <c r="G2043" s="3">
        <v>33.783799999999999</v>
      </c>
      <c r="H2043" s="3" t="s">
        <v>4644</v>
      </c>
      <c r="I2043" s="3" t="s">
        <v>4645</v>
      </c>
      <c r="J2043" s="3" t="s">
        <v>4721</v>
      </c>
      <c r="K2043" s="3">
        <v>54</v>
      </c>
      <c r="L2043" s="3" t="s">
        <v>4647</v>
      </c>
    </row>
    <row r="2044" spans="1:12" ht="33.75" customHeight="1" x14ac:dyDescent="0.25">
      <c r="A2044" s="13" t="s">
        <v>4625</v>
      </c>
      <c r="B2044" s="2" t="s">
        <v>2391</v>
      </c>
      <c r="C2044" s="2" t="s">
        <v>4626</v>
      </c>
      <c r="D2044" s="2"/>
      <c r="E2044" s="2" t="s">
        <v>4912</v>
      </c>
      <c r="F2044" s="2" t="s">
        <v>2393</v>
      </c>
      <c r="G2044" s="2">
        <v>32.3872</v>
      </c>
      <c r="H2044" s="2" t="s">
        <v>4644</v>
      </c>
      <c r="I2044" s="2" t="s">
        <v>4645</v>
      </c>
      <c r="J2044" s="2" t="s">
        <v>4770</v>
      </c>
      <c r="K2044" s="2">
        <v>48</v>
      </c>
      <c r="L2044" s="2" t="s">
        <v>4647</v>
      </c>
    </row>
    <row r="2045" spans="1:12" ht="33.75" customHeight="1" x14ac:dyDescent="0.25">
      <c r="A2045" s="14" t="s">
        <v>4627</v>
      </c>
      <c r="B2045" s="3" t="s">
        <v>2391</v>
      </c>
      <c r="C2045" s="3" t="s">
        <v>4628</v>
      </c>
      <c r="D2045" s="3"/>
      <c r="E2045" s="3" t="s">
        <v>4912</v>
      </c>
      <c r="F2045" s="3" t="s">
        <v>2393</v>
      </c>
      <c r="G2045" s="3">
        <v>32.3872</v>
      </c>
      <c r="H2045" s="3" t="s">
        <v>4644</v>
      </c>
      <c r="I2045" s="3" t="s">
        <v>4645</v>
      </c>
      <c r="J2045" s="3" t="s">
        <v>4770</v>
      </c>
      <c r="K2045" s="3">
        <v>48</v>
      </c>
      <c r="L2045" s="3" t="s">
        <v>4647</v>
      </c>
    </row>
    <row r="2046" spans="1:12" ht="33.75" customHeight="1" x14ac:dyDescent="0.25">
      <c r="A2046" s="13" t="s">
        <v>4629</v>
      </c>
      <c r="B2046" s="2" t="s">
        <v>324</v>
      </c>
      <c r="C2046" s="2" t="s">
        <v>4630</v>
      </c>
      <c r="D2046" s="2" t="s">
        <v>4702</v>
      </c>
      <c r="E2046" s="2" t="s">
        <v>4704</v>
      </c>
      <c r="F2046" s="2" t="s">
        <v>326</v>
      </c>
      <c r="G2046" s="2">
        <v>29.719200000000001</v>
      </c>
      <c r="H2046" s="2" t="s">
        <v>4644</v>
      </c>
      <c r="I2046" s="2" t="s">
        <v>4645</v>
      </c>
      <c r="J2046" s="2" t="s">
        <v>4697</v>
      </c>
      <c r="K2046" s="2">
        <v>45</v>
      </c>
      <c r="L2046" s="2" t="s">
        <v>4647</v>
      </c>
    </row>
    <row r="2047" spans="1:12" ht="33.75" customHeight="1" x14ac:dyDescent="0.25">
      <c r="A2047" s="14" t="s">
        <v>4631</v>
      </c>
      <c r="B2047" s="3" t="s">
        <v>57</v>
      </c>
      <c r="C2047" s="3" t="s">
        <v>4632</v>
      </c>
      <c r="D2047" s="3" t="s">
        <v>4702</v>
      </c>
      <c r="E2047" s="3" t="s">
        <v>4643</v>
      </c>
      <c r="F2047" s="3" t="s">
        <v>59</v>
      </c>
      <c r="G2047" s="3">
        <v>31.825199999999999</v>
      </c>
      <c r="H2047" s="3" t="s">
        <v>4644</v>
      </c>
      <c r="I2047" s="3" t="s">
        <v>4645</v>
      </c>
      <c r="J2047" s="3" t="s">
        <v>4646</v>
      </c>
      <c r="K2047" s="3">
        <v>21</v>
      </c>
      <c r="L2047" s="3" t="s">
        <v>4647</v>
      </c>
    </row>
  </sheetData>
  <autoFilter ref="A1:L2047" xr:uid="{00000000-0009-0000-0000-000003000000}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22" customWidth="1"/>
    <col min="3" max="3" width="25" customWidth="1"/>
    <col min="4" max="4" width="24" customWidth="1"/>
    <col min="5" max="5" width="15" customWidth="1"/>
    <col min="6" max="6" width="13" customWidth="1"/>
    <col min="7" max="7" width="23" customWidth="1"/>
    <col min="8" max="8" width="19" customWidth="1"/>
    <col min="9" max="9" width="16" customWidth="1"/>
    <col min="10" max="10" width="22" customWidth="1"/>
    <col min="11" max="11" width="12" customWidth="1"/>
    <col min="12" max="13" width="18" customWidth="1"/>
    <col min="14" max="14" width="19" customWidth="1"/>
    <col min="15" max="16" width="12" customWidth="1"/>
    <col min="17" max="17" width="23" customWidth="1"/>
    <col min="18" max="18" width="12" customWidth="1"/>
    <col min="19" max="19" width="13" customWidth="1"/>
    <col min="20" max="20" width="15" customWidth="1"/>
    <col min="21" max="21" width="13" customWidth="1"/>
    <col min="22" max="22" width="12" customWidth="1"/>
  </cols>
  <sheetData>
    <row r="1" spans="1:22" ht="21.95" customHeight="1" x14ac:dyDescent="0.25">
      <c r="A1" s="1" t="s">
        <v>43</v>
      </c>
      <c r="B1" s="1" t="s">
        <v>5041</v>
      </c>
      <c r="C1" s="1" t="s">
        <v>4635</v>
      </c>
      <c r="D1" s="1" t="s">
        <v>4636</v>
      </c>
      <c r="E1" s="1" t="s">
        <v>5042</v>
      </c>
      <c r="F1" s="1" t="s">
        <v>4641</v>
      </c>
      <c r="G1" s="1" t="s">
        <v>5043</v>
      </c>
      <c r="H1" s="1" t="s">
        <v>4637</v>
      </c>
      <c r="I1" s="1" t="s">
        <v>5044</v>
      </c>
      <c r="J1" s="1" t="s">
        <v>5045</v>
      </c>
      <c r="K1" s="1" t="s">
        <v>5046</v>
      </c>
      <c r="L1" s="1" t="s">
        <v>5047</v>
      </c>
      <c r="M1" s="1" t="s">
        <v>5048</v>
      </c>
      <c r="N1" s="1" t="s">
        <v>5049</v>
      </c>
      <c r="O1" s="1" t="s">
        <v>5050</v>
      </c>
      <c r="P1" s="1" t="s">
        <v>5051</v>
      </c>
      <c r="Q1" s="1" t="s">
        <v>5052</v>
      </c>
      <c r="R1" s="1" t="s">
        <v>5053</v>
      </c>
      <c r="S1" s="1" t="s">
        <v>5054</v>
      </c>
      <c r="T1" s="1" t="s">
        <v>5055</v>
      </c>
      <c r="U1" s="1" t="s">
        <v>5056</v>
      </c>
      <c r="V1" s="1" t="s">
        <v>5057</v>
      </c>
    </row>
    <row r="2" spans="1:22" ht="45" customHeight="1" x14ac:dyDescent="0.25">
      <c r="A2" s="2" t="s">
        <v>4374</v>
      </c>
      <c r="B2" s="2" t="s">
        <v>4373</v>
      </c>
      <c r="C2" s="2" t="s">
        <v>5036</v>
      </c>
      <c r="D2" s="2" t="s">
        <v>4376</v>
      </c>
      <c r="E2" s="2">
        <v>1</v>
      </c>
      <c r="F2" s="2">
        <v>12</v>
      </c>
      <c r="G2" s="2" t="s">
        <v>5058</v>
      </c>
      <c r="H2" s="2">
        <v>29.326000000000001</v>
      </c>
      <c r="I2" s="2">
        <v>7</v>
      </c>
      <c r="J2" s="2" t="s">
        <v>5059</v>
      </c>
      <c r="K2" s="2" t="s">
        <v>5060</v>
      </c>
      <c r="L2" s="2" t="s">
        <v>5061</v>
      </c>
      <c r="M2" s="2" t="s">
        <v>5062</v>
      </c>
      <c r="N2" s="2" t="s">
        <v>5063</v>
      </c>
      <c r="O2" s="2" t="s">
        <v>5064</v>
      </c>
      <c r="P2" s="2" t="s">
        <v>5065</v>
      </c>
      <c r="Q2" s="2" t="s">
        <v>5066</v>
      </c>
      <c r="R2" s="2" t="s">
        <v>5067</v>
      </c>
      <c r="S2" s="2" t="s">
        <v>5068</v>
      </c>
      <c r="T2" s="2" t="s">
        <v>5069</v>
      </c>
      <c r="U2" s="2" t="s">
        <v>5070</v>
      </c>
      <c r="V2" s="2"/>
    </row>
    <row r="3" spans="1:22" ht="45" customHeight="1" x14ac:dyDescent="0.25">
      <c r="A3" s="3" t="s">
        <v>292</v>
      </c>
      <c r="B3" s="3" t="s">
        <v>291</v>
      </c>
      <c r="C3" s="3" t="s">
        <v>4700</v>
      </c>
      <c r="D3" s="3" t="s">
        <v>294</v>
      </c>
      <c r="E3" s="3">
        <v>1</v>
      </c>
      <c r="F3" s="3">
        <v>12</v>
      </c>
      <c r="G3" s="3" t="s">
        <v>5071</v>
      </c>
      <c r="H3" s="3">
        <v>27.526</v>
      </c>
      <c r="I3" s="3">
        <v>6</v>
      </c>
      <c r="J3" s="3" t="s">
        <v>5059</v>
      </c>
      <c r="K3" s="3" t="s">
        <v>5060</v>
      </c>
      <c r="L3" s="3" t="s">
        <v>5072</v>
      </c>
      <c r="M3" s="3" t="s">
        <v>5073</v>
      </c>
      <c r="N3" s="3" t="s">
        <v>5074</v>
      </c>
      <c r="O3" s="3" t="s">
        <v>5075</v>
      </c>
      <c r="P3" s="3" t="s">
        <v>5076</v>
      </c>
      <c r="Q3" s="3" t="s">
        <v>5077</v>
      </c>
      <c r="R3" s="3" t="s">
        <v>5067</v>
      </c>
      <c r="S3" s="3" t="s">
        <v>5068</v>
      </c>
      <c r="T3" s="3" t="s">
        <v>5069</v>
      </c>
      <c r="U3" s="3" t="s">
        <v>5070</v>
      </c>
      <c r="V3" s="3"/>
    </row>
    <row r="4" spans="1:22" ht="45" customHeight="1" x14ac:dyDescent="0.25">
      <c r="A4" s="2" t="s">
        <v>3878</v>
      </c>
      <c r="B4" s="2" t="s">
        <v>5078</v>
      </c>
      <c r="C4" s="2" t="s">
        <v>5010</v>
      </c>
      <c r="D4" s="2" t="s">
        <v>3880</v>
      </c>
      <c r="E4" s="2">
        <v>2</v>
      </c>
      <c r="F4" s="2">
        <v>12</v>
      </c>
      <c r="G4" s="2" t="s">
        <v>5079</v>
      </c>
      <c r="H4" s="2">
        <v>29.039200000000001</v>
      </c>
      <c r="I4" s="2">
        <v>7</v>
      </c>
      <c r="J4" s="2" t="s">
        <v>5059</v>
      </c>
      <c r="K4" s="2" t="s">
        <v>5060</v>
      </c>
      <c r="L4" s="2" t="s">
        <v>5080</v>
      </c>
      <c r="M4" s="2" t="s">
        <v>5081</v>
      </c>
      <c r="N4" s="2" t="s">
        <v>5082</v>
      </c>
      <c r="O4" s="2" t="s">
        <v>5083</v>
      </c>
      <c r="P4" s="2" t="s">
        <v>5084</v>
      </c>
      <c r="Q4" s="2" t="s">
        <v>5085</v>
      </c>
      <c r="R4" s="2" t="s">
        <v>5067</v>
      </c>
      <c r="S4" s="2" t="s">
        <v>5068</v>
      </c>
      <c r="T4" s="2" t="s">
        <v>5069</v>
      </c>
      <c r="U4" s="2" t="s">
        <v>5070</v>
      </c>
      <c r="V4" s="2"/>
    </row>
    <row r="5" spans="1:22" ht="45" customHeight="1" x14ac:dyDescent="0.25">
      <c r="A5" s="3" t="s">
        <v>4259</v>
      </c>
      <c r="B5" s="3" t="s">
        <v>4258</v>
      </c>
      <c r="C5" s="3" t="s">
        <v>5033</v>
      </c>
      <c r="D5" s="3" t="s">
        <v>4261</v>
      </c>
      <c r="E5" s="3">
        <v>1</v>
      </c>
      <c r="F5" s="3">
        <v>18</v>
      </c>
      <c r="G5" s="3" t="s">
        <v>5086</v>
      </c>
      <c r="H5" s="3">
        <v>32.433999999999997</v>
      </c>
      <c r="I5" s="3">
        <v>9</v>
      </c>
      <c r="J5" s="3" t="s">
        <v>5059</v>
      </c>
      <c r="K5" s="3" t="s">
        <v>5060</v>
      </c>
      <c r="L5" s="3" t="s">
        <v>5087</v>
      </c>
      <c r="M5" s="3" t="s">
        <v>5088</v>
      </c>
      <c r="N5" s="3" t="s">
        <v>5089</v>
      </c>
      <c r="O5" s="3" t="s">
        <v>5090</v>
      </c>
      <c r="P5" s="3" t="s">
        <v>5091</v>
      </c>
      <c r="Q5" s="3" t="s">
        <v>5092</v>
      </c>
      <c r="R5" s="3" t="s">
        <v>5067</v>
      </c>
      <c r="S5" s="3" t="s">
        <v>5068</v>
      </c>
      <c r="T5" s="3" t="s">
        <v>5069</v>
      </c>
      <c r="U5" s="3" t="s">
        <v>5070</v>
      </c>
      <c r="V5" s="3"/>
    </row>
    <row r="6" spans="1:22" ht="45" customHeight="1" x14ac:dyDescent="0.25">
      <c r="A6" s="2" t="s">
        <v>2536</v>
      </c>
      <c r="B6" s="2" t="s">
        <v>5093</v>
      </c>
      <c r="C6" s="2" t="s">
        <v>4926</v>
      </c>
      <c r="D6" s="2" t="s">
        <v>2538</v>
      </c>
      <c r="E6" s="2">
        <v>4</v>
      </c>
      <c r="F6" s="2">
        <v>18</v>
      </c>
      <c r="G6" s="2" t="s">
        <v>5094</v>
      </c>
      <c r="H6" s="2">
        <v>30.193999999999999</v>
      </c>
      <c r="I6" s="2">
        <v>7</v>
      </c>
      <c r="J6" s="2" t="s">
        <v>5059</v>
      </c>
      <c r="K6" s="2" t="s">
        <v>5060</v>
      </c>
      <c r="L6" s="2" t="s">
        <v>5061</v>
      </c>
      <c r="M6" s="2" t="s">
        <v>5062</v>
      </c>
      <c r="N6" s="2" t="s">
        <v>5095</v>
      </c>
      <c r="O6" s="2" t="s">
        <v>5096</v>
      </c>
      <c r="P6" s="2" t="s">
        <v>5097</v>
      </c>
      <c r="Q6" s="2" t="s">
        <v>5098</v>
      </c>
      <c r="R6" s="2" t="s">
        <v>5067</v>
      </c>
      <c r="S6" s="2" t="s">
        <v>5068</v>
      </c>
      <c r="T6" s="2" t="s">
        <v>5069</v>
      </c>
      <c r="U6" s="2" t="s">
        <v>5070</v>
      </c>
      <c r="V6" s="2"/>
    </row>
    <row r="7" spans="1:22" ht="135" customHeight="1" x14ac:dyDescent="0.25">
      <c r="A7" s="3" t="s">
        <v>156</v>
      </c>
      <c r="B7" s="3" t="s">
        <v>5099</v>
      </c>
      <c r="C7" s="3" t="s">
        <v>4670</v>
      </c>
      <c r="D7" s="3" t="s">
        <v>158</v>
      </c>
      <c r="E7" s="3">
        <v>23</v>
      </c>
      <c r="F7" s="3">
        <v>18</v>
      </c>
      <c r="G7" s="3" t="s">
        <v>5100</v>
      </c>
      <c r="H7" s="3">
        <v>30.987200000000001</v>
      </c>
      <c r="I7" s="3">
        <v>8</v>
      </c>
      <c r="J7" s="3" t="s">
        <v>5059</v>
      </c>
      <c r="K7" s="3" t="s">
        <v>5060</v>
      </c>
      <c r="L7" s="3" t="s">
        <v>5101</v>
      </c>
      <c r="M7" s="3" t="s">
        <v>5102</v>
      </c>
      <c r="N7" s="3" t="s">
        <v>5103</v>
      </c>
      <c r="O7" s="3" t="s">
        <v>5104</v>
      </c>
      <c r="P7" s="3" t="s">
        <v>5105</v>
      </c>
      <c r="Q7" s="3" t="s">
        <v>5106</v>
      </c>
      <c r="R7" s="3" t="s">
        <v>5067</v>
      </c>
      <c r="S7" s="3" t="s">
        <v>5068</v>
      </c>
      <c r="T7" s="3" t="s">
        <v>5069</v>
      </c>
      <c r="U7" s="3" t="s">
        <v>5070</v>
      </c>
      <c r="V7" s="3"/>
    </row>
    <row r="8" spans="1:22" ht="33.75" customHeight="1" x14ac:dyDescent="0.25">
      <c r="A8" s="2" t="s">
        <v>3866</v>
      </c>
      <c r="B8" s="2" t="s">
        <v>5107</v>
      </c>
      <c r="C8" s="2" t="s">
        <v>5009</v>
      </c>
      <c r="D8" s="2" t="s">
        <v>3868</v>
      </c>
      <c r="E8" s="2">
        <v>6</v>
      </c>
      <c r="F8" s="2">
        <v>18</v>
      </c>
      <c r="G8" s="2" t="s">
        <v>5108</v>
      </c>
      <c r="H8" s="2">
        <v>30.039200000000001</v>
      </c>
      <c r="I8" s="2">
        <v>7</v>
      </c>
      <c r="J8" s="2" t="s">
        <v>5059</v>
      </c>
      <c r="K8" s="2" t="s">
        <v>5060</v>
      </c>
      <c r="L8" s="2" t="s">
        <v>5109</v>
      </c>
      <c r="M8" s="2" t="s">
        <v>5110</v>
      </c>
      <c r="N8" s="2" t="s">
        <v>5111</v>
      </c>
      <c r="O8" s="2" t="s">
        <v>5112</v>
      </c>
      <c r="P8" s="2" t="s">
        <v>5113</v>
      </c>
      <c r="Q8" s="2" t="s">
        <v>5114</v>
      </c>
      <c r="R8" s="2" t="s">
        <v>5067</v>
      </c>
      <c r="S8" s="2" t="s">
        <v>5068</v>
      </c>
      <c r="T8" s="2" t="s">
        <v>5069</v>
      </c>
      <c r="U8" s="2" t="s">
        <v>5070</v>
      </c>
      <c r="V8" s="2"/>
    </row>
    <row r="9" spans="1:22" ht="45" customHeight="1" x14ac:dyDescent="0.25">
      <c r="A9" s="3" t="s">
        <v>188</v>
      </c>
      <c r="B9" s="3" t="s">
        <v>5115</v>
      </c>
      <c r="C9" s="3" t="s">
        <v>4679</v>
      </c>
      <c r="D9" s="3" t="s">
        <v>190</v>
      </c>
      <c r="E9" s="3">
        <v>7</v>
      </c>
      <c r="F9" s="3">
        <v>18</v>
      </c>
      <c r="G9" s="3" t="s">
        <v>5116</v>
      </c>
      <c r="H9" s="3">
        <v>30.700399999999998</v>
      </c>
      <c r="I9" s="3">
        <v>6</v>
      </c>
      <c r="J9" s="3" t="s">
        <v>5059</v>
      </c>
      <c r="K9" s="3" t="s">
        <v>5060</v>
      </c>
      <c r="L9" s="3" t="s">
        <v>5117</v>
      </c>
      <c r="M9" s="3" t="s">
        <v>5118</v>
      </c>
      <c r="N9" s="3" t="s">
        <v>5119</v>
      </c>
      <c r="O9" s="3" t="s">
        <v>5120</v>
      </c>
      <c r="P9" s="3" t="s">
        <v>5121</v>
      </c>
      <c r="Q9" s="3" t="s">
        <v>5122</v>
      </c>
      <c r="R9" s="3" t="s">
        <v>5067</v>
      </c>
      <c r="S9" s="3" t="s">
        <v>5068</v>
      </c>
      <c r="T9" s="3" t="s">
        <v>5069</v>
      </c>
      <c r="U9" s="3" t="s">
        <v>5070</v>
      </c>
      <c r="V9" s="3"/>
    </row>
    <row r="10" spans="1:22" ht="33.75" customHeight="1" x14ac:dyDescent="0.25">
      <c r="A10" s="2" t="s">
        <v>4183</v>
      </c>
      <c r="B10" s="2" t="s">
        <v>4182</v>
      </c>
      <c r="C10" s="2" t="s">
        <v>5027</v>
      </c>
      <c r="D10" s="2" t="s">
        <v>4185</v>
      </c>
      <c r="E10" s="2">
        <v>1</v>
      </c>
      <c r="F10" s="2">
        <v>18</v>
      </c>
      <c r="G10" s="2" t="s">
        <v>5123</v>
      </c>
      <c r="H10" s="2">
        <v>30.027439999999999</v>
      </c>
      <c r="I10" s="2">
        <v>9</v>
      </c>
      <c r="J10" s="2" t="s">
        <v>5059</v>
      </c>
      <c r="K10" s="2" t="s">
        <v>5124</v>
      </c>
      <c r="L10" s="2" t="s">
        <v>5125</v>
      </c>
      <c r="M10" s="2" t="s">
        <v>5125</v>
      </c>
      <c r="N10" s="2" t="s">
        <v>5126</v>
      </c>
      <c r="O10" s="2" t="s">
        <v>5127</v>
      </c>
      <c r="P10" s="2" t="s">
        <v>5128</v>
      </c>
      <c r="Q10" s="2" t="s">
        <v>5129</v>
      </c>
      <c r="R10" s="2" t="s">
        <v>5067</v>
      </c>
      <c r="S10" s="2" t="s">
        <v>5068</v>
      </c>
      <c r="T10" s="2" t="s">
        <v>5069</v>
      </c>
      <c r="U10" s="2" t="s">
        <v>5070</v>
      </c>
      <c r="V10" s="2"/>
    </row>
    <row r="11" spans="1:22" ht="33.75" customHeight="1" x14ac:dyDescent="0.25">
      <c r="A11" s="3" t="s">
        <v>566</v>
      </c>
      <c r="B11" s="3" t="s">
        <v>565</v>
      </c>
      <c r="C11" s="3" t="s">
        <v>4754</v>
      </c>
      <c r="D11" s="3" t="s">
        <v>568</v>
      </c>
      <c r="E11" s="3">
        <v>1</v>
      </c>
      <c r="F11" s="3">
        <v>18</v>
      </c>
      <c r="G11" s="3" t="s">
        <v>5123</v>
      </c>
      <c r="H11" s="3">
        <v>32.401719999999997</v>
      </c>
      <c r="I11" s="3">
        <v>11</v>
      </c>
      <c r="J11" s="3" t="s">
        <v>5059</v>
      </c>
      <c r="K11" s="3" t="s">
        <v>5124</v>
      </c>
      <c r="L11" s="3" t="s">
        <v>5130</v>
      </c>
      <c r="M11" s="3" t="s">
        <v>5130</v>
      </c>
      <c r="N11" s="3" t="s">
        <v>5131</v>
      </c>
      <c r="O11" s="3" t="s">
        <v>5132</v>
      </c>
      <c r="P11" s="3" t="s">
        <v>5133</v>
      </c>
      <c r="Q11" s="3" t="s">
        <v>5134</v>
      </c>
      <c r="R11" s="3" t="s">
        <v>5067</v>
      </c>
      <c r="S11" s="3" t="s">
        <v>5068</v>
      </c>
      <c r="T11" s="3" t="s">
        <v>5069</v>
      </c>
      <c r="U11" s="3" t="s">
        <v>5070</v>
      </c>
      <c r="V11" s="3"/>
    </row>
    <row r="12" spans="1:22" ht="33.75" customHeight="1" x14ac:dyDescent="0.25">
      <c r="A12" s="2" t="s">
        <v>578</v>
      </c>
      <c r="B12" s="2" t="s">
        <v>577</v>
      </c>
      <c r="C12" s="2" t="s">
        <v>4758</v>
      </c>
      <c r="D12" s="2" t="s">
        <v>580</v>
      </c>
      <c r="E12" s="2">
        <v>1</v>
      </c>
      <c r="F12" s="2">
        <v>21</v>
      </c>
      <c r="G12" s="2" t="s">
        <v>5135</v>
      </c>
      <c r="H12" s="2">
        <v>32.374809999999997</v>
      </c>
      <c r="I12" s="2">
        <v>9</v>
      </c>
      <c r="J12" s="2" t="s">
        <v>5059</v>
      </c>
      <c r="K12" s="2" t="s">
        <v>5060</v>
      </c>
      <c r="L12" s="2" t="s">
        <v>5136</v>
      </c>
      <c r="M12" s="2" t="s">
        <v>5137</v>
      </c>
      <c r="N12" s="2" t="s">
        <v>5138</v>
      </c>
      <c r="O12" s="2" t="s">
        <v>5139</v>
      </c>
      <c r="P12" s="2" t="s">
        <v>5140</v>
      </c>
      <c r="Q12" s="2" t="s">
        <v>5141</v>
      </c>
      <c r="R12" s="2" t="s">
        <v>5067</v>
      </c>
      <c r="S12" s="2" t="s">
        <v>5068</v>
      </c>
      <c r="T12" s="2" t="s">
        <v>5069</v>
      </c>
      <c r="U12" s="2" t="s">
        <v>5070</v>
      </c>
      <c r="V12" s="2"/>
    </row>
    <row r="13" spans="1:22" ht="45" customHeight="1" x14ac:dyDescent="0.25">
      <c r="A13" s="3" t="s">
        <v>2532</v>
      </c>
      <c r="B13" s="3" t="s">
        <v>5142</v>
      </c>
      <c r="C13" s="3" t="s">
        <v>4925</v>
      </c>
      <c r="D13" s="3" t="s">
        <v>2534</v>
      </c>
      <c r="E13" s="3">
        <v>3</v>
      </c>
      <c r="F13" s="3">
        <v>21</v>
      </c>
      <c r="G13" s="3" t="s">
        <v>5143</v>
      </c>
      <c r="H13" s="3">
        <v>29.9</v>
      </c>
      <c r="I13" s="3">
        <v>7</v>
      </c>
      <c r="J13" s="3" t="s">
        <v>5059</v>
      </c>
      <c r="K13" s="3" t="s">
        <v>5060</v>
      </c>
      <c r="L13" s="3" t="s">
        <v>5144</v>
      </c>
      <c r="M13" s="3" t="s">
        <v>5145</v>
      </c>
      <c r="N13" s="3" t="s">
        <v>5146</v>
      </c>
      <c r="O13" s="3" t="s">
        <v>5147</v>
      </c>
      <c r="P13" s="3" t="s">
        <v>5148</v>
      </c>
      <c r="Q13" s="3" t="s">
        <v>5149</v>
      </c>
      <c r="R13" s="3" t="s">
        <v>5067</v>
      </c>
      <c r="S13" s="3" t="s">
        <v>5068</v>
      </c>
      <c r="T13" s="3" t="s">
        <v>5069</v>
      </c>
      <c r="U13" s="3" t="s">
        <v>5070</v>
      </c>
      <c r="V13" s="3"/>
    </row>
    <row r="14" spans="1:22" ht="123.75" customHeight="1" x14ac:dyDescent="0.25">
      <c r="A14" s="2" t="s">
        <v>112</v>
      </c>
      <c r="B14" s="2" t="s">
        <v>5150</v>
      </c>
      <c r="C14" s="2" t="s">
        <v>4660</v>
      </c>
      <c r="D14" s="2" t="s">
        <v>114</v>
      </c>
      <c r="E14" s="2">
        <v>22</v>
      </c>
      <c r="F14" s="2">
        <v>21</v>
      </c>
      <c r="G14" s="2" t="s">
        <v>5151</v>
      </c>
      <c r="H14" s="2">
        <v>30.7682</v>
      </c>
      <c r="I14" s="2">
        <v>8</v>
      </c>
      <c r="J14" s="2" t="s">
        <v>5059</v>
      </c>
      <c r="K14" s="2" t="s">
        <v>5060</v>
      </c>
      <c r="L14" s="2" t="s">
        <v>5152</v>
      </c>
      <c r="M14" s="2" t="s">
        <v>5153</v>
      </c>
      <c r="N14" s="2" t="s">
        <v>5154</v>
      </c>
      <c r="O14" s="2" t="s">
        <v>5155</v>
      </c>
      <c r="P14" s="2" t="s">
        <v>5156</v>
      </c>
      <c r="Q14" s="2" t="s">
        <v>5157</v>
      </c>
      <c r="R14" s="2" t="s">
        <v>5067</v>
      </c>
      <c r="S14" s="2" t="s">
        <v>5068</v>
      </c>
      <c r="T14" s="2" t="s">
        <v>5069</v>
      </c>
      <c r="U14" s="2" t="s">
        <v>5070</v>
      </c>
      <c r="V14" s="2"/>
    </row>
    <row r="15" spans="1:22" ht="90" customHeight="1" x14ac:dyDescent="0.25">
      <c r="A15" s="3" t="s">
        <v>3860</v>
      </c>
      <c r="B15" s="3" t="s">
        <v>5158</v>
      </c>
      <c r="C15" s="3" t="s">
        <v>5008</v>
      </c>
      <c r="D15" s="3" t="s">
        <v>3862</v>
      </c>
      <c r="E15" s="3">
        <v>16</v>
      </c>
      <c r="F15" s="3">
        <v>21</v>
      </c>
      <c r="G15" s="3" t="s">
        <v>5159</v>
      </c>
      <c r="H15" s="3">
        <v>30.039200000000001</v>
      </c>
      <c r="I15" s="3">
        <v>7</v>
      </c>
      <c r="J15" s="3" t="s">
        <v>5059</v>
      </c>
      <c r="K15" s="3" t="s">
        <v>5060</v>
      </c>
      <c r="L15" s="3" t="s">
        <v>5160</v>
      </c>
      <c r="M15" s="3" t="s">
        <v>5161</v>
      </c>
      <c r="N15" s="3" t="s">
        <v>5162</v>
      </c>
      <c r="O15" s="3" t="s">
        <v>5163</v>
      </c>
      <c r="P15" s="3" t="s">
        <v>5164</v>
      </c>
      <c r="Q15" s="3" t="s">
        <v>5165</v>
      </c>
      <c r="R15" s="3" t="s">
        <v>5067</v>
      </c>
      <c r="S15" s="3" t="s">
        <v>5068</v>
      </c>
      <c r="T15" s="3" t="s">
        <v>5069</v>
      </c>
      <c r="U15" s="3" t="s">
        <v>5070</v>
      </c>
      <c r="V15" s="3"/>
    </row>
    <row r="16" spans="1:22" ht="90" customHeight="1" x14ac:dyDescent="0.25">
      <c r="A16" s="2" t="s">
        <v>3717</v>
      </c>
      <c r="B16" s="2" t="s">
        <v>3716</v>
      </c>
      <c r="C16" s="2" t="s">
        <v>4994</v>
      </c>
      <c r="D16" s="2" t="s">
        <v>3719</v>
      </c>
      <c r="E16" s="2">
        <v>1</v>
      </c>
      <c r="F16" s="2">
        <v>21</v>
      </c>
      <c r="G16" s="2" t="s">
        <v>5166</v>
      </c>
      <c r="H16" s="2">
        <v>29.613199999999999</v>
      </c>
      <c r="I16" s="2">
        <v>7</v>
      </c>
      <c r="J16" s="2" t="s">
        <v>5059</v>
      </c>
      <c r="K16" s="2" t="s">
        <v>5060</v>
      </c>
      <c r="L16" s="2" t="s">
        <v>5167</v>
      </c>
      <c r="M16" s="2" t="s">
        <v>5168</v>
      </c>
      <c r="N16" s="2" t="s">
        <v>5169</v>
      </c>
      <c r="O16" s="2" t="s">
        <v>5170</v>
      </c>
      <c r="P16" s="2" t="s">
        <v>5171</v>
      </c>
      <c r="Q16" s="2" t="s">
        <v>5172</v>
      </c>
      <c r="R16" s="2" t="s">
        <v>5067</v>
      </c>
      <c r="S16" s="2" t="s">
        <v>5068</v>
      </c>
      <c r="T16" s="2" t="s">
        <v>5069</v>
      </c>
      <c r="U16" s="2" t="s">
        <v>5070</v>
      </c>
      <c r="V16" s="2"/>
    </row>
    <row r="17" spans="1:22" ht="33.75" customHeight="1" x14ac:dyDescent="0.25">
      <c r="A17" s="3" t="s">
        <v>604</v>
      </c>
      <c r="B17" s="3" t="s">
        <v>603</v>
      </c>
      <c r="C17" s="3" t="s">
        <v>4763</v>
      </c>
      <c r="D17" s="3" t="s">
        <v>606</v>
      </c>
      <c r="E17" s="3">
        <v>1</v>
      </c>
      <c r="F17" s="3">
        <v>21</v>
      </c>
      <c r="G17" s="3" t="s">
        <v>5173</v>
      </c>
      <c r="H17" s="3">
        <v>31.8142</v>
      </c>
      <c r="I17" s="3">
        <v>8</v>
      </c>
      <c r="J17" s="3" t="s">
        <v>5059</v>
      </c>
      <c r="K17" s="3" t="s">
        <v>5060</v>
      </c>
      <c r="L17" s="3" t="s">
        <v>5174</v>
      </c>
      <c r="M17" s="3" t="s">
        <v>5175</v>
      </c>
      <c r="N17" s="3" t="s">
        <v>5176</v>
      </c>
      <c r="O17" s="3" t="s">
        <v>5177</v>
      </c>
      <c r="P17" s="3" t="s">
        <v>5178</v>
      </c>
      <c r="Q17" s="3" t="s">
        <v>5179</v>
      </c>
      <c r="R17" s="3" t="s">
        <v>5067</v>
      </c>
      <c r="S17" s="3" t="s">
        <v>5068</v>
      </c>
      <c r="T17" s="3" t="s">
        <v>5069</v>
      </c>
      <c r="U17" s="3" t="s">
        <v>5070</v>
      </c>
      <c r="V17" s="3"/>
    </row>
    <row r="18" spans="1:22" ht="45" customHeight="1" x14ac:dyDescent="0.25">
      <c r="A18" s="2" t="s">
        <v>3729</v>
      </c>
      <c r="B18" s="2" t="s">
        <v>3728</v>
      </c>
      <c r="C18" s="2" t="s">
        <v>4995</v>
      </c>
      <c r="D18" s="2" t="s">
        <v>3731</v>
      </c>
      <c r="E18" s="2">
        <v>1</v>
      </c>
      <c r="F18" s="2">
        <v>21</v>
      </c>
      <c r="G18" s="2" t="s">
        <v>5180</v>
      </c>
      <c r="H18" s="2">
        <v>32.112000000000002</v>
      </c>
      <c r="I18" s="2">
        <v>8</v>
      </c>
      <c r="J18" s="2" t="s">
        <v>5059</v>
      </c>
      <c r="K18" s="2" t="s">
        <v>5060</v>
      </c>
      <c r="L18" s="2" t="s">
        <v>5181</v>
      </c>
      <c r="M18" s="2" t="s">
        <v>5182</v>
      </c>
      <c r="N18" s="2" t="s">
        <v>5183</v>
      </c>
      <c r="O18" s="2" t="s">
        <v>5184</v>
      </c>
      <c r="P18" s="2" t="s">
        <v>5185</v>
      </c>
      <c r="Q18" s="2" t="s">
        <v>5186</v>
      </c>
      <c r="R18" s="2" t="s">
        <v>5067</v>
      </c>
      <c r="S18" s="2" t="s">
        <v>5068</v>
      </c>
      <c r="T18" s="2" t="s">
        <v>5069</v>
      </c>
      <c r="U18" s="2" t="s">
        <v>5070</v>
      </c>
      <c r="V18" s="2"/>
    </row>
    <row r="19" spans="1:22" ht="292.5" customHeight="1" x14ac:dyDescent="0.25">
      <c r="A19" s="3" t="s">
        <v>57</v>
      </c>
      <c r="B19" s="3" t="s">
        <v>5187</v>
      </c>
      <c r="C19" s="3" t="s">
        <v>4643</v>
      </c>
      <c r="D19" s="3" t="s">
        <v>59</v>
      </c>
      <c r="E19" s="3">
        <v>52</v>
      </c>
      <c r="F19" s="3">
        <v>21</v>
      </c>
      <c r="G19" s="3" t="s">
        <v>5188</v>
      </c>
      <c r="H19" s="3">
        <v>31.825199999999999</v>
      </c>
      <c r="I19" s="3">
        <v>8</v>
      </c>
      <c r="J19" s="3" t="s">
        <v>5059</v>
      </c>
      <c r="K19" s="3" t="s">
        <v>5060</v>
      </c>
      <c r="L19" s="3" t="s">
        <v>5189</v>
      </c>
      <c r="M19" s="3" t="s">
        <v>5190</v>
      </c>
      <c r="N19" s="3" t="s">
        <v>5191</v>
      </c>
      <c r="O19" s="3" t="s">
        <v>5192</v>
      </c>
      <c r="P19" s="3" t="s">
        <v>5193</v>
      </c>
      <c r="Q19" s="3" t="s">
        <v>5194</v>
      </c>
      <c r="R19" s="3" t="s">
        <v>5067</v>
      </c>
      <c r="S19" s="3" t="s">
        <v>5068</v>
      </c>
      <c r="T19" s="3" t="s">
        <v>5069</v>
      </c>
      <c r="U19" s="3" t="s">
        <v>5070</v>
      </c>
      <c r="V19" s="3"/>
    </row>
    <row r="20" spans="1:22" ht="135" customHeight="1" x14ac:dyDescent="0.25">
      <c r="A20" s="2" t="s">
        <v>73</v>
      </c>
      <c r="B20" s="2" t="s">
        <v>5195</v>
      </c>
      <c r="C20" s="2" t="s">
        <v>4653</v>
      </c>
      <c r="D20" s="2" t="s">
        <v>75</v>
      </c>
      <c r="E20" s="2">
        <v>24</v>
      </c>
      <c r="F20" s="2">
        <v>21</v>
      </c>
      <c r="G20" s="2" t="s">
        <v>5196</v>
      </c>
      <c r="H20" s="2">
        <v>31.538399999999999</v>
      </c>
      <c r="I20" s="2">
        <v>6</v>
      </c>
      <c r="J20" s="2" t="s">
        <v>5059</v>
      </c>
      <c r="K20" s="2" t="s">
        <v>5060</v>
      </c>
      <c r="L20" s="2" t="s">
        <v>5197</v>
      </c>
      <c r="M20" s="2" t="s">
        <v>5198</v>
      </c>
      <c r="N20" s="2" t="s">
        <v>5199</v>
      </c>
      <c r="O20" s="2" t="s">
        <v>5200</v>
      </c>
      <c r="P20" s="2" t="s">
        <v>5201</v>
      </c>
      <c r="Q20" s="2" t="s">
        <v>5202</v>
      </c>
      <c r="R20" s="2" t="s">
        <v>5067</v>
      </c>
      <c r="S20" s="2" t="s">
        <v>5068</v>
      </c>
      <c r="T20" s="2" t="s">
        <v>5069</v>
      </c>
      <c r="U20" s="2" t="s">
        <v>5070</v>
      </c>
      <c r="V20" s="2"/>
    </row>
    <row r="21" spans="1:22" ht="33.75" customHeight="1" x14ac:dyDescent="0.25">
      <c r="A21" s="3" t="s">
        <v>430</v>
      </c>
      <c r="B21" s="3" t="s">
        <v>429</v>
      </c>
      <c r="C21" s="3" t="s">
        <v>4739</v>
      </c>
      <c r="D21" s="3" t="s">
        <v>432</v>
      </c>
      <c r="E21" s="3">
        <v>1</v>
      </c>
      <c r="F21" s="3">
        <v>21</v>
      </c>
      <c r="G21" s="3" t="s">
        <v>5203</v>
      </c>
      <c r="H21" s="3">
        <v>30.983000000000001</v>
      </c>
      <c r="I21" s="3">
        <v>7</v>
      </c>
      <c r="J21" s="3" t="s">
        <v>5059</v>
      </c>
      <c r="K21" s="3" t="s">
        <v>5060</v>
      </c>
      <c r="L21" s="3" t="s">
        <v>5204</v>
      </c>
      <c r="M21" s="3" t="s">
        <v>5205</v>
      </c>
      <c r="N21" s="3" t="s">
        <v>5206</v>
      </c>
      <c r="O21" s="3" t="s">
        <v>5207</v>
      </c>
      <c r="P21" s="3" t="s">
        <v>5208</v>
      </c>
      <c r="Q21" s="3" t="s">
        <v>5209</v>
      </c>
      <c r="R21" s="3" t="s">
        <v>5067</v>
      </c>
      <c r="S21" s="3" t="s">
        <v>5068</v>
      </c>
      <c r="T21" s="3" t="s">
        <v>5069</v>
      </c>
      <c r="U21" s="3" t="s">
        <v>5070</v>
      </c>
      <c r="V21" s="3"/>
    </row>
    <row r="22" spans="1:22" ht="33.75" customHeight="1" x14ac:dyDescent="0.25">
      <c r="A22" s="2" t="s">
        <v>348</v>
      </c>
      <c r="B22" s="2" t="s">
        <v>347</v>
      </c>
      <c r="C22" s="2" t="s">
        <v>4713</v>
      </c>
      <c r="D22" s="2" t="s">
        <v>350</v>
      </c>
      <c r="E22" s="2">
        <v>1</v>
      </c>
      <c r="F22" s="2">
        <v>21</v>
      </c>
      <c r="G22" s="2" t="s">
        <v>5210</v>
      </c>
      <c r="H22" s="2">
        <v>31.77318</v>
      </c>
      <c r="I22" s="2">
        <v>8</v>
      </c>
      <c r="J22" s="2" t="s">
        <v>5059</v>
      </c>
      <c r="K22" s="2" t="s">
        <v>5124</v>
      </c>
      <c r="L22" s="2" t="s">
        <v>5211</v>
      </c>
      <c r="M22" s="2" t="s">
        <v>5211</v>
      </c>
      <c r="N22" s="2" t="s">
        <v>5212</v>
      </c>
      <c r="O22" s="2" t="s">
        <v>5213</v>
      </c>
      <c r="P22" s="2" t="s">
        <v>5214</v>
      </c>
      <c r="Q22" s="2" t="s">
        <v>5215</v>
      </c>
      <c r="R22" s="2" t="s">
        <v>5067</v>
      </c>
      <c r="S22" s="2" t="s">
        <v>5068</v>
      </c>
      <c r="T22" s="2" t="s">
        <v>5069</v>
      </c>
      <c r="U22" s="2" t="s">
        <v>5070</v>
      </c>
      <c r="V22" s="2"/>
    </row>
    <row r="23" spans="1:22" ht="33.75" customHeight="1" x14ac:dyDescent="0.25">
      <c r="A23" s="3" t="s">
        <v>4179</v>
      </c>
      <c r="B23" s="3" t="s">
        <v>4178</v>
      </c>
      <c r="C23" s="3" t="s">
        <v>5026</v>
      </c>
      <c r="D23" s="3" t="s">
        <v>4181</v>
      </c>
      <c r="E23" s="3">
        <v>1</v>
      </c>
      <c r="F23" s="3">
        <v>21</v>
      </c>
      <c r="G23" s="3" t="s">
        <v>5216</v>
      </c>
      <c r="H23" s="3">
        <v>29.73668</v>
      </c>
      <c r="I23" s="3">
        <v>9</v>
      </c>
      <c r="J23" s="3" t="s">
        <v>5059</v>
      </c>
      <c r="K23" s="3" t="s">
        <v>5124</v>
      </c>
      <c r="L23" s="3" t="s">
        <v>5217</v>
      </c>
      <c r="M23" s="3" t="s">
        <v>5217</v>
      </c>
      <c r="N23" s="3" t="s">
        <v>5218</v>
      </c>
      <c r="O23" s="3" t="s">
        <v>5219</v>
      </c>
      <c r="P23" s="3" t="s">
        <v>5220</v>
      </c>
      <c r="Q23" s="3" t="s">
        <v>5221</v>
      </c>
      <c r="R23" s="3" t="s">
        <v>5067</v>
      </c>
      <c r="S23" s="3" t="s">
        <v>5068</v>
      </c>
      <c r="T23" s="3" t="s">
        <v>5069</v>
      </c>
      <c r="U23" s="3" t="s">
        <v>5070</v>
      </c>
      <c r="V23" s="3"/>
    </row>
    <row r="24" spans="1:22" ht="33.75" customHeight="1" x14ac:dyDescent="0.25">
      <c r="A24" s="2" t="s">
        <v>182</v>
      </c>
      <c r="B24" s="2" t="s">
        <v>5222</v>
      </c>
      <c r="C24" s="2" t="s">
        <v>4678</v>
      </c>
      <c r="D24" s="2" t="s">
        <v>184</v>
      </c>
      <c r="E24" s="2">
        <v>6</v>
      </c>
      <c r="F24" s="2">
        <v>21</v>
      </c>
      <c r="G24" s="2" t="s">
        <v>5216</v>
      </c>
      <c r="H24" s="2">
        <v>29.185759999999998</v>
      </c>
      <c r="I24" s="2">
        <v>8</v>
      </c>
      <c r="J24" s="2" t="s">
        <v>5059</v>
      </c>
      <c r="K24" s="2" t="s">
        <v>5124</v>
      </c>
      <c r="L24" s="2" t="s">
        <v>5223</v>
      </c>
      <c r="M24" s="2" t="s">
        <v>5223</v>
      </c>
      <c r="N24" s="2" t="s">
        <v>5224</v>
      </c>
      <c r="O24" s="2" t="s">
        <v>5225</v>
      </c>
      <c r="P24" s="2" t="s">
        <v>5226</v>
      </c>
      <c r="Q24" s="2" t="s">
        <v>5227</v>
      </c>
      <c r="R24" s="2" t="s">
        <v>5067</v>
      </c>
      <c r="S24" s="2" t="s">
        <v>5068</v>
      </c>
      <c r="T24" s="2" t="s">
        <v>5069</v>
      </c>
      <c r="U24" s="2" t="s">
        <v>5070</v>
      </c>
      <c r="V24" s="2"/>
    </row>
    <row r="25" spans="1:22" ht="45" customHeight="1" x14ac:dyDescent="0.25">
      <c r="A25" s="3" t="s">
        <v>452</v>
      </c>
      <c r="B25" s="3" t="s">
        <v>451</v>
      </c>
      <c r="C25" s="3" t="s">
        <v>4742</v>
      </c>
      <c r="D25" s="3" t="s">
        <v>454</v>
      </c>
      <c r="E25" s="3">
        <v>1</v>
      </c>
      <c r="F25" s="3">
        <v>24</v>
      </c>
      <c r="G25" s="3" t="s">
        <v>5228</v>
      </c>
      <c r="H25" s="3">
        <v>36.725999999999999</v>
      </c>
      <c r="I25" s="3">
        <v>8</v>
      </c>
      <c r="J25" s="3" t="s">
        <v>5059</v>
      </c>
      <c r="K25" s="3" t="s">
        <v>5060</v>
      </c>
      <c r="L25" s="3" t="s">
        <v>5229</v>
      </c>
      <c r="M25" s="3" t="s">
        <v>5230</v>
      </c>
      <c r="N25" s="3" t="s">
        <v>5231</v>
      </c>
      <c r="O25" s="3" t="s">
        <v>5232</v>
      </c>
      <c r="P25" s="3" t="s">
        <v>5233</v>
      </c>
      <c r="Q25" s="3" t="s">
        <v>5234</v>
      </c>
      <c r="R25" s="3" t="s">
        <v>5067</v>
      </c>
      <c r="S25" s="3" t="s">
        <v>5068</v>
      </c>
      <c r="T25" s="3" t="s">
        <v>5069</v>
      </c>
      <c r="U25" s="3" t="s">
        <v>5070</v>
      </c>
      <c r="V25" s="3"/>
    </row>
    <row r="26" spans="1:22" ht="45" customHeight="1" x14ac:dyDescent="0.25">
      <c r="A26" s="2" t="s">
        <v>582</v>
      </c>
      <c r="B26" s="2" t="s">
        <v>581</v>
      </c>
      <c r="C26" s="2" t="s">
        <v>4759</v>
      </c>
      <c r="D26" s="2" t="s">
        <v>584</v>
      </c>
      <c r="E26" s="2">
        <v>1</v>
      </c>
      <c r="F26" s="2">
        <v>24</v>
      </c>
      <c r="G26" s="2" t="s">
        <v>5235</v>
      </c>
      <c r="H26" s="2">
        <v>32.844639999999998</v>
      </c>
      <c r="I26" s="2">
        <v>9</v>
      </c>
      <c r="J26" s="2" t="s">
        <v>5059</v>
      </c>
      <c r="K26" s="2" t="s">
        <v>5060</v>
      </c>
      <c r="L26" s="2" t="s">
        <v>5236</v>
      </c>
      <c r="M26" s="2" t="s">
        <v>5237</v>
      </c>
      <c r="N26" s="2" t="s">
        <v>5238</v>
      </c>
      <c r="O26" s="2" t="s">
        <v>5239</v>
      </c>
      <c r="P26" s="2" t="s">
        <v>5240</v>
      </c>
      <c r="Q26" s="2" t="s">
        <v>5241</v>
      </c>
      <c r="R26" s="2" t="s">
        <v>5067</v>
      </c>
      <c r="S26" s="2" t="s">
        <v>5068</v>
      </c>
      <c r="T26" s="2" t="s">
        <v>5069</v>
      </c>
      <c r="U26" s="2" t="s">
        <v>5070</v>
      </c>
      <c r="V26" s="2"/>
    </row>
    <row r="27" spans="1:22" ht="45" customHeight="1" x14ac:dyDescent="0.25">
      <c r="A27" s="3" t="s">
        <v>2654</v>
      </c>
      <c r="B27" s="3" t="s">
        <v>5242</v>
      </c>
      <c r="C27" s="3" t="s">
        <v>4933</v>
      </c>
      <c r="D27" s="3" t="s">
        <v>2656</v>
      </c>
      <c r="E27" s="3">
        <v>2</v>
      </c>
      <c r="F27" s="3">
        <v>24</v>
      </c>
      <c r="G27" s="3" t="s">
        <v>5243</v>
      </c>
      <c r="H27" s="3">
        <v>29.63</v>
      </c>
      <c r="I27" s="3">
        <v>7</v>
      </c>
      <c r="J27" s="3" t="s">
        <v>5059</v>
      </c>
      <c r="K27" s="3" t="s">
        <v>5060</v>
      </c>
      <c r="L27" s="3" t="s">
        <v>5244</v>
      </c>
      <c r="M27" s="3" t="s">
        <v>5245</v>
      </c>
      <c r="N27" s="3" t="s">
        <v>5246</v>
      </c>
      <c r="O27" s="3" t="s">
        <v>5247</v>
      </c>
      <c r="P27" s="3" t="s">
        <v>5248</v>
      </c>
      <c r="Q27" s="3" t="s">
        <v>5249</v>
      </c>
      <c r="R27" s="3" t="s">
        <v>5067</v>
      </c>
      <c r="S27" s="3" t="s">
        <v>5068</v>
      </c>
      <c r="T27" s="3" t="s">
        <v>5069</v>
      </c>
      <c r="U27" s="3" t="s">
        <v>5070</v>
      </c>
      <c r="V27" s="3"/>
    </row>
    <row r="28" spans="1:22" ht="101.25" customHeight="1" x14ac:dyDescent="0.25">
      <c r="A28" s="2" t="s">
        <v>226</v>
      </c>
      <c r="B28" s="2" t="s">
        <v>5250</v>
      </c>
      <c r="C28" s="2" t="s">
        <v>4688</v>
      </c>
      <c r="D28" s="2" t="s">
        <v>228</v>
      </c>
      <c r="E28" s="2">
        <v>18</v>
      </c>
      <c r="F28" s="2">
        <v>24</v>
      </c>
      <c r="G28" s="2" t="s">
        <v>5251</v>
      </c>
      <c r="H28" s="2">
        <v>30.6632</v>
      </c>
      <c r="I28" s="2">
        <v>8</v>
      </c>
      <c r="J28" s="2" t="s">
        <v>5059</v>
      </c>
      <c r="K28" s="2" t="s">
        <v>5060</v>
      </c>
      <c r="L28" s="2" t="s">
        <v>5252</v>
      </c>
      <c r="M28" s="2" t="s">
        <v>5253</v>
      </c>
      <c r="N28" s="2" t="s">
        <v>5254</v>
      </c>
      <c r="O28" s="2" t="s">
        <v>5255</v>
      </c>
      <c r="P28" s="2" t="s">
        <v>5256</v>
      </c>
      <c r="Q28" s="2" t="s">
        <v>5257</v>
      </c>
      <c r="R28" s="2" t="s">
        <v>5067</v>
      </c>
      <c r="S28" s="2" t="s">
        <v>5068</v>
      </c>
      <c r="T28" s="2" t="s">
        <v>5069</v>
      </c>
      <c r="U28" s="2" t="s">
        <v>5070</v>
      </c>
      <c r="V28" s="2"/>
    </row>
    <row r="29" spans="1:22" ht="33.75" customHeight="1" x14ac:dyDescent="0.25">
      <c r="A29" s="3" t="s">
        <v>3644</v>
      </c>
      <c r="B29" s="3" t="s">
        <v>3643</v>
      </c>
      <c r="C29" s="3" t="s">
        <v>4991</v>
      </c>
      <c r="D29" s="3" t="s">
        <v>3646</v>
      </c>
      <c r="E29" s="3">
        <v>1</v>
      </c>
      <c r="F29" s="3">
        <v>24</v>
      </c>
      <c r="G29" s="3" t="s">
        <v>5258</v>
      </c>
      <c r="H29" s="3">
        <v>31.23</v>
      </c>
      <c r="I29" s="3">
        <v>7</v>
      </c>
      <c r="J29" s="3" t="s">
        <v>5059</v>
      </c>
      <c r="K29" s="3" t="s">
        <v>5060</v>
      </c>
      <c r="L29" s="3" t="s">
        <v>5259</v>
      </c>
      <c r="M29" s="3" t="s">
        <v>5260</v>
      </c>
      <c r="N29" s="3" t="s">
        <v>5261</v>
      </c>
      <c r="O29" s="3" t="s">
        <v>5262</v>
      </c>
      <c r="P29" s="3" t="s">
        <v>5263</v>
      </c>
      <c r="Q29" s="3" t="s">
        <v>5264</v>
      </c>
      <c r="R29" s="3" t="s">
        <v>5067</v>
      </c>
      <c r="S29" s="3" t="s">
        <v>5068</v>
      </c>
      <c r="T29" s="3" t="s">
        <v>5069</v>
      </c>
      <c r="U29" s="3" t="s">
        <v>5070</v>
      </c>
      <c r="V29" s="3"/>
    </row>
    <row r="30" spans="1:22" ht="33.75" customHeight="1" x14ac:dyDescent="0.25">
      <c r="A30" s="2" t="s">
        <v>4175</v>
      </c>
      <c r="B30" s="2" t="s">
        <v>4174</v>
      </c>
      <c r="C30" s="2" t="s">
        <v>5025</v>
      </c>
      <c r="D30" s="2" t="s">
        <v>4177</v>
      </c>
      <c r="E30" s="2">
        <v>1</v>
      </c>
      <c r="F30" s="2">
        <v>24</v>
      </c>
      <c r="G30" s="2" t="s">
        <v>5265</v>
      </c>
      <c r="H30" s="2">
        <v>29.469919999999998</v>
      </c>
      <c r="I30" s="2">
        <v>9</v>
      </c>
      <c r="J30" s="2" t="s">
        <v>5059</v>
      </c>
      <c r="K30" s="2" t="s">
        <v>5124</v>
      </c>
      <c r="L30" s="2" t="s">
        <v>5266</v>
      </c>
      <c r="M30" s="2" t="s">
        <v>5266</v>
      </c>
      <c r="N30" s="2" t="s">
        <v>5267</v>
      </c>
      <c r="O30" s="2" t="s">
        <v>5268</v>
      </c>
      <c r="P30" s="2" t="s">
        <v>5269</v>
      </c>
      <c r="Q30" s="2" t="s">
        <v>5270</v>
      </c>
      <c r="R30" s="2" t="s">
        <v>5067</v>
      </c>
      <c r="S30" s="2" t="s">
        <v>5068</v>
      </c>
      <c r="T30" s="2" t="s">
        <v>5069</v>
      </c>
      <c r="U30" s="2" t="s">
        <v>5070</v>
      </c>
      <c r="V30" s="2"/>
    </row>
    <row r="31" spans="1:22" ht="33.75" customHeight="1" x14ac:dyDescent="0.25">
      <c r="A31" s="3" t="s">
        <v>178</v>
      </c>
      <c r="B31" s="3" t="s">
        <v>5271</v>
      </c>
      <c r="C31" s="3" t="s">
        <v>4677</v>
      </c>
      <c r="D31" s="3" t="s">
        <v>180</v>
      </c>
      <c r="E31" s="3">
        <v>3</v>
      </c>
      <c r="F31" s="3">
        <v>24</v>
      </c>
      <c r="G31" s="3" t="s">
        <v>5265</v>
      </c>
      <c r="H31" s="3">
        <v>28.922239999999999</v>
      </c>
      <c r="I31" s="3">
        <v>8</v>
      </c>
      <c r="J31" s="3" t="s">
        <v>5059</v>
      </c>
      <c r="K31" s="3" t="s">
        <v>5124</v>
      </c>
      <c r="L31" s="3" t="s">
        <v>5272</v>
      </c>
      <c r="M31" s="3" t="s">
        <v>5272</v>
      </c>
      <c r="N31" s="3" t="s">
        <v>5273</v>
      </c>
      <c r="O31" s="3" t="s">
        <v>5274</v>
      </c>
      <c r="P31" s="3" t="s">
        <v>5275</v>
      </c>
      <c r="Q31" s="3" t="s">
        <v>5276</v>
      </c>
      <c r="R31" s="3" t="s">
        <v>5067</v>
      </c>
      <c r="S31" s="3" t="s">
        <v>5068</v>
      </c>
      <c r="T31" s="3" t="s">
        <v>5069</v>
      </c>
      <c r="U31" s="3" t="s">
        <v>5070</v>
      </c>
      <c r="V31" s="3"/>
    </row>
    <row r="32" spans="1:22" ht="33.75" customHeight="1" x14ac:dyDescent="0.25">
      <c r="A32" s="2" t="s">
        <v>259</v>
      </c>
      <c r="B32" s="2" t="s">
        <v>258</v>
      </c>
      <c r="C32" s="2" t="s">
        <v>4690</v>
      </c>
      <c r="D32" s="2" t="s">
        <v>261</v>
      </c>
      <c r="E32" s="2">
        <v>1</v>
      </c>
      <c r="F32" s="2">
        <v>24</v>
      </c>
      <c r="G32" s="2" t="s">
        <v>5277</v>
      </c>
      <c r="H32" s="2">
        <v>27.018239999999999</v>
      </c>
      <c r="I32" s="2">
        <v>7</v>
      </c>
      <c r="J32" s="2" t="s">
        <v>5059</v>
      </c>
      <c r="K32" s="2" t="s">
        <v>5124</v>
      </c>
      <c r="L32" s="2" t="s">
        <v>5278</v>
      </c>
      <c r="M32" s="2" t="s">
        <v>5278</v>
      </c>
      <c r="N32" s="2" t="s">
        <v>5279</v>
      </c>
      <c r="O32" s="2" t="s">
        <v>5280</v>
      </c>
      <c r="P32" s="2" t="s">
        <v>5281</v>
      </c>
      <c r="Q32" s="2" t="s">
        <v>5282</v>
      </c>
      <c r="R32" s="2" t="s">
        <v>5067</v>
      </c>
      <c r="S32" s="2" t="s">
        <v>5068</v>
      </c>
      <c r="T32" s="2" t="s">
        <v>5069</v>
      </c>
      <c r="U32" s="2" t="s">
        <v>5070</v>
      </c>
      <c r="V32" s="2"/>
    </row>
    <row r="33" spans="1:22" ht="56.25" customHeight="1" x14ac:dyDescent="0.25">
      <c r="A33" s="3" t="s">
        <v>3769</v>
      </c>
      <c r="B33" s="3" t="s">
        <v>3768</v>
      </c>
      <c r="C33" s="3" t="s">
        <v>5002</v>
      </c>
      <c r="D33" s="3" t="s">
        <v>3771</v>
      </c>
      <c r="E33" s="3">
        <v>1</v>
      </c>
      <c r="F33" s="3">
        <v>27</v>
      </c>
      <c r="G33" s="3" t="s">
        <v>5283</v>
      </c>
      <c r="H33" s="3">
        <v>25.589960000000001</v>
      </c>
      <c r="I33" s="3">
        <v>8</v>
      </c>
      <c r="J33" s="3" t="s">
        <v>5059</v>
      </c>
      <c r="K33" s="3" t="s">
        <v>5060</v>
      </c>
      <c r="L33" s="3" t="s">
        <v>5284</v>
      </c>
      <c r="M33" s="3" t="s">
        <v>5285</v>
      </c>
      <c r="N33" s="3" t="s">
        <v>5286</v>
      </c>
      <c r="O33" s="3" t="s">
        <v>5287</v>
      </c>
      <c r="P33" s="3" t="s">
        <v>5288</v>
      </c>
      <c r="Q33" s="3" t="s">
        <v>5289</v>
      </c>
      <c r="R33" s="3" t="s">
        <v>5067</v>
      </c>
      <c r="S33" s="3" t="s">
        <v>5068</v>
      </c>
      <c r="T33" s="3" t="s">
        <v>5069</v>
      </c>
      <c r="U33" s="3" t="s">
        <v>5070</v>
      </c>
      <c r="V33" s="3"/>
    </row>
    <row r="34" spans="1:22" ht="67.5" customHeight="1" x14ac:dyDescent="0.25">
      <c r="A34" s="2" t="s">
        <v>478</v>
      </c>
      <c r="B34" s="2" t="s">
        <v>477</v>
      </c>
      <c r="C34" s="2" t="s">
        <v>4745</v>
      </c>
      <c r="D34" s="2" t="s">
        <v>480</v>
      </c>
      <c r="E34" s="2">
        <v>1</v>
      </c>
      <c r="F34" s="2">
        <v>27</v>
      </c>
      <c r="G34" s="2" t="s">
        <v>5290</v>
      </c>
      <c r="H34" s="2">
        <v>25.503160000000001</v>
      </c>
      <c r="I34" s="2">
        <v>7</v>
      </c>
      <c r="J34" s="2" t="s">
        <v>5059</v>
      </c>
      <c r="K34" s="2" t="s">
        <v>5060</v>
      </c>
      <c r="L34" s="2" t="s">
        <v>5291</v>
      </c>
      <c r="M34" s="2" t="s">
        <v>5292</v>
      </c>
      <c r="N34" s="2" t="s">
        <v>5293</v>
      </c>
      <c r="O34" s="2" t="s">
        <v>5294</v>
      </c>
      <c r="P34" s="2" t="s">
        <v>5295</v>
      </c>
      <c r="Q34" s="2" t="s">
        <v>5296</v>
      </c>
      <c r="R34" s="2" t="s">
        <v>5067</v>
      </c>
      <c r="S34" s="2" t="s">
        <v>5068</v>
      </c>
      <c r="T34" s="2" t="s">
        <v>5069</v>
      </c>
      <c r="U34" s="2" t="s">
        <v>5070</v>
      </c>
      <c r="V34" s="2"/>
    </row>
    <row r="35" spans="1:22" ht="45" customHeight="1" x14ac:dyDescent="0.25">
      <c r="A35" s="3" t="s">
        <v>3070</v>
      </c>
      <c r="B35" s="3" t="s">
        <v>3069</v>
      </c>
      <c r="C35" s="3" t="s">
        <v>4955</v>
      </c>
      <c r="D35" s="3" t="s">
        <v>3072</v>
      </c>
      <c r="E35" s="3">
        <v>1</v>
      </c>
      <c r="F35" s="3">
        <v>28</v>
      </c>
      <c r="G35" s="3" t="s">
        <v>5297</v>
      </c>
      <c r="H35" s="3">
        <v>29.056000000000001</v>
      </c>
      <c r="I35" s="3">
        <v>7</v>
      </c>
      <c r="J35" s="3" t="s">
        <v>5059</v>
      </c>
      <c r="K35" s="3" t="s">
        <v>5060</v>
      </c>
      <c r="L35" s="3" t="s">
        <v>5298</v>
      </c>
      <c r="M35" s="3" t="s">
        <v>5299</v>
      </c>
      <c r="N35" s="3" t="s">
        <v>5300</v>
      </c>
      <c r="O35" s="3" t="s">
        <v>5301</v>
      </c>
      <c r="P35" s="3" t="s">
        <v>5302</v>
      </c>
      <c r="Q35" s="3" t="s">
        <v>5303</v>
      </c>
      <c r="R35" s="3" t="s">
        <v>5067</v>
      </c>
      <c r="S35" s="3" t="s">
        <v>5068</v>
      </c>
      <c r="T35" s="3" t="s">
        <v>5069</v>
      </c>
      <c r="U35" s="3" t="s">
        <v>5070</v>
      </c>
      <c r="V35" s="3"/>
    </row>
    <row r="36" spans="1:22" ht="45" customHeight="1" x14ac:dyDescent="0.25">
      <c r="A36" s="2" t="s">
        <v>3066</v>
      </c>
      <c r="B36" s="2" t="s">
        <v>3065</v>
      </c>
      <c r="C36" s="2" t="s">
        <v>4954</v>
      </c>
      <c r="D36" s="2" t="s">
        <v>3068</v>
      </c>
      <c r="E36" s="2">
        <v>1</v>
      </c>
      <c r="F36" s="2">
        <v>30</v>
      </c>
      <c r="G36" s="2" t="s">
        <v>5304</v>
      </c>
      <c r="H36" s="2">
        <v>29.135999999999999</v>
      </c>
      <c r="I36" s="2">
        <v>7</v>
      </c>
      <c r="J36" s="2" t="s">
        <v>5059</v>
      </c>
      <c r="K36" s="2" t="s">
        <v>5060</v>
      </c>
      <c r="L36" s="2" t="s">
        <v>5305</v>
      </c>
      <c r="M36" s="2" t="s">
        <v>5306</v>
      </c>
      <c r="N36" s="2" t="s">
        <v>5307</v>
      </c>
      <c r="O36" s="2" t="s">
        <v>5308</v>
      </c>
      <c r="P36" s="2" t="s">
        <v>5309</v>
      </c>
      <c r="Q36" s="2" t="s">
        <v>5310</v>
      </c>
      <c r="R36" s="2" t="s">
        <v>5067</v>
      </c>
      <c r="S36" s="2" t="s">
        <v>5068</v>
      </c>
      <c r="T36" s="2" t="s">
        <v>5069</v>
      </c>
      <c r="U36" s="2" t="s">
        <v>5070</v>
      </c>
      <c r="V36" s="2"/>
    </row>
    <row r="37" spans="1:22" ht="56.25" customHeight="1" x14ac:dyDescent="0.25">
      <c r="A37" s="3" t="s">
        <v>3128</v>
      </c>
      <c r="B37" s="3" t="s">
        <v>5311</v>
      </c>
      <c r="C37" s="3" t="s">
        <v>4960</v>
      </c>
      <c r="D37" s="3" t="s">
        <v>3130</v>
      </c>
      <c r="E37" s="3">
        <v>2</v>
      </c>
      <c r="F37" s="3">
        <v>30</v>
      </c>
      <c r="G37" s="3" t="s">
        <v>5312</v>
      </c>
      <c r="H37" s="3">
        <v>31.986000000000001</v>
      </c>
      <c r="I37" s="3">
        <v>8</v>
      </c>
      <c r="J37" s="3" t="s">
        <v>5059</v>
      </c>
      <c r="K37" s="3" t="s">
        <v>5060</v>
      </c>
      <c r="L37" s="3" t="s">
        <v>5313</v>
      </c>
      <c r="M37" s="3" t="s">
        <v>5314</v>
      </c>
      <c r="N37" s="3" t="s">
        <v>5315</v>
      </c>
      <c r="O37" s="3" t="s">
        <v>5316</v>
      </c>
      <c r="P37" s="3" t="s">
        <v>5317</v>
      </c>
      <c r="Q37" s="3" t="s">
        <v>5318</v>
      </c>
      <c r="R37" s="3" t="s">
        <v>5067</v>
      </c>
      <c r="S37" s="3" t="s">
        <v>5068</v>
      </c>
      <c r="T37" s="3" t="s">
        <v>5069</v>
      </c>
      <c r="U37" s="3" t="s">
        <v>5070</v>
      </c>
      <c r="V37" s="3"/>
    </row>
    <row r="38" spans="1:22" ht="56.25" customHeight="1" x14ac:dyDescent="0.25">
      <c r="A38" s="2" t="s">
        <v>3132</v>
      </c>
      <c r="B38" s="2" t="s">
        <v>5319</v>
      </c>
      <c r="C38" s="2" t="s">
        <v>4961</v>
      </c>
      <c r="D38" s="2" t="s">
        <v>3134</v>
      </c>
      <c r="E38" s="2">
        <v>2</v>
      </c>
      <c r="F38" s="2">
        <v>30</v>
      </c>
      <c r="G38" s="2" t="s">
        <v>5320</v>
      </c>
      <c r="H38" s="2">
        <v>32.676000000000002</v>
      </c>
      <c r="I38" s="2">
        <v>8</v>
      </c>
      <c r="J38" s="2" t="s">
        <v>5059</v>
      </c>
      <c r="K38" s="2" t="s">
        <v>5060</v>
      </c>
      <c r="L38" s="2" t="s">
        <v>5321</v>
      </c>
      <c r="M38" s="2" t="s">
        <v>5322</v>
      </c>
      <c r="N38" s="2" t="s">
        <v>5323</v>
      </c>
      <c r="O38" s="2" t="s">
        <v>5324</v>
      </c>
      <c r="P38" s="2" t="s">
        <v>5325</v>
      </c>
      <c r="Q38" s="2" t="s">
        <v>5326</v>
      </c>
      <c r="R38" s="2" t="s">
        <v>5067</v>
      </c>
      <c r="S38" s="2" t="s">
        <v>5068</v>
      </c>
      <c r="T38" s="2" t="s">
        <v>5069</v>
      </c>
      <c r="U38" s="2" t="s">
        <v>5070</v>
      </c>
      <c r="V38" s="2"/>
    </row>
    <row r="39" spans="1:22" ht="67.5" customHeight="1" x14ac:dyDescent="0.25">
      <c r="A39" s="3" t="s">
        <v>3648</v>
      </c>
      <c r="B39" s="3" t="s">
        <v>5327</v>
      </c>
      <c r="C39" s="3" t="s">
        <v>4992</v>
      </c>
      <c r="D39" s="3" t="s">
        <v>3650</v>
      </c>
      <c r="E39" s="3">
        <v>2</v>
      </c>
      <c r="F39" s="3">
        <v>30</v>
      </c>
      <c r="G39" s="3" t="s">
        <v>5328</v>
      </c>
      <c r="H39" s="3">
        <v>30.335999999999999</v>
      </c>
      <c r="I39" s="3">
        <v>7</v>
      </c>
      <c r="J39" s="3" t="s">
        <v>5059</v>
      </c>
      <c r="K39" s="3" t="s">
        <v>5060</v>
      </c>
      <c r="L39" s="3" t="s">
        <v>5329</v>
      </c>
      <c r="M39" s="3" t="s">
        <v>5330</v>
      </c>
      <c r="N39" s="3" t="s">
        <v>5331</v>
      </c>
      <c r="O39" s="3" t="s">
        <v>5332</v>
      </c>
      <c r="P39" s="3" t="s">
        <v>5333</v>
      </c>
      <c r="Q39" s="3" t="s">
        <v>5334</v>
      </c>
      <c r="R39" s="3" t="s">
        <v>5067</v>
      </c>
      <c r="S39" s="3" t="s">
        <v>5068</v>
      </c>
      <c r="T39" s="3" t="s">
        <v>5069</v>
      </c>
      <c r="U39" s="3" t="s">
        <v>5070</v>
      </c>
      <c r="V39" s="3"/>
    </row>
    <row r="40" spans="1:22" ht="191.25" customHeight="1" x14ac:dyDescent="0.25">
      <c r="A40" s="2" t="s">
        <v>77</v>
      </c>
      <c r="B40" s="2" t="s">
        <v>5335</v>
      </c>
      <c r="C40" s="2" t="s">
        <v>4654</v>
      </c>
      <c r="D40" s="2" t="s">
        <v>79</v>
      </c>
      <c r="E40" s="2">
        <v>34</v>
      </c>
      <c r="F40" s="2">
        <v>30</v>
      </c>
      <c r="G40" s="2" t="s">
        <v>5336</v>
      </c>
      <c r="H40" s="2">
        <v>31.699200000000001</v>
      </c>
      <c r="I40" s="2">
        <v>8</v>
      </c>
      <c r="J40" s="2" t="s">
        <v>5059</v>
      </c>
      <c r="K40" s="2" t="s">
        <v>5060</v>
      </c>
      <c r="L40" s="2" t="s">
        <v>5337</v>
      </c>
      <c r="M40" s="2" t="s">
        <v>5338</v>
      </c>
      <c r="N40" s="2" t="s">
        <v>5339</v>
      </c>
      <c r="O40" s="2" t="s">
        <v>5340</v>
      </c>
      <c r="P40" s="2" t="s">
        <v>5341</v>
      </c>
      <c r="Q40" s="2" t="s">
        <v>5342</v>
      </c>
      <c r="R40" s="2" t="s">
        <v>5067</v>
      </c>
      <c r="S40" s="2" t="s">
        <v>5068</v>
      </c>
      <c r="T40" s="2" t="s">
        <v>5069</v>
      </c>
      <c r="U40" s="2" t="s">
        <v>5070</v>
      </c>
      <c r="V40" s="2"/>
    </row>
    <row r="41" spans="1:22" ht="337.5" customHeight="1" x14ac:dyDescent="0.25">
      <c r="A41" s="3" t="s">
        <v>89</v>
      </c>
      <c r="B41" s="3" t="s">
        <v>5343</v>
      </c>
      <c r="C41" s="3" t="s">
        <v>4659</v>
      </c>
      <c r="D41" s="3" t="s">
        <v>91</v>
      </c>
      <c r="E41" s="3">
        <v>59</v>
      </c>
      <c r="F41" s="3">
        <v>30</v>
      </c>
      <c r="G41" s="3" t="s">
        <v>5344</v>
      </c>
      <c r="H41" s="3">
        <v>32.389200000000002</v>
      </c>
      <c r="I41" s="3">
        <v>8</v>
      </c>
      <c r="J41" s="3" t="s">
        <v>5059</v>
      </c>
      <c r="K41" s="3" t="s">
        <v>5060</v>
      </c>
      <c r="L41" s="3" t="s">
        <v>5345</v>
      </c>
      <c r="M41" s="3" t="s">
        <v>5346</v>
      </c>
      <c r="N41" s="3" t="s">
        <v>5347</v>
      </c>
      <c r="O41" s="3" t="s">
        <v>5348</v>
      </c>
      <c r="P41" s="3" t="s">
        <v>5349</v>
      </c>
      <c r="Q41" s="3" t="s">
        <v>5350</v>
      </c>
      <c r="R41" s="3" t="s">
        <v>5067</v>
      </c>
      <c r="S41" s="3" t="s">
        <v>5068</v>
      </c>
      <c r="T41" s="3" t="s">
        <v>5069</v>
      </c>
      <c r="U41" s="3" t="s">
        <v>5070</v>
      </c>
      <c r="V41" s="3"/>
    </row>
    <row r="42" spans="1:22" ht="56.25" customHeight="1" x14ac:dyDescent="0.25">
      <c r="A42" s="2" t="s">
        <v>4603</v>
      </c>
      <c r="B42" s="2" t="s">
        <v>4602</v>
      </c>
      <c r="C42" s="2" t="s">
        <v>5040</v>
      </c>
      <c r="D42" s="2" t="s">
        <v>4605</v>
      </c>
      <c r="E42" s="2">
        <v>1</v>
      </c>
      <c r="F42" s="2">
        <v>30</v>
      </c>
      <c r="G42" s="2" t="s">
        <v>5351</v>
      </c>
      <c r="H42" s="2">
        <v>30.9392</v>
      </c>
      <c r="I42" s="2">
        <v>7</v>
      </c>
      <c r="J42" s="2" t="s">
        <v>5059</v>
      </c>
      <c r="K42" s="2" t="s">
        <v>5060</v>
      </c>
      <c r="L42" s="2" t="s">
        <v>5352</v>
      </c>
      <c r="M42" s="2" t="s">
        <v>5353</v>
      </c>
      <c r="N42" s="2" t="s">
        <v>5354</v>
      </c>
      <c r="O42" s="2" t="s">
        <v>5355</v>
      </c>
      <c r="P42" s="2" t="s">
        <v>5356</v>
      </c>
      <c r="Q42" s="2" t="s">
        <v>5357</v>
      </c>
      <c r="R42" s="2" t="s">
        <v>5067</v>
      </c>
      <c r="S42" s="2" t="s">
        <v>5068</v>
      </c>
      <c r="T42" s="2" t="s">
        <v>5069</v>
      </c>
      <c r="U42" s="2" t="s">
        <v>5070</v>
      </c>
      <c r="V42" s="2"/>
    </row>
    <row r="43" spans="1:22" ht="78.75" customHeight="1" x14ac:dyDescent="0.25">
      <c r="A43" s="3" t="s">
        <v>63</v>
      </c>
      <c r="B43" s="3" t="s">
        <v>5358</v>
      </c>
      <c r="C43" s="3" t="s">
        <v>4649</v>
      </c>
      <c r="D43" s="3" t="s">
        <v>65</v>
      </c>
      <c r="E43" s="3">
        <v>13</v>
      </c>
      <c r="F43" s="3">
        <v>30</v>
      </c>
      <c r="G43" s="3" t="s">
        <v>5359</v>
      </c>
      <c r="H43" s="3">
        <v>31.412400000000002</v>
      </c>
      <c r="I43" s="3">
        <v>6</v>
      </c>
      <c r="J43" s="3" t="s">
        <v>5059</v>
      </c>
      <c r="K43" s="3" t="s">
        <v>5060</v>
      </c>
      <c r="L43" s="3" t="s">
        <v>5360</v>
      </c>
      <c r="M43" s="3" t="s">
        <v>5361</v>
      </c>
      <c r="N43" s="3" t="s">
        <v>5362</v>
      </c>
      <c r="O43" s="3" t="s">
        <v>5363</v>
      </c>
      <c r="P43" s="3" t="s">
        <v>5364</v>
      </c>
      <c r="Q43" s="3" t="s">
        <v>5365</v>
      </c>
      <c r="R43" s="3" t="s">
        <v>5067</v>
      </c>
      <c r="S43" s="3" t="s">
        <v>5068</v>
      </c>
      <c r="T43" s="3" t="s">
        <v>5069</v>
      </c>
      <c r="U43" s="3" t="s">
        <v>5070</v>
      </c>
      <c r="V43" s="3"/>
    </row>
    <row r="44" spans="1:22" ht="112.5" customHeight="1" x14ac:dyDescent="0.25">
      <c r="A44" s="2" t="s">
        <v>69</v>
      </c>
      <c r="B44" s="2" t="s">
        <v>5366</v>
      </c>
      <c r="C44" s="2" t="s">
        <v>4651</v>
      </c>
      <c r="D44" s="2" t="s">
        <v>71</v>
      </c>
      <c r="E44" s="2">
        <v>20</v>
      </c>
      <c r="F44" s="2">
        <v>30</v>
      </c>
      <c r="G44" s="2" t="s">
        <v>5367</v>
      </c>
      <c r="H44" s="2">
        <v>32.102400000000003</v>
      </c>
      <c r="I44" s="2">
        <v>6</v>
      </c>
      <c r="J44" s="2" t="s">
        <v>5059</v>
      </c>
      <c r="K44" s="2" t="s">
        <v>5060</v>
      </c>
      <c r="L44" s="2" t="s">
        <v>5368</v>
      </c>
      <c r="M44" s="2" t="s">
        <v>5369</v>
      </c>
      <c r="N44" s="2" t="s">
        <v>5370</v>
      </c>
      <c r="O44" s="2" t="s">
        <v>5371</v>
      </c>
      <c r="P44" s="2" t="s">
        <v>5372</v>
      </c>
      <c r="Q44" s="2" t="s">
        <v>5373</v>
      </c>
      <c r="R44" s="2" t="s">
        <v>5067</v>
      </c>
      <c r="S44" s="2" t="s">
        <v>5068</v>
      </c>
      <c r="T44" s="2" t="s">
        <v>5069</v>
      </c>
      <c r="U44" s="2" t="s">
        <v>5070</v>
      </c>
      <c r="V44" s="2"/>
    </row>
    <row r="45" spans="1:22" ht="33.75" customHeight="1" x14ac:dyDescent="0.25">
      <c r="A45" s="3" t="s">
        <v>436</v>
      </c>
      <c r="B45" s="3" t="s">
        <v>5374</v>
      </c>
      <c r="C45" s="3" t="s">
        <v>4740</v>
      </c>
      <c r="D45" s="3" t="s">
        <v>438</v>
      </c>
      <c r="E45" s="3">
        <v>2</v>
      </c>
      <c r="F45" s="3">
        <v>30</v>
      </c>
      <c r="G45" s="3" t="s">
        <v>5375</v>
      </c>
      <c r="H45" s="3">
        <v>30.466999999999999</v>
      </c>
      <c r="I45" s="3">
        <v>7</v>
      </c>
      <c r="J45" s="3" t="s">
        <v>5059</v>
      </c>
      <c r="K45" s="3" t="s">
        <v>5060</v>
      </c>
      <c r="L45" s="3" t="s">
        <v>5376</v>
      </c>
      <c r="M45" s="3" t="s">
        <v>5377</v>
      </c>
      <c r="N45" s="3" t="s">
        <v>5378</v>
      </c>
      <c r="O45" s="3" t="s">
        <v>5379</v>
      </c>
      <c r="P45" s="3" t="s">
        <v>5380</v>
      </c>
      <c r="Q45" s="3" t="s">
        <v>5381</v>
      </c>
      <c r="R45" s="3" t="s">
        <v>5067</v>
      </c>
      <c r="S45" s="3" t="s">
        <v>5068</v>
      </c>
      <c r="T45" s="3" t="s">
        <v>5069</v>
      </c>
      <c r="U45" s="3" t="s">
        <v>5070</v>
      </c>
      <c r="V45" s="3"/>
    </row>
    <row r="46" spans="1:22" ht="33.75" customHeight="1" x14ac:dyDescent="0.25">
      <c r="A46" s="2" t="s">
        <v>426</v>
      </c>
      <c r="B46" s="2" t="s">
        <v>5382</v>
      </c>
      <c r="C46" s="2" t="s">
        <v>4738</v>
      </c>
      <c r="D46" s="2" t="s">
        <v>428</v>
      </c>
      <c r="E46" s="2">
        <v>3</v>
      </c>
      <c r="F46" s="2">
        <v>30</v>
      </c>
      <c r="G46" s="2" t="s">
        <v>5383</v>
      </c>
      <c r="H46" s="2">
        <v>31.157</v>
      </c>
      <c r="I46" s="2">
        <v>7</v>
      </c>
      <c r="J46" s="2" t="s">
        <v>5059</v>
      </c>
      <c r="K46" s="2" t="s">
        <v>5060</v>
      </c>
      <c r="L46" s="2" t="s">
        <v>5384</v>
      </c>
      <c r="M46" s="2" t="s">
        <v>5385</v>
      </c>
      <c r="N46" s="2" t="s">
        <v>5386</v>
      </c>
      <c r="O46" s="2" t="s">
        <v>5387</v>
      </c>
      <c r="P46" s="2" t="s">
        <v>5388</v>
      </c>
      <c r="Q46" s="2" t="s">
        <v>5389</v>
      </c>
      <c r="R46" s="2" t="s">
        <v>5067</v>
      </c>
      <c r="S46" s="2" t="s">
        <v>5068</v>
      </c>
      <c r="T46" s="2" t="s">
        <v>5069</v>
      </c>
      <c r="U46" s="2" t="s">
        <v>5070</v>
      </c>
      <c r="V46" s="2"/>
    </row>
    <row r="47" spans="1:22" ht="33.75" customHeight="1" x14ac:dyDescent="0.25">
      <c r="A47" s="3" t="s">
        <v>344</v>
      </c>
      <c r="B47" s="3" t="s">
        <v>343</v>
      </c>
      <c r="C47" s="3" t="s">
        <v>4712</v>
      </c>
      <c r="D47" s="3" t="s">
        <v>346</v>
      </c>
      <c r="E47" s="3">
        <v>1</v>
      </c>
      <c r="F47" s="3">
        <v>30</v>
      </c>
      <c r="G47" s="3" t="s">
        <v>5390</v>
      </c>
      <c r="H47" s="3">
        <v>30.781500000000001</v>
      </c>
      <c r="I47" s="3">
        <v>8</v>
      </c>
      <c r="J47" s="3" t="s">
        <v>5059</v>
      </c>
      <c r="K47" s="3" t="s">
        <v>5124</v>
      </c>
      <c r="L47" s="3" t="s">
        <v>5391</v>
      </c>
      <c r="M47" s="3" t="s">
        <v>5391</v>
      </c>
      <c r="N47" s="3" t="s">
        <v>5392</v>
      </c>
      <c r="O47" s="3" t="s">
        <v>5393</v>
      </c>
      <c r="P47" s="3" t="s">
        <v>5394</v>
      </c>
      <c r="Q47" s="3" t="s">
        <v>5395</v>
      </c>
      <c r="R47" s="3" t="s">
        <v>5067</v>
      </c>
      <c r="S47" s="3" t="s">
        <v>5068</v>
      </c>
      <c r="T47" s="3" t="s">
        <v>5069</v>
      </c>
      <c r="U47" s="3" t="s">
        <v>5070</v>
      </c>
      <c r="V47" s="3"/>
    </row>
    <row r="48" spans="1:22" ht="45" customHeight="1" x14ac:dyDescent="0.25">
      <c r="A48" s="2" t="s">
        <v>2582</v>
      </c>
      <c r="B48" s="2" t="s">
        <v>5396</v>
      </c>
      <c r="C48" s="2" t="s">
        <v>4929</v>
      </c>
      <c r="D48" s="2" t="s">
        <v>2584</v>
      </c>
      <c r="E48" s="2">
        <v>3</v>
      </c>
      <c r="F48" s="2">
        <v>33</v>
      </c>
      <c r="G48" s="2" t="s">
        <v>5397</v>
      </c>
      <c r="H48" s="2">
        <v>27.925999999999998</v>
      </c>
      <c r="I48" s="2">
        <v>6</v>
      </c>
      <c r="J48" s="2" t="s">
        <v>5059</v>
      </c>
      <c r="K48" s="2" t="s">
        <v>5060</v>
      </c>
      <c r="L48" s="2" t="s">
        <v>5072</v>
      </c>
      <c r="M48" s="2" t="s">
        <v>5073</v>
      </c>
      <c r="N48" s="2" t="s">
        <v>5398</v>
      </c>
      <c r="O48" s="2" t="s">
        <v>5399</v>
      </c>
      <c r="P48" s="2" t="s">
        <v>5400</v>
      </c>
      <c r="Q48" s="2" t="s">
        <v>5401</v>
      </c>
      <c r="R48" s="2" t="s">
        <v>5067</v>
      </c>
      <c r="S48" s="2" t="s">
        <v>5068</v>
      </c>
      <c r="T48" s="2" t="s">
        <v>5069</v>
      </c>
      <c r="U48" s="2" t="s">
        <v>5070</v>
      </c>
      <c r="V48" s="2"/>
    </row>
    <row r="49" spans="1:22" ht="45" customHeight="1" x14ac:dyDescent="0.25">
      <c r="A49" s="3" t="s">
        <v>1767</v>
      </c>
      <c r="B49" s="3" t="s">
        <v>5402</v>
      </c>
      <c r="C49" s="3" t="s">
        <v>4855</v>
      </c>
      <c r="D49" s="3" t="s">
        <v>1769</v>
      </c>
      <c r="E49" s="3">
        <v>2</v>
      </c>
      <c r="F49" s="3">
        <v>34</v>
      </c>
      <c r="G49" s="3" t="s">
        <v>5403</v>
      </c>
      <c r="H49" s="3">
        <v>40.7776</v>
      </c>
      <c r="I49" s="3">
        <v>8</v>
      </c>
      <c r="J49" s="3" t="s">
        <v>5059</v>
      </c>
      <c r="K49" s="3" t="s">
        <v>5060</v>
      </c>
      <c r="L49" s="3" t="s">
        <v>5404</v>
      </c>
      <c r="M49" s="3" t="s">
        <v>5405</v>
      </c>
      <c r="N49" s="3" t="s">
        <v>5406</v>
      </c>
      <c r="O49" s="3" t="s">
        <v>5407</v>
      </c>
      <c r="P49" s="3" t="s">
        <v>5408</v>
      </c>
      <c r="Q49" s="3" t="s">
        <v>5409</v>
      </c>
      <c r="R49" s="3" t="s">
        <v>5067</v>
      </c>
      <c r="S49" s="3" t="s">
        <v>5068</v>
      </c>
      <c r="T49" s="3" t="s">
        <v>5069</v>
      </c>
      <c r="U49" s="3" t="s">
        <v>5070</v>
      </c>
      <c r="V49" s="3"/>
    </row>
    <row r="50" spans="1:22" ht="45" customHeight="1" x14ac:dyDescent="0.25">
      <c r="A50" s="2" t="s">
        <v>1759</v>
      </c>
      <c r="B50" s="2" t="s">
        <v>1758</v>
      </c>
      <c r="C50" s="2" t="s">
        <v>4853</v>
      </c>
      <c r="D50" s="2" t="s">
        <v>1761</v>
      </c>
      <c r="E50" s="2">
        <v>1</v>
      </c>
      <c r="F50" s="2">
        <v>34</v>
      </c>
      <c r="G50" s="2" t="s">
        <v>5410</v>
      </c>
      <c r="H50" s="2">
        <v>37.295999999999999</v>
      </c>
      <c r="I50" s="2">
        <v>7</v>
      </c>
      <c r="J50" s="2" t="s">
        <v>5059</v>
      </c>
      <c r="K50" s="2" t="s">
        <v>5060</v>
      </c>
      <c r="L50" s="2" t="s">
        <v>5411</v>
      </c>
      <c r="M50" s="2" t="s">
        <v>5412</v>
      </c>
      <c r="N50" s="2" t="s">
        <v>5413</v>
      </c>
      <c r="O50" s="2" t="s">
        <v>5414</v>
      </c>
      <c r="P50" s="2" t="s">
        <v>5415</v>
      </c>
      <c r="Q50" s="2" t="s">
        <v>5416</v>
      </c>
      <c r="R50" s="2" t="s">
        <v>5067</v>
      </c>
      <c r="S50" s="2" t="s">
        <v>5068</v>
      </c>
      <c r="T50" s="2" t="s">
        <v>5069</v>
      </c>
      <c r="U50" s="2" t="s">
        <v>5070</v>
      </c>
      <c r="V50" s="2"/>
    </row>
    <row r="51" spans="1:22" ht="56.25" customHeight="1" x14ac:dyDescent="0.25">
      <c r="A51" s="3" t="s">
        <v>1602</v>
      </c>
      <c r="B51" s="3" t="s">
        <v>1601</v>
      </c>
      <c r="C51" s="3" t="s">
        <v>4840</v>
      </c>
      <c r="D51" s="3" t="s">
        <v>1604</v>
      </c>
      <c r="E51" s="3">
        <v>1</v>
      </c>
      <c r="F51" s="3">
        <v>36</v>
      </c>
      <c r="G51" s="3" t="s">
        <v>5417</v>
      </c>
      <c r="H51" s="3">
        <v>43.186</v>
      </c>
      <c r="I51" s="3">
        <v>7</v>
      </c>
      <c r="J51" s="3" t="s">
        <v>5059</v>
      </c>
      <c r="K51" s="3" t="s">
        <v>5060</v>
      </c>
      <c r="L51" s="3" t="s">
        <v>5418</v>
      </c>
      <c r="M51" s="3" t="s">
        <v>5419</v>
      </c>
      <c r="N51" s="3" t="s">
        <v>5420</v>
      </c>
      <c r="O51" s="3" t="s">
        <v>5421</v>
      </c>
      <c r="P51" s="3" t="s">
        <v>5422</v>
      </c>
      <c r="Q51" s="3" t="s">
        <v>5423</v>
      </c>
      <c r="R51" s="3" t="s">
        <v>5067</v>
      </c>
      <c r="S51" s="3" t="s">
        <v>5068</v>
      </c>
      <c r="T51" s="3" t="s">
        <v>5069</v>
      </c>
      <c r="U51" s="3" t="s">
        <v>5070</v>
      </c>
      <c r="V51" s="3"/>
    </row>
    <row r="52" spans="1:22" ht="45" customHeight="1" x14ac:dyDescent="0.25">
      <c r="A52" s="2" t="s">
        <v>1777</v>
      </c>
      <c r="B52" s="2" t="s">
        <v>1776</v>
      </c>
      <c r="C52" s="2" t="s">
        <v>4857</v>
      </c>
      <c r="D52" s="2" t="s">
        <v>1779</v>
      </c>
      <c r="E52" s="2">
        <v>1</v>
      </c>
      <c r="F52" s="2">
        <v>36</v>
      </c>
      <c r="G52" s="2" t="s">
        <v>5424</v>
      </c>
      <c r="H52" s="2">
        <v>27.942</v>
      </c>
      <c r="I52" s="2">
        <v>7</v>
      </c>
      <c r="J52" s="2" t="s">
        <v>5059</v>
      </c>
      <c r="K52" s="2" t="s">
        <v>5060</v>
      </c>
      <c r="L52" s="2" t="s">
        <v>5425</v>
      </c>
      <c r="M52" s="2" t="s">
        <v>5426</v>
      </c>
      <c r="N52" s="2" t="s">
        <v>5427</v>
      </c>
      <c r="O52" s="2" t="s">
        <v>5428</v>
      </c>
      <c r="P52" s="2" t="s">
        <v>5429</v>
      </c>
      <c r="Q52" s="2" t="s">
        <v>5430</v>
      </c>
      <c r="R52" s="2" t="s">
        <v>5067</v>
      </c>
      <c r="S52" s="2" t="s">
        <v>5068</v>
      </c>
      <c r="T52" s="2" t="s">
        <v>5069</v>
      </c>
      <c r="U52" s="2" t="s">
        <v>5070</v>
      </c>
      <c r="V52" s="2"/>
    </row>
    <row r="53" spans="1:22" ht="45" customHeight="1" x14ac:dyDescent="0.25">
      <c r="A53" s="3" t="s">
        <v>1817</v>
      </c>
      <c r="B53" s="3" t="s">
        <v>5431</v>
      </c>
      <c r="C53" s="3" t="s">
        <v>4863</v>
      </c>
      <c r="D53" s="3" t="s">
        <v>1819</v>
      </c>
      <c r="E53" s="3">
        <v>7</v>
      </c>
      <c r="F53" s="3">
        <v>36</v>
      </c>
      <c r="G53" s="3" t="s">
        <v>5432</v>
      </c>
      <c r="H53" s="3">
        <v>29.366</v>
      </c>
      <c r="I53" s="3">
        <v>7</v>
      </c>
      <c r="J53" s="3" t="s">
        <v>5059</v>
      </c>
      <c r="K53" s="3" t="s">
        <v>5060</v>
      </c>
      <c r="L53" s="3" t="s">
        <v>5433</v>
      </c>
      <c r="M53" s="3" t="s">
        <v>5434</v>
      </c>
      <c r="N53" s="3" t="s">
        <v>5435</v>
      </c>
      <c r="O53" s="3" t="s">
        <v>5436</v>
      </c>
      <c r="P53" s="3" t="s">
        <v>5437</v>
      </c>
      <c r="Q53" s="3" t="s">
        <v>5438</v>
      </c>
      <c r="R53" s="3" t="s">
        <v>5067</v>
      </c>
      <c r="S53" s="3" t="s">
        <v>5068</v>
      </c>
      <c r="T53" s="3" t="s">
        <v>5069</v>
      </c>
      <c r="U53" s="3" t="s">
        <v>5070</v>
      </c>
      <c r="V53" s="3"/>
    </row>
    <row r="54" spans="1:22" ht="157.5" customHeight="1" x14ac:dyDescent="0.25">
      <c r="A54" s="2" t="s">
        <v>2137</v>
      </c>
      <c r="B54" s="2" t="s">
        <v>5439</v>
      </c>
      <c r="C54" s="2" t="s">
        <v>4885</v>
      </c>
      <c r="D54" s="2" t="s">
        <v>2139</v>
      </c>
      <c r="E54" s="2">
        <v>27</v>
      </c>
      <c r="F54" s="2">
        <v>36</v>
      </c>
      <c r="G54" s="2" t="s">
        <v>5440</v>
      </c>
      <c r="H54" s="2">
        <v>27.925999999999998</v>
      </c>
      <c r="I54" s="2">
        <v>6</v>
      </c>
      <c r="J54" s="2" t="s">
        <v>5059</v>
      </c>
      <c r="K54" s="2" t="s">
        <v>5060</v>
      </c>
      <c r="L54" s="2" t="s">
        <v>5441</v>
      </c>
      <c r="M54" s="2" t="s">
        <v>5442</v>
      </c>
      <c r="N54" s="2" t="s">
        <v>5443</v>
      </c>
      <c r="O54" s="2" t="s">
        <v>5444</v>
      </c>
      <c r="P54" s="2" t="s">
        <v>5445</v>
      </c>
      <c r="Q54" s="2" t="s">
        <v>5446</v>
      </c>
      <c r="R54" s="2" t="s">
        <v>5067</v>
      </c>
      <c r="S54" s="2" t="s">
        <v>5068</v>
      </c>
      <c r="T54" s="2" t="s">
        <v>5069</v>
      </c>
      <c r="U54" s="2" t="s">
        <v>5070</v>
      </c>
      <c r="V54" s="2"/>
    </row>
    <row r="55" spans="1:22" ht="45" customHeight="1" x14ac:dyDescent="0.25">
      <c r="A55" s="3" t="s">
        <v>2379</v>
      </c>
      <c r="B55" s="3" t="s">
        <v>5447</v>
      </c>
      <c r="C55" s="3" t="s">
        <v>4910</v>
      </c>
      <c r="D55" s="3" t="s">
        <v>2381</v>
      </c>
      <c r="E55" s="3">
        <v>3</v>
      </c>
      <c r="F55" s="3">
        <v>36</v>
      </c>
      <c r="G55" s="3" t="s">
        <v>5448</v>
      </c>
      <c r="H55" s="3">
        <v>31.98368</v>
      </c>
      <c r="I55" s="3">
        <v>8</v>
      </c>
      <c r="J55" s="3" t="s">
        <v>5059</v>
      </c>
      <c r="K55" s="3" t="s">
        <v>5060</v>
      </c>
      <c r="L55" s="3" t="s">
        <v>5449</v>
      </c>
      <c r="M55" s="3" t="s">
        <v>5450</v>
      </c>
      <c r="N55" s="3" t="s">
        <v>5451</v>
      </c>
      <c r="O55" s="3" t="s">
        <v>5452</v>
      </c>
      <c r="P55" s="3" t="s">
        <v>5453</v>
      </c>
      <c r="Q55" s="3" t="s">
        <v>5454</v>
      </c>
      <c r="R55" s="3" t="s">
        <v>5067</v>
      </c>
      <c r="S55" s="3" t="s">
        <v>5068</v>
      </c>
      <c r="T55" s="3" t="s">
        <v>5069</v>
      </c>
      <c r="U55" s="3" t="s">
        <v>5070</v>
      </c>
      <c r="V55" s="3"/>
    </row>
    <row r="56" spans="1:22" ht="67.5" customHeight="1" x14ac:dyDescent="0.25">
      <c r="A56" s="2" t="s">
        <v>1727</v>
      </c>
      <c r="B56" s="2" t="s">
        <v>5455</v>
      </c>
      <c r="C56" s="2" t="s">
        <v>4847</v>
      </c>
      <c r="D56" s="2" t="s">
        <v>1729</v>
      </c>
      <c r="E56" s="2">
        <v>9</v>
      </c>
      <c r="F56" s="2">
        <v>36</v>
      </c>
      <c r="G56" s="2" t="s">
        <v>5456</v>
      </c>
      <c r="H56" s="2">
        <v>29.0792</v>
      </c>
      <c r="I56" s="2">
        <v>7</v>
      </c>
      <c r="J56" s="2" t="s">
        <v>5059</v>
      </c>
      <c r="K56" s="2" t="s">
        <v>5060</v>
      </c>
      <c r="L56" s="2" t="s">
        <v>5457</v>
      </c>
      <c r="M56" s="2" t="s">
        <v>5458</v>
      </c>
      <c r="N56" s="2" t="s">
        <v>5459</v>
      </c>
      <c r="O56" s="2" t="s">
        <v>5460</v>
      </c>
      <c r="P56" s="2" t="s">
        <v>5461</v>
      </c>
      <c r="Q56" s="2" t="s">
        <v>5462</v>
      </c>
      <c r="R56" s="2" t="s">
        <v>5067</v>
      </c>
      <c r="S56" s="2" t="s">
        <v>5068</v>
      </c>
      <c r="T56" s="2" t="s">
        <v>5069</v>
      </c>
      <c r="U56" s="2" t="s">
        <v>5070</v>
      </c>
      <c r="V56" s="2"/>
    </row>
    <row r="57" spans="1:22" ht="56.25" customHeight="1" x14ac:dyDescent="0.25">
      <c r="A57" s="3" t="s">
        <v>2696</v>
      </c>
      <c r="B57" s="3" t="s">
        <v>5463</v>
      </c>
      <c r="C57" s="3" t="s">
        <v>4934</v>
      </c>
      <c r="D57" s="3" t="s">
        <v>2698</v>
      </c>
      <c r="E57" s="3">
        <v>7</v>
      </c>
      <c r="F57" s="3">
        <v>36</v>
      </c>
      <c r="G57" s="3" t="s">
        <v>5464</v>
      </c>
      <c r="H57" s="3">
        <v>27.639199999999999</v>
      </c>
      <c r="I57" s="3">
        <v>6</v>
      </c>
      <c r="J57" s="3" t="s">
        <v>5059</v>
      </c>
      <c r="K57" s="3" t="s">
        <v>5060</v>
      </c>
      <c r="L57" s="3" t="s">
        <v>5465</v>
      </c>
      <c r="M57" s="3" t="s">
        <v>5466</v>
      </c>
      <c r="N57" s="3" t="s">
        <v>5467</v>
      </c>
      <c r="O57" s="3" t="s">
        <v>5468</v>
      </c>
      <c r="P57" s="3" t="s">
        <v>5469</v>
      </c>
      <c r="Q57" s="3" t="s">
        <v>5470</v>
      </c>
      <c r="R57" s="3" t="s">
        <v>5067</v>
      </c>
      <c r="S57" s="3" t="s">
        <v>5068</v>
      </c>
      <c r="T57" s="3" t="s">
        <v>5069</v>
      </c>
      <c r="U57" s="3" t="s">
        <v>5070</v>
      </c>
      <c r="V57" s="3"/>
    </row>
    <row r="58" spans="1:22" ht="45" customHeight="1" x14ac:dyDescent="0.25">
      <c r="A58" s="2" t="s">
        <v>3264</v>
      </c>
      <c r="B58" s="2" t="s">
        <v>3263</v>
      </c>
      <c r="C58" s="2" t="s">
        <v>4969</v>
      </c>
      <c r="D58" s="2" t="s">
        <v>3266</v>
      </c>
      <c r="E58" s="2">
        <v>1</v>
      </c>
      <c r="F58" s="2">
        <v>36</v>
      </c>
      <c r="G58" s="2" t="s">
        <v>5471</v>
      </c>
      <c r="H58" s="2">
        <v>37.795999999999999</v>
      </c>
      <c r="I58" s="2">
        <v>7</v>
      </c>
      <c r="J58" s="2" t="s">
        <v>5059</v>
      </c>
      <c r="K58" s="2" t="s">
        <v>5060</v>
      </c>
      <c r="L58" s="2" t="s">
        <v>5472</v>
      </c>
      <c r="M58" s="2" t="s">
        <v>5473</v>
      </c>
      <c r="N58" s="2" t="s">
        <v>5474</v>
      </c>
      <c r="O58" s="2" t="s">
        <v>5475</v>
      </c>
      <c r="P58" s="2" t="s">
        <v>5476</v>
      </c>
      <c r="Q58" s="2" t="s">
        <v>5477</v>
      </c>
      <c r="R58" s="2" t="s">
        <v>5067</v>
      </c>
      <c r="S58" s="2" t="s">
        <v>5068</v>
      </c>
      <c r="T58" s="2" t="s">
        <v>5069</v>
      </c>
      <c r="U58" s="2" t="s">
        <v>5070</v>
      </c>
      <c r="V58" s="2"/>
    </row>
    <row r="59" spans="1:22" ht="45" customHeight="1" x14ac:dyDescent="0.25">
      <c r="A59" s="3" t="s">
        <v>3062</v>
      </c>
      <c r="B59" s="3" t="s">
        <v>3061</v>
      </c>
      <c r="C59" s="3" t="s">
        <v>4953</v>
      </c>
      <c r="D59" s="3" t="s">
        <v>3064</v>
      </c>
      <c r="E59" s="3">
        <v>1</v>
      </c>
      <c r="F59" s="3">
        <v>36</v>
      </c>
      <c r="G59" s="3" t="s">
        <v>5478</v>
      </c>
      <c r="H59" s="3">
        <v>29.16</v>
      </c>
      <c r="I59" s="3">
        <v>7</v>
      </c>
      <c r="J59" s="3" t="s">
        <v>5059</v>
      </c>
      <c r="K59" s="3" t="s">
        <v>5060</v>
      </c>
      <c r="L59" s="3" t="s">
        <v>5479</v>
      </c>
      <c r="M59" s="3" t="s">
        <v>5480</v>
      </c>
      <c r="N59" s="3" t="s">
        <v>5481</v>
      </c>
      <c r="O59" s="3" t="s">
        <v>5482</v>
      </c>
      <c r="P59" s="3" t="s">
        <v>5483</v>
      </c>
      <c r="Q59" s="3" t="s">
        <v>5484</v>
      </c>
      <c r="R59" s="3" t="s">
        <v>5067</v>
      </c>
      <c r="S59" s="3" t="s">
        <v>5068</v>
      </c>
      <c r="T59" s="3" t="s">
        <v>5069</v>
      </c>
      <c r="U59" s="3" t="s">
        <v>5070</v>
      </c>
      <c r="V59" s="3"/>
    </row>
    <row r="60" spans="1:22" ht="45" customHeight="1" x14ac:dyDescent="0.25">
      <c r="A60" s="2" t="s">
        <v>3945</v>
      </c>
      <c r="B60" s="2" t="s">
        <v>3944</v>
      </c>
      <c r="C60" s="2" t="s">
        <v>5016</v>
      </c>
      <c r="D60" s="2" t="s">
        <v>3947</v>
      </c>
      <c r="E60" s="2">
        <v>1</v>
      </c>
      <c r="F60" s="2">
        <v>36</v>
      </c>
      <c r="G60" s="2" t="s">
        <v>5485</v>
      </c>
      <c r="H60" s="2">
        <v>29.1432</v>
      </c>
      <c r="I60" s="2">
        <v>7</v>
      </c>
      <c r="J60" s="2" t="s">
        <v>5059</v>
      </c>
      <c r="K60" s="2" t="s">
        <v>5060</v>
      </c>
      <c r="L60" s="2" t="s">
        <v>5486</v>
      </c>
      <c r="M60" s="2" t="s">
        <v>5487</v>
      </c>
      <c r="N60" s="2" t="s">
        <v>5488</v>
      </c>
      <c r="O60" s="2" t="s">
        <v>5489</v>
      </c>
      <c r="P60" s="2" t="s">
        <v>5490</v>
      </c>
      <c r="Q60" s="2" t="s">
        <v>5491</v>
      </c>
      <c r="R60" s="2" t="s">
        <v>5067</v>
      </c>
      <c r="S60" s="2" t="s">
        <v>5068</v>
      </c>
      <c r="T60" s="2" t="s">
        <v>5069</v>
      </c>
      <c r="U60" s="2" t="s">
        <v>5070</v>
      </c>
      <c r="V60" s="2"/>
    </row>
    <row r="61" spans="1:22" ht="33.75" customHeight="1" x14ac:dyDescent="0.25">
      <c r="A61" s="3" t="s">
        <v>4165</v>
      </c>
      <c r="B61" s="3" t="s">
        <v>4164</v>
      </c>
      <c r="C61" s="3" t="s">
        <v>5023</v>
      </c>
      <c r="D61" s="3" t="s">
        <v>4167</v>
      </c>
      <c r="E61" s="3">
        <v>1</v>
      </c>
      <c r="F61" s="3">
        <v>36</v>
      </c>
      <c r="G61" s="3" t="s">
        <v>5492</v>
      </c>
      <c r="H61" s="3">
        <v>27.958880000000001</v>
      </c>
      <c r="I61" s="3">
        <v>9</v>
      </c>
      <c r="J61" s="3" t="s">
        <v>5059</v>
      </c>
      <c r="K61" s="3" t="s">
        <v>5124</v>
      </c>
      <c r="L61" s="3" t="s">
        <v>5493</v>
      </c>
      <c r="M61" s="3" t="s">
        <v>5493</v>
      </c>
      <c r="N61" s="3" t="s">
        <v>5494</v>
      </c>
      <c r="O61" s="3" t="s">
        <v>5495</v>
      </c>
      <c r="P61" s="3" t="s">
        <v>5496</v>
      </c>
      <c r="Q61" s="3" t="s">
        <v>5497</v>
      </c>
      <c r="R61" s="3" t="s">
        <v>5067</v>
      </c>
      <c r="S61" s="3" t="s">
        <v>5068</v>
      </c>
      <c r="T61" s="3" t="s">
        <v>5069</v>
      </c>
      <c r="U61" s="3" t="s">
        <v>5070</v>
      </c>
      <c r="V61" s="3"/>
    </row>
    <row r="62" spans="1:22" ht="33.75" customHeight="1" x14ac:dyDescent="0.25">
      <c r="A62" s="2" t="s">
        <v>4171</v>
      </c>
      <c r="B62" s="2" t="s">
        <v>4170</v>
      </c>
      <c r="C62" s="2" t="s">
        <v>5024</v>
      </c>
      <c r="D62" s="2" t="s">
        <v>4173</v>
      </c>
      <c r="E62" s="2">
        <v>1</v>
      </c>
      <c r="F62" s="2">
        <v>36</v>
      </c>
      <c r="G62" s="2" t="s">
        <v>5498</v>
      </c>
      <c r="H62" s="2">
        <v>27.378879999999999</v>
      </c>
      <c r="I62" s="2">
        <v>7</v>
      </c>
      <c r="J62" s="2" t="s">
        <v>5059</v>
      </c>
      <c r="K62" s="2" t="s">
        <v>5124</v>
      </c>
      <c r="L62" s="2" t="s">
        <v>5499</v>
      </c>
      <c r="M62" s="2" t="s">
        <v>5499</v>
      </c>
      <c r="N62" s="2" t="s">
        <v>5500</v>
      </c>
      <c r="O62" s="2" t="s">
        <v>5501</v>
      </c>
      <c r="P62" s="2" t="s">
        <v>5502</v>
      </c>
      <c r="Q62" s="2" t="s">
        <v>5503</v>
      </c>
      <c r="R62" s="2" t="s">
        <v>5067</v>
      </c>
      <c r="S62" s="2" t="s">
        <v>5068</v>
      </c>
      <c r="T62" s="2" t="s">
        <v>5069</v>
      </c>
      <c r="U62" s="2" t="s">
        <v>5070</v>
      </c>
      <c r="V62" s="2"/>
    </row>
    <row r="63" spans="1:22" ht="33.75" customHeight="1" x14ac:dyDescent="0.25">
      <c r="A63" s="3" t="s">
        <v>160</v>
      </c>
      <c r="B63" s="3" t="s">
        <v>159</v>
      </c>
      <c r="C63" s="3" t="s">
        <v>4672</v>
      </c>
      <c r="D63" s="3" t="s">
        <v>162</v>
      </c>
      <c r="E63" s="3">
        <v>1</v>
      </c>
      <c r="F63" s="3">
        <v>36</v>
      </c>
      <c r="G63" s="3" t="s">
        <v>5492</v>
      </c>
      <c r="H63" s="3">
        <v>30.14864</v>
      </c>
      <c r="I63" s="3">
        <v>8</v>
      </c>
      <c r="J63" s="3" t="s">
        <v>5059</v>
      </c>
      <c r="K63" s="3" t="s">
        <v>5124</v>
      </c>
      <c r="L63" s="3" t="s">
        <v>5504</v>
      </c>
      <c r="M63" s="3" t="s">
        <v>5504</v>
      </c>
      <c r="N63" s="3" t="s">
        <v>5505</v>
      </c>
      <c r="O63" s="3" t="s">
        <v>5506</v>
      </c>
      <c r="P63" s="3" t="s">
        <v>5507</v>
      </c>
      <c r="Q63" s="3" t="s">
        <v>5508</v>
      </c>
      <c r="R63" s="3" t="s">
        <v>5067</v>
      </c>
      <c r="S63" s="3" t="s">
        <v>5068</v>
      </c>
      <c r="T63" s="3" t="s">
        <v>5069</v>
      </c>
      <c r="U63" s="3" t="s">
        <v>5070</v>
      </c>
      <c r="V63" s="3"/>
    </row>
    <row r="64" spans="1:22" ht="33.75" customHeight="1" x14ac:dyDescent="0.25">
      <c r="A64" s="2" t="s">
        <v>2308</v>
      </c>
      <c r="B64" s="2" t="s">
        <v>2307</v>
      </c>
      <c r="C64" s="2" t="s">
        <v>4867</v>
      </c>
      <c r="D64" s="2" t="s">
        <v>2310</v>
      </c>
      <c r="E64" s="2">
        <v>1</v>
      </c>
      <c r="F64" s="2">
        <v>36</v>
      </c>
      <c r="G64" s="2" t="s">
        <v>5509</v>
      </c>
      <c r="H64" s="2">
        <v>27.244160000000001</v>
      </c>
      <c r="I64" s="2">
        <v>7</v>
      </c>
      <c r="J64" s="2" t="s">
        <v>5059</v>
      </c>
      <c r="K64" s="2" t="s">
        <v>5124</v>
      </c>
      <c r="L64" s="2" t="s">
        <v>5510</v>
      </c>
      <c r="M64" s="2" t="s">
        <v>5510</v>
      </c>
      <c r="N64" s="2" t="s">
        <v>5511</v>
      </c>
      <c r="O64" s="2" t="s">
        <v>5512</v>
      </c>
      <c r="P64" s="2" t="s">
        <v>5513</v>
      </c>
      <c r="Q64" s="2" t="s">
        <v>5514</v>
      </c>
      <c r="R64" s="2" t="s">
        <v>5067</v>
      </c>
      <c r="S64" s="2" t="s">
        <v>5068</v>
      </c>
      <c r="T64" s="2" t="s">
        <v>5069</v>
      </c>
      <c r="U64" s="2" t="s">
        <v>5070</v>
      </c>
      <c r="V64" s="2"/>
    </row>
    <row r="65" spans="1:22" ht="33.75" customHeight="1" x14ac:dyDescent="0.25">
      <c r="A65" s="3" t="s">
        <v>4143</v>
      </c>
      <c r="B65" s="3" t="s">
        <v>4142</v>
      </c>
      <c r="C65" s="3" t="s">
        <v>4867</v>
      </c>
      <c r="D65" s="3" t="s">
        <v>4145</v>
      </c>
      <c r="E65" s="3">
        <v>1</v>
      </c>
      <c r="F65" s="3">
        <v>36</v>
      </c>
      <c r="G65" s="3" t="s">
        <v>5509</v>
      </c>
      <c r="H65" s="3">
        <v>27.7424</v>
      </c>
      <c r="I65" s="3">
        <v>7</v>
      </c>
      <c r="J65" s="3" t="s">
        <v>5059</v>
      </c>
      <c r="K65" s="3" t="s">
        <v>5124</v>
      </c>
      <c r="L65" s="3" t="s">
        <v>5515</v>
      </c>
      <c r="M65" s="3" t="s">
        <v>5515</v>
      </c>
      <c r="N65" s="3" t="s">
        <v>5516</v>
      </c>
      <c r="O65" s="3" t="s">
        <v>5517</v>
      </c>
      <c r="P65" s="3" t="s">
        <v>5518</v>
      </c>
      <c r="Q65" s="3" t="s">
        <v>5519</v>
      </c>
      <c r="R65" s="3" t="s">
        <v>5067</v>
      </c>
      <c r="S65" s="3" t="s">
        <v>5068</v>
      </c>
      <c r="T65" s="3" t="s">
        <v>5069</v>
      </c>
      <c r="U65" s="3" t="s">
        <v>5070</v>
      </c>
      <c r="V65" s="3"/>
    </row>
    <row r="66" spans="1:22" ht="33.75" customHeight="1" x14ac:dyDescent="0.25">
      <c r="A66" s="2" t="s">
        <v>4517</v>
      </c>
      <c r="B66" s="2" t="s">
        <v>4516</v>
      </c>
      <c r="C66" s="2" t="s">
        <v>4867</v>
      </c>
      <c r="D66" s="2" t="s">
        <v>4519</v>
      </c>
      <c r="E66" s="2">
        <v>1</v>
      </c>
      <c r="F66" s="2">
        <v>36</v>
      </c>
      <c r="G66" s="2" t="s">
        <v>5509</v>
      </c>
      <c r="H66" s="2">
        <v>27.7424</v>
      </c>
      <c r="I66" s="2">
        <v>7</v>
      </c>
      <c r="J66" s="2" t="s">
        <v>5059</v>
      </c>
      <c r="K66" s="2" t="s">
        <v>5124</v>
      </c>
      <c r="L66" s="2" t="s">
        <v>5520</v>
      </c>
      <c r="M66" s="2" t="s">
        <v>5520</v>
      </c>
      <c r="N66" s="2" t="s">
        <v>5521</v>
      </c>
      <c r="O66" s="2" t="s">
        <v>5522</v>
      </c>
      <c r="P66" s="2" t="s">
        <v>5523</v>
      </c>
      <c r="Q66" s="2" t="s">
        <v>5524</v>
      </c>
      <c r="R66" s="2" t="s">
        <v>5067</v>
      </c>
      <c r="S66" s="2" t="s">
        <v>5068</v>
      </c>
      <c r="T66" s="2" t="s">
        <v>5069</v>
      </c>
      <c r="U66" s="2" t="s">
        <v>5070</v>
      </c>
      <c r="V66" s="2"/>
    </row>
    <row r="67" spans="1:22" ht="33.75" customHeight="1" x14ac:dyDescent="0.25">
      <c r="A67" s="3" t="s">
        <v>1866</v>
      </c>
      <c r="B67" s="3" t="s">
        <v>1865</v>
      </c>
      <c r="C67" s="3" t="s">
        <v>4867</v>
      </c>
      <c r="D67" s="3" t="s">
        <v>1868</v>
      </c>
      <c r="E67" s="3">
        <v>1</v>
      </c>
      <c r="F67" s="3">
        <v>36</v>
      </c>
      <c r="G67" s="3" t="s">
        <v>5509</v>
      </c>
      <c r="H67" s="3">
        <v>27.7424</v>
      </c>
      <c r="I67" s="3">
        <v>7</v>
      </c>
      <c r="J67" s="3" t="s">
        <v>5059</v>
      </c>
      <c r="K67" s="3" t="s">
        <v>5124</v>
      </c>
      <c r="L67" s="3" t="s">
        <v>5525</v>
      </c>
      <c r="M67" s="3" t="s">
        <v>5525</v>
      </c>
      <c r="N67" s="3" t="s">
        <v>5526</v>
      </c>
      <c r="O67" s="3" t="s">
        <v>5527</v>
      </c>
      <c r="P67" s="3" t="s">
        <v>5528</v>
      </c>
      <c r="Q67" s="3" t="s">
        <v>5529</v>
      </c>
      <c r="R67" s="3" t="s">
        <v>5067</v>
      </c>
      <c r="S67" s="3" t="s">
        <v>5068</v>
      </c>
      <c r="T67" s="3" t="s">
        <v>5069</v>
      </c>
      <c r="U67" s="3" t="s">
        <v>5070</v>
      </c>
      <c r="V67" s="3"/>
    </row>
    <row r="68" spans="1:22" ht="45" customHeight="1" x14ac:dyDescent="0.25">
      <c r="A68" s="2" t="s">
        <v>3925</v>
      </c>
      <c r="B68" s="2" t="s">
        <v>3924</v>
      </c>
      <c r="C68" s="2" t="s">
        <v>5013</v>
      </c>
      <c r="D68" s="2" t="s">
        <v>3927</v>
      </c>
      <c r="E68" s="2">
        <v>1</v>
      </c>
      <c r="F68" s="2">
        <v>42</v>
      </c>
      <c r="G68" s="2" t="s">
        <v>5530</v>
      </c>
      <c r="H68" s="2">
        <v>44.006799999999998</v>
      </c>
      <c r="I68" s="2">
        <v>8</v>
      </c>
      <c r="J68" s="2" t="s">
        <v>5059</v>
      </c>
      <c r="K68" s="2" t="s">
        <v>5060</v>
      </c>
      <c r="L68" s="2" t="s">
        <v>5531</v>
      </c>
      <c r="M68" s="2" t="s">
        <v>5532</v>
      </c>
      <c r="N68" s="2" t="s">
        <v>5533</v>
      </c>
      <c r="O68" s="2" t="s">
        <v>5534</v>
      </c>
      <c r="P68" s="2" t="s">
        <v>5535</v>
      </c>
      <c r="Q68" s="2" t="s">
        <v>5536</v>
      </c>
      <c r="R68" s="2" t="s">
        <v>5067</v>
      </c>
      <c r="S68" s="2" t="s">
        <v>5068</v>
      </c>
      <c r="T68" s="2" t="s">
        <v>5069</v>
      </c>
      <c r="U68" s="2" t="s">
        <v>5070</v>
      </c>
      <c r="V68" s="2"/>
    </row>
    <row r="69" spans="1:22" ht="168.75" customHeight="1" x14ac:dyDescent="0.25">
      <c r="A69" s="3" t="s">
        <v>830</v>
      </c>
      <c r="B69" s="3" t="s">
        <v>5537</v>
      </c>
      <c r="C69" s="3" t="s">
        <v>4797</v>
      </c>
      <c r="D69" s="3" t="s">
        <v>832</v>
      </c>
      <c r="E69" s="3">
        <v>30</v>
      </c>
      <c r="F69" s="3">
        <v>42</v>
      </c>
      <c r="G69" s="3" t="s">
        <v>5538</v>
      </c>
      <c r="H69" s="3">
        <v>27.925999999999998</v>
      </c>
      <c r="I69" s="3">
        <v>6</v>
      </c>
      <c r="J69" s="3" t="s">
        <v>5059</v>
      </c>
      <c r="K69" s="3" t="s">
        <v>5060</v>
      </c>
      <c r="L69" s="3" t="s">
        <v>5539</v>
      </c>
      <c r="M69" s="3" t="s">
        <v>5540</v>
      </c>
      <c r="N69" s="3" t="s">
        <v>5541</v>
      </c>
      <c r="O69" s="3" t="s">
        <v>5542</v>
      </c>
      <c r="P69" s="3" t="s">
        <v>5543</v>
      </c>
      <c r="Q69" s="3" t="s">
        <v>5544</v>
      </c>
      <c r="R69" s="3" t="s">
        <v>5067</v>
      </c>
      <c r="S69" s="3" t="s">
        <v>5068</v>
      </c>
      <c r="T69" s="3" t="s">
        <v>5069</v>
      </c>
      <c r="U69" s="3" t="s">
        <v>5070</v>
      </c>
      <c r="V69" s="3"/>
    </row>
    <row r="70" spans="1:22" ht="45" customHeight="1" x14ac:dyDescent="0.25">
      <c r="A70" s="2" t="s">
        <v>1723</v>
      </c>
      <c r="B70" s="2" t="s">
        <v>5545</v>
      </c>
      <c r="C70" s="2" t="s">
        <v>4846</v>
      </c>
      <c r="D70" s="2" t="s">
        <v>1725</v>
      </c>
      <c r="E70" s="2">
        <v>7</v>
      </c>
      <c r="F70" s="2">
        <v>42</v>
      </c>
      <c r="G70" s="2" t="s">
        <v>5546</v>
      </c>
      <c r="H70" s="2">
        <v>29.0672</v>
      </c>
      <c r="I70" s="2">
        <v>7</v>
      </c>
      <c r="J70" s="2" t="s">
        <v>5059</v>
      </c>
      <c r="K70" s="2" t="s">
        <v>5060</v>
      </c>
      <c r="L70" s="2" t="s">
        <v>5547</v>
      </c>
      <c r="M70" s="2" t="s">
        <v>5548</v>
      </c>
      <c r="N70" s="2" t="s">
        <v>5549</v>
      </c>
      <c r="O70" s="2" t="s">
        <v>5550</v>
      </c>
      <c r="P70" s="2" t="s">
        <v>5551</v>
      </c>
      <c r="Q70" s="2" t="s">
        <v>5552</v>
      </c>
      <c r="R70" s="2" t="s">
        <v>5067</v>
      </c>
      <c r="S70" s="2" t="s">
        <v>5068</v>
      </c>
      <c r="T70" s="2" t="s">
        <v>5069</v>
      </c>
      <c r="U70" s="2" t="s">
        <v>5070</v>
      </c>
      <c r="V70" s="2"/>
    </row>
    <row r="71" spans="1:22" ht="78.75" customHeight="1" x14ac:dyDescent="0.25">
      <c r="A71" s="3" t="s">
        <v>1884</v>
      </c>
      <c r="B71" s="3" t="s">
        <v>5553</v>
      </c>
      <c r="C71" s="3" t="s">
        <v>4871</v>
      </c>
      <c r="D71" s="3" t="s">
        <v>1886</v>
      </c>
      <c r="E71" s="3">
        <v>7</v>
      </c>
      <c r="F71" s="3">
        <v>42</v>
      </c>
      <c r="G71" s="3" t="s">
        <v>5554</v>
      </c>
      <c r="H71" s="3">
        <v>27.639199999999999</v>
      </c>
      <c r="I71" s="3">
        <v>6</v>
      </c>
      <c r="J71" s="3" t="s">
        <v>5059</v>
      </c>
      <c r="K71" s="3" t="s">
        <v>5060</v>
      </c>
      <c r="L71" s="3" t="s">
        <v>5555</v>
      </c>
      <c r="M71" s="3" t="s">
        <v>5556</v>
      </c>
      <c r="N71" s="3" t="s">
        <v>5557</v>
      </c>
      <c r="O71" s="3" t="s">
        <v>5558</v>
      </c>
      <c r="P71" s="3" t="s">
        <v>5559</v>
      </c>
      <c r="Q71" s="3" t="s">
        <v>5560</v>
      </c>
      <c r="R71" s="3" t="s">
        <v>5067</v>
      </c>
      <c r="S71" s="3" t="s">
        <v>5068</v>
      </c>
      <c r="T71" s="3" t="s">
        <v>5069</v>
      </c>
      <c r="U71" s="3" t="s">
        <v>5070</v>
      </c>
      <c r="V71" s="3"/>
    </row>
    <row r="72" spans="1:22" ht="45" customHeight="1" x14ac:dyDescent="0.25">
      <c r="A72" s="2" t="s">
        <v>1763</v>
      </c>
      <c r="B72" s="2" t="s">
        <v>1762</v>
      </c>
      <c r="C72" s="2" t="s">
        <v>4854</v>
      </c>
      <c r="D72" s="2" t="s">
        <v>1765</v>
      </c>
      <c r="E72" s="2">
        <v>1</v>
      </c>
      <c r="F72" s="2">
        <v>42</v>
      </c>
      <c r="G72" s="2" t="s">
        <v>5561</v>
      </c>
      <c r="H72" s="2">
        <v>41.020940000000003</v>
      </c>
      <c r="I72" s="2">
        <v>8</v>
      </c>
      <c r="J72" s="2" t="s">
        <v>5059</v>
      </c>
      <c r="K72" s="2" t="s">
        <v>5060</v>
      </c>
      <c r="L72" s="2" t="s">
        <v>5562</v>
      </c>
      <c r="M72" s="2" t="s">
        <v>5563</v>
      </c>
      <c r="N72" s="2" t="s">
        <v>5564</v>
      </c>
      <c r="O72" s="2" t="s">
        <v>5565</v>
      </c>
      <c r="P72" s="2" t="s">
        <v>5566</v>
      </c>
      <c r="Q72" s="2" t="s">
        <v>5567</v>
      </c>
      <c r="R72" s="2" t="s">
        <v>5067</v>
      </c>
      <c r="S72" s="2" t="s">
        <v>5068</v>
      </c>
      <c r="T72" s="2" t="s">
        <v>5069</v>
      </c>
      <c r="U72" s="2" t="s">
        <v>5070</v>
      </c>
      <c r="V72" s="2"/>
    </row>
    <row r="73" spans="1:22" ht="56.25" customHeight="1" x14ac:dyDescent="0.25">
      <c r="A73" s="3" t="s">
        <v>2783</v>
      </c>
      <c r="B73" s="3" t="s">
        <v>2782</v>
      </c>
      <c r="C73" s="3" t="s">
        <v>4945</v>
      </c>
      <c r="D73" s="3" t="s">
        <v>2785</v>
      </c>
      <c r="E73" s="3">
        <v>1</v>
      </c>
      <c r="F73" s="3">
        <v>42</v>
      </c>
      <c r="G73" s="3" t="s">
        <v>5568</v>
      </c>
      <c r="H73" s="3">
        <v>46.286000000000001</v>
      </c>
      <c r="I73" s="3">
        <v>7</v>
      </c>
      <c r="J73" s="3" t="s">
        <v>5059</v>
      </c>
      <c r="K73" s="3" t="s">
        <v>5060</v>
      </c>
      <c r="L73" s="3" t="s">
        <v>5569</v>
      </c>
      <c r="M73" s="3" t="s">
        <v>5570</v>
      </c>
      <c r="N73" s="3" t="s">
        <v>5571</v>
      </c>
      <c r="O73" s="3" t="s">
        <v>5572</v>
      </c>
      <c r="P73" s="3" t="s">
        <v>5573</v>
      </c>
      <c r="Q73" s="3" t="s">
        <v>5574</v>
      </c>
      <c r="R73" s="3" t="s">
        <v>5067</v>
      </c>
      <c r="S73" s="3" t="s">
        <v>5068</v>
      </c>
      <c r="T73" s="3" t="s">
        <v>5069</v>
      </c>
      <c r="U73" s="3" t="s">
        <v>5070</v>
      </c>
      <c r="V73" s="3"/>
    </row>
    <row r="74" spans="1:22" ht="45" customHeight="1" x14ac:dyDescent="0.25">
      <c r="A74" s="2" t="s">
        <v>3058</v>
      </c>
      <c r="B74" s="2" t="s">
        <v>3057</v>
      </c>
      <c r="C74" s="2" t="s">
        <v>4952</v>
      </c>
      <c r="D74" s="2" t="s">
        <v>3060</v>
      </c>
      <c r="E74" s="2">
        <v>1</v>
      </c>
      <c r="F74" s="2">
        <v>42</v>
      </c>
      <c r="G74" s="2" t="s">
        <v>5575</v>
      </c>
      <c r="H74" s="2">
        <v>29.323</v>
      </c>
      <c r="I74" s="2">
        <v>7</v>
      </c>
      <c r="J74" s="2" t="s">
        <v>5059</v>
      </c>
      <c r="K74" s="2" t="s">
        <v>5060</v>
      </c>
      <c r="L74" s="2" t="s">
        <v>5576</v>
      </c>
      <c r="M74" s="2" t="s">
        <v>5577</v>
      </c>
      <c r="N74" s="2" t="s">
        <v>5578</v>
      </c>
      <c r="O74" s="2" t="s">
        <v>5579</v>
      </c>
      <c r="P74" s="2" t="s">
        <v>5580</v>
      </c>
      <c r="Q74" s="2" t="s">
        <v>5581</v>
      </c>
      <c r="R74" s="2" t="s">
        <v>5067</v>
      </c>
      <c r="S74" s="2" t="s">
        <v>5068</v>
      </c>
      <c r="T74" s="2" t="s">
        <v>5069</v>
      </c>
      <c r="U74" s="2" t="s">
        <v>5070</v>
      </c>
      <c r="V74" s="2"/>
    </row>
    <row r="75" spans="1:22" ht="45" customHeight="1" x14ac:dyDescent="0.25">
      <c r="A75" s="3" t="s">
        <v>3941</v>
      </c>
      <c r="B75" s="3" t="s">
        <v>3940</v>
      </c>
      <c r="C75" s="3" t="s">
        <v>5015</v>
      </c>
      <c r="D75" s="3" t="s">
        <v>3943</v>
      </c>
      <c r="E75" s="3">
        <v>1</v>
      </c>
      <c r="F75" s="3">
        <v>42</v>
      </c>
      <c r="G75" s="3" t="s">
        <v>5582</v>
      </c>
      <c r="H75" s="3">
        <v>29.3062</v>
      </c>
      <c r="I75" s="3">
        <v>7</v>
      </c>
      <c r="J75" s="3" t="s">
        <v>5059</v>
      </c>
      <c r="K75" s="3" t="s">
        <v>5060</v>
      </c>
      <c r="L75" s="3" t="s">
        <v>5583</v>
      </c>
      <c r="M75" s="3" t="s">
        <v>5584</v>
      </c>
      <c r="N75" s="3" t="s">
        <v>5585</v>
      </c>
      <c r="O75" s="3" t="s">
        <v>5586</v>
      </c>
      <c r="P75" s="3" t="s">
        <v>5587</v>
      </c>
      <c r="Q75" s="3" t="s">
        <v>5588</v>
      </c>
      <c r="R75" s="3" t="s">
        <v>5067</v>
      </c>
      <c r="S75" s="3" t="s">
        <v>5068</v>
      </c>
      <c r="T75" s="3" t="s">
        <v>5069</v>
      </c>
      <c r="U75" s="3" t="s">
        <v>5070</v>
      </c>
      <c r="V75" s="3"/>
    </row>
    <row r="76" spans="1:22" ht="67.5" customHeight="1" x14ac:dyDescent="0.25">
      <c r="A76" s="2" t="s">
        <v>356</v>
      </c>
      <c r="B76" s="2" t="s">
        <v>5589</v>
      </c>
      <c r="C76" s="2" t="s">
        <v>4716</v>
      </c>
      <c r="D76" s="2" t="s">
        <v>358</v>
      </c>
      <c r="E76" s="2">
        <v>11</v>
      </c>
      <c r="F76" s="2">
        <v>42</v>
      </c>
      <c r="G76" s="2" t="s">
        <v>5590</v>
      </c>
      <c r="H76" s="2">
        <v>29.5992</v>
      </c>
      <c r="I76" s="2">
        <v>7</v>
      </c>
      <c r="J76" s="2" t="s">
        <v>5059</v>
      </c>
      <c r="K76" s="2" t="s">
        <v>5060</v>
      </c>
      <c r="L76" s="2" t="s">
        <v>5591</v>
      </c>
      <c r="M76" s="2" t="s">
        <v>5592</v>
      </c>
      <c r="N76" s="2" t="s">
        <v>5593</v>
      </c>
      <c r="O76" s="2" t="s">
        <v>5594</v>
      </c>
      <c r="P76" s="2" t="s">
        <v>5595</v>
      </c>
      <c r="Q76" s="2" t="s">
        <v>5596</v>
      </c>
      <c r="R76" s="2" t="s">
        <v>5067</v>
      </c>
      <c r="S76" s="2" t="s">
        <v>5068</v>
      </c>
      <c r="T76" s="2" t="s">
        <v>5069</v>
      </c>
      <c r="U76" s="2" t="s">
        <v>5070</v>
      </c>
      <c r="V76" s="2"/>
    </row>
    <row r="77" spans="1:22" ht="45" customHeight="1" x14ac:dyDescent="0.25">
      <c r="A77" s="3" t="s">
        <v>515</v>
      </c>
      <c r="B77" s="3" t="s">
        <v>5597</v>
      </c>
      <c r="C77" s="3" t="s">
        <v>4749</v>
      </c>
      <c r="D77" s="3" t="s">
        <v>517</v>
      </c>
      <c r="E77" s="3">
        <v>6</v>
      </c>
      <c r="F77" s="3">
        <v>42</v>
      </c>
      <c r="G77" s="3" t="s">
        <v>5598</v>
      </c>
      <c r="H77" s="3">
        <v>29.3124</v>
      </c>
      <c r="I77" s="3">
        <v>5</v>
      </c>
      <c r="J77" s="3" t="s">
        <v>5059</v>
      </c>
      <c r="K77" s="3" t="s">
        <v>5060</v>
      </c>
      <c r="L77" s="3" t="s">
        <v>5599</v>
      </c>
      <c r="M77" s="3" t="s">
        <v>5600</v>
      </c>
      <c r="N77" s="3" t="s">
        <v>5601</v>
      </c>
      <c r="O77" s="3" t="s">
        <v>5602</v>
      </c>
      <c r="P77" s="3" t="s">
        <v>5603</v>
      </c>
      <c r="Q77" s="3" t="s">
        <v>5604</v>
      </c>
      <c r="R77" s="3" t="s">
        <v>5067</v>
      </c>
      <c r="S77" s="3" t="s">
        <v>5068</v>
      </c>
      <c r="T77" s="3" t="s">
        <v>5069</v>
      </c>
      <c r="U77" s="3" t="s">
        <v>5070</v>
      </c>
      <c r="V77" s="3"/>
    </row>
    <row r="78" spans="1:22" ht="67.5" customHeight="1" x14ac:dyDescent="0.25">
      <c r="A78" s="2" t="s">
        <v>1329</v>
      </c>
      <c r="B78" s="2" t="s">
        <v>1328</v>
      </c>
      <c r="C78" s="2" t="s">
        <v>4820</v>
      </c>
      <c r="D78" s="2" t="s">
        <v>1331</v>
      </c>
      <c r="E78" s="2">
        <v>1</v>
      </c>
      <c r="F78" s="2">
        <v>42</v>
      </c>
      <c r="G78" s="2" t="s">
        <v>5605</v>
      </c>
      <c r="H78" s="2">
        <v>28.417000000000002</v>
      </c>
      <c r="I78" s="2">
        <v>6</v>
      </c>
      <c r="J78" s="2" t="s">
        <v>5059</v>
      </c>
      <c r="K78" s="2" t="s">
        <v>5060</v>
      </c>
      <c r="L78" s="2" t="s">
        <v>5606</v>
      </c>
      <c r="M78" s="2" t="s">
        <v>5607</v>
      </c>
      <c r="N78" s="2" t="s">
        <v>5608</v>
      </c>
      <c r="O78" s="2" t="s">
        <v>5609</v>
      </c>
      <c r="P78" s="2" t="s">
        <v>5610</v>
      </c>
      <c r="Q78" s="2" t="s">
        <v>5611</v>
      </c>
      <c r="R78" s="2" t="s">
        <v>5067</v>
      </c>
      <c r="S78" s="2" t="s">
        <v>5068</v>
      </c>
      <c r="T78" s="2" t="s">
        <v>5069</v>
      </c>
      <c r="U78" s="2" t="s">
        <v>5070</v>
      </c>
      <c r="V78" s="2"/>
    </row>
    <row r="79" spans="1:22" ht="45" customHeight="1" x14ac:dyDescent="0.25">
      <c r="A79" s="3" t="s">
        <v>2898</v>
      </c>
      <c r="B79" s="3" t="s">
        <v>2897</v>
      </c>
      <c r="C79" s="3" t="s">
        <v>4947</v>
      </c>
      <c r="D79" s="3" t="s">
        <v>2900</v>
      </c>
      <c r="E79" s="3">
        <v>1</v>
      </c>
      <c r="F79" s="3">
        <v>42</v>
      </c>
      <c r="G79" s="3" t="s">
        <v>5612</v>
      </c>
      <c r="H79" s="3">
        <v>28.617000000000001</v>
      </c>
      <c r="I79" s="3">
        <v>6</v>
      </c>
      <c r="J79" s="3" t="s">
        <v>5059</v>
      </c>
      <c r="K79" s="3" t="s">
        <v>5060</v>
      </c>
      <c r="L79" s="3" t="s">
        <v>5613</v>
      </c>
      <c r="M79" s="3" t="s">
        <v>5614</v>
      </c>
      <c r="N79" s="3" t="s">
        <v>5615</v>
      </c>
      <c r="O79" s="3" t="s">
        <v>5616</v>
      </c>
      <c r="P79" s="3" t="s">
        <v>5617</v>
      </c>
      <c r="Q79" s="3" t="s">
        <v>5618</v>
      </c>
      <c r="R79" s="3" t="s">
        <v>5067</v>
      </c>
      <c r="S79" s="3" t="s">
        <v>5068</v>
      </c>
      <c r="T79" s="3" t="s">
        <v>5069</v>
      </c>
      <c r="U79" s="3" t="s">
        <v>5070</v>
      </c>
      <c r="V79" s="3"/>
    </row>
    <row r="80" spans="1:22" ht="33.75" customHeight="1" x14ac:dyDescent="0.25">
      <c r="A80" s="2" t="s">
        <v>1813</v>
      </c>
      <c r="B80" s="2" t="s">
        <v>5619</v>
      </c>
      <c r="C80" s="2" t="s">
        <v>4862</v>
      </c>
      <c r="D80" s="2" t="s">
        <v>1815</v>
      </c>
      <c r="E80" s="2">
        <v>4</v>
      </c>
      <c r="F80" s="2">
        <v>42</v>
      </c>
      <c r="G80" s="2" t="s">
        <v>5620</v>
      </c>
      <c r="H80" s="2">
        <v>27.785360000000001</v>
      </c>
      <c r="I80" s="2">
        <v>8</v>
      </c>
      <c r="J80" s="2" t="s">
        <v>5059</v>
      </c>
      <c r="K80" s="2" t="s">
        <v>5124</v>
      </c>
      <c r="L80" s="2" t="s">
        <v>5621</v>
      </c>
      <c r="M80" s="2" t="s">
        <v>5621</v>
      </c>
      <c r="N80" s="2" t="s">
        <v>5622</v>
      </c>
      <c r="O80" s="2" t="s">
        <v>5623</v>
      </c>
      <c r="P80" s="2" t="s">
        <v>5624</v>
      </c>
      <c r="Q80" s="2" t="s">
        <v>5625</v>
      </c>
      <c r="R80" s="2" t="s">
        <v>5067</v>
      </c>
      <c r="S80" s="2" t="s">
        <v>5068</v>
      </c>
      <c r="T80" s="2" t="s">
        <v>5069</v>
      </c>
      <c r="U80" s="2" t="s">
        <v>5070</v>
      </c>
      <c r="V80" s="2"/>
    </row>
    <row r="81" spans="1:22" ht="45" customHeight="1" x14ac:dyDescent="0.25">
      <c r="A81" s="3" t="s">
        <v>3230</v>
      </c>
      <c r="B81" s="3" t="s">
        <v>3229</v>
      </c>
      <c r="C81" s="3" t="s">
        <v>4965</v>
      </c>
      <c r="D81" s="3" t="s">
        <v>3232</v>
      </c>
      <c r="E81" s="3">
        <v>1</v>
      </c>
      <c r="F81" s="3">
        <v>44</v>
      </c>
      <c r="G81" s="3" t="s">
        <v>5626</v>
      </c>
      <c r="H81" s="3">
        <v>39.356000000000002</v>
      </c>
      <c r="I81" s="3">
        <v>7</v>
      </c>
      <c r="J81" s="3" t="s">
        <v>5059</v>
      </c>
      <c r="K81" s="3" t="s">
        <v>5060</v>
      </c>
      <c r="L81" s="3" t="s">
        <v>5627</v>
      </c>
      <c r="M81" s="3" t="s">
        <v>5628</v>
      </c>
      <c r="N81" s="3" t="s">
        <v>5629</v>
      </c>
      <c r="O81" s="3" t="s">
        <v>5630</v>
      </c>
      <c r="P81" s="3" t="s">
        <v>5631</v>
      </c>
      <c r="Q81" s="3" t="s">
        <v>5632</v>
      </c>
      <c r="R81" s="3" t="s">
        <v>5067</v>
      </c>
      <c r="S81" s="3" t="s">
        <v>5068</v>
      </c>
      <c r="T81" s="3" t="s">
        <v>5069</v>
      </c>
      <c r="U81" s="3" t="s">
        <v>5070</v>
      </c>
      <c r="V81" s="3"/>
    </row>
    <row r="82" spans="1:22" ht="45" customHeight="1" x14ac:dyDescent="0.25">
      <c r="A82" s="2" t="s">
        <v>3019</v>
      </c>
      <c r="B82" s="2" t="s">
        <v>5633</v>
      </c>
      <c r="C82" s="2" t="s">
        <v>4949</v>
      </c>
      <c r="D82" s="2" t="s">
        <v>3021</v>
      </c>
      <c r="E82" s="2">
        <v>6</v>
      </c>
      <c r="F82" s="2">
        <v>45</v>
      </c>
      <c r="G82" s="2" t="s">
        <v>5634</v>
      </c>
      <c r="H82" s="2">
        <v>27.925999999999998</v>
      </c>
      <c r="I82" s="2">
        <v>6</v>
      </c>
      <c r="J82" s="2" t="s">
        <v>5059</v>
      </c>
      <c r="K82" s="2" t="s">
        <v>5060</v>
      </c>
      <c r="L82" s="2" t="s">
        <v>5635</v>
      </c>
      <c r="M82" s="2" t="s">
        <v>5636</v>
      </c>
      <c r="N82" s="2" t="s">
        <v>5637</v>
      </c>
      <c r="O82" s="2" t="s">
        <v>5638</v>
      </c>
      <c r="P82" s="2" t="s">
        <v>5639</v>
      </c>
      <c r="Q82" s="2" t="s">
        <v>5640</v>
      </c>
      <c r="R82" s="2" t="s">
        <v>5067</v>
      </c>
      <c r="S82" s="2" t="s">
        <v>5068</v>
      </c>
      <c r="T82" s="2" t="s">
        <v>5069</v>
      </c>
      <c r="U82" s="2" t="s">
        <v>5070</v>
      </c>
      <c r="V82" s="2"/>
    </row>
    <row r="83" spans="1:22" ht="45" customHeight="1" x14ac:dyDescent="0.25">
      <c r="A83" s="3" t="s">
        <v>3291</v>
      </c>
      <c r="B83" s="3" t="s">
        <v>3290</v>
      </c>
      <c r="C83" s="3" t="s">
        <v>4974</v>
      </c>
      <c r="D83" s="3" t="s">
        <v>3293</v>
      </c>
      <c r="E83" s="3">
        <v>1</v>
      </c>
      <c r="F83" s="3">
        <v>45</v>
      </c>
      <c r="G83" s="3" t="s">
        <v>5641</v>
      </c>
      <c r="H83" s="3">
        <v>43.915999999999997</v>
      </c>
      <c r="I83" s="3">
        <v>7</v>
      </c>
      <c r="J83" s="3" t="s">
        <v>5059</v>
      </c>
      <c r="K83" s="3" t="s">
        <v>5060</v>
      </c>
      <c r="L83" s="3" t="s">
        <v>5642</v>
      </c>
      <c r="M83" s="3" t="s">
        <v>5643</v>
      </c>
      <c r="N83" s="3" t="s">
        <v>5644</v>
      </c>
      <c r="O83" s="3" t="s">
        <v>5645</v>
      </c>
      <c r="P83" s="3" t="s">
        <v>5646</v>
      </c>
      <c r="Q83" s="3" t="s">
        <v>5647</v>
      </c>
      <c r="R83" s="3" t="s">
        <v>5067</v>
      </c>
      <c r="S83" s="3" t="s">
        <v>5068</v>
      </c>
      <c r="T83" s="3" t="s">
        <v>5069</v>
      </c>
      <c r="U83" s="3" t="s">
        <v>5070</v>
      </c>
      <c r="V83" s="3"/>
    </row>
    <row r="84" spans="1:22" ht="56.25" customHeight="1" x14ac:dyDescent="0.25">
      <c r="A84" s="2" t="s">
        <v>2357</v>
      </c>
      <c r="B84" s="2" t="s">
        <v>2356</v>
      </c>
      <c r="C84" s="2" t="s">
        <v>4906</v>
      </c>
      <c r="D84" s="2" t="s">
        <v>2359</v>
      </c>
      <c r="E84" s="2">
        <v>1</v>
      </c>
      <c r="F84" s="2">
        <v>45</v>
      </c>
      <c r="G84" s="2" t="s">
        <v>5648</v>
      </c>
      <c r="H84" s="2">
        <v>44.335999999999999</v>
      </c>
      <c r="I84" s="2">
        <v>7</v>
      </c>
      <c r="J84" s="2" t="s">
        <v>5059</v>
      </c>
      <c r="K84" s="2" t="s">
        <v>5060</v>
      </c>
      <c r="L84" s="2" t="s">
        <v>5649</v>
      </c>
      <c r="M84" s="2" t="s">
        <v>5650</v>
      </c>
      <c r="N84" s="2" t="s">
        <v>5651</v>
      </c>
      <c r="O84" s="2" t="s">
        <v>5652</v>
      </c>
      <c r="P84" s="2" t="s">
        <v>5653</v>
      </c>
      <c r="Q84" s="2" t="s">
        <v>5654</v>
      </c>
      <c r="R84" s="2" t="s">
        <v>5067</v>
      </c>
      <c r="S84" s="2" t="s">
        <v>5068</v>
      </c>
      <c r="T84" s="2" t="s">
        <v>5069</v>
      </c>
      <c r="U84" s="2" t="s">
        <v>5070</v>
      </c>
      <c r="V84" s="2"/>
    </row>
    <row r="85" spans="1:22" ht="56.25" customHeight="1" x14ac:dyDescent="0.25">
      <c r="A85" s="3" t="s">
        <v>2779</v>
      </c>
      <c r="B85" s="3" t="s">
        <v>2778</v>
      </c>
      <c r="C85" s="3" t="s">
        <v>4944</v>
      </c>
      <c r="D85" s="3" t="s">
        <v>2781</v>
      </c>
      <c r="E85" s="3">
        <v>1</v>
      </c>
      <c r="F85" s="3">
        <v>45</v>
      </c>
      <c r="G85" s="3" t="s">
        <v>5655</v>
      </c>
      <c r="H85" s="3">
        <v>44.335999999999999</v>
      </c>
      <c r="I85" s="3">
        <v>7</v>
      </c>
      <c r="J85" s="3" t="s">
        <v>5059</v>
      </c>
      <c r="K85" s="3" t="s">
        <v>5060</v>
      </c>
      <c r="L85" s="3" t="s">
        <v>5656</v>
      </c>
      <c r="M85" s="3" t="s">
        <v>5657</v>
      </c>
      <c r="N85" s="3" t="s">
        <v>5658</v>
      </c>
      <c r="O85" s="3" t="s">
        <v>5659</v>
      </c>
      <c r="P85" s="3" t="s">
        <v>5660</v>
      </c>
      <c r="Q85" s="3" t="s">
        <v>5661</v>
      </c>
      <c r="R85" s="3" t="s">
        <v>5067</v>
      </c>
      <c r="S85" s="3" t="s">
        <v>5068</v>
      </c>
      <c r="T85" s="3" t="s">
        <v>5069</v>
      </c>
      <c r="U85" s="3" t="s">
        <v>5070</v>
      </c>
      <c r="V85" s="3"/>
    </row>
    <row r="86" spans="1:22" ht="90" customHeight="1" x14ac:dyDescent="0.25">
      <c r="A86" s="2" t="s">
        <v>3733</v>
      </c>
      <c r="B86" s="2" t="s">
        <v>3732</v>
      </c>
      <c r="C86" s="2" t="s">
        <v>4996</v>
      </c>
      <c r="D86" s="2" t="s">
        <v>3735</v>
      </c>
      <c r="E86" s="2">
        <v>1</v>
      </c>
      <c r="F86" s="2">
        <v>45</v>
      </c>
      <c r="G86" s="2" t="s">
        <v>5662</v>
      </c>
      <c r="H86" s="2">
        <v>28.206</v>
      </c>
      <c r="I86" s="2">
        <v>6</v>
      </c>
      <c r="J86" s="2" t="s">
        <v>5059</v>
      </c>
      <c r="K86" s="2" t="s">
        <v>5060</v>
      </c>
      <c r="L86" s="2" t="s">
        <v>5663</v>
      </c>
      <c r="M86" s="2" t="s">
        <v>5664</v>
      </c>
      <c r="N86" s="2" t="s">
        <v>5665</v>
      </c>
      <c r="O86" s="2" t="s">
        <v>5666</v>
      </c>
      <c r="P86" s="2" t="s">
        <v>5667</v>
      </c>
      <c r="Q86" s="2" t="s">
        <v>5668</v>
      </c>
      <c r="R86" s="2" t="s">
        <v>5067</v>
      </c>
      <c r="S86" s="2" t="s">
        <v>5068</v>
      </c>
      <c r="T86" s="2" t="s">
        <v>5069</v>
      </c>
      <c r="U86" s="2" t="s">
        <v>5070</v>
      </c>
      <c r="V86" s="2"/>
    </row>
    <row r="87" spans="1:22" ht="101.25" customHeight="1" x14ac:dyDescent="0.25">
      <c r="A87" s="3" t="s">
        <v>120</v>
      </c>
      <c r="B87" s="3" t="s">
        <v>5669</v>
      </c>
      <c r="C87" s="3" t="s">
        <v>4662</v>
      </c>
      <c r="D87" s="3" t="s">
        <v>122</v>
      </c>
      <c r="E87" s="3">
        <v>18</v>
      </c>
      <c r="F87" s="3">
        <v>45</v>
      </c>
      <c r="G87" s="3" t="s">
        <v>5670</v>
      </c>
      <c r="H87" s="3">
        <v>33.349800000000002</v>
      </c>
      <c r="I87" s="3">
        <v>8</v>
      </c>
      <c r="J87" s="3" t="s">
        <v>5059</v>
      </c>
      <c r="K87" s="3" t="s">
        <v>5060</v>
      </c>
      <c r="L87" s="3" t="s">
        <v>5671</v>
      </c>
      <c r="M87" s="3" t="s">
        <v>5672</v>
      </c>
      <c r="N87" s="3" t="s">
        <v>5673</v>
      </c>
      <c r="O87" s="3" t="s">
        <v>5674</v>
      </c>
      <c r="P87" s="3" t="s">
        <v>5675</v>
      </c>
      <c r="Q87" s="3" t="s">
        <v>5676</v>
      </c>
      <c r="R87" s="3" t="s">
        <v>5067</v>
      </c>
      <c r="S87" s="3" t="s">
        <v>5068</v>
      </c>
      <c r="T87" s="3" t="s">
        <v>5069</v>
      </c>
      <c r="U87" s="3" t="s">
        <v>5070</v>
      </c>
      <c r="V87" s="3"/>
    </row>
    <row r="88" spans="1:22" ht="67.5" customHeight="1" x14ac:dyDescent="0.25">
      <c r="A88" s="2" t="s">
        <v>3640</v>
      </c>
      <c r="B88" s="2" t="s">
        <v>3639</v>
      </c>
      <c r="C88" s="2" t="s">
        <v>4990</v>
      </c>
      <c r="D88" s="2" t="s">
        <v>3642</v>
      </c>
      <c r="E88" s="2">
        <v>1</v>
      </c>
      <c r="F88" s="2">
        <v>45</v>
      </c>
      <c r="G88" s="2" t="s">
        <v>5677</v>
      </c>
      <c r="H88" s="2">
        <v>27.9192</v>
      </c>
      <c r="I88" s="2">
        <v>6</v>
      </c>
      <c r="J88" s="2" t="s">
        <v>5059</v>
      </c>
      <c r="K88" s="2" t="s">
        <v>5060</v>
      </c>
      <c r="L88" s="2" t="s">
        <v>5678</v>
      </c>
      <c r="M88" s="2" t="s">
        <v>5679</v>
      </c>
      <c r="N88" s="2" t="s">
        <v>5680</v>
      </c>
      <c r="O88" s="2" t="s">
        <v>5681</v>
      </c>
      <c r="P88" s="2" t="s">
        <v>5682</v>
      </c>
      <c r="Q88" s="2" t="s">
        <v>5683</v>
      </c>
      <c r="R88" s="2" t="s">
        <v>5067</v>
      </c>
      <c r="S88" s="2" t="s">
        <v>5068</v>
      </c>
      <c r="T88" s="2" t="s">
        <v>5069</v>
      </c>
      <c r="U88" s="2" t="s">
        <v>5070</v>
      </c>
      <c r="V88" s="2"/>
    </row>
    <row r="89" spans="1:22" ht="45" customHeight="1" x14ac:dyDescent="0.25">
      <c r="A89" s="3" t="s">
        <v>3791</v>
      </c>
      <c r="B89" s="3" t="s">
        <v>3790</v>
      </c>
      <c r="C89" s="3" t="s">
        <v>5004</v>
      </c>
      <c r="D89" s="3" t="s">
        <v>3793</v>
      </c>
      <c r="E89" s="3">
        <v>1</v>
      </c>
      <c r="F89" s="3">
        <v>45</v>
      </c>
      <c r="G89" s="3" t="s">
        <v>5684</v>
      </c>
      <c r="H89" s="3">
        <v>29.449200000000001</v>
      </c>
      <c r="I89" s="3">
        <v>7</v>
      </c>
      <c r="J89" s="3" t="s">
        <v>5059</v>
      </c>
      <c r="K89" s="3" t="s">
        <v>5060</v>
      </c>
      <c r="L89" s="3" t="s">
        <v>5685</v>
      </c>
      <c r="M89" s="3" t="s">
        <v>5686</v>
      </c>
      <c r="N89" s="3" t="s">
        <v>5687</v>
      </c>
      <c r="O89" s="3" t="s">
        <v>5688</v>
      </c>
      <c r="P89" s="3" t="s">
        <v>5689</v>
      </c>
      <c r="Q89" s="3" t="s">
        <v>5690</v>
      </c>
      <c r="R89" s="3" t="s">
        <v>5067</v>
      </c>
      <c r="S89" s="3" t="s">
        <v>5068</v>
      </c>
      <c r="T89" s="3" t="s">
        <v>5069</v>
      </c>
      <c r="U89" s="3" t="s">
        <v>5070</v>
      </c>
      <c r="V89" s="3"/>
    </row>
    <row r="90" spans="1:22" ht="409.5" customHeight="1" x14ac:dyDescent="0.25">
      <c r="A90" s="2" t="s">
        <v>324</v>
      </c>
      <c r="B90" s="2" t="s">
        <v>5691</v>
      </c>
      <c r="C90" s="2" t="s">
        <v>4704</v>
      </c>
      <c r="D90" s="2" t="s">
        <v>326</v>
      </c>
      <c r="E90" s="2">
        <v>77</v>
      </c>
      <c r="F90" s="2">
        <v>45</v>
      </c>
      <c r="G90" s="2" t="s">
        <v>5692</v>
      </c>
      <c r="H90" s="2">
        <v>29.719200000000001</v>
      </c>
      <c r="I90" s="2">
        <v>7</v>
      </c>
      <c r="J90" s="2" t="s">
        <v>5059</v>
      </c>
      <c r="K90" s="2" t="s">
        <v>5060</v>
      </c>
      <c r="L90" s="2" t="s">
        <v>5693</v>
      </c>
      <c r="M90" s="2" t="s">
        <v>5694</v>
      </c>
      <c r="N90" s="2" t="s">
        <v>5695</v>
      </c>
      <c r="O90" s="2" t="s">
        <v>5696</v>
      </c>
      <c r="P90" s="2" t="s">
        <v>5697</v>
      </c>
      <c r="Q90" s="2" t="s">
        <v>5698</v>
      </c>
      <c r="R90" s="2" t="s">
        <v>5067</v>
      </c>
      <c r="S90" s="2" t="s">
        <v>5068</v>
      </c>
      <c r="T90" s="2" t="s">
        <v>5069</v>
      </c>
      <c r="U90" s="2" t="s">
        <v>5070</v>
      </c>
      <c r="V90" s="2"/>
    </row>
    <row r="91" spans="1:22" ht="78.75" customHeight="1" x14ac:dyDescent="0.25">
      <c r="A91" s="3" t="s">
        <v>83</v>
      </c>
      <c r="B91" s="3" t="s">
        <v>5699</v>
      </c>
      <c r="C91" s="3" t="s">
        <v>4655</v>
      </c>
      <c r="D91" s="3" t="s">
        <v>85</v>
      </c>
      <c r="E91" s="3">
        <v>14</v>
      </c>
      <c r="F91" s="3">
        <v>45</v>
      </c>
      <c r="G91" s="3" t="s">
        <v>5700</v>
      </c>
      <c r="H91" s="3">
        <v>33.063000000000002</v>
      </c>
      <c r="I91" s="3">
        <v>6</v>
      </c>
      <c r="J91" s="3" t="s">
        <v>5059</v>
      </c>
      <c r="K91" s="3" t="s">
        <v>5060</v>
      </c>
      <c r="L91" s="3" t="s">
        <v>5701</v>
      </c>
      <c r="M91" s="3" t="s">
        <v>5702</v>
      </c>
      <c r="N91" s="3" t="s">
        <v>5703</v>
      </c>
      <c r="O91" s="3" t="s">
        <v>5704</v>
      </c>
      <c r="P91" s="3" t="s">
        <v>5705</v>
      </c>
      <c r="Q91" s="3" t="s">
        <v>5706</v>
      </c>
      <c r="R91" s="3" t="s">
        <v>5067</v>
      </c>
      <c r="S91" s="3" t="s">
        <v>5068</v>
      </c>
      <c r="T91" s="3" t="s">
        <v>5069</v>
      </c>
      <c r="U91" s="3" t="s">
        <v>5070</v>
      </c>
      <c r="V91" s="3"/>
    </row>
    <row r="92" spans="1:22" ht="101.25" customHeight="1" x14ac:dyDescent="0.25">
      <c r="A92" s="2" t="s">
        <v>665</v>
      </c>
      <c r="B92" s="2" t="s">
        <v>5707</v>
      </c>
      <c r="C92" s="2" t="s">
        <v>4777</v>
      </c>
      <c r="D92" s="2" t="s">
        <v>667</v>
      </c>
      <c r="E92" s="2">
        <v>18</v>
      </c>
      <c r="F92" s="2">
        <v>45</v>
      </c>
      <c r="G92" s="2" t="s">
        <v>5708</v>
      </c>
      <c r="H92" s="2">
        <v>29.432400000000001</v>
      </c>
      <c r="I92" s="2">
        <v>5</v>
      </c>
      <c r="J92" s="2" t="s">
        <v>5059</v>
      </c>
      <c r="K92" s="2" t="s">
        <v>5060</v>
      </c>
      <c r="L92" s="2" t="s">
        <v>5709</v>
      </c>
      <c r="M92" s="2" t="s">
        <v>5710</v>
      </c>
      <c r="N92" s="2" t="s">
        <v>5711</v>
      </c>
      <c r="O92" s="2" t="s">
        <v>5712</v>
      </c>
      <c r="P92" s="2" t="s">
        <v>5713</v>
      </c>
      <c r="Q92" s="2" t="s">
        <v>5714</v>
      </c>
      <c r="R92" s="2" t="s">
        <v>5067</v>
      </c>
      <c r="S92" s="2" t="s">
        <v>5068</v>
      </c>
      <c r="T92" s="2" t="s">
        <v>5069</v>
      </c>
      <c r="U92" s="2" t="s">
        <v>5070</v>
      </c>
      <c r="V92" s="2"/>
    </row>
    <row r="93" spans="1:22" ht="45" customHeight="1" x14ac:dyDescent="0.25">
      <c r="A93" s="3" t="s">
        <v>562</v>
      </c>
      <c r="B93" s="3" t="s">
        <v>5715</v>
      </c>
      <c r="C93" s="3" t="s">
        <v>4752</v>
      </c>
      <c r="D93" s="3" t="s">
        <v>564</v>
      </c>
      <c r="E93" s="3">
        <v>2</v>
      </c>
      <c r="F93" s="3">
        <v>45</v>
      </c>
      <c r="G93" s="3" t="s">
        <v>5716</v>
      </c>
      <c r="H93" s="3">
        <v>28.649000000000001</v>
      </c>
      <c r="I93" s="3">
        <v>7</v>
      </c>
      <c r="J93" s="3" t="s">
        <v>5059</v>
      </c>
      <c r="K93" s="3" t="s">
        <v>5060</v>
      </c>
      <c r="L93" s="3" t="s">
        <v>5717</v>
      </c>
      <c r="M93" s="3" t="s">
        <v>5718</v>
      </c>
      <c r="N93" s="3" t="s">
        <v>5719</v>
      </c>
      <c r="O93" s="3" t="s">
        <v>5720</v>
      </c>
      <c r="P93" s="3" t="s">
        <v>5721</v>
      </c>
      <c r="Q93" s="3" t="s">
        <v>5722</v>
      </c>
      <c r="R93" s="3" t="s">
        <v>5067</v>
      </c>
      <c r="S93" s="3" t="s">
        <v>5068</v>
      </c>
      <c r="T93" s="3" t="s">
        <v>5069</v>
      </c>
      <c r="U93" s="3" t="s">
        <v>5070</v>
      </c>
      <c r="V93" s="3"/>
    </row>
    <row r="94" spans="1:22" ht="67.5" customHeight="1" x14ac:dyDescent="0.25">
      <c r="A94" s="2" t="s">
        <v>2743</v>
      </c>
      <c r="B94" s="2" t="s">
        <v>2742</v>
      </c>
      <c r="C94" s="2" t="s">
        <v>4937</v>
      </c>
      <c r="D94" s="2" t="s">
        <v>2745</v>
      </c>
      <c r="E94" s="2">
        <v>1</v>
      </c>
      <c r="F94" s="2">
        <v>45</v>
      </c>
      <c r="G94" s="2" t="s">
        <v>5723</v>
      </c>
      <c r="H94" s="2">
        <v>28.417000000000002</v>
      </c>
      <c r="I94" s="2">
        <v>6</v>
      </c>
      <c r="J94" s="2" t="s">
        <v>5059</v>
      </c>
      <c r="K94" s="2" t="s">
        <v>5060</v>
      </c>
      <c r="L94" s="2" t="s">
        <v>5724</v>
      </c>
      <c r="M94" s="2" t="s">
        <v>5725</v>
      </c>
      <c r="N94" s="2" t="s">
        <v>5726</v>
      </c>
      <c r="O94" s="2" t="s">
        <v>5727</v>
      </c>
      <c r="P94" s="2" t="s">
        <v>5728</v>
      </c>
      <c r="Q94" s="2" t="s">
        <v>5729</v>
      </c>
      <c r="R94" s="2" t="s">
        <v>5067</v>
      </c>
      <c r="S94" s="2" t="s">
        <v>5068</v>
      </c>
      <c r="T94" s="2" t="s">
        <v>5069</v>
      </c>
      <c r="U94" s="2" t="s">
        <v>5070</v>
      </c>
      <c r="V94" s="2"/>
    </row>
    <row r="95" spans="1:22" ht="67.5" customHeight="1" x14ac:dyDescent="0.25">
      <c r="A95" s="3" t="s">
        <v>1417</v>
      </c>
      <c r="B95" s="3" t="s">
        <v>5730</v>
      </c>
      <c r="C95" s="3" t="s">
        <v>4826</v>
      </c>
      <c r="D95" s="3" t="s">
        <v>1419</v>
      </c>
      <c r="E95" s="3">
        <v>2</v>
      </c>
      <c r="F95" s="3">
        <v>45</v>
      </c>
      <c r="G95" s="3" t="s">
        <v>5731</v>
      </c>
      <c r="H95" s="3">
        <v>28.617000000000001</v>
      </c>
      <c r="I95" s="3">
        <v>6</v>
      </c>
      <c r="J95" s="3" t="s">
        <v>5059</v>
      </c>
      <c r="K95" s="3" t="s">
        <v>5060</v>
      </c>
      <c r="L95" s="3" t="s">
        <v>5732</v>
      </c>
      <c r="M95" s="3" t="s">
        <v>5733</v>
      </c>
      <c r="N95" s="3" t="s">
        <v>5734</v>
      </c>
      <c r="O95" s="3" t="s">
        <v>5735</v>
      </c>
      <c r="P95" s="3" t="s">
        <v>5736</v>
      </c>
      <c r="Q95" s="3" t="s">
        <v>5737</v>
      </c>
      <c r="R95" s="3" t="s">
        <v>5067</v>
      </c>
      <c r="S95" s="3" t="s">
        <v>5068</v>
      </c>
      <c r="T95" s="3" t="s">
        <v>5069</v>
      </c>
      <c r="U95" s="3" t="s">
        <v>5070</v>
      </c>
      <c r="V95" s="3"/>
    </row>
    <row r="96" spans="1:22" ht="45" customHeight="1" x14ac:dyDescent="0.25">
      <c r="A96" s="2" t="s">
        <v>3283</v>
      </c>
      <c r="B96" s="2" t="s">
        <v>3282</v>
      </c>
      <c r="C96" s="2" t="s">
        <v>4972</v>
      </c>
      <c r="D96" s="2" t="s">
        <v>3285</v>
      </c>
      <c r="E96" s="2">
        <v>1</v>
      </c>
      <c r="F96" s="2">
        <v>45</v>
      </c>
      <c r="G96" s="2" t="s">
        <v>5738</v>
      </c>
      <c r="H96" s="2">
        <v>28.475999999999999</v>
      </c>
      <c r="I96" s="2">
        <v>6</v>
      </c>
      <c r="J96" s="2" t="s">
        <v>5059</v>
      </c>
      <c r="K96" s="2" t="s">
        <v>5060</v>
      </c>
      <c r="L96" s="2" t="s">
        <v>5739</v>
      </c>
      <c r="M96" s="2" t="s">
        <v>5740</v>
      </c>
      <c r="N96" s="2" t="s">
        <v>5741</v>
      </c>
      <c r="O96" s="2" t="s">
        <v>5742</v>
      </c>
      <c r="P96" s="2" t="s">
        <v>5743</v>
      </c>
      <c r="Q96" s="2" t="s">
        <v>5744</v>
      </c>
      <c r="R96" s="2" t="s">
        <v>5067</v>
      </c>
      <c r="S96" s="2" t="s">
        <v>5068</v>
      </c>
      <c r="T96" s="2" t="s">
        <v>5069</v>
      </c>
      <c r="U96" s="2" t="s">
        <v>5070</v>
      </c>
      <c r="V96" s="2"/>
    </row>
    <row r="97" spans="1:22" ht="56.25" customHeight="1" x14ac:dyDescent="0.25">
      <c r="A97" s="3" t="s">
        <v>490</v>
      </c>
      <c r="B97" s="3" t="s">
        <v>489</v>
      </c>
      <c r="C97" s="3" t="s">
        <v>4748</v>
      </c>
      <c r="D97" s="3" t="s">
        <v>492</v>
      </c>
      <c r="E97" s="3">
        <v>1</v>
      </c>
      <c r="F97" s="3">
        <v>48</v>
      </c>
      <c r="G97" s="3" t="s">
        <v>5745</v>
      </c>
      <c r="H97" s="3">
        <v>44.6524</v>
      </c>
      <c r="I97" s="3">
        <v>6</v>
      </c>
      <c r="J97" s="3" t="s">
        <v>5059</v>
      </c>
      <c r="K97" s="3" t="s">
        <v>5060</v>
      </c>
      <c r="L97" s="3" t="s">
        <v>5746</v>
      </c>
      <c r="M97" s="3" t="s">
        <v>5747</v>
      </c>
      <c r="N97" s="3" t="s">
        <v>5748</v>
      </c>
      <c r="O97" s="3" t="s">
        <v>5749</v>
      </c>
      <c r="P97" s="3" t="s">
        <v>5750</v>
      </c>
      <c r="Q97" s="3" t="s">
        <v>5751</v>
      </c>
      <c r="R97" s="3" t="s">
        <v>5067</v>
      </c>
      <c r="S97" s="3" t="s">
        <v>5068</v>
      </c>
      <c r="T97" s="3" t="s">
        <v>5069</v>
      </c>
      <c r="U97" s="3" t="s">
        <v>5070</v>
      </c>
      <c r="V97" s="3"/>
    </row>
    <row r="98" spans="1:22" ht="67.5" customHeight="1" x14ac:dyDescent="0.25">
      <c r="A98" s="2" t="s">
        <v>2391</v>
      </c>
      <c r="B98" s="2" t="s">
        <v>5752</v>
      </c>
      <c r="C98" s="2" t="s">
        <v>4912</v>
      </c>
      <c r="D98" s="2" t="s">
        <v>2393</v>
      </c>
      <c r="E98" s="2">
        <v>11</v>
      </c>
      <c r="F98" s="2">
        <v>48</v>
      </c>
      <c r="G98" s="2" t="s">
        <v>5753</v>
      </c>
      <c r="H98" s="2">
        <v>32.3872</v>
      </c>
      <c r="I98" s="2">
        <v>8</v>
      </c>
      <c r="J98" s="2" t="s">
        <v>5059</v>
      </c>
      <c r="K98" s="2" t="s">
        <v>5060</v>
      </c>
      <c r="L98" s="2" t="s">
        <v>5754</v>
      </c>
      <c r="M98" s="2" t="s">
        <v>5755</v>
      </c>
      <c r="N98" s="2" t="s">
        <v>5756</v>
      </c>
      <c r="O98" s="2" t="s">
        <v>5757</v>
      </c>
      <c r="P98" s="2" t="s">
        <v>5758</v>
      </c>
      <c r="Q98" s="2" t="s">
        <v>5759</v>
      </c>
      <c r="R98" s="2" t="s">
        <v>5067</v>
      </c>
      <c r="S98" s="2" t="s">
        <v>5068</v>
      </c>
      <c r="T98" s="2" t="s">
        <v>5069</v>
      </c>
      <c r="U98" s="2" t="s">
        <v>5070</v>
      </c>
      <c r="V98" s="2"/>
    </row>
    <row r="99" spans="1:22" ht="45" customHeight="1" x14ac:dyDescent="0.25">
      <c r="A99" s="3" t="s">
        <v>1773</v>
      </c>
      <c r="B99" s="3" t="s">
        <v>1772</v>
      </c>
      <c r="C99" s="3" t="s">
        <v>4856</v>
      </c>
      <c r="D99" s="3" t="s">
        <v>1775</v>
      </c>
      <c r="E99" s="3">
        <v>1</v>
      </c>
      <c r="F99" s="3">
        <v>48</v>
      </c>
      <c r="G99" s="3" t="s">
        <v>5760</v>
      </c>
      <c r="H99" s="3">
        <v>29.173999999999999</v>
      </c>
      <c r="I99" s="3">
        <v>7</v>
      </c>
      <c r="J99" s="3" t="s">
        <v>5059</v>
      </c>
      <c r="K99" s="3" t="s">
        <v>5060</v>
      </c>
      <c r="L99" s="3" t="s">
        <v>5761</v>
      </c>
      <c r="M99" s="3" t="s">
        <v>5762</v>
      </c>
      <c r="N99" s="3" t="s">
        <v>5763</v>
      </c>
      <c r="O99" s="3" t="s">
        <v>5764</v>
      </c>
      <c r="P99" s="3" t="s">
        <v>5765</v>
      </c>
      <c r="Q99" s="3" t="s">
        <v>5766</v>
      </c>
      <c r="R99" s="3" t="s">
        <v>5067</v>
      </c>
      <c r="S99" s="3" t="s">
        <v>5068</v>
      </c>
      <c r="T99" s="3" t="s">
        <v>5069</v>
      </c>
      <c r="U99" s="3" t="s">
        <v>5070</v>
      </c>
      <c r="V99" s="3"/>
    </row>
    <row r="100" spans="1:22" ht="45" customHeight="1" x14ac:dyDescent="0.25">
      <c r="A100" s="2" t="s">
        <v>3929</v>
      </c>
      <c r="B100" s="2" t="s">
        <v>3928</v>
      </c>
      <c r="C100" s="2" t="s">
        <v>5014</v>
      </c>
      <c r="D100" s="2" t="s">
        <v>3931</v>
      </c>
      <c r="E100" s="2">
        <v>1</v>
      </c>
      <c r="F100" s="2">
        <v>48</v>
      </c>
      <c r="G100" s="2" t="s">
        <v>5767</v>
      </c>
      <c r="H100" s="2">
        <v>30.045999999999999</v>
      </c>
      <c r="I100" s="2">
        <v>7</v>
      </c>
      <c r="J100" s="2" t="s">
        <v>5059</v>
      </c>
      <c r="K100" s="2" t="s">
        <v>5060</v>
      </c>
      <c r="L100" s="2" t="s">
        <v>5768</v>
      </c>
      <c r="M100" s="2" t="s">
        <v>5769</v>
      </c>
      <c r="N100" s="2" t="s">
        <v>5770</v>
      </c>
      <c r="O100" s="2" t="s">
        <v>5771</v>
      </c>
      <c r="P100" s="2" t="s">
        <v>5772</v>
      </c>
      <c r="Q100" s="2" t="s">
        <v>5773</v>
      </c>
      <c r="R100" s="2" t="s">
        <v>5067</v>
      </c>
      <c r="S100" s="2" t="s">
        <v>5068</v>
      </c>
      <c r="T100" s="2" t="s">
        <v>5069</v>
      </c>
      <c r="U100" s="2" t="s">
        <v>5070</v>
      </c>
      <c r="V100" s="2"/>
    </row>
    <row r="101" spans="1:22" ht="56.25" customHeight="1" x14ac:dyDescent="0.25">
      <c r="A101" s="3" t="s">
        <v>2153</v>
      </c>
      <c r="B101" s="3" t="s">
        <v>5774</v>
      </c>
      <c r="C101" s="3" t="s">
        <v>4888</v>
      </c>
      <c r="D101" s="3" t="s">
        <v>2155</v>
      </c>
      <c r="E101" s="3">
        <v>9</v>
      </c>
      <c r="F101" s="3">
        <v>48</v>
      </c>
      <c r="G101" s="3" t="s">
        <v>5775</v>
      </c>
      <c r="H101" s="3">
        <v>30.326000000000001</v>
      </c>
      <c r="I101" s="3">
        <v>7</v>
      </c>
      <c r="J101" s="3" t="s">
        <v>5059</v>
      </c>
      <c r="K101" s="3" t="s">
        <v>5060</v>
      </c>
      <c r="L101" s="3" t="s">
        <v>5776</v>
      </c>
      <c r="M101" s="3" t="s">
        <v>5777</v>
      </c>
      <c r="N101" s="3" t="s">
        <v>5778</v>
      </c>
      <c r="O101" s="3" t="s">
        <v>5779</v>
      </c>
      <c r="P101" s="3" t="s">
        <v>5780</v>
      </c>
      <c r="Q101" s="3" t="s">
        <v>5781</v>
      </c>
      <c r="R101" s="3" t="s">
        <v>5067</v>
      </c>
      <c r="S101" s="3" t="s">
        <v>5068</v>
      </c>
      <c r="T101" s="3" t="s">
        <v>5069</v>
      </c>
      <c r="U101" s="3" t="s">
        <v>5070</v>
      </c>
      <c r="V101" s="3"/>
    </row>
    <row r="102" spans="1:22" ht="67.5" customHeight="1" x14ac:dyDescent="0.25">
      <c r="A102" s="2" t="s">
        <v>2526</v>
      </c>
      <c r="B102" s="2" t="s">
        <v>5782</v>
      </c>
      <c r="C102" s="2" t="s">
        <v>4924</v>
      </c>
      <c r="D102" s="2" t="s">
        <v>2528</v>
      </c>
      <c r="E102" s="2">
        <v>4</v>
      </c>
      <c r="F102" s="2">
        <v>48</v>
      </c>
      <c r="G102" s="2" t="s">
        <v>5783</v>
      </c>
      <c r="H102" s="2">
        <v>27.506</v>
      </c>
      <c r="I102" s="2">
        <v>7</v>
      </c>
      <c r="J102" s="2" t="s">
        <v>5059</v>
      </c>
      <c r="K102" s="2" t="s">
        <v>5060</v>
      </c>
      <c r="L102" s="2" t="s">
        <v>5784</v>
      </c>
      <c r="M102" s="2" t="s">
        <v>5785</v>
      </c>
      <c r="N102" s="2" t="s">
        <v>5786</v>
      </c>
      <c r="O102" s="2" t="s">
        <v>5787</v>
      </c>
      <c r="P102" s="2" t="s">
        <v>5788</v>
      </c>
      <c r="Q102" s="2" t="s">
        <v>5789</v>
      </c>
      <c r="R102" s="2" t="s">
        <v>5067</v>
      </c>
      <c r="S102" s="2" t="s">
        <v>5068</v>
      </c>
      <c r="T102" s="2" t="s">
        <v>5069</v>
      </c>
      <c r="U102" s="2" t="s">
        <v>5070</v>
      </c>
      <c r="V102" s="2"/>
    </row>
    <row r="103" spans="1:22" ht="78.75" customHeight="1" x14ac:dyDescent="0.25">
      <c r="A103" s="3" t="s">
        <v>1781</v>
      </c>
      <c r="B103" s="3" t="s">
        <v>5790</v>
      </c>
      <c r="C103" s="3" t="s">
        <v>4858</v>
      </c>
      <c r="D103" s="3" t="s">
        <v>1783</v>
      </c>
      <c r="E103" s="3">
        <v>14</v>
      </c>
      <c r="F103" s="3">
        <v>48</v>
      </c>
      <c r="G103" s="3" t="s">
        <v>5791</v>
      </c>
      <c r="H103" s="3">
        <v>27.925999999999998</v>
      </c>
      <c r="I103" s="3">
        <v>6</v>
      </c>
      <c r="J103" s="3" t="s">
        <v>5059</v>
      </c>
      <c r="K103" s="3" t="s">
        <v>5060</v>
      </c>
      <c r="L103" s="3" t="s">
        <v>5635</v>
      </c>
      <c r="M103" s="3" t="s">
        <v>5636</v>
      </c>
      <c r="N103" s="3" t="s">
        <v>5792</v>
      </c>
      <c r="O103" s="3" t="s">
        <v>5793</v>
      </c>
      <c r="P103" s="3" t="s">
        <v>5794</v>
      </c>
      <c r="Q103" s="3" t="s">
        <v>5795</v>
      </c>
      <c r="R103" s="3" t="s">
        <v>5067</v>
      </c>
      <c r="S103" s="3" t="s">
        <v>5068</v>
      </c>
      <c r="T103" s="3" t="s">
        <v>5069</v>
      </c>
      <c r="U103" s="3" t="s">
        <v>5070</v>
      </c>
      <c r="V103" s="3"/>
    </row>
    <row r="104" spans="1:22" ht="78.75" customHeight="1" x14ac:dyDescent="0.25">
      <c r="A104" s="2" t="s">
        <v>3547</v>
      </c>
      <c r="B104" s="2" t="s">
        <v>5796</v>
      </c>
      <c r="C104" s="2" t="s">
        <v>4986</v>
      </c>
      <c r="D104" s="2" t="s">
        <v>3549</v>
      </c>
      <c r="E104" s="2">
        <v>5</v>
      </c>
      <c r="F104" s="2">
        <v>48</v>
      </c>
      <c r="G104" s="2" t="s">
        <v>5797</v>
      </c>
      <c r="H104" s="2">
        <v>28.126000000000001</v>
      </c>
      <c r="I104" s="2">
        <v>6</v>
      </c>
      <c r="J104" s="2" t="s">
        <v>5059</v>
      </c>
      <c r="K104" s="2" t="s">
        <v>5060</v>
      </c>
      <c r="L104" s="2" t="s">
        <v>5798</v>
      </c>
      <c r="M104" s="2" t="s">
        <v>5799</v>
      </c>
      <c r="N104" s="2" t="s">
        <v>5800</v>
      </c>
      <c r="O104" s="2" t="s">
        <v>5801</v>
      </c>
      <c r="P104" s="2" t="s">
        <v>5802</v>
      </c>
      <c r="Q104" s="2" t="s">
        <v>5803</v>
      </c>
      <c r="R104" s="2" t="s">
        <v>5067</v>
      </c>
      <c r="S104" s="2" t="s">
        <v>5068</v>
      </c>
      <c r="T104" s="2" t="s">
        <v>5069</v>
      </c>
      <c r="U104" s="2" t="s">
        <v>5070</v>
      </c>
      <c r="V104" s="2"/>
    </row>
    <row r="105" spans="1:22" ht="135" customHeight="1" x14ac:dyDescent="0.25">
      <c r="A105" s="3" t="s">
        <v>372</v>
      </c>
      <c r="B105" s="3" t="s">
        <v>5804</v>
      </c>
      <c r="C105" s="3" t="s">
        <v>4720</v>
      </c>
      <c r="D105" s="3" t="s">
        <v>374</v>
      </c>
      <c r="E105" s="3">
        <v>23</v>
      </c>
      <c r="F105" s="3">
        <v>48</v>
      </c>
      <c r="G105" s="3" t="s">
        <v>5805</v>
      </c>
      <c r="H105" s="3">
        <v>32.852400000000003</v>
      </c>
      <c r="I105" s="3">
        <v>8</v>
      </c>
      <c r="J105" s="3" t="s">
        <v>5059</v>
      </c>
      <c r="K105" s="3" t="s">
        <v>5060</v>
      </c>
      <c r="L105" s="3" t="s">
        <v>5806</v>
      </c>
      <c r="M105" s="3" t="s">
        <v>5807</v>
      </c>
      <c r="N105" s="3" t="s">
        <v>5808</v>
      </c>
      <c r="O105" s="3" t="s">
        <v>5809</v>
      </c>
      <c r="P105" s="3" t="s">
        <v>5810</v>
      </c>
      <c r="Q105" s="3" t="s">
        <v>5811</v>
      </c>
      <c r="R105" s="3" t="s">
        <v>5067</v>
      </c>
      <c r="S105" s="3" t="s">
        <v>5068</v>
      </c>
      <c r="T105" s="3" t="s">
        <v>5069</v>
      </c>
      <c r="U105" s="3" t="s">
        <v>5070</v>
      </c>
      <c r="V105" s="3"/>
    </row>
    <row r="106" spans="1:22" ht="157.5" customHeight="1" x14ac:dyDescent="0.25">
      <c r="A106" s="2" t="s">
        <v>277</v>
      </c>
      <c r="B106" s="2" t="s">
        <v>5812</v>
      </c>
      <c r="C106" s="2" t="s">
        <v>4696</v>
      </c>
      <c r="D106" s="2" t="s">
        <v>279</v>
      </c>
      <c r="E106" s="2">
        <v>28</v>
      </c>
      <c r="F106" s="2">
        <v>48</v>
      </c>
      <c r="G106" s="2" t="s">
        <v>5813</v>
      </c>
      <c r="H106" s="2">
        <v>29.7592</v>
      </c>
      <c r="I106" s="2">
        <v>7</v>
      </c>
      <c r="J106" s="2" t="s">
        <v>5059</v>
      </c>
      <c r="K106" s="2" t="s">
        <v>5060</v>
      </c>
      <c r="L106" s="2" t="s">
        <v>5814</v>
      </c>
      <c r="M106" s="2" t="s">
        <v>5815</v>
      </c>
      <c r="N106" s="2" t="s">
        <v>5816</v>
      </c>
      <c r="O106" s="2" t="s">
        <v>5817</v>
      </c>
      <c r="P106" s="2" t="s">
        <v>5818</v>
      </c>
      <c r="Q106" s="2" t="s">
        <v>5819</v>
      </c>
      <c r="R106" s="2" t="s">
        <v>5067</v>
      </c>
      <c r="S106" s="2" t="s">
        <v>5068</v>
      </c>
      <c r="T106" s="2" t="s">
        <v>5069</v>
      </c>
      <c r="U106" s="2" t="s">
        <v>5070</v>
      </c>
      <c r="V106" s="2"/>
    </row>
    <row r="107" spans="1:22" ht="67.5" customHeight="1" x14ac:dyDescent="0.25">
      <c r="A107" s="3" t="s">
        <v>3356</v>
      </c>
      <c r="B107" s="3" t="s">
        <v>3355</v>
      </c>
      <c r="C107" s="3" t="s">
        <v>4982</v>
      </c>
      <c r="D107" s="3" t="s">
        <v>3358</v>
      </c>
      <c r="E107" s="3">
        <v>1</v>
      </c>
      <c r="F107" s="3">
        <v>48</v>
      </c>
      <c r="G107" s="3" t="s">
        <v>5820</v>
      </c>
      <c r="H107" s="3">
        <v>27.819199999999999</v>
      </c>
      <c r="I107" s="3">
        <v>7</v>
      </c>
      <c r="J107" s="3" t="s">
        <v>5059</v>
      </c>
      <c r="K107" s="3" t="s">
        <v>5060</v>
      </c>
      <c r="L107" s="3" t="s">
        <v>5821</v>
      </c>
      <c r="M107" s="3" t="s">
        <v>5822</v>
      </c>
      <c r="N107" s="3" t="s">
        <v>5823</v>
      </c>
      <c r="O107" s="3" t="s">
        <v>5824</v>
      </c>
      <c r="P107" s="3" t="s">
        <v>5825</v>
      </c>
      <c r="Q107" s="3" t="s">
        <v>5826</v>
      </c>
      <c r="R107" s="3" t="s">
        <v>5067</v>
      </c>
      <c r="S107" s="3" t="s">
        <v>5068</v>
      </c>
      <c r="T107" s="3" t="s">
        <v>5069</v>
      </c>
      <c r="U107" s="3" t="s">
        <v>5070</v>
      </c>
      <c r="V107" s="3"/>
    </row>
    <row r="108" spans="1:22" ht="45" customHeight="1" x14ac:dyDescent="0.25">
      <c r="A108" s="2" t="s">
        <v>222</v>
      </c>
      <c r="B108" s="2" t="s">
        <v>5827</v>
      </c>
      <c r="C108" s="2" t="s">
        <v>4685</v>
      </c>
      <c r="D108" s="2" t="s">
        <v>224</v>
      </c>
      <c r="E108" s="2">
        <v>5</v>
      </c>
      <c r="F108" s="2">
        <v>48</v>
      </c>
      <c r="G108" s="2" t="s">
        <v>5828</v>
      </c>
      <c r="H108" s="2">
        <v>27.839200000000002</v>
      </c>
      <c r="I108" s="2">
        <v>6</v>
      </c>
      <c r="J108" s="2" t="s">
        <v>5059</v>
      </c>
      <c r="K108" s="2" t="s">
        <v>5060</v>
      </c>
      <c r="L108" s="2" t="s">
        <v>5829</v>
      </c>
      <c r="M108" s="2" t="s">
        <v>5830</v>
      </c>
      <c r="N108" s="2" t="s">
        <v>5831</v>
      </c>
      <c r="O108" s="2" t="s">
        <v>5832</v>
      </c>
      <c r="P108" s="2" t="s">
        <v>5833</v>
      </c>
      <c r="Q108" s="2" t="s">
        <v>5834</v>
      </c>
      <c r="R108" s="2" t="s">
        <v>5067</v>
      </c>
      <c r="S108" s="2" t="s">
        <v>5068</v>
      </c>
      <c r="T108" s="2" t="s">
        <v>5069</v>
      </c>
      <c r="U108" s="2" t="s">
        <v>5070</v>
      </c>
      <c r="V108" s="2"/>
    </row>
    <row r="109" spans="1:22" ht="45" customHeight="1" x14ac:dyDescent="0.25">
      <c r="A109" s="3" t="s">
        <v>1755</v>
      </c>
      <c r="B109" s="3" t="s">
        <v>1754</v>
      </c>
      <c r="C109" s="3" t="s">
        <v>4852</v>
      </c>
      <c r="D109" s="3" t="s">
        <v>1757</v>
      </c>
      <c r="E109" s="3">
        <v>1</v>
      </c>
      <c r="F109" s="3">
        <v>48</v>
      </c>
      <c r="G109" s="3" t="s">
        <v>5835</v>
      </c>
      <c r="H109" s="3">
        <v>40.316000000000003</v>
      </c>
      <c r="I109" s="3">
        <v>7</v>
      </c>
      <c r="J109" s="3" t="s">
        <v>5059</v>
      </c>
      <c r="K109" s="3" t="s">
        <v>5060</v>
      </c>
      <c r="L109" s="3" t="s">
        <v>5836</v>
      </c>
      <c r="M109" s="3" t="s">
        <v>5837</v>
      </c>
      <c r="N109" s="3" t="s">
        <v>5838</v>
      </c>
      <c r="O109" s="3" t="s">
        <v>5839</v>
      </c>
      <c r="P109" s="3" t="s">
        <v>5840</v>
      </c>
      <c r="Q109" s="3" t="s">
        <v>5841</v>
      </c>
      <c r="R109" s="3" t="s">
        <v>5067</v>
      </c>
      <c r="S109" s="3" t="s">
        <v>5068</v>
      </c>
      <c r="T109" s="3" t="s">
        <v>5069</v>
      </c>
      <c r="U109" s="3" t="s">
        <v>5070</v>
      </c>
      <c r="V109" s="3"/>
    </row>
    <row r="110" spans="1:22" ht="45" customHeight="1" x14ac:dyDescent="0.25">
      <c r="A110" s="2" t="s">
        <v>3054</v>
      </c>
      <c r="B110" s="2" t="s">
        <v>3053</v>
      </c>
      <c r="C110" s="2" t="s">
        <v>4951</v>
      </c>
      <c r="D110" s="2" t="s">
        <v>3056</v>
      </c>
      <c r="E110" s="2">
        <v>1</v>
      </c>
      <c r="F110" s="2">
        <v>48</v>
      </c>
      <c r="G110" s="2" t="s">
        <v>5842</v>
      </c>
      <c r="H110" s="2">
        <v>29.76</v>
      </c>
      <c r="I110" s="2">
        <v>7</v>
      </c>
      <c r="J110" s="2" t="s">
        <v>5059</v>
      </c>
      <c r="K110" s="2" t="s">
        <v>5060</v>
      </c>
      <c r="L110" s="2" t="s">
        <v>5843</v>
      </c>
      <c r="M110" s="2" t="s">
        <v>5844</v>
      </c>
      <c r="N110" s="2" t="s">
        <v>5845</v>
      </c>
      <c r="O110" s="2" t="s">
        <v>5846</v>
      </c>
      <c r="P110" s="2" t="s">
        <v>5847</v>
      </c>
      <c r="Q110" s="2" t="s">
        <v>5848</v>
      </c>
      <c r="R110" s="2" t="s">
        <v>5067</v>
      </c>
      <c r="S110" s="2" t="s">
        <v>5068</v>
      </c>
      <c r="T110" s="2" t="s">
        <v>5069</v>
      </c>
      <c r="U110" s="2" t="s">
        <v>5070</v>
      </c>
      <c r="V110" s="2"/>
    </row>
    <row r="111" spans="1:22" ht="33.75" customHeight="1" x14ac:dyDescent="0.25">
      <c r="A111" s="3" t="s">
        <v>4155</v>
      </c>
      <c r="B111" s="3" t="s">
        <v>4154</v>
      </c>
      <c r="C111" s="3" t="s">
        <v>5022</v>
      </c>
      <c r="D111" s="3" t="s">
        <v>4157</v>
      </c>
      <c r="E111" s="3">
        <v>1</v>
      </c>
      <c r="F111" s="3">
        <v>48</v>
      </c>
      <c r="G111" s="3" t="s">
        <v>5849</v>
      </c>
      <c r="H111" s="3">
        <v>27.97184</v>
      </c>
      <c r="I111" s="3">
        <v>9</v>
      </c>
      <c r="J111" s="3" t="s">
        <v>5059</v>
      </c>
      <c r="K111" s="3" t="s">
        <v>5124</v>
      </c>
      <c r="L111" s="3" t="s">
        <v>5850</v>
      </c>
      <c r="M111" s="3" t="s">
        <v>5850</v>
      </c>
      <c r="N111" s="3" t="s">
        <v>5851</v>
      </c>
      <c r="O111" s="3" t="s">
        <v>5852</v>
      </c>
      <c r="P111" s="3" t="s">
        <v>5853</v>
      </c>
      <c r="Q111" s="3" t="s">
        <v>5854</v>
      </c>
      <c r="R111" s="3" t="s">
        <v>5067</v>
      </c>
      <c r="S111" s="3" t="s">
        <v>5068</v>
      </c>
      <c r="T111" s="3" t="s">
        <v>5069</v>
      </c>
      <c r="U111" s="3" t="s">
        <v>5070</v>
      </c>
      <c r="V111" s="3"/>
    </row>
    <row r="112" spans="1:22" ht="33.75" customHeight="1" x14ac:dyDescent="0.25">
      <c r="A112" s="2" t="s">
        <v>1936</v>
      </c>
      <c r="B112" s="2" t="s">
        <v>1935</v>
      </c>
      <c r="C112" s="2" t="s">
        <v>4876</v>
      </c>
      <c r="D112" s="2" t="s">
        <v>1938</v>
      </c>
      <c r="E112" s="2">
        <v>1</v>
      </c>
      <c r="F112" s="2">
        <v>48</v>
      </c>
      <c r="G112" s="2" t="s">
        <v>5849</v>
      </c>
      <c r="H112" s="2">
        <v>30.265280000000001</v>
      </c>
      <c r="I112" s="2">
        <v>8</v>
      </c>
      <c r="J112" s="2" t="s">
        <v>5059</v>
      </c>
      <c r="K112" s="2" t="s">
        <v>5124</v>
      </c>
      <c r="L112" s="2" t="s">
        <v>5855</v>
      </c>
      <c r="M112" s="2" t="s">
        <v>5855</v>
      </c>
      <c r="N112" s="2" t="s">
        <v>5856</v>
      </c>
      <c r="O112" s="2" t="s">
        <v>5857</v>
      </c>
      <c r="P112" s="2" t="s">
        <v>5858</v>
      </c>
      <c r="Q112" s="2" t="s">
        <v>5859</v>
      </c>
      <c r="R112" s="2" t="s">
        <v>5067</v>
      </c>
      <c r="S112" s="2" t="s">
        <v>5068</v>
      </c>
      <c r="T112" s="2" t="s">
        <v>5069</v>
      </c>
      <c r="U112" s="2" t="s">
        <v>5070</v>
      </c>
      <c r="V112" s="2"/>
    </row>
    <row r="113" spans="1:22" ht="33.75" customHeight="1" x14ac:dyDescent="0.25">
      <c r="A113" s="3" t="s">
        <v>1995</v>
      </c>
      <c r="B113" s="3" t="s">
        <v>5860</v>
      </c>
      <c r="C113" s="3" t="s">
        <v>4876</v>
      </c>
      <c r="D113" s="3" t="s">
        <v>1997</v>
      </c>
      <c r="E113" s="3">
        <v>2</v>
      </c>
      <c r="F113" s="3">
        <v>48</v>
      </c>
      <c r="G113" s="3" t="s">
        <v>5849</v>
      </c>
      <c r="H113" s="3">
        <v>30.265280000000001</v>
      </c>
      <c r="I113" s="3">
        <v>8</v>
      </c>
      <c r="J113" s="3" t="s">
        <v>5059</v>
      </c>
      <c r="K113" s="3" t="s">
        <v>5124</v>
      </c>
      <c r="L113" s="3" t="s">
        <v>5861</v>
      </c>
      <c r="M113" s="3" t="s">
        <v>5861</v>
      </c>
      <c r="N113" s="3" t="s">
        <v>5862</v>
      </c>
      <c r="O113" s="3" t="s">
        <v>5863</v>
      </c>
      <c r="P113" s="3" t="s">
        <v>5864</v>
      </c>
      <c r="Q113" s="3" t="s">
        <v>5865</v>
      </c>
      <c r="R113" s="3" t="s">
        <v>5067</v>
      </c>
      <c r="S113" s="3" t="s">
        <v>5068</v>
      </c>
      <c r="T113" s="3" t="s">
        <v>5069</v>
      </c>
      <c r="U113" s="3" t="s">
        <v>5070</v>
      </c>
      <c r="V113" s="3"/>
    </row>
    <row r="114" spans="1:22" ht="33.75" customHeight="1" x14ac:dyDescent="0.25">
      <c r="A114" s="2" t="s">
        <v>1870</v>
      </c>
      <c r="B114" s="2" t="s">
        <v>1869</v>
      </c>
      <c r="C114" s="2" t="s">
        <v>4868</v>
      </c>
      <c r="D114" s="2" t="s">
        <v>1872</v>
      </c>
      <c r="E114" s="2">
        <v>1</v>
      </c>
      <c r="F114" s="2">
        <v>48</v>
      </c>
      <c r="G114" s="2" t="s">
        <v>5866</v>
      </c>
      <c r="H114" s="2">
        <v>29.207999999999998</v>
      </c>
      <c r="I114" s="2">
        <v>6</v>
      </c>
      <c r="J114" s="2" t="s">
        <v>5059</v>
      </c>
      <c r="K114" s="2" t="s">
        <v>5124</v>
      </c>
      <c r="L114" s="2" t="s">
        <v>5867</v>
      </c>
      <c r="M114" s="2" t="s">
        <v>5867</v>
      </c>
      <c r="N114" s="2" t="s">
        <v>5868</v>
      </c>
      <c r="O114" s="2" t="s">
        <v>5869</v>
      </c>
      <c r="P114" s="2" t="s">
        <v>5870</v>
      </c>
      <c r="Q114" s="2" t="s">
        <v>5871</v>
      </c>
      <c r="R114" s="2" t="s">
        <v>5067</v>
      </c>
      <c r="S114" s="2" t="s">
        <v>5068</v>
      </c>
      <c r="T114" s="2" t="s">
        <v>5069</v>
      </c>
      <c r="U114" s="2" t="s">
        <v>5070</v>
      </c>
      <c r="V114" s="2"/>
    </row>
    <row r="115" spans="1:22" ht="33.75" customHeight="1" x14ac:dyDescent="0.25">
      <c r="A115" s="3" t="s">
        <v>1971</v>
      </c>
      <c r="B115" s="3" t="s">
        <v>1970</v>
      </c>
      <c r="C115" s="3" t="s">
        <v>4756</v>
      </c>
      <c r="D115" s="3" t="s">
        <v>1973</v>
      </c>
      <c r="E115" s="3">
        <v>1</v>
      </c>
      <c r="F115" s="3">
        <v>48</v>
      </c>
      <c r="G115" s="3" t="s">
        <v>5872</v>
      </c>
      <c r="H115" s="3">
        <v>27.470079999999999</v>
      </c>
      <c r="I115" s="3">
        <v>7</v>
      </c>
      <c r="J115" s="3" t="s">
        <v>5059</v>
      </c>
      <c r="K115" s="3" t="s">
        <v>5124</v>
      </c>
      <c r="L115" s="3" t="s">
        <v>5873</v>
      </c>
      <c r="M115" s="3" t="s">
        <v>5873</v>
      </c>
      <c r="N115" s="3" t="s">
        <v>5874</v>
      </c>
      <c r="O115" s="3" t="s">
        <v>5875</v>
      </c>
      <c r="P115" s="3" t="s">
        <v>5876</v>
      </c>
      <c r="Q115" s="3" t="s">
        <v>5877</v>
      </c>
      <c r="R115" s="3" t="s">
        <v>5067</v>
      </c>
      <c r="S115" s="3" t="s">
        <v>5068</v>
      </c>
      <c r="T115" s="3" t="s">
        <v>5069</v>
      </c>
      <c r="U115" s="3" t="s">
        <v>5070</v>
      </c>
      <c r="V115" s="3"/>
    </row>
    <row r="116" spans="1:22" ht="33.75" customHeight="1" x14ac:dyDescent="0.25">
      <c r="A116" s="2" t="s">
        <v>574</v>
      </c>
      <c r="B116" s="2" t="s">
        <v>5878</v>
      </c>
      <c r="C116" s="2" t="s">
        <v>4756</v>
      </c>
      <c r="D116" s="2" t="s">
        <v>576</v>
      </c>
      <c r="E116" s="2">
        <v>2</v>
      </c>
      <c r="F116" s="2">
        <v>48</v>
      </c>
      <c r="G116" s="2" t="s">
        <v>5872</v>
      </c>
      <c r="H116" s="2">
        <v>28.134399999999999</v>
      </c>
      <c r="I116" s="2">
        <v>7</v>
      </c>
      <c r="J116" s="2" t="s">
        <v>5059</v>
      </c>
      <c r="K116" s="2" t="s">
        <v>5124</v>
      </c>
      <c r="L116" s="2" t="s">
        <v>5879</v>
      </c>
      <c r="M116" s="2" t="s">
        <v>5879</v>
      </c>
      <c r="N116" s="2" t="s">
        <v>5880</v>
      </c>
      <c r="O116" s="2" t="s">
        <v>5881</v>
      </c>
      <c r="P116" s="2" t="s">
        <v>5882</v>
      </c>
      <c r="Q116" s="2" t="s">
        <v>5883</v>
      </c>
      <c r="R116" s="2" t="s">
        <v>5067</v>
      </c>
      <c r="S116" s="2" t="s">
        <v>5068</v>
      </c>
      <c r="T116" s="2" t="s">
        <v>5069</v>
      </c>
      <c r="U116" s="2" t="s">
        <v>5070</v>
      </c>
      <c r="V116" s="2"/>
    </row>
    <row r="117" spans="1:22" ht="33.75" customHeight="1" x14ac:dyDescent="0.25">
      <c r="A117" s="3" t="s">
        <v>1940</v>
      </c>
      <c r="B117" s="3" t="s">
        <v>5884</v>
      </c>
      <c r="C117" s="3" t="s">
        <v>4756</v>
      </c>
      <c r="D117" s="3" t="s">
        <v>1942</v>
      </c>
      <c r="E117" s="3">
        <v>2</v>
      </c>
      <c r="F117" s="3">
        <v>48</v>
      </c>
      <c r="G117" s="3" t="s">
        <v>5872</v>
      </c>
      <c r="H117" s="3">
        <v>28.134399999999999</v>
      </c>
      <c r="I117" s="3">
        <v>7</v>
      </c>
      <c r="J117" s="3" t="s">
        <v>5059</v>
      </c>
      <c r="K117" s="3" t="s">
        <v>5124</v>
      </c>
      <c r="L117" s="3" t="s">
        <v>5885</v>
      </c>
      <c r="M117" s="3" t="s">
        <v>5885</v>
      </c>
      <c r="N117" s="3" t="s">
        <v>5886</v>
      </c>
      <c r="O117" s="3" t="s">
        <v>5887</v>
      </c>
      <c r="P117" s="3" t="s">
        <v>5888</v>
      </c>
      <c r="Q117" s="3" t="s">
        <v>5889</v>
      </c>
      <c r="R117" s="3" t="s">
        <v>5067</v>
      </c>
      <c r="S117" s="3" t="s">
        <v>5068</v>
      </c>
      <c r="T117" s="3" t="s">
        <v>5069</v>
      </c>
      <c r="U117" s="3" t="s">
        <v>5070</v>
      </c>
      <c r="V117" s="3"/>
    </row>
    <row r="118" spans="1:22" ht="258.75" customHeight="1" x14ac:dyDescent="0.25">
      <c r="A118" s="2" t="s">
        <v>878</v>
      </c>
      <c r="B118" s="2" t="s">
        <v>5890</v>
      </c>
      <c r="C118" s="2" t="s">
        <v>4802</v>
      </c>
      <c r="D118" s="2" t="s">
        <v>880</v>
      </c>
      <c r="E118" s="2">
        <v>46</v>
      </c>
      <c r="F118" s="2">
        <v>51</v>
      </c>
      <c r="G118" s="2" t="s">
        <v>5891</v>
      </c>
      <c r="H118" s="2">
        <v>27.925999999999998</v>
      </c>
      <c r="I118" s="2">
        <v>6</v>
      </c>
      <c r="J118" s="2" t="s">
        <v>5059</v>
      </c>
      <c r="K118" s="2" t="s">
        <v>5060</v>
      </c>
      <c r="L118" s="2" t="s">
        <v>5892</v>
      </c>
      <c r="M118" s="2" t="s">
        <v>5893</v>
      </c>
      <c r="N118" s="2" t="s">
        <v>5894</v>
      </c>
      <c r="O118" s="2" t="s">
        <v>5895</v>
      </c>
      <c r="P118" s="2" t="s">
        <v>5896</v>
      </c>
      <c r="Q118" s="2" t="s">
        <v>5897</v>
      </c>
      <c r="R118" s="2" t="s">
        <v>5067</v>
      </c>
      <c r="S118" s="2" t="s">
        <v>5068</v>
      </c>
      <c r="T118" s="2" t="s">
        <v>5069</v>
      </c>
      <c r="U118" s="2" t="s">
        <v>5070</v>
      </c>
      <c r="V118" s="2"/>
    </row>
    <row r="119" spans="1:22" ht="45" customHeight="1" x14ac:dyDescent="0.25">
      <c r="A119" s="3" t="s">
        <v>4043</v>
      </c>
      <c r="B119" s="3" t="s">
        <v>4042</v>
      </c>
      <c r="C119" s="3" t="s">
        <v>5018</v>
      </c>
      <c r="D119" s="3" t="s">
        <v>4045</v>
      </c>
      <c r="E119" s="3">
        <v>1</v>
      </c>
      <c r="F119" s="3">
        <v>51</v>
      </c>
      <c r="G119" s="3" t="s">
        <v>5898</v>
      </c>
      <c r="H119" s="3">
        <v>29.2182</v>
      </c>
      <c r="I119" s="3">
        <v>7</v>
      </c>
      <c r="J119" s="3" t="s">
        <v>5059</v>
      </c>
      <c r="K119" s="3" t="s">
        <v>5060</v>
      </c>
      <c r="L119" s="3" t="s">
        <v>5899</v>
      </c>
      <c r="M119" s="3" t="s">
        <v>5900</v>
      </c>
      <c r="N119" s="3" t="s">
        <v>5901</v>
      </c>
      <c r="O119" s="3" t="s">
        <v>5902</v>
      </c>
      <c r="P119" s="3" t="s">
        <v>5903</v>
      </c>
      <c r="Q119" s="3" t="s">
        <v>5904</v>
      </c>
      <c r="R119" s="3" t="s">
        <v>5067</v>
      </c>
      <c r="S119" s="3" t="s">
        <v>5068</v>
      </c>
      <c r="T119" s="3" t="s">
        <v>5069</v>
      </c>
      <c r="U119" s="3" t="s">
        <v>5070</v>
      </c>
      <c r="V119" s="3"/>
    </row>
    <row r="120" spans="1:22" ht="45" customHeight="1" x14ac:dyDescent="0.25">
      <c r="A120" s="2" t="s">
        <v>1719</v>
      </c>
      <c r="B120" s="2" t="s">
        <v>5905</v>
      </c>
      <c r="C120" s="2" t="s">
        <v>4845</v>
      </c>
      <c r="D120" s="2" t="s">
        <v>1721</v>
      </c>
      <c r="E120" s="2">
        <v>6</v>
      </c>
      <c r="F120" s="2">
        <v>51</v>
      </c>
      <c r="G120" s="2" t="s">
        <v>5906</v>
      </c>
      <c r="H120" s="2">
        <v>29.3232</v>
      </c>
      <c r="I120" s="2">
        <v>7</v>
      </c>
      <c r="J120" s="2" t="s">
        <v>5059</v>
      </c>
      <c r="K120" s="2" t="s">
        <v>5060</v>
      </c>
      <c r="L120" s="2" t="s">
        <v>5907</v>
      </c>
      <c r="M120" s="2" t="s">
        <v>5908</v>
      </c>
      <c r="N120" s="2" t="s">
        <v>5909</v>
      </c>
      <c r="O120" s="2" t="s">
        <v>5910</v>
      </c>
      <c r="P120" s="2" t="s">
        <v>5911</v>
      </c>
      <c r="Q120" s="2" t="s">
        <v>5912</v>
      </c>
      <c r="R120" s="2" t="s">
        <v>5067</v>
      </c>
      <c r="S120" s="2" t="s">
        <v>5068</v>
      </c>
      <c r="T120" s="2" t="s">
        <v>5069</v>
      </c>
      <c r="U120" s="2" t="s">
        <v>5070</v>
      </c>
      <c r="V120" s="2"/>
    </row>
    <row r="121" spans="1:22" ht="67.5" customHeight="1" x14ac:dyDescent="0.25">
      <c r="A121" s="3" t="s">
        <v>1878</v>
      </c>
      <c r="B121" s="3" t="s">
        <v>5913</v>
      </c>
      <c r="C121" s="3" t="s">
        <v>4870</v>
      </c>
      <c r="D121" s="3" t="s">
        <v>1880</v>
      </c>
      <c r="E121" s="3">
        <v>11</v>
      </c>
      <c r="F121" s="3">
        <v>51</v>
      </c>
      <c r="G121" s="3" t="s">
        <v>5914</v>
      </c>
      <c r="H121" s="3">
        <v>27.639199999999999</v>
      </c>
      <c r="I121" s="3">
        <v>6</v>
      </c>
      <c r="J121" s="3" t="s">
        <v>5059</v>
      </c>
      <c r="K121" s="3" t="s">
        <v>5060</v>
      </c>
      <c r="L121" s="3" t="s">
        <v>5915</v>
      </c>
      <c r="M121" s="3" t="s">
        <v>5916</v>
      </c>
      <c r="N121" s="3" t="s">
        <v>5917</v>
      </c>
      <c r="O121" s="3" t="s">
        <v>5918</v>
      </c>
      <c r="P121" s="3" t="s">
        <v>5919</v>
      </c>
      <c r="Q121" s="3" t="s">
        <v>5920</v>
      </c>
      <c r="R121" s="3" t="s">
        <v>5067</v>
      </c>
      <c r="S121" s="3" t="s">
        <v>5068</v>
      </c>
      <c r="T121" s="3" t="s">
        <v>5069</v>
      </c>
      <c r="U121" s="3" t="s">
        <v>5070</v>
      </c>
      <c r="V121" s="3"/>
    </row>
    <row r="122" spans="1:22" ht="78.75" customHeight="1" x14ac:dyDescent="0.25">
      <c r="A122" s="2" t="s">
        <v>1096</v>
      </c>
      <c r="B122" s="2" t="s">
        <v>5921</v>
      </c>
      <c r="C122" s="2" t="s">
        <v>4810</v>
      </c>
      <c r="D122" s="2" t="s">
        <v>1098</v>
      </c>
      <c r="E122" s="2">
        <v>3</v>
      </c>
      <c r="F122" s="2">
        <v>51</v>
      </c>
      <c r="G122" s="2" t="s">
        <v>5922</v>
      </c>
      <c r="H122" s="2">
        <v>47.038400000000003</v>
      </c>
      <c r="I122" s="2">
        <v>8</v>
      </c>
      <c r="J122" s="2" t="s">
        <v>5059</v>
      </c>
      <c r="K122" s="2" t="s">
        <v>5060</v>
      </c>
      <c r="L122" s="2" t="s">
        <v>5923</v>
      </c>
      <c r="M122" s="2" t="s">
        <v>5924</v>
      </c>
      <c r="N122" s="2" t="s">
        <v>5925</v>
      </c>
      <c r="O122" s="2" t="s">
        <v>5926</v>
      </c>
      <c r="P122" s="2" t="s">
        <v>5927</v>
      </c>
      <c r="Q122" s="2" t="s">
        <v>5928</v>
      </c>
      <c r="R122" s="2" t="s">
        <v>5067</v>
      </c>
      <c r="S122" s="2" t="s">
        <v>5068</v>
      </c>
      <c r="T122" s="2" t="s">
        <v>5069</v>
      </c>
      <c r="U122" s="2" t="s">
        <v>5070</v>
      </c>
      <c r="V122" s="2"/>
    </row>
    <row r="123" spans="1:22" ht="45" customHeight="1" x14ac:dyDescent="0.25">
      <c r="A123" s="3" t="s">
        <v>2628</v>
      </c>
      <c r="B123" s="3" t="s">
        <v>2627</v>
      </c>
      <c r="C123" s="3" t="s">
        <v>4931</v>
      </c>
      <c r="D123" s="3" t="s">
        <v>2630</v>
      </c>
      <c r="E123" s="3">
        <v>1</v>
      </c>
      <c r="F123" s="3">
        <v>51</v>
      </c>
      <c r="G123" s="3" t="s">
        <v>5929</v>
      </c>
      <c r="H123" s="3">
        <v>47.038400000000003</v>
      </c>
      <c r="I123" s="3">
        <v>8</v>
      </c>
      <c r="J123" s="3" t="s">
        <v>5059</v>
      </c>
      <c r="K123" s="3" t="s">
        <v>5060</v>
      </c>
      <c r="L123" s="3" t="s">
        <v>5930</v>
      </c>
      <c r="M123" s="3" t="s">
        <v>5931</v>
      </c>
      <c r="N123" s="3" t="s">
        <v>5932</v>
      </c>
      <c r="O123" s="3" t="s">
        <v>5933</v>
      </c>
      <c r="P123" s="3" t="s">
        <v>5934</v>
      </c>
      <c r="Q123" s="3" t="s">
        <v>5935</v>
      </c>
      <c r="R123" s="3" t="s">
        <v>5067</v>
      </c>
      <c r="S123" s="3" t="s">
        <v>5068</v>
      </c>
      <c r="T123" s="3" t="s">
        <v>5069</v>
      </c>
      <c r="U123" s="3" t="s">
        <v>5070</v>
      </c>
      <c r="V123" s="3"/>
    </row>
    <row r="124" spans="1:22" ht="45" customHeight="1" x14ac:dyDescent="0.25">
      <c r="A124" s="2" t="s">
        <v>2346</v>
      </c>
      <c r="B124" s="2" t="s">
        <v>2345</v>
      </c>
      <c r="C124" s="2" t="s">
        <v>4903</v>
      </c>
      <c r="D124" s="2" t="s">
        <v>2347</v>
      </c>
      <c r="E124" s="2">
        <v>1</v>
      </c>
      <c r="F124" s="2">
        <v>51</v>
      </c>
      <c r="G124" s="2" t="s">
        <v>5936</v>
      </c>
      <c r="H124" s="2">
        <v>41.816000000000003</v>
      </c>
      <c r="I124" s="2">
        <v>7</v>
      </c>
      <c r="J124" s="2" t="s">
        <v>5059</v>
      </c>
      <c r="K124" s="2" t="s">
        <v>5060</v>
      </c>
      <c r="L124" s="2" t="s">
        <v>5937</v>
      </c>
      <c r="M124" s="2" t="s">
        <v>5938</v>
      </c>
      <c r="N124" s="2" t="s">
        <v>5939</v>
      </c>
      <c r="O124" s="2" t="s">
        <v>5940</v>
      </c>
      <c r="P124" s="2" t="s">
        <v>5941</v>
      </c>
      <c r="Q124" s="2" t="s">
        <v>5942</v>
      </c>
      <c r="R124" s="2" t="s">
        <v>5067</v>
      </c>
      <c r="S124" s="2" t="s">
        <v>5068</v>
      </c>
      <c r="T124" s="2" t="s">
        <v>5069</v>
      </c>
      <c r="U124" s="2" t="s">
        <v>5070</v>
      </c>
      <c r="V124" s="2"/>
    </row>
    <row r="125" spans="1:22" ht="78.75" customHeight="1" x14ac:dyDescent="0.25">
      <c r="A125" s="3" t="s">
        <v>2960</v>
      </c>
      <c r="B125" s="3" t="s">
        <v>2959</v>
      </c>
      <c r="C125" s="3" t="s">
        <v>4948</v>
      </c>
      <c r="D125" s="3" t="s">
        <v>2962</v>
      </c>
      <c r="E125" s="3">
        <v>1</v>
      </c>
      <c r="F125" s="3">
        <v>51</v>
      </c>
      <c r="G125" s="3" t="s">
        <v>5943</v>
      </c>
      <c r="H125" s="3">
        <v>47.458399999999997</v>
      </c>
      <c r="I125" s="3">
        <v>8</v>
      </c>
      <c r="J125" s="3" t="s">
        <v>5059</v>
      </c>
      <c r="K125" s="3" t="s">
        <v>5060</v>
      </c>
      <c r="L125" s="3" t="s">
        <v>5944</v>
      </c>
      <c r="M125" s="3" t="s">
        <v>5945</v>
      </c>
      <c r="N125" s="3" t="s">
        <v>5946</v>
      </c>
      <c r="O125" s="3" t="s">
        <v>5947</v>
      </c>
      <c r="P125" s="3" t="s">
        <v>5948</v>
      </c>
      <c r="Q125" s="3" t="s">
        <v>5949</v>
      </c>
      <c r="R125" s="3" t="s">
        <v>5067</v>
      </c>
      <c r="S125" s="3" t="s">
        <v>5068</v>
      </c>
      <c r="T125" s="3" t="s">
        <v>5069</v>
      </c>
      <c r="U125" s="3" t="s">
        <v>5070</v>
      </c>
      <c r="V125" s="3"/>
    </row>
    <row r="126" spans="1:22" ht="56.25" customHeight="1" x14ac:dyDescent="0.25">
      <c r="A126" s="2" t="s">
        <v>1084</v>
      </c>
      <c r="B126" s="2" t="s">
        <v>5950</v>
      </c>
      <c r="C126" s="2" t="s">
        <v>4809</v>
      </c>
      <c r="D126" s="2" t="s">
        <v>1086</v>
      </c>
      <c r="E126" s="2">
        <v>5</v>
      </c>
      <c r="F126" s="2">
        <v>51</v>
      </c>
      <c r="G126" s="2" t="s">
        <v>5951</v>
      </c>
      <c r="H126" s="2">
        <v>47.458399999999997</v>
      </c>
      <c r="I126" s="2">
        <v>8</v>
      </c>
      <c r="J126" s="2" t="s">
        <v>5059</v>
      </c>
      <c r="K126" s="2" t="s">
        <v>5060</v>
      </c>
      <c r="L126" s="2" t="s">
        <v>5952</v>
      </c>
      <c r="M126" s="2" t="s">
        <v>5953</v>
      </c>
      <c r="N126" s="2" t="s">
        <v>5954</v>
      </c>
      <c r="O126" s="2" t="s">
        <v>5955</v>
      </c>
      <c r="P126" s="2" t="s">
        <v>5956</v>
      </c>
      <c r="Q126" s="2" t="s">
        <v>5957</v>
      </c>
      <c r="R126" s="2" t="s">
        <v>5067</v>
      </c>
      <c r="S126" s="2" t="s">
        <v>5068</v>
      </c>
      <c r="T126" s="2" t="s">
        <v>5069</v>
      </c>
      <c r="U126" s="2" t="s">
        <v>5070</v>
      </c>
      <c r="V126" s="2"/>
    </row>
    <row r="127" spans="1:22" ht="56.25" customHeight="1" x14ac:dyDescent="0.25">
      <c r="A127" s="3" t="s">
        <v>2775</v>
      </c>
      <c r="B127" s="3" t="s">
        <v>2774</v>
      </c>
      <c r="C127" s="3" t="s">
        <v>4943</v>
      </c>
      <c r="D127" s="3" t="s">
        <v>2777</v>
      </c>
      <c r="E127" s="3">
        <v>1</v>
      </c>
      <c r="F127" s="3">
        <v>51</v>
      </c>
      <c r="G127" s="3" t="s">
        <v>5958</v>
      </c>
      <c r="H127" s="3">
        <v>43.256</v>
      </c>
      <c r="I127" s="3">
        <v>7</v>
      </c>
      <c r="J127" s="3" t="s">
        <v>5059</v>
      </c>
      <c r="K127" s="3" t="s">
        <v>5060</v>
      </c>
      <c r="L127" s="3" t="s">
        <v>5959</v>
      </c>
      <c r="M127" s="3" t="s">
        <v>5960</v>
      </c>
      <c r="N127" s="3" t="s">
        <v>5961</v>
      </c>
      <c r="O127" s="3" t="s">
        <v>5962</v>
      </c>
      <c r="P127" s="3" t="s">
        <v>5963</v>
      </c>
      <c r="Q127" s="3" t="s">
        <v>5964</v>
      </c>
      <c r="R127" s="3" t="s">
        <v>5067</v>
      </c>
      <c r="S127" s="3" t="s">
        <v>5068</v>
      </c>
      <c r="T127" s="3" t="s">
        <v>5069</v>
      </c>
      <c r="U127" s="3" t="s">
        <v>5070</v>
      </c>
      <c r="V127" s="3"/>
    </row>
    <row r="128" spans="1:22" ht="67.5" customHeight="1" x14ac:dyDescent="0.25">
      <c r="A128" s="2" t="s">
        <v>1062</v>
      </c>
      <c r="B128" s="2" t="s">
        <v>5965</v>
      </c>
      <c r="C128" s="2" t="s">
        <v>4808</v>
      </c>
      <c r="D128" s="2" t="s">
        <v>1064</v>
      </c>
      <c r="E128" s="2">
        <v>4</v>
      </c>
      <c r="F128" s="2">
        <v>51</v>
      </c>
      <c r="G128" s="2" t="s">
        <v>5966</v>
      </c>
      <c r="H128" s="2">
        <v>47.728400000000001</v>
      </c>
      <c r="I128" s="2">
        <v>8</v>
      </c>
      <c r="J128" s="2" t="s">
        <v>5059</v>
      </c>
      <c r="K128" s="2" t="s">
        <v>5060</v>
      </c>
      <c r="L128" s="2" t="s">
        <v>5967</v>
      </c>
      <c r="M128" s="2" t="s">
        <v>5968</v>
      </c>
      <c r="N128" s="2" t="s">
        <v>5969</v>
      </c>
      <c r="O128" s="2" t="s">
        <v>5970</v>
      </c>
      <c r="P128" s="2" t="s">
        <v>5971</v>
      </c>
      <c r="Q128" s="2" t="s">
        <v>5972</v>
      </c>
      <c r="R128" s="2" t="s">
        <v>5067</v>
      </c>
      <c r="S128" s="2" t="s">
        <v>5068</v>
      </c>
      <c r="T128" s="2" t="s">
        <v>5069</v>
      </c>
      <c r="U128" s="2" t="s">
        <v>5070</v>
      </c>
      <c r="V128" s="2"/>
    </row>
    <row r="129" spans="1:22" ht="78.75" customHeight="1" x14ac:dyDescent="0.25">
      <c r="A129" s="3" t="s">
        <v>3327</v>
      </c>
      <c r="B129" s="3" t="s">
        <v>3326</v>
      </c>
      <c r="C129" s="3" t="s">
        <v>4980</v>
      </c>
      <c r="D129" s="3" t="s">
        <v>3329</v>
      </c>
      <c r="E129" s="3">
        <v>1</v>
      </c>
      <c r="F129" s="3">
        <v>51</v>
      </c>
      <c r="G129" s="3" t="s">
        <v>5973</v>
      </c>
      <c r="H129" s="3">
        <v>46.578400000000002</v>
      </c>
      <c r="I129" s="3">
        <v>8</v>
      </c>
      <c r="J129" s="3" t="s">
        <v>5059</v>
      </c>
      <c r="K129" s="3" t="s">
        <v>5060</v>
      </c>
      <c r="L129" s="3" t="s">
        <v>5974</v>
      </c>
      <c r="M129" s="3" t="s">
        <v>5975</v>
      </c>
      <c r="N129" s="3" t="s">
        <v>5976</v>
      </c>
      <c r="O129" s="3" t="s">
        <v>5977</v>
      </c>
      <c r="P129" s="3" t="s">
        <v>5978</v>
      </c>
      <c r="Q129" s="3" t="s">
        <v>5979</v>
      </c>
      <c r="R129" s="3" t="s">
        <v>5067</v>
      </c>
      <c r="S129" s="3" t="s">
        <v>5068</v>
      </c>
      <c r="T129" s="3" t="s">
        <v>5069</v>
      </c>
      <c r="U129" s="3" t="s">
        <v>5070</v>
      </c>
      <c r="V129" s="3"/>
    </row>
    <row r="130" spans="1:22" ht="33.75" customHeight="1" x14ac:dyDescent="0.25">
      <c r="A130" s="2" t="s">
        <v>1805</v>
      </c>
      <c r="B130" s="2" t="s">
        <v>5980</v>
      </c>
      <c r="C130" s="2" t="s">
        <v>4861</v>
      </c>
      <c r="D130" s="2" t="s">
        <v>1807</v>
      </c>
      <c r="E130" s="2">
        <v>2</v>
      </c>
      <c r="F130" s="2">
        <v>51</v>
      </c>
      <c r="G130" s="2" t="s">
        <v>5981</v>
      </c>
      <c r="H130" s="2">
        <v>27.795079999999999</v>
      </c>
      <c r="I130" s="2">
        <v>8</v>
      </c>
      <c r="J130" s="2" t="s">
        <v>5059</v>
      </c>
      <c r="K130" s="2" t="s">
        <v>5124</v>
      </c>
      <c r="L130" s="2" t="s">
        <v>5982</v>
      </c>
      <c r="M130" s="2" t="s">
        <v>5982</v>
      </c>
      <c r="N130" s="2" t="s">
        <v>5983</v>
      </c>
      <c r="O130" s="2" t="s">
        <v>5984</v>
      </c>
      <c r="P130" s="2" t="s">
        <v>5985</v>
      </c>
      <c r="Q130" s="2" t="s">
        <v>5986</v>
      </c>
      <c r="R130" s="2" t="s">
        <v>5067</v>
      </c>
      <c r="S130" s="2" t="s">
        <v>5068</v>
      </c>
      <c r="T130" s="2" t="s">
        <v>5069</v>
      </c>
      <c r="U130" s="2" t="s">
        <v>5070</v>
      </c>
      <c r="V130" s="2"/>
    </row>
    <row r="131" spans="1:22" ht="33.75" customHeight="1" x14ac:dyDescent="0.25">
      <c r="A131" s="3" t="s">
        <v>632</v>
      </c>
      <c r="B131" s="3" t="s">
        <v>5987</v>
      </c>
      <c r="C131" s="3" t="s">
        <v>4772</v>
      </c>
      <c r="D131" s="3" t="s">
        <v>634</v>
      </c>
      <c r="E131" s="3">
        <v>5</v>
      </c>
      <c r="F131" s="3">
        <v>51</v>
      </c>
      <c r="G131" s="3" t="s">
        <v>5988</v>
      </c>
      <c r="H131" s="3">
        <v>27.795079999999999</v>
      </c>
      <c r="I131" s="3">
        <v>8</v>
      </c>
      <c r="J131" s="3" t="s">
        <v>5059</v>
      </c>
      <c r="K131" s="3" t="s">
        <v>5124</v>
      </c>
      <c r="L131" s="3" t="s">
        <v>5989</v>
      </c>
      <c r="M131" s="3" t="s">
        <v>5989</v>
      </c>
      <c r="N131" s="3" t="s">
        <v>5990</v>
      </c>
      <c r="O131" s="3" t="s">
        <v>5991</v>
      </c>
      <c r="P131" s="3" t="s">
        <v>5992</v>
      </c>
      <c r="Q131" s="3" t="s">
        <v>5993</v>
      </c>
      <c r="R131" s="3" t="s">
        <v>5067</v>
      </c>
      <c r="S131" s="3" t="s">
        <v>5068</v>
      </c>
      <c r="T131" s="3" t="s">
        <v>5069</v>
      </c>
      <c r="U131" s="3" t="s">
        <v>5070</v>
      </c>
      <c r="V131" s="3"/>
    </row>
    <row r="132" spans="1:22" ht="33.75" customHeight="1" x14ac:dyDescent="0.25">
      <c r="A132" s="2" t="s">
        <v>1874</v>
      </c>
      <c r="B132" s="2" t="s">
        <v>1873</v>
      </c>
      <c r="C132" s="2" t="s">
        <v>4869</v>
      </c>
      <c r="D132" s="2" t="s">
        <v>1876</v>
      </c>
      <c r="E132" s="2">
        <v>1</v>
      </c>
      <c r="F132" s="2">
        <v>51</v>
      </c>
      <c r="G132" s="2" t="s">
        <v>5981</v>
      </c>
      <c r="H132" s="2">
        <v>27.982399999999998</v>
      </c>
      <c r="I132" s="2">
        <v>7</v>
      </c>
      <c r="J132" s="2" t="s">
        <v>5059</v>
      </c>
      <c r="K132" s="2" t="s">
        <v>5124</v>
      </c>
      <c r="L132" s="2" t="s">
        <v>5994</v>
      </c>
      <c r="M132" s="2" t="s">
        <v>5994</v>
      </c>
      <c r="N132" s="2" t="s">
        <v>5995</v>
      </c>
      <c r="O132" s="2" t="s">
        <v>5996</v>
      </c>
      <c r="P132" s="2" t="s">
        <v>5997</v>
      </c>
      <c r="Q132" s="2" t="s">
        <v>5998</v>
      </c>
      <c r="R132" s="2" t="s">
        <v>5067</v>
      </c>
      <c r="S132" s="2" t="s">
        <v>5068</v>
      </c>
      <c r="T132" s="2" t="s">
        <v>5069</v>
      </c>
      <c r="U132" s="2" t="s">
        <v>5070</v>
      </c>
      <c r="V132" s="2"/>
    </row>
    <row r="133" spans="1:22" ht="45" customHeight="1" x14ac:dyDescent="0.25">
      <c r="A133" s="3" t="s">
        <v>2572</v>
      </c>
      <c r="B133" s="3" t="s">
        <v>5999</v>
      </c>
      <c r="C133" s="3" t="s">
        <v>4928</v>
      </c>
      <c r="D133" s="3" t="s">
        <v>2574</v>
      </c>
      <c r="E133" s="3">
        <v>2</v>
      </c>
      <c r="F133" s="3">
        <v>54</v>
      </c>
      <c r="G133" s="3" t="s">
        <v>6000</v>
      </c>
      <c r="H133" s="3">
        <v>27.925999999999998</v>
      </c>
      <c r="I133" s="3">
        <v>6</v>
      </c>
      <c r="J133" s="3" t="s">
        <v>5059</v>
      </c>
      <c r="K133" s="3" t="s">
        <v>5060</v>
      </c>
      <c r="L133" s="3" t="s">
        <v>6001</v>
      </c>
      <c r="M133" s="3" t="s">
        <v>6002</v>
      </c>
      <c r="N133" s="3" t="s">
        <v>6003</v>
      </c>
      <c r="O133" s="3" t="s">
        <v>6004</v>
      </c>
      <c r="P133" s="3" t="s">
        <v>6005</v>
      </c>
      <c r="Q133" s="3" t="s">
        <v>6006</v>
      </c>
      <c r="R133" s="3" t="s">
        <v>5067</v>
      </c>
      <c r="S133" s="3" t="s">
        <v>5068</v>
      </c>
      <c r="T133" s="3" t="s">
        <v>5069</v>
      </c>
      <c r="U133" s="3" t="s">
        <v>5070</v>
      </c>
      <c r="V133" s="3"/>
    </row>
    <row r="134" spans="1:22" ht="45" customHeight="1" x14ac:dyDescent="0.25">
      <c r="A134" s="2" t="s">
        <v>3270</v>
      </c>
      <c r="B134" s="2" t="s">
        <v>3269</v>
      </c>
      <c r="C134" s="2" t="s">
        <v>4970</v>
      </c>
      <c r="D134" s="2" t="s">
        <v>3271</v>
      </c>
      <c r="E134" s="2">
        <v>1</v>
      </c>
      <c r="F134" s="2">
        <v>54</v>
      </c>
      <c r="G134" s="2" t="s">
        <v>6007</v>
      </c>
      <c r="H134" s="2">
        <v>42.566000000000003</v>
      </c>
      <c r="I134" s="2">
        <v>7</v>
      </c>
      <c r="J134" s="2" t="s">
        <v>5059</v>
      </c>
      <c r="K134" s="2" t="s">
        <v>5060</v>
      </c>
      <c r="L134" s="2" t="s">
        <v>6008</v>
      </c>
      <c r="M134" s="2" t="s">
        <v>6009</v>
      </c>
      <c r="N134" s="2" t="s">
        <v>6010</v>
      </c>
      <c r="O134" s="2" t="s">
        <v>6011</v>
      </c>
      <c r="P134" s="2" t="s">
        <v>6012</v>
      </c>
      <c r="Q134" s="2" t="s">
        <v>6013</v>
      </c>
      <c r="R134" s="2" t="s">
        <v>5067</v>
      </c>
      <c r="S134" s="2" t="s">
        <v>5068</v>
      </c>
      <c r="T134" s="2" t="s">
        <v>5069</v>
      </c>
      <c r="U134" s="2" t="s">
        <v>5070</v>
      </c>
      <c r="V134" s="2"/>
    </row>
    <row r="135" spans="1:22" ht="56.25" customHeight="1" x14ac:dyDescent="0.25">
      <c r="A135" s="3" t="s">
        <v>2353</v>
      </c>
      <c r="B135" s="3" t="s">
        <v>2352</v>
      </c>
      <c r="C135" s="3" t="s">
        <v>4905</v>
      </c>
      <c r="D135" s="3" t="s">
        <v>2355</v>
      </c>
      <c r="E135" s="3">
        <v>1</v>
      </c>
      <c r="F135" s="3">
        <v>54</v>
      </c>
      <c r="G135" s="3" t="s">
        <v>6014</v>
      </c>
      <c r="H135" s="3">
        <v>42.985999999999997</v>
      </c>
      <c r="I135" s="3">
        <v>7</v>
      </c>
      <c r="J135" s="3" t="s">
        <v>5059</v>
      </c>
      <c r="K135" s="3" t="s">
        <v>5060</v>
      </c>
      <c r="L135" s="3" t="s">
        <v>6015</v>
      </c>
      <c r="M135" s="3" t="s">
        <v>6016</v>
      </c>
      <c r="N135" s="3" t="s">
        <v>6017</v>
      </c>
      <c r="O135" s="3" t="s">
        <v>6018</v>
      </c>
      <c r="P135" s="3" t="s">
        <v>6019</v>
      </c>
      <c r="Q135" s="3" t="s">
        <v>6020</v>
      </c>
      <c r="R135" s="3" t="s">
        <v>5067</v>
      </c>
      <c r="S135" s="3" t="s">
        <v>5068</v>
      </c>
      <c r="T135" s="3" t="s">
        <v>5069</v>
      </c>
      <c r="U135" s="3" t="s">
        <v>5070</v>
      </c>
      <c r="V135" s="3"/>
    </row>
    <row r="136" spans="1:22" ht="56.25" customHeight="1" x14ac:dyDescent="0.25">
      <c r="A136" s="2" t="s">
        <v>2771</v>
      </c>
      <c r="B136" s="2" t="s">
        <v>2770</v>
      </c>
      <c r="C136" s="2" t="s">
        <v>4942</v>
      </c>
      <c r="D136" s="2" t="s">
        <v>2773</v>
      </c>
      <c r="E136" s="2">
        <v>1</v>
      </c>
      <c r="F136" s="2">
        <v>54</v>
      </c>
      <c r="G136" s="2" t="s">
        <v>6021</v>
      </c>
      <c r="H136" s="2">
        <v>42.985999999999997</v>
      </c>
      <c r="I136" s="2">
        <v>7</v>
      </c>
      <c r="J136" s="2" t="s">
        <v>5059</v>
      </c>
      <c r="K136" s="2" t="s">
        <v>5060</v>
      </c>
      <c r="L136" s="2" t="s">
        <v>6022</v>
      </c>
      <c r="M136" s="2" t="s">
        <v>6023</v>
      </c>
      <c r="N136" s="2" t="s">
        <v>6024</v>
      </c>
      <c r="O136" s="2" t="s">
        <v>6025</v>
      </c>
      <c r="P136" s="2" t="s">
        <v>6026</v>
      </c>
      <c r="Q136" s="2" t="s">
        <v>6027</v>
      </c>
      <c r="R136" s="2" t="s">
        <v>5067</v>
      </c>
      <c r="S136" s="2" t="s">
        <v>5068</v>
      </c>
      <c r="T136" s="2" t="s">
        <v>5069</v>
      </c>
      <c r="U136" s="2" t="s">
        <v>5070</v>
      </c>
      <c r="V136" s="2"/>
    </row>
    <row r="137" spans="1:22" ht="56.25" customHeight="1" x14ac:dyDescent="0.25">
      <c r="A137" s="3" t="s">
        <v>2245</v>
      </c>
      <c r="B137" s="3" t="s">
        <v>2244</v>
      </c>
      <c r="C137" s="3" t="s">
        <v>4899</v>
      </c>
      <c r="D137" s="3" t="s">
        <v>2247</v>
      </c>
      <c r="E137" s="3">
        <v>1</v>
      </c>
      <c r="F137" s="3">
        <v>54</v>
      </c>
      <c r="G137" s="3" t="s">
        <v>6028</v>
      </c>
      <c r="H137" s="3">
        <v>28.518000000000001</v>
      </c>
      <c r="I137" s="3">
        <v>7</v>
      </c>
      <c r="J137" s="3" t="s">
        <v>5059</v>
      </c>
      <c r="K137" s="3" t="s">
        <v>5060</v>
      </c>
      <c r="L137" s="3" t="s">
        <v>6029</v>
      </c>
      <c r="M137" s="3" t="s">
        <v>6030</v>
      </c>
      <c r="N137" s="3" t="s">
        <v>6031</v>
      </c>
      <c r="O137" s="3" t="s">
        <v>6032</v>
      </c>
      <c r="P137" s="3" t="s">
        <v>6033</v>
      </c>
      <c r="Q137" s="3" t="s">
        <v>6034</v>
      </c>
      <c r="R137" s="3" t="s">
        <v>5067</v>
      </c>
      <c r="S137" s="3" t="s">
        <v>5068</v>
      </c>
      <c r="T137" s="3" t="s">
        <v>5069</v>
      </c>
      <c r="U137" s="3" t="s">
        <v>5070</v>
      </c>
      <c r="V137" s="3"/>
    </row>
    <row r="138" spans="1:22" ht="67.5" customHeight="1" x14ac:dyDescent="0.25">
      <c r="A138" s="2" t="s">
        <v>3124</v>
      </c>
      <c r="B138" s="2" t="s">
        <v>6035</v>
      </c>
      <c r="C138" s="2" t="s">
        <v>4959</v>
      </c>
      <c r="D138" s="2" t="s">
        <v>3126</v>
      </c>
      <c r="E138" s="2">
        <v>2</v>
      </c>
      <c r="F138" s="2">
        <v>54</v>
      </c>
      <c r="G138" s="2" t="s">
        <v>6036</v>
      </c>
      <c r="H138" s="2">
        <v>34.070599999999999</v>
      </c>
      <c r="I138" s="2">
        <v>8</v>
      </c>
      <c r="J138" s="2" t="s">
        <v>5059</v>
      </c>
      <c r="K138" s="2" t="s">
        <v>5060</v>
      </c>
      <c r="L138" s="2" t="s">
        <v>6037</v>
      </c>
      <c r="M138" s="2" t="s">
        <v>6038</v>
      </c>
      <c r="N138" s="2" t="s">
        <v>6039</v>
      </c>
      <c r="O138" s="2" t="s">
        <v>6040</v>
      </c>
      <c r="P138" s="2" t="s">
        <v>6041</v>
      </c>
      <c r="Q138" s="2" t="s">
        <v>6042</v>
      </c>
      <c r="R138" s="2" t="s">
        <v>5067</v>
      </c>
      <c r="S138" s="2" t="s">
        <v>5068</v>
      </c>
      <c r="T138" s="2" t="s">
        <v>5069</v>
      </c>
      <c r="U138" s="2" t="s">
        <v>5070</v>
      </c>
      <c r="V138" s="2"/>
    </row>
    <row r="139" spans="1:22" ht="135" customHeight="1" x14ac:dyDescent="0.25">
      <c r="A139" s="3" t="s">
        <v>990</v>
      </c>
      <c r="B139" s="3" t="s">
        <v>6043</v>
      </c>
      <c r="C139" s="3" t="s">
        <v>4806</v>
      </c>
      <c r="D139" s="3" t="s">
        <v>992</v>
      </c>
      <c r="E139" s="3">
        <v>23</v>
      </c>
      <c r="F139" s="3">
        <v>54</v>
      </c>
      <c r="G139" s="3" t="s">
        <v>6044</v>
      </c>
      <c r="H139" s="3">
        <v>29.755199999999999</v>
      </c>
      <c r="I139" s="3">
        <v>7</v>
      </c>
      <c r="J139" s="3" t="s">
        <v>5059</v>
      </c>
      <c r="K139" s="3" t="s">
        <v>5060</v>
      </c>
      <c r="L139" s="3" t="s">
        <v>6045</v>
      </c>
      <c r="M139" s="3" t="s">
        <v>6046</v>
      </c>
      <c r="N139" s="3" t="s">
        <v>6047</v>
      </c>
      <c r="O139" s="3" t="s">
        <v>6048</v>
      </c>
      <c r="P139" s="3" t="s">
        <v>6049</v>
      </c>
      <c r="Q139" s="3" t="s">
        <v>6050</v>
      </c>
      <c r="R139" s="3" t="s">
        <v>5067</v>
      </c>
      <c r="S139" s="3" t="s">
        <v>5068</v>
      </c>
      <c r="T139" s="3" t="s">
        <v>5069</v>
      </c>
      <c r="U139" s="3" t="s">
        <v>5070</v>
      </c>
      <c r="V139" s="3"/>
    </row>
    <row r="140" spans="1:22" ht="393.75" customHeight="1" x14ac:dyDescent="0.25">
      <c r="A140" s="2" t="s">
        <v>386</v>
      </c>
      <c r="B140" s="2" t="s">
        <v>6051</v>
      </c>
      <c r="C140" s="2" t="s">
        <v>4727</v>
      </c>
      <c r="D140" s="2" t="s">
        <v>388</v>
      </c>
      <c r="E140" s="2">
        <v>70</v>
      </c>
      <c r="F140" s="2">
        <v>54</v>
      </c>
      <c r="G140" s="2" t="s">
        <v>6052</v>
      </c>
      <c r="H140" s="2">
        <v>33.783799999999999</v>
      </c>
      <c r="I140" s="2">
        <v>8</v>
      </c>
      <c r="J140" s="2" t="s">
        <v>5059</v>
      </c>
      <c r="K140" s="2" t="s">
        <v>5060</v>
      </c>
      <c r="L140" s="2" t="s">
        <v>6053</v>
      </c>
      <c r="M140" s="2" t="s">
        <v>6054</v>
      </c>
      <c r="N140" s="2" t="s">
        <v>6055</v>
      </c>
      <c r="O140" s="2" t="s">
        <v>6056</v>
      </c>
      <c r="P140" s="2" t="s">
        <v>6057</v>
      </c>
      <c r="Q140" s="2" t="s">
        <v>6058</v>
      </c>
      <c r="R140" s="2" t="s">
        <v>5067</v>
      </c>
      <c r="S140" s="2" t="s">
        <v>5068</v>
      </c>
      <c r="T140" s="2" t="s">
        <v>5069</v>
      </c>
      <c r="U140" s="2" t="s">
        <v>5070</v>
      </c>
      <c r="V140" s="2"/>
    </row>
    <row r="141" spans="1:22" ht="56.25" customHeight="1" x14ac:dyDescent="0.25">
      <c r="A141" s="3" t="s">
        <v>906</v>
      </c>
      <c r="B141" s="3" t="s">
        <v>6059</v>
      </c>
      <c r="C141" s="3" t="s">
        <v>4803</v>
      </c>
      <c r="D141" s="3" t="s">
        <v>908</v>
      </c>
      <c r="E141" s="3">
        <v>5</v>
      </c>
      <c r="F141" s="3">
        <v>54</v>
      </c>
      <c r="G141" s="3" t="s">
        <v>6060</v>
      </c>
      <c r="H141" s="3">
        <v>29.468399999999999</v>
      </c>
      <c r="I141" s="3">
        <v>5</v>
      </c>
      <c r="J141" s="3" t="s">
        <v>5059</v>
      </c>
      <c r="K141" s="3" t="s">
        <v>5060</v>
      </c>
      <c r="L141" s="3" t="s">
        <v>6061</v>
      </c>
      <c r="M141" s="3" t="s">
        <v>6062</v>
      </c>
      <c r="N141" s="3" t="s">
        <v>6063</v>
      </c>
      <c r="O141" s="3" t="s">
        <v>6064</v>
      </c>
      <c r="P141" s="3" t="s">
        <v>6065</v>
      </c>
      <c r="Q141" s="3" t="s">
        <v>6066</v>
      </c>
      <c r="R141" s="3" t="s">
        <v>5067</v>
      </c>
      <c r="S141" s="3" t="s">
        <v>5068</v>
      </c>
      <c r="T141" s="3" t="s">
        <v>5069</v>
      </c>
      <c r="U141" s="3" t="s">
        <v>5070</v>
      </c>
      <c r="V141" s="3"/>
    </row>
    <row r="142" spans="1:22" ht="101.25" customHeight="1" x14ac:dyDescent="0.25">
      <c r="A142" s="2" t="s">
        <v>650</v>
      </c>
      <c r="B142" s="2" t="s">
        <v>6067</v>
      </c>
      <c r="C142" s="2" t="s">
        <v>4775</v>
      </c>
      <c r="D142" s="2" t="s">
        <v>652</v>
      </c>
      <c r="E142" s="2">
        <v>17</v>
      </c>
      <c r="F142" s="2">
        <v>54</v>
      </c>
      <c r="G142" s="2" t="s">
        <v>6068</v>
      </c>
      <c r="H142" s="2">
        <v>33.497</v>
      </c>
      <c r="I142" s="2">
        <v>6</v>
      </c>
      <c r="J142" s="2" t="s">
        <v>5059</v>
      </c>
      <c r="K142" s="2" t="s">
        <v>5060</v>
      </c>
      <c r="L142" s="2" t="s">
        <v>6069</v>
      </c>
      <c r="M142" s="2" t="s">
        <v>6070</v>
      </c>
      <c r="N142" s="2" t="s">
        <v>6071</v>
      </c>
      <c r="O142" s="2" t="s">
        <v>6072</v>
      </c>
      <c r="P142" s="2" t="s">
        <v>6073</v>
      </c>
      <c r="Q142" s="2" t="s">
        <v>6074</v>
      </c>
      <c r="R142" s="2" t="s">
        <v>5067</v>
      </c>
      <c r="S142" s="2" t="s">
        <v>5068</v>
      </c>
      <c r="T142" s="2" t="s">
        <v>5069</v>
      </c>
      <c r="U142" s="2" t="s">
        <v>5070</v>
      </c>
      <c r="V142" s="2"/>
    </row>
    <row r="143" spans="1:22" ht="45" customHeight="1" x14ac:dyDescent="0.25">
      <c r="A143" s="3" t="s">
        <v>1402</v>
      </c>
      <c r="B143" s="3" t="s">
        <v>6075</v>
      </c>
      <c r="C143" s="3" t="s">
        <v>4825</v>
      </c>
      <c r="D143" s="3" t="s">
        <v>1404</v>
      </c>
      <c r="E143" s="3">
        <v>4</v>
      </c>
      <c r="F143" s="3">
        <v>54</v>
      </c>
      <c r="G143" s="3" t="s">
        <v>6076</v>
      </c>
      <c r="H143" s="3">
        <v>28.649000000000001</v>
      </c>
      <c r="I143" s="3">
        <v>7</v>
      </c>
      <c r="J143" s="3" t="s">
        <v>5059</v>
      </c>
      <c r="K143" s="3" t="s">
        <v>5060</v>
      </c>
      <c r="L143" s="3" t="s">
        <v>6077</v>
      </c>
      <c r="M143" s="3" t="s">
        <v>6078</v>
      </c>
      <c r="N143" s="3" t="s">
        <v>6079</v>
      </c>
      <c r="O143" s="3" t="s">
        <v>6080</v>
      </c>
      <c r="P143" s="3" t="s">
        <v>6081</v>
      </c>
      <c r="Q143" s="3" t="s">
        <v>6082</v>
      </c>
      <c r="R143" s="3" t="s">
        <v>5067</v>
      </c>
      <c r="S143" s="3" t="s">
        <v>5068</v>
      </c>
      <c r="T143" s="3" t="s">
        <v>5069</v>
      </c>
      <c r="U143" s="3" t="s">
        <v>5070</v>
      </c>
      <c r="V143" s="3"/>
    </row>
    <row r="144" spans="1:22" ht="45" customHeight="1" x14ac:dyDescent="0.25">
      <c r="A144" s="2" t="s">
        <v>2755</v>
      </c>
      <c r="B144" s="2" t="s">
        <v>2754</v>
      </c>
      <c r="C144" s="2" t="s">
        <v>4940</v>
      </c>
      <c r="D144" s="2" t="s">
        <v>2757</v>
      </c>
      <c r="E144" s="2">
        <v>1</v>
      </c>
      <c r="F144" s="2">
        <v>54</v>
      </c>
      <c r="G144" s="2" t="s">
        <v>6083</v>
      </c>
      <c r="H144" s="2">
        <v>28.417000000000002</v>
      </c>
      <c r="I144" s="2">
        <v>6</v>
      </c>
      <c r="J144" s="2" t="s">
        <v>5059</v>
      </c>
      <c r="K144" s="2" t="s">
        <v>5060</v>
      </c>
      <c r="L144" s="2" t="s">
        <v>6084</v>
      </c>
      <c r="M144" s="2" t="s">
        <v>6085</v>
      </c>
      <c r="N144" s="2" t="s">
        <v>6086</v>
      </c>
      <c r="O144" s="2" t="s">
        <v>6087</v>
      </c>
      <c r="P144" s="2" t="s">
        <v>6088</v>
      </c>
      <c r="Q144" s="2" t="s">
        <v>6089</v>
      </c>
      <c r="R144" s="2" t="s">
        <v>5067</v>
      </c>
      <c r="S144" s="2" t="s">
        <v>5068</v>
      </c>
      <c r="T144" s="2" t="s">
        <v>5069</v>
      </c>
      <c r="U144" s="2" t="s">
        <v>5070</v>
      </c>
      <c r="V144" s="2"/>
    </row>
    <row r="145" spans="1:22" ht="45" customHeight="1" x14ac:dyDescent="0.25">
      <c r="A145" s="3" t="s">
        <v>1498</v>
      </c>
      <c r="B145" s="3" t="s">
        <v>1497</v>
      </c>
      <c r="C145" s="3" t="s">
        <v>4832</v>
      </c>
      <c r="D145" s="3" t="s">
        <v>1500</v>
      </c>
      <c r="E145" s="3">
        <v>1</v>
      </c>
      <c r="F145" s="3">
        <v>54</v>
      </c>
      <c r="G145" s="3" t="s">
        <v>6090</v>
      </c>
      <c r="H145" s="3">
        <v>28.617000000000001</v>
      </c>
      <c r="I145" s="3">
        <v>6</v>
      </c>
      <c r="J145" s="3" t="s">
        <v>5059</v>
      </c>
      <c r="K145" s="3" t="s">
        <v>5060</v>
      </c>
      <c r="L145" s="3" t="s">
        <v>6091</v>
      </c>
      <c r="M145" s="3" t="s">
        <v>6092</v>
      </c>
      <c r="N145" s="3" t="s">
        <v>6093</v>
      </c>
      <c r="O145" s="3" t="s">
        <v>6094</v>
      </c>
      <c r="P145" s="3" t="s">
        <v>6095</v>
      </c>
      <c r="Q145" s="3" t="s">
        <v>6096</v>
      </c>
      <c r="R145" s="3" t="s">
        <v>5067</v>
      </c>
      <c r="S145" s="3" t="s">
        <v>5068</v>
      </c>
      <c r="T145" s="3" t="s">
        <v>5069</v>
      </c>
      <c r="U145" s="3" t="s">
        <v>5070</v>
      </c>
      <c r="V145" s="3"/>
    </row>
    <row r="146" spans="1:22" ht="56.25" customHeight="1" x14ac:dyDescent="0.25">
      <c r="A146" s="2" t="s">
        <v>1564</v>
      </c>
      <c r="B146" s="2" t="s">
        <v>1563</v>
      </c>
      <c r="C146" s="2" t="s">
        <v>4837</v>
      </c>
      <c r="D146" s="2" t="s">
        <v>1566</v>
      </c>
      <c r="E146" s="2">
        <v>1</v>
      </c>
      <c r="F146" s="2">
        <v>56</v>
      </c>
      <c r="G146" s="2" t="s">
        <v>6097</v>
      </c>
      <c r="H146" s="2">
        <v>44.106000000000002</v>
      </c>
      <c r="I146" s="2">
        <v>7</v>
      </c>
      <c r="J146" s="2" t="s">
        <v>5059</v>
      </c>
      <c r="K146" s="2" t="s">
        <v>5060</v>
      </c>
      <c r="L146" s="2" t="s">
        <v>6098</v>
      </c>
      <c r="M146" s="2" t="s">
        <v>6099</v>
      </c>
      <c r="N146" s="2" t="s">
        <v>6100</v>
      </c>
      <c r="O146" s="2" t="s">
        <v>6101</v>
      </c>
      <c r="P146" s="2" t="s">
        <v>6102</v>
      </c>
      <c r="Q146" s="2" t="s">
        <v>6103</v>
      </c>
      <c r="R146" s="2" t="s">
        <v>5067</v>
      </c>
      <c r="S146" s="2" t="s">
        <v>5068</v>
      </c>
      <c r="T146" s="2" t="s">
        <v>5069</v>
      </c>
      <c r="U146" s="2" t="s">
        <v>5070</v>
      </c>
      <c r="V146" s="2"/>
    </row>
    <row r="147" spans="1:22" ht="45" customHeight="1" x14ac:dyDescent="0.25">
      <c r="A147" s="3" t="s">
        <v>2700</v>
      </c>
      <c r="B147" s="3" t="s">
        <v>6104</v>
      </c>
      <c r="C147" s="3" t="s">
        <v>4935</v>
      </c>
      <c r="D147" s="3" t="s">
        <v>2702</v>
      </c>
      <c r="E147" s="3">
        <v>8</v>
      </c>
      <c r="F147" s="3">
        <v>56</v>
      </c>
      <c r="G147" s="3" t="s">
        <v>6105</v>
      </c>
      <c r="H147" s="3">
        <v>28.126000000000001</v>
      </c>
      <c r="I147" s="3">
        <v>6</v>
      </c>
      <c r="J147" s="3" t="s">
        <v>5059</v>
      </c>
      <c r="K147" s="3" t="s">
        <v>5060</v>
      </c>
      <c r="L147" s="3" t="s">
        <v>5539</v>
      </c>
      <c r="M147" s="3" t="s">
        <v>5540</v>
      </c>
      <c r="N147" s="3" t="s">
        <v>6106</v>
      </c>
      <c r="O147" s="3" t="s">
        <v>6107</v>
      </c>
      <c r="P147" s="3" t="s">
        <v>6108</v>
      </c>
      <c r="Q147" s="3" t="s">
        <v>6109</v>
      </c>
      <c r="R147" s="3" t="s">
        <v>5067</v>
      </c>
      <c r="S147" s="3" t="s">
        <v>5068</v>
      </c>
      <c r="T147" s="3" t="s">
        <v>5069</v>
      </c>
      <c r="U147" s="3" t="s">
        <v>5070</v>
      </c>
      <c r="V147" s="3"/>
    </row>
    <row r="148" spans="1:22" ht="101.25" customHeight="1" x14ac:dyDescent="0.25">
      <c r="A148" s="2" t="s">
        <v>378</v>
      </c>
      <c r="B148" s="2" t="s">
        <v>6110</v>
      </c>
      <c r="C148" s="2" t="s">
        <v>4722</v>
      </c>
      <c r="D148" s="2" t="s">
        <v>380</v>
      </c>
      <c r="E148" s="2">
        <v>18</v>
      </c>
      <c r="F148" s="2">
        <v>56</v>
      </c>
      <c r="G148" s="2" t="s">
        <v>6111</v>
      </c>
      <c r="H148" s="2">
        <v>29.743200000000002</v>
      </c>
      <c r="I148" s="2">
        <v>7</v>
      </c>
      <c r="J148" s="2" t="s">
        <v>5059</v>
      </c>
      <c r="K148" s="2" t="s">
        <v>5060</v>
      </c>
      <c r="L148" s="2" t="s">
        <v>6112</v>
      </c>
      <c r="M148" s="2" t="s">
        <v>6113</v>
      </c>
      <c r="N148" s="2" t="s">
        <v>6114</v>
      </c>
      <c r="O148" s="2" t="s">
        <v>6115</v>
      </c>
      <c r="P148" s="2" t="s">
        <v>6116</v>
      </c>
      <c r="Q148" s="2" t="s">
        <v>6117</v>
      </c>
      <c r="R148" s="2" t="s">
        <v>5067</v>
      </c>
      <c r="S148" s="2" t="s">
        <v>5068</v>
      </c>
      <c r="T148" s="2" t="s">
        <v>5069</v>
      </c>
      <c r="U148" s="2" t="s">
        <v>5070</v>
      </c>
      <c r="V148" s="2"/>
    </row>
    <row r="149" spans="1:22" ht="45" customHeight="1" x14ac:dyDescent="0.25">
      <c r="A149" s="3" t="s">
        <v>265</v>
      </c>
      <c r="B149" s="3" t="s">
        <v>6118</v>
      </c>
      <c r="C149" s="3" t="s">
        <v>4692</v>
      </c>
      <c r="D149" s="3" t="s">
        <v>267</v>
      </c>
      <c r="E149" s="3">
        <v>5</v>
      </c>
      <c r="F149" s="3">
        <v>56</v>
      </c>
      <c r="G149" s="3" t="s">
        <v>6119</v>
      </c>
      <c r="H149" s="3">
        <v>27.839200000000002</v>
      </c>
      <c r="I149" s="3">
        <v>6</v>
      </c>
      <c r="J149" s="3" t="s">
        <v>5059</v>
      </c>
      <c r="K149" s="3" t="s">
        <v>5060</v>
      </c>
      <c r="L149" s="3" t="s">
        <v>6120</v>
      </c>
      <c r="M149" s="3" t="s">
        <v>6121</v>
      </c>
      <c r="N149" s="3" t="s">
        <v>6122</v>
      </c>
      <c r="O149" s="3" t="s">
        <v>6123</v>
      </c>
      <c r="P149" s="3" t="s">
        <v>6124</v>
      </c>
      <c r="Q149" s="3" t="s">
        <v>6125</v>
      </c>
      <c r="R149" s="3" t="s">
        <v>5067</v>
      </c>
      <c r="S149" s="3" t="s">
        <v>5068</v>
      </c>
      <c r="T149" s="3" t="s">
        <v>5069</v>
      </c>
      <c r="U149" s="3" t="s">
        <v>5070</v>
      </c>
      <c r="V149" s="3"/>
    </row>
    <row r="150" spans="1:22" ht="33.75" customHeight="1" x14ac:dyDescent="0.25">
      <c r="A150" s="2" t="s">
        <v>2294</v>
      </c>
      <c r="B150" s="2" t="s">
        <v>2293</v>
      </c>
      <c r="C150" s="2" t="s">
        <v>4901</v>
      </c>
      <c r="D150" s="2" t="s">
        <v>2296</v>
      </c>
      <c r="E150" s="2">
        <v>1</v>
      </c>
      <c r="F150" s="2">
        <v>56</v>
      </c>
      <c r="G150" s="2" t="s">
        <v>6126</v>
      </c>
      <c r="H150" s="2">
        <v>28.2624</v>
      </c>
      <c r="I150" s="2">
        <v>7</v>
      </c>
      <c r="J150" s="2" t="s">
        <v>5059</v>
      </c>
      <c r="K150" s="2" t="s">
        <v>5124</v>
      </c>
      <c r="L150" s="2" t="s">
        <v>6127</v>
      </c>
      <c r="M150" s="2" t="s">
        <v>6127</v>
      </c>
      <c r="N150" s="2" t="s">
        <v>6128</v>
      </c>
      <c r="O150" s="2" t="s">
        <v>6129</v>
      </c>
      <c r="P150" s="2" t="s">
        <v>6130</v>
      </c>
      <c r="Q150" s="2" t="s">
        <v>6131</v>
      </c>
      <c r="R150" s="2" t="s">
        <v>5067</v>
      </c>
      <c r="S150" s="2" t="s">
        <v>5068</v>
      </c>
      <c r="T150" s="2" t="s">
        <v>5069</v>
      </c>
      <c r="U150" s="2" t="s">
        <v>5070</v>
      </c>
      <c r="V150" s="2"/>
    </row>
    <row r="151" spans="1:22" ht="33.75" customHeight="1" x14ac:dyDescent="0.25">
      <c r="A151" s="3" t="s">
        <v>4426</v>
      </c>
      <c r="B151" s="3" t="s">
        <v>4425</v>
      </c>
      <c r="C151" s="3" t="s">
        <v>4901</v>
      </c>
      <c r="D151" s="3" t="s">
        <v>4428</v>
      </c>
      <c r="E151" s="3">
        <v>1</v>
      </c>
      <c r="F151" s="3">
        <v>56</v>
      </c>
      <c r="G151" s="3" t="s">
        <v>6126</v>
      </c>
      <c r="H151" s="3">
        <v>28.2624</v>
      </c>
      <c r="I151" s="3">
        <v>7</v>
      </c>
      <c r="J151" s="3" t="s">
        <v>5059</v>
      </c>
      <c r="K151" s="3" t="s">
        <v>5124</v>
      </c>
      <c r="L151" s="3" t="s">
        <v>6132</v>
      </c>
      <c r="M151" s="3" t="s">
        <v>6132</v>
      </c>
      <c r="N151" s="3" t="s">
        <v>6133</v>
      </c>
      <c r="O151" s="3" t="s">
        <v>6134</v>
      </c>
      <c r="P151" s="3" t="s">
        <v>6135</v>
      </c>
      <c r="Q151" s="3" t="s">
        <v>6136</v>
      </c>
      <c r="R151" s="3" t="s">
        <v>5067</v>
      </c>
      <c r="S151" s="3" t="s">
        <v>5068</v>
      </c>
      <c r="T151" s="3" t="s">
        <v>5069</v>
      </c>
      <c r="U151" s="3" t="s">
        <v>5070</v>
      </c>
      <c r="V151" s="3"/>
    </row>
    <row r="152" spans="1:22" ht="45" customHeight="1" x14ac:dyDescent="0.25">
      <c r="A152" s="2" t="s">
        <v>2147</v>
      </c>
      <c r="B152" s="2" t="s">
        <v>6137</v>
      </c>
      <c r="C152" s="2" t="s">
        <v>4887</v>
      </c>
      <c r="D152" s="2" t="s">
        <v>2149</v>
      </c>
      <c r="E152" s="2">
        <v>7</v>
      </c>
      <c r="F152" s="2">
        <v>57</v>
      </c>
      <c r="G152" s="2" t="s">
        <v>6138</v>
      </c>
      <c r="H152" s="2">
        <v>30.326000000000001</v>
      </c>
      <c r="I152" s="2">
        <v>7</v>
      </c>
      <c r="J152" s="2" t="s">
        <v>5059</v>
      </c>
      <c r="K152" s="2" t="s">
        <v>5060</v>
      </c>
      <c r="L152" s="2" t="s">
        <v>6139</v>
      </c>
      <c r="M152" s="2" t="s">
        <v>6140</v>
      </c>
      <c r="N152" s="2" t="s">
        <v>6141</v>
      </c>
      <c r="O152" s="2" t="s">
        <v>6142</v>
      </c>
      <c r="P152" s="2" t="s">
        <v>6143</v>
      </c>
      <c r="Q152" s="2" t="s">
        <v>6144</v>
      </c>
      <c r="R152" s="2" t="s">
        <v>5067</v>
      </c>
      <c r="S152" s="2" t="s">
        <v>5068</v>
      </c>
      <c r="T152" s="2" t="s">
        <v>5069</v>
      </c>
      <c r="U152" s="2" t="s">
        <v>5070</v>
      </c>
      <c r="V152" s="2"/>
    </row>
    <row r="153" spans="1:22" ht="45" customHeight="1" x14ac:dyDescent="0.25">
      <c r="A153" s="3" t="s">
        <v>3626</v>
      </c>
      <c r="B153" s="3" t="s">
        <v>6145</v>
      </c>
      <c r="C153" s="3" t="s">
        <v>4988</v>
      </c>
      <c r="D153" s="3" t="s">
        <v>3628</v>
      </c>
      <c r="E153" s="3">
        <v>2</v>
      </c>
      <c r="F153" s="3">
        <v>57</v>
      </c>
      <c r="G153" s="3" t="s">
        <v>6146</v>
      </c>
      <c r="H153" s="3">
        <v>27.506</v>
      </c>
      <c r="I153" s="3">
        <v>7</v>
      </c>
      <c r="J153" s="3" t="s">
        <v>5059</v>
      </c>
      <c r="K153" s="3" t="s">
        <v>5060</v>
      </c>
      <c r="L153" s="3" t="s">
        <v>6147</v>
      </c>
      <c r="M153" s="3" t="s">
        <v>6148</v>
      </c>
      <c r="N153" s="3" t="s">
        <v>6149</v>
      </c>
      <c r="O153" s="3" t="s">
        <v>6150</v>
      </c>
      <c r="P153" s="3" t="s">
        <v>6151</v>
      </c>
      <c r="Q153" s="3" t="s">
        <v>6152</v>
      </c>
      <c r="R153" s="3" t="s">
        <v>5067</v>
      </c>
      <c r="S153" s="3" t="s">
        <v>5068</v>
      </c>
      <c r="T153" s="3" t="s">
        <v>5069</v>
      </c>
      <c r="U153" s="3" t="s">
        <v>5070</v>
      </c>
      <c r="V153" s="3"/>
    </row>
    <row r="154" spans="1:22" ht="213.75" customHeight="1" x14ac:dyDescent="0.25">
      <c r="A154" s="2" t="s">
        <v>1294</v>
      </c>
      <c r="B154" s="2" t="s">
        <v>6153</v>
      </c>
      <c r="C154" s="2" t="s">
        <v>4819</v>
      </c>
      <c r="D154" s="2" t="s">
        <v>1296</v>
      </c>
      <c r="E154" s="2">
        <v>38</v>
      </c>
      <c r="F154" s="2">
        <v>57</v>
      </c>
      <c r="G154" s="2" t="s">
        <v>6154</v>
      </c>
      <c r="H154" s="2">
        <v>27.925999999999998</v>
      </c>
      <c r="I154" s="2">
        <v>6</v>
      </c>
      <c r="J154" s="2" t="s">
        <v>5059</v>
      </c>
      <c r="K154" s="2" t="s">
        <v>5060</v>
      </c>
      <c r="L154" s="2" t="s">
        <v>6155</v>
      </c>
      <c r="M154" s="2" t="s">
        <v>6156</v>
      </c>
      <c r="N154" s="2" t="s">
        <v>6157</v>
      </c>
      <c r="O154" s="2" t="s">
        <v>6158</v>
      </c>
      <c r="P154" s="2" t="s">
        <v>6159</v>
      </c>
      <c r="Q154" s="2" t="s">
        <v>6160</v>
      </c>
      <c r="R154" s="2" t="s">
        <v>5067</v>
      </c>
      <c r="S154" s="2" t="s">
        <v>5068</v>
      </c>
      <c r="T154" s="2" t="s">
        <v>5069</v>
      </c>
      <c r="U154" s="2" t="s">
        <v>5070</v>
      </c>
      <c r="V154" s="2"/>
    </row>
    <row r="155" spans="1:22" ht="56.25" customHeight="1" x14ac:dyDescent="0.25">
      <c r="A155" s="3" t="s">
        <v>1715</v>
      </c>
      <c r="B155" s="3" t="s">
        <v>6161</v>
      </c>
      <c r="C155" s="3" t="s">
        <v>4844</v>
      </c>
      <c r="D155" s="3" t="s">
        <v>1717</v>
      </c>
      <c r="E155" s="3">
        <v>9</v>
      </c>
      <c r="F155" s="3">
        <v>57</v>
      </c>
      <c r="G155" s="3" t="s">
        <v>6162</v>
      </c>
      <c r="H155" s="3">
        <v>29.805199999999999</v>
      </c>
      <c r="I155" s="3">
        <v>7</v>
      </c>
      <c r="J155" s="3" t="s">
        <v>5059</v>
      </c>
      <c r="K155" s="3" t="s">
        <v>5060</v>
      </c>
      <c r="L155" s="3" t="s">
        <v>6163</v>
      </c>
      <c r="M155" s="3" t="s">
        <v>6164</v>
      </c>
      <c r="N155" s="3" t="s">
        <v>6165</v>
      </c>
      <c r="O155" s="3" t="s">
        <v>6166</v>
      </c>
      <c r="P155" s="3" t="s">
        <v>6167</v>
      </c>
      <c r="Q155" s="3" t="s">
        <v>6168</v>
      </c>
      <c r="R155" s="3" t="s">
        <v>5067</v>
      </c>
      <c r="S155" s="3" t="s">
        <v>5068</v>
      </c>
      <c r="T155" s="3" t="s">
        <v>5069</v>
      </c>
      <c r="U155" s="3" t="s">
        <v>5070</v>
      </c>
      <c r="V155" s="3"/>
    </row>
    <row r="156" spans="1:22" ht="78.75" customHeight="1" x14ac:dyDescent="0.25">
      <c r="A156" s="2" t="s">
        <v>820</v>
      </c>
      <c r="B156" s="2" t="s">
        <v>6169</v>
      </c>
      <c r="C156" s="2" t="s">
        <v>4795</v>
      </c>
      <c r="D156" s="2" t="s">
        <v>822</v>
      </c>
      <c r="E156" s="2">
        <v>10</v>
      </c>
      <c r="F156" s="2">
        <v>57</v>
      </c>
      <c r="G156" s="2" t="s">
        <v>6170</v>
      </c>
      <c r="H156" s="2">
        <v>27.639199999999999</v>
      </c>
      <c r="I156" s="2">
        <v>6</v>
      </c>
      <c r="J156" s="2" t="s">
        <v>5059</v>
      </c>
      <c r="K156" s="2" t="s">
        <v>5060</v>
      </c>
      <c r="L156" s="2" t="s">
        <v>6171</v>
      </c>
      <c r="M156" s="2" t="s">
        <v>6172</v>
      </c>
      <c r="N156" s="2" t="s">
        <v>6173</v>
      </c>
      <c r="O156" s="2" t="s">
        <v>6174</v>
      </c>
      <c r="P156" s="2" t="s">
        <v>6175</v>
      </c>
      <c r="Q156" s="2" t="s">
        <v>6176</v>
      </c>
      <c r="R156" s="2" t="s">
        <v>5067</v>
      </c>
      <c r="S156" s="2" t="s">
        <v>5068</v>
      </c>
      <c r="T156" s="2" t="s">
        <v>5069</v>
      </c>
      <c r="U156" s="2" t="s">
        <v>5070</v>
      </c>
      <c r="V156" s="2"/>
    </row>
    <row r="157" spans="1:22" ht="56.25" customHeight="1" x14ac:dyDescent="0.25">
      <c r="A157" s="3" t="s">
        <v>628</v>
      </c>
      <c r="B157" s="3" t="s">
        <v>627</v>
      </c>
      <c r="C157" s="3" t="s">
        <v>4769</v>
      </c>
      <c r="D157" s="3" t="s">
        <v>630</v>
      </c>
      <c r="E157" s="3">
        <v>1</v>
      </c>
      <c r="F157" s="3">
        <v>57</v>
      </c>
      <c r="G157" s="3" t="s">
        <v>6177</v>
      </c>
      <c r="H157" s="3">
        <v>50.954000000000001</v>
      </c>
      <c r="I157" s="3">
        <v>8</v>
      </c>
      <c r="J157" s="3" t="s">
        <v>5059</v>
      </c>
      <c r="K157" s="3" t="s">
        <v>5060</v>
      </c>
      <c r="L157" s="3" t="s">
        <v>6178</v>
      </c>
      <c r="M157" s="3" t="s">
        <v>6179</v>
      </c>
      <c r="N157" s="3" t="s">
        <v>6180</v>
      </c>
      <c r="O157" s="3" t="s">
        <v>6181</v>
      </c>
      <c r="P157" s="3" t="s">
        <v>6182</v>
      </c>
      <c r="Q157" s="3" t="s">
        <v>6183</v>
      </c>
      <c r="R157" s="3" t="s">
        <v>5067</v>
      </c>
      <c r="S157" s="3" t="s">
        <v>5068</v>
      </c>
      <c r="T157" s="3" t="s">
        <v>5069</v>
      </c>
      <c r="U157" s="3" t="s">
        <v>5070</v>
      </c>
      <c r="V157" s="3"/>
    </row>
    <row r="158" spans="1:22" ht="56.25" customHeight="1" x14ac:dyDescent="0.25">
      <c r="A158" s="2" t="s">
        <v>1354</v>
      </c>
      <c r="B158" s="2" t="s">
        <v>1353</v>
      </c>
      <c r="C158" s="2" t="s">
        <v>4822</v>
      </c>
      <c r="D158" s="2" t="s">
        <v>1356</v>
      </c>
      <c r="E158" s="2">
        <v>1</v>
      </c>
      <c r="F158" s="2">
        <v>57</v>
      </c>
      <c r="G158" s="2" t="s">
        <v>6184</v>
      </c>
      <c r="H158" s="2">
        <v>50.954000000000001</v>
      </c>
      <c r="I158" s="2">
        <v>8</v>
      </c>
      <c r="J158" s="2" t="s">
        <v>5059</v>
      </c>
      <c r="K158" s="2" t="s">
        <v>5060</v>
      </c>
      <c r="L158" s="2" t="s">
        <v>6185</v>
      </c>
      <c r="M158" s="2" t="s">
        <v>6186</v>
      </c>
      <c r="N158" s="2" t="s">
        <v>6187</v>
      </c>
      <c r="O158" s="2" t="s">
        <v>6188</v>
      </c>
      <c r="P158" s="2" t="s">
        <v>6189</v>
      </c>
      <c r="Q158" s="2" t="s">
        <v>6190</v>
      </c>
      <c r="R158" s="2" t="s">
        <v>5067</v>
      </c>
      <c r="S158" s="2" t="s">
        <v>5068</v>
      </c>
      <c r="T158" s="2" t="s">
        <v>5069</v>
      </c>
      <c r="U158" s="2" t="s">
        <v>5070</v>
      </c>
      <c r="V158" s="2"/>
    </row>
    <row r="159" spans="1:22" ht="56.25" customHeight="1" x14ac:dyDescent="0.25">
      <c r="A159" s="3" t="s">
        <v>2340</v>
      </c>
      <c r="B159" s="3" t="s">
        <v>6191</v>
      </c>
      <c r="C159" s="3" t="s">
        <v>4902</v>
      </c>
      <c r="D159" s="3" t="s">
        <v>2342</v>
      </c>
      <c r="E159" s="3">
        <v>2</v>
      </c>
      <c r="F159" s="3">
        <v>57</v>
      </c>
      <c r="G159" s="3" t="s">
        <v>6192</v>
      </c>
      <c r="H159" s="3">
        <v>50.954000000000001</v>
      </c>
      <c r="I159" s="3">
        <v>8</v>
      </c>
      <c r="J159" s="3" t="s">
        <v>5059</v>
      </c>
      <c r="K159" s="3" t="s">
        <v>5060</v>
      </c>
      <c r="L159" s="3" t="s">
        <v>6193</v>
      </c>
      <c r="M159" s="3" t="s">
        <v>6194</v>
      </c>
      <c r="N159" s="3" t="s">
        <v>6195</v>
      </c>
      <c r="O159" s="3" t="s">
        <v>6196</v>
      </c>
      <c r="P159" s="3" t="s">
        <v>6197</v>
      </c>
      <c r="Q159" s="3" t="s">
        <v>6198</v>
      </c>
      <c r="R159" s="3" t="s">
        <v>5067</v>
      </c>
      <c r="S159" s="3" t="s">
        <v>5068</v>
      </c>
      <c r="T159" s="3" t="s">
        <v>5069</v>
      </c>
      <c r="U159" s="3" t="s">
        <v>5070</v>
      </c>
      <c r="V159" s="3"/>
    </row>
    <row r="160" spans="1:22" ht="33.75" customHeight="1" x14ac:dyDescent="0.25">
      <c r="A160" s="2" t="s">
        <v>4139</v>
      </c>
      <c r="B160" s="2" t="s">
        <v>4138</v>
      </c>
      <c r="C160" s="2" t="s">
        <v>5021</v>
      </c>
      <c r="D160" s="2" t="s">
        <v>4141</v>
      </c>
      <c r="E160" s="2">
        <v>1</v>
      </c>
      <c r="F160" s="2">
        <v>57</v>
      </c>
      <c r="G160" s="2" t="s">
        <v>6199</v>
      </c>
      <c r="H160" s="2">
        <v>27.981560000000002</v>
      </c>
      <c r="I160" s="2">
        <v>9</v>
      </c>
      <c r="J160" s="2" t="s">
        <v>5059</v>
      </c>
      <c r="K160" s="2" t="s">
        <v>5124</v>
      </c>
      <c r="L160" s="2" t="s">
        <v>6200</v>
      </c>
      <c r="M160" s="2" t="s">
        <v>6200</v>
      </c>
      <c r="N160" s="2" t="s">
        <v>6201</v>
      </c>
      <c r="O160" s="2" t="s">
        <v>6202</v>
      </c>
      <c r="P160" s="2" t="s">
        <v>6203</v>
      </c>
      <c r="Q160" s="2" t="s">
        <v>6204</v>
      </c>
      <c r="R160" s="2" t="s">
        <v>5067</v>
      </c>
      <c r="S160" s="2" t="s">
        <v>5068</v>
      </c>
      <c r="T160" s="2" t="s">
        <v>5069</v>
      </c>
      <c r="U160" s="2" t="s">
        <v>5070</v>
      </c>
      <c r="V160" s="2"/>
    </row>
    <row r="161" spans="1:22" ht="33.75" customHeight="1" x14ac:dyDescent="0.25">
      <c r="A161" s="3" t="s">
        <v>1789</v>
      </c>
      <c r="B161" s="3" t="s">
        <v>6205</v>
      </c>
      <c r="C161" s="3" t="s">
        <v>4859</v>
      </c>
      <c r="D161" s="3" t="s">
        <v>1791</v>
      </c>
      <c r="E161" s="3">
        <v>4</v>
      </c>
      <c r="F161" s="3">
        <v>57</v>
      </c>
      <c r="G161" s="3" t="s">
        <v>6206</v>
      </c>
      <c r="H161" s="3">
        <v>27.801559999999998</v>
      </c>
      <c r="I161" s="3">
        <v>8</v>
      </c>
      <c r="J161" s="3" t="s">
        <v>5059</v>
      </c>
      <c r="K161" s="3" t="s">
        <v>5124</v>
      </c>
      <c r="L161" s="3" t="s">
        <v>6207</v>
      </c>
      <c r="M161" s="3" t="s">
        <v>6207</v>
      </c>
      <c r="N161" s="3" t="s">
        <v>6208</v>
      </c>
      <c r="O161" s="3" t="s">
        <v>6209</v>
      </c>
      <c r="P161" s="3" t="s">
        <v>6210</v>
      </c>
      <c r="Q161" s="3" t="s">
        <v>6211</v>
      </c>
      <c r="R161" s="3" t="s">
        <v>5067</v>
      </c>
      <c r="S161" s="3" t="s">
        <v>5068</v>
      </c>
      <c r="T161" s="3" t="s">
        <v>5069</v>
      </c>
      <c r="U161" s="3" t="s">
        <v>5070</v>
      </c>
      <c r="V161" s="3"/>
    </row>
    <row r="162" spans="1:22" ht="45" customHeight="1" x14ac:dyDescent="0.25">
      <c r="A162" s="2" t="s">
        <v>3921</v>
      </c>
      <c r="B162" s="2" t="s">
        <v>3920</v>
      </c>
      <c r="C162" s="2" t="s">
        <v>5012</v>
      </c>
      <c r="D162" s="2" t="s">
        <v>3923</v>
      </c>
      <c r="E162" s="2">
        <v>1</v>
      </c>
      <c r="F162" s="2">
        <v>60</v>
      </c>
      <c r="G162" s="2" t="s">
        <v>6212</v>
      </c>
      <c r="H162" s="2">
        <v>46.670200000000001</v>
      </c>
      <c r="I162" s="2">
        <v>8</v>
      </c>
      <c r="J162" s="2" t="s">
        <v>5059</v>
      </c>
      <c r="K162" s="2" t="s">
        <v>5060</v>
      </c>
      <c r="L162" s="2" t="s">
        <v>6213</v>
      </c>
      <c r="M162" s="2" t="s">
        <v>6214</v>
      </c>
      <c r="N162" s="2" t="s">
        <v>6215</v>
      </c>
      <c r="O162" s="2" t="s">
        <v>6216</v>
      </c>
      <c r="P162" s="2" t="s">
        <v>6217</v>
      </c>
      <c r="Q162" s="2" t="s">
        <v>6218</v>
      </c>
      <c r="R162" s="2" t="s">
        <v>5067</v>
      </c>
      <c r="S162" s="2" t="s">
        <v>5068</v>
      </c>
      <c r="T162" s="2" t="s">
        <v>5069</v>
      </c>
      <c r="U162" s="2" t="s">
        <v>5070</v>
      </c>
      <c r="V162" s="2"/>
    </row>
    <row r="163" spans="1:22" ht="78.75" customHeight="1" x14ac:dyDescent="0.25">
      <c r="A163" s="3" t="s">
        <v>366</v>
      </c>
      <c r="B163" s="3" t="s">
        <v>6219</v>
      </c>
      <c r="C163" s="3" t="s">
        <v>4718</v>
      </c>
      <c r="D163" s="3" t="s">
        <v>368</v>
      </c>
      <c r="E163" s="3">
        <v>13</v>
      </c>
      <c r="F163" s="3">
        <v>60</v>
      </c>
      <c r="G163" s="3" t="s">
        <v>6220</v>
      </c>
      <c r="H163" s="3">
        <v>32.983400000000003</v>
      </c>
      <c r="I163" s="3">
        <v>8</v>
      </c>
      <c r="J163" s="3" t="s">
        <v>5059</v>
      </c>
      <c r="K163" s="3" t="s">
        <v>5060</v>
      </c>
      <c r="L163" s="3" t="s">
        <v>6221</v>
      </c>
      <c r="M163" s="3" t="s">
        <v>6222</v>
      </c>
      <c r="N163" s="3" t="s">
        <v>6223</v>
      </c>
      <c r="O163" s="3" t="s">
        <v>6224</v>
      </c>
      <c r="P163" s="3" t="s">
        <v>6225</v>
      </c>
      <c r="Q163" s="3" t="s">
        <v>6226</v>
      </c>
      <c r="R163" s="3" t="s">
        <v>5067</v>
      </c>
      <c r="S163" s="3" t="s">
        <v>5068</v>
      </c>
      <c r="T163" s="3" t="s">
        <v>5069</v>
      </c>
      <c r="U163" s="3" t="s">
        <v>5070</v>
      </c>
      <c r="V163" s="3"/>
    </row>
    <row r="164" spans="1:22" ht="45" customHeight="1" x14ac:dyDescent="0.25">
      <c r="A164" s="2" t="s">
        <v>1139</v>
      </c>
      <c r="B164" s="2" t="s">
        <v>6227</v>
      </c>
      <c r="C164" s="2" t="s">
        <v>4811</v>
      </c>
      <c r="D164" s="2" t="s">
        <v>1141</v>
      </c>
      <c r="E164" s="2">
        <v>2</v>
      </c>
      <c r="F164" s="2">
        <v>60</v>
      </c>
      <c r="G164" s="2" t="s">
        <v>6228</v>
      </c>
      <c r="H164" s="2">
        <v>49.136000000000003</v>
      </c>
      <c r="I164" s="2">
        <v>7</v>
      </c>
      <c r="J164" s="2" t="s">
        <v>5059</v>
      </c>
      <c r="K164" s="2" t="s">
        <v>5060</v>
      </c>
      <c r="L164" s="2" t="s">
        <v>6229</v>
      </c>
      <c r="M164" s="2" t="s">
        <v>6230</v>
      </c>
      <c r="N164" s="2" t="s">
        <v>6231</v>
      </c>
      <c r="O164" s="2" t="s">
        <v>6232</v>
      </c>
      <c r="P164" s="2" t="s">
        <v>6233</v>
      </c>
      <c r="Q164" s="2" t="s">
        <v>6234</v>
      </c>
      <c r="R164" s="2" t="s">
        <v>5067</v>
      </c>
      <c r="S164" s="2" t="s">
        <v>5068</v>
      </c>
      <c r="T164" s="2" t="s">
        <v>5069</v>
      </c>
      <c r="U164" s="2" t="s">
        <v>5070</v>
      </c>
      <c r="V164" s="2"/>
    </row>
    <row r="165" spans="1:22" ht="45" customHeight="1" x14ac:dyDescent="0.25">
      <c r="A165" s="3" t="s">
        <v>3287</v>
      </c>
      <c r="B165" s="3" t="s">
        <v>6235</v>
      </c>
      <c r="C165" s="3" t="s">
        <v>4973</v>
      </c>
      <c r="D165" s="3" t="s">
        <v>3289</v>
      </c>
      <c r="E165" s="3">
        <v>2</v>
      </c>
      <c r="F165" s="3">
        <v>60</v>
      </c>
      <c r="G165" s="3" t="s">
        <v>6236</v>
      </c>
      <c r="H165" s="3">
        <v>49.136000000000003</v>
      </c>
      <c r="I165" s="3">
        <v>7</v>
      </c>
      <c r="J165" s="3" t="s">
        <v>5059</v>
      </c>
      <c r="K165" s="3" t="s">
        <v>5060</v>
      </c>
      <c r="L165" s="3" t="s">
        <v>6237</v>
      </c>
      <c r="M165" s="3" t="s">
        <v>6238</v>
      </c>
      <c r="N165" s="3" t="s">
        <v>6239</v>
      </c>
      <c r="O165" s="3" t="s">
        <v>6240</v>
      </c>
      <c r="P165" s="3" t="s">
        <v>6241</v>
      </c>
      <c r="Q165" s="3" t="s">
        <v>6242</v>
      </c>
      <c r="R165" s="3" t="s">
        <v>5067</v>
      </c>
      <c r="S165" s="3" t="s">
        <v>5068</v>
      </c>
      <c r="T165" s="3" t="s">
        <v>5069</v>
      </c>
      <c r="U165" s="3" t="s">
        <v>5070</v>
      </c>
      <c r="V165" s="3"/>
    </row>
    <row r="166" spans="1:22" ht="45" customHeight="1" x14ac:dyDescent="0.25">
      <c r="A166" s="2" t="s">
        <v>616</v>
      </c>
      <c r="B166" s="2" t="s">
        <v>615</v>
      </c>
      <c r="C166" s="2" t="s">
        <v>4766</v>
      </c>
      <c r="D166" s="2" t="s">
        <v>618</v>
      </c>
      <c r="E166" s="2">
        <v>1</v>
      </c>
      <c r="F166" s="2">
        <v>60</v>
      </c>
      <c r="G166" s="2" t="s">
        <v>6243</v>
      </c>
      <c r="H166" s="2">
        <v>49.136000000000003</v>
      </c>
      <c r="I166" s="2">
        <v>7</v>
      </c>
      <c r="J166" s="2" t="s">
        <v>5059</v>
      </c>
      <c r="K166" s="2" t="s">
        <v>5060</v>
      </c>
      <c r="L166" s="2" t="s">
        <v>6244</v>
      </c>
      <c r="M166" s="2" t="s">
        <v>6245</v>
      </c>
      <c r="N166" s="2" t="s">
        <v>6246</v>
      </c>
      <c r="O166" s="2" t="s">
        <v>6247</v>
      </c>
      <c r="P166" s="2" t="s">
        <v>6248</v>
      </c>
      <c r="Q166" s="2" t="s">
        <v>6249</v>
      </c>
      <c r="R166" s="2" t="s">
        <v>5067</v>
      </c>
      <c r="S166" s="2" t="s">
        <v>5068</v>
      </c>
      <c r="T166" s="2" t="s">
        <v>5069</v>
      </c>
      <c r="U166" s="2" t="s">
        <v>5070</v>
      </c>
      <c r="V166" s="2"/>
    </row>
    <row r="167" spans="1:22" ht="67.5" customHeight="1" x14ac:dyDescent="0.25">
      <c r="A167" s="3" t="s">
        <v>740</v>
      </c>
      <c r="B167" s="3" t="s">
        <v>739</v>
      </c>
      <c r="C167" s="3" t="s">
        <v>4790</v>
      </c>
      <c r="D167" s="3" t="s">
        <v>742</v>
      </c>
      <c r="E167" s="3">
        <v>1</v>
      </c>
      <c r="F167" s="3">
        <v>60</v>
      </c>
      <c r="G167" s="3" t="s">
        <v>6250</v>
      </c>
      <c r="H167" s="3">
        <v>49.136000000000003</v>
      </c>
      <c r="I167" s="3">
        <v>7</v>
      </c>
      <c r="J167" s="3" t="s">
        <v>5059</v>
      </c>
      <c r="K167" s="3" t="s">
        <v>5060</v>
      </c>
      <c r="L167" s="3" t="s">
        <v>6251</v>
      </c>
      <c r="M167" s="3" t="s">
        <v>6252</v>
      </c>
      <c r="N167" s="3" t="s">
        <v>6253</v>
      </c>
      <c r="O167" s="3" t="s">
        <v>6254</v>
      </c>
      <c r="P167" s="3" t="s">
        <v>6255</v>
      </c>
      <c r="Q167" s="3" t="s">
        <v>6256</v>
      </c>
      <c r="R167" s="3" t="s">
        <v>5067</v>
      </c>
      <c r="S167" s="3" t="s">
        <v>5068</v>
      </c>
      <c r="T167" s="3" t="s">
        <v>5069</v>
      </c>
      <c r="U167" s="3" t="s">
        <v>5070</v>
      </c>
      <c r="V167" s="3"/>
    </row>
    <row r="168" spans="1:22" ht="45" customHeight="1" x14ac:dyDescent="0.25">
      <c r="A168" s="2" t="s">
        <v>2218</v>
      </c>
      <c r="B168" s="2" t="s">
        <v>2217</v>
      </c>
      <c r="C168" s="2" t="s">
        <v>4896</v>
      </c>
      <c r="D168" s="2" t="s">
        <v>2220</v>
      </c>
      <c r="E168" s="2">
        <v>1</v>
      </c>
      <c r="F168" s="2">
        <v>60</v>
      </c>
      <c r="G168" s="2" t="s">
        <v>6257</v>
      </c>
      <c r="H168" s="2">
        <v>49.555999999999997</v>
      </c>
      <c r="I168" s="2">
        <v>7</v>
      </c>
      <c r="J168" s="2" t="s">
        <v>5059</v>
      </c>
      <c r="K168" s="2" t="s">
        <v>5060</v>
      </c>
      <c r="L168" s="2" t="s">
        <v>6258</v>
      </c>
      <c r="M168" s="2" t="s">
        <v>6259</v>
      </c>
      <c r="N168" s="2" t="s">
        <v>6260</v>
      </c>
      <c r="O168" s="2" t="s">
        <v>6261</v>
      </c>
      <c r="P168" s="2" t="s">
        <v>6262</v>
      </c>
      <c r="Q168" s="2" t="s">
        <v>6263</v>
      </c>
      <c r="R168" s="2" t="s">
        <v>5067</v>
      </c>
      <c r="S168" s="2" t="s">
        <v>5068</v>
      </c>
      <c r="T168" s="2" t="s">
        <v>5069</v>
      </c>
      <c r="U168" s="2" t="s">
        <v>5070</v>
      </c>
      <c r="V168" s="2"/>
    </row>
    <row r="169" spans="1:22" ht="45" customHeight="1" x14ac:dyDescent="0.25">
      <c r="A169" s="3" t="s">
        <v>2141</v>
      </c>
      <c r="B169" s="3" t="s">
        <v>6264</v>
      </c>
      <c r="C169" s="3" t="s">
        <v>4886</v>
      </c>
      <c r="D169" s="3" t="s">
        <v>2143</v>
      </c>
      <c r="E169" s="3">
        <v>7</v>
      </c>
      <c r="F169" s="3">
        <v>63</v>
      </c>
      <c r="G169" s="3" t="s">
        <v>6265</v>
      </c>
      <c r="H169" s="3">
        <v>30.326000000000001</v>
      </c>
      <c r="I169" s="3">
        <v>7</v>
      </c>
      <c r="J169" s="3" t="s">
        <v>5059</v>
      </c>
      <c r="K169" s="3" t="s">
        <v>5060</v>
      </c>
      <c r="L169" s="3" t="s">
        <v>6266</v>
      </c>
      <c r="M169" s="3" t="s">
        <v>6267</v>
      </c>
      <c r="N169" s="3" t="s">
        <v>6268</v>
      </c>
      <c r="O169" s="3" t="s">
        <v>6269</v>
      </c>
      <c r="P169" s="3" t="s">
        <v>6270</v>
      </c>
      <c r="Q169" s="3" t="s">
        <v>6271</v>
      </c>
      <c r="R169" s="3" t="s">
        <v>5067</v>
      </c>
      <c r="S169" s="3" t="s">
        <v>5068</v>
      </c>
      <c r="T169" s="3" t="s">
        <v>5069</v>
      </c>
      <c r="U169" s="3" t="s">
        <v>5070</v>
      </c>
      <c r="V169" s="3"/>
    </row>
    <row r="170" spans="1:22" ht="45" customHeight="1" x14ac:dyDescent="0.25">
      <c r="A170" s="2" t="s">
        <v>3630</v>
      </c>
      <c r="B170" s="2" t="s">
        <v>6272</v>
      </c>
      <c r="C170" s="2" t="s">
        <v>4989</v>
      </c>
      <c r="D170" s="2" t="s">
        <v>3632</v>
      </c>
      <c r="E170" s="2">
        <v>3</v>
      </c>
      <c r="F170" s="2">
        <v>63</v>
      </c>
      <c r="G170" s="2" t="s">
        <v>6273</v>
      </c>
      <c r="H170" s="2">
        <v>27.506</v>
      </c>
      <c r="I170" s="2">
        <v>7</v>
      </c>
      <c r="J170" s="2" t="s">
        <v>5059</v>
      </c>
      <c r="K170" s="2" t="s">
        <v>5060</v>
      </c>
      <c r="L170" s="2" t="s">
        <v>6274</v>
      </c>
      <c r="M170" s="2" t="s">
        <v>6275</v>
      </c>
      <c r="N170" s="2" t="s">
        <v>6276</v>
      </c>
      <c r="O170" s="2" t="s">
        <v>6277</v>
      </c>
      <c r="P170" s="2" t="s">
        <v>6278</v>
      </c>
      <c r="Q170" s="2" t="s">
        <v>6279</v>
      </c>
      <c r="R170" s="2" t="s">
        <v>5067</v>
      </c>
      <c r="S170" s="2" t="s">
        <v>5068</v>
      </c>
      <c r="T170" s="2" t="s">
        <v>5069</v>
      </c>
      <c r="U170" s="2" t="s">
        <v>5070</v>
      </c>
      <c r="V170" s="2"/>
    </row>
    <row r="171" spans="1:22" ht="56.25" customHeight="1" x14ac:dyDescent="0.25">
      <c r="A171" s="3" t="s">
        <v>624</v>
      </c>
      <c r="B171" s="3" t="s">
        <v>623</v>
      </c>
      <c r="C171" s="3" t="s">
        <v>4768</v>
      </c>
      <c r="D171" s="3" t="s">
        <v>626</v>
      </c>
      <c r="E171" s="3">
        <v>1</v>
      </c>
      <c r="F171" s="3">
        <v>63</v>
      </c>
      <c r="G171" s="3" t="s">
        <v>6280</v>
      </c>
      <c r="H171" s="3">
        <v>47.403410000000001</v>
      </c>
      <c r="I171" s="3">
        <v>8</v>
      </c>
      <c r="J171" s="3" t="s">
        <v>5059</v>
      </c>
      <c r="K171" s="3" t="s">
        <v>5060</v>
      </c>
      <c r="L171" s="3" t="s">
        <v>6281</v>
      </c>
      <c r="M171" s="3" t="s">
        <v>6282</v>
      </c>
      <c r="N171" s="3" t="s">
        <v>6283</v>
      </c>
      <c r="O171" s="3" t="s">
        <v>6284</v>
      </c>
      <c r="P171" s="3" t="s">
        <v>6285</v>
      </c>
      <c r="Q171" s="3" t="s">
        <v>6286</v>
      </c>
      <c r="R171" s="3" t="s">
        <v>5067</v>
      </c>
      <c r="S171" s="3" t="s">
        <v>5068</v>
      </c>
      <c r="T171" s="3" t="s">
        <v>5069</v>
      </c>
      <c r="U171" s="3" t="s">
        <v>5070</v>
      </c>
      <c r="V171" s="3"/>
    </row>
    <row r="172" spans="1:22" ht="67.5" customHeight="1" x14ac:dyDescent="0.25">
      <c r="A172" s="2" t="s">
        <v>2367</v>
      </c>
      <c r="B172" s="2" t="s">
        <v>6287</v>
      </c>
      <c r="C172" s="2" t="s">
        <v>4908</v>
      </c>
      <c r="D172" s="2" t="s">
        <v>2369</v>
      </c>
      <c r="E172" s="2">
        <v>2</v>
      </c>
      <c r="F172" s="2">
        <v>63</v>
      </c>
      <c r="G172" s="2" t="s">
        <v>6288</v>
      </c>
      <c r="H172" s="2">
        <v>27.707999999999998</v>
      </c>
      <c r="I172" s="2">
        <v>7</v>
      </c>
      <c r="J172" s="2" t="s">
        <v>5059</v>
      </c>
      <c r="K172" s="2" t="s">
        <v>5060</v>
      </c>
      <c r="L172" s="2" t="s">
        <v>6289</v>
      </c>
      <c r="M172" s="2" t="s">
        <v>6290</v>
      </c>
      <c r="N172" s="2" t="s">
        <v>6291</v>
      </c>
      <c r="O172" s="2" t="s">
        <v>6292</v>
      </c>
      <c r="P172" s="2" t="s">
        <v>6293</v>
      </c>
      <c r="Q172" s="2" t="s">
        <v>6294</v>
      </c>
      <c r="R172" s="2" t="s">
        <v>5067</v>
      </c>
      <c r="S172" s="2" t="s">
        <v>5068</v>
      </c>
      <c r="T172" s="2" t="s">
        <v>5069</v>
      </c>
      <c r="U172" s="2" t="s">
        <v>5070</v>
      </c>
      <c r="V172" s="2"/>
    </row>
    <row r="173" spans="1:22" ht="56.25" customHeight="1" x14ac:dyDescent="0.25">
      <c r="A173" s="3" t="s">
        <v>2476</v>
      </c>
      <c r="B173" s="3" t="s">
        <v>2475</v>
      </c>
      <c r="C173" s="3" t="s">
        <v>4921</v>
      </c>
      <c r="D173" s="3" t="s">
        <v>2478</v>
      </c>
      <c r="E173" s="3">
        <v>1</v>
      </c>
      <c r="F173" s="3">
        <v>63</v>
      </c>
      <c r="G173" s="3" t="s">
        <v>6295</v>
      </c>
      <c r="H173" s="3">
        <v>33.628</v>
      </c>
      <c r="I173" s="3">
        <v>8</v>
      </c>
      <c r="J173" s="3" t="s">
        <v>5059</v>
      </c>
      <c r="K173" s="3" t="s">
        <v>5060</v>
      </c>
      <c r="L173" s="3" t="s">
        <v>6296</v>
      </c>
      <c r="M173" s="3" t="s">
        <v>6297</v>
      </c>
      <c r="N173" s="3" t="s">
        <v>6298</v>
      </c>
      <c r="O173" s="3" t="s">
        <v>6299</v>
      </c>
      <c r="P173" s="3" t="s">
        <v>6300</v>
      </c>
      <c r="Q173" s="3" t="s">
        <v>6301</v>
      </c>
      <c r="R173" s="3" t="s">
        <v>5067</v>
      </c>
      <c r="S173" s="3" t="s">
        <v>5068</v>
      </c>
      <c r="T173" s="3" t="s">
        <v>5069</v>
      </c>
      <c r="U173" s="3" t="s">
        <v>5070</v>
      </c>
      <c r="V173" s="3"/>
    </row>
    <row r="174" spans="1:22" ht="303.75" customHeight="1" x14ac:dyDescent="0.25">
      <c r="A174" s="2" t="s">
        <v>794</v>
      </c>
      <c r="B174" s="2" t="s">
        <v>6302</v>
      </c>
      <c r="C174" s="2" t="s">
        <v>4791</v>
      </c>
      <c r="D174" s="2" t="s">
        <v>796</v>
      </c>
      <c r="E174" s="2">
        <v>54</v>
      </c>
      <c r="F174" s="2">
        <v>63</v>
      </c>
      <c r="G174" s="2" t="s">
        <v>6303</v>
      </c>
      <c r="H174" s="2">
        <v>34.151200000000003</v>
      </c>
      <c r="I174" s="2">
        <v>8</v>
      </c>
      <c r="J174" s="2" t="s">
        <v>5059</v>
      </c>
      <c r="K174" s="2" t="s">
        <v>5060</v>
      </c>
      <c r="L174" s="2" t="s">
        <v>6304</v>
      </c>
      <c r="M174" s="2" t="s">
        <v>6305</v>
      </c>
      <c r="N174" s="2" t="s">
        <v>6306</v>
      </c>
      <c r="O174" s="2" t="s">
        <v>6307</v>
      </c>
      <c r="P174" s="2" t="s">
        <v>6308</v>
      </c>
      <c r="Q174" s="2" t="s">
        <v>6309</v>
      </c>
      <c r="R174" s="2" t="s">
        <v>5067</v>
      </c>
      <c r="S174" s="2" t="s">
        <v>5068</v>
      </c>
      <c r="T174" s="2" t="s">
        <v>5069</v>
      </c>
      <c r="U174" s="2" t="s">
        <v>5070</v>
      </c>
      <c r="V174" s="2"/>
    </row>
    <row r="175" spans="1:22" ht="56.25" customHeight="1" x14ac:dyDescent="0.25">
      <c r="A175" s="3" t="s">
        <v>644</v>
      </c>
      <c r="B175" s="3" t="s">
        <v>6310</v>
      </c>
      <c r="C175" s="3" t="s">
        <v>4774</v>
      </c>
      <c r="D175" s="3" t="s">
        <v>646</v>
      </c>
      <c r="E175" s="3">
        <v>8</v>
      </c>
      <c r="F175" s="3">
        <v>63</v>
      </c>
      <c r="G175" s="3" t="s">
        <v>6311</v>
      </c>
      <c r="H175" s="3">
        <v>33.864400000000003</v>
      </c>
      <c r="I175" s="3">
        <v>6</v>
      </c>
      <c r="J175" s="3" t="s">
        <v>5059</v>
      </c>
      <c r="K175" s="3" t="s">
        <v>5060</v>
      </c>
      <c r="L175" s="3" t="s">
        <v>6312</v>
      </c>
      <c r="M175" s="3" t="s">
        <v>6313</v>
      </c>
      <c r="N175" s="3" t="s">
        <v>6314</v>
      </c>
      <c r="O175" s="3" t="s">
        <v>6315</v>
      </c>
      <c r="P175" s="3" t="s">
        <v>6316</v>
      </c>
      <c r="Q175" s="3" t="s">
        <v>6317</v>
      </c>
      <c r="R175" s="3" t="s">
        <v>5067</v>
      </c>
      <c r="S175" s="3" t="s">
        <v>5068</v>
      </c>
      <c r="T175" s="3" t="s">
        <v>5069</v>
      </c>
      <c r="U175" s="3" t="s">
        <v>5070</v>
      </c>
      <c r="V175" s="3"/>
    </row>
    <row r="176" spans="1:22" ht="45" customHeight="1" x14ac:dyDescent="0.25">
      <c r="A176" s="2" t="s">
        <v>4534</v>
      </c>
      <c r="B176" s="2" t="s">
        <v>4533</v>
      </c>
      <c r="C176" s="2" t="s">
        <v>5038</v>
      </c>
      <c r="D176" s="2" t="s">
        <v>4536</v>
      </c>
      <c r="E176" s="2">
        <v>1</v>
      </c>
      <c r="F176" s="2">
        <v>63</v>
      </c>
      <c r="G176" s="2" t="s">
        <v>6318</v>
      </c>
      <c r="H176" s="2">
        <v>28.206</v>
      </c>
      <c r="I176" s="2">
        <v>6</v>
      </c>
      <c r="J176" s="2" t="s">
        <v>5059</v>
      </c>
      <c r="K176" s="2" t="s">
        <v>5060</v>
      </c>
      <c r="L176" s="2" t="s">
        <v>6319</v>
      </c>
      <c r="M176" s="2" t="s">
        <v>6320</v>
      </c>
      <c r="N176" s="2" t="s">
        <v>6321</v>
      </c>
      <c r="O176" s="2" t="s">
        <v>6322</v>
      </c>
      <c r="P176" s="2" t="s">
        <v>6323</v>
      </c>
      <c r="Q176" s="2" t="s">
        <v>6324</v>
      </c>
      <c r="R176" s="2" t="s">
        <v>5067</v>
      </c>
      <c r="S176" s="2" t="s">
        <v>5068</v>
      </c>
      <c r="T176" s="2" t="s">
        <v>5069</v>
      </c>
      <c r="U176" s="2" t="s">
        <v>5070</v>
      </c>
      <c r="V176" s="2"/>
    </row>
    <row r="177" spans="1:22" ht="146.25" customHeight="1" x14ac:dyDescent="0.25">
      <c r="A177" s="3" t="s">
        <v>588</v>
      </c>
      <c r="B177" s="3" t="s">
        <v>6325</v>
      </c>
      <c r="C177" s="3" t="s">
        <v>4761</v>
      </c>
      <c r="D177" s="3" t="s">
        <v>590</v>
      </c>
      <c r="E177" s="3">
        <v>25</v>
      </c>
      <c r="F177" s="3">
        <v>63</v>
      </c>
      <c r="G177" s="3" t="s">
        <v>6326</v>
      </c>
      <c r="H177" s="3">
        <v>29.869199999999999</v>
      </c>
      <c r="I177" s="3">
        <v>7</v>
      </c>
      <c r="J177" s="3" t="s">
        <v>5059</v>
      </c>
      <c r="K177" s="3" t="s">
        <v>5060</v>
      </c>
      <c r="L177" s="3" t="s">
        <v>6327</v>
      </c>
      <c r="M177" s="3" t="s">
        <v>6328</v>
      </c>
      <c r="N177" s="3" t="s">
        <v>6329</v>
      </c>
      <c r="O177" s="3" t="s">
        <v>6330</v>
      </c>
      <c r="P177" s="3" t="s">
        <v>6331</v>
      </c>
      <c r="Q177" s="3" t="s">
        <v>6332</v>
      </c>
      <c r="R177" s="3" t="s">
        <v>5067</v>
      </c>
      <c r="S177" s="3" t="s">
        <v>5068</v>
      </c>
      <c r="T177" s="3" t="s">
        <v>5069</v>
      </c>
      <c r="U177" s="3" t="s">
        <v>5070</v>
      </c>
      <c r="V177" s="3"/>
    </row>
    <row r="178" spans="1:22" ht="409.5" customHeight="1" x14ac:dyDescent="0.25">
      <c r="A178" s="2" t="s">
        <v>404</v>
      </c>
      <c r="B178" s="2" t="s">
        <v>6333</v>
      </c>
      <c r="C178" s="2" t="s">
        <v>4731</v>
      </c>
      <c r="D178" s="2" t="s">
        <v>406</v>
      </c>
      <c r="E178" s="2">
        <v>95</v>
      </c>
      <c r="F178" s="2">
        <v>63</v>
      </c>
      <c r="G178" s="2" t="s">
        <v>6334</v>
      </c>
      <c r="H178" s="2">
        <v>29.999199999999998</v>
      </c>
      <c r="I178" s="2">
        <v>7</v>
      </c>
      <c r="J178" s="2" t="s">
        <v>5059</v>
      </c>
      <c r="K178" s="2" t="s">
        <v>5060</v>
      </c>
      <c r="L178" s="2" t="s">
        <v>6335</v>
      </c>
      <c r="M178" s="2" t="s">
        <v>6336</v>
      </c>
      <c r="N178" s="2" t="s">
        <v>6337</v>
      </c>
      <c r="O178" s="2" t="s">
        <v>6338</v>
      </c>
      <c r="P178" s="2" t="s">
        <v>6339</v>
      </c>
      <c r="Q178" s="2" t="s">
        <v>6340</v>
      </c>
      <c r="R178" s="2" t="s">
        <v>5067</v>
      </c>
      <c r="S178" s="2" t="s">
        <v>5068</v>
      </c>
      <c r="T178" s="2" t="s">
        <v>5069</v>
      </c>
      <c r="U178" s="2" t="s">
        <v>5070</v>
      </c>
      <c r="V178" s="2"/>
    </row>
    <row r="179" spans="1:22" ht="56.25" customHeight="1" x14ac:dyDescent="0.25">
      <c r="A179" s="3" t="s">
        <v>3313</v>
      </c>
      <c r="B179" s="3" t="s">
        <v>3312</v>
      </c>
      <c r="C179" s="3" t="s">
        <v>4978</v>
      </c>
      <c r="D179" s="3" t="s">
        <v>3315</v>
      </c>
      <c r="E179" s="3">
        <v>1</v>
      </c>
      <c r="F179" s="3">
        <v>63</v>
      </c>
      <c r="G179" s="3" t="s">
        <v>6341</v>
      </c>
      <c r="H179" s="3">
        <v>27.9192</v>
      </c>
      <c r="I179" s="3">
        <v>6</v>
      </c>
      <c r="J179" s="3" t="s">
        <v>5059</v>
      </c>
      <c r="K179" s="3" t="s">
        <v>5060</v>
      </c>
      <c r="L179" s="3" t="s">
        <v>6342</v>
      </c>
      <c r="M179" s="3" t="s">
        <v>6343</v>
      </c>
      <c r="N179" s="3" t="s">
        <v>6344</v>
      </c>
      <c r="O179" s="3" t="s">
        <v>6345</v>
      </c>
      <c r="P179" s="3" t="s">
        <v>6346</v>
      </c>
      <c r="Q179" s="3" t="s">
        <v>6347</v>
      </c>
      <c r="R179" s="3" t="s">
        <v>5067</v>
      </c>
      <c r="S179" s="3" t="s">
        <v>5068</v>
      </c>
      <c r="T179" s="3" t="s">
        <v>5069</v>
      </c>
      <c r="U179" s="3" t="s">
        <v>5070</v>
      </c>
      <c r="V179" s="3"/>
    </row>
    <row r="180" spans="1:22" ht="67.5" customHeight="1" x14ac:dyDescent="0.25">
      <c r="A180" s="2" t="s">
        <v>673</v>
      </c>
      <c r="B180" s="2" t="s">
        <v>6348</v>
      </c>
      <c r="C180" s="2" t="s">
        <v>4779</v>
      </c>
      <c r="D180" s="2" t="s">
        <v>675</v>
      </c>
      <c r="E180" s="2">
        <v>12</v>
      </c>
      <c r="F180" s="2">
        <v>63</v>
      </c>
      <c r="G180" s="2" t="s">
        <v>6349</v>
      </c>
      <c r="H180" s="2">
        <v>29.5824</v>
      </c>
      <c r="I180" s="2">
        <v>5</v>
      </c>
      <c r="J180" s="2" t="s">
        <v>5059</v>
      </c>
      <c r="K180" s="2" t="s">
        <v>5060</v>
      </c>
      <c r="L180" s="2" t="s">
        <v>6350</v>
      </c>
      <c r="M180" s="2" t="s">
        <v>6351</v>
      </c>
      <c r="N180" s="2" t="s">
        <v>6352</v>
      </c>
      <c r="O180" s="2" t="s">
        <v>6353</v>
      </c>
      <c r="P180" s="2" t="s">
        <v>6354</v>
      </c>
      <c r="Q180" s="2" t="s">
        <v>6355</v>
      </c>
      <c r="R180" s="2" t="s">
        <v>5067</v>
      </c>
      <c r="S180" s="2" t="s">
        <v>5068</v>
      </c>
      <c r="T180" s="2" t="s">
        <v>5069</v>
      </c>
      <c r="U180" s="2" t="s">
        <v>5070</v>
      </c>
      <c r="V180" s="2"/>
    </row>
    <row r="181" spans="1:22" ht="146.25" customHeight="1" x14ac:dyDescent="0.25">
      <c r="A181" s="3" t="s">
        <v>612</v>
      </c>
      <c r="B181" s="3" t="s">
        <v>6356</v>
      </c>
      <c r="C181" s="3" t="s">
        <v>4765</v>
      </c>
      <c r="D181" s="3" t="s">
        <v>614</v>
      </c>
      <c r="E181" s="3">
        <v>26</v>
      </c>
      <c r="F181" s="3">
        <v>63</v>
      </c>
      <c r="G181" s="3" t="s">
        <v>6357</v>
      </c>
      <c r="H181" s="3">
        <v>29.712399999999999</v>
      </c>
      <c r="I181" s="3">
        <v>5</v>
      </c>
      <c r="J181" s="3" t="s">
        <v>5059</v>
      </c>
      <c r="K181" s="3" t="s">
        <v>5060</v>
      </c>
      <c r="L181" s="3" t="s">
        <v>6358</v>
      </c>
      <c r="M181" s="3" t="s">
        <v>6359</v>
      </c>
      <c r="N181" s="3" t="s">
        <v>6360</v>
      </c>
      <c r="O181" s="3" t="s">
        <v>6361</v>
      </c>
      <c r="P181" s="3" t="s">
        <v>6362</v>
      </c>
      <c r="Q181" s="3" t="s">
        <v>6363</v>
      </c>
      <c r="R181" s="3" t="s">
        <v>5067</v>
      </c>
      <c r="S181" s="3" t="s">
        <v>5068</v>
      </c>
      <c r="T181" s="3" t="s">
        <v>5069</v>
      </c>
      <c r="U181" s="3" t="s">
        <v>5070</v>
      </c>
      <c r="V181" s="3"/>
    </row>
    <row r="182" spans="1:22" ht="45" customHeight="1" x14ac:dyDescent="0.25">
      <c r="A182" s="2" t="s">
        <v>1427</v>
      </c>
      <c r="B182" s="2" t="s">
        <v>6364</v>
      </c>
      <c r="C182" s="2" t="s">
        <v>4827</v>
      </c>
      <c r="D182" s="2" t="s">
        <v>1429</v>
      </c>
      <c r="E182" s="2">
        <v>7</v>
      </c>
      <c r="F182" s="2">
        <v>63</v>
      </c>
      <c r="G182" s="2" t="s">
        <v>6365</v>
      </c>
      <c r="H182" s="2">
        <v>28.649000000000001</v>
      </c>
      <c r="I182" s="2">
        <v>7</v>
      </c>
      <c r="J182" s="2" t="s">
        <v>5059</v>
      </c>
      <c r="K182" s="2" t="s">
        <v>5060</v>
      </c>
      <c r="L182" s="2" t="s">
        <v>6366</v>
      </c>
      <c r="M182" s="2" t="s">
        <v>6367</v>
      </c>
      <c r="N182" s="2" t="s">
        <v>6368</v>
      </c>
      <c r="O182" s="2" t="s">
        <v>6369</v>
      </c>
      <c r="P182" s="2" t="s">
        <v>6370</v>
      </c>
      <c r="Q182" s="2" t="s">
        <v>6371</v>
      </c>
      <c r="R182" s="2" t="s">
        <v>5067</v>
      </c>
      <c r="S182" s="2" t="s">
        <v>5068</v>
      </c>
      <c r="T182" s="2" t="s">
        <v>5069</v>
      </c>
      <c r="U182" s="2" t="s">
        <v>5070</v>
      </c>
      <c r="V182" s="2"/>
    </row>
    <row r="183" spans="1:22" ht="45" customHeight="1" x14ac:dyDescent="0.25">
      <c r="A183" s="3" t="s">
        <v>2747</v>
      </c>
      <c r="B183" s="3" t="s">
        <v>2746</v>
      </c>
      <c r="C183" s="3" t="s">
        <v>4938</v>
      </c>
      <c r="D183" s="3" t="s">
        <v>2749</v>
      </c>
      <c r="E183" s="3">
        <v>1</v>
      </c>
      <c r="F183" s="3">
        <v>63</v>
      </c>
      <c r="G183" s="3" t="s">
        <v>6372</v>
      </c>
      <c r="H183" s="3">
        <v>28.417000000000002</v>
      </c>
      <c r="I183" s="3">
        <v>6</v>
      </c>
      <c r="J183" s="3" t="s">
        <v>5059</v>
      </c>
      <c r="K183" s="3" t="s">
        <v>5060</v>
      </c>
      <c r="L183" s="3" t="s">
        <v>6373</v>
      </c>
      <c r="M183" s="3" t="s">
        <v>6374</v>
      </c>
      <c r="N183" s="3" t="s">
        <v>6375</v>
      </c>
      <c r="O183" s="3" t="s">
        <v>6376</v>
      </c>
      <c r="P183" s="3" t="s">
        <v>6377</v>
      </c>
      <c r="Q183" s="3" t="s">
        <v>6378</v>
      </c>
      <c r="R183" s="3" t="s">
        <v>5067</v>
      </c>
      <c r="S183" s="3" t="s">
        <v>5068</v>
      </c>
      <c r="T183" s="3" t="s">
        <v>5069</v>
      </c>
      <c r="U183" s="3" t="s">
        <v>5070</v>
      </c>
      <c r="V183" s="3"/>
    </row>
    <row r="184" spans="1:22" ht="45" customHeight="1" x14ac:dyDescent="0.25">
      <c r="A184" s="2" t="s">
        <v>1479</v>
      </c>
      <c r="B184" s="2" t="s">
        <v>6379</v>
      </c>
      <c r="C184" s="2" t="s">
        <v>4830</v>
      </c>
      <c r="D184" s="2" t="s">
        <v>1481</v>
      </c>
      <c r="E184" s="2">
        <v>8</v>
      </c>
      <c r="F184" s="2">
        <v>63</v>
      </c>
      <c r="G184" s="2" t="s">
        <v>6380</v>
      </c>
      <c r="H184" s="2">
        <v>28.617000000000001</v>
      </c>
      <c r="I184" s="2">
        <v>6</v>
      </c>
      <c r="J184" s="2" t="s">
        <v>5059</v>
      </c>
      <c r="K184" s="2" t="s">
        <v>5060</v>
      </c>
      <c r="L184" s="2" t="s">
        <v>6381</v>
      </c>
      <c r="M184" s="2" t="s">
        <v>6382</v>
      </c>
      <c r="N184" s="2" t="s">
        <v>6383</v>
      </c>
      <c r="O184" s="2" t="s">
        <v>6384</v>
      </c>
      <c r="P184" s="2" t="s">
        <v>6385</v>
      </c>
      <c r="Q184" s="2" t="s">
        <v>6386</v>
      </c>
      <c r="R184" s="2" t="s">
        <v>5067</v>
      </c>
      <c r="S184" s="2" t="s">
        <v>5068</v>
      </c>
      <c r="T184" s="2" t="s">
        <v>5069</v>
      </c>
      <c r="U184" s="2" t="s">
        <v>5070</v>
      </c>
      <c r="V184" s="2"/>
    </row>
    <row r="185" spans="1:22" ht="45" customHeight="1" x14ac:dyDescent="0.25">
      <c r="A185" s="3" t="s">
        <v>600</v>
      </c>
      <c r="B185" s="3" t="s">
        <v>6387</v>
      </c>
      <c r="C185" s="3" t="s">
        <v>4762</v>
      </c>
      <c r="D185" s="3" t="s">
        <v>602</v>
      </c>
      <c r="E185" s="3">
        <v>2</v>
      </c>
      <c r="F185" s="3">
        <v>63</v>
      </c>
      <c r="G185" s="3" t="s">
        <v>6388</v>
      </c>
      <c r="H185" s="3">
        <v>30.269200000000001</v>
      </c>
      <c r="I185" s="3">
        <v>7</v>
      </c>
      <c r="J185" s="3" t="s">
        <v>5059</v>
      </c>
      <c r="K185" s="3" t="s">
        <v>5060</v>
      </c>
      <c r="L185" s="3" t="s">
        <v>6389</v>
      </c>
      <c r="M185" s="3" t="s">
        <v>6390</v>
      </c>
      <c r="N185" s="3" t="s">
        <v>6391</v>
      </c>
      <c r="O185" s="3" t="s">
        <v>6392</v>
      </c>
      <c r="P185" s="3" t="s">
        <v>6393</v>
      </c>
      <c r="Q185" s="3" t="s">
        <v>6394</v>
      </c>
      <c r="R185" s="3" t="s">
        <v>5067</v>
      </c>
      <c r="S185" s="3" t="s">
        <v>5068</v>
      </c>
      <c r="T185" s="3" t="s">
        <v>5069</v>
      </c>
      <c r="U185" s="3" t="s">
        <v>5070</v>
      </c>
      <c r="V185" s="3"/>
    </row>
    <row r="186" spans="1:22" ht="33.75" customHeight="1" x14ac:dyDescent="0.25">
      <c r="A186" s="2" t="s">
        <v>4193</v>
      </c>
      <c r="B186" s="2" t="s">
        <v>4192</v>
      </c>
      <c r="C186" s="2" t="s">
        <v>5028</v>
      </c>
      <c r="D186" s="2" t="s">
        <v>4195</v>
      </c>
      <c r="E186" s="2">
        <v>1</v>
      </c>
      <c r="F186" s="2">
        <v>63</v>
      </c>
      <c r="G186" s="2" t="s">
        <v>6395</v>
      </c>
      <c r="H186" s="2">
        <v>27.988040000000002</v>
      </c>
      <c r="I186" s="2">
        <v>9</v>
      </c>
      <c r="J186" s="2" t="s">
        <v>5059</v>
      </c>
      <c r="K186" s="2" t="s">
        <v>5124</v>
      </c>
      <c r="L186" s="2" t="s">
        <v>6396</v>
      </c>
      <c r="M186" s="2" t="s">
        <v>6396</v>
      </c>
      <c r="N186" s="2" t="s">
        <v>6397</v>
      </c>
      <c r="O186" s="2" t="s">
        <v>6398</v>
      </c>
      <c r="P186" s="2" t="s">
        <v>6399</v>
      </c>
      <c r="Q186" s="2" t="s">
        <v>6400</v>
      </c>
      <c r="R186" s="2" t="s">
        <v>5067</v>
      </c>
      <c r="S186" s="2" t="s">
        <v>5068</v>
      </c>
      <c r="T186" s="2" t="s">
        <v>5069</v>
      </c>
      <c r="U186" s="2" t="s">
        <v>5070</v>
      </c>
      <c r="V186" s="2"/>
    </row>
    <row r="187" spans="1:22" ht="56.25" customHeight="1" x14ac:dyDescent="0.25">
      <c r="A187" s="3" t="s">
        <v>486</v>
      </c>
      <c r="B187" s="3" t="s">
        <v>485</v>
      </c>
      <c r="C187" s="3" t="s">
        <v>4747</v>
      </c>
      <c r="D187" s="3" t="s">
        <v>488</v>
      </c>
      <c r="E187" s="3">
        <v>1</v>
      </c>
      <c r="F187" s="3">
        <v>64</v>
      </c>
      <c r="G187" s="3" t="s">
        <v>6401</v>
      </c>
      <c r="H187" s="3">
        <v>44.812399999999997</v>
      </c>
      <c r="I187" s="3">
        <v>6</v>
      </c>
      <c r="J187" s="3" t="s">
        <v>5059</v>
      </c>
      <c r="K187" s="3" t="s">
        <v>5060</v>
      </c>
      <c r="L187" s="3" t="s">
        <v>6402</v>
      </c>
      <c r="M187" s="3" t="s">
        <v>6403</v>
      </c>
      <c r="N187" s="3" t="s">
        <v>6404</v>
      </c>
      <c r="O187" s="3" t="s">
        <v>6405</v>
      </c>
      <c r="P187" s="3" t="s">
        <v>6406</v>
      </c>
      <c r="Q187" s="3" t="s">
        <v>6407</v>
      </c>
      <c r="R187" s="3" t="s">
        <v>5067</v>
      </c>
      <c r="S187" s="3" t="s">
        <v>5068</v>
      </c>
      <c r="T187" s="3" t="s">
        <v>5069</v>
      </c>
      <c r="U187" s="3" t="s">
        <v>5070</v>
      </c>
      <c r="V187" s="3"/>
    </row>
    <row r="188" spans="1:22" ht="45" customHeight="1" x14ac:dyDescent="0.25">
      <c r="A188" s="2" t="s">
        <v>3246</v>
      </c>
      <c r="B188" s="2" t="s">
        <v>3245</v>
      </c>
      <c r="C188" s="2" t="s">
        <v>4967</v>
      </c>
      <c r="D188" s="2" t="s">
        <v>3248</v>
      </c>
      <c r="E188" s="2">
        <v>1</v>
      </c>
      <c r="F188" s="2">
        <v>66</v>
      </c>
      <c r="G188" s="2" t="s">
        <v>6408</v>
      </c>
      <c r="H188" s="2">
        <v>44.905999999999999</v>
      </c>
      <c r="I188" s="2">
        <v>7</v>
      </c>
      <c r="J188" s="2" t="s">
        <v>5059</v>
      </c>
      <c r="K188" s="2" t="s">
        <v>5060</v>
      </c>
      <c r="L188" s="2" t="s">
        <v>6409</v>
      </c>
      <c r="M188" s="2" t="s">
        <v>6410</v>
      </c>
      <c r="N188" s="2" t="s">
        <v>6411</v>
      </c>
      <c r="O188" s="2" t="s">
        <v>6412</v>
      </c>
      <c r="P188" s="2" t="s">
        <v>6413</v>
      </c>
      <c r="Q188" s="2" t="s">
        <v>6414</v>
      </c>
      <c r="R188" s="2" t="s">
        <v>5067</v>
      </c>
      <c r="S188" s="2" t="s">
        <v>5068</v>
      </c>
      <c r="T188" s="2" t="s">
        <v>5069</v>
      </c>
      <c r="U188" s="2" t="s">
        <v>5070</v>
      </c>
      <c r="V188" s="2"/>
    </row>
    <row r="189" spans="1:22" ht="56.25" customHeight="1" x14ac:dyDescent="0.25">
      <c r="A189" s="3" t="s">
        <v>2349</v>
      </c>
      <c r="B189" s="3" t="s">
        <v>2348</v>
      </c>
      <c r="C189" s="3" t="s">
        <v>4904</v>
      </c>
      <c r="D189" s="3" t="s">
        <v>2351</v>
      </c>
      <c r="E189" s="3">
        <v>1</v>
      </c>
      <c r="F189" s="3">
        <v>66</v>
      </c>
      <c r="G189" s="3" t="s">
        <v>6415</v>
      </c>
      <c r="H189" s="3">
        <v>45.326000000000001</v>
      </c>
      <c r="I189" s="3">
        <v>7</v>
      </c>
      <c r="J189" s="3" t="s">
        <v>5059</v>
      </c>
      <c r="K189" s="3" t="s">
        <v>5060</v>
      </c>
      <c r="L189" s="3" t="s">
        <v>6416</v>
      </c>
      <c r="M189" s="3" t="s">
        <v>6417</v>
      </c>
      <c r="N189" s="3" t="s">
        <v>6418</v>
      </c>
      <c r="O189" s="3" t="s">
        <v>6419</v>
      </c>
      <c r="P189" s="3" t="s">
        <v>6420</v>
      </c>
      <c r="Q189" s="3" t="s">
        <v>6421</v>
      </c>
      <c r="R189" s="3" t="s">
        <v>5067</v>
      </c>
      <c r="S189" s="3" t="s">
        <v>5068</v>
      </c>
      <c r="T189" s="3" t="s">
        <v>5069</v>
      </c>
      <c r="U189" s="3" t="s">
        <v>5070</v>
      </c>
      <c r="V189" s="3"/>
    </row>
    <row r="190" spans="1:22" ht="56.25" customHeight="1" x14ac:dyDescent="0.25">
      <c r="A190" s="2" t="s">
        <v>2767</v>
      </c>
      <c r="B190" s="2" t="s">
        <v>2766</v>
      </c>
      <c r="C190" s="2" t="s">
        <v>4941</v>
      </c>
      <c r="D190" s="2" t="s">
        <v>2769</v>
      </c>
      <c r="E190" s="2">
        <v>1</v>
      </c>
      <c r="F190" s="2">
        <v>66</v>
      </c>
      <c r="G190" s="2" t="s">
        <v>6422</v>
      </c>
      <c r="H190" s="2">
        <v>45.326000000000001</v>
      </c>
      <c r="I190" s="2">
        <v>7</v>
      </c>
      <c r="J190" s="2" t="s">
        <v>5059</v>
      </c>
      <c r="K190" s="2" t="s">
        <v>5060</v>
      </c>
      <c r="L190" s="2" t="s">
        <v>6423</v>
      </c>
      <c r="M190" s="2" t="s">
        <v>6424</v>
      </c>
      <c r="N190" s="2" t="s">
        <v>6425</v>
      </c>
      <c r="O190" s="2" t="s">
        <v>6426</v>
      </c>
      <c r="P190" s="2" t="s">
        <v>6427</v>
      </c>
      <c r="Q190" s="2" t="s">
        <v>6428</v>
      </c>
      <c r="R190" s="2" t="s">
        <v>5067</v>
      </c>
      <c r="S190" s="2" t="s">
        <v>5068</v>
      </c>
      <c r="T190" s="2" t="s">
        <v>5069</v>
      </c>
      <c r="U190" s="2" t="s">
        <v>5070</v>
      </c>
      <c r="V190" s="2"/>
    </row>
    <row r="191" spans="1:22" ht="56.25" customHeight="1" x14ac:dyDescent="0.25">
      <c r="A191" s="3" t="s">
        <v>2462</v>
      </c>
      <c r="B191" s="3" t="s">
        <v>6429</v>
      </c>
      <c r="C191" s="3" t="s">
        <v>4919</v>
      </c>
      <c r="D191" s="3" t="s">
        <v>2464</v>
      </c>
      <c r="E191" s="3">
        <v>10</v>
      </c>
      <c r="F191" s="3">
        <v>68</v>
      </c>
      <c r="G191" s="3" t="s">
        <v>6430</v>
      </c>
      <c r="H191" s="3">
        <v>28.126000000000001</v>
      </c>
      <c r="I191" s="3">
        <v>6</v>
      </c>
      <c r="J191" s="3" t="s">
        <v>5059</v>
      </c>
      <c r="K191" s="3" t="s">
        <v>5060</v>
      </c>
      <c r="L191" s="3" t="s">
        <v>6431</v>
      </c>
      <c r="M191" s="3" t="s">
        <v>6432</v>
      </c>
      <c r="N191" s="3" t="s">
        <v>6433</v>
      </c>
      <c r="O191" s="3" t="s">
        <v>6434</v>
      </c>
      <c r="P191" s="3" t="s">
        <v>6435</v>
      </c>
      <c r="Q191" s="3" t="s">
        <v>6436</v>
      </c>
      <c r="R191" s="3" t="s">
        <v>5067</v>
      </c>
      <c r="S191" s="3" t="s">
        <v>5068</v>
      </c>
      <c r="T191" s="3" t="s">
        <v>5069</v>
      </c>
      <c r="U191" s="3" t="s">
        <v>5070</v>
      </c>
      <c r="V191" s="3"/>
    </row>
    <row r="192" spans="1:22" ht="78.75" customHeight="1" x14ac:dyDescent="0.25">
      <c r="A192" s="2" t="s">
        <v>846</v>
      </c>
      <c r="B192" s="2" t="s">
        <v>6437</v>
      </c>
      <c r="C192" s="2" t="s">
        <v>4800</v>
      </c>
      <c r="D192" s="2" t="s">
        <v>848</v>
      </c>
      <c r="E192" s="2">
        <v>13</v>
      </c>
      <c r="F192" s="2">
        <v>68</v>
      </c>
      <c r="G192" s="2" t="s">
        <v>6438</v>
      </c>
      <c r="H192" s="2">
        <v>29.944199999999999</v>
      </c>
      <c r="I192" s="2">
        <v>7</v>
      </c>
      <c r="J192" s="2" t="s">
        <v>5059</v>
      </c>
      <c r="K192" s="2" t="s">
        <v>5060</v>
      </c>
      <c r="L192" s="2" t="s">
        <v>6439</v>
      </c>
      <c r="M192" s="2" t="s">
        <v>6440</v>
      </c>
      <c r="N192" s="2" t="s">
        <v>6441</v>
      </c>
      <c r="O192" s="2" t="s">
        <v>6442</v>
      </c>
      <c r="P192" s="2" t="s">
        <v>6443</v>
      </c>
      <c r="Q192" s="2" t="s">
        <v>6444</v>
      </c>
      <c r="R192" s="2" t="s">
        <v>5067</v>
      </c>
      <c r="S192" s="2" t="s">
        <v>5068</v>
      </c>
      <c r="T192" s="2" t="s">
        <v>5069</v>
      </c>
      <c r="U192" s="2" t="s">
        <v>5070</v>
      </c>
      <c r="V192" s="2"/>
    </row>
    <row r="193" spans="1:22" ht="146.25" customHeight="1" x14ac:dyDescent="0.25">
      <c r="A193" s="3" t="s">
        <v>273</v>
      </c>
      <c r="B193" s="3" t="s">
        <v>6445</v>
      </c>
      <c r="C193" s="3" t="s">
        <v>4694</v>
      </c>
      <c r="D193" s="3" t="s">
        <v>275</v>
      </c>
      <c r="E193" s="3">
        <v>25</v>
      </c>
      <c r="F193" s="3">
        <v>68</v>
      </c>
      <c r="G193" s="3" t="s">
        <v>6446</v>
      </c>
      <c r="H193" s="3">
        <v>30.084199999999999</v>
      </c>
      <c r="I193" s="3">
        <v>7</v>
      </c>
      <c r="J193" s="3" t="s">
        <v>5059</v>
      </c>
      <c r="K193" s="3" t="s">
        <v>5060</v>
      </c>
      <c r="L193" s="3" t="s">
        <v>6447</v>
      </c>
      <c r="M193" s="3" t="s">
        <v>6448</v>
      </c>
      <c r="N193" s="3" t="s">
        <v>6449</v>
      </c>
      <c r="O193" s="3" t="s">
        <v>6450</v>
      </c>
      <c r="P193" s="3" t="s">
        <v>6451</v>
      </c>
      <c r="Q193" s="3" t="s">
        <v>6452</v>
      </c>
      <c r="R193" s="3" t="s">
        <v>5067</v>
      </c>
      <c r="S193" s="3" t="s">
        <v>5068</v>
      </c>
      <c r="T193" s="3" t="s">
        <v>5069</v>
      </c>
      <c r="U193" s="3" t="s">
        <v>5070</v>
      </c>
      <c r="V193" s="3"/>
    </row>
    <row r="194" spans="1:22" ht="45" customHeight="1" x14ac:dyDescent="0.25">
      <c r="A194" s="2" t="s">
        <v>218</v>
      </c>
      <c r="B194" s="2" t="s">
        <v>6453</v>
      </c>
      <c r="C194" s="2" t="s">
        <v>4683</v>
      </c>
      <c r="D194" s="2" t="s">
        <v>220</v>
      </c>
      <c r="E194" s="2">
        <v>7</v>
      </c>
      <c r="F194" s="2">
        <v>68</v>
      </c>
      <c r="G194" s="2" t="s">
        <v>6454</v>
      </c>
      <c r="H194" s="2">
        <v>27.839200000000002</v>
      </c>
      <c r="I194" s="2">
        <v>6</v>
      </c>
      <c r="J194" s="2" t="s">
        <v>5059</v>
      </c>
      <c r="K194" s="2" t="s">
        <v>5060</v>
      </c>
      <c r="L194" s="2" t="s">
        <v>6455</v>
      </c>
      <c r="M194" s="2" t="s">
        <v>6456</v>
      </c>
      <c r="N194" s="2" t="s">
        <v>6457</v>
      </c>
      <c r="O194" s="2" t="s">
        <v>6458</v>
      </c>
      <c r="P194" s="2" t="s">
        <v>6459</v>
      </c>
      <c r="Q194" s="2" t="s">
        <v>6460</v>
      </c>
      <c r="R194" s="2" t="s">
        <v>5067</v>
      </c>
      <c r="S194" s="2" t="s">
        <v>5068</v>
      </c>
      <c r="T194" s="2" t="s">
        <v>5069</v>
      </c>
      <c r="U194" s="2" t="s">
        <v>5070</v>
      </c>
      <c r="V194" s="2"/>
    </row>
    <row r="195" spans="1:22" ht="45" customHeight="1" x14ac:dyDescent="0.25">
      <c r="A195" s="3" t="s">
        <v>2624</v>
      </c>
      <c r="B195" s="3" t="s">
        <v>2623</v>
      </c>
      <c r="C195" s="3" t="s">
        <v>4930</v>
      </c>
      <c r="D195" s="3" t="s">
        <v>2626</v>
      </c>
      <c r="E195" s="3">
        <v>1</v>
      </c>
      <c r="F195" s="3">
        <v>68</v>
      </c>
      <c r="G195" s="3" t="s">
        <v>6461</v>
      </c>
      <c r="H195" s="3">
        <v>47.695999999999998</v>
      </c>
      <c r="I195" s="3">
        <v>7</v>
      </c>
      <c r="J195" s="3" t="s">
        <v>5059</v>
      </c>
      <c r="K195" s="3" t="s">
        <v>5060</v>
      </c>
      <c r="L195" s="3" t="s">
        <v>6462</v>
      </c>
      <c r="M195" s="3" t="s">
        <v>6463</v>
      </c>
      <c r="N195" s="3" t="s">
        <v>6464</v>
      </c>
      <c r="O195" s="3" t="s">
        <v>6465</v>
      </c>
      <c r="P195" s="3" t="s">
        <v>6466</v>
      </c>
      <c r="Q195" s="3" t="s">
        <v>6467</v>
      </c>
      <c r="R195" s="3" t="s">
        <v>5067</v>
      </c>
      <c r="S195" s="3" t="s">
        <v>5068</v>
      </c>
      <c r="T195" s="3" t="s">
        <v>5069</v>
      </c>
      <c r="U195" s="3" t="s">
        <v>5070</v>
      </c>
      <c r="V195" s="3"/>
    </row>
    <row r="196" spans="1:22" ht="45" customHeight="1" x14ac:dyDescent="0.25">
      <c r="A196" s="2" t="s">
        <v>620</v>
      </c>
      <c r="B196" s="2" t="s">
        <v>619</v>
      </c>
      <c r="C196" s="2" t="s">
        <v>4767</v>
      </c>
      <c r="D196" s="2" t="s">
        <v>622</v>
      </c>
      <c r="E196" s="2">
        <v>1</v>
      </c>
      <c r="F196" s="2">
        <v>68</v>
      </c>
      <c r="G196" s="2" t="s">
        <v>6468</v>
      </c>
      <c r="H196" s="2">
        <v>47.695999999999998</v>
      </c>
      <c r="I196" s="2">
        <v>7</v>
      </c>
      <c r="J196" s="2" t="s">
        <v>5059</v>
      </c>
      <c r="K196" s="2" t="s">
        <v>5060</v>
      </c>
      <c r="L196" s="2" t="s">
        <v>6469</v>
      </c>
      <c r="M196" s="2" t="s">
        <v>6470</v>
      </c>
      <c r="N196" s="2" t="s">
        <v>6471</v>
      </c>
      <c r="O196" s="2" t="s">
        <v>6472</v>
      </c>
      <c r="P196" s="2" t="s">
        <v>6473</v>
      </c>
      <c r="Q196" s="2" t="s">
        <v>6474</v>
      </c>
      <c r="R196" s="2" t="s">
        <v>5067</v>
      </c>
      <c r="S196" s="2" t="s">
        <v>5068</v>
      </c>
      <c r="T196" s="2" t="s">
        <v>5069</v>
      </c>
      <c r="U196" s="2" t="s">
        <v>5070</v>
      </c>
      <c r="V196" s="2"/>
    </row>
    <row r="197" spans="1:22" ht="45" customHeight="1" x14ac:dyDescent="0.25">
      <c r="A197" s="3" t="s">
        <v>732</v>
      </c>
      <c r="B197" s="3" t="s">
        <v>731</v>
      </c>
      <c r="C197" s="3" t="s">
        <v>4788</v>
      </c>
      <c r="D197" s="3" t="s">
        <v>734</v>
      </c>
      <c r="E197" s="3">
        <v>1</v>
      </c>
      <c r="F197" s="3">
        <v>68</v>
      </c>
      <c r="G197" s="3" t="s">
        <v>6475</v>
      </c>
      <c r="H197" s="3">
        <v>47.695999999999998</v>
      </c>
      <c r="I197" s="3">
        <v>7</v>
      </c>
      <c r="J197" s="3" t="s">
        <v>5059</v>
      </c>
      <c r="K197" s="3" t="s">
        <v>5060</v>
      </c>
      <c r="L197" s="3" t="s">
        <v>6476</v>
      </c>
      <c r="M197" s="3" t="s">
        <v>6477</v>
      </c>
      <c r="N197" s="3" t="s">
        <v>6478</v>
      </c>
      <c r="O197" s="3" t="s">
        <v>6479</v>
      </c>
      <c r="P197" s="3" t="s">
        <v>6480</v>
      </c>
      <c r="Q197" s="3" t="s">
        <v>6481</v>
      </c>
      <c r="R197" s="3" t="s">
        <v>5067</v>
      </c>
      <c r="S197" s="3" t="s">
        <v>5068</v>
      </c>
      <c r="T197" s="3" t="s">
        <v>5069</v>
      </c>
      <c r="U197" s="3" t="s">
        <v>5070</v>
      </c>
      <c r="V197" s="3"/>
    </row>
    <row r="198" spans="1:22" ht="45" customHeight="1" x14ac:dyDescent="0.25">
      <c r="A198" s="2" t="s">
        <v>736</v>
      </c>
      <c r="B198" s="2" t="s">
        <v>735</v>
      </c>
      <c r="C198" s="2" t="s">
        <v>4789</v>
      </c>
      <c r="D198" s="2" t="s">
        <v>738</v>
      </c>
      <c r="E198" s="2">
        <v>1</v>
      </c>
      <c r="F198" s="2">
        <v>68</v>
      </c>
      <c r="G198" s="2" t="s">
        <v>6482</v>
      </c>
      <c r="H198" s="2">
        <v>47.695999999999998</v>
      </c>
      <c r="I198" s="2">
        <v>7</v>
      </c>
      <c r="J198" s="2" t="s">
        <v>5059</v>
      </c>
      <c r="K198" s="2" t="s">
        <v>5060</v>
      </c>
      <c r="L198" s="2" t="s">
        <v>6483</v>
      </c>
      <c r="M198" s="2" t="s">
        <v>6484</v>
      </c>
      <c r="N198" s="2" t="s">
        <v>6485</v>
      </c>
      <c r="O198" s="2" t="s">
        <v>6486</v>
      </c>
      <c r="P198" s="2" t="s">
        <v>6487</v>
      </c>
      <c r="Q198" s="2" t="s">
        <v>6488</v>
      </c>
      <c r="R198" s="2" t="s">
        <v>5067</v>
      </c>
      <c r="S198" s="2" t="s">
        <v>5068</v>
      </c>
      <c r="T198" s="2" t="s">
        <v>5069</v>
      </c>
      <c r="U198" s="2" t="s">
        <v>5070</v>
      </c>
      <c r="V198" s="2"/>
    </row>
    <row r="199" spans="1:22" ht="33.75" customHeight="1" x14ac:dyDescent="0.25">
      <c r="A199" s="3" t="s">
        <v>1987</v>
      </c>
      <c r="B199" s="3" t="s">
        <v>1986</v>
      </c>
      <c r="C199" s="3" t="s">
        <v>4881</v>
      </c>
      <c r="D199" s="3" t="s">
        <v>1989</v>
      </c>
      <c r="E199" s="3">
        <v>1</v>
      </c>
      <c r="F199" s="3">
        <v>68</v>
      </c>
      <c r="G199" s="3" t="s">
        <v>6489</v>
      </c>
      <c r="H199" s="3">
        <v>28.4544</v>
      </c>
      <c r="I199" s="3">
        <v>7</v>
      </c>
      <c r="J199" s="3" t="s">
        <v>5059</v>
      </c>
      <c r="K199" s="3" t="s">
        <v>5124</v>
      </c>
      <c r="L199" s="3" t="s">
        <v>6490</v>
      </c>
      <c r="M199" s="3" t="s">
        <v>6490</v>
      </c>
      <c r="N199" s="3" t="s">
        <v>6491</v>
      </c>
      <c r="O199" s="3" t="s">
        <v>6492</v>
      </c>
      <c r="P199" s="3" t="s">
        <v>6493</v>
      </c>
      <c r="Q199" s="3" t="s">
        <v>6494</v>
      </c>
      <c r="R199" s="3" t="s">
        <v>5067</v>
      </c>
      <c r="S199" s="3" t="s">
        <v>5068</v>
      </c>
      <c r="T199" s="3" t="s">
        <v>5069</v>
      </c>
      <c r="U199" s="3" t="s">
        <v>5070</v>
      </c>
      <c r="V199" s="3"/>
    </row>
    <row r="200" spans="1:22" ht="45" customHeight="1" x14ac:dyDescent="0.25">
      <c r="A200" s="2" t="s">
        <v>1948</v>
      </c>
      <c r="B200" s="2" t="s">
        <v>6495</v>
      </c>
      <c r="C200" s="2" t="s">
        <v>4755</v>
      </c>
      <c r="D200" s="2" t="s">
        <v>1950</v>
      </c>
      <c r="E200" s="2">
        <v>7</v>
      </c>
      <c r="F200" s="2">
        <v>68</v>
      </c>
      <c r="G200" s="2" t="s">
        <v>6496</v>
      </c>
      <c r="H200" s="2">
        <v>27.513280000000002</v>
      </c>
      <c r="I200" s="2">
        <v>7</v>
      </c>
      <c r="J200" s="2" t="s">
        <v>5059</v>
      </c>
      <c r="K200" s="2" t="s">
        <v>5124</v>
      </c>
      <c r="L200" s="2" t="s">
        <v>6497</v>
      </c>
      <c r="M200" s="2" t="s">
        <v>6497</v>
      </c>
      <c r="N200" s="2" t="s">
        <v>6498</v>
      </c>
      <c r="O200" s="2" t="s">
        <v>6499</v>
      </c>
      <c r="P200" s="2" t="s">
        <v>6500</v>
      </c>
      <c r="Q200" s="2" t="s">
        <v>6501</v>
      </c>
      <c r="R200" s="2" t="s">
        <v>5067</v>
      </c>
      <c r="S200" s="2" t="s">
        <v>5068</v>
      </c>
      <c r="T200" s="2" t="s">
        <v>5069</v>
      </c>
      <c r="U200" s="2" t="s">
        <v>5070</v>
      </c>
      <c r="V200" s="2"/>
    </row>
    <row r="201" spans="1:22" ht="33.75" customHeight="1" x14ac:dyDescent="0.25">
      <c r="A201" s="3" t="s">
        <v>570</v>
      </c>
      <c r="B201" s="3" t="s">
        <v>6502</v>
      </c>
      <c r="C201" s="3" t="s">
        <v>4755</v>
      </c>
      <c r="D201" s="3" t="s">
        <v>572</v>
      </c>
      <c r="E201" s="3">
        <v>2</v>
      </c>
      <c r="F201" s="3">
        <v>68</v>
      </c>
      <c r="G201" s="3" t="s">
        <v>6496</v>
      </c>
      <c r="H201" s="3">
        <v>28.4544</v>
      </c>
      <c r="I201" s="3">
        <v>7</v>
      </c>
      <c r="J201" s="3" t="s">
        <v>5059</v>
      </c>
      <c r="K201" s="3" t="s">
        <v>5124</v>
      </c>
      <c r="L201" s="3" t="s">
        <v>6503</v>
      </c>
      <c r="M201" s="3" t="s">
        <v>6503</v>
      </c>
      <c r="N201" s="3" t="s">
        <v>6504</v>
      </c>
      <c r="O201" s="3" t="s">
        <v>6505</v>
      </c>
      <c r="P201" s="3" t="s">
        <v>6506</v>
      </c>
      <c r="Q201" s="3" t="s">
        <v>6507</v>
      </c>
      <c r="R201" s="3" t="s">
        <v>5067</v>
      </c>
      <c r="S201" s="3" t="s">
        <v>5068</v>
      </c>
      <c r="T201" s="3" t="s">
        <v>5069</v>
      </c>
      <c r="U201" s="3" t="s">
        <v>5070</v>
      </c>
      <c r="V201" s="3"/>
    </row>
    <row r="202" spans="1:22" ht="33.75" customHeight="1" x14ac:dyDescent="0.25">
      <c r="A202" s="2" t="s">
        <v>1952</v>
      </c>
      <c r="B202" s="2" t="s">
        <v>6508</v>
      </c>
      <c r="C202" s="2" t="s">
        <v>4755</v>
      </c>
      <c r="D202" s="2" t="s">
        <v>1954</v>
      </c>
      <c r="E202" s="2">
        <v>3</v>
      </c>
      <c r="F202" s="2">
        <v>68</v>
      </c>
      <c r="G202" s="2" t="s">
        <v>6496</v>
      </c>
      <c r="H202" s="2">
        <v>28.4544</v>
      </c>
      <c r="I202" s="2">
        <v>7</v>
      </c>
      <c r="J202" s="2" t="s">
        <v>5059</v>
      </c>
      <c r="K202" s="2" t="s">
        <v>5124</v>
      </c>
      <c r="L202" s="2" t="s">
        <v>6509</v>
      </c>
      <c r="M202" s="2" t="s">
        <v>6509</v>
      </c>
      <c r="N202" s="2" t="s">
        <v>6510</v>
      </c>
      <c r="O202" s="2" t="s">
        <v>6511</v>
      </c>
      <c r="P202" s="2" t="s">
        <v>6512</v>
      </c>
      <c r="Q202" s="2" t="s">
        <v>6513</v>
      </c>
      <c r="R202" s="2" t="s">
        <v>5067</v>
      </c>
      <c r="S202" s="2" t="s">
        <v>5068</v>
      </c>
      <c r="T202" s="2" t="s">
        <v>5069</v>
      </c>
      <c r="U202" s="2" t="s">
        <v>5070</v>
      </c>
      <c r="V202" s="2"/>
    </row>
    <row r="203" spans="1:22" ht="45" customHeight="1" x14ac:dyDescent="0.25">
      <c r="A203" s="3" t="s">
        <v>1737</v>
      </c>
      <c r="B203" s="3" t="s">
        <v>6514</v>
      </c>
      <c r="C203" s="3" t="s">
        <v>4848</v>
      </c>
      <c r="D203" s="3" t="s">
        <v>1739</v>
      </c>
      <c r="E203" s="3">
        <v>2</v>
      </c>
      <c r="F203" s="3">
        <v>72</v>
      </c>
      <c r="G203" s="3" t="s">
        <v>6515</v>
      </c>
      <c r="H203" s="3">
        <v>29.804200000000002</v>
      </c>
      <c r="I203" s="3">
        <v>7</v>
      </c>
      <c r="J203" s="3" t="s">
        <v>5059</v>
      </c>
      <c r="K203" s="3" t="s">
        <v>5060</v>
      </c>
      <c r="L203" s="3" t="s">
        <v>6516</v>
      </c>
      <c r="M203" s="3" t="s">
        <v>6517</v>
      </c>
      <c r="N203" s="3" t="s">
        <v>6518</v>
      </c>
      <c r="O203" s="3" t="s">
        <v>6519</v>
      </c>
      <c r="P203" s="3" t="s">
        <v>6520</v>
      </c>
      <c r="Q203" s="3" t="s">
        <v>6521</v>
      </c>
      <c r="R203" s="3" t="s">
        <v>5067</v>
      </c>
      <c r="S203" s="3" t="s">
        <v>5068</v>
      </c>
      <c r="T203" s="3" t="s">
        <v>5069</v>
      </c>
      <c r="U203" s="3" t="s">
        <v>5070</v>
      </c>
      <c r="V203" s="3"/>
    </row>
    <row r="204" spans="1:22" ht="45" customHeight="1" x14ac:dyDescent="0.25">
      <c r="A204" s="2" t="s">
        <v>1841</v>
      </c>
      <c r="B204" s="2" t="s">
        <v>1840</v>
      </c>
      <c r="C204" s="2" t="s">
        <v>4865</v>
      </c>
      <c r="D204" s="2" t="s">
        <v>1843</v>
      </c>
      <c r="E204" s="2">
        <v>1</v>
      </c>
      <c r="F204" s="2">
        <v>72</v>
      </c>
      <c r="G204" s="2" t="s">
        <v>6522</v>
      </c>
      <c r="H204" s="2">
        <v>30.234200000000001</v>
      </c>
      <c r="I204" s="2">
        <v>7</v>
      </c>
      <c r="J204" s="2" t="s">
        <v>5059</v>
      </c>
      <c r="K204" s="2" t="s">
        <v>5060</v>
      </c>
      <c r="L204" s="2" t="s">
        <v>6523</v>
      </c>
      <c r="M204" s="2" t="s">
        <v>6524</v>
      </c>
      <c r="N204" s="2" t="s">
        <v>6525</v>
      </c>
      <c r="O204" s="2" t="s">
        <v>6526</v>
      </c>
      <c r="P204" s="2" t="s">
        <v>6527</v>
      </c>
      <c r="Q204" s="2" t="s">
        <v>6528</v>
      </c>
      <c r="R204" s="2" t="s">
        <v>5067</v>
      </c>
      <c r="S204" s="2" t="s">
        <v>5068</v>
      </c>
      <c r="T204" s="2" t="s">
        <v>5069</v>
      </c>
      <c r="U204" s="2" t="s">
        <v>5070</v>
      </c>
      <c r="V204" s="2"/>
    </row>
    <row r="205" spans="1:22" ht="45" customHeight="1" x14ac:dyDescent="0.25">
      <c r="A205" s="3" t="s">
        <v>1888</v>
      </c>
      <c r="B205" s="3" t="s">
        <v>6529</v>
      </c>
      <c r="C205" s="3" t="s">
        <v>4872</v>
      </c>
      <c r="D205" s="3" t="s">
        <v>1890</v>
      </c>
      <c r="E205" s="3">
        <v>8</v>
      </c>
      <c r="F205" s="3">
        <v>72</v>
      </c>
      <c r="G205" s="3" t="s">
        <v>6530</v>
      </c>
      <c r="H205" s="3">
        <v>27.859200000000001</v>
      </c>
      <c r="I205" s="3">
        <v>6</v>
      </c>
      <c r="J205" s="3" t="s">
        <v>5059</v>
      </c>
      <c r="K205" s="3" t="s">
        <v>5060</v>
      </c>
      <c r="L205" s="3" t="s">
        <v>6531</v>
      </c>
      <c r="M205" s="3" t="s">
        <v>6532</v>
      </c>
      <c r="N205" s="3" t="s">
        <v>6533</v>
      </c>
      <c r="O205" s="3" t="s">
        <v>6534</v>
      </c>
      <c r="P205" s="3" t="s">
        <v>6535</v>
      </c>
      <c r="Q205" s="3" t="s">
        <v>6536</v>
      </c>
      <c r="R205" s="3" t="s">
        <v>5067</v>
      </c>
      <c r="S205" s="3" t="s">
        <v>5068</v>
      </c>
      <c r="T205" s="3" t="s">
        <v>5069</v>
      </c>
      <c r="U205" s="3" t="s">
        <v>5070</v>
      </c>
      <c r="V205" s="3"/>
    </row>
    <row r="206" spans="1:22" ht="123.75" customHeight="1" x14ac:dyDescent="0.25">
      <c r="A206" s="2" t="s">
        <v>826</v>
      </c>
      <c r="B206" s="2" t="s">
        <v>6537</v>
      </c>
      <c r="C206" s="2" t="s">
        <v>4796</v>
      </c>
      <c r="D206" s="2" t="s">
        <v>828</v>
      </c>
      <c r="E206" s="2">
        <v>21</v>
      </c>
      <c r="F206" s="2">
        <v>72</v>
      </c>
      <c r="G206" s="2" t="s">
        <v>6538</v>
      </c>
      <c r="H206" s="2">
        <v>28.366</v>
      </c>
      <c r="I206" s="2">
        <v>6</v>
      </c>
      <c r="J206" s="2" t="s">
        <v>5059</v>
      </c>
      <c r="K206" s="2" t="s">
        <v>5060</v>
      </c>
      <c r="L206" s="2" t="s">
        <v>6539</v>
      </c>
      <c r="M206" s="2" t="s">
        <v>6540</v>
      </c>
      <c r="N206" s="2" t="s">
        <v>6541</v>
      </c>
      <c r="O206" s="2" t="s">
        <v>6542</v>
      </c>
      <c r="P206" s="2" t="s">
        <v>6543</v>
      </c>
      <c r="Q206" s="2" t="s">
        <v>6544</v>
      </c>
      <c r="R206" s="2" t="s">
        <v>5067</v>
      </c>
      <c r="S206" s="2" t="s">
        <v>5068</v>
      </c>
      <c r="T206" s="2" t="s">
        <v>5069</v>
      </c>
      <c r="U206" s="2" t="s">
        <v>5070</v>
      </c>
      <c r="V206" s="2"/>
    </row>
    <row r="207" spans="1:22" ht="67.5" customHeight="1" x14ac:dyDescent="0.25">
      <c r="A207" s="3" t="s">
        <v>1638</v>
      </c>
      <c r="B207" s="3" t="s">
        <v>6545</v>
      </c>
      <c r="C207" s="3" t="s">
        <v>4842</v>
      </c>
      <c r="D207" s="3" t="s">
        <v>1640</v>
      </c>
      <c r="E207" s="3">
        <v>11</v>
      </c>
      <c r="F207" s="3">
        <v>72</v>
      </c>
      <c r="G207" s="3" t="s">
        <v>6546</v>
      </c>
      <c r="H207" s="3">
        <v>33.259399999999999</v>
      </c>
      <c r="I207" s="3">
        <v>8</v>
      </c>
      <c r="J207" s="3" t="s">
        <v>5059</v>
      </c>
      <c r="K207" s="3" t="s">
        <v>5060</v>
      </c>
      <c r="L207" s="3" t="s">
        <v>6547</v>
      </c>
      <c r="M207" s="3" t="s">
        <v>6548</v>
      </c>
      <c r="N207" s="3" t="s">
        <v>6549</v>
      </c>
      <c r="O207" s="3" t="s">
        <v>6550</v>
      </c>
      <c r="P207" s="3" t="s">
        <v>6551</v>
      </c>
      <c r="Q207" s="3" t="s">
        <v>6552</v>
      </c>
      <c r="R207" s="3" t="s">
        <v>5067</v>
      </c>
      <c r="S207" s="3" t="s">
        <v>5068</v>
      </c>
      <c r="T207" s="3" t="s">
        <v>5069</v>
      </c>
      <c r="U207" s="3" t="s">
        <v>5070</v>
      </c>
      <c r="V207" s="3"/>
    </row>
    <row r="208" spans="1:22" ht="45" customHeight="1" x14ac:dyDescent="0.25">
      <c r="A208" s="2" t="s">
        <v>334</v>
      </c>
      <c r="B208" s="2" t="s">
        <v>6553</v>
      </c>
      <c r="C208" s="2" t="s">
        <v>4707</v>
      </c>
      <c r="D208" s="2" t="s">
        <v>336</v>
      </c>
      <c r="E208" s="2">
        <v>2</v>
      </c>
      <c r="F208" s="2">
        <v>72</v>
      </c>
      <c r="G208" s="2" t="s">
        <v>6554</v>
      </c>
      <c r="H208" s="2">
        <v>27.925999999999998</v>
      </c>
      <c r="I208" s="2">
        <v>6</v>
      </c>
      <c r="J208" s="2" t="s">
        <v>5059</v>
      </c>
      <c r="K208" s="2" t="s">
        <v>5060</v>
      </c>
      <c r="L208" s="2" t="s">
        <v>6555</v>
      </c>
      <c r="M208" s="2" t="s">
        <v>6556</v>
      </c>
      <c r="N208" s="2" t="s">
        <v>6557</v>
      </c>
      <c r="O208" s="2" t="s">
        <v>6558</v>
      </c>
      <c r="P208" s="2" t="s">
        <v>6559</v>
      </c>
      <c r="Q208" s="2" t="s">
        <v>6560</v>
      </c>
      <c r="R208" s="2" t="s">
        <v>5067</v>
      </c>
      <c r="S208" s="2" t="s">
        <v>5068</v>
      </c>
      <c r="T208" s="2" t="s">
        <v>5069</v>
      </c>
      <c r="U208" s="2" t="s">
        <v>5070</v>
      </c>
      <c r="V208" s="2"/>
    </row>
    <row r="209" spans="1:22" ht="45" customHeight="1" x14ac:dyDescent="0.25">
      <c r="A209" s="3" t="s">
        <v>1258</v>
      </c>
      <c r="B209" s="3" t="s">
        <v>6561</v>
      </c>
      <c r="C209" s="3" t="s">
        <v>4817</v>
      </c>
      <c r="D209" s="3" t="s">
        <v>1260</v>
      </c>
      <c r="E209" s="3">
        <v>2</v>
      </c>
      <c r="F209" s="3">
        <v>72</v>
      </c>
      <c r="G209" s="3" t="s">
        <v>6562</v>
      </c>
      <c r="H209" s="3">
        <v>47.335999999999999</v>
      </c>
      <c r="I209" s="3">
        <v>7</v>
      </c>
      <c r="J209" s="3" t="s">
        <v>5059</v>
      </c>
      <c r="K209" s="3" t="s">
        <v>5060</v>
      </c>
      <c r="L209" s="3" t="s">
        <v>6563</v>
      </c>
      <c r="M209" s="3" t="s">
        <v>6564</v>
      </c>
      <c r="N209" s="3" t="s">
        <v>6565</v>
      </c>
      <c r="O209" s="3" t="s">
        <v>6566</v>
      </c>
      <c r="P209" s="3" t="s">
        <v>6567</v>
      </c>
      <c r="Q209" s="3" t="s">
        <v>6568</v>
      </c>
      <c r="R209" s="3" t="s">
        <v>5067</v>
      </c>
      <c r="S209" s="3" t="s">
        <v>5068</v>
      </c>
      <c r="T209" s="3" t="s">
        <v>5069</v>
      </c>
      <c r="U209" s="3" t="s">
        <v>5070</v>
      </c>
      <c r="V209" s="3"/>
    </row>
    <row r="210" spans="1:22" ht="45" customHeight="1" x14ac:dyDescent="0.25">
      <c r="A210" s="2" t="s">
        <v>724</v>
      </c>
      <c r="B210" s="2" t="s">
        <v>723</v>
      </c>
      <c r="C210" s="2" t="s">
        <v>4786</v>
      </c>
      <c r="D210" s="2" t="s">
        <v>726</v>
      </c>
      <c r="E210" s="2">
        <v>1</v>
      </c>
      <c r="F210" s="2">
        <v>72</v>
      </c>
      <c r="G210" s="2" t="s">
        <v>6569</v>
      </c>
      <c r="H210" s="2">
        <v>50.936</v>
      </c>
      <c r="I210" s="2">
        <v>7</v>
      </c>
      <c r="J210" s="2" t="s">
        <v>5059</v>
      </c>
      <c r="K210" s="2" t="s">
        <v>5060</v>
      </c>
      <c r="L210" s="2" t="s">
        <v>6570</v>
      </c>
      <c r="M210" s="2" t="s">
        <v>6571</v>
      </c>
      <c r="N210" s="2" t="s">
        <v>6572</v>
      </c>
      <c r="O210" s="2" t="s">
        <v>6573</v>
      </c>
      <c r="P210" s="2" t="s">
        <v>6574</v>
      </c>
      <c r="Q210" s="2" t="s">
        <v>6575</v>
      </c>
      <c r="R210" s="2" t="s">
        <v>5067</v>
      </c>
      <c r="S210" s="2" t="s">
        <v>5068</v>
      </c>
      <c r="T210" s="2" t="s">
        <v>5069</v>
      </c>
      <c r="U210" s="2" t="s">
        <v>5070</v>
      </c>
      <c r="V210" s="2"/>
    </row>
    <row r="211" spans="1:22" ht="45" customHeight="1" x14ac:dyDescent="0.25">
      <c r="A211" s="3" t="s">
        <v>728</v>
      </c>
      <c r="B211" s="3" t="s">
        <v>727</v>
      </c>
      <c r="C211" s="3" t="s">
        <v>4787</v>
      </c>
      <c r="D211" s="3" t="s">
        <v>730</v>
      </c>
      <c r="E211" s="3">
        <v>1</v>
      </c>
      <c r="F211" s="3">
        <v>72</v>
      </c>
      <c r="G211" s="3" t="s">
        <v>6576</v>
      </c>
      <c r="H211" s="3">
        <v>47.335999999999999</v>
      </c>
      <c r="I211" s="3">
        <v>7</v>
      </c>
      <c r="J211" s="3" t="s">
        <v>5059</v>
      </c>
      <c r="K211" s="3" t="s">
        <v>5060</v>
      </c>
      <c r="L211" s="3" t="s">
        <v>6577</v>
      </c>
      <c r="M211" s="3" t="s">
        <v>6578</v>
      </c>
      <c r="N211" s="3" t="s">
        <v>6579</v>
      </c>
      <c r="O211" s="3" t="s">
        <v>6580</v>
      </c>
      <c r="P211" s="3" t="s">
        <v>6581</v>
      </c>
      <c r="Q211" s="3" t="s">
        <v>6582</v>
      </c>
      <c r="R211" s="3" t="s">
        <v>5067</v>
      </c>
      <c r="S211" s="3" t="s">
        <v>5068</v>
      </c>
      <c r="T211" s="3" t="s">
        <v>5069</v>
      </c>
      <c r="U211" s="3" t="s">
        <v>5070</v>
      </c>
      <c r="V211" s="3"/>
    </row>
    <row r="212" spans="1:22" ht="45" customHeight="1" x14ac:dyDescent="0.25">
      <c r="A212" s="2" t="s">
        <v>3753</v>
      </c>
      <c r="B212" s="2" t="s">
        <v>3752</v>
      </c>
      <c r="C212" s="2" t="s">
        <v>4999</v>
      </c>
      <c r="D212" s="2" t="s">
        <v>3755</v>
      </c>
      <c r="E212" s="2">
        <v>1</v>
      </c>
      <c r="F212" s="2">
        <v>72</v>
      </c>
      <c r="G212" s="2" t="s">
        <v>6583</v>
      </c>
      <c r="H212" s="2">
        <v>47.335999999999999</v>
      </c>
      <c r="I212" s="2">
        <v>7</v>
      </c>
      <c r="J212" s="2" t="s">
        <v>5059</v>
      </c>
      <c r="K212" s="2" t="s">
        <v>5060</v>
      </c>
      <c r="L212" s="2" t="s">
        <v>6584</v>
      </c>
      <c r="M212" s="2" t="s">
        <v>6585</v>
      </c>
      <c r="N212" s="2" t="s">
        <v>6586</v>
      </c>
      <c r="O212" s="2" t="s">
        <v>6587</v>
      </c>
      <c r="P212" s="2" t="s">
        <v>6588</v>
      </c>
      <c r="Q212" s="2" t="s">
        <v>6589</v>
      </c>
      <c r="R212" s="2" t="s">
        <v>5067</v>
      </c>
      <c r="S212" s="2" t="s">
        <v>5068</v>
      </c>
      <c r="T212" s="2" t="s">
        <v>5069</v>
      </c>
      <c r="U212" s="2" t="s">
        <v>5070</v>
      </c>
      <c r="V212" s="2"/>
    </row>
    <row r="213" spans="1:22" ht="56.25" customHeight="1" x14ac:dyDescent="0.25">
      <c r="A213" s="3" t="s">
        <v>3172</v>
      </c>
      <c r="B213" s="3" t="s">
        <v>3171</v>
      </c>
      <c r="C213" s="3" t="s">
        <v>4964</v>
      </c>
      <c r="D213" s="3" t="s">
        <v>3174</v>
      </c>
      <c r="E213" s="3">
        <v>1</v>
      </c>
      <c r="F213" s="3">
        <v>72</v>
      </c>
      <c r="G213" s="3" t="s">
        <v>6590</v>
      </c>
      <c r="H213" s="3">
        <v>46.765999999999998</v>
      </c>
      <c r="I213" s="3">
        <v>7</v>
      </c>
      <c r="J213" s="3" t="s">
        <v>5059</v>
      </c>
      <c r="K213" s="3" t="s">
        <v>5060</v>
      </c>
      <c r="L213" s="3" t="s">
        <v>6591</v>
      </c>
      <c r="M213" s="3" t="s">
        <v>6592</v>
      </c>
      <c r="N213" s="3" t="s">
        <v>6593</v>
      </c>
      <c r="O213" s="3" t="s">
        <v>6594</v>
      </c>
      <c r="P213" s="3" t="s">
        <v>6595</v>
      </c>
      <c r="Q213" s="3" t="s">
        <v>6596</v>
      </c>
      <c r="R213" s="3" t="s">
        <v>5067</v>
      </c>
      <c r="S213" s="3" t="s">
        <v>5068</v>
      </c>
      <c r="T213" s="3" t="s">
        <v>5069</v>
      </c>
      <c r="U213" s="3" t="s">
        <v>5070</v>
      </c>
      <c r="V213" s="3"/>
    </row>
    <row r="214" spans="1:22" ht="56.25" customHeight="1" x14ac:dyDescent="0.25">
      <c r="A214" s="2" t="s">
        <v>3521</v>
      </c>
      <c r="B214" s="2" t="s">
        <v>3520</v>
      </c>
      <c r="C214" s="2" t="s">
        <v>4984</v>
      </c>
      <c r="D214" s="2" t="s">
        <v>3523</v>
      </c>
      <c r="E214" s="2">
        <v>1</v>
      </c>
      <c r="F214" s="2">
        <v>72</v>
      </c>
      <c r="G214" s="2" t="s">
        <v>6597</v>
      </c>
      <c r="H214" s="2">
        <v>47.756</v>
      </c>
      <c r="I214" s="2">
        <v>7</v>
      </c>
      <c r="J214" s="2" t="s">
        <v>5059</v>
      </c>
      <c r="K214" s="2" t="s">
        <v>5060</v>
      </c>
      <c r="L214" s="2" t="s">
        <v>6598</v>
      </c>
      <c r="M214" s="2" t="s">
        <v>6599</v>
      </c>
      <c r="N214" s="2" t="s">
        <v>6600</v>
      </c>
      <c r="O214" s="2" t="s">
        <v>6601</v>
      </c>
      <c r="P214" s="2" t="s">
        <v>6602</v>
      </c>
      <c r="Q214" s="2" t="s">
        <v>6603</v>
      </c>
      <c r="R214" s="2" t="s">
        <v>5067</v>
      </c>
      <c r="S214" s="2" t="s">
        <v>5068</v>
      </c>
      <c r="T214" s="2" t="s">
        <v>5069</v>
      </c>
      <c r="U214" s="2" t="s">
        <v>5070</v>
      </c>
      <c r="V214" s="2"/>
    </row>
    <row r="215" spans="1:22" ht="45" customHeight="1" x14ac:dyDescent="0.25">
      <c r="A215" s="3" t="s">
        <v>2727</v>
      </c>
      <c r="B215" s="3" t="s">
        <v>2726</v>
      </c>
      <c r="C215" s="3" t="s">
        <v>4936</v>
      </c>
      <c r="D215" s="3" t="s">
        <v>2729</v>
      </c>
      <c r="E215" s="3">
        <v>1</v>
      </c>
      <c r="F215" s="3">
        <v>72</v>
      </c>
      <c r="G215" s="3" t="s">
        <v>6604</v>
      </c>
      <c r="H215" s="3">
        <v>50.636000000000003</v>
      </c>
      <c r="I215" s="3">
        <v>7</v>
      </c>
      <c r="J215" s="3" t="s">
        <v>5059</v>
      </c>
      <c r="K215" s="3" t="s">
        <v>5060</v>
      </c>
      <c r="L215" s="3" t="s">
        <v>6605</v>
      </c>
      <c r="M215" s="3" t="s">
        <v>6606</v>
      </c>
      <c r="N215" s="3" t="s">
        <v>6607</v>
      </c>
      <c r="O215" s="3" t="s">
        <v>6608</v>
      </c>
      <c r="P215" s="3" t="s">
        <v>6609</v>
      </c>
      <c r="Q215" s="3" t="s">
        <v>6610</v>
      </c>
      <c r="R215" s="3" t="s">
        <v>5067</v>
      </c>
      <c r="S215" s="3" t="s">
        <v>5068</v>
      </c>
      <c r="T215" s="3" t="s">
        <v>5069</v>
      </c>
      <c r="U215" s="3" t="s">
        <v>5070</v>
      </c>
      <c r="V215" s="3"/>
    </row>
    <row r="216" spans="1:22" ht="45" customHeight="1" x14ac:dyDescent="0.25">
      <c r="A216" s="2" t="s">
        <v>4538</v>
      </c>
      <c r="B216" s="2" t="s">
        <v>4537</v>
      </c>
      <c r="C216" s="2" t="s">
        <v>5039</v>
      </c>
      <c r="D216" s="2" t="s">
        <v>4540</v>
      </c>
      <c r="E216" s="2">
        <v>1</v>
      </c>
      <c r="F216" s="2">
        <v>72</v>
      </c>
      <c r="G216" s="2" t="s">
        <v>6611</v>
      </c>
      <c r="H216" s="2">
        <v>27.707999999999998</v>
      </c>
      <c r="I216" s="2">
        <v>7</v>
      </c>
      <c r="J216" s="2" t="s">
        <v>5059</v>
      </c>
      <c r="K216" s="2" t="s">
        <v>5060</v>
      </c>
      <c r="L216" s="2" t="s">
        <v>6612</v>
      </c>
      <c r="M216" s="2" t="s">
        <v>6613</v>
      </c>
      <c r="N216" s="2" t="s">
        <v>6614</v>
      </c>
      <c r="O216" s="2" t="s">
        <v>6615</v>
      </c>
      <c r="P216" s="2" t="s">
        <v>6616</v>
      </c>
      <c r="Q216" s="2" t="s">
        <v>6617</v>
      </c>
      <c r="R216" s="2" t="s">
        <v>5067</v>
      </c>
      <c r="S216" s="2" t="s">
        <v>5068</v>
      </c>
      <c r="T216" s="2" t="s">
        <v>5069</v>
      </c>
      <c r="U216" s="2" t="s">
        <v>5070</v>
      </c>
      <c r="V216" s="2"/>
    </row>
    <row r="217" spans="1:22" ht="45" customHeight="1" x14ac:dyDescent="0.25">
      <c r="A217" s="3" t="s">
        <v>3252</v>
      </c>
      <c r="B217" s="3" t="s">
        <v>3251</v>
      </c>
      <c r="C217" s="3" t="s">
        <v>4968</v>
      </c>
      <c r="D217" s="3" t="s">
        <v>3254</v>
      </c>
      <c r="E217" s="3">
        <v>1</v>
      </c>
      <c r="F217" s="3">
        <v>72</v>
      </c>
      <c r="G217" s="3" t="s">
        <v>6618</v>
      </c>
      <c r="H217" s="3">
        <v>30.942</v>
      </c>
      <c r="I217" s="3">
        <v>7</v>
      </c>
      <c r="J217" s="3" t="s">
        <v>5059</v>
      </c>
      <c r="K217" s="3" t="s">
        <v>5060</v>
      </c>
      <c r="L217" s="3" t="s">
        <v>6619</v>
      </c>
      <c r="M217" s="3" t="s">
        <v>6620</v>
      </c>
      <c r="N217" s="3" t="s">
        <v>6621</v>
      </c>
      <c r="O217" s="3" t="s">
        <v>6622</v>
      </c>
      <c r="P217" s="3" t="s">
        <v>6623</v>
      </c>
      <c r="Q217" s="3" t="s">
        <v>6624</v>
      </c>
      <c r="R217" s="3" t="s">
        <v>5067</v>
      </c>
      <c r="S217" s="3" t="s">
        <v>5068</v>
      </c>
      <c r="T217" s="3" t="s">
        <v>5069</v>
      </c>
      <c r="U217" s="3" t="s">
        <v>5070</v>
      </c>
      <c r="V217" s="3"/>
    </row>
    <row r="218" spans="1:22" ht="247.5" customHeight="1" x14ac:dyDescent="0.25">
      <c r="A218" s="2" t="s">
        <v>400</v>
      </c>
      <c r="B218" s="2" t="s">
        <v>6625</v>
      </c>
      <c r="C218" s="2" t="s">
        <v>4730</v>
      </c>
      <c r="D218" s="2" t="s">
        <v>402</v>
      </c>
      <c r="E218" s="2">
        <v>43</v>
      </c>
      <c r="F218" s="2">
        <v>72</v>
      </c>
      <c r="G218" s="2" t="s">
        <v>6626</v>
      </c>
      <c r="H218" s="2">
        <v>34.332239999999999</v>
      </c>
      <c r="I218" s="2">
        <v>8</v>
      </c>
      <c r="J218" s="2" t="s">
        <v>5059</v>
      </c>
      <c r="K218" s="2" t="s">
        <v>5060</v>
      </c>
      <c r="L218" s="2" t="s">
        <v>6627</v>
      </c>
      <c r="M218" s="2" t="s">
        <v>6628</v>
      </c>
      <c r="N218" s="2" t="s">
        <v>6629</v>
      </c>
      <c r="O218" s="2" t="s">
        <v>6630</v>
      </c>
      <c r="P218" s="2" t="s">
        <v>6631</v>
      </c>
      <c r="Q218" s="2" t="s">
        <v>6632</v>
      </c>
      <c r="R218" s="2" t="s">
        <v>5067</v>
      </c>
      <c r="S218" s="2" t="s">
        <v>5068</v>
      </c>
      <c r="T218" s="2" t="s">
        <v>5069</v>
      </c>
      <c r="U218" s="2" t="s">
        <v>5070</v>
      </c>
      <c r="V218" s="2"/>
    </row>
    <row r="219" spans="1:22" ht="56.25" customHeight="1" x14ac:dyDescent="0.25">
      <c r="A219" s="3" t="s">
        <v>519</v>
      </c>
      <c r="B219" s="3" t="s">
        <v>6633</v>
      </c>
      <c r="C219" s="3" t="s">
        <v>4750</v>
      </c>
      <c r="D219" s="3" t="s">
        <v>521</v>
      </c>
      <c r="E219" s="3">
        <v>2</v>
      </c>
      <c r="F219" s="3">
        <v>72</v>
      </c>
      <c r="G219" s="3" t="s">
        <v>6634</v>
      </c>
      <c r="H219" s="3">
        <v>30.339120000000001</v>
      </c>
      <c r="I219" s="3">
        <v>8</v>
      </c>
      <c r="J219" s="3" t="s">
        <v>5059</v>
      </c>
      <c r="K219" s="3" t="s">
        <v>5060</v>
      </c>
      <c r="L219" s="3" t="s">
        <v>6635</v>
      </c>
      <c r="M219" s="3" t="s">
        <v>6636</v>
      </c>
      <c r="N219" s="3" t="s">
        <v>6637</v>
      </c>
      <c r="O219" s="3" t="s">
        <v>6638</v>
      </c>
      <c r="P219" s="3" t="s">
        <v>6639</v>
      </c>
      <c r="Q219" s="3" t="s">
        <v>6640</v>
      </c>
      <c r="R219" s="3" t="s">
        <v>5067</v>
      </c>
      <c r="S219" s="3" t="s">
        <v>5068</v>
      </c>
      <c r="T219" s="3" t="s">
        <v>5069</v>
      </c>
      <c r="U219" s="3" t="s">
        <v>5070</v>
      </c>
      <c r="V219" s="3"/>
    </row>
    <row r="220" spans="1:22" ht="45" customHeight="1" x14ac:dyDescent="0.25">
      <c r="A220" s="2" t="s">
        <v>2556</v>
      </c>
      <c r="B220" s="2" t="s">
        <v>6641</v>
      </c>
      <c r="C220" s="2" t="s">
        <v>4927</v>
      </c>
      <c r="D220" s="2" t="s">
        <v>2558</v>
      </c>
      <c r="E220" s="2">
        <v>4</v>
      </c>
      <c r="F220" s="2">
        <v>72</v>
      </c>
      <c r="G220" s="2" t="s">
        <v>6642</v>
      </c>
      <c r="H220" s="2">
        <v>30.3672</v>
      </c>
      <c r="I220" s="2">
        <v>7</v>
      </c>
      <c r="J220" s="2" t="s">
        <v>5059</v>
      </c>
      <c r="K220" s="2" t="s">
        <v>5060</v>
      </c>
      <c r="L220" s="2" t="s">
        <v>6643</v>
      </c>
      <c r="M220" s="2" t="s">
        <v>6644</v>
      </c>
      <c r="N220" s="2" t="s">
        <v>6645</v>
      </c>
      <c r="O220" s="2" t="s">
        <v>6646</v>
      </c>
      <c r="P220" s="2" t="s">
        <v>6647</v>
      </c>
      <c r="Q220" s="2" t="s">
        <v>6648</v>
      </c>
      <c r="R220" s="2" t="s">
        <v>5067</v>
      </c>
      <c r="S220" s="2" t="s">
        <v>5068</v>
      </c>
      <c r="T220" s="2" t="s">
        <v>5069</v>
      </c>
      <c r="U220" s="2" t="s">
        <v>5070</v>
      </c>
      <c r="V220" s="2"/>
    </row>
    <row r="221" spans="1:22" ht="409.5" customHeight="1" x14ac:dyDescent="0.25">
      <c r="A221" s="3" t="s">
        <v>418</v>
      </c>
      <c r="B221" s="3" t="s">
        <v>6649</v>
      </c>
      <c r="C221" s="3" t="s">
        <v>4734</v>
      </c>
      <c r="D221" s="3" t="s">
        <v>420</v>
      </c>
      <c r="E221" s="3">
        <v>125</v>
      </c>
      <c r="F221" s="3">
        <v>72</v>
      </c>
      <c r="G221" s="3" t="s">
        <v>6650</v>
      </c>
      <c r="H221" s="3">
        <v>30.655200000000001</v>
      </c>
      <c r="I221" s="3">
        <v>7</v>
      </c>
      <c r="J221" s="3" t="s">
        <v>5059</v>
      </c>
      <c r="K221" s="3" t="s">
        <v>5060</v>
      </c>
      <c r="L221" s="3" t="s">
        <v>6651</v>
      </c>
      <c r="M221" s="3" t="s">
        <v>6652</v>
      </c>
      <c r="N221" s="3" t="s">
        <v>6653</v>
      </c>
      <c r="O221" s="3" t="s">
        <v>6654</v>
      </c>
      <c r="P221" s="3" t="s">
        <v>6655</v>
      </c>
      <c r="Q221" s="3" t="s">
        <v>6656</v>
      </c>
      <c r="R221" s="3" t="s">
        <v>5067</v>
      </c>
      <c r="S221" s="3" t="s">
        <v>5068</v>
      </c>
      <c r="T221" s="3" t="s">
        <v>5069</v>
      </c>
      <c r="U221" s="3" t="s">
        <v>5070</v>
      </c>
      <c r="V221" s="3"/>
    </row>
    <row r="222" spans="1:22" ht="45" customHeight="1" x14ac:dyDescent="0.25">
      <c r="A222" s="2" t="s">
        <v>3309</v>
      </c>
      <c r="B222" s="2" t="s">
        <v>6657</v>
      </c>
      <c r="C222" s="2" t="s">
        <v>4977</v>
      </c>
      <c r="D222" s="2" t="s">
        <v>3311</v>
      </c>
      <c r="E222" s="2">
        <v>2</v>
      </c>
      <c r="F222" s="2">
        <v>72</v>
      </c>
      <c r="G222" s="2" t="s">
        <v>6658</v>
      </c>
      <c r="H222" s="2">
        <v>27.9192</v>
      </c>
      <c r="I222" s="2">
        <v>6</v>
      </c>
      <c r="J222" s="2" t="s">
        <v>5059</v>
      </c>
      <c r="K222" s="2" t="s">
        <v>5060</v>
      </c>
      <c r="L222" s="2" t="s">
        <v>6659</v>
      </c>
      <c r="M222" s="2" t="s">
        <v>6660</v>
      </c>
      <c r="N222" s="2" t="s">
        <v>6661</v>
      </c>
      <c r="O222" s="2" t="s">
        <v>6662</v>
      </c>
      <c r="P222" s="2" t="s">
        <v>6663</v>
      </c>
      <c r="Q222" s="2" t="s">
        <v>6664</v>
      </c>
      <c r="R222" s="2" t="s">
        <v>5067</v>
      </c>
      <c r="S222" s="2" t="s">
        <v>5068</v>
      </c>
      <c r="T222" s="2" t="s">
        <v>5069</v>
      </c>
      <c r="U222" s="2" t="s">
        <v>5070</v>
      </c>
      <c r="V222" s="2"/>
    </row>
    <row r="223" spans="1:22" ht="56.25" customHeight="1" x14ac:dyDescent="0.25">
      <c r="A223" s="3" t="s">
        <v>687</v>
      </c>
      <c r="B223" s="3" t="s">
        <v>6665</v>
      </c>
      <c r="C223" s="3" t="s">
        <v>4782</v>
      </c>
      <c r="D223" s="3" t="s">
        <v>689</v>
      </c>
      <c r="E223" s="3">
        <v>5</v>
      </c>
      <c r="F223" s="3">
        <v>72</v>
      </c>
      <c r="G223" s="3" t="s">
        <v>6666</v>
      </c>
      <c r="H223" s="3">
        <v>34.045439999999999</v>
      </c>
      <c r="I223" s="3">
        <v>6</v>
      </c>
      <c r="J223" s="3" t="s">
        <v>5059</v>
      </c>
      <c r="K223" s="3" t="s">
        <v>5060</v>
      </c>
      <c r="L223" s="3" t="s">
        <v>6667</v>
      </c>
      <c r="M223" s="3" t="s">
        <v>6668</v>
      </c>
      <c r="N223" s="3" t="s">
        <v>6669</v>
      </c>
      <c r="O223" s="3" t="s">
        <v>6670</v>
      </c>
      <c r="P223" s="3" t="s">
        <v>6671</v>
      </c>
      <c r="Q223" s="3" t="s">
        <v>6672</v>
      </c>
      <c r="R223" s="3" t="s">
        <v>5067</v>
      </c>
      <c r="S223" s="3" t="s">
        <v>5068</v>
      </c>
      <c r="T223" s="3" t="s">
        <v>5069</v>
      </c>
      <c r="U223" s="3" t="s">
        <v>5070</v>
      </c>
      <c r="V223" s="3"/>
    </row>
    <row r="224" spans="1:22" ht="56.25" customHeight="1" x14ac:dyDescent="0.25">
      <c r="A224" s="2" t="s">
        <v>470</v>
      </c>
      <c r="B224" s="2" t="s">
        <v>6673</v>
      </c>
      <c r="C224" s="2" t="s">
        <v>4743</v>
      </c>
      <c r="D224" s="2" t="s">
        <v>472</v>
      </c>
      <c r="E224" s="2">
        <v>5</v>
      </c>
      <c r="F224" s="2">
        <v>72</v>
      </c>
      <c r="G224" s="2" t="s">
        <v>6674</v>
      </c>
      <c r="H224" s="2">
        <v>30.052320000000002</v>
      </c>
      <c r="I224" s="2">
        <v>6</v>
      </c>
      <c r="J224" s="2" t="s">
        <v>5059</v>
      </c>
      <c r="K224" s="2" t="s">
        <v>5060</v>
      </c>
      <c r="L224" s="2" t="s">
        <v>6675</v>
      </c>
      <c r="M224" s="2" t="s">
        <v>6676</v>
      </c>
      <c r="N224" s="2" t="s">
        <v>6677</v>
      </c>
      <c r="O224" s="2" t="s">
        <v>6678</v>
      </c>
      <c r="P224" s="2" t="s">
        <v>6679</v>
      </c>
      <c r="Q224" s="2" t="s">
        <v>6680</v>
      </c>
      <c r="R224" s="2" t="s">
        <v>5067</v>
      </c>
      <c r="S224" s="2" t="s">
        <v>5068</v>
      </c>
      <c r="T224" s="2" t="s">
        <v>5069</v>
      </c>
      <c r="U224" s="2" t="s">
        <v>5070</v>
      </c>
      <c r="V224" s="2"/>
    </row>
    <row r="225" spans="1:22" ht="45" customHeight="1" x14ac:dyDescent="0.25">
      <c r="A225" s="3" t="s">
        <v>1368</v>
      </c>
      <c r="B225" s="3" t="s">
        <v>1367</v>
      </c>
      <c r="C225" s="3" t="s">
        <v>4824</v>
      </c>
      <c r="D225" s="3" t="s">
        <v>1370</v>
      </c>
      <c r="E225" s="3">
        <v>1</v>
      </c>
      <c r="F225" s="3">
        <v>72</v>
      </c>
      <c r="G225" s="3" t="s">
        <v>6681</v>
      </c>
      <c r="H225" s="3">
        <v>30.008400000000002</v>
      </c>
      <c r="I225" s="3">
        <v>5</v>
      </c>
      <c r="J225" s="3" t="s">
        <v>5059</v>
      </c>
      <c r="K225" s="3" t="s">
        <v>5060</v>
      </c>
      <c r="L225" s="3" t="s">
        <v>6682</v>
      </c>
      <c r="M225" s="3" t="s">
        <v>6683</v>
      </c>
      <c r="N225" s="3" t="s">
        <v>6684</v>
      </c>
      <c r="O225" s="3" t="s">
        <v>6685</v>
      </c>
      <c r="P225" s="3" t="s">
        <v>6686</v>
      </c>
      <c r="Q225" s="3" t="s">
        <v>6687</v>
      </c>
      <c r="R225" s="3" t="s">
        <v>5067</v>
      </c>
      <c r="S225" s="3" t="s">
        <v>5068</v>
      </c>
      <c r="T225" s="3" t="s">
        <v>5069</v>
      </c>
      <c r="U225" s="3" t="s">
        <v>5070</v>
      </c>
      <c r="V225" s="3"/>
    </row>
    <row r="226" spans="1:22" ht="101.25" customHeight="1" x14ac:dyDescent="0.25">
      <c r="A226" s="2" t="s">
        <v>656</v>
      </c>
      <c r="B226" s="2" t="s">
        <v>6688</v>
      </c>
      <c r="C226" s="2" t="s">
        <v>4776</v>
      </c>
      <c r="D226" s="2" t="s">
        <v>658</v>
      </c>
      <c r="E226" s="2">
        <v>18</v>
      </c>
      <c r="F226" s="2">
        <v>72</v>
      </c>
      <c r="G226" s="2" t="s">
        <v>6689</v>
      </c>
      <c r="H226" s="2">
        <v>30.368400000000001</v>
      </c>
      <c r="I226" s="2">
        <v>5</v>
      </c>
      <c r="J226" s="2" t="s">
        <v>5059</v>
      </c>
      <c r="K226" s="2" t="s">
        <v>5060</v>
      </c>
      <c r="L226" s="2" t="s">
        <v>6690</v>
      </c>
      <c r="M226" s="2" t="s">
        <v>6691</v>
      </c>
      <c r="N226" s="2" t="s">
        <v>6692</v>
      </c>
      <c r="O226" s="2" t="s">
        <v>6693</v>
      </c>
      <c r="P226" s="2" t="s">
        <v>6694</v>
      </c>
      <c r="Q226" s="2" t="s">
        <v>6695</v>
      </c>
      <c r="R226" s="2" t="s">
        <v>5067</v>
      </c>
      <c r="S226" s="2" t="s">
        <v>5068</v>
      </c>
      <c r="T226" s="2" t="s">
        <v>5069</v>
      </c>
      <c r="U226" s="2" t="s">
        <v>5070</v>
      </c>
      <c r="V226" s="2"/>
    </row>
    <row r="227" spans="1:22" ht="45" customHeight="1" x14ac:dyDescent="0.25">
      <c r="A227" s="3" t="s">
        <v>1437</v>
      </c>
      <c r="B227" s="3" t="s">
        <v>6696</v>
      </c>
      <c r="C227" s="3" t="s">
        <v>4828</v>
      </c>
      <c r="D227" s="3" t="s">
        <v>1439</v>
      </c>
      <c r="E227" s="3">
        <v>3</v>
      </c>
      <c r="F227" s="3">
        <v>72</v>
      </c>
      <c r="G227" s="3" t="s">
        <v>6697</v>
      </c>
      <c r="H227" s="3">
        <v>28.649000000000001</v>
      </c>
      <c r="I227" s="3">
        <v>7</v>
      </c>
      <c r="J227" s="3" t="s">
        <v>5059</v>
      </c>
      <c r="K227" s="3" t="s">
        <v>5060</v>
      </c>
      <c r="L227" s="3" t="s">
        <v>6698</v>
      </c>
      <c r="M227" s="3" t="s">
        <v>6699</v>
      </c>
      <c r="N227" s="3" t="s">
        <v>6700</v>
      </c>
      <c r="O227" s="3" t="s">
        <v>6701</v>
      </c>
      <c r="P227" s="3" t="s">
        <v>6702</v>
      </c>
      <c r="Q227" s="3" t="s">
        <v>6703</v>
      </c>
      <c r="R227" s="3" t="s">
        <v>5067</v>
      </c>
      <c r="S227" s="3" t="s">
        <v>5068</v>
      </c>
      <c r="T227" s="3" t="s">
        <v>5069</v>
      </c>
      <c r="U227" s="3" t="s">
        <v>5070</v>
      </c>
      <c r="V227" s="3"/>
    </row>
    <row r="228" spans="1:22" ht="45" customHeight="1" x14ac:dyDescent="0.25">
      <c r="A228" s="2" t="s">
        <v>2751</v>
      </c>
      <c r="B228" s="2" t="s">
        <v>2750</v>
      </c>
      <c r="C228" s="2" t="s">
        <v>4939</v>
      </c>
      <c r="D228" s="2" t="s">
        <v>2753</v>
      </c>
      <c r="E228" s="2">
        <v>1</v>
      </c>
      <c r="F228" s="2">
        <v>72</v>
      </c>
      <c r="G228" s="2" t="s">
        <v>6704</v>
      </c>
      <c r="H228" s="2">
        <v>28.417000000000002</v>
      </c>
      <c r="I228" s="2">
        <v>6</v>
      </c>
      <c r="J228" s="2" t="s">
        <v>5059</v>
      </c>
      <c r="K228" s="2" t="s">
        <v>5060</v>
      </c>
      <c r="L228" s="2" t="s">
        <v>6705</v>
      </c>
      <c r="M228" s="2" t="s">
        <v>6706</v>
      </c>
      <c r="N228" s="2" t="s">
        <v>6707</v>
      </c>
      <c r="O228" s="2" t="s">
        <v>6708</v>
      </c>
      <c r="P228" s="2" t="s">
        <v>6709</v>
      </c>
      <c r="Q228" s="2" t="s">
        <v>6710</v>
      </c>
      <c r="R228" s="2" t="s">
        <v>5067</v>
      </c>
      <c r="S228" s="2" t="s">
        <v>5068</v>
      </c>
      <c r="T228" s="2" t="s">
        <v>5069</v>
      </c>
      <c r="U228" s="2" t="s">
        <v>5070</v>
      </c>
      <c r="V228" s="2"/>
    </row>
    <row r="229" spans="1:22" ht="67.5" customHeight="1" x14ac:dyDescent="0.25">
      <c r="A229" s="3" t="s">
        <v>1510</v>
      </c>
      <c r="B229" s="3" t="s">
        <v>6711</v>
      </c>
      <c r="C229" s="3" t="s">
        <v>4833</v>
      </c>
      <c r="D229" s="3" t="s">
        <v>1512</v>
      </c>
      <c r="E229" s="3">
        <v>9</v>
      </c>
      <c r="F229" s="3">
        <v>72</v>
      </c>
      <c r="G229" s="3" t="s">
        <v>6712</v>
      </c>
      <c r="H229" s="3">
        <v>28.617000000000001</v>
      </c>
      <c r="I229" s="3">
        <v>6</v>
      </c>
      <c r="J229" s="3" t="s">
        <v>5059</v>
      </c>
      <c r="K229" s="3" t="s">
        <v>5060</v>
      </c>
      <c r="L229" s="3" t="s">
        <v>6713</v>
      </c>
      <c r="M229" s="3" t="s">
        <v>6714</v>
      </c>
      <c r="N229" s="3" t="s">
        <v>6715</v>
      </c>
      <c r="O229" s="3" t="s">
        <v>6716</v>
      </c>
      <c r="P229" s="3" t="s">
        <v>6717</v>
      </c>
      <c r="Q229" s="3" t="s">
        <v>6718</v>
      </c>
      <c r="R229" s="3" t="s">
        <v>5067</v>
      </c>
      <c r="S229" s="3" t="s">
        <v>5068</v>
      </c>
      <c r="T229" s="3" t="s">
        <v>5069</v>
      </c>
      <c r="U229" s="3" t="s">
        <v>5070</v>
      </c>
      <c r="V229" s="3"/>
    </row>
    <row r="230" spans="1:22" ht="123.75" customHeight="1" x14ac:dyDescent="0.25">
      <c r="A230" s="2" t="s">
        <v>1151</v>
      </c>
      <c r="B230" s="2" t="s">
        <v>6719</v>
      </c>
      <c r="C230" s="2" t="s">
        <v>4812</v>
      </c>
      <c r="D230" s="2" t="s">
        <v>1153</v>
      </c>
      <c r="E230" s="2">
        <v>21</v>
      </c>
      <c r="F230" s="2">
        <v>72</v>
      </c>
      <c r="G230" s="2" t="s">
        <v>6720</v>
      </c>
      <c r="H230" s="2">
        <v>30.6372</v>
      </c>
      <c r="I230" s="2">
        <v>7</v>
      </c>
      <c r="J230" s="2" t="s">
        <v>5059</v>
      </c>
      <c r="K230" s="2" t="s">
        <v>5060</v>
      </c>
      <c r="L230" s="2" t="s">
        <v>6045</v>
      </c>
      <c r="M230" s="2" t="s">
        <v>6046</v>
      </c>
      <c r="N230" s="2" t="s">
        <v>6721</v>
      </c>
      <c r="O230" s="2" t="s">
        <v>6722</v>
      </c>
      <c r="P230" s="2" t="s">
        <v>6723</v>
      </c>
      <c r="Q230" s="2" t="s">
        <v>6724</v>
      </c>
      <c r="R230" s="2" t="s">
        <v>5067</v>
      </c>
      <c r="S230" s="2" t="s">
        <v>5068</v>
      </c>
      <c r="T230" s="2" t="s">
        <v>5069</v>
      </c>
      <c r="U230" s="2" t="s">
        <v>5070</v>
      </c>
      <c r="V230" s="2"/>
    </row>
    <row r="231" spans="1:22" ht="45" customHeight="1" x14ac:dyDescent="0.25">
      <c r="A231" s="3" t="s">
        <v>1528</v>
      </c>
      <c r="B231" s="3" t="s">
        <v>1527</v>
      </c>
      <c r="C231" s="3" t="s">
        <v>4835</v>
      </c>
      <c r="D231" s="3" t="s">
        <v>1530</v>
      </c>
      <c r="E231" s="3">
        <v>1</v>
      </c>
      <c r="F231" s="3">
        <v>72</v>
      </c>
      <c r="G231" s="3" t="s">
        <v>6725</v>
      </c>
      <c r="H231" s="3">
        <v>28.1892</v>
      </c>
      <c r="I231" s="3">
        <v>6</v>
      </c>
      <c r="J231" s="3" t="s">
        <v>5059</v>
      </c>
      <c r="K231" s="3" t="s">
        <v>5060</v>
      </c>
      <c r="L231" s="3" t="s">
        <v>6726</v>
      </c>
      <c r="M231" s="3" t="s">
        <v>6727</v>
      </c>
      <c r="N231" s="3" t="s">
        <v>6728</v>
      </c>
      <c r="O231" s="3" t="s">
        <v>6729</v>
      </c>
      <c r="P231" s="3" t="s">
        <v>6730</v>
      </c>
      <c r="Q231" s="3" t="s">
        <v>6731</v>
      </c>
      <c r="R231" s="3" t="s">
        <v>5067</v>
      </c>
      <c r="S231" s="3" t="s">
        <v>5068</v>
      </c>
      <c r="T231" s="3" t="s">
        <v>5069</v>
      </c>
      <c r="U231" s="3" t="s">
        <v>5070</v>
      </c>
      <c r="V231" s="3"/>
    </row>
    <row r="232" spans="1:22" ht="56.25" customHeight="1" x14ac:dyDescent="0.25">
      <c r="A232" s="2" t="s">
        <v>677</v>
      </c>
      <c r="B232" s="2" t="s">
        <v>6732</v>
      </c>
      <c r="C232" s="2" t="s">
        <v>4780</v>
      </c>
      <c r="D232" s="2" t="s">
        <v>679</v>
      </c>
      <c r="E232" s="2">
        <v>7</v>
      </c>
      <c r="F232" s="2">
        <v>72</v>
      </c>
      <c r="G232" s="2" t="s">
        <v>6733</v>
      </c>
      <c r="H232" s="2">
        <v>30.3504</v>
      </c>
      <c r="I232" s="2">
        <v>5</v>
      </c>
      <c r="J232" s="2" t="s">
        <v>5059</v>
      </c>
      <c r="K232" s="2" t="s">
        <v>5060</v>
      </c>
      <c r="L232" s="2" t="s">
        <v>6061</v>
      </c>
      <c r="M232" s="2" t="s">
        <v>6062</v>
      </c>
      <c r="N232" s="2" t="s">
        <v>6734</v>
      </c>
      <c r="O232" s="2" t="s">
        <v>6735</v>
      </c>
      <c r="P232" s="2" t="s">
        <v>6736</v>
      </c>
      <c r="Q232" s="2" t="s">
        <v>6737</v>
      </c>
      <c r="R232" s="2" t="s">
        <v>5067</v>
      </c>
      <c r="S232" s="2" t="s">
        <v>5068</v>
      </c>
      <c r="T232" s="2" t="s">
        <v>5069</v>
      </c>
      <c r="U232" s="2" t="s">
        <v>5070</v>
      </c>
      <c r="V232" s="2"/>
    </row>
    <row r="233" spans="1:22" ht="45" customHeight="1" x14ac:dyDescent="0.25">
      <c r="A233" s="3" t="s">
        <v>1494</v>
      </c>
      <c r="B233" s="3" t="s">
        <v>1493</v>
      </c>
      <c r="C233" s="3" t="s">
        <v>4831</v>
      </c>
      <c r="D233" s="3" t="s">
        <v>1496</v>
      </c>
      <c r="E233" s="3">
        <v>1</v>
      </c>
      <c r="F233" s="3">
        <v>72</v>
      </c>
      <c r="G233" s="3" t="s">
        <v>6738</v>
      </c>
      <c r="H233" s="3">
        <v>28.887</v>
      </c>
      <c r="I233" s="3">
        <v>6</v>
      </c>
      <c r="J233" s="3" t="s">
        <v>5059</v>
      </c>
      <c r="K233" s="3" t="s">
        <v>5060</v>
      </c>
      <c r="L233" s="3" t="s">
        <v>6091</v>
      </c>
      <c r="M233" s="3" t="s">
        <v>6092</v>
      </c>
      <c r="N233" s="3" t="s">
        <v>6739</v>
      </c>
      <c r="O233" s="3" t="s">
        <v>6740</v>
      </c>
      <c r="P233" s="3" t="s">
        <v>6741</v>
      </c>
      <c r="Q233" s="3" t="s">
        <v>6742</v>
      </c>
      <c r="R233" s="3" t="s">
        <v>5067</v>
      </c>
      <c r="S233" s="3" t="s">
        <v>5068</v>
      </c>
      <c r="T233" s="3" t="s">
        <v>5069</v>
      </c>
      <c r="U233" s="3" t="s">
        <v>5070</v>
      </c>
      <c r="V233" s="3"/>
    </row>
    <row r="234" spans="1:22" ht="33.75" customHeight="1" x14ac:dyDescent="0.25">
      <c r="A234" s="2" t="s">
        <v>1795</v>
      </c>
      <c r="B234" s="2" t="s">
        <v>1794</v>
      </c>
      <c r="C234" s="2" t="s">
        <v>4860</v>
      </c>
      <c r="D234" s="2" t="s">
        <v>1797</v>
      </c>
      <c r="E234" s="2">
        <v>1</v>
      </c>
      <c r="F234" s="2">
        <v>72</v>
      </c>
      <c r="G234" s="2" t="s">
        <v>6743</v>
      </c>
      <c r="H234" s="2">
        <v>28.257760000000001</v>
      </c>
      <c r="I234" s="2">
        <v>8</v>
      </c>
      <c r="J234" s="2" t="s">
        <v>5059</v>
      </c>
      <c r="K234" s="2" t="s">
        <v>5124</v>
      </c>
      <c r="L234" s="2" t="s">
        <v>6744</v>
      </c>
      <c r="M234" s="2" t="s">
        <v>6744</v>
      </c>
      <c r="N234" s="2" t="s">
        <v>6745</v>
      </c>
      <c r="O234" s="2" t="s">
        <v>6746</v>
      </c>
      <c r="P234" s="2" t="s">
        <v>6747</v>
      </c>
      <c r="Q234" s="2" t="s">
        <v>6748</v>
      </c>
      <c r="R234" s="2" t="s">
        <v>5067</v>
      </c>
      <c r="S234" s="2" t="s">
        <v>5068</v>
      </c>
      <c r="T234" s="2" t="s">
        <v>5069</v>
      </c>
      <c r="U234" s="2" t="s">
        <v>5070</v>
      </c>
      <c r="V234" s="2"/>
    </row>
    <row r="235" spans="1:22" ht="33.75" customHeight="1" x14ac:dyDescent="0.25">
      <c r="A235" s="3" t="s">
        <v>4135</v>
      </c>
      <c r="B235" s="3" t="s">
        <v>6749</v>
      </c>
      <c r="C235" s="3" t="s">
        <v>5020</v>
      </c>
      <c r="D235" s="3" t="s">
        <v>4137</v>
      </c>
      <c r="E235" s="3">
        <v>4</v>
      </c>
      <c r="F235" s="3">
        <v>72</v>
      </c>
      <c r="G235" s="3" t="s">
        <v>6750</v>
      </c>
      <c r="H235" s="3">
        <v>28.257760000000001</v>
      </c>
      <c r="I235" s="3">
        <v>8</v>
      </c>
      <c r="J235" s="3" t="s">
        <v>5059</v>
      </c>
      <c r="K235" s="3" t="s">
        <v>5124</v>
      </c>
      <c r="L235" s="3" t="s">
        <v>6751</v>
      </c>
      <c r="M235" s="3" t="s">
        <v>6751</v>
      </c>
      <c r="N235" s="3" t="s">
        <v>6752</v>
      </c>
      <c r="O235" s="3" t="s">
        <v>6753</v>
      </c>
      <c r="P235" s="3" t="s">
        <v>6754</v>
      </c>
      <c r="Q235" s="3" t="s">
        <v>6755</v>
      </c>
      <c r="R235" s="3" t="s">
        <v>5067</v>
      </c>
      <c r="S235" s="3" t="s">
        <v>5068</v>
      </c>
      <c r="T235" s="3" t="s">
        <v>5069</v>
      </c>
      <c r="U235" s="3" t="s">
        <v>5070</v>
      </c>
      <c r="V235" s="3"/>
    </row>
    <row r="236" spans="1:22" ht="33.75" customHeight="1" x14ac:dyDescent="0.25">
      <c r="A236" s="2" t="s">
        <v>1967</v>
      </c>
      <c r="B236" s="2" t="s">
        <v>6756</v>
      </c>
      <c r="C236" s="2" t="s">
        <v>4879</v>
      </c>
      <c r="D236" s="2" t="s">
        <v>1969</v>
      </c>
      <c r="E236" s="2">
        <v>2</v>
      </c>
      <c r="F236" s="2">
        <v>72</v>
      </c>
      <c r="G236" s="2" t="s">
        <v>6757</v>
      </c>
      <c r="H236" s="2">
        <v>30.68432</v>
      </c>
      <c r="I236" s="2">
        <v>8</v>
      </c>
      <c r="J236" s="2" t="s">
        <v>5059</v>
      </c>
      <c r="K236" s="2" t="s">
        <v>5124</v>
      </c>
      <c r="L236" s="2" t="s">
        <v>6758</v>
      </c>
      <c r="M236" s="2" t="s">
        <v>6758</v>
      </c>
      <c r="N236" s="2" t="s">
        <v>6759</v>
      </c>
      <c r="O236" s="2" t="s">
        <v>6760</v>
      </c>
      <c r="P236" s="2" t="s">
        <v>6761</v>
      </c>
      <c r="Q236" s="2" t="s">
        <v>6762</v>
      </c>
      <c r="R236" s="2" t="s">
        <v>5067</v>
      </c>
      <c r="S236" s="2" t="s">
        <v>5068</v>
      </c>
      <c r="T236" s="2" t="s">
        <v>5069</v>
      </c>
      <c r="U236" s="2" t="s">
        <v>5070</v>
      </c>
      <c r="V236" s="2"/>
    </row>
    <row r="237" spans="1:22" ht="56.25" customHeight="1" x14ac:dyDescent="0.25">
      <c r="A237" s="3" t="s">
        <v>1560</v>
      </c>
      <c r="B237" s="3" t="s">
        <v>1559</v>
      </c>
      <c r="C237" s="3" t="s">
        <v>4836</v>
      </c>
      <c r="D237" s="3" t="s">
        <v>1562</v>
      </c>
      <c r="E237" s="3">
        <v>1</v>
      </c>
      <c r="F237" s="3">
        <v>76</v>
      </c>
      <c r="G237" s="3" t="s">
        <v>6763</v>
      </c>
      <c r="H237" s="3">
        <v>47.225999999999999</v>
      </c>
      <c r="I237" s="3">
        <v>7</v>
      </c>
      <c r="J237" s="3" t="s">
        <v>5059</v>
      </c>
      <c r="K237" s="3" t="s">
        <v>5060</v>
      </c>
      <c r="L237" s="3" t="s">
        <v>6764</v>
      </c>
      <c r="M237" s="3" t="s">
        <v>6765</v>
      </c>
      <c r="N237" s="3" t="s">
        <v>6766</v>
      </c>
      <c r="O237" s="3" t="s">
        <v>6767</v>
      </c>
      <c r="P237" s="3" t="s">
        <v>6768</v>
      </c>
      <c r="Q237" s="3" t="s">
        <v>6769</v>
      </c>
      <c r="R237" s="3" t="s">
        <v>5067</v>
      </c>
      <c r="S237" s="3" t="s">
        <v>5068</v>
      </c>
      <c r="T237" s="3" t="s">
        <v>5069</v>
      </c>
      <c r="U237" s="3" t="s">
        <v>5070</v>
      </c>
      <c r="V237" s="3"/>
    </row>
    <row r="238" spans="1:22" ht="56.25" customHeight="1" x14ac:dyDescent="0.25">
      <c r="A238" s="2" t="s">
        <v>2458</v>
      </c>
      <c r="B238" s="2" t="s">
        <v>6770</v>
      </c>
      <c r="C238" s="2" t="s">
        <v>4918</v>
      </c>
      <c r="D238" s="2" t="s">
        <v>2460</v>
      </c>
      <c r="E238" s="2">
        <v>9</v>
      </c>
      <c r="F238" s="2">
        <v>76</v>
      </c>
      <c r="G238" s="2" t="s">
        <v>6771</v>
      </c>
      <c r="H238" s="2">
        <v>28.126000000000001</v>
      </c>
      <c r="I238" s="2">
        <v>6</v>
      </c>
      <c r="J238" s="2" t="s">
        <v>5059</v>
      </c>
      <c r="K238" s="2" t="s">
        <v>5060</v>
      </c>
      <c r="L238" s="2" t="s">
        <v>6155</v>
      </c>
      <c r="M238" s="2" t="s">
        <v>6156</v>
      </c>
      <c r="N238" s="2" t="s">
        <v>6772</v>
      </c>
      <c r="O238" s="2" t="s">
        <v>6773</v>
      </c>
      <c r="P238" s="2" t="s">
        <v>6774</v>
      </c>
      <c r="Q238" s="2" t="s">
        <v>6775</v>
      </c>
      <c r="R238" s="2" t="s">
        <v>5067</v>
      </c>
      <c r="S238" s="2" t="s">
        <v>5068</v>
      </c>
      <c r="T238" s="2" t="s">
        <v>5069</v>
      </c>
      <c r="U238" s="2" t="s">
        <v>5070</v>
      </c>
      <c r="V238" s="2"/>
    </row>
    <row r="239" spans="1:22" ht="202.5" customHeight="1" x14ac:dyDescent="0.25">
      <c r="A239" s="3" t="s">
        <v>422</v>
      </c>
      <c r="B239" s="3" t="s">
        <v>6776</v>
      </c>
      <c r="C239" s="3" t="s">
        <v>4736</v>
      </c>
      <c r="D239" s="3" t="s">
        <v>424</v>
      </c>
      <c r="E239" s="3">
        <v>36</v>
      </c>
      <c r="F239" s="3">
        <v>76</v>
      </c>
      <c r="G239" s="3" t="s">
        <v>6777</v>
      </c>
      <c r="H239" s="3">
        <v>30.7272</v>
      </c>
      <c r="I239" s="3">
        <v>7</v>
      </c>
      <c r="J239" s="3" t="s">
        <v>5059</v>
      </c>
      <c r="K239" s="3" t="s">
        <v>5060</v>
      </c>
      <c r="L239" s="3" t="s">
        <v>6778</v>
      </c>
      <c r="M239" s="3" t="s">
        <v>6779</v>
      </c>
      <c r="N239" s="3" t="s">
        <v>6780</v>
      </c>
      <c r="O239" s="3" t="s">
        <v>6781</v>
      </c>
      <c r="P239" s="3" t="s">
        <v>6782</v>
      </c>
      <c r="Q239" s="3" t="s">
        <v>6783</v>
      </c>
      <c r="R239" s="3" t="s">
        <v>5067</v>
      </c>
      <c r="S239" s="3" t="s">
        <v>5068</v>
      </c>
      <c r="T239" s="3" t="s">
        <v>5069</v>
      </c>
      <c r="U239" s="3" t="s">
        <v>5070</v>
      </c>
      <c r="V239" s="3"/>
    </row>
    <row r="240" spans="1:22" ht="45" customHeight="1" x14ac:dyDescent="0.25">
      <c r="A240" s="2" t="s">
        <v>214</v>
      </c>
      <c r="B240" s="2" t="s">
        <v>6784</v>
      </c>
      <c r="C240" s="2" t="s">
        <v>4681</v>
      </c>
      <c r="D240" s="2" t="s">
        <v>216</v>
      </c>
      <c r="E240" s="2">
        <v>5</v>
      </c>
      <c r="F240" s="2">
        <v>76</v>
      </c>
      <c r="G240" s="2" t="s">
        <v>6785</v>
      </c>
      <c r="H240" s="2">
        <v>27.839200000000002</v>
      </c>
      <c r="I240" s="2">
        <v>6</v>
      </c>
      <c r="J240" s="2" t="s">
        <v>5059</v>
      </c>
      <c r="K240" s="2" t="s">
        <v>5060</v>
      </c>
      <c r="L240" s="2" t="s">
        <v>6786</v>
      </c>
      <c r="M240" s="2" t="s">
        <v>6787</v>
      </c>
      <c r="N240" s="2" t="s">
        <v>6788</v>
      </c>
      <c r="O240" s="2" t="s">
        <v>6789</v>
      </c>
      <c r="P240" s="2" t="s">
        <v>6790</v>
      </c>
      <c r="Q240" s="2" t="s">
        <v>6791</v>
      </c>
      <c r="R240" s="2" t="s">
        <v>5067</v>
      </c>
      <c r="S240" s="2" t="s">
        <v>5068</v>
      </c>
      <c r="T240" s="2" t="s">
        <v>5069</v>
      </c>
      <c r="U240" s="2" t="s">
        <v>5070</v>
      </c>
      <c r="V240" s="2"/>
    </row>
    <row r="241" spans="1:22" ht="33.75" customHeight="1" x14ac:dyDescent="0.25">
      <c r="A241" s="3" t="s">
        <v>1928</v>
      </c>
      <c r="B241" s="3" t="s">
        <v>6792</v>
      </c>
      <c r="C241" s="3" t="s">
        <v>4874</v>
      </c>
      <c r="D241" s="3" t="s">
        <v>1930</v>
      </c>
      <c r="E241" s="3">
        <v>5</v>
      </c>
      <c r="F241" s="3">
        <v>76</v>
      </c>
      <c r="G241" s="3" t="s">
        <v>6793</v>
      </c>
      <c r="H241" s="3">
        <v>27.530560000000001</v>
      </c>
      <c r="I241" s="3">
        <v>7</v>
      </c>
      <c r="J241" s="3" t="s">
        <v>5059</v>
      </c>
      <c r="K241" s="3" t="s">
        <v>5124</v>
      </c>
      <c r="L241" s="3" t="s">
        <v>6794</v>
      </c>
      <c r="M241" s="3" t="s">
        <v>6794</v>
      </c>
      <c r="N241" s="3" t="s">
        <v>6795</v>
      </c>
      <c r="O241" s="3" t="s">
        <v>6796</v>
      </c>
      <c r="P241" s="3" t="s">
        <v>6797</v>
      </c>
      <c r="Q241" s="3" t="s">
        <v>6798</v>
      </c>
      <c r="R241" s="3" t="s">
        <v>5067</v>
      </c>
      <c r="S241" s="3" t="s">
        <v>5068</v>
      </c>
      <c r="T241" s="3" t="s">
        <v>5069</v>
      </c>
      <c r="U241" s="3" t="s">
        <v>5070</v>
      </c>
      <c r="V241" s="3"/>
    </row>
    <row r="242" spans="1:22" ht="33.75" customHeight="1" x14ac:dyDescent="0.25">
      <c r="A242" s="2" t="s">
        <v>2288</v>
      </c>
      <c r="B242" s="2" t="s">
        <v>2287</v>
      </c>
      <c r="C242" s="2" t="s">
        <v>4874</v>
      </c>
      <c r="D242" s="2" t="s">
        <v>2290</v>
      </c>
      <c r="E242" s="2">
        <v>1</v>
      </c>
      <c r="F242" s="2">
        <v>76</v>
      </c>
      <c r="G242" s="2" t="s">
        <v>6793</v>
      </c>
      <c r="H242" s="2">
        <v>28.5824</v>
      </c>
      <c r="I242" s="2">
        <v>7</v>
      </c>
      <c r="J242" s="2" t="s">
        <v>5059</v>
      </c>
      <c r="K242" s="2" t="s">
        <v>5124</v>
      </c>
      <c r="L242" s="2" t="s">
        <v>6799</v>
      </c>
      <c r="M242" s="2" t="s">
        <v>6799</v>
      </c>
      <c r="N242" s="2" t="s">
        <v>6800</v>
      </c>
      <c r="O242" s="2" t="s">
        <v>6801</v>
      </c>
      <c r="P242" s="2" t="s">
        <v>6802</v>
      </c>
      <c r="Q242" s="2" t="s">
        <v>6803</v>
      </c>
      <c r="R242" s="2" t="s">
        <v>5067</v>
      </c>
      <c r="S242" s="2" t="s">
        <v>5068</v>
      </c>
      <c r="T242" s="2" t="s">
        <v>5069</v>
      </c>
      <c r="U242" s="2" t="s">
        <v>5070</v>
      </c>
      <c r="V242" s="2"/>
    </row>
    <row r="243" spans="1:22" ht="33.75" customHeight="1" x14ac:dyDescent="0.25">
      <c r="A243" s="3" t="s">
        <v>1944</v>
      </c>
      <c r="B243" s="3" t="s">
        <v>6804</v>
      </c>
      <c r="C243" s="3" t="s">
        <v>4874</v>
      </c>
      <c r="D243" s="3" t="s">
        <v>1946</v>
      </c>
      <c r="E243" s="3">
        <v>2</v>
      </c>
      <c r="F243" s="3">
        <v>76</v>
      </c>
      <c r="G243" s="3" t="s">
        <v>6793</v>
      </c>
      <c r="H243" s="3">
        <v>28.5824</v>
      </c>
      <c r="I243" s="3">
        <v>7</v>
      </c>
      <c r="J243" s="3" t="s">
        <v>5059</v>
      </c>
      <c r="K243" s="3" t="s">
        <v>5124</v>
      </c>
      <c r="L243" s="3" t="s">
        <v>6805</v>
      </c>
      <c r="M243" s="3" t="s">
        <v>6805</v>
      </c>
      <c r="N243" s="3" t="s">
        <v>6806</v>
      </c>
      <c r="O243" s="3" t="s">
        <v>6807</v>
      </c>
      <c r="P243" s="3" t="s">
        <v>6808</v>
      </c>
      <c r="Q243" s="3" t="s">
        <v>6809</v>
      </c>
      <c r="R243" s="3" t="s">
        <v>5067</v>
      </c>
      <c r="S243" s="3" t="s">
        <v>5068</v>
      </c>
      <c r="T243" s="3" t="s">
        <v>5069</v>
      </c>
      <c r="U243" s="3" t="s">
        <v>5070</v>
      </c>
      <c r="V243" s="3"/>
    </row>
    <row r="244" spans="1:22" ht="33.75" customHeight="1" x14ac:dyDescent="0.25">
      <c r="A244" s="2" t="s">
        <v>2300</v>
      </c>
      <c r="B244" s="2" t="s">
        <v>2299</v>
      </c>
      <c r="C244" s="2" t="s">
        <v>4874</v>
      </c>
      <c r="D244" s="2" t="s">
        <v>2302</v>
      </c>
      <c r="E244" s="2">
        <v>1</v>
      </c>
      <c r="F244" s="2">
        <v>76</v>
      </c>
      <c r="G244" s="2" t="s">
        <v>6793</v>
      </c>
      <c r="H244" s="2">
        <v>28.5824</v>
      </c>
      <c r="I244" s="2">
        <v>7</v>
      </c>
      <c r="J244" s="2" t="s">
        <v>5059</v>
      </c>
      <c r="K244" s="2" t="s">
        <v>5124</v>
      </c>
      <c r="L244" s="2" t="s">
        <v>6810</v>
      </c>
      <c r="M244" s="2" t="s">
        <v>6810</v>
      </c>
      <c r="N244" s="2" t="s">
        <v>6811</v>
      </c>
      <c r="O244" s="2" t="s">
        <v>6812</v>
      </c>
      <c r="P244" s="2" t="s">
        <v>6813</v>
      </c>
      <c r="Q244" s="2" t="s">
        <v>6814</v>
      </c>
      <c r="R244" s="2" t="s">
        <v>5067</v>
      </c>
      <c r="S244" s="2" t="s">
        <v>5068</v>
      </c>
      <c r="T244" s="2" t="s">
        <v>5069</v>
      </c>
      <c r="U244" s="2" t="s">
        <v>5070</v>
      </c>
      <c r="V244" s="2"/>
    </row>
    <row r="245" spans="1:22" ht="56.25" customHeight="1" x14ac:dyDescent="0.25">
      <c r="A245" s="3" t="s">
        <v>3168</v>
      </c>
      <c r="B245" s="3" t="s">
        <v>3167</v>
      </c>
      <c r="C245" s="3" t="s">
        <v>4963</v>
      </c>
      <c r="D245" s="3" t="s">
        <v>3170</v>
      </c>
      <c r="E245" s="3">
        <v>1</v>
      </c>
      <c r="F245" s="3">
        <v>80</v>
      </c>
      <c r="G245" s="3" t="s">
        <v>6815</v>
      </c>
      <c r="H245" s="3">
        <v>48.606000000000002</v>
      </c>
      <c r="I245" s="3">
        <v>7</v>
      </c>
      <c r="J245" s="3" t="s">
        <v>5059</v>
      </c>
      <c r="K245" s="3" t="s">
        <v>5060</v>
      </c>
      <c r="L245" s="3" t="s">
        <v>6816</v>
      </c>
      <c r="M245" s="3" t="s">
        <v>6817</v>
      </c>
      <c r="N245" s="3" t="s">
        <v>6818</v>
      </c>
      <c r="O245" s="3" t="s">
        <v>6819</v>
      </c>
      <c r="P245" s="3" t="s">
        <v>6820</v>
      </c>
      <c r="Q245" s="3" t="s">
        <v>6821</v>
      </c>
      <c r="R245" s="3" t="s">
        <v>5067</v>
      </c>
      <c r="S245" s="3" t="s">
        <v>5068</v>
      </c>
      <c r="T245" s="3" t="s">
        <v>5069</v>
      </c>
      <c r="U245" s="3" t="s">
        <v>5070</v>
      </c>
      <c r="V245" s="3"/>
    </row>
    <row r="246" spans="1:22" ht="45" customHeight="1" x14ac:dyDescent="0.25">
      <c r="A246" s="2" t="s">
        <v>2282</v>
      </c>
      <c r="B246" s="2" t="s">
        <v>2281</v>
      </c>
      <c r="C246" s="2" t="s">
        <v>4900</v>
      </c>
      <c r="D246" s="2" t="s">
        <v>2284</v>
      </c>
      <c r="E246" s="2">
        <v>1</v>
      </c>
      <c r="F246" s="2">
        <v>81</v>
      </c>
      <c r="G246" s="2" t="s">
        <v>6822</v>
      </c>
      <c r="H246" s="2">
        <v>30.326000000000001</v>
      </c>
      <c r="I246" s="2">
        <v>7</v>
      </c>
      <c r="J246" s="2" t="s">
        <v>5059</v>
      </c>
      <c r="K246" s="2" t="s">
        <v>5060</v>
      </c>
      <c r="L246" s="2" t="s">
        <v>6823</v>
      </c>
      <c r="M246" s="2" t="s">
        <v>6824</v>
      </c>
      <c r="N246" s="2" t="s">
        <v>6825</v>
      </c>
      <c r="O246" s="2" t="s">
        <v>6826</v>
      </c>
      <c r="P246" s="2" t="s">
        <v>6827</v>
      </c>
      <c r="Q246" s="2" t="s">
        <v>6828</v>
      </c>
      <c r="R246" s="2" t="s">
        <v>5067</v>
      </c>
      <c r="S246" s="2" t="s">
        <v>5068</v>
      </c>
      <c r="T246" s="2" t="s">
        <v>5069</v>
      </c>
      <c r="U246" s="2" t="s">
        <v>5070</v>
      </c>
      <c r="V246" s="2"/>
    </row>
    <row r="247" spans="1:22" ht="33.75" customHeight="1" x14ac:dyDescent="0.25">
      <c r="A247" s="3" t="s">
        <v>4129</v>
      </c>
      <c r="B247" s="3" t="s">
        <v>6829</v>
      </c>
      <c r="C247" s="3" t="s">
        <v>5019</v>
      </c>
      <c r="D247" s="3" t="s">
        <v>4131</v>
      </c>
      <c r="E247" s="3">
        <v>2</v>
      </c>
      <c r="F247" s="3">
        <v>81</v>
      </c>
      <c r="G247" s="3" t="s">
        <v>6830</v>
      </c>
      <c r="H247" s="3">
        <v>28.007480000000001</v>
      </c>
      <c r="I247" s="3">
        <v>9</v>
      </c>
      <c r="J247" s="3" t="s">
        <v>5059</v>
      </c>
      <c r="K247" s="3" t="s">
        <v>5124</v>
      </c>
      <c r="L247" s="3" t="s">
        <v>6831</v>
      </c>
      <c r="M247" s="3" t="s">
        <v>6831</v>
      </c>
      <c r="N247" s="3" t="s">
        <v>6832</v>
      </c>
      <c r="O247" s="3" t="s">
        <v>6833</v>
      </c>
      <c r="P247" s="3" t="s">
        <v>6834</v>
      </c>
      <c r="Q247" s="3" t="s">
        <v>6835</v>
      </c>
      <c r="R247" s="3" t="s">
        <v>5067</v>
      </c>
      <c r="S247" s="3" t="s">
        <v>5068</v>
      </c>
      <c r="T247" s="3" t="s">
        <v>5069</v>
      </c>
      <c r="U247" s="3" t="s">
        <v>5070</v>
      </c>
      <c r="V247" s="3"/>
    </row>
    <row r="248" spans="1:22" ht="33.75" customHeight="1" x14ac:dyDescent="0.25">
      <c r="A248" s="2" t="s">
        <v>1644</v>
      </c>
      <c r="B248" s="2" t="s">
        <v>6836</v>
      </c>
      <c r="C248" s="2" t="s">
        <v>4843</v>
      </c>
      <c r="D248" s="2" t="s">
        <v>1646</v>
      </c>
      <c r="E248" s="2">
        <v>3</v>
      </c>
      <c r="F248" s="2">
        <v>87</v>
      </c>
      <c r="G248" s="2" t="s">
        <v>6837</v>
      </c>
      <c r="H248" s="2">
        <v>33.118510000000001</v>
      </c>
      <c r="I248" s="2">
        <v>8</v>
      </c>
      <c r="J248" s="2" t="s">
        <v>5059</v>
      </c>
      <c r="K248" s="2" t="s">
        <v>5060</v>
      </c>
      <c r="L248" s="2" t="s">
        <v>6838</v>
      </c>
      <c r="M248" s="2" t="s">
        <v>6839</v>
      </c>
      <c r="N248" s="2" t="s">
        <v>6840</v>
      </c>
      <c r="O248" s="2" t="s">
        <v>6841</v>
      </c>
      <c r="P248" s="2" t="s">
        <v>6842</v>
      </c>
      <c r="Q248" s="2" t="s">
        <v>6843</v>
      </c>
      <c r="R248" s="2" t="s">
        <v>5067</v>
      </c>
      <c r="S248" s="2" t="s">
        <v>5068</v>
      </c>
      <c r="T248" s="2" t="s">
        <v>5069</v>
      </c>
      <c r="U248" s="2" t="s">
        <v>5070</v>
      </c>
      <c r="V248" s="2"/>
    </row>
    <row r="249" spans="1:22" ht="45" customHeight="1" x14ac:dyDescent="0.25">
      <c r="A249" s="3" t="s">
        <v>3305</v>
      </c>
      <c r="B249" s="3" t="s">
        <v>6844</v>
      </c>
      <c r="C249" s="3" t="s">
        <v>4976</v>
      </c>
      <c r="D249" s="3" t="s">
        <v>3307</v>
      </c>
      <c r="E249" s="3">
        <v>2</v>
      </c>
      <c r="F249" s="3">
        <v>87</v>
      </c>
      <c r="G249" s="3" t="s">
        <v>6845</v>
      </c>
      <c r="H249" s="3">
        <v>28.139199999999999</v>
      </c>
      <c r="I249" s="3">
        <v>6</v>
      </c>
      <c r="J249" s="3" t="s">
        <v>5059</v>
      </c>
      <c r="K249" s="3" t="s">
        <v>5060</v>
      </c>
      <c r="L249" s="3" t="s">
        <v>6846</v>
      </c>
      <c r="M249" s="3" t="s">
        <v>6847</v>
      </c>
      <c r="N249" s="3" t="s">
        <v>6848</v>
      </c>
      <c r="O249" s="3" t="s">
        <v>6849</v>
      </c>
      <c r="P249" s="3" t="s">
        <v>6850</v>
      </c>
      <c r="Q249" s="3" t="s">
        <v>6851</v>
      </c>
      <c r="R249" s="3" t="s">
        <v>5067</v>
      </c>
      <c r="S249" s="3" t="s">
        <v>5068</v>
      </c>
      <c r="T249" s="3" t="s">
        <v>5069</v>
      </c>
      <c r="U249" s="3" t="s">
        <v>5070</v>
      </c>
      <c r="V249" s="3"/>
    </row>
    <row r="250" spans="1:22" ht="67.5" customHeight="1" x14ac:dyDescent="0.25">
      <c r="A250" s="2" t="s">
        <v>1008</v>
      </c>
      <c r="B250" s="2" t="s">
        <v>6852</v>
      </c>
      <c r="C250" s="2" t="s">
        <v>4807</v>
      </c>
      <c r="D250" s="2" t="s">
        <v>1010</v>
      </c>
      <c r="E250" s="2">
        <v>12</v>
      </c>
      <c r="F250" s="2">
        <v>87</v>
      </c>
      <c r="G250" s="2" t="s">
        <v>6853</v>
      </c>
      <c r="H250" s="2">
        <v>30.4892</v>
      </c>
      <c r="I250" s="2">
        <v>7</v>
      </c>
      <c r="J250" s="2" t="s">
        <v>5059</v>
      </c>
      <c r="K250" s="2" t="s">
        <v>5060</v>
      </c>
      <c r="L250" s="2" t="s">
        <v>6854</v>
      </c>
      <c r="M250" s="2" t="s">
        <v>6855</v>
      </c>
      <c r="N250" s="2" t="s">
        <v>6856</v>
      </c>
      <c r="O250" s="2" t="s">
        <v>6857</v>
      </c>
      <c r="P250" s="2" t="s">
        <v>6858</v>
      </c>
      <c r="Q250" s="2" t="s">
        <v>6859</v>
      </c>
      <c r="R250" s="2" t="s">
        <v>5067</v>
      </c>
      <c r="S250" s="2" t="s">
        <v>5068</v>
      </c>
      <c r="T250" s="2" t="s">
        <v>5069</v>
      </c>
      <c r="U250" s="2" t="s">
        <v>5070</v>
      </c>
      <c r="V250" s="2"/>
    </row>
    <row r="251" spans="1:22" ht="157.5" customHeight="1" x14ac:dyDescent="0.25">
      <c r="A251" s="3" t="s">
        <v>414</v>
      </c>
      <c r="B251" s="3" t="s">
        <v>6860</v>
      </c>
      <c r="C251" s="3" t="s">
        <v>4732</v>
      </c>
      <c r="D251" s="3" t="s">
        <v>416</v>
      </c>
      <c r="E251" s="3">
        <v>27</v>
      </c>
      <c r="F251" s="3">
        <v>87</v>
      </c>
      <c r="G251" s="3" t="s">
        <v>6861</v>
      </c>
      <c r="H251" s="3">
        <v>31.0092</v>
      </c>
      <c r="I251" s="3">
        <v>7</v>
      </c>
      <c r="J251" s="3" t="s">
        <v>5059</v>
      </c>
      <c r="K251" s="3" t="s">
        <v>5060</v>
      </c>
      <c r="L251" s="3" t="s">
        <v>6862</v>
      </c>
      <c r="M251" s="3" t="s">
        <v>6863</v>
      </c>
      <c r="N251" s="3" t="s">
        <v>6864</v>
      </c>
      <c r="O251" s="3" t="s">
        <v>6865</v>
      </c>
      <c r="P251" s="3" t="s">
        <v>6866</v>
      </c>
      <c r="Q251" s="3" t="s">
        <v>6867</v>
      </c>
      <c r="R251" s="3" t="s">
        <v>5067</v>
      </c>
      <c r="S251" s="3" t="s">
        <v>5068</v>
      </c>
      <c r="T251" s="3" t="s">
        <v>5069</v>
      </c>
      <c r="U251" s="3" t="s">
        <v>5070</v>
      </c>
      <c r="V251" s="3"/>
    </row>
    <row r="252" spans="1:22" ht="45" customHeight="1" x14ac:dyDescent="0.25">
      <c r="A252" s="2" t="s">
        <v>1453</v>
      </c>
      <c r="B252" s="2" t="s">
        <v>6868</v>
      </c>
      <c r="C252" s="2" t="s">
        <v>4829</v>
      </c>
      <c r="D252" s="2" t="s">
        <v>1455</v>
      </c>
      <c r="E252" s="2">
        <v>5</v>
      </c>
      <c r="F252" s="2">
        <v>87</v>
      </c>
      <c r="G252" s="2" t="s">
        <v>6869</v>
      </c>
      <c r="H252" s="2">
        <v>29.056999999999999</v>
      </c>
      <c r="I252" s="2">
        <v>6</v>
      </c>
      <c r="J252" s="2" t="s">
        <v>5059</v>
      </c>
      <c r="K252" s="2" t="s">
        <v>5060</v>
      </c>
      <c r="L252" s="2" t="s">
        <v>6870</v>
      </c>
      <c r="M252" s="2" t="s">
        <v>6871</v>
      </c>
      <c r="N252" s="2" t="s">
        <v>6872</v>
      </c>
      <c r="O252" s="2" t="s">
        <v>6873</v>
      </c>
      <c r="P252" s="2" t="s">
        <v>6874</v>
      </c>
      <c r="Q252" s="2" t="s">
        <v>6875</v>
      </c>
      <c r="R252" s="2" t="s">
        <v>5067</v>
      </c>
      <c r="S252" s="2" t="s">
        <v>5068</v>
      </c>
      <c r="T252" s="2" t="s">
        <v>5069</v>
      </c>
      <c r="U252" s="2" t="s">
        <v>5070</v>
      </c>
      <c r="V252" s="2"/>
    </row>
    <row r="253" spans="1:22" ht="45" customHeight="1" x14ac:dyDescent="0.25">
      <c r="A253" s="3" t="s">
        <v>948</v>
      </c>
      <c r="B253" s="3" t="s">
        <v>947</v>
      </c>
      <c r="C253" s="3" t="s">
        <v>4804</v>
      </c>
      <c r="D253" s="3" t="s">
        <v>950</v>
      </c>
      <c r="E253" s="3">
        <v>1</v>
      </c>
      <c r="F253" s="3">
        <v>87</v>
      </c>
      <c r="G253" s="3" t="s">
        <v>6876</v>
      </c>
      <c r="H253" s="3">
        <v>49.658900000000003</v>
      </c>
      <c r="I253" s="3">
        <v>8</v>
      </c>
      <c r="J253" s="3" t="s">
        <v>5059</v>
      </c>
      <c r="K253" s="3" t="s">
        <v>5060</v>
      </c>
      <c r="L253" s="3" t="s">
        <v>6877</v>
      </c>
      <c r="M253" s="3" t="s">
        <v>6878</v>
      </c>
      <c r="N253" s="3" t="s">
        <v>6879</v>
      </c>
      <c r="O253" s="3" t="s">
        <v>6880</v>
      </c>
      <c r="P253" s="3" t="s">
        <v>6881</v>
      </c>
      <c r="Q253" s="3" t="s">
        <v>6882</v>
      </c>
      <c r="R253" s="3" t="s">
        <v>5067</v>
      </c>
      <c r="S253" s="3" t="s">
        <v>5068</v>
      </c>
      <c r="T253" s="3" t="s">
        <v>5069</v>
      </c>
      <c r="U253" s="3" t="s">
        <v>5070</v>
      </c>
      <c r="V253" s="3"/>
    </row>
    <row r="254" spans="1:22" ht="56.25" customHeight="1" x14ac:dyDescent="0.25">
      <c r="A254" s="2" t="s">
        <v>669</v>
      </c>
      <c r="B254" s="2" t="s">
        <v>6883</v>
      </c>
      <c r="C254" s="2" t="s">
        <v>4778</v>
      </c>
      <c r="D254" s="2" t="s">
        <v>671</v>
      </c>
      <c r="E254" s="2">
        <v>4</v>
      </c>
      <c r="F254" s="2">
        <v>87</v>
      </c>
      <c r="G254" s="2" t="s">
        <v>6884</v>
      </c>
      <c r="H254" s="2">
        <v>29.982399999999998</v>
      </c>
      <c r="I254" s="2">
        <v>5</v>
      </c>
      <c r="J254" s="2" t="s">
        <v>5059</v>
      </c>
      <c r="K254" s="2" t="s">
        <v>5060</v>
      </c>
      <c r="L254" s="2" t="s">
        <v>6885</v>
      </c>
      <c r="M254" s="2" t="s">
        <v>6886</v>
      </c>
      <c r="N254" s="2" t="s">
        <v>6887</v>
      </c>
      <c r="O254" s="2" t="s">
        <v>6888</v>
      </c>
      <c r="P254" s="2" t="s">
        <v>6889</v>
      </c>
      <c r="Q254" s="2" t="s">
        <v>6890</v>
      </c>
      <c r="R254" s="2" t="s">
        <v>5067</v>
      </c>
      <c r="S254" s="2" t="s">
        <v>5068</v>
      </c>
      <c r="T254" s="2" t="s">
        <v>5069</v>
      </c>
      <c r="U254" s="2" t="s">
        <v>5070</v>
      </c>
      <c r="V254" s="2"/>
    </row>
    <row r="255" spans="1:22" ht="56.25" customHeight="1" x14ac:dyDescent="0.25">
      <c r="A255" s="3" t="s">
        <v>695</v>
      </c>
      <c r="B255" s="3" t="s">
        <v>6891</v>
      </c>
      <c r="C255" s="3" t="s">
        <v>4783</v>
      </c>
      <c r="D255" s="3" t="s">
        <v>697</v>
      </c>
      <c r="E255" s="3">
        <v>2</v>
      </c>
      <c r="F255" s="3">
        <v>87</v>
      </c>
      <c r="G255" s="3" t="s">
        <v>6892</v>
      </c>
      <c r="H255" s="3">
        <v>30.502400000000002</v>
      </c>
      <c r="I255" s="3">
        <v>5</v>
      </c>
      <c r="J255" s="3" t="s">
        <v>5059</v>
      </c>
      <c r="K255" s="3" t="s">
        <v>5060</v>
      </c>
      <c r="L255" s="3" t="s">
        <v>6893</v>
      </c>
      <c r="M255" s="3" t="s">
        <v>6894</v>
      </c>
      <c r="N255" s="3" t="s">
        <v>6895</v>
      </c>
      <c r="O255" s="3" t="s">
        <v>6896</v>
      </c>
      <c r="P255" s="3" t="s">
        <v>6897</v>
      </c>
      <c r="Q255" s="3" t="s">
        <v>6898</v>
      </c>
      <c r="R255" s="3" t="s">
        <v>5067</v>
      </c>
      <c r="S255" s="3" t="s">
        <v>5068</v>
      </c>
      <c r="T255" s="3" t="s">
        <v>5069</v>
      </c>
      <c r="U255" s="3" t="s">
        <v>5070</v>
      </c>
      <c r="V255" s="3"/>
    </row>
    <row r="256" spans="1:22" ht="45" customHeight="1" x14ac:dyDescent="0.25">
      <c r="A256" s="2" t="s">
        <v>1236</v>
      </c>
      <c r="B256" s="2" t="s">
        <v>6899</v>
      </c>
      <c r="C256" s="2" t="s">
        <v>4816</v>
      </c>
      <c r="D256" s="2" t="s">
        <v>1238</v>
      </c>
      <c r="E256" s="2">
        <v>3</v>
      </c>
      <c r="F256" s="2">
        <v>88</v>
      </c>
      <c r="G256" s="2" t="s">
        <v>6900</v>
      </c>
      <c r="H256" s="2">
        <v>50.456000000000003</v>
      </c>
      <c r="I256" s="2">
        <v>7</v>
      </c>
      <c r="J256" s="2" t="s">
        <v>5059</v>
      </c>
      <c r="K256" s="2" t="s">
        <v>5060</v>
      </c>
      <c r="L256" s="2" t="s">
        <v>6901</v>
      </c>
      <c r="M256" s="2" t="s">
        <v>6902</v>
      </c>
      <c r="N256" s="2" t="s">
        <v>6903</v>
      </c>
      <c r="O256" s="2" t="s">
        <v>6904</v>
      </c>
      <c r="P256" s="2" t="s">
        <v>6905</v>
      </c>
      <c r="Q256" s="2" t="s">
        <v>6906</v>
      </c>
      <c r="R256" s="2" t="s">
        <v>5067</v>
      </c>
      <c r="S256" s="2" t="s">
        <v>5068</v>
      </c>
      <c r="T256" s="2" t="s">
        <v>5069</v>
      </c>
      <c r="U256" s="2" t="s">
        <v>5070</v>
      </c>
      <c r="V256" s="2"/>
    </row>
    <row r="257" spans="1:22" ht="45" customHeight="1" x14ac:dyDescent="0.25">
      <c r="A257" s="3" t="s">
        <v>3234</v>
      </c>
      <c r="B257" s="3" t="s">
        <v>6907</v>
      </c>
      <c r="C257" s="3" t="s">
        <v>4966</v>
      </c>
      <c r="D257" s="3" t="s">
        <v>3236</v>
      </c>
      <c r="E257" s="3">
        <v>2</v>
      </c>
      <c r="F257" s="3">
        <v>88</v>
      </c>
      <c r="G257" s="3" t="s">
        <v>6908</v>
      </c>
      <c r="H257" s="3">
        <v>50.456000000000003</v>
      </c>
      <c r="I257" s="3">
        <v>7</v>
      </c>
      <c r="J257" s="3" t="s">
        <v>5059</v>
      </c>
      <c r="K257" s="3" t="s">
        <v>5060</v>
      </c>
      <c r="L257" s="3" t="s">
        <v>6909</v>
      </c>
      <c r="M257" s="3" t="s">
        <v>6910</v>
      </c>
      <c r="N257" s="3" t="s">
        <v>6911</v>
      </c>
      <c r="O257" s="3" t="s">
        <v>6912</v>
      </c>
      <c r="P257" s="3" t="s">
        <v>6913</v>
      </c>
      <c r="Q257" s="3" t="s">
        <v>6914</v>
      </c>
      <c r="R257" s="3" t="s">
        <v>5067</v>
      </c>
      <c r="S257" s="3" t="s">
        <v>5068</v>
      </c>
      <c r="T257" s="3" t="s">
        <v>5069</v>
      </c>
      <c r="U257" s="3" t="s">
        <v>5070</v>
      </c>
      <c r="V257" s="3"/>
    </row>
    <row r="258" spans="1:22" ht="45" customHeight="1" x14ac:dyDescent="0.25">
      <c r="A258" s="2" t="s">
        <v>608</v>
      </c>
      <c r="B258" s="2" t="s">
        <v>607</v>
      </c>
      <c r="C258" s="2" t="s">
        <v>4764</v>
      </c>
      <c r="D258" s="2" t="s">
        <v>610</v>
      </c>
      <c r="E258" s="2">
        <v>1</v>
      </c>
      <c r="F258" s="2">
        <v>88</v>
      </c>
      <c r="G258" s="2" t="s">
        <v>6915</v>
      </c>
      <c r="H258" s="2">
        <v>50.456000000000003</v>
      </c>
      <c r="I258" s="2">
        <v>7</v>
      </c>
      <c r="J258" s="2" t="s">
        <v>5059</v>
      </c>
      <c r="K258" s="2" t="s">
        <v>5060</v>
      </c>
      <c r="L258" s="2" t="s">
        <v>6916</v>
      </c>
      <c r="M258" s="2" t="s">
        <v>6917</v>
      </c>
      <c r="N258" s="2" t="s">
        <v>6918</v>
      </c>
      <c r="O258" s="2" t="s">
        <v>6919</v>
      </c>
      <c r="P258" s="2" t="s">
        <v>6920</v>
      </c>
      <c r="Q258" s="2" t="s">
        <v>6921</v>
      </c>
      <c r="R258" s="2" t="s">
        <v>5067</v>
      </c>
      <c r="S258" s="2" t="s">
        <v>5068</v>
      </c>
      <c r="T258" s="2" t="s">
        <v>5069</v>
      </c>
      <c r="U258" s="2" t="s">
        <v>5070</v>
      </c>
      <c r="V258" s="2"/>
    </row>
    <row r="259" spans="1:22" ht="45" customHeight="1" x14ac:dyDescent="0.25">
      <c r="A259" s="3" t="s">
        <v>720</v>
      </c>
      <c r="B259" s="3" t="s">
        <v>719</v>
      </c>
      <c r="C259" s="3" t="s">
        <v>4785</v>
      </c>
      <c r="D259" s="3" t="s">
        <v>722</v>
      </c>
      <c r="E259" s="3">
        <v>1</v>
      </c>
      <c r="F259" s="3">
        <v>88</v>
      </c>
      <c r="G259" s="3" t="s">
        <v>6922</v>
      </c>
      <c r="H259" s="3">
        <v>50.456000000000003</v>
      </c>
      <c r="I259" s="3">
        <v>7</v>
      </c>
      <c r="J259" s="3" t="s">
        <v>5059</v>
      </c>
      <c r="K259" s="3" t="s">
        <v>5060</v>
      </c>
      <c r="L259" s="3" t="s">
        <v>6923</v>
      </c>
      <c r="M259" s="3" t="s">
        <v>6924</v>
      </c>
      <c r="N259" s="3" t="s">
        <v>6925</v>
      </c>
      <c r="O259" s="3" t="s">
        <v>6926</v>
      </c>
      <c r="P259" s="3" t="s">
        <v>6927</v>
      </c>
      <c r="Q259" s="3" t="s">
        <v>6928</v>
      </c>
      <c r="R259" s="3" t="s">
        <v>5067</v>
      </c>
      <c r="S259" s="3" t="s">
        <v>5068</v>
      </c>
      <c r="T259" s="3" t="s">
        <v>5069</v>
      </c>
      <c r="U259" s="3" t="s">
        <v>5070</v>
      </c>
      <c r="V259" s="3"/>
    </row>
    <row r="260" spans="1:22" ht="45" customHeight="1" x14ac:dyDescent="0.25">
      <c r="A260" s="2" t="s">
        <v>3749</v>
      </c>
      <c r="B260" s="2" t="s">
        <v>3748</v>
      </c>
      <c r="C260" s="2" t="s">
        <v>4998</v>
      </c>
      <c r="D260" s="2" t="s">
        <v>3751</v>
      </c>
      <c r="E260" s="2">
        <v>1</v>
      </c>
      <c r="F260" s="2">
        <v>88</v>
      </c>
      <c r="G260" s="2" t="s">
        <v>6929</v>
      </c>
      <c r="H260" s="2">
        <v>50.456000000000003</v>
      </c>
      <c r="I260" s="2">
        <v>7</v>
      </c>
      <c r="J260" s="2" t="s">
        <v>5059</v>
      </c>
      <c r="K260" s="2" t="s">
        <v>5060</v>
      </c>
      <c r="L260" s="2" t="s">
        <v>6930</v>
      </c>
      <c r="M260" s="2" t="s">
        <v>6931</v>
      </c>
      <c r="N260" s="2" t="s">
        <v>6932</v>
      </c>
      <c r="O260" s="2" t="s">
        <v>6933</v>
      </c>
      <c r="P260" s="2" t="s">
        <v>6934</v>
      </c>
      <c r="Q260" s="2" t="s">
        <v>6935</v>
      </c>
      <c r="R260" s="2" t="s">
        <v>5067</v>
      </c>
      <c r="S260" s="2" t="s">
        <v>5068</v>
      </c>
      <c r="T260" s="2" t="s">
        <v>5069</v>
      </c>
      <c r="U260" s="2" t="s">
        <v>5070</v>
      </c>
      <c r="V260" s="2"/>
    </row>
    <row r="261" spans="1:22" ht="56.25" customHeight="1" x14ac:dyDescent="0.25">
      <c r="A261" s="3" t="s">
        <v>1222</v>
      </c>
      <c r="B261" s="3" t="s">
        <v>6936</v>
      </c>
      <c r="C261" s="3" t="s">
        <v>4815</v>
      </c>
      <c r="D261" s="3" t="s">
        <v>1224</v>
      </c>
      <c r="E261" s="3">
        <v>2</v>
      </c>
      <c r="F261" s="3">
        <v>88</v>
      </c>
      <c r="G261" s="3" t="s">
        <v>6937</v>
      </c>
      <c r="H261" s="3">
        <v>50.606000000000002</v>
      </c>
      <c r="I261" s="3">
        <v>7</v>
      </c>
      <c r="J261" s="3" t="s">
        <v>5059</v>
      </c>
      <c r="K261" s="3" t="s">
        <v>5060</v>
      </c>
      <c r="L261" s="3" t="s">
        <v>6938</v>
      </c>
      <c r="M261" s="3" t="s">
        <v>6939</v>
      </c>
      <c r="N261" s="3" t="s">
        <v>6940</v>
      </c>
      <c r="O261" s="3" t="s">
        <v>6941</v>
      </c>
      <c r="P261" s="3" t="s">
        <v>6942</v>
      </c>
      <c r="Q261" s="3" t="s">
        <v>6943</v>
      </c>
      <c r="R261" s="3" t="s">
        <v>5067</v>
      </c>
      <c r="S261" s="3" t="s">
        <v>5068</v>
      </c>
      <c r="T261" s="3" t="s">
        <v>5069</v>
      </c>
      <c r="U261" s="3" t="s">
        <v>5070</v>
      </c>
      <c r="V261" s="3"/>
    </row>
    <row r="262" spans="1:22" ht="45" customHeight="1" x14ac:dyDescent="0.25">
      <c r="A262" s="2" t="s">
        <v>2214</v>
      </c>
      <c r="B262" s="2" t="s">
        <v>2213</v>
      </c>
      <c r="C262" s="2" t="s">
        <v>4895</v>
      </c>
      <c r="D262" s="2" t="s">
        <v>2216</v>
      </c>
      <c r="E262" s="2">
        <v>1</v>
      </c>
      <c r="F262" s="2">
        <v>88</v>
      </c>
      <c r="G262" s="2" t="s">
        <v>6944</v>
      </c>
      <c r="H262" s="2">
        <v>49.116</v>
      </c>
      <c r="I262" s="2">
        <v>7</v>
      </c>
      <c r="J262" s="2" t="s">
        <v>5059</v>
      </c>
      <c r="K262" s="2" t="s">
        <v>5060</v>
      </c>
      <c r="L262" s="2" t="s">
        <v>6945</v>
      </c>
      <c r="M262" s="2" t="s">
        <v>6946</v>
      </c>
      <c r="N262" s="2" t="s">
        <v>6947</v>
      </c>
      <c r="O262" s="2" t="s">
        <v>6948</v>
      </c>
      <c r="P262" s="2" t="s">
        <v>6949</v>
      </c>
      <c r="Q262" s="2" t="s">
        <v>6950</v>
      </c>
      <c r="R262" s="2" t="s">
        <v>5067</v>
      </c>
      <c r="S262" s="2" t="s">
        <v>5068</v>
      </c>
      <c r="T262" s="2" t="s">
        <v>5069</v>
      </c>
      <c r="U262" s="2" t="s">
        <v>5070</v>
      </c>
      <c r="V262" s="2"/>
    </row>
    <row r="263" spans="1:22" ht="56.25" customHeight="1" x14ac:dyDescent="0.25">
      <c r="A263" s="3" t="s">
        <v>1189</v>
      </c>
      <c r="B263" s="3" t="s">
        <v>6951</v>
      </c>
      <c r="C263" s="3" t="s">
        <v>4813</v>
      </c>
      <c r="D263" s="3" t="s">
        <v>1191</v>
      </c>
      <c r="E263" s="3">
        <v>2</v>
      </c>
      <c r="F263" s="3">
        <v>88</v>
      </c>
      <c r="G263" s="3" t="s">
        <v>6952</v>
      </c>
      <c r="H263" s="3">
        <v>50.875999999999998</v>
      </c>
      <c r="I263" s="3">
        <v>7</v>
      </c>
      <c r="J263" s="3" t="s">
        <v>5059</v>
      </c>
      <c r="K263" s="3" t="s">
        <v>5060</v>
      </c>
      <c r="L263" s="3" t="s">
        <v>6953</v>
      </c>
      <c r="M263" s="3" t="s">
        <v>6954</v>
      </c>
      <c r="N263" s="3" t="s">
        <v>6955</v>
      </c>
      <c r="O263" s="3" t="s">
        <v>6956</v>
      </c>
      <c r="P263" s="3" t="s">
        <v>6957</v>
      </c>
      <c r="Q263" s="3" t="s">
        <v>6958</v>
      </c>
      <c r="R263" s="3" t="s">
        <v>5067</v>
      </c>
      <c r="S263" s="3" t="s">
        <v>5068</v>
      </c>
      <c r="T263" s="3" t="s">
        <v>5069</v>
      </c>
      <c r="U263" s="3" t="s">
        <v>5070</v>
      </c>
      <c r="V263" s="3"/>
    </row>
    <row r="264" spans="1:22" ht="45" customHeight="1" x14ac:dyDescent="0.25">
      <c r="A264" s="2" t="s">
        <v>2634</v>
      </c>
      <c r="B264" s="2" t="s">
        <v>6959</v>
      </c>
      <c r="C264" s="2" t="s">
        <v>4932</v>
      </c>
      <c r="D264" s="2" t="s">
        <v>2636</v>
      </c>
      <c r="E264" s="2">
        <v>3</v>
      </c>
      <c r="F264" s="2">
        <v>90</v>
      </c>
      <c r="G264" s="2" t="s">
        <v>6960</v>
      </c>
      <c r="H264" s="2">
        <v>30.0852</v>
      </c>
      <c r="I264" s="2">
        <v>7</v>
      </c>
      <c r="J264" s="2" t="s">
        <v>5059</v>
      </c>
      <c r="K264" s="2" t="s">
        <v>5060</v>
      </c>
      <c r="L264" s="2" t="s">
        <v>6961</v>
      </c>
      <c r="M264" s="2" t="s">
        <v>6962</v>
      </c>
      <c r="N264" s="2" t="s">
        <v>6963</v>
      </c>
      <c r="O264" s="2" t="s">
        <v>6964</v>
      </c>
      <c r="P264" s="2" t="s">
        <v>6965</v>
      </c>
      <c r="Q264" s="2" t="s">
        <v>6966</v>
      </c>
      <c r="R264" s="2" t="s">
        <v>5067</v>
      </c>
      <c r="S264" s="2" t="s">
        <v>5068</v>
      </c>
      <c r="T264" s="2" t="s">
        <v>5069</v>
      </c>
      <c r="U264" s="2" t="s">
        <v>5070</v>
      </c>
      <c r="V264" s="2"/>
    </row>
    <row r="265" spans="1:22" ht="45" customHeight="1" x14ac:dyDescent="0.25">
      <c r="A265" s="3" t="s">
        <v>2373</v>
      </c>
      <c r="B265" s="3" t="s">
        <v>6967</v>
      </c>
      <c r="C265" s="3" t="s">
        <v>4909</v>
      </c>
      <c r="D265" s="3" t="s">
        <v>2375</v>
      </c>
      <c r="E265" s="3">
        <v>3</v>
      </c>
      <c r="F265" s="3">
        <v>90</v>
      </c>
      <c r="G265" s="3" t="s">
        <v>6968</v>
      </c>
      <c r="H265" s="3">
        <v>28.649000000000001</v>
      </c>
      <c r="I265" s="3">
        <v>7</v>
      </c>
      <c r="J265" s="3" t="s">
        <v>5059</v>
      </c>
      <c r="K265" s="3" t="s">
        <v>5060</v>
      </c>
      <c r="L265" s="3" t="s">
        <v>6969</v>
      </c>
      <c r="M265" s="3" t="s">
        <v>6970</v>
      </c>
      <c r="N265" s="3" t="s">
        <v>6971</v>
      </c>
      <c r="O265" s="3" t="s">
        <v>6972</v>
      </c>
      <c r="P265" s="3" t="s">
        <v>6973</v>
      </c>
      <c r="Q265" s="3" t="s">
        <v>6974</v>
      </c>
      <c r="R265" s="3" t="s">
        <v>5067</v>
      </c>
      <c r="S265" s="3" t="s">
        <v>5068</v>
      </c>
      <c r="T265" s="3" t="s">
        <v>5069</v>
      </c>
      <c r="U265" s="3" t="s">
        <v>5070</v>
      </c>
      <c r="V265" s="3"/>
    </row>
    <row r="266" spans="1:22" ht="45" customHeight="1" x14ac:dyDescent="0.25">
      <c r="A266" s="2" t="s">
        <v>864</v>
      </c>
      <c r="B266" s="2" t="s">
        <v>6975</v>
      </c>
      <c r="C266" s="2" t="s">
        <v>4801</v>
      </c>
      <c r="D266" s="2" t="s">
        <v>866</v>
      </c>
      <c r="E266" s="2">
        <v>6</v>
      </c>
      <c r="F266" s="2">
        <v>96</v>
      </c>
      <c r="G266" s="2" t="s">
        <v>6976</v>
      </c>
      <c r="H266" s="2">
        <v>30.653199999999998</v>
      </c>
      <c r="I266" s="2">
        <v>7</v>
      </c>
      <c r="J266" s="2" t="s">
        <v>5059</v>
      </c>
      <c r="K266" s="2" t="s">
        <v>5060</v>
      </c>
      <c r="L266" s="2" t="s">
        <v>6977</v>
      </c>
      <c r="M266" s="2" t="s">
        <v>6978</v>
      </c>
      <c r="N266" s="2" t="s">
        <v>6979</v>
      </c>
      <c r="O266" s="2" t="s">
        <v>6980</v>
      </c>
      <c r="P266" s="2" t="s">
        <v>6981</v>
      </c>
      <c r="Q266" s="2" t="s">
        <v>6982</v>
      </c>
      <c r="R266" s="2" t="s">
        <v>5067</v>
      </c>
      <c r="S266" s="2" t="s">
        <v>5068</v>
      </c>
      <c r="T266" s="2" t="s">
        <v>5069</v>
      </c>
      <c r="U266" s="2" t="s">
        <v>5070</v>
      </c>
      <c r="V266" s="2"/>
    </row>
    <row r="267" spans="1:22" ht="45" customHeight="1" x14ac:dyDescent="0.25">
      <c r="A267" s="3" t="s">
        <v>1741</v>
      </c>
      <c r="B267" s="3" t="s">
        <v>1740</v>
      </c>
      <c r="C267" s="3" t="s">
        <v>4849</v>
      </c>
      <c r="D267" s="3" t="s">
        <v>1743</v>
      </c>
      <c r="E267" s="3">
        <v>1</v>
      </c>
      <c r="F267" s="3">
        <v>96</v>
      </c>
      <c r="G267" s="3" t="s">
        <v>6983</v>
      </c>
      <c r="H267" s="3">
        <v>31.026199999999999</v>
      </c>
      <c r="I267" s="3">
        <v>7</v>
      </c>
      <c r="J267" s="3" t="s">
        <v>5059</v>
      </c>
      <c r="K267" s="3" t="s">
        <v>5060</v>
      </c>
      <c r="L267" s="3" t="s">
        <v>6984</v>
      </c>
      <c r="M267" s="3" t="s">
        <v>6985</v>
      </c>
      <c r="N267" s="3" t="s">
        <v>6986</v>
      </c>
      <c r="O267" s="3" t="s">
        <v>6987</v>
      </c>
      <c r="P267" s="3" t="s">
        <v>6988</v>
      </c>
      <c r="Q267" s="3" t="s">
        <v>6989</v>
      </c>
      <c r="R267" s="3" t="s">
        <v>5067</v>
      </c>
      <c r="S267" s="3" t="s">
        <v>5068</v>
      </c>
      <c r="T267" s="3" t="s">
        <v>5069</v>
      </c>
      <c r="U267" s="3" t="s">
        <v>5070</v>
      </c>
      <c r="V267" s="3"/>
    </row>
    <row r="268" spans="1:22" ht="56.25" customHeight="1" x14ac:dyDescent="0.25">
      <c r="A268" s="2" t="s">
        <v>2037</v>
      </c>
      <c r="B268" s="2" t="s">
        <v>6990</v>
      </c>
      <c r="C268" s="2" t="s">
        <v>4884</v>
      </c>
      <c r="D268" s="2" t="s">
        <v>2039</v>
      </c>
      <c r="E268" s="2">
        <v>10</v>
      </c>
      <c r="F268" s="2">
        <v>96</v>
      </c>
      <c r="G268" s="2" t="s">
        <v>6991</v>
      </c>
      <c r="H268" s="2">
        <v>31.226199999999999</v>
      </c>
      <c r="I268" s="2">
        <v>7</v>
      </c>
      <c r="J268" s="2" t="s">
        <v>5059</v>
      </c>
      <c r="K268" s="2" t="s">
        <v>5060</v>
      </c>
      <c r="L268" s="2" t="s">
        <v>6992</v>
      </c>
      <c r="M268" s="2" t="s">
        <v>6993</v>
      </c>
      <c r="N268" s="2" t="s">
        <v>6994</v>
      </c>
      <c r="O268" s="2" t="s">
        <v>6995</v>
      </c>
      <c r="P268" s="2" t="s">
        <v>6996</v>
      </c>
      <c r="Q268" s="2" t="s">
        <v>6997</v>
      </c>
      <c r="R268" s="2" t="s">
        <v>5067</v>
      </c>
      <c r="S268" s="2" t="s">
        <v>5068</v>
      </c>
      <c r="T268" s="2" t="s">
        <v>5069</v>
      </c>
      <c r="U268" s="2" t="s">
        <v>5070</v>
      </c>
      <c r="V268" s="2"/>
    </row>
    <row r="269" spans="1:22" ht="56.25" customHeight="1" x14ac:dyDescent="0.25">
      <c r="A269" s="3" t="s">
        <v>3349</v>
      </c>
      <c r="B269" s="3" t="s">
        <v>3348</v>
      </c>
      <c r="C269" s="3" t="s">
        <v>4981</v>
      </c>
      <c r="D269" s="3" t="s">
        <v>3351</v>
      </c>
      <c r="E269" s="3">
        <v>1</v>
      </c>
      <c r="F269" s="3">
        <v>96</v>
      </c>
      <c r="G269" s="3" t="s">
        <v>6998</v>
      </c>
      <c r="H269" s="3">
        <v>27.859200000000001</v>
      </c>
      <c r="I269" s="3">
        <v>6</v>
      </c>
      <c r="J269" s="3" t="s">
        <v>5059</v>
      </c>
      <c r="K269" s="3" t="s">
        <v>5060</v>
      </c>
      <c r="L269" s="3" t="s">
        <v>6999</v>
      </c>
      <c r="M269" s="3" t="s">
        <v>7000</v>
      </c>
      <c r="N269" s="3" t="s">
        <v>7001</v>
      </c>
      <c r="O269" s="3" t="s">
        <v>7002</v>
      </c>
      <c r="P269" s="3" t="s">
        <v>7003</v>
      </c>
      <c r="Q269" s="3" t="s">
        <v>7004</v>
      </c>
      <c r="R269" s="3" t="s">
        <v>5067</v>
      </c>
      <c r="S269" s="3" t="s">
        <v>5068</v>
      </c>
      <c r="T269" s="3" t="s">
        <v>5069</v>
      </c>
      <c r="U269" s="3" t="s">
        <v>5070</v>
      </c>
      <c r="V269" s="3"/>
    </row>
    <row r="270" spans="1:22" ht="56.25" customHeight="1" x14ac:dyDescent="0.25">
      <c r="A270" s="2" t="s">
        <v>340</v>
      </c>
      <c r="B270" s="2" t="s">
        <v>339</v>
      </c>
      <c r="C270" s="2" t="s">
        <v>4709</v>
      </c>
      <c r="D270" s="2" t="s">
        <v>342</v>
      </c>
      <c r="E270" s="2">
        <v>1</v>
      </c>
      <c r="F270" s="2">
        <v>96</v>
      </c>
      <c r="G270" s="2" t="s">
        <v>7005</v>
      </c>
      <c r="H270" s="2">
        <v>28.059200000000001</v>
      </c>
      <c r="I270" s="2">
        <v>6</v>
      </c>
      <c r="J270" s="2" t="s">
        <v>5059</v>
      </c>
      <c r="K270" s="2" t="s">
        <v>5060</v>
      </c>
      <c r="L270" s="2" t="s">
        <v>7006</v>
      </c>
      <c r="M270" s="2" t="s">
        <v>7007</v>
      </c>
      <c r="N270" s="2" t="s">
        <v>7008</v>
      </c>
      <c r="O270" s="2" t="s">
        <v>7009</v>
      </c>
      <c r="P270" s="2" t="s">
        <v>7010</v>
      </c>
      <c r="Q270" s="2" t="s">
        <v>7011</v>
      </c>
      <c r="R270" s="2" t="s">
        <v>5067</v>
      </c>
      <c r="S270" s="2" t="s">
        <v>5068</v>
      </c>
      <c r="T270" s="2" t="s">
        <v>5069</v>
      </c>
      <c r="U270" s="2" t="s">
        <v>5070</v>
      </c>
      <c r="V270" s="2"/>
    </row>
    <row r="271" spans="1:22" ht="45" customHeight="1" x14ac:dyDescent="0.25">
      <c r="A271" s="3" t="s">
        <v>2454</v>
      </c>
      <c r="B271" s="3" t="s">
        <v>7012</v>
      </c>
      <c r="C271" s="3" t="s">
        <v>4917</v>
      </c>
      <c r="D271" s="3" t="s">
        <v>2456</v>
      </c>
      <c r="E271" s="3">
        <v>4</v>
      </c>
      <c r="F271" s="3">
        <v>96</v>
      </c>
      <c r="G271" s="3" t="s">
        <v>7013</v>
      </c>
      <c r="H271" s="3">
        <v>28.565999999999999</v>
      </c>
      <c r="I271" s="3">
        <v>6</v>
      </c>
      <c r="J271" s="3" t="s">
        <v>5059</v>
      </c>
      <c r="K271" s="3" t="s">
        <v>5060</v>
      </c>
      <c r="L271" s="3" t="s">
        <v>6539</v>
      </c>
      <c r="M271" s="3" t="s">
        <v>6540</v>
      </c>
      <c r="N271" s="3" t="s">
        <v>7014</v>
      </c>
      <c r="O271" s="3" t="s">
        <v>7015</v>
      </c>
      <c r="P271" s="3" t="s">
        <v>7016</v>
      </c>
      <c r="Q271" s="3" t="s">
        <v>7017</v>
      </c>
      <c r="R271" s="3" t="s">
        <v>5067</v>
      </c>
      <c r="S271" s="3" t="s">
        <v>5068</v>
      </c>
      <c r="T271" s="3" t="s">
        <v>5069</v>
      </c>
      <c r="U271" s="3" t="s">
        <v>5070</v>
      </c>
      <c r="V271" s="3"/>
    </row>
    <row r="272" spans="1:22" ht="45" customHeight="1" x14ac:dyDescent="0.25">
      <c r="A272" s="2" t="s">
        <v>2450</v>
      </c>
      <c r="B272" s="2" t="s">
        <v>7018</v>
      </c>
      <c r="C272" s="2" t="s">
        <v>4916</v>
      </c>
      <c r="D272" s="2" t="s">
        <v>2452</v>
      </c>
      <c r="E272" s="2">
        <v>2</v>
      </c>
      <c r="F272" s="2">
        <v>96</v>
      </c>
      <c r="G272" s="2" t="s">
        <v>7019</v>
      </c>
      <c r="H272" s="2">
        <v>28.126000000000001</v>
      </c>
      <c r="I272" s="2">
        <v>6</v>
      </c>
      <c r="J272" s="2" t="s">
        <v>5059</v>
      </c>
      <c r="K272" s="2" t="s">
        <v>5060</v>
      </c>
      <c r="L272" s="2" t="s">
        <v>6555</v>
      </c>
      <c r="M272" s="2" t="s">
        <v>6556</v>
      </c>
      <c r="N272" s="2" t="s">
        <v>7020</v>
      </c>
      <c r="O272" s="2" t="s">
        <v>7021</v>
      </c>
      <c r="P272" s="2" t="s">
        <v>7022</v>
      </c>
      <c r="Q272" s="2" t="s">
        <v>7023</v>
      </c>
      <c r="R272" s="2" t="s">
        <v>5067</v>
      </c>
      <c r="S272" s="2" t="s">
        <v>5068</v>
      </c>
      <c r="T272" s="2" t="s">
        <v>5069</v>
      </c>
      <c r="U272" s="2" t="s">
        <v>5070</v>
      </c>
      <c r="V272" s="2"/>
    </row>
    <row r="273" spans="1:22" ht="45" customHeight="1" x14ac:dyDescent="0.25">
      <c r="A273" s="3" t="s">
        <v>2401</v>
      </c>
      <c r="B273" s="3" t="s">
        <v>7024</v>
      </c>
      <c r="C273" s="3" t="s">
        <v>4913</v>
      </c>
      <c r="D273" s="3" t="s">
        <v>2403</v>
      </c>
      <c r="E273" s="3">
        <v>2</v>
      </c>
      <c r="F273" s="3">
        <v>96</v>
      </c>
      <c r="G273" s="3" t="s">
        <v>7025</v>
      </c>
      <c r="H273" s="3">
        <v>29.949200000000001</v>
      </c>
      <c r="I273" s="3">
        <v>7</v>
      </c>
      <c r="J273" s="3" t="s">
        <v>5059</v>
      </c>
      <c r="K273" s="3" t="s">
        <v>5060</v>
      </c>
      <c r="L273" s="3" t="s">
        <v>7026</v>
      </c>
      <c r="M273" s="3" t="s">
        <v>7027</v>
      </c>
      <c r="N273" s="3" t="s">
        <v>7028</v>
      </c>
      <c r="O273" s="3" t="s">
        <v>7029</v>
      </c>
      <c r="P273" s="3" t="s">
        <v>7030</v>
      </c>
      <c r="Q273" s="3" t="s">
        <v>7031</v>
      </c>
      <c r="R273" s="3" t="s">
        <v>5067</v>
      </c>
      <c r="S273" s="3" t="s">
        <v>5068</v>
      </c>
      <c r="T273" s="3" t="s">
        <v>5069</v>
      </c>
      <c r="U273" s="3" t="s">
        <v>5070</v>
      </c>
      <c r="V273" s="3"/>
    </row>
    <row r="274" spans="1:22" ht="67.5" customHeight="1" x14ac:dyDescent="0.25">
      <c r="A274" s="2" t="s">
        <v>2033</v>
      </c>
      <c r="B274" s="2" t="s">
        <v>2032</v>
      </c>
      <c r="C274" s="2" t="s">
        <v>4883</v>
      </c>
      <c r="D274" s="2" t="s">
        <v>2035</v>
      </c>
      <c r="E274" s="2">
        <v>1</v>
      </c>
      <c r="F274" s="2">
        <v>96</v>
      </c>
      <c r="G274" s="2" t="s">
        <v>7032</v>
      </c>
      <c r="H274" s="2">
        <v>30.1492</v>
      </c>
      <c r="I274" s="2">
        <v>7</v>
      </c>
      <c r="J274" s="2" t="s">
        <v>5059</v>
      </c>
      <c r="K274" s="2" t="s">
        <v>5060</v>
      </c>
      <c r="L274" s="2" t="s">
        <v>7033</v>
      </c>
      <c r="M274" s="2" t="s">
        <v>7034</v>
      </c>
      <c r="N274" s="2" t="s">
        <v>7035</v>
      </c>
      <c r="O274" s="2" t="s">
        <v>7036</v>
      </c>
      <c r="P274" s="2" t="s">
        <v>7037</v>
      </c>
      <c r="Q274" s="2" t="s">
        <v>7038</v>
      </c>
      <c r="R274" s="2" t="s">
        <v>5067</v>
      </c>
      <c r="S274" s="2" t="s">
        <v>5068</v>
      </c>
      <c r="T274" s="2" t="s">
        <v>5069</v>
      </c>
      <c r="U274" s="2" t="s">
        <v>5070</v>
      </c>
      <c r="V274" s="2"/>
    </row>
    <row r="275" spans="1:22" ht="78.75" customHeight="1" x14ac:dyDescent="0.25">
      <c r="A275" s="3" t="s">
        <v>3765</v>
      </c>
      <c r="B275" s="3" t="s">
        <v>3764</v>
      </c>
      <c r="C275" s="3" t="s">
        <v>5001</v>
      </c>
      <c r="D275" s="3" t="s">
        <v>3767</v>
      </c>
      <c r="E275" s="3">
        <v>1</v>
      </c>
      <c r="F275" s="3">
        <v>96</v>
      </c>
      <c r="G275" s="3" t="s">
        <v>7039</v>
      </c>
      <c r="H275" s="3">
        <v>27.839200000000002</v>
      </c>
      <c r="I275" s="3">
        <v>6</v>
      </c>
      <c r="J275" s="3" t="s">
        <v>5059</v>
      </c>
      <c r="K275" s="3" t="s">
        <v>5060</v>
      </c>
      <c r="L275" s="3" t="s">
        <v>7040</v>
      </c>
      <c r="M275" s="3" t="s">
        <v>7041</v>
      </c>
      <c r="N275" s="3" t="s">
        <v>7042</v>
      </c>
      <c r="O275" s="3" t="s">
        <v>7043</v>
      </c>
      <c r="P275" s="3" t="s">
        <v>7044</v>
      </c>
      <c r="Q275" s="3" t="s">
        <v>7045</v>
      </c>
      <c r="R275" s="3" t="s">
        <v>5067</v>
      </c>
      <c r="S275" s="3" t="s">
        <v>5068</v>
      </c>
      <c r="T275" s="3" t="s">
        <v>5069</v>
      </c>
      <c r="U275" s="3" t="s">
        <v>5070</v>
      </c>
      <c r="V275" s="3"/>
    </row>
    <row r="276" spans="1:22" ht="45" customHeight="1" x14ac:dyDescent="0.25">
      <c r="A276" s="2" t="s">
        <v>1360</v>
      </c>
      <c r="B276" s="2" t="s">
        <v>1359</v>
      </c>
      <c r="C276" s="2" t="s">
        <v>4823</v>
      </c>
      <c r="D276" s="2" t="s">
        <v>1362</v>
      </c>
      <c r="E276" s="2">
        <v>1</v>
      </c>
      <c r="F276" s="2">
        <v>96</v>
      </c>
      <c r="G276" s="2" t="s">
        <v>7046</v>
      </c>
      <c r="H276" s="2">
        <v>53.335999999999999</v>
      </c>
      <c r="I276" s="2">
        <v>7</v>
      </c>
      <c r="J276" s="2" t="s">
        <v>5059</v>
      </c>
      <c r="K276" s="2" t="s">
        <v>5060</v>
      </c>
      <c r="L276" s="2" t="s">
        <v>7047</v>
      </c>
      <c r="M276" s="2" t="s">
        <v>7048</v>
      </c>
      <c r="N276" s="2" t="s">
        <v>7049</v>
      </c>
      <c r="O276" s="2" t="s">
        <v>7050</v>
      </c>
      <c r="P276" s="2" t="s">
        <v>7051</v>
      </c>
      <c r="Q276" s="2" t="s">
        <v>7052</v>
      </c>
      <c r="R276" s="2" t="s">
        <v>5067</v>
      </c>
      <c r="S276" s="2" t="s">
        <v>5068</v>
      </c>
      <c r="T276" s="2" t="s">
        <v>5069</v>
      </c>
      <c r="U276" s="2" t="s">
        <v>5070</v>
      </c>
      <c r="V276" s="2"/>
    </row>
    <row r="277" spans="1:22" ht="45" customHeight="1" x14ac:dyDescent="0.25">
      <c r="A277" s="3" t="s">
        <v>2210</v>
      </c>
      <c r="B277" s="3" t="s">
        <v>2209</v>
      </c>
      <c r="C277" s="3" t="s">
        <v>4894</v>
      </c>
      <c r="D277" s="3" t="s">
        <v>2212</v>
      </c>
      <c r="E277" s="3">
        <v>1</v>
      </c>
      <c r="F277" s="3">
        <v>96</v>
      </c>
      <c r="G277" s="3" t="s">
        <v>7053</v>
      </c>
      <c r="H277" s="3">
        <v>47.996000000000002</v>
      </c>
      <c r="I277" s="3">
        <v>7</v>
      </c>
      <c r="J277" s="3" t="s">
        <v>5059</v>
      </c>
      <c r="K277" s="3" t="s">
        <v>5060</v>
      </c>
      <c r="L277" s="3" t="s">
        <v>7054</v>
      </c>
      <c r="M277" s="3" t="s">
        <v>7055</v>
      </c>
      <c r="N277" s="3" t="s">
        <v>7056</v>
      </c>
      <c r="O277" s="3" t="s">
        <v>7057</v>
      </c>
      <c r="P277" s="3" t="s">
        <v>7058</v>
      </c>
      <c r="Q277" s="3" t="s">
        <v>7059</v>
      </c>
      <c r="R277" s="3" t="s">
        <v>5067</v>
      </c>
      <c r="S277" s="3" t="s">
        <v>5068</v>
      </c>
      <c r="T277" s="3" t="s">
        <v>5069</v>
      </c>
      <c r="U277" s="3" t="s">
        <v>5070</v>
      </c>
      <c r="V277" s="3"/>
    </row>
    <row r="278" spans="1:22" ht="213.75" customHeight="1" x14ac:dyDescent="0.25">
      <c r="A278" s="2" t="s">
        <v>382</v>
      </c>
      <c r="B278" s="2" t="s">
        <v>7060</v>
      </c>
      <c r="C278" s="2" t="s">
        <v>4725</v>
      </c>
      <c r="D278" s="2" t="s">
        <v>384</v>
      </c>
      <c r="E278" s="2">
        <v>38</v>
      </c>
      <c r="F278" s="2">
        <v>96</v>
      </c>
      <c r="G278" s="2" t="s">
        <v>7061</v>
      </c>
      <c r="H278" s="2">
        <v>35.3172</v>
      </c>
      <c r="I278" s="2">
        <v>8</v>
      </c>
      <c r="J278" s="2" t="s">
        <v>5059</v>
      </c>
      <c r="K278" s="2" t="s">
        <v>5060</v>
      </c>
      <c r="L278" s="2" t="s">
        <v>7062</v>
      </c>
      <c r="M278" s="2" t="s">
        <v>7063</v>
      </c>
      <c r="N278" s="2" t="s">
        <v>7064</v>
      </c>
      <c r="O278" s="2" t="s">
        <v>7065</v>
      </c>
      <c r="P278" s="2" t="s">
        <v>7066</v>
      </c>
      <c r="Q278" s="2" t="s">
        <v>7067</v>
      </c>
      <c r="R278" s="2" t="s">
        <v>5067</v>
      </c>
      <c r="S278" s="2" t="s">
        <v>5068</v>
      </c>
      <c r="T278" s="2" t="s">
        <v>5069</v>
      </c>
      <c r="U278" s="2" t="s">
        <v>5070</v>
      </c>
      <c r="V278" s="2"/>
    </row>
    <row r="279" spans="1:22" ht="67.5" customHeight="1" x14ac:dyDescent="0.25">
      <c r="A279" s="3" t="s">
        <v>681</v>
      </c>
      <c r="B279" s="3" t="s">
        <v>7068</v>
      </c>
      <c r="C279" s="3" t="s">
        <v>4781</v>
      </c>
      <c r="D279" s="3" t="s">
        <v>683</v>
      </c>
      <c r="E279" s="3">
        <v>8</v>
      </c>
      <c r="F279" s="3">
        <v>96</v>
      </c>
      <c r="G279" s="3" t="s">
        <v>7069</v>
      </c>
      <c r="H279" s="3">
        <v>34.743600000000001</v>
      </c>
      <c r="I279" s="3">
        <v>6</v>
      </c>
      <c r="J279" s="3" t="s">
        <v>5059</v>
      </c>
      <c r="K279" s="3" t="s">
        <v>5060</v>
      </c>
      <c r="L279" s="3" t="s">
        <v>7070</v>
      </c>
      <c r="M279" s="3" t="s">
        <v>7071</v>
      </c>
      <c r="N279" s="3" t="s">
        <v>7072</v>
      </c>
      <c r="O279" s="3" t="s">
        <v>7073</v>
      </c>
      <c r="P279" s="3" t="s">
        <v>7074</v>
      </c>
      <c r="Q279" s="3" t="s">
        <v>7075</v>
      </c>
      <c r="R279" s="3" t="s">
        <v>5067</v>
      </c>
      <c r="S279" s="3" t="s">
        <v>5068</v>
      </c>
      <c r="T279" s="3" t="s">
        <v>5069</v>
      </c>
      <c r="U279" s="3" t="s">
        <v>5070</v>
      </c>
      <c r="V279" s="3"/>
    </row>
    <row r="280" spans="1:22" ht="45" customHeight="1" x14ac:dyDescent="0.25">
      <c r="A280" s="2" t="s">
        <v>1572</v>
      </c>
      <c r="B280" s="2" t="s">
        <v>7076</v>
      </c>
      <c r="C280" s="2" t="s">
        <v>4838</v>
      </c>
      <c r="D280" s="2" t="s">
        <v>1574</v>
      </c>
      <c r="E280" s="2">
        <v>6</v>
      </c>
      <c r="F280" s="2">
        <v>96</v>
      </c>
      <c r="G280" s="2" t="s">
        <v>7077</v>
      </c>
      <c r="H280" s="2">
        <v>28.649000000000001</v>
      </c>
      <c r="I280" s="2">
        <v>7</v>
      </c>
      <c r="J280" s="2" t="s">
        <v>5059</v>
      </c>
      <c r="K280" s="2" t="s">
        <v>5060</v>
      </c>
      <c r="L280" s="2" t="s">
        <v>7078</v>
      </c>
      <c r="M280" s="2" t="s">
        <v>7079</v>
      </c>
      <c r="N280" s="2" t="s">
        <v>7080</v>
      </c>
      <c r="O280" s="2" t="s">
        <v>7081</v>
      </c>
      <c r="P280" s="2" t="s">
        <v>7082</v>
      </c>
      <c r="Q280" s="2" t="s">
        <v>7083</v>
      </c>
      <c r="R280" s="2" t="s">
        <v>5067</v>
      </c>
      <c r="S280" s="2" t="s">
        <v>5068</v>
      </c>
      <c r="T280" s="2" t="s">
        <v>5069</v>
      </c>
      <c r="U280" s="2" t="s">
        <v>5070</v>
      </c>
      <c r="V280" s="2"/>
    </row>
    <row r="281" spans="1:22" ht="33.75" customHeight="1" x14ac:dyDescent="0.25">
      <c r="A281" s="3" t="s">
        <v>3531</v>
      </c>
      <c r="B281" s="3" t="s">
        <v>3530</v>
      </c>
      <c r="C281" s="3" t="s">
        <v>4985</v>
      </c>
      <c r="D281" s="3" t="s">
        <v>3533</v>
      </c>
      <c r="E281" s="3">
        <v>1</v>
      </c>
      <c r="F281" s="3">
        <v>96</v>
      </c>
      <c r="G281" s="3" t="s">
        <v>7084</v>
      </c>
      <c r="H281" s="3">
        <v>27.373760000000001</v>
      </c>
      <c r="I281" s="3">
        <v>7</v>
      </c>
      <c r="J281" s="3" t="s">
        <v>5059</v>
      </c>
      <c r="K281" s="3" t="s">
        <v>5124</v>
      </c>
      <c r="L281" s="3" t="s">
        <v>7085</v>
      </c>
      <c r="M281" s="3" t="s">
        <v>7085</v>
      </c>
      <c r="N281" s="3" t="s">
        <v>7086</v>
      </c>
      <c r="O281" s="3" t="s">
        <v>7087</v>
      </c>
      <c r="P281" s="3" t="s">
        <v>7088</v>
      </c>
      <c r="Q281" s="3" t="s">
        <v>7089</v>
      </c>
      <c r="R281" s="3" t="s">
        <v>5067</v>
      </c>
      <c r="S281" s="3" t="s">
        <v>5068</v>
      </c>
      <c r="T281" s="3" t="s">
        <v>5069</v>
      </c>
      <c r="U281" s="3" t="s">
        <v>5070</v>
      </c>
      <c r="V281" s="3"/>
    </row>
    <row r="282" spans="1:22" ht="33.75" customHeight="1" x14ac:dyDescent="0.25">
      <c r="A282" s="2" t="s">
        <v>1959</v>
      </c>
      <c r="B282" s="2" t="s">
        <v>1958</v>
      </c>
      <c r="C282" s="2" t="s">
        <v>4877</v>
      </c>
      <c r="D282" s="2" t="s">
        <v>1961</v>
      </c>
      <c r="E282" s="2">
        <v>1</v>
      </c>
      <c r="F282" s="2">
        <v>96</v>
      </c>
      <c r="G282" s="2" t="s">
        <v>7090</v>
      </c>
      <c r="H282" s="2">
        <v>28.9024</v>
      </c>
      <c r="I282" s="2">
        <v>7</v>
      </c>
      <c r="J282" s="2" t="s">
        <v>5059</v>
      </c>
      <c r="K282" s="2" t="s">
        <v>5124</v>
      </c>
      <c r="L282" s="2" t="s">
        <v>7091</v>
      </c>
      <c r="M282" s="2" t="s">
        <v>7091</v>
      </c>
      <c r="N282" s="2" t="s">
        <v>7092</v>
      </c>
      <c r="O282" s="2" t="s">
        <v>7093</v>
      </c>
      <c r="P282" s="2" t="s">
        <v>7094</v>
      </c>
      <c r="Q282" s="2" t="s">
        <v>7095</v>
      </c>
      <c r="R282" s="2" t="s">
        <v>5067</v>
      </c>
      <c r="S282" s="2" t="s">
        <v>5068</v>
      </c>
      <c r="T282" s="2" t="s">
        <v>5069</v>
      </c>
      <c r="U282" s="2" t="s">
        <v>5070</v>
      </c>
      <c r="V282" s="2"/>
    </row>
    <row r="283" spans="1:22" ht="33.75" customHeight="1" x14ac:dyDescent="0.25">
      <c r="A283" s="3" t="s">
        <v>1963</v>
      </c>
      <c r="B283" s="3" t="s">
        <v>1962</v>
      </c>
      <c r="C283" s="3" t="s">
        <v>4878</v>
      </c>
      <c r="D283" s="3" t="s">
        <v>1965</v>
      </c>
      <c r="E283" s="3">
        <v>1</v>
      </c>
      <c r="F283" s="3">
        <v>96</v>
      </c>
      <c r="G283" s="3" t="s">
        <v>7096</v>
      </c>
      <c r="H283" s="3">
        <v>27.373760000000001</v>
      </c>
      <c r="I283" s="3">
        <v>7</v>
      </c>
      <c r="J283" s="3" t="s">
        <v>5059</v>
      </c>
      <c r="K283" s="3" t="s">
        <v>5124</v>
      </c>
      <c r="L283" s="3" t="s">
        <v>7097</v>
      </c>
      <c r="M283" s="3" t="s">
        <v>7097</v>
      </c>
      <c r="N283" s="3" t="s">
        <v>7098</v>
      </c>
      <c r="O283" s="3" t="s">
        <v>7099</v>
      </c>
      <c r="P283" s="3" t="s">
        <v>7100</v>
      </c>
      <c r="Q283" s="3" t="s">
        <v>7101</v>
      </c>
      <c r="R283" s="3" t="s">
        <v>5067</v>
      </c>
      <c r="S283" s="3" t="s">
        <v>5068</v>
      </c>
      <c r="T283" s="3" t="s">
        <v>5069</v>
      </c>
      <c r="U283" s="3" t="s">
        <v>5070</v>
      </c>
      <c r="V283" s="3"/>
    </row>
    <row r="284" spans="1:22" ht="45" customHeight="1" x14ac:dyDescent="0.25">
      <c r="A284" s="2" t="s">
        <v>966</v>
      </c>
      <c r="B284" s="2" t="s">
        <v>965</v>
      </c>
      <c r="C284" s="2" t="s">
        <v>4805</v>
      </c>
      <c r="D284" s="2" t="s">
        <v>968</v>
      </c>
      <c r="E284" s="2">
        <v>1</v>
      </c>
      <c r="F284" s="2">
        <v>105</v>
      </c>
      <c r="G284" s="2" t="s">
        <v>7102</v>
      </c>
      <c r="H284" s="2">
        <v>54.972650000000002</v>
      </c>
      <c r="I284" s="2">
        <v>8</v>
      </c>
      <c r="J284" s="2" t="s">
        <v>5059</v>
      </c>
      <c r="K284" s="2" t="s">
        <v>5060</v>
      </c>
      <c r="L284" s="2" t="s">
        <v>7103</v>
      </c>
      <c r="M284" s="2" t="s">
        <v>7104</v>
      </c>
      <c r="N284" s="2" t="s">
        <v>7105</v>
      </c>
      <c r="O284" s="2" t="s">
        <v>7106</v>
      </c>
      <c r="P284" s="2" t="s">
        <v>7107</v>
      </c>
      <c r="Q284" s="2" t="s">
        <v>7108</v>
      </c>
      <c r="R284" s="2" t="s">
        <v>5067</v>
      </c>
      <c r="S284" s="2" t="s">
        <v>5068</v>
      </c>
      <c r="T284" s="2" t="s">
        <v>5069</v>
      </c>
      <c r="U284" s="2" t="s">
        <v>5070</v>
      </c>
      <c r="V284" s="2"/>
    </row>
    <row r="285" spans="1:22" ht="56.25" customHeight="1" x14ac:dyDescent="0.25">
      <c r="A285" s="3" t="s">
        <v>2222</v>
      </c>
      <c r="B285" s="3" t="s">
        <v>2221</v>
      </c>
      <c r="C285" s="3" t="s">
        <v>4897</v>
      </c>
      <c r="D285" s="3" t="s">
        <v>2224</v>
      </c>
      <c r="E285" s="3">
        <v>1</v>
      </c>
      <c r="F285" s="3">
        <v>105</v>
      </c>
      <c r="G285" s="3" t="s">
        <v>7109</v>
      </c>
      <c r="H285" s="3">
        <v>55.662649999999999</v>
      </c>
      <c r="I285" s="3">
        <v>8</v>
      </c>
      <c r="J285" s="3" t="s">
        <v>5059</v>
      </c>
      <c r="K285" s="3" t="s">
        <v>5060</v>
      </c>
      <c r="L285" s="3" t="s">
        <v>7110</v>
      </c>
      <c r="M285" s="3" t="s">
        <v>7111</v>
      </c>
      <c r="N285" s="3" t="s">
        <v>7112</v>
      </c>
      <c r="O285" s="3" t="s">
        <v>7113</v>
      </c>
      <c r="P285" s="3" t="s">
        <v>7114</v>
      </c>
      <c r="Q285" s="3" t="s">
        <v>7115</v>
      </c>
      <c r="R285" s="3" t="s">
        <v>5067</v>
      </c>
      <c r="S285" s="3" t="s">
        <v>5068</v>
      </c>
      <c r="T285" s="3" t="s">
        <v>5069</v>
      </c>
      <c r="U285" s="3" t="s">
        <v>5070</v>
      </c>
      <c r="V285" s="3"/>
    </row>
    <row r="286" spans="1:22" ht="168.75" customHeight="1" x14ac:dyDescent="0.25">
      <c r="A286" s="2" t="s">
        <v>390</v>
      </c>
      <c r="B286" s="2" t="s">
        <v>7116</v>
      </c>
      <c r="C286" s="2" t="s">
        <v>4728</v>
      </c>
      <c r="D286" s="2" t="s">
        <v>392</v>
      </c>
      <c r="E286" s="2">
        <v>30</v>
      </c>
      <c r="F286" s="2">
        <v>120</v>
      </c>
      <c r="G286" s="2" t="s">
        <v>7117</v>
      </c>
      <c r="H286" s="2">
        <v>35.367600000000003</v>
      </c>
      <c r="I286" s="2">
        <v>8</v>
      </c>
      <c r="J286" s="2" t="s">
        <v>5059</v>
      </c>
      <c r="K286" s="2" t="s">
        <v>5060</v>
      </c>
      <c r="L286" s="2" t="s">
        <v>7118</v>
      </c>
      <c r="M286" s="2" t="s">
        <v>7119</v>
      </c>
      <c r="N286" s="2" t="s">
        <v>7120</v>
      </c>
      <c r="O286" s="2" t="s">
        <v>7121</v>
      </c>
      <c r="P286" s="2" t="s">
        <v>7122</v>
      </c>
      <c r="Q286" s="2" t="s">
        <v>7123</v>
      </c>
      <c r="R286" s="2" t="s">
        <v>5067</v>
      </c>
      <c r="S286" s="2" t="s">
        <v>5068</v>
      </c>
      <c r="T286" s="2" t="s">
        <v>5069</v>
      </c>
      <c r="U286" s="2" t="s">
        <v>5070</v>
      </c>
      <c r="V286" s="2"/>
    </row>
    <row r="287" spans="1:22" ht="67.5" customHeight="1" x14ac:dyDescent="0.25">
      <c r="A287" s="3" t="s">
        <v>714</v>
      </c>
      <c r="B287" s="3" t="s">
        <v>7124</v>
      </c>
      <c r="C287" s="3" t="s">
        <v>4784</v>
      </c>
      <c r="D287" s="3" t="s">
        <v>716</v>
      </c>
      <c r="E287" s="3">
        <v>2</v>
      </c>
      <c r="F287" s="3">
        <v>120</v>
      </c>
      <c r="G287" s="3" t="s">
        <v>7125</v>
      </c>
      <c r="H287" s="3">
        <v>34.793999999999997</v>
      </c>
      <c r="I287" s="3">
        <v>6</v>
      </c>
      <c r="J287" s="3" t="s">
        <v>5059</v>
      </c>
      <c r="K287" s="3" t="s">
        <v>5060</v>
      </c>
      <c r="L287" s="3" t="s">
        <v>7126</v>
      </c>
      <c r="M287" s="3" t="s">
        <v>7127</v>
      </c>
      <c r="N287" s="3" t="s">
        <v>7128</v>
      </c>
      <c r="O287" s="3" t="s">
        <v>7129</v>
      </c>
      <c r="P287" s="3" t="s">
        <v>7130</v>
      </c>
      <c r="Q287" s="3" t="s">
        <v>7131</v>
      </c>
      <c r="R287" s="3" t="s">
        <v>5067</v>
      </c>
      <c r="S287" s="3" t="s">
        <v>5068</v>
      </c>
      <c r="T287" s="3" t="s">
        <v>5069</v>
      </c>
      <c r="U287" s="3" t="s">
        <v>5070</v>
      </c>
      <c r="V287" s="3"/>
    </row>
    <row r="288" spans="1:22" ht="45" customHeight="1" x14ac:dyDescent="0.25">
      <c r="A288" s="2" t="s">
        <v>1578</v>
      </c>
      <c r="B288" s="2" t="s">
        <v>7132</v>
      </c>
      <c r="C288" s="2" t="s">
        <v>4839</v>
      </c>
      <c r="D288" s="2" t="s">
        <v>1580</v>
      </c>
      <c r="E288" s="2">
        <v>4</v>
      </c>
      <c r="F288" s="2">
        <v>120</v>
      </c>
      <c r="G288" s="2" t="s">
        <v>7133</v>
      </c>
      <c r="H288" s="2">
        <v>28.649000000000001</v>
      </c>
      <c r="I288" s="2">
        <v>7</v>
      </c>
      <c r="J288" s="2" t="s">
        <v>5059</v>
      </c>
      <c r="K288" s="2" t="s">
        <v>5060</v>
      </c>
      <c r="L288" s="2" t="s">
        <v>7134</v>
      </c>
      <c r="M288" s="2" t="s">
        <v>7135</v>
      </c>
      <c r="N288" s="2" t="s">
        <v>7136</v>
      </c>
      <c r="O288" s="2" t="s">
        <v>7137</v>
      </c>
      <c r="P288" s="2" t="s">
        <v>7138</v>
      </c>
      <c r="Q288" s="2" t="s">
        <v>7139</v>
      </c>
      <c r="R288" s="2" t="s">
        <v>5067</v>
      </c>
      <c r="S288" s="2" t="s">
        <v>5068</v>
      </c>
      <c r="T288" s="2" t="s">
        <v>5069</v>
      </c>
      <c r="U288" s="2" t="s">
        <v>5070</v>
      </c>
      <c r="V288" s="2"/>
    </row>
    <row r="289" spans="1:22" ht="123.75" customHeight="1" x14ac:dyDescent="0.25">
      <c r="A289" s="3" t="s">
        <v>144</v>
      </c>
      <c r="B289" s="3" t="s">
        <v>7140</v>
      </c>
      <c r="C289" s="3" t="s">
        <v>4892</v>
      </c>
      <c r="D289" s="3" t="s">
        <v>144</v>
      </c>
      <c r="E289" s="3">
        <v>3</v>
      </c>
      <c r="F289" s="3">
        <v>18</v>
      </c>
      <c r="G289" s="3" t="s">
        <v>7141</v>
      </c>
      <c r="H289" s="3"/>
      <c r="I289" s="3">
        <v>0</v>
      </c>
      <c r="J289" s="3" t="s">
        <v>7142</v>
      </c>
      <c r="K289" s="3" t="s">
        <v>7143</v>
      </c>
      <c r="L289" s="3" t="s">
        <v>7144</v>
      </c>
      <c r="M289" s="3" t="s">
        <v>7145</v>
      </c>
      <c r="N289" s="3" t="s">
        <v>144</v>
      </c>
      <c r="O289" s="3" t="s">
        <v>144</v>
      </c>
      <c r="P289" s="3" t="s">
        <v>144</v>
      </c>
      <c r="Q289" s="3" t="s">
        <v>144</v>
      </c>
      <c r="R289" s="3" t="s">
        <v>5067</v>
      </c>
      <c r="S289" s="3" t="s">
        <v>5068</v>
      </c>
      <c r="T289" s="3" t="s">
        <v>5069</v>
      </c>
      <c r="U289" s="3" t="s">
        <v>5070</v>
      </c>
      <c r="V289" s="3" t="s">
        <v>7146</v>
      </c>
    </row>
  </sheetData>
  <autoFilter ref="A1:V289" xr:uid="{00000000-0009-0000-0000-000004000000}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22" customWidth="1"/>
    <col min="3" max="3" width="25" customWidth="1"/>
    <col min="4" max="4" width="16" customWidth="1"/>
    <col min="5" max="5" width="23" customWidth="1"/>
    <col min="6" max="7" width="12" customWidth="1"/>
    <col min="8" max="9" width="13" customWidth="1"/>
  </cols>
  <sheetData>
    <row r="1" spans="1:9" ht="22.5" customHeight="1" x14ac:dyDescent="0.25">
      <c r="A1" s="1" t="s">
        <v>43</v>
      </c>
      <c r="B1" s="1" t="s">
        <v>5041</v>
      </c>
      <c r="C1" s="1" t="s">
        <v>4635</v>
      </c>
      <c r="D1" s="1" t="s">
        <v>7147</v>
      </c>
      <c r="E1" s="1" t="s">
        <v>7148</v>
      </c>
      <c r="F1" s="1" t="s">
        <v>7149</v>
      </c>
      <c r="G1" s="1" t="s">
        <v>7150</v>
      </c>
      <c r="H1" s="1" t="s">
        <v>7151</v>
      </c>
      <c r="I1" s="1" t="s">
        <v>7152</v>
      </c>
    </row>
    <row r="2" spans="1:9" ht="22.5" customHeight="1" x14ac:dyDescent="0.25">
      <c r="A2" s="2" t="s">
        <v>4374</v>
      </c>
      <c r="B2" s="2" t="s">
        <v>4373</v>
      </c>
      <c r="C2" s="2" t="s">
        <v>5036</v>
      </c>
      <c r="D2" s="2" t="s">
        <v>7153</v>
      </c>
      <c r="E2" s="2" t="s">
        <v>7154</v>
      </c>
      <c r="F2" s="2">
        <v>14</v>
      </c>
      <c r="G2" s="2" t="s">
        <v>7155</v>
      </c>
      <c r="H2" s="2">
        <v>1.24E-2</v>
      </c>
      <c r="I2" s="2">
        <v>0.1736</v>
      </c>
    </row>
    <row r="3" spans="1:9" ht="22.5" customHeight="1" x14ac:dyDescent="0.25">
      <c r="A3" s="3" t="s">
        <v>4374</v>
      </c>
      <c r="B3" s="3" t="s">
        <v>4373</v>
      </c>
      <c r="C3" s="3" t="s">
        <v>5036</v>
      </c>
      <c r="D3" s="3" t="s">
        <v>7156</v>
      </c>
      <c r="E3" s="3" t="s">
        <v>7157</v>
      </c>
      <c r="F3" s="3">
        <v>1</v>
      </c>
      <c r="G3" s="3" t="s">
        <v>7158</v>
      </c>
      <c r="H3" s="3">
        <v>26</v>
      </c>
      <c r="I3" s="3">
        <v>26</v>
      </c>
    </row>
    <row r="4" spans="1:9" ht="22.5" customHeight="1" x14ac:dyDescent="0.25">
      <c r="A4" s="2" t="s">
        <v>4374</v>
      </c>
      <c r="B4" s="2" t="s">
        <v>4373</v>
      </c>
      <c r="C4" s="2" t="s">
        <v>5036</v>
      </c>
      <c r="D4" s="2" t="s">
        <v>7159</v>
      </c>
      <c r="E4" s="2" t="s">
        <v>7160</v>
      </c>
      <c r="F4" s="2">
        <v>20</v>
      </c>
      <c r="G4" s="2" t="s">
        <v>7155</v>
      </c>
      <c r="H4" s="2">
        <v>1.8319999999999999E-2</v>
      </c>
      <c r="I4" s="2">
        <v>0.3664</v>
      </c>
    </row>
    <row r="5" spans="1:9" ht="22.5" customHeight="1" x14ac:dyDescent="0.25">
      <c r="A5" s="3" t="s">
        <v>4374</v>
      </c>
      <c r="B5" s="3" t="s">
        <v>4373</v>
      </c>
      <c r="C5" s="3" t="s">
        <v>5036</v>
      </c>
      <c r="D5" s="3" t="s">
        <v>7161</v>
      </c>
      <c r="E5" s="3" t="s">
        <v>7162</v>
      </c>
      <c r="F5" s="3">
        <v>0.186</v>
      </c>
      <c r="G5" s="3" t="s">
        <v>7163</v>
      </c>
      <c r="H5" s="3" t="s">
        <v>7164</v>
      </c>
      <c r="I5" s="3">
        <v>0.186</v>
      </c>
    </row>
    <row r="6" spans="1:9" ht="33.75" customHeight="1" x14ac:dyDescent="0.25">
      <c r="A6" s="2" t="s">
        <v>4374</v>
      </c>
      <c r="B6" s="2" t="s">
        <v>4373</v>
      </c>
      <c r="C6" s="2" t="s">
        <v>5036</v>
      </c>
      <c r="D6" s="2" t="s">
        <v>7165</v>
      </c>
      <c r="E6" s="2" t="s">
        <v>7166</v>
      </c>
      <c r="F6" s="2">
        <v>4</v>
      </c>
      <c r="G6" s="2" t="s">
        <v>7158</v>
      </c>
      <c r="H6" s="2">
        <v>0.1</v>
      </c>
      <c r="I6" s="2">
        <v>0.4</v>
      </c>
    </row>
    <row r="7" spans="1:9" ht="33.75" customHeight="1" x14ac:dyDescent="0.25">
      <c r="A7" s="3" t="s">
        <v>4374</v>
      </c>
      <c r="B7" s="3" t="s">
        <v>4373</v>
      </c>
      <c r="C7" s="3" t="s">
        <v>5036</v>
      </c>
      <c r="D7" s="3" t="s">
        <v>7167</v>
      </c>
      <c r="E7" s="3" t="s">
        <v>7168</v>
      </c>
      <c r="F7" s="3">
        <v>1</v>
      </c>
      <c r="G7" s="3" t="s">
        <v>7158</v>
      </c>
      <c r="H7" s="3">
        <v>0.2</v>
      </c>
      <c r="I7" s="3">
        <v>0.2</v>
      </c>
    </row>
    <row r="8" spans="1:9" ht="22.5" customHeight="1" x14ac:dyDescent="0.25">
      <c r="A8" s="2" t="s">
        <v>4374</v>
      </c>
      <c r="B8" s="2" t="s">
        <v>4373</v>
      </c>
      <c r="C8" s="2" t="s">
        <v>5036</v>
      </c>
      <c r="D8" s="2" t="s">
        <v>7169</v>
      </c>
      <c r="E8" s="2" t="s">
        <v>7170</v>
      </c>
      <c r="F8" s="2">
        <v>2</v>
      </c>
      <c r="G8" s="2" t="s">
        <v>7158</v>
      </c>
      <c r="H8" s="2">
        <v>1</v>
      </c>
      <c r="I8" s="2">
        <v>2</v>
      </c>
    </row>
    <row r="9" spans="1:9" ht="22.5" customHeight="1" x14ac:dyDescent="0.25">
      <c r="A9" s="3" t="s">
        <v>292</v>
      </c>
      <c r="B9" s="3" t="s">
        <v>291</v>
      </c>
      <c r="C9" s="3" t="s">
        <v>4700</v>
      </c>
      <c r="D9" s="3" t="s">
        <v>7153</v>
      </c>
      <c r="E9" s="3" t="s">
        <v>7154</v>
      </c>
      <c r="F9" s="3">
        <v>14</v>
      </c>
      <c r="G9" s="3" t="s">
        <v>7155</v>
      </c>
      <c r="H9" s="3">
        <v>1.24E-2</v>
      </c>
      <c r="I9" s="3">
        <v>0.1736</v>
      </c>
    </row>
    <row r="10" spans="1:9" ht="22.5" customHeight="1" x14ac:dyDescent="0.25">
      <c r="A10" s="2" t="s">
        <v>292</v>
      </c>
      <c r="B10" s="2" t="s">
        <v>291</v>
      </c>
      <c r="C10" s="2" t="s">
        <v>4700</v>
      </c>
      <c r="D10" s="2" t="s">
        <v>7156</v>
      </c>
      <c r="E10" s="2" t="s">
        <v>7157</v>
      </c>
      <c r="F10" s="2">
        <v>1</v>
      </c>
      <c r="G10" s="2" t="s">
        <v>7158</v>
      </c>
      <c r="H10" s="2">
        <v>26</v>
      </c>
      <c r="I10" s="2">
        <v>26</v>
      </c>
    </row>
    <row r="11" spans="1:9" ht="22.5" customHeight="1" x14ac:dyDescent="0.25">
      <c r="A11" s="3" t="s">
        <v>292</v>
      </c>
      <c r="B11" s="3" t="s">
        <v>291</v>
      </c>
      <c r="C11" s="3" t="s">
        <v>4700</v>
      </c>
      <c r="D11" s="3" t="s">
        <v>7159</v>
      </c>
      <c r="E11" s="3" t="s">
        <v>7160</v>
      </c>
      <c r="F11" s="3">
        <v>20</v>
      </c>
      <c r="G11" s="3" t="s">
        <v>7155</v>
      </c>
      <c r="H11" s="3">
        <v>1.8319999999999999E-2</v>
      </c>
      <c r="I11" s="3">
        <v>0.3664</v>
      </c>
    </row>
    <row r="12" spans="1:9" ht="22.5" customHeight="1" x14ac:dyDescent="0.25">
      <c r="A12" s="2" t="s">
        <v>292</v>
      </c>
      <c r="B12" s="2" t="s">
        <v>291</v>
      </c>
      <c r="C12" s="2" t="s">
        <v>4700</v>
      </c>
      <c r="D12" s="2" t="s">
        <v>7161</v>
      </c>
      <c r="E12" s="2" t="s">
        <v>7162</v>
      </c>
      <c r="F12" s="2">
        <v>0.186</v>
      </c>
      <c r="G12" s="2" t="s">
        <v>7163</v>
      </c>
      <c r="H12" s="2" t="s">
        <v>7164</v>
      </c>
      <c r="I12" s="2">
        <v>0.186</v>
      </c>
    </row>
    <row r="13" spans="1:9" ht="33.75" customHeight="1" x14ac:dyDescent="0.25">
      <c r="A13" s="3" t="s">
        <v>292</v>
      </c>
      <c r="B13" s="3" t="s">
        <v>291</v>
      </c>
      <c r="C13" s="3" t="s">
        <v>4700</v>
      </c>
      <c r="D13" s="3" t="s">
        <v>7165</v>
      </c>
      <c r="E13" s="3" t="s">
        <v>7166</v>
      </c>
      <c r="F13" s="3">
        <v>4</v>
      </c>
      <c r="G13" s="3" t="s">
        <v>7158</v>
      </c>
      <c r="H13" s="3">
        <v>0.1</v>
      </c>
      <c r="I13" s="3">
        <v>0.4</v>
      </c>
    </row>
    <row r="14" spans="1:9" ht="33.75" customHeight="1" x14ac:dyDescent="0.25">
      <c r="A14" s="2" t="s">
        <v>292</v>
      </c>
      <c r="B14" s="2" t="s">
        <v>291</v>
      </c>
      <c r="C14" s="2" t="s">
        <v>4700</v>
      </c>
      <c r="D14" s="2" t="s">
        <v>7167</v>
      </c>
      <c r="E14" s="2" t="s">
        <v>7168</v>
      </c>
      <c r="F14" s="2">
        <v>2</v>
      </c>
      <c r="G14" s="2" t="s">
        <v>7158</v>
      </c>
      <c r="H14" s="2">
        <v>0.2</v>
      </c>
      <c r="I14" s="2">
        <v>0.4</v>
      </c>
    </row>
    <row r="15" spans="1:9" ht="22.5" customHeight="1" x14ac:dyDescent="0.25">
      <c r="A15" s="3" t="s">
        <v>3878</v>
      </c>
      <c r="B15" s="3" t="s">
        <v>5078</v>
      </c>
      <c r="C15" s="3" t="s">
        <v>5010</v>
      </c>
      <c r="D15" s="3" t="s">
        <v>7153</v>
      </c>
      <c r="E15" s="3" t="s">
        <v>7154</v>
      </c>
      <c r="F15" s="3">
        <v>7</v>
      </c>
      <c r="G15" s="3" t="s">
        <v>7155</v>
      </c>
      <c r="H15" s="3">
        <v>1.24E-2</v>
      </c>
      <c r="I15" s="3">
        <v>8.6800000000000002E-2</v>
      </c>
    </row>
    <row r="16" spans="1:9" ht="22.5" customHeight="1" x14ac:dyDescent="0.25">
      <c r="A16" s="2" t="s">
        <v>3878</v>
      </c>
      <c r="B16" s="2" t="s">
        <v>5078</v>
      </c>
      <c r="C16" s="2" t="s">
        <v>5010</v>
      </c>
      <c r="D16" s="2" t="s">
        <v>7156</v>
      </c>
      <c r="E16" s="2" t="s">
        <v>7157</v>
      </c>
      <c r="F16" s="2">
        <v>1</v>
      </c>
      <c r="G16" s="2" t="s">
        <v>7158</v>
      </c>
      <c r="H16" s="2">
        <v>26</v>
      </c>
      <c r="I16" s="2">
        <v>26</v>
      </c>
    </row>
    <row r="17" spans="1:9" ht="22.5" customHeight="1" x14ac:dyDescent="0.25">
      <c r="A17" s="3" t="s">
        <v>3878</v>
      </c>
      <c r="B17" s="3" t="s">
        <v>5078</v>
      </c>
      <c r="C17" s="3" t="s">
        <v>5010</v>
      </c>
      <c r="D17" s="3" t="s">
        <v>7159</v>
      </c>
      <c r="E17" s="3" t="s">
        <v>7160</v>
      </c>
      <c r="F17" s="3">
        <v>20</v>
      </c>
      <c r="G17" s="3" t="s">
        <v>7155</v>
      </c>
      <c r="H17" s="3">
        <v>1.8319999999999999E-2</v>
      </c>
      <c r="I17" s="3">
        <v>0.3664</v>
      </c>
    </row>
    <row r="18" spans="1:9" ht="22.5" customHeight="1" x14ac:dyDescent="0.25">
      <c r="A18" s="2" t="s">
        <v>3878</v>
      </c>
      <c r="B18" s="2" t="s">
        <v>5078</v>
      </c>
      <c r="C18" s="2" t="s">
        <v>5010</v>
      </c>
      <c r="D18" s="2" t="s">
        <v>7161</v>
      </c>
      <c r="E18" s="2" t="s">
        <v>7162</v>
      </c>
      <c r="F18" s="2">
        <v>0.186</v>
      </c>
      <c r="G18" s="2" t="s">
        <v>7163</v>
      </c>
      <c r="H18" s="2" t="s">
        <v>7164</v>
      </c>
      <c r="I18" s="2">
        <v>0.186</v>
      </c>
    </row>
    <row r="19" spans="1:9" ht="33.75" customHeight="1" x14ac:dyDescent="0.25">
      <c r="A19" s="3" t="s">
        <v>3878</v>
      </c>
      <c r="B19" s="3" t="s">
        <v>5078</v>
      </c>
      <c r="C19" s="3" t="s">
        <v>5010</v>
      </c>
      <c r="D19" s="3" t="s">
        <v>7165</v>
      </c>
      <c r="E19" s="3" t="s">
        <v>7166</v>
      </c>
      <c r="F19" s="3">
        <v>2</v>
      </c>
      <c r="G19" s="3" t="s">
        <v>7158</v>
      </c>
      <c r="H19" s="3">
        <v>0.1</v>
      </c>
      <c r="I19" s="3">
        <v>0.2</v>
      </c>
    </row>
    <row r="20" spans="1:9" ht="33.75" customHeight="1" x14ac:dyDescent="0.25">
      <c r="A20" s="2" t="s">
        <v>3878</v>
      </c>
      <c r="B20" s="2" t="s">
        <v>5078</v>
      </c>
      <c r="C20" s="2" t="s">
        <v>5010</v>
      </c>
      <c r="D20" s="2" t="s">
        <v>7167</v>
      </c>
      <c r="E20" s="2" t="s">
        <v>7168</v>
      </c>
      <c r="F20" s="2">
        <v>1</v>
      </c>
      <c r="G20" s="2" t="s">
        <v>7158</v>
      </c>
      <c r="H20" s="2">
        <v>0.2</v>
      </c>
      <c r="I20" s="2">
        <v>0.2</v>
      </c>
    </row>
    <row r="21" spans="1:9" ht="22.5" customHeight="1" x14ac:dyDescent="0.25">
      <c r="A21" s="3" t="s">
        <v>3878</v>
      </c>
      <c r="B21" s="3" t="s">
        <v>5078</v>
      </c>
      <c r="C21" s="3" t="s">
        <v>5010</v>
      </c>
      <c r="D21" s="3" t="s">
        <v>7169</v>
      </c>
      <c r="E21" s="3" t="s">
        <v>7170</v>
      </c>
      <c r="F21" s="3">
        <v>2</v>
      </c>
      <c r="G21" s="3" t="s">
        <v>7158</v>
      </c>
      <c r="H21" s="3">
        <v>1</v>
      </c>
      <c r="I21" s="3">
        <v>2</v>
      </c>
    </row>
    <row r="22" spans="1:9" ht="22.5" customHeight="1" x14ac:dyDescent="0.25">
      <c r="A22" s="2" t="s">
        <v>4259</v>
      </c>
      <c r="B22" s="2" t="s">
        <v>4258</v>
      </c>
      <c r="C22" s="2" t="s">
        <v>5033</v>
      </c>
      <c r="D22" s="2" t="s">
        <v>7153</v>
      </c>
      <c r="E22" s="2" t="s">
        <v>7154</v>
      </c>
      <c r="F22" s="2">
        <v>14</v>
      </c>
      <c r="G22" s="2" t="s">
        <v>7155</v>
      </c>
      <c r="H22" s="2">
        <v>1.24E-2</v>
      </c>
      <c r="I22" s="2">
        <v>0.1736</v>
      </c>
    </row>
    <row r="23" spans="1:9" ht="22.5" customHeight="1" x14ac:dyDescent="0.25">
      <c r="A23" s="3" t="s">
        <v>4259</v>
      </c>
      <c r="B23" s="3" t="s">
        <v>4258</v>
      </c>
      <c r="C23" s="3" t="s">
        <v>5033</v>
      </c>
      <c r="D23" s="3" t="s">
        <v>7171</v>
      </c>
      <c r="E23" s="3" t="s">
        <v>7172</v>
      </c>
      <c r="F23" s="3">
        <v>18</v>
      </c>
      <c r="G23" s="3" t="s">
        <v>7158</v>
      </c>
      <c r="H23" s="3">
        <v>0.126</v>
      </c>
      <c r="I23" s="3">
        <v>2.2679999999999998</v>
      </c>
    </row>
    <row r="24" spans="1:9" ht="22.5" customHeight="1" x14ac:dyDescent="0.25">
      <c r="A24" s="2" t="s">
        <v>4259</v>
      </c>
      <c r="B24" s="2" t="s">
        <v>4258</v>
      </c>
      <c r="C24" s="2" t="s">
        <v>5033</v>
      </c>
      <c r="D24" s="2" t="s">
        <v>7156</v>
      </c>
      <c r="E24" s="2" t="s">
        <v>7157</v>
      </c>
      <c r="F24" s="2">
        <v>1</v>
      </c>
      <c r="G24" s="2" t="s">
        <v>7158</v>
      </c>
      <c r="H24" s="2">
        <v>26</v>
      </c>
      <c r="I24" s="2">
        <v>26</v>
      </c>
    </row>
    <row r="25" spans="1:9" ht="22.5" customHeight="1" x14ac:dyDescent="0.25">
      <c r="A25" s="3" t="s">
        <v>4259</v>
      </c>
      <c r="B25" s="3" t="s">
        <v>4258</v>
      </c>
      <c r="C25" s="3" t="s">
        <v>5033</v>
      </c>
      <c r="D25" s="3" t="s">
        <v>7159</v>
      </c>
      <c r="E25" s="3" t="s">
        <v>7160</v>
      </c>
      <c r="F25" s="3">
        <v>20</v>
      </c>
      <c r="G25" s="3" t="s">
        <v>7155</v>
      </c>
      <c r="H25" s="3">
        <v>1.8319999999999999E-2</v>
      </c>
      <c r="I25" s="3">
        <v>0.3664</v>
      </c>
    </row>
    <row r="26" spans="1:9" ht="22.5" customHeight="1" x14ac:dyDescent="0.25">
      <c r="A26" s="2" t="s">
        <v>4259</v>
      </c>
      <c r="B26" s="2" t="s">
        <v>4258</v>
      </c>
      <c r="C26" s="2" t="s">
        <v>5033</v>
      </c>
      <c r="D26" s="2" t="s">
        <v>7161</v>
      </c>
      <c r="E26" s="2" t="s">
        <v>7162</v>
      </c>
      <c r="F26" s="2">
        <v>0.186</v>
      </c>
      <c r="G26" s="2" t="s">
        <v>7163</v>
      </c>
      <c r="H26" s="2" t="s">
        <v>7164</v>
      </c>
      <c r="I26" s="2">
        <v>0.186</v>
      </c>
    </row>
    <row r="27" spans="1:9" ht="22.5" customHeight="1" x14ac:dyDescent="0.25">
      <c r="A27" s="3" t="s">
        <v>4259</v>
      </c>
      <c r="B27" s="3" t="s">
        <v>4258</v>
      </c>
      <c r="C27" s="3" t="s">
        <v>5033</v>
      </c>
      <c r="D27" s="3" t="s">
        <v>7173</v>
      </c>
      <c r="E27" s="3" t="s">
        <v>7174</v>
      </c>
      <c r="F27" s="3">
        <v>1.08</v>
      </c>
      <c r="G27" s="3" t="s">
        <v>7163</v>
      </c>
      <c r="H27" s="3" t="s">
        <v>7164</v>
      </c>
      <c r="I27" s="3">
        <v>1.08</v>
      </c>
    </row>
    <row r="28" spans="1:9" ht="33.75" customHeight="1" x14ac:dyDescent="0.25">
      <c r="A28" s="2" t="s">
        <v>4259</v>
      </c>
      <c r="B28" s="2" t="s">
        <v>4258</v>
      </c>
      <c r="C28" s="2" t="s">
        <v>5033</v>
      </c>
      <c r="D28" s="2" t="s">
        <v>7167</v>
      </c>
      <c r="E28" s="2" t="s">
        <v>7168</v>
      </c>
      <c r="F28" s="2">
        <v>4</v>
      </c>
      <c r="G28" s="2" t="s">
        <v>7158</v>
      </c>
      <c r="H28" s="2">
        <v>0.2</v>
      </c>
      <c r="I28" s="2">
        <v>0.8</v>
      </c>
    </row>
    <row r="29" spans="1:9" ht="33.75" customHeight="1" x14ac:dyDescent="0.25">
      <c r="A29" s="3" t="s">
        <v>4259</v>
      </c>
      <c r="B29" s="3" t="s">
        <v>4258</v>
      </c>
      <c r="C29" s="3" t="s">
        <v>5033</v>
      </c>
      <c r="D29" s="3" t="s">
        <v>7175</v>
      </c>
      <c r="E29" s="3" t="s">
        <v>7176</v>
      </c>
      <c r="F29" s="3">
        <v>4</v>
      </c>
      <c r="G29" s="3" t="s">
        <v>7158</v>
      </c>
      <c r="H29" s="3">
        <v>0.03</v>
      </c>
      <c r="I29" s="3">
        <v>0.12</v>
      </c>
    </row>
    <row r="30" spans="1:9" ht="33.75" customHeight="1" x14ac:dyDescent="0.25">
      <c r="A30" s="2" t="s">
        <v>4259</v>
      </c>
      <c r="B30" s="2" t="s">
        <v>4258</v>
      </c>
      <c r="C30" s="2" t="s">
        <v>5033</v>
      </c>
      <c r="D30" s="2" t="s">
        <v>7177</v>
      </c>
      <c r="E30" s="2" t="s">
        <v>7178</v>
      </c>
      <c r="F30" s="2">
        <v>4</v>
      </c>
      <c r="G30" s="2" t="s">
        <v>7158</v>
      </c>
      <c r="H30" s="2">
        <v>0.36</v>
      </c>
      <c r="I30" s="2">
        <v>1.44</v>
      </c>
    </row>
    <row r="31" spans="1:9" ht="22.5" customHeight="1" x14ac:dyDescent="0.25">
      <c r="A31" s="3" t="s">
        <v>2536</v>
      </c>
      <c r="B31" s="3" t="s">
        <v>5093</v>
      </c>
      <c r="C31" s="3" t="s">
        <v>4926</v>
      </c>
      <c r="D31" s="3" t="s">
        <v>7153</v>
      </c>
      <c r="E31" s="3" t="s">
        <v>7154</v>
      </c>
      <c r="F31" s="3">
        <v>14</v>
      </c>
      <c r="G31" s="3" t="s">
        <v>7155</v>
      </c>
      <c r="H31" s="3">
        <v>1.24E-2</v>
      </c>
      <c r="I31" s="3">
        <v>0.1736</v>
      </c>
    </row>
    <row r="32" spans="1:9" ht="22.5" customHeight="1" x14ac:dyDescent="0.25">
      <c r="A32" s="2" t="s">
        <v>2536</v>
      </c>
      <c r="B32" s="2" t="s">
        <v>5093</v>
      </c>
      <c r="C32" s="2" t="s">
        <v>4926</v>
      </c>
      <c r="D32" s="2" t="s">
        <v>7171</v>
      </c>
      <c r="E32" s="2" t="s">
        <v>7172</v>
      </c>
      <c r="F32" s="2">
        <v>18</v>
      </c>
      <c r="G32" s="2" t="s">
        <v>7158</v>
      </c>
      <c r="H32" s="2">
        <v>0.126</v>
      </c>
      <c r="I32" s="2">
        <v>2.2679999999999998</v>
      </c>
    </row>
    <row r="33" spans="1:9" ht="22.5" customHeight="1" x14ac:dyDescent="0.25">
      <c r="A33" s="3" t="s">
        <v>2536</v>
      </c>
      <c r="B33" s="3" t="s">
        <v>5093</v>
      </c>
      <c r="C33" s="3" t="s">
        <v>4926</v>
      </c>
      <c r="D33" s="3" t="s">
        <v>7156</v>
      </c>
      <c r="E33" s="3" t="s">
        <v>7157</v>
      </c>
      <c r="F33" s="3">
        <v>1</v>
      </c>
      <c r="G33" s="3" t="s">
        <v>7158</v>
      </c>
      <c r="H33" s="3">
        <v>26</v>
      </c>
      <c r="I33" s="3">
        <v>26</v>
      </c>
    </row>
    <row r="34" spans="1:9" ht="22.5" customHeight="1" x14ac:dyDescent="0.25">
      <c r="A34" s="2" t="s">
        <v>2536</v>
      </c>
      <c r="B34" s="2" t="s">
        <v>5093</v>
      </c>
      <c r="C34" s="2" t="s">
        <v>4926</v>
      </c>
      <c r="D34" s="2" t="s">
        <v>7159</v>
      </c>
      <c r="E34" s="2" t="s">
        <v>7160</v>
      </c>
      <c r="F34" s="2">
        <v>20</v>
      </c>
      <c r="G34" s="2" t="s">
        <v>7155</v>
      </c>
      <c r="H34" s="2">
        <v>1.8319999999999999E-2</v>
      </c>
      <c r="I34" s="2">
        <v>0.3664</v>
      </c>
    </row>
    <row r="35" spans="1:9" ht="22.5" customHeight="1" x14ac:dyDescent="0.25">
      <c r="A35" s="3" t="s">
        <v>2536</v>
      </c>
      <c r="B35" s="3" t="s">
        <v>5093</v>
      </c>
      <c r="C35" s="3" t="s">
        <v>4926</v>
      </c>
      <c r="D35" s="3" t="s">
        <v>7161</v>
      </c>
      <c r="E35" s="3" t="s">
        <v>7162</v>
      </c>
      <c r="F35" s="3">
        <v>0.186</v>
      </c>
      <c r="G35" s="3" t="s">
        <v>7163</v>
      </c>
      <c r="H35" s="3" t="s">
        <v>7164</v>
      </c>
      <c r="I35" s="3">
        <v>0.186</v>
      </c>
    </row>
    <row r="36" spans="1:9" ht="33.75" customHeight="1" x14ac:dyDescent="0.25">
      <c r="A36" s="2" t="s">
        <v>2536</v>
      </c>
      <c r="B36" s="2" t="s">
        <v>5093</v>
      </c>
      <c r="C36" s="2" t="s">
        <v>4926</v>
      </c>
      <c r="D36" s="2" t="s">
        <v>7165</v>
      </c>
      <c r="E36" s="2" t="s">
        <v>7166</v>
      </c>
      <c r="F36" s="2">
        <v>4</v>
      </c>
      <c r="G36" s="2" t="s">
        <v>7158</v>
      </c>
      <c r="H36" s="2">
        <v>0.1</v>
      </c>
      <c r="I36" s="2">
        <v>0.4</v>
      </c>
    </row>
    <row r="37" spans="1:9" ht="33.75" customHeight="1" x14ac:dyDescent="0.25">
      <c r="A37" s="3" t="s">
        <v>2536</v>
      </c>
      <c r="B37" s="3" t="s">
        <v>5093</v>
      </c>
      <c r="C37" s="3" t="s">
        <v>4926</v>
      </c>
      <c r="D37" s="3" t="s">
        <v>7167</v>
      </c>
      <c r="E37" s="3" t="s">
        <v>7168</v>
      </c>
      <c r="F37" s="3">
        <v>4</v>
      </c>
      <c r="G37" s="3" t="s">
        <v>7158</v>
      </c>
      <c r="H37" s="3">
        <v>0.2</v>
      </c>
      <c r="I37" s="3">
        <v>0.8</v>
      </c>
    </row>
    <row r="38" spans="1:9" ht="135" customHeight="1" x14ac:dyDescent="0.25">
      <c r="A38" s="2" t="s">
        <v>156</v>
      </c>
      <c r="B38" s="2" t="s">
        <v>5099</v>
      </c>
      <c r="C38" s="2" t="s">
        <v>4670</v>
      </c>
      <c r="D38" s="2" t="s">
        <v>7153</v>
      </c>
      <c r="E38" s="2" t="s">
        <v>7154</v>
      </c>
      <c r="F38" s="2">
        <v>7</v>
      </c>
      <c r="G38" s="2" t="s">
        <v>7155</v>
      </c>
      <c r="H38" s="2">
        <v>1.24E-2</v>
      </c>
      <c r="I38" s="2">
        <v>8.6800000000000002E-2</v>
      </c>
    </row>
    <row r="39" spans="1:9" ht="135" customHeight="1" x14ac:dyDescent="0.25">
      <c r="A39" s="3" t="s">
        <v>156</v>
      </c>
      <c r="B39" s="3" t="s">
        <v>5099</v>
      </c>
      <c r="C39" s="3" t="s">
        <v>4670</v>
      </c>
      <c r="D39" s="3" t="s">
        <v>7171</v>
      </c>
      <c r="E39" s="3" t="s">
        <v>7172</v>
      </c>
      <c r="F39" s="3">
        <v>18</v>
      </c>
      <c r="G39" s="3" t="s">
        <v>7158</v>
      </c>
      <c r="H39" s="3">
        <v>0.126</v>
      </c>
      <c r="I39" s="3">
        <v>2.2679999999999998</v>
      </c>
    </row>
    <row r="40" spans="1:9" ht="135" customHeight="1" x14ac:dyDescent="0.25">
      <c r="A40" s="2" t="s">
        <v>156</v>
      </c>
      <c r="B40" s="2" t="s">
        <v>5099</v>
      </c>
      <c r="C40" s="2" t="s">
        <v>4670</v>
      </c>
      <c r="D40" s="2" t="s">
        <v>7156</v>
      </c>
      <c r="E40" s="2" t="s">
        <v>7157</v>
      </c>
      <c r="F40" s="2">
        <v>1</v>
      </c>
      <c r="G40" s="2" t="s">
        <v>7158</v>
      </c>
      <c r="H40" s="2">
        <v>26</v>
      </c>
      <c r="I40" s="2">
        <v>26</v>
      </c>
    </row>
    <row r="41" spans="1:9" ht="135" customHeight="1" x14ac:dyDescent="0.25">
      <c r="A41" s="3" t="s">
        <v>156</v>
      </c>
      <c r="B41" s="3" t="s">
        <v>5099</v>
      </c>
      <c r="C41" s="3" t="s">
        <v>4670</v>
      </c>
      <c r="D41" s="3" t="s">
        <v>7159</v>
      </c>
      <c r="E41" s="3" t="s">
        <v>7160</v>
      </c>
      <c r="F41" s="3">
        <v>20</v>
      </c>
      <c r="G41" s="3" t="s">
        <v>7155</v>
      </c>
      <c r="H41" s="3">
        <v>1.8319999999999999E-2</v>
      </c>
      <c r="I41" s="3">
        <v>0.3664</v>
      </c>
    </row>
    <row r="42" spans="1:9" ht="135" customHeight="1" x14ac:dyDescent="0.25">
      <c r="A42" s="2" t="s">
        <v>156</v>
      </c>
      <c r="B42" s="2" t="s">
        <v>5099</v>
      </c>
      <c r="C42" s="2" t="s">
        <v>4670</v>
      </c>
      <c r="D42" s="2" t="s">
        <v>7161</v>
      </c>
      <c r="E42" s="2" t="s">
        <v>7162</v>
      </c>
      <c r="F42" s="2">
        <v>0.186</v>
      </c>
      <c r="G42" s="2" t="s">
        <v>7163</v>
      </c>
      <c r="H42" s="2" t="s">
        <v>7164</v>
      </c>
      <c r="I42" s="2">
        <v>0.186</v>
      </c>
    </row>
    <row r="43" spans="1:9" ht="135" customHeight="1" x14ac:dyDescent="0.25">
      <c r="A43" s="3" t="s">
        <v>156</v>
      </c>
      <c r="B43" s="3" t="s">
        <v>5099</v>
      </c>
      <c r="C43" s="3" t="s">
        <v>4670</v>
      </c>
      <c r="D43" s="3" t="s">
        <v>7173</v>
      </c>
      <c r="E43" s="3" t="s">
        <v>7174</v>
      </c>
      <c r="F43" s="3">
        <v>1.08</v>
      </c>
      <c r="G43" s="3" t="s">
        <v>7163</v>
      </c>
      <c r="H43" s="3" t="s">
        <v>7164</v>
      </c>
      <c r="I43" s="3">
        <v>1.08</v>
      </c>
    </row>
    <row r="44" spans="1:9" ht="135" customHeight="1" x14ac:dyDescent="0.25">
      <c r="A44" s="2" t="s">
        <v>156</v>
      </c>
      <c r="B44" s="2" t="s">
        <v>5099</v>
      </c>
      <c r="C44" s="2" t="s">
        <v>4670</v>
      </c>
      <c r="D44" s="2" t="s">
        <v>7165</v>
      </c>
      <c r="E44" s="2" t="s">
        <v>7166</v>
      </c>
      <c r="F44" s="2">
        <v>2</v>
      </c>
      <c r="G44" s="2" t="s">
        <v>7158</v>
      </c>
      <c r="H44" s="2">
        <v>0.1</v>
      </c>
      <c r="I44" s="2">
        <v>0.2</v>
      </c>
    </row>
    <row r="45" spans="1:9" ht="135" customHeight="1" x14ac:dyDescent="0.25">
      <c r="A45" s="3" t="s">
        <v>156</v>
      </c>
      <c r="B45" s="3" t="s">
        <v>5099</v>
      </c>
      <c r="C45" s="3" t="s">
        <v>4670</v>
      </c>
      <c r="D45" s="3" t="s">
        <v>7167</v>
      </c>
      <c r="E45" s="3" t="s">
        <v>7168</v>
      </c>
      <c r="F45" s="3">
        <v>4</v>
      </c>
      <c r="G45" s="3" t="s">
        <v>7158</v>
      </c>
      <c r="H45" s="3">
        <v>0.2</v>
      </c>
      <c r="I45" s="3">
        <v>0.8</v>
      </c>
    </row>
    <row r="46" spans="1:9" ht="33.75" customHeight="1" x14ac:dyDescent="0.25">
      <c r="A46" s="2" t="s">
        <v>3866</v>
      </c>
      <c r="B46" s="2" t="s">
        <v>5107</v>
      </c>
      <c r="C46" s="2" t="s">
        <v>5009</v>
      </c>
      <c r="D46" s="2" t="s">
        <v>7153</v>
      </c>
      <c r="E46" s="2" t="s">
        <v>7154</v>
      </c>
      <c r="F46" s="2">
        <v>7</v>
      </c>
      <c r="G46" s="2" t="s">
        <v>7155</v>
      </c>
      <c r="H46" s="2">
        <v>1.24E-2</v>
      </c>
      <c r="I46" s="2">
        <v>8.6800000000000002E-2</v>
      </c>
    </row>
    <row r="47" spans="1:9" ht="33.75" customHeight="1" x14ac:dyDescent="0.25">
      <c r="A47" s="3" t="s">
        <v>3866</v>
      </c>
      <c r="B47" s="3" t="s">
        <v>5107</v>
      </c>
      <c r="C47" s="3" t="s">
        <v>5009</v>
      </c>
      <c r="D47" s="3" t="s">
        <v>7156</v>
      </c>
      <c r="E47" s="3" t="s">
        <v>7157</v>
      </c>
      <c r="F47" s="3">
        <v>1</v>
      </c>
      <c r="G47" s="3" t="s">
        <v>7158</v>
      </c>
      <c r="H47" s="3">
        <v>26</v>
      </c>
      <c r="I47" s="3">
        <v>26</v>
      </c>
    </row>
    <row r="48" spans="1:9" ht="33.75" customHeight="1" x14ac:dyDescent="0.25">
      <c r="A48" s="2" t="s">
        <v>3866</v>
      </c>
      <c r="B48" s="2" t="s">
        <v>5107</v>
      </c>
      <c r="C48" s="2" t="s">
        <v>5009</v>
      </c>
      <c r="D48" s="2" t="s">
        <v>7159</v>
      </c>
      <c r="E48" s="2" t="s">
        <v>7160</v>
      </c>
      <c r="F48" s="2">
        <v>20</v>
      </c>
      <c r="G48" s="2" t="s">
        <v>7155</v>
      </c>
      <c r="H48" s="2">
        <v>1.8319999999999999E-2</v>
      </c>
      <c r="I48" s="2">
        <v>0.3664</v>
      </c>
    </row>
    <row r="49" spans="1:9" ht="33.75" customHeight="1" x14ac:dyDescent="0.25">
      <c r="A49" s="3" t="s">
        <v>3866</v>
      </c>
      <c r="B49" s="3" t="s">
        <v>5107</v>
      </c>
      <c r="C49" s="3" t="s">
        <v>5009</v>
      </c>
      <c r="D49" s="3" t="s">
        <v>7161</v>
      </c>
      <c r="E49" s="3" t="s">
        <v>7162</v>
      </c>
      <c r="F49" s="3">
        <v>0.186</v>
      </c>
      <c r="G49" s="3" t="s">
        <v>7163</v>
      </c>
      <c r="H49" s="3" t="s">
        <v>7164</v>
      </c>
      <c r="I49" s="3">
        <v>0.186</v>
      </c>
    </row>
    <row r="50" spans="1:9" ht="33.75" customHeight="1" x14ac:dyDescent="0.25">
      <c r="A50" s="2" t="s">
        <v>3866</v>
      </c>
      <c r="B50" s="2" t="s">
        <v>5107</v>
      </c>
      <c r="C50" s="2" t="s">
        <v>5009</v>
      </c>
      <c r="D50" s="2" t="s">
        <v>7165</v>
      </c>
      <c r="E50" s="2" t="s">
        <v>7166</v>
      </c>
      <c r="F50" s="2">
        <v>2</v>
      </c>
      <c r="G50" s="2" t="s">
        <v>7158</v>
      </c>
      <c r="H50" s="2">
        <v>0.1</v>
      </c>
      <c r="I50" s="2">
        <v>0.2</v>
      </c>
    </row>
    <row r="51" spans="1:9" ht="33.75" customHeight="1" x14ac:dyDescent="0.25">
      <c r="A51" s="3" t="s">
        <v>3866</v>
      </c>
      <c r="B51" s="3" t="s">
        <v>5107</v>
      </c>
      <c r="C51" s="3" t="s">
        <v>5009</v>
      </c>
      <c r="D51" s="3" t="s">
        <v>7167</v>
      </c>
      <c r="E51" s="3" t="s">
        <v>7168</v>
      </c>
      <c r="F51" s="3">
        <v>1</v>
      </c>
      <c r="G51" s="3" t="s">
        <v>7158</v>
      </c>
      <c r="H51" s="3">
        <v>0.2</v>
      </c>
      <c r="I51" s="3">
        <v>0.2</v>
      </c>
    </row>
    <row r="52" spans="1:9" ht="33.75" customHeight="1" x14ac:dyDescent="0.25">
      <c r="A52" s="2" t="s">
        <v>3866</v>
      </c>
      <c r="B52" s="2" t="s">
        <v>5107</v>
      </c>
      <c r="C52" s="2" t="s">
        <v>5009</v>
      </c>
      <c r="D52" s="2" t="s">
        <v>7169</v>
      </c>
      <c r="E52" s="2" t="s">
        <v>7170</v>
      </c>
      <c r="F52" s="2">
        <v>3</v>
      </c>
      <c r="G52" s="2" t="s">
        <v>7158</v>
      </c>
      <c r="H52" s="2">
        <v>1</v>
      </c>
      <c r="I52" s="2">
        <v>3</v>
      </c>
    </row>
    <row r="53" spans="1:9" ht="45" customHeight="1" x14ac:dyDescent="0.25">
      <c r="A53" s="3" t="s">
        <v>188</v>
      </c>
      <c r="B53" s="3" t="s">
        <v>5115</v>
      </c>
      <c r="C53" s="3" t="s">
        <v>4679</v>
      </c>
      <c r="D53" s="3" t="s">
        <v>7171</v>
      </c>
      <c r="E53" s="3" t="s">
        <v>7172</v>
      </c>
      <c r="F53" s="3">
        <v>18</v>
      </c>
      <c r="G53" s="3" t="s">
        <v>7158</v>
      </c>
      <c r="H53" s="3">
        <v>0.126</v>
      </c>
      <c r="I53" s="3">
        <v>2.2679999999999998</v>
      </c>
    </row>
    <row r="54" spans="1:9" ht="45" customHeight="1" x14ac:dyDescent="0.25">
      <c r="A54" s="2" t="s">
        <v>188</v>
      </c>
      <c r="B54" s="2" t="s">
        <v>5115</v>
      </c>
      <c r="C54" s="2" t="s">
        <v>4679</v>
      </c>
      <c r="D54" s="2" t="s">
        <v>7156</v>
      </c>
      <c r="E54" s="2" t="s">
        <v>7157</v>
      </c>
      <c r="F54" s="2">
        <v>1</v>
      </c>
      <c r="G54" s="2" t="s">
        <v>7158</v>
      </c>
      <c r="H54" s="2">
        <v>26</v>
      </c>
      <c r="I54" s="2">
        <v>26</v>
      </c>
    </row>
    <row r="55" spans="1:9" ht="45" customHeight="1" x14ac:dyDescent="0.25">
      <c r="A55" s="3" t="s">
        <v>188</v>
      </c>
      <c r="B55" s="3" t="s">
        <v>5115</v>
      </c>
      <c r="C55" s="3" t="s">
        <v>4679</v>
      </c>
      <c r="D55" s="3" t="s">
        <v>7159</v>
      </c>
      <c r="E55" s="3" t="s">
        <v>7160</v>
      </c>
      <c r="F55" s="3">
        <v>20</v>
      </c>
      <c r="G55" s="3" t="s">
        <v>7155</v>
      </c>
      <c r="H55" s="3">
        <v>1.8319999999999999E-2</v>
      </c>
      <c r="I55" s="3">
        <v>0.3664</v>
      </c>
    </row>
    <row r="56" spans="1:9" ht="45" customHeight="1" x14ac:dyDescent="0.25">
      <c r="A56" s="2" t="s">
        <v>188</v>
      </c>
      <c r="B56" s="2" t="s">
        <v>5115</v>
      </c>
      <c r="C56" s="2" t="s">
        <v>4679</v>
      </c>
      <c r="D56" s="2" t="s">
        <v>7161</v>
      </c>
      <c r="E56" s="2" t="s">
        <v>7162</v>
      </c>
      <c r="F56" s="2">
        <v>0.186</v>
      </c>
      <c r="G56" s="2" t="s">
        <v>7163</v>
      </c>
      <c r="H56" s="2" t="s">
        <v>7164</v>
      </c>
      <c r="I56" s="2">
        <v>0.186</v>
      </c>
    </row>
    <row r="57" spans="1:9" ht="45" customHeight="1" x14ac:dyDescent="0.25">
      <c r="A57" s="3" t="s">
        <v>188</v>
      </c>
      <c r="B57" s="3" t="s">
        <v>5115</v>
      </c>
      <c r="C57" s="3" t="s">
        <v>4679</v>
      </c>
      <c r="D57" s="3" t="s">
        <v>7173</v>
      </c>
      <c r="E57" s="3" t="s">
        <v>7174</v>
      </c>
      <c r="F57" s="3">
        <v>1.08</v>
      </c>
      <c r="G57" s="3" t="s">
        <v>7163</v>
      </c>
      <c r="H57" s="3" t="s">
        <v>7164</v>
      </c>
      <c r="I57" s="3">
        <v>1.08</v>
      </c>
    </row>
    <row r="58" spans="1:9" ht="45" customHeight="1" x14ac:dyDescent="0.25">
      <c r="A58" s="2" t="s">
        <v>188</v>
      </c>
      <c r="B58" s="2" t="s">
        <v>5115</v>
      </c>
      <c r="C58" s="2" t="s">
        <v>4679</v>
      </c>
      <c r="D58" s="2" t="s">
        <v>7167</v>
      </c>
      <c r="E58" s="2" t="s">
        <v>7168</v>
      </c>
      <c r="F58" s="2">
        <v>4</v>
      </c>
      <c r="G58" s="2" t="s">
        <v>7158</v>
      </c>
      <c r="H58" s="2">
        <v>0.2</v>
      </c>
      <c r="I58" s="2">
        <v>0.8</v>
      </c>
    </row>
    <row r="59" spans="1:9" x14ac:dyDescent="0.25">
      <c r="A59" s="3" t="s">
        <v>4183</v>
      </c>
      <c r="B59" s="3" t="s">
        <v>4182</v>
      </c>
      <c r="C59" s="3" t="s">
        <v>5027</v>
      </c>
      <c r="D59" s="3" t="s">
        <v>7153</v>
      </c>
      <c r="E59" s="3"/>
      <c r="F59" s="3">
        <v>14</v>
      </c>
      <c r="G59" s="3" t="s">
        <v>7155</v>
      </c>
      <c r="H59" s="3">
        <v>1.24E-2</v>
      </c>
      <c r="I59" s="3">
        <v>0.1736</v>
      </c>
    </row>
    <row r="60" spans="1:9" x14ac:dyDescent="0.25">
      <c r="A60" s="2" t="s">
        <v>4183</v>
      </c>
      <c r="B60" s="2" t="s">
        <v>4182</v>
      </c>
      <c r="C60" s="2" t="s">
        <v>5027</v>
      </c>
      <c r="D60" s="2" t="s">
        <v>7171</v>
      </c>
      <c r="E60" s="2"/>
      <c r="F60" s="2">
        <v>18</v>
      </c>
      <c r="G60" s="2" t="s">
        <v>7158</v>
      </c>
      <c r="H60" s="2">
        <v>0.126</v>
      </c>
      <c r="I60" s="2">
        <v>2.2679999999999998</v>
      </c>
    </row>
    <row r="61" spans="1:9" x14ac:dyDescent="0.25">
      <c r="A61" s="3" t="s">
        <v>4183</v>
      </c>
      <c r="B61" s="3" t="s">
        <v>4182</v>
      </c>
      <c r="C61" s="3" t="s">
        <v>5027</v>
      </c>
      <c r="D61" s="3" t="s">
        <v>7156</v>
      </c>
      <c r="E61" s="3"/>
      <c r="F61" s="3">
        <v>1</v>
      </c>
      <c r="G61" s="3" t="s">
        <v>7158</v>
      </c>
      <c r="H61" s="3">
        <v>26</v>
      </c>
      <c r="I61" s="3">
        <v>26</v>
      </c>
    </row>
    <row r="62" spans="1:9" x14ac:dyDescent="0.25">
      <c r="A62" s="2" t="s">
        <v>4183</v>
      </c>
      <c r="B62" s="2" t="s">
        <v>4182</v>
      </c>
      <c r="C62" s="2" t="s">
        <v>5027</v>
      </c>
      <c r="D62" s="2" t="s">
        <v>7159</v>
      </c>
      <c r="E62" s="2"/>
      <c r="F62" s="2">
        <v>20</v>
      </c>
      <c r="G62" s="2" t="s">
        <v>7155</v>
      </c>
      <c r="H62" s="2">
        <v>1.8319999999999999E-2</v>
      </c>
      <c r="I62" s="2">
        <v>0.3664</v>
      </c>
    </row>
    <row r="63" spans="1:9" x14ac:dyDescent="0.25">
      <c r="A63" s="3" t="s">
        <v>4183</v>
      </c>
      <c r="B63" s="3" t="s">
        <v>4182</v>
      </c>
      <c r="C63" s="3" t="s">
        <v>5027</v>
      </c>
      <c r="D63" s="3" t="s">
        <v>7161</v>
      </c>
      <c r="E63" s="3"/>
      <c r="F63" s="3">
        <v>0.186</v>
      </c>
      <c r="G63" s="3" t="s">
        <v>7163</v>
      </c>
      <c r="H63" s="3">
        <v>0</v>
      </c>
      <c r="I63" s="3">
        <v>0</v>
      </c>
    </row>
    <row r="64" spans="1:9" x14ac:dyDescent="0.25">
      <c r="A64" s="2" t="s">
        <v>4183</v>
      </c>
      <c r="B64" s="2" t="s">
        <v>4182</v>
      </c>
      <c r="C64" s="2" t="s">
        <v>5027</v>
      </c>
      <c r="D64" s="2" t="s">
        <v>7173</v>
      </c>
      <c r="E64" s="2"/>
      <c r="F64" s="2">
        <v>1.08</v>
      </c>
      <c r="G64" s="2" t="s">
        <v>7163</v>
      </c>
      <c r="H64" s="2">
        <v>0</v>
      </c>
      <c r="I64" s="2">
        <v>0</v>
      </c>
    </row>
    <row r="65" spans="1:9" x14ac:dyDescent="0.25">
      <c r="A65" s="3" t="s">
        <v>4183</v>
      </c>
      <c r="B65" s="3" t="s">
        <v>4182</v>
      </c>
      <c r="C65" s="3" t="s">
        <v>5027</v>
      </c>
      <c r="D65" s="3" t="s">
        <v>7165</v>
      </c>
      <c r="E65" s="3"/>
      <c r="F65" s="3">
        <v>4</v>
      </c>
      <c r="G65" s="3" t="s">
        <v>7158</v>
      </c>
      <c r="H65" s="3">
        <v>0.1</v>
      </c>
      <c r="I65" s="3">
        <v>0.4</v>
      </c>
    </row>
    <row r="66" spans="1:9" x14ac:dyDescent="0.25">
      <c r="A66" s="2" t="s">
        <v>4183</v>
      </c>
      <c r="B66" s="2" t="s">
        <v>4182</v>
      </c>
      <c r="C66" s="2" t="s">
        <v>5027</v>
      </c>
      <c r="D66" s="2" t="s">
        <v>7167</v>
      </c>
      <c r="E66" s="2"/>
      <c r="F66" s="2">
        <v>4</v>
      </c>
      <c r="G66" s="2" t="s">
        <v>7158</v>
      </c>
      <c r="H66" s="2">
        <v>0.2</v>
      </c>
      <c r="I66" s="2">
        <v>0.8</v>
      </c>
    </row>
    <row r="67" spans="1:9" x14ac:dyDescent="0.25">
      <c r="A67" s="3" t="s">
        <v>4183</v>
      </c>
      <c r="B67" s="3" t="s">
        <v>4182</v>
      </c>
      <c r="C67" s="3" t="s">
        <v>5027</v>
      </c>
      <c r="D67" s="3" t="s">
        <v>7179</v>
      </c>
      <c r="E67" s="3"/>
      <c r="F67" s="3">
        <v>18</v>
      </c>
      <c r="G67" s="3" t="s">
        <v>7158</v>
      </c>
      <c r="H67" s="3">
        <v>1.08E-3</v>
      </c>
      <c r="I67" s="3">
        <v>1.9439999999999999E-2</v>
      </c>
    </row>
    <row r="68" spans="1:9" x14ac:dyDescent="0.25">
      <c r="A68" s="2" t="s">
        <v>566</v>
      </c>
      <c r="B68" s="2" t="s">
        <v>565</v>
      </c>
      <c r="C68" s="2" t="s">
        <v>4754</v>
      </c>
      <c r="D68" s="2" t="s">
        <v>7153</v>
      </c>
      <c r="E68" s="2"/>
      <c r="F68" s="2">
        <v>14</v>
      </c>
      <c r="G68" s="2" t="s">
        <v>7155</v>
      </c>
      <c r="H68" s="2">
        <v>1.24E-2</v>
      </c>
      <c r="I68" s="2">
        <v>0.1736</v>
      </c>
    </row>
    <row r="69" spans="1:9" x14ac:dyDescent="0.25">
      <c r="A69" s="3" t="s">
        <v>566</v>
      </c>
      <c r="B69" s="3" t="s">
        <v>565</v>
      </c>
      <c r="C69" s="3" t="s">
        <v>4754</v>
      </c>
      <c r="D69" s="3" t="s">
        <v>7180</v>
      </c>
      <c r="E69" s="3"/>
      <c r="F69" s="3">
        <v>18</v>
      </c>
      <c r="G69" s="3" t="s">
        <v>7158</v>
      </c>
      <c r="H69" s="3">
        <v>0.19238</v>
      </c>
      <c r="I69" s="3">
        <v>3.4628399999999999</v>
      </c>
    </row>
    <row r="70" spans="1:9" x14ac:dyDescent="0.25">
      <c r="A70" s="2" t="s">
        <v>566</v>
      </c>
      <c r="B70" s="2" t="s">
        <v>565</v>
      </c>
      <c r="C70" s="2" t="s">
        <v>4754</v>
      </c>
      <c r="D70" s="2" t="s">
        <v>7156</v>
      </c>
      <c r="E70" s="2"/>
      <c r="F70" s="2">
        <v>1</v>
      </c>
      <c r="G70" s="2" t="s">
        <v>7158</v>
      </c>
      <c r="H70" s="2">
        <v>26</v>
      </c>
      <c r="I70" s="2">
        <v>26</v>
      </c>
    </row>
    <row r="71" spans="1:9" x14ac:dyDescent="0.25">
      <c r="A71" s="3" t="s">
        <v>566</v>
      </c>
      <c r="B71" s="3" t="s">
        <v>565</v>
      </c>
      <c r="C71" s="3" t="s">
        <v>4754</v>
      </c>
      <c r="D71" s="3" t="s">
        <v>7159</v>
      </c>
      <c r="E71" s="3"/>
      <c r="F71" s="3">
        <v>20</v>
      </c>
      <c r="G71" s="3" t="s">
        <v>7155</v>
      </c>
      <c r="H71" s="3">
        <v>1.8319999999999999E-2</v>
      </c>
      <c r="I71" s="3">
        <v>0.3664</v>
      </c>
    </row>
    <row r="72" spans="1:9" x14ac:dyDescent="0.25">
      <c r="A72" s="2" t="s">
        <v>566</v>
      </c>
      <c r="B72" s="2" t="s">
        <v>565</v>
      </c>
      <c r="C72" s="2" t="s">
        <v>4754</v>
      </c>
      <c r="D72" s="2" t="s">
        <v>7161</v>
      </c>
      <c r="E72" s="2"/>
      <c r="F72" s="2">
        <v>0.186</v>
      </c>
      <c r="G72" s="2" t="s">
        <v>7163</v>
      </c>
      <c r="H72" s="2">
        <v>0</v>
      </c>
      <c r="I72" s="2">
        <v>0</v>
      </c>
    </row>
    <row r="73" spans="1:9" x14ac:dyDescent="0.25">
      <c r="A73" s="3" t="s">
        <v>566</v>
      </c>
      <c r="B73" s="3" t="s">
        <v>565</v>
      </c>
      <c r="C73" s="3" t="s">
        <v>4754</v>
      </c>
      <c r="D73" s="3" t="s">
        <v>7173</v>
      </c>
      <c r="E73" s="3"/>
      <c r="F73" s="3">
        <v>1.08</v>
      </c>
      <c r="G73" s="3" t="s">
        <v>7163</v>
      </c>
      <c r="H73" s="3">
        <v>0</v>
      </c>
      <c r="I73" s="3">
        <v>0</v>
      </c>
    </row>
    <row r="74" spans="1:9" x14ac:dyDescent="0.25">
      <c r="A74" s="2" t="s">
        <v>566</v>
      </c>
      <c r="B74" s="2" t="s">
        <v>565</v>
      </c>
      <c r="C74" s="2" t="s">
        <v>4754</v>
      </c>
      <c r="D74" s="2" t="s">
        <v>7167</v>
      </c>
      <c r="E74" s="2"/>
      <c r="F74" s="2">
        <v>4</v>
      </c>
      <c r="G74" s="2" t="s">
        <v>7158</v>
      </c>
      <c r="H74" s="2">
        <v>0.2</v>
      </c>
      <c r="I74" s="2">
        <v>0.8</v>
      </c>
    </row>
    <row r="75" spans="1:9" x14ac:dyDescent="0.25">
      <c r="A75" s="3" t="s">
        <v>566</v>
      </c>
      <c r="B75" s="3" t="s">
        <v>565</v>
      </c>
      <c r="C75" s="3" t="s">
        <v>4754</v>
      </c>
      <c r="D75" s="3" t="s">
        <v>7175</v>
      </c>
      <c r="E75" s="3"/>
      <c r="F75" s="3">
        <v>4</v>
      </c>
      <c r="G75" s="3" t="s">
        <v>7158</v>
      </c>
      <c r="H75" s="3">
        <v>0.03</v>
      </c>
      <c r="I75" s="3">
        <v>0.12</v>
      </c>
    </row>
    <row r="76" spans="1:9" x14ac:dyDescent="0.25">
      <c r="A76" s="2" t="s">
        <v>566</v>
      </c>
      <c r="B76" s="2" t="s">
        <v>565</v>
      </c>
      <c r="C76" s="2" t="s">
        <v>4754</v>
      </c>
      <c r="D76" s="2" t="s">
        <v>7177</v>
      </c>
      <c r="E76" s="2"/>
      <c r="F76" s="2">
        <v>4</v>
      </c>
      <c r="G76" s="2" t="s">
        <v>7158</v>
      </c>
      <c r="H76" s="2">
        <v>0.36</v>
      </c>
      <c r="I76" s="2">
        <v>1.44</v>
      </c>
    </row>
    <row r="77" spans="1:9" x14ac:dyDescent="0.25">
      <c r="A77" s="3" t="s">
        <v>566</v>
      </c>
      <c r="B77" s="3" t="s">
        <v>565</v>
      </c>
      <c r="C77" s="3" t="s">
        <v>4754</v>
      </c>
      <c r="D77" s="3" t="s">
        <v>7181</v>
      </c>
      <c r="E77" s="3"/>
      <c r="F77" s="3">
        <v>18</v>
      </c>
      <c r="G77" s="3" t="s">
        <v>7158</v>
      </c>
      <c r="H77" s="3">
        <v>1.08E-3</v>
      </c>
      <c r="I77" s="3">
        <v>1.9439999999999999E-2</v>
      </c>
    </row>
    <row r="78" spans="1:9" x14ac:dyDescent="0.25">
      <c r="A78" s="2" t="s">
        <v>566</v>
      </c>
      <c r="B78" s="2" t="s">
        <v>565</v>
      </c>
      <c r="C78" s="2" t="s">
        <v>4754</v>
      </c>
      <c r="D78" s="2" t="s">
        <v>7179</v>
      </c>
      <c r="E78" s="2"/>
      <c r="F78" s="2">
        <v>18</v>
      </c>
      <c r="G78" s="2" t="s">
        <v>7158</v>
      </c>
      <c r="H78" s="2">
        <v>1.08E-3</v>
      </c>
      <c r="I78" s="2">
        <v>1.9439999999999999E-2</v>
      </c>
    </row>
    <row r="79" spans="1:9" ht="22.5" customHeight="1" x14ac:dyDescent="0.25">
      <c r="A79" s="3" t="s">
        <v>578</v>
      </c>
      <c r="B79" s="3" t="s">
        <v>577</v>
      </c>
      <c r="C79" s="3" t="s">
        <v>4758</v>
      </c>
      <c r="D79" s="3" t="s">
        <v>7153</v>
      </c>
      <c r="E79" s="3" t="s">
        <v>7154</v>
      </c>
      <c r="F79" s="3">
        <v>14</v>
      </c>
      <c r="G79" s="3" t="s">
        <v>7155</v>
      </c>
      <c r="H79" s="3">
        <v>1.24E-2</v>
      </c>
      <c r="I79" s="3">
        <v>0.1736</v>
      </c>
    </row>
    <row r="80" spans="1:9" ht="22.5" customHeight="1" x14ac:dyDescent="0.25">
      <c r="A80" s="2" t="s">
        <v>578</v>
      </c>
      <c r="B80" s="2" t="s">
        <v>577</v>
      </c>
      <c r="C80" s="2" t="s">
        <v>4758</v>
      </c>
      <c r="D80" s="2" t="s">
        <v>7182</v>
      </c>
      <c r="E80" s="2" t="s">
        <v>7183</v>
      </c>
      <c r="F80" s="2">
        <v>21</v>
      </c>
      <c r="G80" s="2" t="s">
        <v>7158</v>
      </c>
      <c r="H80" s="2">
        <v>0.10161000000000001</v>
      </c>
      <c r="I80" s="2">
        <v>2.13381</v>
      </c>
    </row>
    <row r="81" spans="1:9" ht="22.5" customHeight="1" x14ac:dyDescent="0.25">
      <c r="A81" s="3" t="s">
        <v>578</v>
      </c>
      <c r="B81" s="3" t="s">
        <v>577</v>
      </c>
      <c r="C81" s="3" t="s">
        <v>4758</v>
      </c>
      <c r="D81" s="3" t="s">
        <v>7156</v>
      </c>
      <c r="E81" s="3" t="s">
        <v>7157</v>
      </c>
      <c r="F81" s="3">
        <v>1</v>
      </c>
      <c r="G81" s="3" t="s">
        <v>7158</v>
      </c>
      <c r="H81" s="3">
        <v>26</v>
      </c>
      <c r="I81" s="3">
        <v>26</v>
      </c>
    </row>
    <row r="82" spans="1:9" ht="22.5" customHeight="1" x14ac:dyDescent="0.25">
      <c r="A82" s="2" t="s">
        <v>578</v>
      </c>
      <c r="B82" s="2" t="s">
        <v>577</v>
      </c>
      <c r="C82" s="2" t="s">
        <v>4758</v>
      </c>
      <c r="D82" s="2" t="s">
        <v>7159</v>
      </c>
      <c r="E82" s="2" t="s">
        <v>7160</v>
      </c>
      <c r="F82" s="2">
        <v>20</v>
      </c>
      <c r="G82" s="2" t="s">
        <v>7155</v>
      </c>
      <c r="H82" s="2">
        <v>1.8319999999999999E-2</v>
      </c>
      <c r="I82" s="2">
        <v>0.3664</v>
      </c>
    </row>
    <row r="83" spans="1:9" ht="22.5" customHeight="1" x14ac:dyDescent="0.25">
      <c r="A83" s="3" t="s">
        <v>578</v>
      </c>
      <c r="B83" s="3" t="s">
        <v>577</v>
      </c>
      <c r="C83" s="3" t="s">
        <v>4758</v>
      </c>
      <c r="D83" s="3" t="s">
        <v>7161</v>
      </c>
      <c r="E83" s="3" t="s">
        <v>7162</v>
      </c>
      <c r="F83" s="3">
        <v>0.186</v>
      </c>
      <c r="G83" s="3" t="s">
        <v>7163</v>
      </c>
      <c r="H83" s="3" t="s">
        <v>7164</v>
      </c>
      <c r="I83" s="3">
        <v>0.186</v>
      </c>
    </row>
    <row r="84" spans="1:9" ht="22.5" customHeight="1" x14ac:dyDescent="0.25">
      <c r="A84" s="2" t="s">
        <v>578</v>
      </c>
      <c r="B84" s="2" t="s">
        <v>577</v>
      </c>
      <c r="C84" s="2" t="s">
        <v>4758</v>
      </c>
      <c r="D84" s="2" t="s">
        <v>7173</v>
      </c>
      <c r="E84" s="2" t="s">
        <v>7174</v>
      </c>
      <c r="F84" s="2">
        <v>1.155</v>
      </c>
      <c r="G84" s="2" t="s">
        <v>7163</v>
      </c>
      <c r="H84" s="2" t="s">
        <v>7164</v>
      </c>
      <c r="I84" s="2">
        <v>1.155</v>
      </c>
    </row>
    <row r="85" spans="1:9" ht="33.75" customHeight="1" x14ac:dyDescent="0.25">
      <c r="A85" s="3" t="s">
        <v>578</v>
      </c>
      <c r="B85" s="3" t="s">
        <v>577</v>
      </c>
      <c r="C85" s="3" t="s">
        <v>4758</v>
      </c>
      <c r="D85" s="3" t="s">
        <v>7167</v>
      </c>
      <c r="E85" s="3" t="s">
        <v>7168</v>
      </c>
      <c r="F85" s="3">
        <v>4</v>
      </c>
      <c r="G85" s="3" t="s">
        <v>7158</v>
      </c>
      <c r="H85" s="3">
        <v>0.2</v>
      </c>
      <c r="I85" s="3">
        <v>0.8</v>
      </c>
    </row>
    <row r="86" spans="1:9" ht="33.75" customHeight="1" x14ac:dyDescent="0.25">
      <c r="A86" s="2" t="s">
        <v>578</v>
      </c>
      <c r="B86" s="2" t="s">
        <v>577</v>
      </c>
      <c r="C86" s="2" t="s">
        <v>4758</v>
      </c>
      <c r="D86" s="2" t="s">
        <v>7175</v>
      </c>
      <c r="E86" s="2" t="s">
        <v>7176</v>
      </c>
      <c r="F86" s="2">
        <v>4</v>
      </c>
      <c r="G86" s="2" t="s">
        <v>7158</v>
      </c>
      <c r="H86" s="2">
        <v>0.03</v>
      </c>
      <c r="I86" s="2">
        <v>0.12</v>
      </c>
    </row>
    <row r="87" spans="1:9" ht="33.75" customHeight="1" x14ac:dyDescent="0.25">
      <c r="A87" s="3" t="s">
        <v>578</v>
      </c>
      <c r="B87" s="3" t="s">
        <v>577</v>
      </c>
      <c r="C87" s="3" t="s">
        <v>4758</v>
      </c>
      <c r="D87" s="3" t="s">
        <v>7177</v>
      </c>
      <c r="E87" s="3" t="s">
        <v>7178</v>
      </c>
      <c r="F87" s="3">
        <v>4</v>
      </c>
      <c r="G87" s="3" t="s">
        <v>7158</v>
      </c>
      <c r="H87" s="3">
        <v>0.36</v>
      </c>
      <c r="I87" s="3">
        <v>1.44</v>
      </c>
    </row>
    <row r="88" spans="1:9" ht="22.5" customHeight="1" x14ac:dyDescent="0.25">
      <c r="A88" s="2" t="s">
        <v>2532</v>
      </c>
      <c r="B88" s="2" t="s">
        <v>5142</v>
      </c>
      <c r="C88" s="2" t="s">
        <v>4925</v>
      </c>
      <c r="D88" s="2" t="s">
        <v>7153</v>
      </c>
      <c r="E88" s="2" t="s">
        <v>7154</v>
      </c>
      <c r="F88" s="2">
        <v>14</v>
      </c>
      <c r="G88" s="2" t="s">
        <v>7155</v>
      </c>
      <c r="H88" s="2">
        <v>1.24E-2</v>
      </c>
      <c r="I88" s="2">
        <v>0.1736</v>
      </c>
    </row>
    <row r="89" spans="1:9" ht="22.5" customHeight="1" x14ac:dyDescent="0.25">
      <c r="A89" s="3" t="s">
        <v>2532</v>
      </c>
      <c r="B89" s="3" t="s">
        <v>5142</v>
      </c>
      <c r="C89" s="3" t="s">
        <v>4925</v>
      </c>
      <c r="D89" s="3" t="s">
        <v>7184</v>
      </c>
      <c r="E89" s="3" t="s">
        <v>7185</v>
      </c>
      <c r="F89" s="3">
        <v>21</v>
      </c>
      <c r="G89" s="3" t="s">
        <v>7158</v>
      </c>
      <c r="H89" s="3">
        <v>9.4E-2</v>
      </c>
      <c r="I89" s="3">
        <v>1.974</v>
      </c>
    </row>
    <row r="90" spans="1:9" ht="22.5" customHeight="1" x14ac:dyDescent="0.25">
      <c r="A90" s="2" t="s">
        <v>2532</v>
      </c>
      <c r="B90" s="2" t="s">
        <v>5142</v>
      </c>
      <c r="C90" s="2" t="s">
        <v>4925</v>
      </c>
      <c r="D90" s="2" t="s">
        <v>7156</v>
      </c>
      <c r="E90" s="2" t="s">
        <v>7157</v>
      </c>
      <c r="F90" s="2">
        <v>1</v>
      </c>
      <c r="G90" s="2" t="s">
        <v>7158</v>
      </c>
      <c r="H90" s="2">
        <v>26</v>
      </c>
      <c r="I90" s="2">
        <v>26</v>
      </c>
    </row>
    <row r="91" spans="1:9" ht="22.5" customHeight="1" x14ac:dyDescent="0.25">
      <c r="A91" s="3" t="s">
        <v>2532</v>
      </c>
      <c r="B91" s="3" t="s">
        <v>5142</v>
      </c>
      <c r="C91" s="3" t="s">
        <v>4925</v>
      </c>
      <c r="D91" s="3" t="s">
        <v>7159</v>
      </c>
      <c r="E91" s="3" t="s">
        <v>7160</v>
      </c>
      <c r="F91" s="3">
        <v>20</v>
      </c>
      <c r="G91" s="3" t="s">
        <v>7155</v>
      </c>
      <c r="H91" s="3">
        <v>1.8319999999999999E-2</v>
      </c>
      <c r="I91" s="3">
        <v>0.3664</v>
      </c>
    </row>
    <row r="92" spans="1:9" ht="22.5" customHeight="1" x14ac:dyDescent="0.25">
      <c r="A92" s="2" t="s">
        <v>2532</v>
      </c>
      <c r="B92" s="2" t="s">
        <v>5142</v>
      </c>
      <c r="C92" s="2" t="s">
        <v>4925</v>
      </c>
      <c r="D92" s="2" t="s">
        <v>7161</v>
      </c>
      <c r="E92" s="2" t="s">
        <v>7162</v>
      </c>
      <c r="F92" s="2">
        <v>0.186</v>
      </c>
      <c r="G92" s="2" t="s">
        <v>7163</v>
      </c>
      <c r="H92" s="2" t="s">
        <v>7164</v>
      </c>
      <c r="I92" s="2">
        <v>0.186</v>
      </c>
    </row>
    <row r="93" spans="1:9" ht="33.75" customHeight="1" x14ac:dyDescent="0.25">
      <c r="A93" s="3" t="s">
        <v>2532</v>
      </c>
      <c r="B93" s="3" t="s">
        <v>5142</v>
      </c>
      <c r="C93" s="3" t="s">
        <v>4925</v>
      </c>
      <c r="D93" s="3" t="s">
        <v>7165</v>
      </c>
      <c r="E93" s="3" t="s">
        <v>7166</v>
      </c>
      <c r="F93" s="3">
        <v>4</v>
      </c>
      <c r="G93" s="3" t="s">
        <v>7158</v>
      </c>
      <c r="H93" s="3">
        <v>0.1</v>
      </c>
      <c r="I93" s="3">
        <v>0.4</v>
      </c>
    </row>
    <row r="94" spans="1:9" ht="33.75" customHeight="1" x14ac:dyDescent="0.25">
      <c r="A94" s="2" t="s">
        <v>2532</v>
      </c>
      <c r="B94" s="2" t="s">
        <v>5142</v>
      </c>
      <c r="C94" s="2" t="s">
        <v>4925</v>
      </c>
      <c r="D94" s="2" t="s">
        <v>7167</v>
      </c>
      <c r="E94" s="2" t="s">
        <v>7168</v>
      </c>
      <c r="F94" s="2">
        <v>4</v>
      </c>
      <c r="G94" s="2" t="s">
        <v>7158</v>
      </c>
      <c r="H94" s="2">
        <v>0.2</v>
      </c>
      <c r="I94" s="2">
        <v>0.8</v>
      </c>
    </row>
    <row r="95" spans="1:9" ht="123.75" customHeight="1" x14ac:dyDescent="0.25">
      <c r="A95" s="3" t="s">
        <v>112</v>
      </c>
      <c r="B95" s="3" t="s">
        <v>5150</v>
      </c>
      <c r="C95" s="3" t="s">
        <v>4660</v>
      </c>
      <c r="D95" s="3" t="s">
        <v>7153</v>
      </c>
      <c r="E95" s="3" t="s">
        <v>7154</v>
      </c>
      <c r="F95" s="3">
        <v>7</v>
      </c>
      <c r="G95" s="3" t="s">
        <v>7155</v>
      </c>
      <c r="H95" s="3">
        <v>1.24E-2</v>
      </c>
      <c r="I95" s="3">
        <v>8.6800000000000002E-2</v>
      </c>
    </row>
    <row r="96" spans="1:9" ht="123.75" customHeight="1" x14ac:dyDescent="0.25">
      <c r="A96" s="2" t="s">
        <v>112</v>
      </c>
      <c r="B96" s="2" t="s">
        <v>5150</v>
      </c>
      <c r="C96" s="2" t="s">
        <v>4660</v>
      </c>
      <c r="D96" s="2" t="s">
        <v>7184</v>
      </c>
      <c r="E96" s="2" t="s">
        <v>7185</v>
      </c>
      <c r="F96" s="2">
        <v>21</v>
      </c>
      <c r="G96" s="2" t="s">
        <v>7158</v>
      </c>
      <c r="H96" s="2">
        <v>9.4E-2</v>
      </c>
      <c r="I96" s="2">
        <v>1.974</v>
      </c>
    </row>
    <row r="97" spans="1:9" ht="123.75" customHeight="1" x14ac:dyDescent="0.25">
      <c r="A97" s="3" t="s">
        <v>112</v>
      </c>
      <c r="B97" s="3" t="s">
        <v>5150</v>
      </c>
      <c r="C97" s="3" t="s">
        <v>4660</v>
      </c>
      <c r="D97" s="3" t="s">
        <v>7156</v>
      </c>
      <c r="E97" s="3" t="s">
        <v>7157</v>
      </c>
      <c r="F97" s="3">
        <v>1</v>
      </c>
      <c r="G97" s="3" t="s">
        <v>7158</v>
      </c>
      <c r="H97" s="3">
        <v>26</v>
      </c>
      <c r="I97" s="3">
        <v>26</v>
      </c>
    </row>
    <row r="98" spans="1:9" ht="123.75" customHeight="1" x14ac:dyDescent="0.25">
      <c r="A98" s="2" t="s">
        <v>112</v>
      </c>
      <c r="B98" s="2" t="s">
        <v>5150</v>
      </c>
      <c r="C98" s="2" t="s">
        <v>4660</v>
      </c>
      <c r="D98" s="2" t="s">
        <v>7159</v>
      </c>
      <c r="E98" s="2" t="s">
        <v>7160</v>
      </c>
      <c r="F98" s="2">
        <v>20</v>
      </c>
      <c r="G98" s="2" t="s">
        <v>7155</v>
      </c>
      <c r="H98" s="2">
        <v>1.8319999999999999E-2</v>
      </c>
      <c r="I98" s="2">
        <v>0.3664</v>
      </c>
    </row>
    <row r="99" spans="1:9" ht="123.75" customHeight="1" x14ac:dyDescent="0.25">
      <c r="A99" s="3" t="s">
        <v>112</v>
      </c>
      <c r="B99" s="3" t="s">
        <v>5150</v>
      </c>
      <c r="C99" s="3" t="s">
        <v>4660</v>
      </c>
      <c r="D99" s="3" t="s">
        <v>7161</v>
      </c>
      <c r="E99" s="3" t="s">
        <v>7162</v>
      </c>
      <c r="F99" s="3">
        <v>0.186</v>
      </c>
      <c r="G99" s="3" t="s">
        <v>7163</v>
      </c>
      <c r="H99" s="3" t="s">
        <v>7164</v>
      </c>
      <c r="I99" s="3">
        <v>0.186</v>
      </c>
    </row>
    <row r="100" spans="1:9" ht="123.75" customHeight="1" x14ac:dyDescent="0.25">
      <c r="A100" s="2" t="s">
        <v>112</v>
      </c>
      <c r="B100" s="2" t="s">
        <v>5150</v>
      </c>
      <c r="C100" s="2" t="s">
        <v>4660</v>
      </c>
      <c r="D100" s="2" t="s">
        <v>7173</v>
      </c>
      <c r="E100" s="2" t="s">
        <v>7174</v>
      </c>
      <c r="F100" s="2">
        <v>1.155</v>
      </c>
      <c r="G100" s="2" t="s">
        <v>7163</v>
      </c>
      <c r="H100" s="2" t="s">
        <v>7164</v>
      </c>
      <c r="I100" s="2">
        <v>1.155</v>
      </c>
    </row>
    <row r="101" spans="1:9" ht="123.75" customHeight="1" x14ac:dyDescent="0.25">
      <c r="A101" s="3" t="s">
        <v>112</v>
      </c>
      <c r="B101" s="3" t="s">
        <v>5150</v>
      </c>
      <c r="C101" s="3" t="s">
        <v>4660</v>
      </c>
      <c r="D101" s="3" t="s">
        <v>7165</v>
      </c>
      <c r="E101" s="3" t="s">
        <v>7166</v>
      </c>
      <c r="F101" s="3">
        <v>2</v>
      </c>
      <c r="G101" s="3" t="s">
        <v>7158</v>
      </c>
      <c r="H101" s="3">
        <v>0.1</v>
      </c>
      <c r="I101" s="3">
        <v>0.2</v>
      </c>
    </row>
    <row r="102" spans="1:9" ht="123.75" customHeight="1" x14ac:dyDescent="0.25">
      <c r="A102" s="2" t="s">
        <v>112</v>
      </c>
      <c r="B102" s="2" t="s">
        <v>5150</v>
      </c>
      <c r="C102" s="2" t="s">
        <v>4660</v>
      </c>
      <c r="D102" s="2" t="s">
        <v>7167</v>
      </c>
      <c r="E102" s="2" t="s">
        <v>7168</v>
      </c>
      <c r="F102" s="2">
        <v>4</v>
      </c>
      <c r="G102" s="2" t="s">
        <v>7158</v>
      </c>
      <c r="H102" s="2">
        <v>0.2</v>
      </c>
      <c r="I102" s="2">
        <v>0.8</v>
      </c>
    </row>
    <row r="103" spans="1:9" ht="90" customHeight="1" x14ac:dyDescent="0.25">
      <c r="A103" s="3" t="s">
        <v>3860</v>
      </c>
      <c r="B103" s="3" t="s">
        <v>5158</v>
      </c>
      <c r="C103" s="3" t="s">
        <v>5008</v>
      </c>
      <c r="D103" s="3" t="s">
        <v>7153</v>
      </c>
      <c r="E103" s="3" t="s">
        <v>7154</v>
      </c>
      <c r="F103" s="3">
        <v>7</v>
      </c>
      <c r="G103" s="3" t="s">
        <v>7155</v>
      </c>
      <c r="H103" s="3">
        <v>1.24E-2</v>
      </c>
      <c r="I103" s="3">
        <v>8.6800000000000002E-2</v>
      </c>
    </row>
    <row r="104" spans="1:9" ht="90" customHeight="1" x14ac:dyDescent="0.25">
      <c r="A104" s="2" t="s">
        <v>3860</v>
      </c>
      <c r="B104" s="2" t="s">
        <v>5158</v>
      </c>
      <c r="C104" s="2" t="s">
        <v>5008</v>
      </c>
      <c r="D104" s="2" t="s">
        <v>7156</v>
      </c>
      <c r="E104" s="2" t="s">
        <v>7157</v>
      </c>
      <c r="F104" s="2">
        <v>1</v>
      </c>
      <c r="G104" s="2" t="s">
        <v>7158</v>
      </c>
      <c r="H104" s="2">
        <v>26</v>
      </c>
      <c r="I104" s="2">
        <v>26</v>
      </c>
    </row>
    <row r="105" spans="1:9" ht="90" customHeight="1" x14ac:dyDescent="0.25">
      <c r="A105" s="3" t="s">
        <v>3860</v>
      </c>
      <c r="B105" s="3" t="s">
        <v>5158</v>
      </c>
      <c r="C105" s="3" t="s">
        <v>5008</v>
      </c>
      <c r="D105" s="3" t="s">
        <v>7159</v>
      </c>
      <c r="E105" s="3" t="s">
        <v>7160</v>
      </c>
      <c r="F105" s="3">
        <v>20</v>
      </c>
      <c r="G105" s="3" t="s">
        <v>7155</v>
      </c>
      <c r="H105" s="3">
        <v>1.8319999999999999E-2</v>
      </c>
      <c r="I105" s="3">
        <v>0.3664</v>
      </c>
    </row>
    <row r="106" spans="1:9" ht="90" customHeight="1" x14ac:dyDescent="0.25">
      <c r="A106" s="2" t="s">
        <v>3860</v>
      </c>
      <c r="B106" s="2" t="s">
        <v>5158</v>
      </c>
      <c r="C106" s="2" t="s">
        <v>5008</v>
      </c>
      <c r="D106" s="2" t="s">
        <v>7161</v>
      </c>
      <c r="E106" s="2" t="s">
        <v>7162</v>
      </c>
      <c r="F106" s="2">
        <v>0.186</v>
      </c>
      <c r="G106" s="2" t="s">
        <v>7163</v>
      </c>
      <c r="H106" s="2" t="s">
        <v>7164</v>
      </c>
      <c r="I106" s="2">
        <v>0.186</v>
      </c>
    </row>
    <row r="107" spans="1:9" ht="90" customHeight="1" x14ac:dyDescent="0.25">
      <c r="A107" s="3" t="s">
        <v>3860</v>
      </c>
      <c r="B107" s="3" t="s">
        <v>5158</v>
      </c>
      <c r="C107" s="3" t="s">
        <v>5008</v>
      </c>
      <c r="D107" s="3" t="s">
        <v>7165</v>
      </c>
      <c r="E107" s="3" t="s">
        <v>7166</v>
      </c>
      <c r="F107" s="3">
        <v>2</v>
      </c>
      <c r="G107" s="3" t="s">
        <v>7158</v>
      </c>
      <c r="H107" s="3">
        <v>0.1</v>
      </c>
      <c r="I107" s="3">
        <v>0.2</v>
      </c>
    </row>
    <row r="108" spans="1:9" ht="90" customHeight="1" x14ac:dyDescent="0.25">
      <c r="A108" s="2" t="s">
        <v>3860</v>
      </c>
      <c r="B108" s="2" t="s">
        <v>5158</v>
      </c>
      <c r="C108" s="2" t="s">
        <v>5008</v>
      </c>
      <c r="D108" s="2" t="s">
        <v>7167</v>
      </c>
      <c r="E108" s="2" t="s">
        <v>7168</v>
      </c>
      <c r="F108" s="2">
        <v>1</v>
      </c>
      <c r="G108" s="2" t="s">
        <v>7158</v>
      </c>
      <c r="H108" s="2">
        <v>0.2</v>
      </c>
      <c r="I108" s="2">
        <v>0.2</v>
      </c>
    </row>
    <row r="109" spans="1:9" ht="90" customHeight="1" x14ac:dyDescent="0.25">
      <c r="A109" s="3" t="s">
        <v>3860</v>
      </c>
      <c r="B109" s="3" t="s">
        <v>5158</v>
      </c>
      <c r="C109" s="3" t="s">
        <v>5008</v>
      </c>
      <c r="D109" s="3" t="s">
        <v>7169</v>
      </c>
      <c r="E109" s="3" t="s">
        <v>7170</v>
      </c>
      <c r="F109" s="3">
        <v>3</v>
      </c>
      <c r="G109" s="3" t="s">
        <v>7158</v>
      </c>
      <c r="H109" s="3">
        <v>1</v>
      </c>
      <c r="I109" s="3">
        <v>3</v>
      </c>
    </row>
    <row r="110" spans="1:9" ht="22.5" customHeight="1" x14ac:dyDescent="0.25">
      <c r="A110" s="2" t="s">
        <v>3717</v>
      </c>
      <c r="B110" s="2" t="s">
        <v>3716</v>
      </c>
      <c r="C110" s="2" t="s">
        <v>4994</v>
      </c>
      <c r="D110" s="2" t="s">
        <v>7153</v>
      </c>
      <c r="E110" s="2" t="s">
        <v>7154</v>
      </c>
      <c r="F110" s="2">
        <v>7</v>
      </c>
      <c r="G110" s="2" t="s">
        <v>7155</v>
      </c>
      <c r="H110" s="2">
        <v>1.24E-2</v>
      </c>
      <c r="I110" s="2">
        <v>8.6800000000000002E-2</v>
      </c>
    </row>
    <row r="111" spans="1:9" ht="22.5" customHeight="1" x14ac:dyDescent="0.25">
      <c r="A111" s="3" t="s">
        <v>3717</v>
      </c>
      <c r="B111" s="3" t="s">
        <v>3716</v>
      </c>
      <c r="C111" s="3" t="s">
        <v>4994</v>
      </c>
      <c r="D111" s="3" t="s">
        <v>7184</v>
      </c>
      <c r="E111" s="3" t="s">
        <v>7185</v>
      </c>
      <c r="F111" s="3">
        <v>21</v>
      </c>
      <c r="G111" s="3" t="s">
        <v>7158</v>
      </c>
      <c r="H111" s="3">
        <v>9.4E-2</v>
      </c>
      <c r="I111" s="3">
        <v>1.974</v>
      </c>
    </row>
    <row r="112" spans="1:9" ht="22.5" customHeight="1" x14ac:dyDescent="0.25">
      <c r="A112" s="2" t="s">
        <v>3717</v>
      </c>
      <c r="B112" s="2" t="s">
        <v>3716</v>
      </c>
      <c r="C112" s="2" t="s">
        <v>4994</v>
      </c>
      <c r="D112" s="2" t="s">
        <v>7156</v>
      </c>
      <c r="E112" s="2" t="s">
        <v>7157</v>
      </c>
      <c r="F112" s="2">
        <v>1</v>
      </c>
      <c r="G112" s="2" t="s">
        <v>7158</v>
      </c>
      <c r="H112" s="2">
        <v>26</v>
      </c>
      <c r="I112" s="2">
        <v>26</v>
      </c>
    </row>
    <row r="113" spans="1:9" ht="22.5" customHeight="1" x14ac:dyDescent="0.25">
      <c r="A113" s="3" t="s">
        <v>3717</v>
      </c>
      <c r="B113" s="3" t="s">
        <v>3716</v>
      </c>
      <c r="C113" s="3" t="s">
        <v>4994</v>
      </c>
      <c r="D113" s="3" t="s">
        <v>7159</v>
      </c>
      <c r="E113" s="3" t="s">
        <v>7160</v>
      </c>
      <c r="F113" s="3">
        <v>20</v>
      </c>
      <c r="G113" s="3" t="s">
        <v>7155</v>
      </c>
      <c r="H113" s="3">
        <v>1.8319999999999999E-2</v>
      </c>
      <c r="I113" s="3">
        <v>0.3664</v>
      </c>
    </row>
    <row r="114" spans="1:9" ht="22.5" customHeight="1" x14ac:dyDescent="0.25">
      <c r="A114" s="2" t="s">
        <v>3717</v>
      </c>
      <c r="B114" s="2" t="s">
        <v>3716</v>
      </c>
      <c r="C114" s="2" t="s">
        <v>4994</v>
      </c>
      <c r="D114" s="2" t="s">
        <v>7161</v>
      </c>
      <c r="E114" s="2" t="s">
        <v>7162</v>
      </c>
      <c r="F114" s="2">
        <v>0.186</v>
      </c>
      <c r="G114" s="2" t="s">
        <v>7163</v>
      </c>
      <c r="H114" s="2" t="s">
        <v>7164</v>
      </c>
      <c r="I114" s="2">
        <v>0.186</v>
      </c>
    </row>
    <row r="115" spans="1:9" ht="33.75" customHeight="1" x14ac:dyDescent="0.25">
      <c r="A115" s="3" t="s">
        <v>3717</v>
      </c>
      <c r="B115" s="3" t="s">
        <v>3716</v>
      </c>
      <c r="C115" s="3" t="s">
        <v>4994</v>
      </c>
      <c r="D115" s="3" t="s">
        <v>7165</v>
      </c>
      <c r="E115" s="3" t="s">
        <v>7166</v>
      </c>
      <c r="F115" s="3">
        <v>2</v>
      </c>
      <c r="G115" s="3" t="s">
        <v>7158</v>
      </c>
      <c r="H115" s="3">
        <v>0.1</v>
      </c>
      <c r="I115" s="3">
        <v>0.2</v>
      </c>
    </row>
    <row r="116" spans="1:9" ht="33.75" customHeight="1" x14ac:dyDescent="0.25">
      <c r="A116" s="2" t="s">
        <v>3717</v>
      </c>
      <c r="B116" s="2" t="s">
        <v>3716</v>
      </c>
      <c r="C116" s="2" t="s">
        <v>4994</v>
      </c>
      <c r="D116" s="2" t="s">
        <v>7167</v>
      </c>
      <c r="E116" s="2" t="s">
        <v>7168</v>
      </c>
      <c r="F116" s="2">
        <v>4</v>
      </c>
      <c r="G116" s="2" t="s">
        <v>7158</v>
      </c>
      <c r="H116" s="2">
        <v>0.2</v>
      </c>
      <c r="I116" s="2">
        <v>0.8</v>
      </c>
    </row>
    <row r="117" spans="1:9" ht="22.5" customHeight="1" x14ac:dyDescent="0.25">
      <c r="A117" s="3" t="s">
        <v>604</v>
      </c>
      <c r="B117" s="3" t="s">
        <v>603</v>
      </c>
      <c r="C117" s="3" t="s">
        <v>4763</v>
      </c>
      <c r="D117" s="3" t="s">
        <v>7153</v>
      </c>
      <c r="E117" s="3" t="s">
        <v>7154</v>
      </c>
      <c r="F117" s="3">
        <v>7</v>
      </c>
      <c r="G117" s="3" t="s">
        <v>7155</v>
      </c>
      <c r="H117" s="3">
        <v>1.24E-2</v>
      </c>
      <c r="I117" s="3">
        <v>8.6800000000000002E-2</v>
      </c>
    </row>
    <row r="118" spans="1:9" ht="22.5" customHeight="1" x14ac:dyDescent="0.25">
      <c r="A118" s="2" t="s">
        <v>604</v>
      </c>
      <c r="B118" s="2" t="s">
        <v>603</v>
      </c>
      <c r="C118" s="2" t="s">
        <v>4763</v>
      </c>
      <c r="D118" s="2" t="s">
        <v>7171</v>
      </c>
      <c r="E118" s="2" t="s">
        <v>7172</v>
      </c>
      <c r="F118" s="2">
        <v>21</v>
      </c>
      <c r="G118" s="2" t="s">
        <v>7158</v>
      </c>
      <c r="H118" s="2">
        <v>0.126</v>
      </c>
      <c r="I118" s="2">
        <v>2.6459999999999999</v>
      </c>
    </row>
    <row r="119" spans="1:9" ht="33.75" customHeight="1" x14ac:dyDescent="0.25">
      <c r="A119" s="3" t="s">
        <v>604</v>
      </c>
      <c r="B119" s="3" t="s">
        <v>603</v>
      </c>
      <c r="C119" s="3" t="s">
        <v>4763</v>
      </c>
      <c r="D119" s="3" t="s">
        <v>7186</v>
      </c>
      <c r="E119" s="3" t="s">
        <v>7187</v>
      </c>
      <c r="F119" s="3">
        <v>1</v>
      </c>
      <c r="G119" s="3" t="s">
        <v>7158</v>
      </c>
      <c r="H119" s="3">
        <v>26</v>
      </c>
      <c r="I119" s="3">
        <v>26</v>
      </c>
    </row>
    <row r="120" spans="1:9" ht="22.5" customHeight="1" x14ac:dyDescent="0.25">
      <c r="A120" s="2" t="s">
        <v>604</v>
      </c>
      <c r="B120" s="2" t="s">
        <v>603</v>
      </c>
      <c r="C120" s="2" t="s">
        <v>4763</v>
      </c>
      <c r="D120" s="2" t="s">
        <v>7159</v>
      </c>
      <c r="E120" s="2" t="s">
        <v>7160</v>
      </c>
      <c r="F120" s="2">
        <v>20</v>
      </c>
      <c r="G120" s="2" t="s">
        <v>7155</v>
      </c>
      <c r="H120" s="2">
        <v>1.8319999999999999E-2</v>
      </c>
      <c r="I120" s="2">
        <v>0.3664</v>
      </c>
    </row>
    <row r="121" spans="1:9" ht="22.5" customHeight="1" x14ac:dyDescent="0.25">
      <c r="A121" s="3" t="s">
        <v>604</v>
      </c>
      <c r="B121" s="3" t="s">
        <v>603</v>
      </c>
      <c r="C121" s="3" t="s">
        <v>4763</v>
      </c>
      <c r="D121" s="3" t="s">
        <v>7161</v>
      </c>
      <c r="E121" s="3" t="s">
        <v>7162</v>
      </c>
      <c r="F121" s="3">
        <v>0.17499999999999999</v>
      </c>
      <c r="G121" s="3" t="s">
        <v>7163</v>
      </c>
      <c r="H121" s="3" t="s">
        <v>7164</v>
      </c>
      <c r="I121" s="3">
        <v>0.17499999999999999</v>
      </c>
    </row>
    <row r="122" spans="1:9" ht="22.5" customHeight="1" x14ac:dyDescent="0.25">
      <c r="A122" s="2" t="s">
        <v>604</v>
      </c>
      <c r="B122" s="2" t="s">
        <v>603</v>
      </c>
      <c r="C122" s="2" t="s">
        <v>4763</v>
      </c>
      <c r="D122" s="2" t="s">
        <v>7173</v>
      </c>
      <c r="E122" s="2" t="s">
        <v>7174</v>
      </c>
      <c r="F122" s="2">
        <v>1.26</v>
      </c>
      <c r="G122" s="2" t="s">
        <v>7163</v>
      </c>
      <c r="H122" s="2" t="s">
        <v>7164</v>
      </c>
      <c r="I122" s="2">
        <v>1.26</v>
      </c>
    </row>
    <row r="123" spans="1:9" ht="33.75" customHeight="1" x14ac:dyDescent="0.25">
      <c r="A123" s="3" t="s">
        <v>604</v>
      </c>
      <c r="B123" s="3" t="s">
        <v>603</v>
      </c>
      <c r="C123" s="3" t="s">
        <v>4763</v>
      </c>
      <c r="D123" s="3" t="s">
        <v>7188</v>
      </c>
      <c r="E123" s="3" t="s">
        <v>7189</v>
      </c>
      <c r="F123" s="3">
        <v>4</v>
      </c>
      <c r="G123" s="3" t="s">
        <v>7158</v>
      </c>
      <c r="H123" s="3">
        <v>0.27</v>
      </c>
      <c r="I123" s="3">
        <v>1.08</v>
      </c>
    </row>
    <row r="124" spans="1:9" ht="33.75" customHeight="1" x14ac:dyDescent="0.25">
      <c r="A124" s="2" t="s">
        <v>604</v>
      </c>
      <c r="B124" s="2" t="s">
        <v>603</v>
      </c>
      <c r="C124" s="2" t="s">
        <v>4763</v>
      </c>
      <c r="D124" s="2" t="s">
        <v>7165</v>
      </c>
      <c r="E124" s="2" t="s">
        <v>7166</v>
      </c>
      <c r="F124" s="2">
        <v>2</v>
      </c>
      <c r="G124" s="2" t="s">
        <v>7158</v>
      </c>
      <c r="H124" s="2">
        <v>0.1</v>
      </c>
      <c r="I124" s="2">
        <v>0.2</v>
      </c>
    </row>
    <row r="125" spans="1:9" ht="22.5" customHeight="1" x14ac:dyDescent="0.25">
      <c r="A125" s="3" t="s">
        <v>3729</v>
      </c>
      <c r="B125" s="3" t="s">
        <v>3728</v>
      </c>
      <c r="C125" s="3" t="s">
        <v>4995</v>
      </c>
      <c r="D125" s="3" t="s">
        <v>7153</v>
      </c>
      <c r="E125" s="3" t="s">
        <v>7154</v>
      </c>
      <c r="F125" s="3">
        <v>14</v>
      </c>
      <c r="G125" s="3" t="s">
        <v>7155</v>
      </c>
      <c r="H125" s="3">
        <v>1.24E-2</v>
      </c>
      <c r="I125" s="3">
        <v>0.1736</v>
      </c>
    </row>
    <row r="126" spans="1:9" ht="22.5" customHeight="1" x14ac:dyDescent="0.25">
      <c r="A126" s="2" t="s">
        <v>3729</v>
      </c>
      <c r="B126" s="2" t="s">
        <v>3728</v>
      </c>
      <c r="C126" s="2" t="s">
        <v>4995</v>
      </c>
      <c r="D126" s="2" t="s">
        <v>7171</v>
      </c>
      <c r="E126" s="2" t="s">
        <v>7172</v>
      </c>
      <c r="F126" s="2">
        <v>21</v>
      </c>
      <c r="G126" s="2" t="s">
        <v>7158</v>
      </c>
      <c r="H126" s="2">
        <v>0.126</v>
      </c>
      <c r="I126" s="2">
        <v>2.6459999999999999</v>
      </c>
    </row>
    <row r="127" spans="1:9" ht="33.75" customHeight="1" x14ac:dyDescent="0.25">
      <c r="A127" s="3" t="s">
        <v>3729</v>
      </c>
      <c r="B127" s="3" t="s">
        <v>3728</v>
      </c>
      <c r="C127" s="3" t="s">
        <v>4995</v>
      </c>
      <c r="D127" s="3" t="s">
        <v>7186</v>
      </c>
      <c r="E127" s="3" t="s">
        <v>7187</v>
      </c>
      <c r="F127" s="3">
        <v>1</v>
      </c>
      <c r="G127" s="3" t="s">
        <v>7158</v>
      </c>
      <c r="H127" s="3">
        <v>26</v>
      </c>
      <c r="I127" s="3">
        <v>26</v>
      </c>
    </row>
    <row r="128" spans="1:9" ht="22.5" customHeight="1" x14ac:dyDescent="0.25">
      <c r="A128" s="2" t="s">
        <v>3729</v>
      </c>
      <c r="B128" s="2" t="s">
        <v>3728</v>
      </c>
      <c r="C128" s="2" t="s">
        <v>4995</v>
      </c>
      <c r="D128" s="2" t="s">
        <v>7159</v>
      </c>
      <c r="E128" s="2" t="s">
        <v>7160</v>
      </c>
      <c r="F128" s="2">
        <v>20</v>
      </c>
      <c r="G128" s="2" t="s">
        <v>7155</v>
      </c>
      <c r="H128" s="2">
        <v>1.8319999999999999E-2</v>
      </c>
      <c r="I128" s="2">
        <v>0.3664</v>
      </c>
    </row>
    <row r="129" spans="1:9" ht="22.5" customHeight="1" x14ac:dyDescent="0.25">
      <c r="A129" s="3" t="s">
        <v>3729</v>
      </c>
      <c r="B129" s="3" t="s">
        <v>3728</v>
      </c>
      <c r="C129" s="3" t="s">
        <v>4995</v>
      </c>
      <c r="D129" s="3" t="s">
        <v>7161</v>
      </c>
      <c r="E129" s="3" t="s">
        <v>7162</v>
      </c>
      <c r="F129" s="3">
        <v>0.186</v>
      </c>
      <c r="G129" s="3" t="s">
        <v>7163</v>
      </c>
      <c r="H129" s="3" t="s">
        <v>7164</v>
      </c>
      <c r="I129" s="3">
        <v>0.186</v>
      </c>
    </row>
    <row r="130" spans="1:9" ht="22.5" customHeight="1" x14ac:dyDescent="0.25">
      <c r="A130" s="2" t="s">
        <v>3729</v>
      </c>
      <c r="B130" s="2" t="s">
        <v>3728</v>
      </c>
      <c r="C130" s="2" t="s">
        <v>4995</v>
      </c>
      <c r="D130" s="2" t="s">
        <v>7173</v>
      </c>
      <c r="E130" s="2" t="s">
        <v>7174</v>
      </c>
      <c r="F130" s="2">
        <v>1.26</v>
      </c>
      <c r="G130" s="2" t="s">
        <v>7163</v>
      </c>
      <c r="H130" s="2" t="s">
        <v>7164</v>
      </c>
      <c r="I130" s="2">
        <v>1.26</v>
      </c>
    </row>
    <row r="131" spans="1:9" ht="33.75" customHeight="1" x14ac:dyDescent="0.25">
      <c r="A131" s="3" t="s">
        <v>3729</v>
      </c>
      <c r="B131" s="3" t="s">
        <v>3728</v>
      </c>
      <c r="C131" s="3" t="s">
        <v>4995</v>
      </c>
      <c r="D131" s="3" t="s">
        <v>7188</v>
      </c>
      <c r="E131" s="3" t="s">
        <v>7189</v>
      </c>
      <c r="F131" s="3">
        <v>4</v>
      </c>
      <c r="G131" s="3" t="s">
        <v>7158</v>
      </c>
      <c r="H131" s="3">
        <v>0.27</v>
      </c>
      <c r="I131" s="3">
        <v>1.08</v>
      </c>
    </row>
    <row r="132" spans="1:9" ht="33.75" customHeight="1" x14ac:dyDescent="0.25">
      <c r="A132" s="2" t="s">
        <v>3729</v>
      </c>
      <c r="B132" s="2" t="s">
        <v>3728</v>
      </c>
      <c r="C132" s="2" t="s">
        <v>4995</v>
      </c>
      <c r="D132" s="2" t="s">
        <v>7165</v>
      </c>
      <c r="E132" s="2" t="s">
        <v>7166</v>
      </c>
      <c r="F132" s="2">
        <v>4</v>
      </c>
      <c r="G132" s="2" t="s">
        <v>7158</v>
      </c>
      <c r="H132" s="2">
        <v>0.1</v>
      </c>
      <c r="I132" s="2">
        <v>0.4</v>
      </c>
    </row>
    <row r="133" spans="1:9" ht="292.5" customHeight="1" x14ac:dyDescent="0.25">
      <c r="A133" s="3" t="s">
        <v>57</v>
      </c>
      <c r="B133" s="3" t="s">
        <v>5187</v>
      </c>
      <c r="C133" s="3" t="s">
        <v>4643</v>
      </c>
      <c r="D133" s="3" t="s">
        <v>7153</v>
      </c>
      <c r="E133" s="3" t="s">
        <v>7154</v>
      </c>
      <c r="F133" s="3">
        <v>7</v>
      </c>
      <c r="G133" s="3" t="s">
        <v>7155</v>
      </c>
      <c r="H133" s="3">
        <v>1.24E-2</v>
      </c>
      <c r="I133" s="3">
        <v>8.6800000000000002E-2</v>
      </c>
    </row>
    <row r="134" spans="1:9" ht="292.5" customHeight="1" x14ac:dyDescent="0.25">
      <c r="A134" s="2" t="s">
        <v>57</v>
      </c>
      <c r="B134" s="2" t="s">
        <v>5187</v>
      </c>
      <c r="C134" s="2" t="s">
        <v>4643</v>
      </c>
      <c r="D134" s="2" t="s">
        <v>7171</v>
      </c>
      <c r="E134" s="2" t="s">
        <v>7172</v>
      </c>
      <c r="F134" s="2">
        <v>21</v>
      </c>
      <c r="G134" s="2" t="s">
        <v>7158</v>
      </c>
      <c r="H134" s="2">
        <v>0.126</v>
      </c>
      <c r="I134" s="2">
        <v>2.6459999999999999</v>
      </c>
    </row>
    <row r="135" spans="1:9" ht="292.5" customHeight="1" x14ac:dyDescent="0.25">
      <c r="A135" s="3" t="s">
        <v>57</v>
      </c>
      <c r="B135" s="3" t="s">
        <v>5187</v>
      </c>
      <c r="C135" s="3" t="s">
        <v>4643</v>
      </c>
      <c r="D135" s="3" t="s">
        <v>7186</v>
      </c>
      <c r="E135" s="3" t="s">
        <v>7187</v>
      </c>
      <c r="F135" s="3">
        <v>1</v>
      </c>
      <c r="G135" s="3" t="s">
        <v>7158</v>
      </c>
      <c r="H135" s="3">
        <v>26</v>
      </c>
      <c r="I135" s="3">
        <v>26</v>
      </c>
    </row>
    <row r="136" spans="1:9" ht="292.5" customHeight="1" x14ac:dyDescent="0.25">
      <c r="A136" s="2" t="s">
        <v>57</v>
      </c>
      <c r="B136" s="2" t="s">
        <v>5187</v>
      </c>
      <c r="C136" s="2" t="s">
        <v>4643</v>
      </c>
      <c r="D136" s="2" t="s">
        <v>7159</v>
      </c>
      <c r="E136" s="2" t="s">
        <v>7160</v>
      </c>
      <c r="F136" s="2">
        <v>20</v>
      </c>
      <c r="G136" s="2" t="s">
        <v>7155</v>
      </c>
      <c r="H136" s="2">
        <v>1.8319999999999999E-2</v>
      </c>
      <c r="I136" s="2">
        <v>0.3664</v>
      </c>
    </row>
    <row r="137" spans="1:9" ht="292.5" customHeight="1" x14ac:dyDescent="0.25">
      <c r="A137" s="3" t="s">
        <v>57</v>
      </c>
      <c r="B137" s="3" t="s">
        <v>5187</v>
      </c>
      <c r="C137" s="3" t="s">
        <v>4643</v>
      </c>
      <c r="D137" s="3" t="s">
        <v>7161</v>
      </c>
      <c r="E137" s="3" t="s">
        <v>7162</v>
      </c>
      <c r="F137" s="3">
        <v>0.186</v>
      </c>
      <c r="G137" s="3" t="s">
        <v>7163</v>
      </c>
      <c r="H137" s="3" t="s">
        <v>7164</v>
      </c>
      <c r="I137" s="3">
        <v>0.186</v>
      </c>
    </row>
    <row r="138" spans="1:9" ht="292.5" customHeight="1" x14ac:dyDescent="0.25">
      <c r="A138" s="2" t="s">
        <v>57</v>
      </c>
      <c r="B138" s="2" t="s">
        <v>5187</v>
      </c>
      <c r="C138" s="2" t="s">
        <v>4643</v>
      </c>
      <c r="D138" s="2" t="s">
        <v>7173</v>
      </c>
      <c r="E138" s="2" t="s">
        <v>7174</v>
      </c>
      <c r="F138" s="2">
        <v>1.26</v>
      </c>
      <c r="G138" s="2" t="s">
        <v>7163</v>
      </c>
      <c r="H138" s="2" t="s">
        <v>7164</v>
      </c>
      <c r="I138" s="2">
        <v>1.26</v>
      </c>
    </row>
    <row r="139" spans="1:9" ht="292.5" customHeight="1" x14ac:dyDescent="0.25">
      <c r="A139" s="3" t="s">
        <v>57</v>
      </c>
      <c r="B139" s="3" t="s">
        <v>5187</v>
      </c>
      <c r="C139" s="3" t="s">
        <v>4643</v>
      </c>
      <c r="D139" s="3" t="s">
        <v>7188</v>
      </c>
      <c r="E139" s="3" t="s">
        <v>7189</v>
      </c>
      <c r="F139" s="3">
        <v>4</v>
      </c>
      <c r="G139" s="3" t="s">
        <v>7158</v>
      </c>
      <c r="H139" s="3">
        <v>0.27</v>
      </c>
      <c r="I139" s="3">
        <v>1.08</v>
      </c>
    </row>
    <row r="140" spans="1:9" ht="292.5" customHeight="1" x14ac:dyDescent="0.25">
      <c r="A140" s="2" t="s">
        <v>57</v>
      </c>
      <c r="B140" s="2" t="s">
        <v>5187</v>
      </c>
      <c r="C140" s="2" t="s">
        <v>4643</v>
      </c>
      <c r="D140" s="2" t="s">
        <v>7165</v>
      </c>
      <c r="E140" s="2" t="s">
        <v>7166</v>
      </c>
      <c r="F140" s="2">
        <v>2</v>
      </c>
      <c r="G140" s="2" t="s">
        <v>7158</v>
      </c>
      <c r="H140" s="2">
        <v>0.1</v>
      </c>
      <c r="I140" s="2">
        <v>0.2</v>
      </c>
    </row>
    <row r="141" spans="1:9" ht="135" customHeight="1" x14ac:dyDescent="0.25">
      <c r="A141" s="3" t="s">
        <v>73</v>
      </c>
      <c r="B141" s="3" t="s">
        <v>5195</v>
      </c>
      <c r="C141" s="3" t="s">
        <v>4653</v>
      </c>
      <c r="D141" s="3" t="s">
        <v>7171</v>
      </c>
      <c r="E141" s="3" t="s">
        <v>7172</v>
      </c>
      <c r="F141" s="3">
        <v>21</v>
      </c>
      <c r="G141" s="3" t="s">
        <v>7158</v>
      </c>
      <c r="H141" s="3">
        <v>0.126</v>
      </c>
      <c r="I141" s="3">
        <v>2.6459999999999999</v>
      </c>
    </row>
    <row r="142" spans="1:9" ht="135" customHeight="1" x14ac:dyDescent="0.25">
      <c r="A142" s="2" t="s">
        <v>73</v>
      </c>
      <c r="B142" s="2" t="s">
        <v>5195</v>
      </c>
      <c r="C142" s="2" t="s">
        <v>4653</v>
      </c>
      <c r="D142" s="2" t="s">
        <v>7186</v>
      </c>
      <c r="E142" s="2" t="s">
        <v>7187</v>
      </c>
      <c r="F142" s="2">
        <v>1</v>
      </c>
      <c r="G142" s="2" t="s">
        <v>7158</v>
      </c>
      <c r="H142" s="2">
        <v>26</v>
      </c>
      <c r="I142" s="2">
        <v>26</v>
      </c>
    </row>
    <row r="143" spans="1:9" ht="135" customHeight="1" x14ac:dyDescent="0.25">
      <c r="A143" s="3" t="s">
        <v>73</v>
      </c>
      <c r="B143" s="3" t="s">
        <v>5195</v>
      </c>
      <c r="C143" s="3" t="s">
        <v>4653</v>
      </c>
      <c r="D143" s="3" t="s">
        <v>7159</v>
      </c>
      <c r="E143" s="3" t="s">
        <v>7160</v>
      </c>
      <c r="F143" s="3">
        <v>20</v>
      </c>
      <c r="G143" s="3" t="s">
        <v>7155</v>
      </c>
      <c r="H143" s="3">
        <v>1.8319999999999999E-2</v>
      </c>
      <c r="I143" s="3">
        <v>0.3664</v>
      </c>
    </row>
    <row r="144" spans="1:9" ht="135" customHeight="1" x14ac:dyDescent="0.25">
      <c r="A144" s="2" t="s">
        <v>73</v>
      </c>
      <c r="B144" s="2" t="s">
        <v>5195</v>
      </c>
      <c r="C144" s="2" t="s">
        <v>4653</v>
      </c>
      <c r="D144" s="2" t="s">
        <v>7161</v>
      </c>
      <c r="E144" s="2" t="s">
        <v>7162</v>
      </c>
      <c r="F144" s="2">
        <v>0.186</v>
      </c>
      <c r="G144" s="2" t="s">
        <v>7163</v>
      </c>
      <c r="H144" s="2" t="s">
        <v>7164</v>
      </c>
      <c r="I144" s="2">
        <v>0.186</v>
      </c>
    </row>
    <row r="145" spans="1:9" ht="135" customHeight="1" x14ac:dyDescent="0.25">
      <c r="A145" s="3" t="s">
        <v>73</v>
      </c>
      <c r="B145" s="3" t="s">
        <v>5195</v>
      </c>
      <c r="C145" s="3" t="s">
        <v>4653</v>
      </c>
      <c r="D145" s="3" t="s">
        <v>7173</v>
      </c>
      <c r="E145" s="3" t="s">
        <v>7174</v>
      </c>
      <c r="F145" s="3">
        <v>1.26</v>
      </c>
      <c r="G145" s="3" t="s">
        <v>7163</v>
      </c>
      <c r="H145" s="3" t="s">
        <v>7164</v>
      </c>
      <c r="I145" s="3">
        <v>1.26</v>
      </c>
    </row>
    <row r="146" spans="1:9" ht="135" customHeight="1" x14ac:dyDescent="0.25">
      <c r="A146" s="2" t="s">
        <v>73</v>
      </c>
      <c r="B146" s="2" t="s">
        <v>5195</v>
      </c>
      <c r="C146" s="2" t="s">
        <v>4653</v>
      </c>
      <c r="D146" s="2" t="s">
        <v>7188</v>
      </c>
      <c r="E146" s="2" t="s">
        <v>7189</v>
      </c>
      <c r="F146" s="2">
        <v>4</v>
      </c>
      <c r="G146" s="2" t="s">
        <v>7158</v>
      </c>
      <c r="H146" s="2">
        <v>0.27</v>
      </c>
      <c r="I146" s="2">
        <v>1.08</v>
      </c>
    </row>
    <row r="147" spans="1:9" ht="22.5" customHeight="1" x14ac:dyDescent="0.25">
      <c r="A147" s="3" t="s">
        <v>430</v>
      </c>
      <c r="B147" s="3" t="s">
        <v>429</v>
      </c>
      <c r="C147" s="3" t="s">
        <v>4739</v>
      </c>
      <c r="D147" s="3" t="s">
        <v>7153</v>
      </c>
      <c r="E147" s="3" t="s">
        <v>7154</v>
      </c>
      <c r="F147" s="3">
        <v>14</v>
      </c>
      <c r="G147" s="3" t="s">
        <v>7155</v>
      </c>
      <c r="H147" s="3">
        <v>1.24E-2</v>
      </c>
      <c r="I147" s="3">
        <v>0.1736</v>
      </c>
    </row>
    <row r="148" spans="1:9" ht="22.5" customHeight="1" x14ac:dyDescent="0.25">
      <c r="A148" s="2" t="s">
        <v>430</v>
      </c>
      <c r="B148" s="2" t="s">
        <v>429</v>
      </c>
      <c r="C148" s="2" t="s">
        <v>4739</v>
      </c>
      <c r="D148" s="2" t="s">
        <v>7171</v>
      </c>
      <c r="E148" s="2" t="s">
        <v>7172</v>
      </c>
      <c r="F148" s="2">
        <v>21</v>
      </c>
      <c r="G148" s="2" t="s">
        <v>7158</v>
      </c>
      <c r="H148" s="2">
        <v>0.126</v>
      </c>
      <c r="I148" s="2">
        <v>2.6459999999999999</v>
      </c>
    </row>
    <row r="149" spans="1:9" ht="33.75" customHeight="1" x14ac:dyDescent="0.25">
      <c r="A149" s="3" t="s">
        <v>430</v>
      </c>
      <c r="B149" s="3" t="s">
        <v>429</v>
      </c>
      <c r="C149" s="3" t="s">
        <v>4739</v>
      </c>
      <c r="D149" s="3" t="s">
        <v>7186</v>
      </c>
      <c r="E149" s="3" t="s">
        <v>7187</v>
      </c>
      <c r="F149" s="3">
        <v>1</v>
      </c>
      <c r="G149" s="3" t="s">
        <v>7158</v>
      </c>
      <c r="H149" s="3">
        <v>26</v>
      </c>
      <c r="I149" s="3">
        <v>26</v>
      </c>
    </row>
    <row r="150" spans="1:9" ht="22.5" customHeight="1" x14ac:dyDescent="0.25">
      <c r="A150" s="2" t="s">
        <v>430</v>
      </c>
      <c r="B150" s="2" t="s">
        <v>429</v>
      </c>
      <c r="C150" s="2" t="s">
        <v>4739</v>
      </c>
      <c r="D150" s="2" t="s">
        <v>7159</v>
      </c>
      <c r="E150" s="2" t="s">
        <v>7160</v>
      </c>
      <c r="F150" s="2">
        <v>20</v>
      </c>
      <c r="G150" s="2" t="s">
        <v>7155</v>
      </c>
      <c r="H150" s="2">
        <v>1.8319999999999999E-2</v>
      </c>
      <c r="I150" s="2">
        <v>0.3664</v>
      </c>
    </row>
    <row r="151" spans="1:9" ht="22.5" customHeight="1" x14ac:dyDescent="0.25">
      <c r="A151" s="3" t="s">
        <v>430</v>
      </c>
      <c r="B151" s="3" t="s">
        <v>429</v>
      </c>
      <c r="C151" s="3" t="s">
        <v>4739</v>
      </c>
      <c r="D151" s="3" t="s">
        <v>7190</v>
      </c>
      <c r="E151" s="3" t="s">
        <v>7191</v>
      </c>
      <c r="F151" s="3">
        <v>0.59699999999999998</v>
      </c>
      <c r="G151" s="3" t="s">
        <v>7163</v>
      </c>
      <c r="H151" s="3" t="s">
        <v>7164</v>
      </c>
      <c r="I151" s="3">
        <v>0.59699999999999998</v>
      </c>
    </row>
    <row r="152" spans="1:9" ht="33.75" customHeight="1" x14ac:dyDescent="0.25">
      <c r="A152" s="2" t="s">
        <v>430</v>
      </c>
      <c r="B152" s="2" t="s">
        <v>429</v>
      </c>
      <c r="C152" s="2" t="s">
        <v>4739</v>
      </c>
      <c r="D152" s="2" t="s">
        <v>7188</v>
      </c>
      <c r="E152" s="2" t="s">
        <v>7189</v>
      </c>
      <c r="F152" s="2">
        <v>4</v>
      </c>
      <c r="G152" s="2" t="s">
        <v>7158</v>
      </c>
      <c r="H152" s="2">
        <v>0.27</v>
      </c>
      <c r="I152" s="2">
        <v>1.08</v>
      </c>
    </row>
    <row r="153" spans="1:9" ht="33.75" customHeight="1" x14ac:dyDescent="0.25">
      <c r="A153" s="3" t="s">
        <v>430</v>
      </c>
      <c r="B153" s="3" t="s">
        <v>429</v>
      </c>
      <c r="C153" s="3" t="s">
        <v>4739</v>
      </c>
      <c r="D153" s="3" t="s">
        <v>7192</v>
      </c>
      <c r="E153" s="3" t="s">
        <v>7193</v>
      </c>
      <c r="F153" s="3">
        <v>4</v>
      </c>
      <c r="G153" s="3" t="s">
        <v>7158</v>
      </c>
      <c r="H153" s="3">
        <v>0.03</v>
      </c>
      <c r="I153" s="3">
        <v>0.12</v>
      </c>
    </row>
    <row r="154" spans="1:9" x14ac:dyDescent="0.25">
      <c r="A154" s="2" t="s">
        <v>348</v>
      </c>
      <c r="B154" s="2" t="s">
        <v>347</v>
      </c>
      <c r="C154" s="2" t="s">
        <v>4713</v>
      </c>
      <c r="D154" s="2" t="s">
        <v>7153</v>
      </c>
      <c r="E154" s="2"/>
      <c r="F154" s="2">
        <v>7</v>
      </c>
      <c r="G154" s="2" t="s">
        <v>7155</v>
      </c>
      <c r="H154" s="2">
        <v>1.24E-2</v>
      </c>
      <c r="I154" s="2">
        <v>8.6800000000000002E-2</v>
      </c>
    </row>
    <row r="155" spans="1:9" x14ac:dyDescent="0.25">
      <c r="A155" s="3" t="s">
        <v>348</v>
      </c>
      <c r="B155" s="3" t="s">
        <v>347</v>
      </c>
      <c r="C155" s="3" t="s">
        <v>4713</v>
      </c>
      <c r="D155" s="3" t="s">
        <v>7194</v>
      </c>
      <c r="E155" s="3"/>
      <c r="F155" s="3">
        <v>21</v>
      </c>
      <c r="G155" s="3" t="s">
        <v>7158</v>
      </c>
      <c r="H155" s="3">
        <v>0.19238</v>
      </c>
      <c r="I155" s="3">
        <v>4.0399799999999999</v>
      </c>
    </row>
    <row r="156" spans="1:9" x14ac:dyDescent="0.25">
      <c r="A156" s="2" t="s">
        <v>348</v>
      </c>
      <c r="B156" s="2" t="s">
        <v>347</v>
      </c>
      <c r="C156" s="2" t="s">
        <v>4713</v>
      </c>
      <c r="D156" s="2" t="s">
        <v>7186</v>
      </c>
      <c r="E156" s="2"/>
      <c r="F156" s="2">
        <v>1</v>
      </c>
      <c r="G156" s="2" t="s">
        <v>7158</v>
      </c>
      <c r="H156" s="2">
        <v>26</v>
      </c>
      <c r="I156" s="2">
        <v>26</v>
      </c>
    </row>
    <row r="157" spans="1:9" x14ac:dyDescent="0.25">
      <c r="A157" s="3" t="s">
        <v>348</v>
      </c>
      <c r="B157" s="3" t="s">
        <v>347</v>
      </c>
      <c r="C157" s="3" t="s">
        <v>4713</v>
      </c>
      <c r="D157" s="3" t="s">
        <v>7159</v>
      </c>
      <c r="E157" s="3"/>
      <c r="F157" s="3">
        <v>20</v>
      </c>
      <c r="G157" s="3" t="s">
        <v>7155</v>
      </c>
      <c r="H157" s="3">
        <v>1.8319999999999999E-2</v>
      </c>
      <c r="I157" s="3">
        <v>0.3664</v>
      </c>
    </row>
    <row r="158" spans="1:9" x14ac:dyDescent="0.25">
      <c r="A158" s="2" t="s">
        <v>348</v>
      </c>
      <c r="B158" s="2" t="s">
        <v>347</v>
      </c>
      <c r="C158" s="2" t="s">
        <v>4713</v>
      </c>
      <c r="D158" s="2" t="s">
        <v>7161</v>
      </c>
      <c r="E158" s="2"/>
      <c r="F158" s="2">
        <v>0.186</v>
      </c>
      <c r="G158" s="2" t="s">
        <v>7163</v>
      </c>
      <c r="H158" s="2">
        <v>0</v>
      </c>
      <c r="I158" s="2">
        <v>0</v>
      </c>
    </row>
    <row r="159" spans="1:9" x14ac:dyDescent="0.25">
      <c r="A159" s="3" t="s">
        <v>348</v>
      </c>
      <c r="B159" s="3" t="s">
        <v>347</v>
      </c>
      <c r="C159" s="3" t="s">
        <v>4713</v>
      </c>
      <c r="D159" s="3" t="s">
        <v>7173</v>
      </c>
      <c r="E159" s="3"/>
      <c r="F159" s="3">
        <v>1.26</v>
      </c>
      <c r="G159" s="3" t="s">
        <v>7163</v>
      </c>
      <c r="H159" s="3">
        <v>0</v>
      </c>
      <c r="I159" s="3">
        <v>0</v>
      </c>
    </row>
    <row r="160" spans="1:9" x14ac:dyDescent="0.25">
      <c r="A160" s="2" t="s">
        <v>348</v>
      </c>
      <c r="B160" s="2" t="s">
        <v>347</v>
      </c>
      <c r="C160" s="2" t="s">
        <v>4713</v>
      </c>
      <c r="D160" s="2" t="s">
        <v>7188</v>
      </c>
      <c r="E160" s="2"/>
      <c r="F160" s="2">
        <v>4</v>
      </c>
      <c r="G160" s="2" t="s">
        <v>7158</v>
      </c>
      <c r="H160" s="2">
        <v>0.27</v>
      </c>
      <c r="I160" s="2">
        <v>1.08</v>
      </c>
    </row>
    <row r="161" spans="1:9" x14ac:dyDescent="0.25">
      <c r="A161" s="3" t="s">
        <v>348</v>
      </c>
      <c r="B161" s="3" t="s">
        <v>347</v>
      </c>
      <c r="C161" s="3" t="s">
        <v>4713</v>
      </c>
      <c r="D161" s="3" t="s">
        <v>7165</v>
      </c>
      <c r="E161" s="3"/>
      <c r="F161" s="3">
        <v>2</v>
      </c>
      <c r="G161" s="3" t="s">
        <v>7158</v>
      </c>
      <c r="H161" s="3">
        <v>0.1</v>
      </c>
      <c r="I161" s="3">
        <v>0.2</v>
      </c>
    </row>
    <row r="162" spans="1:9" x14ac:dyDescent="0.25">
      <c r="A162" s="2" t="s">
        <v>4179</v>
      </c>
      <c r="B162" s="2" t="s">
        <v>4178</v>
      </c>
      <c r="C162" s="2" t="s">
        <v>5026</v>
      </c>
      <c r="D162" s="2" t="s">
        <v>7153</v>
      </c>
      <c r="E162" s="2"/>
      <c r="F162" s="2">
        <v>14</v>
      </c>
      <c r="G162" s="2" t="s">
        <v>7155</v>
      </c>
      <c r="H162" s="2">
        <v>1.24E-2</v>
      </c>
      <c r="I162" s="2">
        <v>0.1736</v>
      </c>
    </row>
    <row r="163" spans="1:9" x14ac:dyDescent="0.25">
      <c r="A163" s="3" t="s">
        <v>4179</v>
      </c>
      <c r="B163" s="3" t="s">
        <v>4178</v>
      </c>
      <c r="C163" s="3" t="s">
        <v>5026</v>
      </c>
      <c r="D163" s="3" t="s">
        <v>7184</v>
      </c>
      <c r="E163" s="3"/>
      <c r="F163" s="3">
        <v>21</v>
      </c>
      <c r="G163" s="3" t="s">
        <v>7158</v>
      </c>
      <c r="H163" s="3">
        <v>9.4E-2</v>
      </c>
      <c r="I163" s="3">
        <v>1.974</v>
      </c>
    </row>
    <row r="164" spans="1:9" x14ac:dyDescent="0.25">
      <c r="A164" s="2" t="s">
        <v>4179</v>
      </c>
      <c r="B164" s="2" t="s">
        <v>4178</v>
      </c>
      <c r="C164" s="2" t="s">
        <v>5026</v>
      </c>
      <c r="D164" s="2" t="s">
        <v>7156</v>
      </c>
      <c r="E164" s="2"/>
      <c r="F164" s="2">
        <v>1</v>
      </c>
      <c r="G164" s="2" t="s">
        <v>7158</v>
      </c>
      <c r="H164" s="2">
        <v>26</v>
      </c>
      <c r="I164" s="2">
        <v>26</v>
      </c>
    </row>
    <row r="165" spans="1:9" x14ac:dyDescent="0.25">
      <c r="A165" s="3" t="s">
        <v>4179</v>
      </c>
      <c r="B165" s="3" t="s">
        <v>4178</v>
      </c>
      <c r="C165" s="3" t="s">
        <v>5026</v>
      </c>
      <c r="D165" s="3" t="s">
        <v>7159</v>
      </c>
      <c r="E165" s="3"/>
      <c r="F165" s="3">
        <v>20</v>
      </c>
      <c r="G165" s="3" t="s">
        <v>7155</v>
      </c>
      <c r="H165" s="3">
        <v>1.8319999999999999E-2</v>
      </c>
      <c r="I165" s="3">
        <v>0.3664</v>
      </c>
    </row>
    <row r="166" spans="1:9" x14ac:dyDescent="0.25">
      <c r="A166" s="2" t="s">
        <v>4179</v>
      </c>
      <c r="B166" s="2" t="s">
        <v>4178</v>
      </c>
      <c r="C166" s="2" t="s">
        <v>5026</v>
      </c>
      <c r="D166" s="2" t="s">
        <v>7161</v>
      </c>
      <c r="E166" s="2"/>
      <c r="F166" s="2">
        <v>0.186</v>
      </c>
      <c r="G166" s="2" t="s">
        <v>7163</v>
      </c>
      <c r="H166" s="2">
        <v>0</v>
      </c>
      <c r="I166" s="2">
        <v>0</v>
      </c>
    </row>
    <row r="167" spans="1:9" x14ac:dyDescent="0.25">
      <c r="A167" s="3" t="s">
        <v>4179</v>
      </c>
      <c r="B167" s="3" t="s">
        <v>4178</v>
      </c>
      <c r="C167" s="3" t="s">
        <v>5026</v>
      </c>
      <c r="D167" s="3" t="s">
        <v>7173</v>
      </c>
      <c r="E167" s="3"/>
      <c r="F167" s="3">
        <v>1.155</v>
      </c>
      <c r="G167" s="3" t="s">
        <v>7163</v>
      </c>
      <c r="H167" s="3">
        <v>0</v>
      </c>
      <c r="I167" s="3">
        <v>0</v>
      </c>
    </row>
    <row r="168" spans="1:9" x14ac:dyDescent="0.25">
      <c r="A168" s="2" t="s">
        <v>4179</v>
      </c>
      <c r="B168" s="2" t="s">
        <v>4178</v>
      </c>
      <c r="C168" s="2" t="s">
        <v>5026</v>
      </c>
      <c r="D168" s="2" t="s">
        <v>7165</v>
      </c>
      <c r="E168" s="2"/>
      <c r="F168" s="2">
        <v>4</v>
      </c>
      <c r="G168" s="2" t="s">
        <v>7158</v>
      </c>
      <c r="H168" s="2">
        <v>0.1</v>
      </c>
      <c r="I168" s="2">
        <v>0.4</v>
      </c>
    </row>
    <row r="169" spans="1:9" x14ac:dyDescent="0.25">
      <c r="A169" s="3" t="s">
        <v>4179</v>
      </c>
      <c r="B169" s="3" t="s">
        <v>4178</v>
      </c>
      <c r="C169" s="3" t="s">
        <v>5026</v>
      </c>
      <c r="D169" s="3" t="s">
        <v>7167</v>
      </c>
      <c r="E169" s="3"/>
      <c r="F169" s="3">
        <v>4</v>
      </c>
      <c r="G169" s="3" t="s">
        <v>7158</v>
      </c>
      <c r="H169" s="3">
        <v>0.2</v>
      </c>
      <c r="I169" s="3">
        <v>0.8</v>
      </c>
    </row>
    <row r="170" spans="1:9" x14ac:dyDescent="0.25">
      <c r="A170" s="2" t="s">
        <v>4179</v>
      </c>
      <c r="B170" s="2" t="s">
        <v>4178</v>
      </c>
      <c r="C170" s="2" t="s">
        <v>5026</v>
      </c>
      <c r="D170" s="2" t="s">
        <v>7179</v>
      </c>
      <c r="E170" s="2"/>
      <c r="F170" s="2">
        <v>21</v>
      </c>
      <c r="G170" s="2" t="s">
        <v>7158</v>
      </c>
      <c r="H170" s="2">
        <v>1.08E-3</v>
      </c>
      <c r="I170" s="2">
        <v>2.2679999999999999E-2</v>
      </c>
    </row>
    <row r="171" spans="1:9" ht="33.75" customHeight="1" x14ac:dyDescent="0.25">
      <c r="A171" s="3" t="s">
        <v>182</v>
      </c>
      <c r="B171" s="3" t="s">
        <v>5222</v>
      </c>
      <c r="C171" s="3" t="s">
        <v>4678</v>
      </c>
      <c r="D171" s="3" t="s">
        <v>7184</v>
      </c>
      <c r="E171" s="3"/>
      <c r="F171" s="3">
        <v>21</v>
      </c>
      <c r="G171" s="3" t="s">
        <v>7158</v>
      </c>
      <c r="H171" s="3">
        <v>9.4E-2</v>
      </c>
      <c r="I171" s="3">
        <v>1.974</v>
      </c>
    </row>
    <row r="172" spans="1:9" ht="33.75" customHeight="1" x14ac:dyDescent="0.25">
      <c r="A172" s="2" t="s">
        <v>182</v>
      </c>
      <c r="B172" s="2" t="s">
        <v>5222</v>
      </c>
      <c r="C172" s="2" t="s">
        <v>4678</v>
      </c>
      <c r="D172" s="2" t="s">
        <v>7156</v>
      </c>
      <c r="E172" s="2"/>
      <c r="F172" s="2">
        <v>1</v>
      </c>
      <c r="G172" s="2" t="s">
        <v>7158</v>
      </c>
      <c r="H172" s="2">
        <v>26</v>
      </c>
      <c r="I172" s="2">
        <v>26</v>
      </c>
    </row>
    <row r="173" spans="1:9" ht="33.75" customHeight="1" x14ac:dyDescent="0.25">
      <c r="A173" s="3" t="s">
        <v>182</v>
      </c>
      <c r="B173" s="3" t="s">
        <v>5222</v>
      </c>
      <c r="C173" s="3" t="s">
        <v>4678</v>
      </c>
      <c r="D173" s="3" t="s">
        <v>7159</v>
      </c>
      <c r="E173" s="3"/>
      <c r="F173" s="3">
        <v>20</v>
      </c>
      <c r="G173" s="3" t="s">
        <v>7155</v>
      </c>
      <c r="H173" s="3">
        <v>1.8319999999999999E-2</v>
      </c>
      <c r="I173" s="3">
        <v>0.3664</v>
      </c>
    </row>
    <row r="174" spans="1:9" ht="33.75" customHeight="1" x14ac:dyDescent="0.25">
      <c r="A174" s="2" t="s">
        <v>182</v>
      </c>
      <c r="B174" s="2" t="s">
        <v>5222</v>
      </c>
      <c r="C174" s="2" t="s">
        <v>4678</v>
      </c>
      <c r="D174" s="2" t="s">
        <v>7161</v>
      </c>
      <c r="E174" s="2"/>
      <c r="F174" s="2">
        <v>0.186</v>
      </c>
      <c r="G174" s="2" t="s">
        <v>7163</v>
      </c>
      <c r="H174" s="2">
        <v>0</v>
      </c>
      <c r="I174" s="2">
        <v>0</v>
      </c>
    </row>
    <row r="175" spans="1:9" ht="33.75" customHeight="1" x14ac:dyDescent="0.25">
      <c r="A175" s="3" t="s">
        <v>182</v>
      </c>
      <c r="B175" s="3" t="s">
        <v>5222</v>
      </c>
      <c r="C175" s="3" t="s">
        <v>4678</v>
      </c>
      <c r="D175" s="3" t="s">
        <v>7173</v>
      </c>
      <c r="E175" s="3"/>
      <c r="F175" s="3">
        <v>1.155</v>
      </c>
      <c r="G175" s="3" t="s">
        <v>7163</v>
      </c>
      <c r="H175" s="3">
        <v>0</v>
      </c>
      <c r="I175" s="3">
        <v>0</v>
      </c>
    </row>
    <row r="176" spans="1:9" ht="33.75" customHeight="1" x14ac:dyDescent="0.25">
      <c r="A176" s="2" t="s">
        <v>182</v>
      </c>
      <c r="B176" s="2" t="s">
        <v>5222</v>
      </c>
      <c r="C176" s="2" t="s">
        <v>4678</v>
      </c>
      <c r="D176" s="2" t="s">
        <v>7167</v>
      </c>
      <c r="E176" s="2"/>
      <c r="F176" s="2">
        <v>4</v>
      </c>
      <c r="G176" s="2" t="s">
        <v>7158</v>
      </c>
      <c r="H176" s="2">
        <v>0.2</v>
      </c>
      <c r="I176" s="2">
        <v>0.8</v>
      </c>
    </row>
    <row r="177" spans="1:9" ht="33.75" customHeight="1" x14ac:dyDescent="0.25">
      <c r="A177" s="3" t="s">
        <v>182</v>
      </c>
      <c r="B177" s="3" t="s">
        <v>5222</v>
      </c>
      <c r="C177" s="3" t="s">
        <v>4678</v>
      </c>
      <c r="D177" s="3" t="s">
        <v>7181</v>
      </c>
      <c r="E177" s="3"/>
      <c r="F177" s="3">
        <v>21</v>
      </c>
      <c r="G177" s="3" t="s">
        <v>7158</v>
      </c>
      <c r="H177" s="3">
        <v>1.08E-3</v>
      </c>
      <c r="I177" s="3">
        <v>2.2679999999999999E-2</v>
      </c>
    </row>
    <row r="178" spans="1:9" ht="33.75" customHeight="1" x14ac:dyDescent="0.25">
      <c r="A178" s="2" t="s">
        <v>182</v>
      </c>
      <c r="B178" s="2" t="s">
        <v>5222</v>
      </c>
      <c r="C178" s="2" t="s">
        <v>4678</v>
      </c>
      <c r="D178" s="2" t="s">
        <v>7179</v>
      </c>
      <c r="E178" s="2"/>
      <c r="F178" s="2">
        <v>21</v>
      </c>
      <c r="G178" s="2" t="s">
        <v>7158</v>
      </c>
      <c r="H178" s="2">
        <v>1.08E-3</v>
      </c>
      <c r="I178" s="2">
        <v>2.2679999999999999E-2</v>
      </c>
    </row>
    <row r="179" spans="1:9" ht="22.5" customHeight="1" x14ac:dyDescent="0.25">
      <c r="A179" s="3" t="s">
        <v>452</v>
      </c>
      <c r="B179" s="3" t="s">
        <v>451</v>
      </c>
      <c r="C179" s="3" t="s">
        <v>4742</v>
      </c>
      <c r="D179" s="3" t="s">
        <v>7153</v>
      </c>
      <c r="E179" s="3" t="s">
        <v>7154</v>
      </c>
      <c r="F179" s="3">
        <v>14</v>
      </c>
      <c r="G179" s="3" t="s">
        <v>7155</v>
      </c>
      <c r="H179" s="3">
        <v>1.24E-2</v>
      </c>
      <c r="I179" s="3">
        <v>0.1736</v>
      </c>
    </row>
    <row r="180" spans="1:9" ht="22.5" customHeight="1" x14ac:dyDescent="0.25">
      <c r="A180" s="2" t="s">
        <v>452</v>
      </c>
      <c r="B180" s="2" t="s">
        <v>451</v>
      </c>
      <c r="C180" s="2" t="s">
        <v>4742</v>
      </c>
      <c r="D180" s="2" t="s">
        <v>7156</v>
      </c>
      <c r="E180" s="2" t="s">
        <v>7157</v>
      </c>
      <c r="F180" s="2">
        <v>1</v>
      </c>
      <c r="G180" s="2" t="s">
        <v>7158</v>
      </c>
      <c r="H180" s="2">
        <v>26</v>
      </c>
      <c r="I180" s="2">
        <v>26</v>
      </c>
    </row>
    <row r="181" spans="1:9" x14ac:dyDescent="0.25">
      <c r="A181" s="3" t="s">
        <v>452</v>
      </c>
      <c r="B181" s="3" t="s">
        <v>451</v>
      </c>
      <c r="C181" s="3" t="s">
        <v>4742</v>
      </c>
      <c r="D181" s="3" t="s">
        <v>7195</v>
      </c>
      <c r="E181" s="3" t="s">
        <v>7196</v>
      </c>
      <c r="F181" s="3">
        <v>1</v>
      </c>
      <c r="G181" s="3" t="s">
        <v>7158</v>
      </c>
      <c r="H181" s="3">
        <v>7</v>
      </c>
      <c r="I181" s="3">
        <v>7</v>
      </c>
    </row>
    <row r="182" spans="1:9" ht="22.5" customHeight="1" x14ac:dyDescent="0.25">
      <c r="A182" s="2" t="s">
        <v>452</v>
      </c>
      <c r="B182" s="2" t="s">
        <v>451</v>
      </c>
      <c r="C182" s="2" t="s">
        <v>4742</v>
      </c>
      <c r="D182" s="2" t="s">
        <v>7159</v>
      </c>
      <c r="E182" s="2" t="s">
        <v>7160</v>
      </c>
      <c r="F182" s="2">
        <v>20</v>
      </c>
      <c r="G182" s="2" t="s">
        <v>7155</v>
      </c>
      <c r="H182" s="2">
        <v>1.8319999999999999E-2</v>
      </c>
      <c r="I182" s="2">
        <v>0.3664</v>
      </c>
    </row>
    <row r="183" spans="1:9" ht="22.5" customHeight="1" x14ac:dyDescent="0.25">
      <c r="A183" s="3" t="s">
        <v>452</v>
      </c>
      <c r="B183" s="3" t="s">
        <v>451</v>
      </c>
      <c r="C183" s="3" t="s">
        <v>4742</v>
      </c>
      <c r="D183" s="3" t="s">
        <v>7161</v>
      </c>
      <c r="E183" s="3" t="s">
        <v>7162</v>
      </c>
      <c r="F183" s="3">
        <v>0.186</v>
      </c>
      <c r="G183" s="3" t="s">
        <v>7163</v>
      </c>
      <c r="H183" s="3" t="s">
        <v>7164</v>
      </c>
      <c r="I183" s="3">
        <v>0.186</v>
      </c>
    </row>
    <row r="184" spans="1:9" ht="33.75" customHeight="1" x14ac:dyDescent="0.25">
      <c r="A184" s="2" t="s">
        <v>452</v>
      </c>
      <c r="B184" s="2" t="s">
        <v>451</v>
      </c>
      <c r="C184" s="2" t="s">
        <v>4742</v>
      </c>
      <c r="D184" s="2" t="s">
        <v>7165</v>
      </c>
      <c r="E184" s="2" t="s">
        <v>7166</v>
      </c>
      <c r="F184" s="2">
        <v>4</v>
      </c>
      <c r="G184" s="2" t="s">
        <v>7158</v>
      </c>
      <c r="H184" s="2">
        <v>0.1</v>
      </c>
      <c r="I184" s="2">
        <v>0.4</v>
      </c>
    </row>
    <row r="185" spans="1:9" ht="33.75" customHeight="1" x14ac:dyDescent="0.25">
      <c r="A185" s="3" t="s">
        <v>452</v>
      </c>
      <c r="B185" s="3" t="s">
        <v>451</v>
      </c>
      <c r="C185" s="3" t="s">
        <v>4742</v>
      </c>
      <c r="D185" s="3" t="s">
        <v>7167</v>
      </c>
      <c r="E185" s="3" t="s">
        <v>7168</v>
      </c>
      <c r="F185" s="3">
        <v>3</v>
      </c>
      <c r="G185" s="3" t="s">
        <v>7158</v>
      </c>
      <c r="H185" s="3">
        <v>0.2</v>
      </c>
      <c r="I185" s="3">
        <v>0.6</v>
      </c>
    </row>
    <row r="186" spans="1:9" ht="22.5" customHeight="1" x14ac:dyDescent="0.25">
      <c r="A186" s="2" t="s">
        <v>452</v>
      </c>
      <c r="B186" s="2" t="s">
        <v>451</v>
      </c>
      <c r="C186" s="2" t="s">
        <v>4742</v>
      </c>
      <c r="D186" s="2" t="s">
        <v>7169</v>
      </c>
      <c r="E186" s="2" t="s">
        <v>7170</v>
      </c>
      <c r="F186" s="2">
        <v>2</v>
      </c>
      <c r="G186" s="2" t="s">
        <v>7158</v>
      </c>
      <c r="H186" s="2">
        <v>1</v>
      </c>
      <c r="I186" s="2">
        <v>2</v>
      </c>
    </row>
    <row r="187" spans="1:9" ht="22.5" customHeight="1" x14ac:dyDescent="0.25">
      <c r="A187" s="3" t="s">
        <v>582</v>
      </c>
      <c r="B187" s="3" t="s">
        <v>581</v>
      </c>
      <c r="C187" s="3" t="s">
        <v>4759</v>
      </c>
      <c r="D187" s="3" t="s">
        <v>7153</v>
      </c>
      <c r="E187" s="3" t="s">
        <v>7154</v>
      </c>
      <c r="F187" s="3">
        <v>14</v>
      </c>
      <c r="G187" s="3" t="s">
        <v>7155</v>
      </c>
      <c r="H187" s="3">
        <v>1.24E-2</v>
      </c>
      <c r="I187" s="3">
        <v>0.1736</v>
      </c>
    </row>
    <row r="188" spans="1:9" ht="22.5" customHeight="1" x14ac:dyDescent="0.25">
      <c r="A188" s="2" t="s">
        <v>582</v>
      </c>
      <c r="B188" s="2" t="s">
        <v>581</v>
      </c>
      <c r="C188" s="2" t="s">
        <v>4759</v>
      </c>
      <c r="D188" s="2" t="s">
        <v>7197</v>
      </c>
      <c r="E188" s="2" t="s">
        <v>7198</v>
      </c>
      <c r="F188" s="2">
        <v>24</v>
      </c>
      <c r="G188" s="2" t="s">
        <v>7158</v>
      </c>
      <c r="H188" s="2">
        <v>0.10161000000000001</v>
      </c>
      <c r="I188" s="2">
        <v>2.4386399999999999</v>
      </c>
    </row>
    <row r="189" spans="1:9" ht="22.5" customHeight="1" x14ac:dyDescent="0.25">
      <c r="A189" s="3" t="s">
        <v>582</v>
      </c>
      <c r="B189" s="3" t="s">
        <v>581</v>
      </c>
      <c r="C189" s="3" t="s">
        <v>4759</v>
      </c>
      <c r="D189" s="3" t="s">
        <v>7156</v>
      </c>
      <c r="E189" s="3" t="s">
        <v>7157</v>
      </c>
      <c r="F189" s="3">
        <v>1</v>
      </c>
      <c r="G189" s="3" t="s">
        <v>7158</v>
      </c>
      <c r="H189" s="3">
        <v>26</v>
      </c>
      <c r="I189" s="3">
        <v>26</v>
      </c>
    </row>
    <row r="190" spans="1:9" ht="22.5" customHeight="1" x14ac:dyDescent="0.25">
      <c r="A190" s="2" t="s">
        <v>582</v>
      </c>
      <c r="B190" s="2" t="s">
        <v>581</v>
      </c>
      <c r="C190" s="2" t="s">
        <v>4759</v>
      </c>
      <c r="D190" s="2" t="s">
        <v>7159</v>
      </c>
      <c r="E190" s="2" t="s">
        <v>7160</v>
      </c>
      <c r="F190" s="2">
        <v>20</v>
      </c>
      <c r="G190" s="2" t="s">
        <v>7155</v>
      </c>
      <c r="H190" s="2">
        <v>1.8319999999999999E-2</v>
      </c>
      <c r="I190" s="2">
        <v>0.3664</v>
      </c>
    </row>
    <row r="191" spans="1:9" ht="22.5" customHeight="1" x14ac:dyDescent="0.25">
      <c r="A191" s="3" t="s">
        <v>582</v>
      </c>
      <c r="B191" s="3" t="s">
        <v>581</v>
      </c>
      <c r="C191" s="3" t="s">
        <v>4759</v>
      </c>
      <c r="D191" s="3" t="s">
        <v>7161</v>
      </c>
      <c r="E191" s="3" t="s">
        <v>7162</v>
      </c>
      <c r="F191" s="3">
        <v>0.186</v>
      </c>
      <c r="G191" s="3" t="s">
        <v>7163</v>
      </c>
      <c r="H191" s="3" t="s">
        <v>7164</v>
      </c>
      <c r="I191" s="3">
        <v>0.186</v>
      </c>
    </row>
    <row r="192" spans="1:9" ht="22.5" customHeight="1" x14ac:dyDescent="0.25">
      <c r="A192" s="2" t="s">
        <v>582</v>
      </c>
      <c r="B192" s="2" t="s">
        <v>581</v>
      </c>
      <c r="C192" s="2" t="s">
        <v>4759</v>
      </c>
      <c r="D192" s="2" t="s">
        <v>7173</v>
      </c>
      <c r="E192" s="2" t="s">
        <v>7174</v>
      </c>
      <c r="F192" s="2">
        <v>1.32</v>
      </c>
      <c r="G192" s="2" t="s">
        <v>7163</v>
      </c>
      <c r="H192" s="2" t="s">
        <v>7164</v>
      </c>
      <c r="I192" s="2">
        <v>1.32</v>
      </c>
    </row>
    <row r="193" spans="1:9" ht="33.75" customHeight="1" x14ac:dyDescent="0.25">
      <c r="A193" s="3" t="s">
        <v>582</v>
      </c>
      <c r="B193" s="3" t="s">
        <v>581</v>
      </c>
      <c r="C193" s="3" t="s">
        <v>4759</v>
      </c>
      <c r="D193" s="3" t="s">
        <v>7167</v>
      </c>
      <c r="E193" s="3" t="s">
        <v>7168</v>
      </c>
      <c r="F193" s="3">
        <v>4</v>
      </c>
      <c r="G193" s="3" t="s">
        <v>7158</v>
      </c>
      <c r="H193" s="3">
        <v>0.2</v>
      </c>
      <c r="I193" s="3">
        <v>0.8</v>
      </c>
    </row>
    <row r="194" spans="1:9" ht="33.75" customHeight="1" x14ac:dyDescent="0.25">
      <c r="A194" s="2" t="s">
        <v>582</v>
      </c>
      <c r="B194" s="2" t="s">
        <v>581</v>
      </c>
      <c r="C194" s="2" t="s">
        <v>4759</v>
      </c>
      <c r="D194" s="2" t="s">
        <v>7175</v>
      </c>
      <c r="E194" s="2" t="s">
        <v>7176</v>
      </c>
      <c r="F194" s="2">
        <v>4</v>
      </c>
      <c r="G194" s="2" t="s">
        <v>7158</v>
      </c>
      <c r="H194" s="2">
        <v>0.03</v>
      </c>
      <c r="I194" s="2">
        <v>0.12</v>
      </c>
    </row>
    <row r="195" spans="1:9" ht="33.75" customHeight="1" x14ac:dyDescent="0.25">
      <c r="A195" s="3" t="s">
        <v>582</v>
      </c>
      <c r="B195" s="3" t="s">
        <v>581</v>
      </c>
      <c r="C195" s="3" t="s">
        <v>4759</v>
      </c>
      <c r="D195" s="3" t="s">
        <v>7177</v>
      </c>
      <c r="E195" s="3" t="s">
        <v>7178</v>
      </c>
      <c r="F195" s="3">
        <v>4</v>
      </c>
      <c r="G195" s="3" t="s">
        <v>7158</v>
      </c>
      <c r="H195" s="3">
        <v>0.36</v>
      </c>
      <c r="I195" s="3">
        <v>1.44</v>
      </c>
    </row>
    <row r="196" spans="1:9" ht="22.5" customHeight="1" x14ac:dyDescent="0.25">
      <c r="A196" s="2" t="s">
        <v>2654</v>
      </c>
      <c r="B196" s="2" t="s">
        <v>5242</v>
      </c>
      <c r="C196" s="2" t="s">
        <v>4933</v>
      </c>
      <c r="D196" s="2" t="s">
        <v>7153</v>
      </c>
      <c r="E196" s="2" t="s">
        <v>7154</v>
      </c>
      <c r="F196" s="2">
        <v>14</v>
      </c>
      <c r="G196" s="2" t="s">
        <v>7155</v>
      </c>
      <c r="H196" s="2">
        <v>1.24E-2</v>
      </c>
      <c r="I196" s="2">
        <v>0.1736</v>
      </c>
    </row>
    <row r="197" spans="1:9" ht="22.5" customHeight="1" x14ac:dyDescent="0.25">
      <c r="A197" s="3" t="s">
        <v>2654</v>
      </c>
      <c r="B197" s="3" t="s">
        <v>5242</v>
      </c>
      <c r="C197" s="3" t="s">
        <v>4933</v>
      </c>
      <c r="D197" s="3" t="s">
        <v>7199</v>
      </c>
      <c r="E197" s="3" t="s">
        <v>7200</v>
      </c>
      <c r="F197" s="3">
        <v>24</v>
      </c>
      <c r="G197" s="3" t="s">
        <v>7158</v>
      </c>
      <c r="H197" s="3">
        <v>7.0999999999999994E-2</v>
      </c>
      <c r="I197" s="3">
        <v>1.704</v>
      </c>
    </row>
    <row r="198" spans="1:9" ht="22.5" customHeight="1" x14ac:dyDescent="0.25">
      <c r="A198" s="2" t="s">
        <v>2654</v>
      </c>
      <c r="B198" s="2" t="s">
        <v>5242</v>
      </c>
      <c r="C198" s="2" t="s">
        <v>4933</v>
      </c>
      <c r="D198" s="2" t="s">
        <v>7156</v>
      </c>
      <c r="E198" s="2" t="s">
        <v>7157</v>
      </c>
      <c r="F198" s="2">
        <v>1</v>
      </c>
      <c r="G198" s="2" t="s">
        <v>7158</v>
      </c>
      <c r="H198" s="2">
        <v>26</v>
      </c>
      <c r="I198" s="2">
        <v>26</v>
      </c>
    </row>
    <row r="199" spans="1:9" ht="22.5" customHeight="1" x14ac:dyDescent="0.25">
      <c r="A199" s="3" t="s">
        <v>2654</v>
      </c>
      <c r="B199" s="3" t="s">
        <v>5242</v>
      </c>
      <c r="C199" s="3" t="s">
        <v>4933</v>
      </c>
      <c r="D199" s="3" t="s">
        <v>7159</v>
      </c>
      <c r="E199" s="3" t="s">
        <v>7160</v>
      </c>
      <c r="F199" s="3">
        <v>20</v>
      </c>
      <c r="G199" s="3" t="s">
        <v>7155</v>
      </c>
      <c r="H199" s="3">
        <v>1.8319999999999999E-2</v>
      </c>
      <c r="I199" s="3">
        <v>0.3664</v>
      </c>
    </row>
    <row r="200" spans="1:9" ht="22.5" customHeight="1" x14ac:dyDescent="0.25">
      <c r="A200" s="2" t="s">
        <v>2654</v>
      </c>
      <c r="B200" s="2" t="s">
        <v>5242</v>
      </c>
      <c r="C200" s="2" t="s">
        <v>4933</v>
      </c>
      <c r="D200" s="2" t="s">
        <v>7161</v>
      </c>
      <c r="E200" s="2" t="s">
        <v>7162</v>
      </c>
      <c r="F200" s="2">
        <v>0.186</v>
      </c>
      <c r="G200" s="2" t="s">
        <v>7163</v>
      </c>
      <c r="H200" s="2" t="s">
        <v>7164</v>
      </c>
      <c r="I200" s="2">
        <v>0.186</v>
      </c>
    </row>
    <row r="201" spans="1:9" ht="33.75" customHeight="1" x14ac:dyDescent="0.25">
      <c r="A201" s="3" t="s">
        <v>2654</v>
      </c>
      <c r="B201" s="3" t="s">
        <v>5242</v>
      </c>
      <c r="C201" s="3" t="s">
        <v>4933</v>
      </c>
      <c r="D201" s="3" t="s">
        <v>7165</v>
      </c>
      <c r="E201" s="3" t="s">
        <v>7166</v>
      </c>
      <c r="F201" s="3">
        <v>4</v>
      </c>
      <c r="G201" s="3" t="s">
        <v>7158</v>
      </c>
      <c r="H201" s="3">
        <v>0.1</v>
      </c>
      <c r="I201" s="3">
        <v>0.4</v>
      </c>
    </row>
    <row r="202" spans="1:9" ht="33.75" customHeight="1" x14ac:dyDescent="0.25">
      <c r="A202" s="2" t="s">
        <v>2654</v>
      </c>
      <c r="B202" s="2" t="s">
        <v>5242</v>
      </c>
      <c r="C202" s="2" t="s">
        <v>4933</v>
      </c>
      <c r="D202" s="2" t="s">
        <v>7167</v>
      </c>
      <c r="E202" s="2" t="s">
        <v>7168</v>
      </c>
      <c r="F202" s="2">
        <v>4</v>
      </c>
      <c r="G202" s="2" t="s">
        <v>7158</v>
      </c>
      <c r="H202" s="2">
        <v>0.2</v>
      </c>
      <c r="I202" s="2">
        <v>0.8</v>
      </c>
    </row>
    <row r="203" spans="1:9" ht="101.25" customHeight="1" x14ac:dyDescent="0.25">
      <c r="A203" s="3" t="s">
        <v>226</v>
      </c>
      <c r="B203" s="3" t="s">
        <v>5250</v>
      </c>
      <c r="C203" s="3" t="s">
        <v>4688</v>
      </c>
      <c r="D203" s="3" t="s">
        <v>7153</v>
      </c>
      <c r="E203" s="3" t="s">
        <v>7154</v>
      </c>
      <c r="F203" s="3">
        <v>7</v>
      </c>
      <c r="G203" s="3" t="s">
        <v>7155</v>
      </c>
      <c r="H203" s="3">
        <v>1.24E-2</v>
      </c>
      <c r="I203" s="3">
        <v>8.6800000000000002E-2</v>
      </c>
    </row>
    <row r="204" spans="1:9" ht="101.25" customHeight="1" x14ac:dyDescent="0.25">
      <c r="A204" s="2" t="s">
        <v>226</v>
      </c>
      <c r="B204" s="2" t="s">
        <v>5250</v>
      </c>
      <c r="C204" s="2" t="s">
        <v>4688</v>
      </c>
      <c r="D204" s="2" t="s">
        <v>7199</v>
      </c>
      <c r="E204" s="2" t="s">
        <v>7200</v>
      </c>
      <c r="F204" s="2">
        <v>24</v>
      </c>
      <c r="G204" s="2" t="s">
        <v>7158</v>
      </c>
      <c r="H204" s="2">
        <v>7.0999999999999994E-2</v>
      </c>
      <c r="I204" s="2">
        <v>1.704</v>
      </c>
    </row>
    <row r="205" spans="1:9" ht="101.25" customHeight="1" x14ac:dyDescent="0.25">
      <c r="A205" s="3" t="s">
        <v>226</v>
      </c>
      <c r="B205" s="3" t="s">
        <v>5250</v>
      </c>
      <c r="C205" s="3" t="s">
        <v>4688</v>
      </c>
      <c r="D205" s="3" t="s">
        <v>7156</v>
      </c>
      <c r="E205" s="3" t="s">
        <v>7157</v>
      </c>
      <c r="F205" s="3">
        <v>1</v>
      </c>
      <c r="G205" s="3" t="s">
        <v>7158</v>
      </c>
      <c r="H205" s="3">
        <v>26</v>
      </c>
      <c r="I205" s="3">
        <v>26</v>
      </c>
    </row>
    <row r="206" spans="1:9" ht="101.25" customHeight="1" x14ac:dyDescent="0.25">
      <c r="A206" s="2" t="s">
        <v>226</v>
      </c>
      <c r="B206" s="2" t="s">
        <v>5250</v>
      </c>
      <c r="C206" s="2" t="s">
        <v>4688</v>
      </c>
      <c r="D206" s="2" t="s">
        <v>7159</v>
      </c>
      <c r="E206" s="2" t="s">
        <v>7160</v>
      </c>
      <c r="F206" s="2">
        <v>20</v>
      </c>
      <c r="G206" s="2" t="s">
        <v>7155</v>
      </c>
      <c r="H206" s="2">
        <v>1.8319999999999999E-2</v>
      </c>
      <c r="I206" s="2">
        <v>0.3664</v>
      </c>
    </row>
    <row r="207" spans="1:9" ht="101.25" customHeight="1" x14ac:dyDescent="0.25">
      <c r="A207" s="3" t="s">
        <v>226</v>
      </c>
      <c r="B207" s="3" t="s">
        <v>5250</v>
      </c>
      <c r="C207" s="3" t="s">
        <v>4688</v>
      </c>
      <c r="D207" s="3" t="s">
        <v>7161</v>
      </c>
      <c r="E207" s="3" t="s">
        <v>7162</v>
      </c>
      <c r="F207" s="3">
        <v>0.186</v>
      </c>
      <c r="G207" s="3" t="s">
        <v>7163</v>
      </c>
      <c r="H207" s="3" t="s">
        <v>7164</v>
      </c>
      <c r="I207" s="3">
        <v>0.186</v>
      </c>
    </row>
    <row r="208" spans="1:9" ht="101.25" customHeight="1" x14ac:dyDescent="0.25">
      <c r="A208" s="2" t="s">
        <v>226</v>
      </c>
      <c r="B208" s="2" t="s">
        <v>5250</v>
      </c>
      <c r="C208" s="2" t="s">
        <v>4688</v>
      </c>
      <c r="D208" s="2" t="s">
        <v>7173</v>
      </c>
      <c r="E208" s="2" t="s">
        <v>7174</v>
      </c>
      <c r="F208" s="2">
        <v>1.32</v>
      </c>
      <c r="G208" s="2" t="s">
        <v>7163</v>
      </c>
      <c r="H208" s="2" t="s">
        <v>7164</v>
      </c>
      <c r="I208" s="2">
        <v>1.32</v>
      </c>
    </row>
    <row r="209" spans="1:9" ht="101.25" customHeight="1" x14ac:dyDescent="0.25">
      <c r="A209" s="3" t="s">
        <v>226</v>
      </c>
      <c r="B209" s="3" t="s">
        <v>5250</v>
      </c>
      <c r="C209" s="3" t="s">
        <v>4688</v>
      </c>
      <c r="D209" s="3" t="s">
        <v>7165</v>
      </c>
      <c r="E209" s="3" t="s">
        <v>7166</v>
      </c>
      <c r="F209" s="3">
        <v>2</v>
      </c>
      <c r="G209" s="3" t="s">
        <v>7158</v>
      </c>
      <c r="H209" s="3">
        <v>0.1</v>
      </c>
      <c r="I209" s="3">
        <v>0.2</v>
      </c>
    </row>
    <row r="210" spans="1:9" ht="101.25" customHeight="1" x14ac:dyDescent="0.25">
      <c r="A210" s="2" t="s">
        <v>226</v>
      </c>
      <c r="B210" s="2" t="s">
        <v>5250</v>
      </c>
      <c r="C210" s="2" t="s">
        <v>4688</v>
      </c>
      <c r="D210" s="2" t="s">
        <v>7167</v>
      </c>
      <c r="E210" s="2" t="s">
        <v>7168</v>
      </c>
      <c r="F210" s="2">
        <v>4</v>
      </c>
      <c r="G210" s="2" t="s">
        <v>7158</v>
      </c>
      <c r="H210" s="2">
        <v>0.2</v>
      </c>
      <c r="I210" s="2">
        <v>0.8</v>
      </c>
    </row>
    <row r="211" spans="1:9" ht="22.5" customHeight="1" x14ac:dyDescent="0.25">
      <c r="A211" s="3" t="s">
        <v>3644</v>
      </c>
      <c r="B211" s="3" t="s">
        <v>3643</v>
      </c>
      <c r="C211" s="3" t="s">
        <v>4991</v>
      </c>
      <c r="D211" s="3" t="s">
        <v>7153</v>
      </c>
      <c r="E211" s="3" t="s">
        <v>7154</v>
      </c>
      <c r="F211" s="3">
        <v>14</v>
      </c>
      <c r="G211" s="3" t="s">
        <v>7155</v>
      </c>
      <c r="H211" s="3">
        <v>1.24E-2</v>
      </c>
      <c r="I211" s="3">
        <v>0.1736</v>
      </c>
    </row>
    <row r="212" spans="1:9" ht="22.5" customHeight="1" x14ac:dyDescent="0.25">
      <c r="A212" s="2" t="s">
        <v>3644</v>
      </c>
      <c r="B212" s="2" t="s">
        <v>3643</v>
      </c>
      <c r="C212" s="2" t="s">
        <v>4991</v>
      </c>
      <c r="D212" s="2" t="s">
        <v>7171</v>
      </c>
      <c r="E212" s="2" t="s">
        <v>7172</v>
      </c>
      <c r="F212" s="2">
        <v>24</v>
      </c>
      <c r="G212" s="2" t="s">
        <v>7158</v>
      </c>
      <c r="H212" s="2">
        <v>0.126</v>
      </c>
      <c r="I212" s="2">
        <v>3.024</v>
      </c>
    </row>
    <row r="213" spans="1:9" ht="33.75" customHeight="1" x14ac:dyDescent="0.25">
      <c r="A213" s="3" t="s">
        <v>3644</v>
      </c>
      <c r="B213" s="3" t="s">
        <v>3643</v>
      </c>
      <c r="C213" s="3" t="s">
        <v>4991</v>
      </c>
      <c r="D213" s="3" t="s">
        <v>7186</v>
      </c>
      <c r="E213" s="3" t="s">
        <v>7187</v>
      </c>
      <c r="F213" s="3">
        <v>1</v>
      </c>
      <c r="G213" s="3" t="s">
        <v>7158</v>
      </c>
      <c r="H213" s="3">
        <v>26</v>
      </c>
      <c r="I213" s="3">
        <v>26</v>
      </c>
    </row>
    <row r="214" spans="1:9" ht="22.5" customHeight="1" x14ac:dyDescent="0.25">
      <c r="A214" s="2" t="s">
        <v>3644</v>
      </c>
      <c r="B214" s="2" t="s">
        <v>3643</v>
      </c>
      <c r="C214" s="2" t="s">
        <v>4991</v>
      </c>
      <c r="D214" s="2" t="s">
        <v>7159</v>
      </c>
      <c r="E214" s="2" t="s">
        <v>7160</v>
      </c>
      <c r="F214" s="2">
        <v>20</v>
      </c>
      <c r="G214" s="2" t="s">
        <v>7155</v>
      </c>
      <c r="H214" s="2">
        <v>1.8319999999999999E-2</v>
      </c>
      <c r="I214" s="2">
        <v>0.3664</v>
      </c>
    </row>
    <row r="215" spans="1:9" ht="22.5" customHeight="1" x14ac:dyDescent="0.25">
      <c r="A215" s="3" t="s">
        <v>3644</v>
      </c>
      <c r="B215" s="3" t="s">
        <v>3643</v>
      </c>
      <c r="C215" s="3" t="s">
        <v>4991</v>
      </c>
      <c r="D215" s="3" t="s">
        <v>7161</v>
      </c>
      <c r="E215" s="3" t="s">
        <v>7162</v>
      </c>
      <c r="F215" s="3">
        <v>0.186</v>
      </c>
      <c r="G215" s="3" t="s">
        <v>7163</v>
      </c>
      <c r="H215" s="3" t="s">
        <v>7164</v>
      </c>
      <c r="I215" s="3">
        <v>0.186</v>
      </c>
    </row>
    <row r="216" spans="1:9" ht="33.75" customHeight="1" x14ac:dyDescent="0.25">
      <c r="A216" s="2" t="s">
        <v>3644</v>
      </c>
      <c r="B216" s="2" t="s">
        <v>3643</v>
      </c>
      <c r="C216" s="2" t="s">
        <v>4991</v>
      </c>
      <c r="D216" s="2" t="s">
        <v>7188</v>
      </c>
      <c r="E216" s="2" t="s">
        <v>7189</v>
      </c>
      <c r="F216" s="2">
        <v>4</v>
      </c>
      <c r="G216" s="2" t="s">
        <v>7158</v>
      </c>
      <c r="H216" s="2">
        <v>0.27</v>
      </c>
      <c r="I216" s="2">
        <v>1.08</v>
      </c>
    </row>
    <row r="217" spans="1:9" ht="33.75" customHeight="1" x14ac:dyDescent="0.25">
      <c r="A217" s="3" t="s">
        <v>3644</v>
      </c>
      <c r="B217" s="3" t="s">
        <v>3643</v>
      </c>
      <c r="C217" s="3" t="s">
        <v>4991</v>
      </c>
      <c r="D217" s="3" t="s">
        <v>7165</v>
      </c>
      <c r="E217" s="3" t="s">
        <v>7166</v>
      </c>
      <c r="F217" s="3">
        <v>4</v>
      </c>
      <c r="G217" s="3" t="s">
        <v>7158</v>
      </c>
      <c r="H217" s="3">
        <v>0.1</v>
      </c>
      <c r="I217" s="3">
        <v>0.4</v>
      </c>
    </row>
    <row r="218" spans="1:9" x14ac:dyDescent="0.25">
      <c r="A218" s="2" t="s">
        <v>4175</v>
      </c>
      <c r="B218" s="2" t="s">
        <v>4174</v>
      </c>
      <c r="C218" s="2" t="s">
        <v>5025</v>
      </c>
      <c r="D218" s="2" t="s">
        <v>7153</v>
      </c>
      <c r="E218" s="2"/>
      <c r="F218" s="2">
        <v>14</v>
      </c>
      <c r="G218" s="2" t="s">
        <v>7155</v>
      </c>
      <c r="H218" s="2">
        <v>1.24E-2</v>
      </c>
      <c r="I218" s="2">
        <v>0.1736</v>
      </c>
    </row>
    <row r="219" spans="1:9" x14ac:dyDescent="0.25">
      <c r="A219" s="3" t="s">
        <v>4175</v>
      </c>
      <c r="B219" s="3" t="s">
        <v>4174</v>
      </c>
      <c r="C219" s="3" t="s">
        <v>5025</v>
      </c>
      <c r="D219" s="3" t="s">
        <v>7199</v>
      </c>
      <c r="E219" s="3"/>
      <c r="F219" s="3">
        <v>24</v>
      </c>
      <c r="G219" s="3" t="s">
        <v>7158</v>
      </c>
      <c r="H219" s="3">
        <v>7.0999999999999994E-2</v>
      </c>
      <c r="I219" s="3">
        <v>1.704</v>
      </c>
    </row>
    <row r="220" spans="1:9" x14ac:dyDescent="0.25">
      <c r="A220" s="2" t="s">
        <v>4175</v>
      </c>
      <c r="B220" s="2" t="s">
        <v>4174</v>
      </c>
      <c r="C220" s="2" t="s">
        <v>5025</v>
      </c>
      <c r="D220" s="2" t="s">
        <v>7156</v>
      </c>
      <c r="E220" s="2"/>
      <c r="F220" s="2">
        <v>1</v>
      </c>
      <c r="G220" s="2" t="s">
        <v>7158</v>
      </c>
      <c r="H220" s="2">
        <v>26</v>
      </c>
      <c r="I220" s="2">
        <v>26</v>
      </c>
    </row>
    <row r="221" spans="1:9" x14ac:dyDescent="0.25">
      <c r="A221" s="3" t="s">
        <v>4175</v>
      </c>
      <c r="B221" s="3" t="s">
        <v>4174</v>
      </c>
      <c r="C221" s="3" t="s">
        <v>5025</v>
      </c>
      <c r="D221" s="3" t="s">
        <v>7159</v>
      </c>
      <c r="E221" s="3"/>
      <c r="F221" s="3">
        <v>20</v>
      </c>
      <c r="G221" s="3" t="s">
        <v>7155</v>
      </c>
      <c r="H221" s="3">
        <v>1.8319999999999999E-2</v>
      </c>
      <c r="I221" s="3">
        <v>0.3664</v>
      </c>
    </row>
    <row r="222" spans="1:9" x14ac:dyDescent="0.25">
      <c r="A222" s="2" t="s">
        <v>4175</v>
      </c>
      <c r="B222" s="2" t="s">
        <v>4174</v>
      </c>
      <c r="C222" s="2" t="s">
        <v>5025</v>
      </c>
      <c r="D222" s="2" t="s">
        <v>7161</v>
      </c>
      <c r="E222" s="2"/>
      <c r="F222" s="2">
        <v>0.186</v>
      </c>
      <c r="G222" s="2" t="s">
        <v>7163</v>
      </c>
      <c r="H222" s="2">
        <v>0</v>
      </c>
      <c r="I222" s="2">
        <v>0</v>
      </c>
    </row>
    <row r="223" spans="1:9" x14ac:dyDescent="0.25">
      <c r="A223" s="3" t="s">
        <v>4175</v>
      </c>
      <c r="B223" s="3" t="s">
        <v>4174</v>
      </c>
      <c r="C223" s="3" t="s">
        <v>5025</v>
      </c>
      <c r="D223" s="3" t="s">
        <v>7173</v>
      </c>
      <c r="E223" s="3"/>
      <c r="F223" s="3">
        <v>1.32</v>
      </c>
      <c r="G223" s="3" t="s">
        <v>7163</v>
      </c>
      <c r="H223" s="3">
        <v>0</v>
      </c>
      <c r="I223" s="3">
        <v>0</v>
      </c>
    </row>
    <row r="224" spans="1:9" x14ac:dyDescent="0.25">
      <c r="A224" s="2" t="s">
        <v>4175</v>
      </c>
      <c r="B224" s="2" t="s">
        <v>4174</v>
      </c>
      <c r="C224" s="2" t="s">
        <v>5025</v>
      </c>
      <c r="D224" s="2" t="s">
        <v>7165</v>
      </c>
      <c r="E224" s="2"/>
      <c r="F224" s="2">
        <v>4</v>
      </c>
      <c r="G224" s="2" t="s">
        <v>7158</v>
      </c>
      <c r="H224" s="2">
        <v>0.1</v>
      </c>
      <c r="I224" s="2">
        <v>0.4</v>
      </c>
    </row>
    <row r="225" spans="1:9" x14ac:dyDescent="0.25">
      <c r="A225" s="3" t="s">
        <v>4175</v>
      </c>
      <c r="B225" s="3" t="s">
        <v>4174</v>
      </c>
      <c r="C225" s="3" t="s">
        <v>5025</v>
      </c>
      <c r="D225" s="3" t="s">
        <v>7167</v>
      </c>
      <c r="E225" s="3"/>
      <c r="F225" s="3">
        <v>4</v>
      </c>
      <c r="G225" s="3" t="s">
        <v>7158</v>
      </c>
      <c r="H225" s="3">
        <v>0.2</v>
      </c>
      <c r="I225" s="3">
        <v>0.8</v>
      </c>
    </row>
    <row r="226" spans="1:9" x14ac:dyDescent="0.25">
      <c r="A226" s="2" t="s">
        <v>4175</v>
      </c>
      <c r="B226" s="2" t="s">
        <v>4174</v>
      </c>
      <c r="C226" s="2" t="s">
        <v>5025</v>
      </c>
      <c r="D226" s="2" t="s">
        <v>7179</v>
      </c>
      <c r="E226" s="2"/>
      <c r="F226" s="2">
        <v>24</v>
      </c>
      <c r="G226" s="2" t="s">
        <v>7158</v>
      </c>
      <c r="H226" s="2">
        <v>1.08E-3</v>
      </c>
      <c r="I226" s="2">
        <v>2.5919999999999999E-2</v>
      </c>
    </row>
    <row r="227" spans="1:9" ht="22.5" customHeight="1" x14ac:dyDescent="0.25">
      <c r="A227" s="3" t="s">
        <v>178</v>
      </c>
      <c r="B227" s="3" t="s">
        <v>5271</v>
      </c>
      <c r="C227" s="3" t="s">
        <v>4677</v>
      </c>
      <c r="D227" s="3" t="s">
        <v>7199</v>
      </c>
      <c r="E227" s="3"/>
      <c r="F227" s="3">
        <v>24</v>
      </c>
      <c r="G227" s="3" t="s">
        <v>7158</v>
      </c>
      <c r="H227" s="3">
        <v>7.0999999999999994E-2</v>
      </c>
      <c r="I227" s="3">
        <v>1.704</v>
      </c>
    </row>
    <row r="228" spans="1:9" ht="22.5" customHeight="1" x14ac:dyDescent="0.25">
      <c r="A228" s="2" t="s">
        <v>178</v>
      </c>
      <c r="B228" s="2" t="s">
        <v>5271</v>
      </c>
      <c r="C228" s="2" t="s">
        <v>4677</v>
      </c>
      <c r="D228" s="2" t="s">
        <v>7156</v>
      </c>
      <c r="E228" s="2"/>
      <c r="F228" s="2">
        <v>1</v>
      </c>
      <c r="G228" s="2" t="s">
        <v>7158</v>
      </c>
      <c r="H228" s="2">
        <v>26</v>
      </c>
      <c r="I228" s="2">
        <v>26</v>
      </c>
    </row>
    <row r="229" spans="1:9" ht="22.5" customHeight="1" x14ac:dyDescent="0.25">
      <c r="A229" s="3" t="s">
        <v>178</v>
      </c>
      <c r="B229" s="3" t="s">
        <v>5271</v>
      </c>
      <c r="C229" s="3" t="s">
        <v>4677</v>
      </c>
      <c r="D229" s="3" t="s">
        <v>7159</v>
      </c>
      <c r="E229" s="3"/>
      <c r="F229" s="3">
        <v>20</v>
      </c>
      <c r="G229" s="3" t="s">
        <v>7155</v>
      </c>
      <c r="H229" s="3">
        <v>1.8319999999999999E-2</v>
      </c>
      <c r="I229" s="3">
        <v>0.3664</v>
      </c>
    </row>
    <row r="230" spans="1:9" ht="22.5" customHeight="1" x14ac:dyDescent="0.25">
      <c r="A230" s="2" t="s">
        <v>178</v>
      </c>
      <c r="B230" s="2" t="s">
        <v>5271</v>
      </c>
      <c r="C230" s="2" t="s">
        <v>4677</v>
      </c>
      <c r="D230" s="2" t="s">
        <v>7161</v>
      </c>
      <c r="E230" s="2"/>
      <c r="F230" s="2">
        <v>0.186</v>
      </c>
      <c r="G230" s="2" t="s">
        <v>7163</v>
      </c>
      <c r="H230" s="2">
        <v>0</v>
      </c>
      <c r="I230" s="2">
        <v>0</v>
      </c>
    </row>
    <row r="231" spans="1:9" ht="22.5" customHeight="1" x14ac:dyDescent="0.25">
      <c r="A231" s="3" t="s">
        <v>178</v>
      </c>
      <c r="B231" s="3" t="s">
        <v>5271</v>
      </c>
      <c r="C231" s="3" t="s">
        <v>4677</v>
      </c>
      <c r="D231" s="3" t="s">
        <v>7173</v>
      </c>
      <c r="E231" s="3"/>
      <c r="F231" s="3">
        <v>1.32</v>
      </c>
      <c r="G231" s="3" t="s">
        <v>7163</v>
      </c>
      <c r="H231" s="3">
        <v>0</v>
      </c>
      <c r="I231" s="3">
        <v>0</v>
      </c>
    </row>
    <row r="232" spans="1:9" ht="22.5" customHeight="1" x14ac:dyDescent="0.25">
      <c r="A232" s="2" t="s">
        <v>178</v>
      </c>
      <c r="B232" s="2" t="s">
        <v>5271</v>
      </c>
      <c r="C232" s="2" t="s">
        <v>4677</v>
      </c>
      <c r="D232" s="2" t="s">
        <v>7167</v>
      </c>
      <c r="E232" s="2"/>
      <c r="F232" s="2">
        <v>4</v>
      </c>
      <c r="G232" s="2" t="s">
        <v>7158</v>
      </c>
      <c r="H232" s="2">
        <v>0.2</v>
      </c>
      <c r="I232" s="2">
        <v>0.8</v>
      </c>
    </row>
    <row r="233" spans="1:9" ht="22.5" customHeight="1" x14ac:dyDescent="0.25">
      <c r="A233" s="3" t="s">
        <v>178</v>
      </c>
      <c r="B233" s="3" t="s">
        <v>5271</v>
      </c>
      <c r="C233" s="3" t="s">
        <v>4677</v>
      </c>
      <c r="D233" s="3" t="s">
        <v>7181</v>
      </c>
      <c r="E233" s="3"/>
      <c r="F233" s="3">
        <v>24</v>
      </c>
      <c r="G233" s="3" t="s">
        <v>7158</v>
      </c>
      <c r="H233" s="3">
        <v>1.08E-3</v>
      </c>
      <c r="I233" s="3">
        <v>2.5919999999999999E-2</v>
      </c>
    </row>
    <row r="234" spans="1:9" ht="22.5" customHeight="1" x14ac:dyDescent="0.25">
      <c r="A234" s="2" t="s">
        <v>178</v>
      </c>
      <c r="B234" s="2" t="s">
        <v>5271</v>
      </c>
      <c r="C234" s="2" t="s">
        <v>4677</v>
      </c>
      <c r="D234" s="2" t="s">
        <v>7179</v>
      </c>
      <c r="E234" s="2"/>
      <c r="F234" s="2">
        <v>24</v>
      </c>
      <c r="G234" s="2" t="s">
        <v>7158</v>
      </c>
      <c r="H234" s="2">
        <v>1.08E-3</v>
      </c>
      <c r="I234" s="2">
        <v>2.5919999999999999E-2</v>
      </c>
    </row>
    <row r="235" spans="1:9" x14ac:dyDescent="0.25">
      <c r="A235" s="3" t="s">
        <v>259</v>
      </c>
      <c r="B235" s="3" t="s">
        <v>258</v>
      </c>
      <c r="C235" s="3" t="s">
        <v>4690</v>
      </c>
      <c r="D235" s="3" t="s">
        <v>7156</v>
      </c>
      <c r="E235" s="3"/>
      <c r="F235" s="3">
        <v>1</v>
      </c>
      <c r="G235" s="3" t="s">
        <v>7158</v>
      </c>
      <c r="H235" s="3">
        <v>26</v>
      </c>
      <c r="I235" s="3">
        <v>26</v>
      </c>
    </row>
    <row r="236" spans="1:9" x14ac:dyDescent="0.25">
      <c r="A236" s="2" t="s">
        <v>259</v>
      </c>
      <c r="B236" s="2" t="s">
        <v>258</v>
      </c>
      <c r="C236" s="2" t="s">
        <v>4690</v>
      </c>
      <c r="D236" s="2" t="s">
        <v>7159</v>
      </c>
      <c r="E236" s="2"/>
      <c r="F236" s="2">
        <v>20</v>
      </c>
      <c r="G236" s="2" t="s">
        <v>7155</v>
      </c>
      <c r="H236" s="2">
        <v>1.8319999999999999E-2</v>
      </c>
      <c r="I236" s="2">
        <v>0.3664</v>
      </c>
    </row>
    <row r="237" spans="1:9" x14ac:dyDescent="0.25">
      <c r="A237" s="3" t="s">
        <v>259</v>
      </c>
      <c r="B237" s="3" t="s">
        <v>258</v>
      </c>
      <c r="C237" s="3" t="s">
        <v>4690</v>
      </c>
      <c r="D237" s="3" t="s">
        <v>7161</v>
      </c>
      <c r="E237" s="3"/>
      <c r="F237" s="3">
        <v>0.186</v>
      </c>
      <c r="G237" s="3" t="s">
        <v>7163</v>
      </c>
      <c r="H237" s="3">
        <v>0</v>
      </c>
      <c r="I237" s="3">
        <v>0</v>
      </c>
    </row>
    <row r="238" spans="1:9" x14ac:dyDescent="0.25">
      <c r="A238" s="2" t="s">
        <v>259</v>
      </c>
      <c r="B238" s="2" t="s">
        <v>258</v>
      </c>
      <c r="C238" s="2" t="s">
        <v>4690</v>
      </c>
      <c r="D238" s="2" t="s">
        <v>7201</v>
      </c>
      <c r="E238" s="2"/>
      <c r="F238" s="2">
        <v>0.95499999999999996</v>
      </c>
      <c r="G238" s="2" t="s">
        <v>7163</v>
      </c>
      <c r="H238" s="2">
        <v>0</v>
      </c>
      <c r="I238" s="2">
        <v>0</v>
      </c>
    </row>
    <row r="239" spans="1:9" x14ac:dyDescent="0.25">
      <c r="A239" s="3" t="s">
        <v>259</v>
      </c>
      <c r="B239" s="3" t="s">
        <v>258</v>
      </c>
      <c r="C239" s="3" t="s">
        <v>4690</v>
      </c>
      <c r="D239" s="3" t="s">
        <v>7167</v>
      </c>
      <c r="E239" s="3"/>
      <c r="F239" s="3">
        <v>3</v>
      </c>
      <c r="G239" s="3" t="s">
        <v>7158</v>
      </c>
      <c r="H239" s="3">
        <v>0.2</v>
      </c>
      <c r="I239" s="3">
        <v>0.6</v>
      </c>
    </row>
    <row r="240" spans="1:9" x14ac:dyDescent="0.25">
      <c r="A240" s="2" t="s">
        <v>259</v>
      </c>
      <c r="B240" s="2" t="s">
        <v>258</v>
      </c>
      <c r="C240" s="2" t="s">
        <v>4690</v>
      </c>
      <c r="D240" s="2" t="s">
        <v>7202</v>
      </c>
      <c r="E240" s="2"/>
      <c r="F240" s="2">
        <v>24</v>
      </c>
      <c r="G240" s="2" t="s">
        <v>7158</v>
      </c>
      <c r="H240" s="2">
        <v>1.08E-3</v>
      </c>
      <c r="I240" s="2">
        <v>2.5919999999999999E-2</v>
      </c>
    </row>
    <row r="241" spans="1:9" x14ac:dyDescent="0.25">
      <c r="A241" s="3" t="s">
        <v>259</v>
      </c>
      <c r="B241" s="3" t="s">
        <v>258</v>
      </c>
      <c r="C241" s="3" t="s">
        <v>4690</v>
      </c>
      <c r="D241" s="3" t="s">
        <v>7179</v>
      </c>
      <c r="E241" s="3"/>
      <c r="F241" s="3">
        <v>24</v>
      </c>
      <c r="G241" s="3" t="s">
        <v>7158</v>
      </c>
      <c r="H241" s="3">
        <v>1.08E-3</v>
      </c>
      <c r="I241" s="3">
        <v>2.5919999999999999E-2</v>
      </c>
    </row>
    <row r="242" spans="1:9" ht="22.5" customHeight="1" x14ac:dyDescent="0.25">
      <c r="A242" s="2" t="s">
        <v>3769</v>
      </c>
      <c r="B242" s="2" t="s">
        <v>3768</v>
      </c>
      <c r="C242" s="2" t="s">
        <v>5002</v>
      </c>
      <c r="D242" s="2" t="s">
        <v>7153</v>
      </c>
      <c r="E242" s="2" t="s">
        <v>7154</v>
      </c>
      <c r="F242" s="2">
        <v>7</v>
      </c>
      <c r="G242" s="2" t="s">
        <v>7155</v>
      </c>
      <c r="H242" s="2">
        <v>1.24E-2</v>
      </c>
      <c r="I242" s="2">
        <v>8.6800000000000002E-2</v>
      </c>
    </row>
    <row r="243" spans="1:9" ht="22.5" customHeight="1" x14ac:dyDescent="0.25">
      <c r="A243" s="3" t="s">
        <v>3769</v>
      </c>
      <c r="B243" s="3" t="s">
        <v>3768</v>
      </c>
      <c r="C243" s="3" t="s">
        <v>5002</v>
      </c>
      <c r="D243" s="3" t="s">
        <v>7203</v>
      </c>
      <c r="E243" s="3" t="s">
        <v>7204</v>
      </c>
      <c r="F243" s="3">
        <v>27</v>
      </c>
      <c r="G243" s="3" t="s">
        <v>7158</v>
      </c>
      <c r="H243" s="3">
        <v>9.1879999999999989E-2</v>
      </c>
      <c r="I243" s="3">
        <v>2.4807600000000001</v>
      </c>
    </row>
    <row r="244" spans="1:9" ht="22.5" customHeight="1" x14ac:dyDescent="0.25">
      <c r="A244" s="2" t="s">
        <v>3769</v>
      </c>
      <c r="B244" s="2" t="s">
        <v>3768</v>
      </c>
      <c r="C244" s="2" t="s">
        <v>5002</v>
      </c>
      <c r="D244" s="2" t="s">
        <v>7205</v>
      </c>
      <c r="E244" s="2" t="s">
        <v>7206</v>
      </c>
      <c r="F244" s="2">
        <v>1</v>
      </c>
      <c r="G244" s="2" t="s">
        <v>7158</v>
      </c>
      <c r="H244" s="2">
        <v>20</v>
      </c>
      <c r="I244" s="2">
        <v>20</v>
      </c>
    </row>
    <row r="245" spans="1:9" ht="22.5" customHeight="1" x14ac:dyDescent="0.25">
      <c r="A245" s="3" t="s">
        <v>3769</v>
      </c>
      <c r="B245" s="3" t="s">
        <v>3768</v>
      </c>
      <c r="C245" s="3" t="s">
        <v>5002</v>
      </c>
      <c r="D245" s="3" t="s">
        <v>7159</v>
      </c>
      <c r="E245" s="3" t="s">
        <v>7160</v>
      </c>
      <c r="F245" s="3">
        <v>20</v>
      </c>
      <c r="G245" s="3" t="s">
        <v>7155</v>
      </c>
      <c r="H245" s="3">
        <v>1.8319999999999999E-2</v>
      </c>
      <c r="I245" s="3">
        <v>0.3664</v>
      </c>
    </row>
    <row r="246" spans="1:9" ht="22.5" customHeight="1" x14ac:dyDescent="0.25">
      <c r="A246" s="2" t="s">
        <v>3769</v>
      </c>
      <c r="B246" s="2" t="s">
        <v>3768</v>
      </c>
      <c r="C246" s="2" t="s">
        <v>5002</v>
      </c>
      <c r="D246" s="2" t="s">
        <v>7161</v>
      </c>
      <c r="E246" s="2" t="s">
        <v>7162</v>
      </c>
      <c r="F246" s="2">
        <v>0.186</v>
      </c>
      <c r="G246" s="2" t="s">
        <v>7163</v>
      </c>
      <c r="H246" s="2" t="s">
        <v>7164</v>
      </c>
      <c r="I246" s="2">
        <v>0.186</v>
      </c>
    </row>
    <row r="247" spans="1:9" ht="22.5" customHeight="1" x14ac:dyDescent="0.25">
      <c r="A247" s="3" t="s">
        <v>3769</v>
      </c>
      <c r="B247" s="3" t="s">
        <v>3768</v>
      </c>
      <c r="C247" s="3" t="s">
        <v>5002</v>
      </c>
      <c r="D247" s="3" t="s">
        <v>7207</v>
      </c>
      <c r="E247" s="3" t="s">
        <v>7208</v>
      </c>
      <c r="F247" s="3">
        <v>1.19</v>
      </c>
      <c r="G247" s="3" t="s">
        <v>7163</v>
      </c>
      <c r="H247" s="3" t="s">
        <v>7164</v>
      </c>
      <c r="I247" s="3">
        <v>1.19</v>
      </c>
    </row>
    <row r="248" spans="1:9" ht="33.75" customHeight="1" x14ac:dyDescent="0.25">
      <c r="A248" s="2" t="s">
        <v>3769</v>
      </c>
      <c r="B248" s="2" t="s">
        <v>3768</v>
      </c>
      <c r="C248" s="2" t="s">
        <v>5002</v>
      </c>
      <c r="D248" s="2" t="s">
        <v>7188</v>
      </c>
      <c r="E248" s="2" t="s">
        <v>7189</v>
      </c>
      <c r="F248" s="2">
        <v>4</v>
      </c>
      <c r="G248" s="2" t="s">
        <v>7158</v>
      </c>
      <c r="H248" s="2">
        <v>0.27</v>
      </c>
      <c r="I248" s="2">
        <v>1.08</v>
      </c>
    </row>
    <row r="249" spans="1:9" ht="33.75" customHeight="1" x14ac:dyDescent="0.25">
      <c r="A249" s="3" t="s">
        <v>3769</v>
      </c>
      <c r="B249" s="3" t="s">
        <v>3768</v>
      </c>
      <c r="C249" s="3" t="s">
        <v>5002</v>
      </c>
      <c r="D249" s="3" t="s">
        <v>7165</v>
      </c>
      <c r="E249" s="3" t="s">
        <v>7166</v>
      </c>
      <c r="F249" s="3">
        <v>2</v>
      </c>
      <c r="G249" s="3" t="s">
        <v>7158</v>
      </c>
      <c r="H249" s="3">
        <v>0.1</v>
      </c>
      <c r="I249" s="3">
        <v>0.2</v>
      </c>
    </row>
    <row r="250" spans="1:9" ht="22.5" customHeight="1" x14ac:dyDescent="0.25">
      <c r="A250" s="2" t="s">
        <v>478</v>
      </c>
      <c r="B250" s="2" t="s">
        <v>477</v>
      </c>
      <c r="C250" s="2" t="s">
        <v>4745</v>
      </c>
      <c r="D250" s="2" t="s">
        <v>7203</v>
      </c>
      <c r="E250" s="2" t="s">
        <v>7204</v>
      </c>
      <c r="F250" s="2">
        <v>27</v>
      </c>
      <c r="G250" s="2" t="s">
        <v>7158</v>
      </c>
      <c r="H250" s="2">
        <v>9.1879999999999989E-2</v>
      </c>
      <c r="I250" s="2">
        <v>2.4807600000000001</v>
      </c>
    </row>
    <row r="251" spans="1:9" ht="22.5" customHeight="1" x14ac:dyDescent="0.25">
      <c r="A251" s="3" t="s">
        <v>478</v>
      </c>
      <c r="B251" s="3" t="s">
        <v>477</v>
      </c>
      <c r="C251" s="3" t="s">
        <v>4745</v>
      </c>
      <c r="D251" s="3" t="s">
        <v>7205</v>
      </c>
      <c r="E251" s="3" t="s">
        <v>7206</v>
      </c>
      <c r="F251" s="3">
        <v>1</v>
      </c>
      <c r="G251" s="3" t="s">
        <v>7158</v>
      </c>
      <c r="H251" s="3">
        <v>20</v>
      </c>
      <c r="I251" s="3">
        <v>20</v>
      </c>
    </row>
    <row r="252" spans="1:9" ht="22.5" customHeight="1" x14ac:dyDescent="0.25">
      <c r="A252" s="2" t="s">
        <v>478</v>
      </c>
      <c r="B252" s="2" t="s">
        <v>477</v>
      </c>
      <c r="C252" s="2" t="s">
        <v>4745</v>
      </c>
      <c r="D252" s="2" t="s">
        <v>7159</v>
      </c>
      <c r="E252" s="2" t="s">
        <v>7160</v>
      </c>
      <c r="F252" s="2">
        <v>20</v>
      </c>
      <c r="G252" s="2" t="s">
        <v>7155</v>
      </c>
      <c r="H252" s="2">
        <v>1.8319999999999999E-2</v>
      </c>
      <c r="I252" s="2">
        <v>0.3664</v>
      </c>
    </row>
    <row r="253" spans="1:9" ht="22.5" customHeight="1" x14ac:dyDescent="0.25">
      <c r="A253" s="3" t="s">
        <v>478</v>
      </c>
      <c r="B253" s="3" t="s">
        <v>477</v>
      </c>
      <c r="C253" s="3" t="s">
        <v>4745</v>
      </c>
      <c r="D253" s="3" t="s">
        <v>7161</v>
      </c>
      <c r="E253" s="3" t="s">
        <v>7162</v>
      </c>
      <c r="F253" s="3">
        <v>0.186</v>
      </c>
      <c r="G253" s="3" t="s">
        <v>7163</v>
      </c>
      <c r="H253" s="3" t="s">
        <v>7164</v>
      </c>
      <c r="I253" s="3">
        <v>0.186</v>
      </c>
    </row>
    <row r="254" spans="1:9" ht="22.5" customHeight="1" x14ac:dyDescent="0.25">
      <c r="A254" s="2" t="s">
        <v>478</v>
      </c>
      <c r="B254" s="2" t="s">
        <v>477</v>
      </c>
      <c r="C254" s="2" t="s">
        <v>4745</v>
      </c>
      <c r="D254" s="2" t="s">
        <v>7207</v>
      </c>
      <c r="E254" s="2" t="s">
        <v>7208</v>
      </c>
      <c r="F254" s="2">
        <v>1.19</v>
      </c>
      <c r="G254" s="2" t="s">
        <v>7163</v>
      </c>
      <c r="H254" s="2" t="s">
        <v>7164</v>
      </c>
      <c r="I254" s="2">
        <v>1.19</v>
      </c>
    </row>
    <row r="255" spans="1:9" ht="33.75" customHeight="1" x14ac:dyDescent="0.25">
      <c r="A255" s="3" t="s">
        <v>478</v>
      </c>
      <c r="B255" s="3" t="s">
        <v>477</v>
      </c>
      <c r="C255" s="3" t="s">
        <v>4745</v>
      </c>
      <c r="D255" s="3" t="s">
        <v>7188</v>
      </c>
      <c r="E255" s="3" t="s">
        <v>7189</v>
      </c>
      <c r="F255" s="3">
        <v>4</v>
      </c>
      <c r="G255" s="3" t="s">
        <v>7158</v>
      </c>
      <c r="H255" s="3">
        <v>0.27</v>
      </c>
      <c r="I255" s="3">
        <v>1.08</v>
      </c>
    </row>
    <row r="256" spans="1:9" ht="33.75" customHeight="1" x14ac:dyDescent="0.25">
      <c r="A256" s="2" t="s">
        <v>478</v>
      </c>
      <c r="B256" s="2" t="s">
        <v>477</v>
      </c>
      <c r="C256" s="2" t="s">
        <v>4745</v>
      </c>
      <c r="D256" s="2" t="s">
        <v>7165</v>
      </c>
      <c r="E256" s="2" t="s">
        <v>7166</v>
      </c>
      <c r="F256" s="2">
        <v>2</v>
      </c>
      <c r="G256" s="2" t="s">
        <v>7158</v>
      </c>
      <c r="H256" s="2">
        <v>0.1</v>
      </c>
      <c r="I256" s="2">
        <v>0.2</v>
      </c>
    </row>
    <row r="257" spans="1:9" ht="22.5" customHeight="1" x14ac:dyDescent="0.25">
      <c r="A257" s="3" t="s">
        <v>3070</v>
      </c>
      <c r="B257" s="3" t="s">
        <v>3069</v>
      </c>
      <c r="C257" s="3" t="s">
        <v>4955</v>
      </c>
      <c r="D257" s="3" t="s">
        <v>7153</v>
      </c>
      <c r="E257" s="3" t="s">
        <v>7154</v>
      </c>
      <c r="F257" s="3">
        <v>14</v>
      </c>
      <c r="G257" s="3" t="s">
        <v>7155</v>
      </c>
      <c r="H257" s="3">
        <v>1.24E-2</v>
      </c>
      <c r="I257" s="3">
        <v>0.1736</v>
      </c>
    </row>
    <row r="258" spans="1:9" ht="33.75" customHeight="1" x14ac:dyDescent="0.25">
      <c r="A258" s="2" t="s">
        <v>3070</v>
      </c>
      <c r="B258" s="2" t="s">
        <v>3069</v>
      </c>
      <c r="C258" s="2" t="s">
        <v>4955</v>
      </c>
      <c r="D258" s="2" t="s">
        <v>7186</v>
      </c>
      <c r="E258" s="2" t="s">
        <v>7187</v>
      </c>
      <c r="F258" s="2">
        <v>1</v>
      </c>
      <c r="G258" s="2" t="s">
        <v>7158</v>
      </c>
      <c r="H258" s="2">
        <v>26</v>
      </c>
      <c r="I258" s="2">
        <v>26</v>
      </c>
    </row>
    <row r="259" spans="1:9" ht="22.5" customHeight="1" x14ac:dyDescent="0.25">
      <c r="A259" s="3" t="s">
        <v>3070</v>
      </c>
      <c r="B259" s="3" t="s">
        <v>3069</v>
      </c>
      <c r="C259" s="3" t="s">
        <v>4955</v>
      </c>
      <c r="D259" s="3" t="s">
        <v>7159</v>
      </c>
      <c r="E259" s="3" t="s">
        <v>7160</v>
      </c>
      <c r="F259" s="3">
        <v>20</v>
      </c>
      <c r="G259" s="3" t="s">
        <v>7155</v>
      </c>
      <c r="H259" s="3">
        <v>1.8319999999999999E-2</v>
      </c>
      <c r="I259" s="3">
        <v>0.3664</v>
      </c>
    </row>
    <row r="260" spans="1:9" ht="22.5" customHeight="1" x14ac:dyDescent="0.25">
      <c r="A260" s="2" t="s">
        <v>3070</v>
      </c>
      <c r="B260" s="2" t="s">
        <v>3069</v>
      </c>
      <c r="C260" s="2" t="s">
        <v>4955</v>
      </c>
      <c r="D260" s="2" t="s">
        <v>7161</v>
      </c>
      <c r="E260" s="2" t="s">
        <v>7162</v>
      </c>
      <c r="F260" s="2">
        <v>0.186</v>
      </c>
      <c r="G260" s="2" t="s">
        <v>7163</v>
      </c>
      <c r="H260" s="2" t="s">
        <v>7164</v>
      </c>
      <c r="I260" s="2">
        <v>0.186</v>
      </c>
    </row>
    <row r="261" spans="1:9" ht="22.5" customHeight="1" x14ac:dyDescent="0.25">
      <c r="A261" s="3" t="s">
        <v>3070</v>
      </c>
      <c r="B261" s="3" t="s">
        <v>3069</v>
      </c>
      <c r="C261" s="3" t="s">
        <v>4955</v>
      </c>
      <c r="D261" s="3" t="s">
        <v>7201</v>
      </c>
      <c r="E261" s="3" t="s">
        <v>7209</v>
      </c>
      <c r="F261" s="3">
        <v>1.1200000000000001</v>
      </c>
      <c r="G261" s="3" t="s">
        <v>7163</v>
      </c>
      <c r="H261" s="3" t="s">
        <v>7164</v>
      </c>
      <c r="I261" s="3">
        <v>1.1200000000000001</v>
      </c>
    </row>
    <row r="262" spans="1:9" ht="33.75" customHeight="1" x14ac:dyDescent="0.25">
      <c r="A262" s="2" t="s">
        <v>3070</v>
      </c>
      <c r="B262" s="2" t="s">
        <v>3069</v>
      </c>
      <c r="C262" s="2" t="s">
        <v>4955</v>
      </c>
      <c r="D262" s="2" t="s">
        <v>7188</v>
      </c>
      <c r="E262" s="2" t="s">
        <v>7189</v>
      </c>
      <c r="F262" s="2">
        <v>3</v>
      </c>
      <c r="G262" s="2" t="s">
        <v>7158</v>
      </c>
      <c r="H262" s="2">
        <v>0.27</v>
      </c>
      <c r="I262" s="2">
        <v>0.81</v>
      </c>
    </row>
    <row r="263" spans="1:9" ht="33.75" customHeight="1" x14ac:dyDescent="0.25">
      <c r="A263" s="3" t="s">
        <v>3070</v>
      </c>
      <c r="B263" s="3" t="s">
        <v>3069</v>
      </c>
      <c r="C263" s="3" t="s">
        <v>4955</v>
      </c>
      <c r="D263" s="3" t="s">
        <v>7165</v>
      </c>
      <c r="E263" s="3" t="s">
        <v>7166</v>
      </c>
      <c r="F263" s="3">
        <v>4</v>
      </c>
      <c r="G263" s="3" t="s">
        <v>7158</v>
      </c>
      <c r="H263" s="3">
        <v>0.1</v>
      </c>
      <c r="I263" s="3">
        <v>0.4</v>
      </c>
    </row>
    <row r="264" spans="1:9" ht="22.5" customHeight="1" x14ac:dyDescent="0.25">
      <c r="A264" s="2" t="s">
        <v>3066</v>
      </c>
      <c r="B264" s="2" t="s">
        <v>3065</v>
      </c>
      <c r="C264" s="2" t="s">
        <v>4954</v>
      </c>
      <c r="D264" s="2" t="s">
        <v>7153</v>
      </c>
      <c r="E264" s="2" t="s">
        <v>7154</v>
      </c>
      <c r="F264" s="2">
        <v>14</v>
      </c>
      <c r="G264" s="2" t="s">
        <v>7155</v>
      </c>
      <c r="H264" s="2">
        <v>1.24E-2</v>
      </c>
      <c r="I264" s="2">
        <v>0.1736</v>
      </c>
    </row>
    <row r="265" spans="1:9" ht="33.75" customHeight="1" x14ac:dyDescent="0.25">
      <c r="A265" s="3" t="s">
        <v>3066</v>
      </c>
      <c r="B265" s="3" t="s">
        <v>3065</v>
      </c>
      <c r="C265" s="3" t="s">
        <v>4954</v>
      </c>
      <c r="D265" s="3" t="s">
        <v>7186</v>
      </c>
      <c r="E265" s="3" t="s">
        <v>7187</v>
      </c>
      <c r="F265" s="3">
        <v>1</v>
      </c>
      <c r="G265" s="3" t="s">
        <v>7158</v>
      </c>
      <c r="H265" s="3">
        <v>26</v>
      </c>
      <c r="I265" s="3">
        <v>26</v>
      </c>
    </row>
    <row r="266" spans="1:9" ht="22.5" customHeight="1" x14ac:dyDescent="0.25">
      <c r="A266" s="2" t="s">
        <v>3066</v>
      </c>
      <c r="B266" s="2" t="s">
        <v>3065</v>
      </c>
      <c r="C266" s="2" t="s">
        <v>4954</v>
      </c>
      <c r="D266" s="2" t="s">
        <v>7159</v>
      </c>
      <c r="E266" s="2" t="s">
        <v>7160</v>
      </c>
      <c r="F266" s="2">
        <v>20</v>
      </c>
      <c r="G266" s="2" t="s">
        <v>7155</v>
      </c>
      <c r="H266" s="2">
        <v>1.8319999999999999E-2</v>
      </c>
      <c r="I266" s="2">
        <v>0.3664</v>
      </c>
    </row>
    <row r="267" spans="1:9" ht="22.5" customHeight="1" x14ac:dyDescent="0.25">
      <c r="A267" s="3" t="s">
        <v>3066</v>
      </c>
      <c r="B267" s="3" t="s">
        <v>3065</v>
      </c>
      <c r="C267" s="3" t="s">
        <v>4954</v>
      </c>
      <c r="D267" s="3" t="s">
        <v>7161</v>
      </c>
      <c r="E267" s="3" t="s">
        <v>7162</v>
      </c>
      <c r="F267" s="3">
        <v>0.186</v>
      </c>
      <c r="G267" s="3" t="s">
        <v>7163</v>
      </c>
      <c r="H267" s="3" t="s">
        <v>7164</v>
      </c>
      <c r="I267" s="3">
        <v>0.186</v>
      </c>
    </row>
    <row r="268" spans="1:9" ht="22.5" customHeight="1" x14ac:dyDescent="0.25">
      <c r="A268" s="2" t="s">
        <v>3066</v>
      </c>
      <c r="B268" s="2" t="s">
        <v>3065</v>
      </c>
      <c r="C268" s="2" t="s">
        <v>4954</v>
      </c>
      <c r="D268" s="2" t="s">
        <v>7201</v>
      </c>
      <c r="E268" s="2" t="s">
        <v>7209</v>
      </c>
      <c r="F268" s="2">
        <v>1.2</v>
      </c>
      <c r="G268" s="2" t="s">
        <v>7163</v>
      </c>
      <c r="H268" s="2" t="s">
        <v>7164</v>
      </c>
      <c r="I268" s="2">
        <v>1.2</v>
      </c>
    </row>
    <row r="269" spans="1:9" ht="33.75" customHeight="1" x14ac:dyDescent="0.25">
      <c r="A269" s="3" t="s">
        <v>3066</v>
      </c>
      <c r="B269" s="3" t="s">
        <v>3065</v>
      </c>
      <c r="C269" s="3" t="s">
        <v>4954</v>
      </c>
      <c r="D269" s="3" t="s">
        <v>7188</v>
      </c>
      <c r="E269" s="3" t="s">
        <v>7189</v>
      </c>
      <c r="F269" s="3">
        <v>3</v>
      </c>
      <c r="G269" s="3" t="s">
        <v>7158</v>
      </c>
      <c r="H269" s="3">
        <v>0.27</v>
      </c>
      <c r="I269" s="3">
        <v>0.81</v>
      </c>
    </row>
    <row r="270" spans="1:9" ht="33.75" customHeight="1" x14ac:dyDescent="0.25">
      <c r="A270" s="2" t="s">
        <v>3066</v>
      </c>
      <c r="B270" s="2" t="s">
        <v>3065</v>
      </c>
      <c r="C270" s="2" t="s">
        <v>4954</v>
      </c>
      <c r="D270" s="2" t="s">
        <v>7165</v>
      </c>
      <c r="E270" s="2" t="s">
        <v>7166</v>
      </c>
      <c r="F270" s="2">
        <v>4</v>
      </c>
      <c r="G270" s="2" t="s">
        <v>7158</v>
      </c>
      <c r="H270" s="2">
        <v>0.1</v>
      </c>
      <c r="I270" s="2">
        <v>0.4</v>
      </c>
    </row>
    <row r="271" spans="1:9" ht="22.5" customHeight="1" x14ac:dyDescent="0.25">
      <c r="A271" s="3" t="s">
        <v>3128</v>
      </c>
      <c r="B271" s="3" t="s">
        <v>5311</v>
      </c>
      <c r="C271" s="3" t="s">
        <v>4960</v>
      </c>
      <c r="D271" s="3" t="s">
        <v>7153</v>
      </c>
      <c r="E271" s="3" t="s">
        <v>7154</v>
      </c>
      <c r="F271" s="3">
        <v>14</v>
      </c>
      <c r="G271" s="3" t="s">
        <v>7155</v>
      </c>
      <c r="H271" s="3">
        <v>1.24E-2</v>
      </c>
      <c r="I271" s="3">
        <v>0.1736</v>
      </c>
    </row>
    <row r="272" spans="1:9" ht="22.5" customHeight="1" x14ac:dyDescent="0.25">
      <c r="A272" s="2" t="s">
        <v>3128</v>
      </c>
      <c r="B272" s="2" t="s">
        <v>5311</v>
      </c>
      <c r="C272" s="2" t="s">
        <v>4960</v>
      </c>
      <c r="D272" s="2" t="s">
        <v>7199</v>
      </c>
      <c r="E272" s="2" t="s">
        <v>7200</v>
      </c>
      <c r="F272" s="2">
        <v>30</v>
      </c>
      <c r="G272" s="2" t="s">
        <v>7158</v>
      </c>
      <c r="H272" s="2">
        <v>7.0999999999999994E-2</v>
      </c>
      <c r="I272" s="2">
        <v>2.13</v>
      </c>
    </row>
    <row r="273" spans="1:9" ht="33.75" customHeight="1" x14ac:dyDescent="0.25">
      <c r="A273" s="3" t="s">
        <v>3128</v>
      </c>
      <c r="B273" s="3" t="s">
        <v>5311</v>
      </c>
      <c r="C273" s="3" t="s">
        <v>4960</v>
      </c>
      <c r="D273" s="3" t="s">
        <v>7186</v>
      </c>
      <c r="E273" s="3" t="s">
        <v>7187</v>
      </c>
      <c r="F273" s="3">
        <v>1</v>
      </c>
      <c r="G273" s="3" t="s">
        <v>7158</v>
      </c>
      <c r="H273" s="3">
        <v>26</v>
      </c>
      <c r="I273" s="3">
        <v>26</v>
      </c>
    </row>
    <row r="274" spans="1:9" ht="22.5" customHeight="1" x14ac:dyDescent="0.25">
      <c r="A274" s="2" t="s">
        <v>3128</v>
      </c>
      <c r="B274" s="2" t="s">
        <v>5311</v>
      </c>
      <c r="C274" s="2" t="s">
        <v>4960</v>
      </c>
      <c r="D274" s="2" t="s">
        <v>7159</v>
      </c>
      <c r="E274" s="2" t="s">
        <v>7160</v>
      </c>
      <c r="F274" s="2">
        <v>20</v>
      </c>
      <c r="G274" s="2" t="s">
        <v>7155</v>
      </c>
      <c r="H274" s="2">
        <v>1.8319999999999999E-2</v>
      </c>
      <c r="I274" s="2">
        <v>0.3664</v>
      </c>
    </row>
    <row r="275" spans="1:9" ht="22.5" customHeight="1" x14ac:dyDescent="0.25">
      <c r="A275" s="3" t="s">
        <v>3128</v>
      </c>
      <c r="B275" s="3" t="s">
        <v>5311</v>
      </c>
      <c r="C275" s="3" t="s">
        <v>4960</v>
      </c>
      <c r="D275" s="3" t="s">
        <v>7161</v>
      </c>
      <c r="E275" s="3" t="s">
        <v>7162</v>
      </c>
      <c r="F275" s="3">
        <v>0.186</v>
      </c>
      <c r="G275" s="3" t="s">
        <v>7163</v>
      </c>
      <c r="H275" s="3" t="s">
        <v>7164</v>
      </c>
      <c r="I275" s="3">
        <v>0.186</v>
      </c>
    </row>
    <row r="276" spans="1:9" ht="22.5" customHeight="1" x14ac:dyDescent="0.25">
      <c r="A276" s="2" t="s">
        <v>3128</v>
      </c>
      <c r="B276" s="2" t="s">
        <v>5311</v>
      </c>
      <c r="C276" s="2" t="s">
        <v>4960</v>
      </c>
      <c r="D276" s="2" t="s">
        <v>7173</v>
      </c>
      <c r="E276" s="2" t="s">
        <v>7174</v>
      </c>
      <c r="F276" s="2">
        <v>1.65</v>
      </c>
      <c r="G276" s="2" t="s">
        <v>7163</v>
      </c>
      <c r="H276" s="2" t="s">
        <v>7164</v>
      </c>
      <c r="I276" s="2">
        <v>1.65</v>
      </c>
    </row>
    <row r="277" spans="1:9" ht="33.75" customHeight="1" x14ac:dyDescent="0.25">
      <c r="A277" s="3" t="s">
        <v>3128</v>
      </c>
      <c r="B277" s="3" t="s">
        <v>5311</v>
      </c>
      <c r="C277" s="3" t="s">
        <v>4960</v>
      </c>
      <c r="D277" s="3" t="s">
        <v>7188</v>
      </c>
      <c r="E277" s="3" t="s">
        <v>7189</v>
      </c>
      <c r="F277" s="3">
        <v>4</v>
      </c>
      <c r="G277" s="3" t="s">
        <v>7158</v>
      </c>
      <c r="H277" s="3">
        <v>0.27</v>
      </c>
      <c r="I277" s="3">
        <v>1.08</v>
      </c>
    </row>
    <row r="278" spans="1:9" ht="33.75" customHeight="1" x14ac:dyDescent="0.25">
      <c r="A278" s="2" t="s">
        <v>3128</v>
      </c>
      <c r="B278" s="2" t="s">
        <v>5311</v>
      </c>
      <c r="C278" s="2" t="s">
        <v>4960</v>
      </c>
      <c r="D278" s="2" t="s">
        <v>7165</v>
      </c>
      <c r="E278" s="2" t="s">
        <v>7166</v>
      </c>
      <c r="F278" s="2">
        <v>4</v>
      </c>
      <c r="G278" s="2" t="s">
        <v>7158</v>
      </c>
      <c r="H278" s="2">
        <v>0.1</v>
      </c>
      <c r="I278" s="2">
        <v>0.4</v>
      </c>
    </row>
    <row r="279" spans="1:9" ht="22.5" customHeight="1" x14ac:dyDescent="0.25">
      <c r="A279" s="3" t="s">
        <v>3132</v>
      </c>
      <c r="B279" s="3" t="s">
        <v>5319</v>
      </c>
      <c r="C279" s="3" t="s">
        <v>4961</v>
      </c>
      <c r="D279" s="3" t="s">
        <v>7153</v>
      </c>
      <c r="E279" s="3" t="s">
        <v>7154</v>
      </c>
      <c r="F279" s="3">
        <v>14</v>
      </c>
      <c r="G279" s="3" t="s">
        <v>7155</v>
      </c>
      <c r="H279" s="3">
        <v>1.24E-2</v>
      </c>
      <c r="I279" s="3">
        <v>0.1736</v>
      </c>
    </row>
    <row r="280" spans="1:9" ht="22.5" customHeight="1" x14ac:dyDescent="0.25">
      <c r="A280" s="2" t="s">
        <v>3132</v>
      </c>
      <c r="B280" s="2" t="s">
        <v>5319</v>
      </c>
      <c r="C280" s="2" t="s">
        <v>4961</v>
      </c>
      <c r="D280" s="2" t="s">
        <v>7184</v>
      </c>
      <c r="E280" s="2" t="s">
        <v>7185</v>
      </c>
      <c r="F280" s="2">
        <v>30</v>
      </c>
      <c r="G280" s="2" t="s">
        <v>7158</v>
      </c>
      <c r="H280" s="2">
        <v>9.4E-2</v>
      </c>
      <c r="I280" s="2">
        <v>2.82</v>
      </c>
    </row>
    <row r="281" spans="1:9" ht="33.75" customHeight="1" x14ac:dyDescent="0.25">
      <c r="A281" s="3" t="s">
        <v>3132</v>
      </c>
      <c r="B281" s="3" t="s">
        <v>5319</v>
      </c>
      <c r="C281" s="3" t="s">
        <v>4961</v>
      </c>
      <c r="D281" s="3" t="s">
        <v>7186</v>
      </c>
      <c r="E281" s="3" t="s">
        <v>7187</v>
      </c>
      <c r="F281" s="3">
        <v>1</v>
      </c>
      <c r="G281" s="3" t="s">
        <v>7158</v>
      </c>
      <c r="H281" s="3">
        <v>26</v>
      </c>
      <c r="I281" s="3">
        <v>26</v>
      </c>
    </row>
    <row r="282" spans="1:9" ht="22.5" customHeight="1" x14ac:dyDescent="0.25">
      <c r="A282" s="2" t="s">
        <v>3132</v>
      </c>
      <c r="B282" s="2" t="s">
        <v>5319</v>
      </c>
      <c r="C282" s="2" t="s">
        <v>4961</v>
      </c>
      <c r="D282" s="2" t="s">
        <v>7159</v>
      </c>
      <c r="E282" s="2" t="s">
        <v>7160</v>
      </c>
      <c r="F282" s="2">
        <v>20</v>
      </c>
      <c r="G282" s="2" t="s">
        <v>7155</v>
      </c>
      <c r="H282" s="2">
        <v>1.8319999999999999E-2</v>
      </c>
      <c r="I282" s="2">
        <v>0.3664</v>
      </c>
    </row>
    <row r="283" spans="1:9" ht="22.5" customHeight="1" x14ac:dyDescent="0.25">
      <c r="A283" s="3" t="s">
        <v>3132</v>
      </c>
      <c r="B283" s="3" t="s">
        <v>5319</v>
      </c>
      <c r="C283" s="3" t="s">
        <v>4961</v>
      </c>
      <c r="D283" s="3" t="s">
        <v>7161</v>
      </c>
      <c r="E283" s="3" t="s">
        <v>7162</v>
      </c>
      <c r="F283" s="3">
        <v>0.186</v>
      </c>
      <c r="G283" s="3" t="s">
        <v>7163</v>
      </c>
      <c r="H283" s="3" t="s">
        <v>7164</v>
      </c>
      <c r="I283" s="3">
        <v>0.186</v>
      </c>
    </row>
    <row r="284" spans="1:9" ht="22.5" customHeight="1" x14ac:dyDescent="0.25">
      <c r="A284" s="2" t="s">
        <v>3132</v>
      </c>
      <c r="B284" s="2" t="s">
        <v>5319</v>
      </c>
      <c r="C284" s="2" t="s">
        <v>4961</v>
      </c>
      <c r="D284" s="2" t="s">
        <v>7173</v>
      </c>
      <c r="E284" s="2" t="s">
        <v>7174</v>
      </c>
      <c r="F284" s="2">
        <v>1.65</v>
      </c>
      <c r="G284" s="2" t="s">
        <v>7163</v>
      </c>
      <c r="H284" s="2" t="s">
        <v>7164</v>
      </c>
      <c r="I284" s="2">
        <v>1.65</v>
      </c>
    </row>
    <row r="285" spans="1:9" ht="33.75" customHeight="1" x14ac:dyDescent="0.25">
      <c r="A285" s="3" t="s">
        <v>3132</v>
      </c>
      <c r="B285" s="3" t="s">
        <v>5319</v>
      </c>
      <c r="C285" s="3" t="s">
        <v>4961</v>
      </c>
      <c r="D285" s="3" t="s">
        <v>7188</v>
      </c>
      <c r="E285" s="3" t="s">
        <v>7189</v>
      </c>
      <c r="F285" s="3">
        <v>4</v>
      </c>
      <c r="G285" s="3" t="s">
        <v>7158</v>
      </c>
      <c r="H285" s="3">
        <v>0.27</v>
      </c>
      <c r="I285" s="3">
        <v>1.08</v>
      </c>
    </row>
    <row r="286" spans="1:9" ht="33.75" customHeight="1" x14ac:dyDescent="0.25">
      <c r="A286" s="2" t="s">
        <v>3132</v>
      </c>
      <c r="B286" s="2" t="s">
        <v>5319</v>
      </c>
      <c r="C286" s="2" t="s">
        <v>4961</v>
      </c>
      <c r="D286" s="2" t="s">
        <v>7165</v>
      </c>
      <c r="E286" s="2" t="s">
        <v>7166</v>
      </c>
      <c r="F286" s="2">
        <v>4</v>
      </c>
      <c r="G286" s="2" t="s">
        <v>7158</v>
      </c>
      <c r="H286" s="2">
        <v>0.1</v>
      </c>
      <c r="I286" s="2">
        <v>0.4</v>
      </c>
    </row>
    <row r="287" spans="1:9" ht="22.5" customHeight="1" x14ac:dyDescent="0.25">
      <c r="A287" s="3" t="s">
        <v>3648</v>
      </c>
      <c r="B287" s="3" t="s">
        <v>5327</v>
      </c>
      <c r="C287" s="3" t="s">
        <v>4992</v>
      </c>
      <c r="D287" s="3" t="s">
        <v>7153</v>
      </c>
      <c r="E287" s="3" t="s">
        <v>7154</v>
      </c>
      <c r="F287" s="3">
        <v>14</v>
      </c>
      <c r="G287" s="3" t="s">
        <v>7155</v>
      </c>
      <c r="H287" s="3">
        <v>1.24E-2</v>
      </c>
      <c r="I287" s="3">
        <v>0.1736</v>
      </c>
    </row>
    <row r="288" spans="1:9" ht="22.5" customHeight="1" x14ac:dyDescent="0.25">
      <c r="A288" s="2" t="s">
        <v>3648</v>
      </c>
      <c r="B288" s="2" t="s">
        <v>5327</v>
      </c>
      <c r="C288" s="2" t="s">
        <v>4992</v>
      </c>
      <c r="D288" s="2" t="s">
        <v>7199</v>
      </c>
      <c r="E288" s="2" t="s">
        <v>7200</v>
      </c>
      <c r="F288" s="2">
        <v>30</v>
      </c>
      <c r="G288" s="2" t="s">
        <v>7158</v>
      </c>
      <c r="H288" s="2">
        <v>7.0999999999999994E-2</v>
      </c>
      <c r="I288" s="2">
        <v>2.13</v>
      </c>
    </row>
    <row r="289" spans="1:9" ht="33.75" customHeight="1" x14ac:dyDescent="0.25">
      <c r="A289" s="3" t="s">
        <v>3648</v>
      </c>
      <c r="B289" s="3" t="s">
        <v>5327</v>
      </c>
      <c r="C289" s="3" t="s">
        <v>4992</v>
      </c>
      <c r="D289" s="3" t="s">
        <v>7186</v>
      </c>
      <c r="E289" s="3" t="s">
        <v>7187</v>
      </c>
      <c r="F289" s="3">
        <v>1</v>
      </c>
      <c r="G289" s="3" t="s">
        <v>7158</v>
      </c>
      <c r="H289" s="3">
        <v>26</v>
      </c>
      <c r="I289" s="3">
        <v>26</v>
      </c>
    </row>
    <row r="290" spans="1:9" ht="22.5" customHeight="1" x14ac:dyDescent="0.25">
      <c r="A290" s="2" t="s">
        <v>3648</v>
      </c>
      <c r="B290" s="2" t="s">
        <v>5327</v>
      </c>
      <c r="C290" s="2" t="s">
        <v>4992</v>
      </c>
      <c r="D290" s="2" t="s">
        <v>7159</v>
      </c>
      <c r="E290" s="2" t="s">
        <v>7160</v>
      </c>
      <c r="F290" s="2">
        <v>20</v>
      </c>
      <c r="G290" s="2" t="s">
        <v>7155</v>
      </c>
      <c r="H290" s="2">
        <v>1.8319999999999999E-2</v>
      </c>
      <c r="I290" s="2">
        <v>0.3664</v>
      </c>
    </row>
    <row r="291" spans="1:9" ht="22.5" customHeight="1" x14ac:dyDescent="0.25">
      <c r="A291" s="3" t="s">
        <v>3648</v>
      </c>
      <c r="B291" s="3" t="s">
        <v>5327</v>
      </c>
      <c r="C291" s="3" t="s">
        <v>4992</v>
      </c>
      <c r="D291" s="3" t="s">
        <v>7161</v>
      </c>
      <c r="E291" s="3" t="s">
        <v>7162</v>
      </c>
      <c r="F291" s="3">
        <v>0.186</v>
      </c>
      <c r="G291" s="3" t="s">
        <v>7163</v>
      </c>
      <c r="H291" s="3" t="s">
        <v>7164</v>
      </c>
      <c r="I291" s="3">
        <v>0.186</v>
      </c>
    </row>
    <row r="292" spans="1:9" ht="33.75" customHeight="1" x14ac:dyDescent="0.25">
      <c r="A292" s="2" t="s">
        <v>3648</v>
      </c>
      <c r="B292" s="2" t="s">
        <v>5327</v>
      </c>
      <c r="C292" s="2" t="s">
        <v>4992</v>
      </c>
      <c r="D292" s="2" t="s">
        <v>7188</v>
      </c>
      <c r="E292" s="2" t="s">
        <v>7189</v>
      </c>
      <c r="F292" s="2">
        <v>4</v>
      </c>
      <c r="G292" s="2" t="s">
        <v>7158</v>
      </c>
      <c r="H292" s="2">
        <v>0.27</v>
      </c>
      <c r="I292" s="2">
        <v>1.08</v>
      </c>
    </row>
    <row r="293" spans="1:9" ht="33.75" customHeight="1" x14ac:dyDescent="0.25">
      <c r="A293" s="3" t="s">
        <v>3648</v>
      </c>
      <c r="B293" s="3" t="s">
        <v>5327</v>
      </c>
      <c r="C293" s="3" t="s">
        <v>4992</v>
      </c>
      <c r="D293" s="3" t="s">
        <v>7165</v>
      </c>
      <c r="E293" s="3" t="s">
        <v>7166</v>
      </c>
      <c r="F293" s="3">
        <v>4</v>
      </c>
      <c r="G293" s="3" t="s">
        <v>7158</v>
      </c>
      <c r="H293" s="3">
        <v>0.1</v>
      </c>
      <c r="I293" s="3">
        <v>0.4</v>
      </c>
    </row>
    <row r="294" spans="1:9" ht="191.25" customHeight="1" x14ac:dyDescent="0.25">
      <c r="A294" s="2" t="s">
        <v>77</v>
      </c>
      <c r="B294" s="2" t="s">
        <v>5335</v>
      </c>
      <c r="C294" s="2" t="s">
        <v>4654</v>
      </c>
      <c r="D294" s="2" t="s">
        <v>7153</v>
      </c>
      <c r="E294" s="2" t="s">
        <v>7154</v>
      </c>
      <c r="F294" s="2">
        <v>7</v>
      </c>
      <c r="G294" s="2" t="s">
        <v>7155</v>
      </c>
      <c r="H294" s="2">
        <v>1.24E-2</v>
      </c>
      <c r="I294" s="2">
        <v>8.6800000000000002E-2</v>
      </c>
    </row>
    <row r="295" spans="1:9" ht="191.25" customHeight="1" x14ac:dyDescent="0.25">
      <c r="A295" s="3" t="s">
        <v>77</v>
      </c>
      <c r="B295" s="3" t="s">
        <v>5335</v>
      </c>
      <c r="C295" s="3" t="s">
        <v>4654</v>
      </c>
      <c r="D295" s="3" t="s">
        <v>7199</v>
      </c>
      <c r="E295" s="3" t="s">
        <v>7200</v>
      </c>
      <c r="F295" s="3">
        <v>30</v>
      </c>
      <c r="G295" s="3" t="s">
        <v>7158</v>
      </c>
      <c r="H295" s="3">
        <v>7.0999999999999994E-2</v>
      </c>
      <c r="I295" s="3">
        <v>2.13</v>
      </c>
    </row>
    <row r="296" spans="1:9" ht="191.25" customHeight="1" x14ac:dyDescent="0.25">
      <c r="A296" s="2" t="s">
        <v>77</v>
      </c>
      <c r="B296" s="2" t="s">
        <v>5335</v>
      </c>
      <c r="C296" s="2" t="s">
        <v>4654</v>
      </c>
      <c r="D296" s="2" t="s">
        <v>7186</v>
      </c>
      <c r="E296" s="2" t="s">
        <v>7187</v>
      </c>
      <c r="F296" s="2">
        <v>1</v>
      </c>
      <c r="G296" s="2" t="s">
        <v>7158</v>
      </c>
      <c r="H296" s="2">
        <v>26</v>
      </c>
      <c r="I296" s="2">
        <v>26</v>
      </c>
    </row>
    <row r="297" spans="1:9" ht="191.25" customHeight="1" x14ac:dyDescent="0.25">
      <c r="A297" s="3" t="s">
        <v>77</v>
      </c>
      <c r="B297" s="3" t="s">
        <v>5335</v>
      </c>
      <c r="C297" s="3" t="s">
        <v>4654</v>
      </c>
      <c r="D297" s="3" t="s">
        <v>7159</v>
      </c>
      <c r="E297" s="3" t="s">
        <v>7160</v>
      </c>
      <c r="F297" s="3">
        <v>20</v>
      </c>
      <c r="G297" s="3" t="s">
        <v>7155</v>
      </c>
      <c r="H297" s="3">
        <v>1.8319999999999999E-2</v>
      </c>
      <c r="I297" s="3">
        <v>0.3664</v>
      </c>
    </row>
    <row r="298" spans="1:9" ht="191.25" customHeight="1" x14ac:dyDescent="0.25">
      <c r="A298" s="2" t="s">
        <v>77</v>
      </c>
      <c r="B298" s="2" t="s">
        <v>5335</v>
      </c>
      <c r="C298" s="2" t="s">
        <v>4654</v>
      </c>
      <c r="D298" s="2" t="s">
        <v>7161</v>
      </c>
      <c r="E298" s="2" t="s">
        <v>7162</v>
      </c>
      <c r="F298" s="2">
        <v>0.186</v>
      </c>
      <c r="G298" s="2" t="s">
        <v>7163</v>
      </c>
      <c r="H298" s="2" t="s">
        <v>7164</v>
      </c>
      <c r="I298" s="2">
        <v>0.186</v>
      </c>
    </row>
    <row r="299" spans="1:9" ht="191.25" customHeight="1" x14ac:dyDescent="0.25">
      <c r="A299" s="3" t="s">
        <v>77</v>
      </c>
      <c r="B299" s="3" t="s">
        <v>5335</v>
      </c>
      <c r="C299" s="3" t="s">
        <v>4654</v>
      </c>
      <c r="D299" s="3" t="s">
        <v>7173</v>
      </c>
      <c r="E299" s="3" t="s">
        <v>7174</v>
      </c>
      <c r="F299" s="3">
        <v>1.65</v>
      </c>
      <c r="G299" s="3" t="s">
        <v>7163</v>
      </c>
      <c r="H299" s="3" t="s">
        <v>7164</v>
      </c>
      <c r="I299" s="3">
        <v>1.65</v>
      </c>
    </row>
    <row r="300" spans="1:9" ht="191.25" customHeight="1" x14ac:dyDescent="0.25">
      <c r="A300" s="2" t="s">
        <v>77</v>
      </c>
      <c r="B300" s="2" t="s">
        <v>5335</v>
      </c>
      <c r="C300" s="2" t="s">
        <v>4654</v>
      </c>
      <c r="D300" s="2" t="s">
        <v>7188</v>
      </c>
      <c r="E300" s="2" t="s">
        <v>7189</v>
      </c>
      <c r="F300" s="2">
        <v>4</v>
      </c>
      <c r="G300" s="2" t="s">
        <v>7158</v>
      </c>
      <c r="H300" s="2">
        <v>0.27</v>
      </c>
      <c r="I300" s="2">
        <v>1.08</v>
      </c>
    </row>
    <row r="301" spans="1:9" ht="191.25" customHeight="1" x14ac:dyDescent="0.25">
      <c r="A301" s="3" t="s">
        <v>77</v>
      </c>
      <c r="B301" s="3" t="s">
        <v>5335</v>
      </c>
      <c r="C301" s="3" t="s">
        <v>4654</v>
      </c>
      <c r="D301" s="3" t="s">
        <v>7165</v>
      </c>
      <c r="E301" s="3" t="s">
        <v>7166</v>
      </c>
      <c r="F301" s="3">
        <v>2</v>
      </c>
      <c r="G301" s="3" t="s">
        <v>7158</v>
      </c>
      <c r="H301" s="3">
        <v>0.1</v>
      </c>
      <c r="I301" s="3">
        <v>0.2</v>
      </c>
    </row>
    <row r="302" spans="1:9" ht="337.5" customHeight="1" x14ac:dyDescent="0.25">
      <c r="A302" s="2" t="s">
        <v>89</v>
      </c>
      <c r="B302" s="2" t="s">
        <v>5343</v>
      </c>
      <c r="C302" s="2" t="s">
        <v>4659</v>
      </c>
      <c r="D302" s="2" t="s">
        <v>7153</v>
      </c>
      <c r="E302" s="2" t="s">
        <v>7154</v>
      </c>
      <c r="F302" s="2">
        <v>7</v>
      </c>
      <c r="G302" s="2" t="s">
        <v>7155</v>
      </c>
      <c r="H302" s="2">
        <v>1.24E-2</v>
      </c>
      <c r="I302" s="2">
        <v>8.6800000000000002E-2</v>
      </c>
    </row>
    <row r="303" spans="1:9" ht="337.5" customHeight="1" x14ac:dyDescent="0.25">
      <c r="A303" s="3" t="s">
        <v>89</v>
      </c>
      <c r="B303" s="3" t="s">
        <v>5343</v>
      </c>
      <c r="C303" s="3" t="s">
        <v>4659</v>
      </c>
      <c r="D303" s="3" t="s">
        <v>7184</v>
      </c>
      <c r="E303" s="3" t="s">
        <v>7185</v>
      </c>
      <c r="F303" s="3">
        <v>30</v>
      </c>
      <c r="G303" s="3" t="s">
        <v>7158</v>
      </c>
      <c r="H303" s="3">
        <v>9.4E-2</v>
      </c>
      <c r="I303" s="3">
        <v>2.82</v>
      </c>
    </row>
    <row r="304" spans="1:9" ht="337.5" customHeight="1" x14ac:dyDescent="0.25">
      <c r="A304" s="2" t="s">
        <v>89</v>
      </c>
      <c r="B304" s="2" t="s">
        <v>5343</v>
      </c>
      <c r="C304" s="2" t="s">
        <v>4659</v>
      </c>
      <c r="D304" s="2" t="s">
        <v>7186</v>
      </c>
      <c r="E304" s="2" t="s">
        <v>7187</v>
      </c>
      <c r="F304" s="2">
        <v>1</v>
      </c>
      <c r="G304" s="2" t="s">
        <v>7158</v>
      </c>
      <c r="H304" s="2">
        <v>26</v>
      </c>
      <c r="I304" s="2">
        <v>26</v>
      </c>
    </row>
    <row r="305" spans="1:9" ht="337.5" customHeight="1" x14ac:dyDescent="0.25">
      <c r="A305" s="3" t="s">
        <v>89</v>
      </c>
      <c r="B305" s="3" t="s">
        <v>5343</v>
      </c>
      <c r="C305" s="3" t="s">
        <v>4659</v>
      </c>
      <c r="D305" s="3" t="s">
        <v>7159</v>
      </c>
      <c r="E305" s="3" t="s">
        <v>7160</v>
      </c>
      <c r="F305" s="3">
        <v>20</v>
      </c>
      <c r="G305" s="3" t="s">
        <v>7155</v>
      </c>
      <c r="H305" s="3">
        <v>1.8319999999999999E-2</v>
      </c>
      <c r="I305" s="3">
        <v>0.3664</v>
      </c>
    </row>
    <row r="306" spans="1:9" ht="337.5" customHeight="1" x14ac:dyDescent="0.25">
      <c r="A306" s="2" t="s">
        <v>89</v>
      </c>
      <c r="B306" s="2" t="s">
        <v>5343</v>
      </c>
      <c r="C306" s="2" t="s">
        <v>4659</v>
      </c>
      <c r="D306" s="2" t="s">
        <v>7161</v>
      </c>
      <c r="E306" s="2" t="s">
        <v>7162</v>
      </c>
      <c r="F306" s="2">
        <v>0.186</v>
      </c>
      <c r="G306" s="2" t="s">
        <v>7163</v>
      </c>
      <c r="H306" s="2" t="s">
        <v>7164</v>
      </c>
      <c r="I306" s="2">
        <v>0.186</v>
      </c>
    </row>
    <row r="307" spans="1:9" ht="337.5" customHeight="1" x14ac:dyDescent="0.25">
      <c r="A307" s="3" t="s">
        <v>89</v>
      </c>
      <c r="B307" s="3" t="s">
        <v>5343</v>
      </c>
      <c r="C307" s="3" t="s">
        <v>4659</v>
      </c>
      <c r="D307" s="3" t="s">
        <v>7173</v>
      </c>
      <c r="E307" s="3" t="s">
        <v>7174</v>
      </c>
      <c r="F307" s="3">
        <v>1.65</v>
      </c>
      <c r="G307" s="3" t="s">
        <v>7163</v>
      </c>
      <c r="H307" s="3" t="s">
        <v>7164</v>
      </c>
      <c r="I307" s="3">
        <v>1.65</v>
      </c>
    </row>
    <row r="308" spans="1:9" ht="337.5" customHeight="1" x14ac:dyDescent="0.25">
      <c r="A308" s="2" t="s">
        <v>89</v>
      </c>
      <c r="B308" s="2" t="s">
        <v>5343</v>
      </c>
      <c r="C308" s="2" t="s">
        <v>4659</v>
      </c>
      <c r="D308" s="2" t="s">
        <v>7188</v>
      </c>
      <c r="E308" s="2" t="s">
        <v>7189</v>
      </c>
      <c r="F308" s="2">
        <v>4</v>
      </c>
      <c r="G308" s="2" t="s">
        <v>7158</v>
      </c>
      <c r="H308" s="2">
        <v>0.27</v>
      </c>
      <c r="I308" s="2">
        <v>1.08</v>
      </c>
    </row>
    <row r="309" spans="1:9" ht="337.5" customHeight="1" x14ac:dyDescent="0.25">
      <c r="A309" s="3" t="s">
        <v>89</v>
      </c>
      <c r="B309" s="3" t="s">
        <v>5343</v>
      </c>
      <c r="C309" s="3" t="s">
        <v>4659</v>
      </c>
      <c r="D309" s="3" t="s">
        <v>7165</v>
      </c>
      <c r="E309" s="3" t="s">
        <v>7166</v>
      </c>
      <c r="F309" s="3">
        <v>2</v>
      </c>
      <c r="G309" s="3" t="s">
        <v>7158</v>
      </c>
      <c r="H309" s="3">
        <v>0.1</v>
      </c>
      <c r="I309" s="3">
        <v>0.2</v>
      </c>
    </row>
    <row r="310" spans="1:9" ht="22.5" customHeight="1" x14ac:dyDescent="0.25">
      <c r="A310" s="2" t="s">
        <v>4603</v>
      </c>
      <c r="B310" s="2" t="s">
        <v>4602</v>
      </c>
      <c r="C310" s="2" t="s">
        <v>5040</v>
      </c>
      <c r="D310" s="2" t="s">
        <v>7153</v>
      </c>
      <c r="E310" s="2" t="s">
        <v>7154</v>
      </c>
      <c r="F310" s="2">
        <v>7</v>
      </c>
      <c r="G310" s="2" t="s">
        <v>7155</v>
      </c>
      <c r="H310" s="2">
        <v>1.24E-2</v>
      </c>
      <c r="I310" s="2">
        <v>8.6800000000000002E-2</v>
      </c>
    </row>
    <row r="311" spans="1:9" ht="22.5" customHeight="1" x14ac:dyDescent="0.25">
      <c r="A311" s="3" t="s">
        <v>4603</v>
      </c>
      <c r="B311" s="3" t="s">
        <v>4602</v>
      </c>
      <c r="C311" s="3" t="s">
        <v>5040</v>
      </c>
      <c r="D311" s="3" t="s">
        <v>7184</v>
      </c>
      <c r="E311" s="3" t="s">
        <v>7185</v>
      </c>
      <c r="F311" s="3">
        <v>30</v>
      </c>
      <c r="G311" s="3" t="s">
        <v>7158</v>
      </c>
      <c r="H311" s="3">
        <v>9.4E-2</v>
      </c>
      <c r="I311" s="3">
        <v>2.82</v>
      </c>
    </row>
    <row r="312" spans="1:9" ht="33.75" customHeight="1" x14ac:dyDescent="0.25">
      <c r="A312" s="2" t="s">
        <v>4603</v>
      </c>
      <c r="B312" s="2" t="s">
        <v>4602</v>
      </c>
      <c r="C312" s="2" t="s">
        <v>5040</v>
      </c>
      <c r="D312" s="2" t="s">
        <v>7186</v>
      </c>
      <c r="E312" s="2" t="s">
        <v>7187</v>
      </c>
      <c r="F312" s="2">
        <v>1</v>
      </c>
      <c r="G312" s="2" t="s">
        <v>7158</v>
      </c>
      <c r="H312" s="2">
        <v>26</v>
      </c>
      <c r="I312" s="2">
        <v>26</v>
      </c>
    </row>
    <row r="313" spans="1:9" ht="22.5" customHeight="1" x14ac:dyDescent="0.25">
      <c r="A313" s="3" t="s">
        <v>4603</v>
      </c>
      <c r="B313" s="3" t="s">
        <v>4602</v>
      </c>
      <c r="C313" s="3" t="s">
        <v>5040</v>
      </c>
      <c r="D313" s="3" t="s">
        <v>7159</v>
      </c>
      <c r="E313" s="3" t="s">
        <v>7160</v>
      </c>
      <c r="F313" s="3">
        <v>20</v>
      </c>
      <c r="G313" s="3" t="s">
        <v>7155</v>
      </c>
      <c r="H313" s="3">
        <v>1.8319999999999999E-2</v>
      </c>
      <c r="I313" s="3">
        <v>0.3664</v>
      </c>
    </row>
    <row r="314" spans="1:9" ht="22.5" customHeight="1" x14ac:dyDescent="0.25">
      <c r="A314" s="2" t="s">
        <v>4603</v>
      </c>
      <c r="B314" s="2" t="s">
        <v>4602</v>
      </c>
      <c r="C314" s="2" t="s">
        <v>5040</v>
      </c>
      <c r="D314" s="2" t="s">
        <v>7161</v>
      </c>
      <c r="E314" s="2" t="s">
        <v>7162</v>
      </c>
      <c r="F314" s="2">
        <v>0.186</v>
      </c>
      <c r="G314" s="2" t="s">
        <v>7163</v>
      </c>
      <c r="H314" s="2" t="s">
        <v>7164</v>
      </c>
      <c r="I314" s="2">
        <v>0.186</v>
      </c>
    </row>
    <row r="315" spans="1:9" ht="33.75" customHeight="1" x14ac:dyDescent="0.25">
      <c r="A315" s="3" t="s">
        <v>4603</v>
      </c>
      <c r="B315" s="3" t="s">
        <v>4602</v>
      </c>
      <c r="C315" s="3" t="s">
        <v>5040</v>
      </c>
      <c r="D315" s="3" t="s">
        <v>7188</v>
      </c>
      <c r="E315" s="3" t="s">
        <v>7189</v>
      </c>
      <c r="F315" s="3">
        <v>4</v>
      </c>
      <c r="G315" s="3" t="s">
        <v>7158</v>
      </c>
      <c r="H315" s="3">
        <v>0.27</v>
      </c>
      <c r="I315" s="3">
        <v>1.08</v>
      </c>
    </row>
    <row r="316" spans="1:9" ht="33.75" customHeight="1" x14ac:dyDescent="0.25">
      <c r="A316" s="2" t="s">
        <v>4603</v>
      </c>
      <c r="B316" s="2" t="s">
        <v>4602</v>
      </c>
      <c r="C316" s="2" t="s">
        <v>5040</v>
      </c>
      <c r="D316" s="2" t="s">
        <v>7165</v>
      </c>
      <c r="E316" s="2" t="s">
        <v>7166</v>
      </c>
      <c r="F316" s="2">
        <v>4</v>
      </c>
      <c r="G316" s="2" t="s">
        <v>7158</v>
      </c>
      <c r="H316" s="2">
        <v>0.1</v>
      </c>
      <c r="I316" s="2">
        <v>0.4</v>
      </c>
    </row>
    <row r="317" spans="1:9" ht="78.75" customHeight="1" x14ac:dyDescent="0.25">
      <c r="A317" s="3" t="s">
        <v>63</v>
      </c>
      <c r="B317" s="3" t="s">
        <v>5358</v>
      </c>
      <c r="C317" s="3" t="s">
        <v>4649</v>
      </c>
      <c r="D317" s="3" t="s">
        <v>7199</v>
      </c>
      <c r="E317" s="3" t="s">
        <v>7200</v>
      </c>
      <c r="F317" s="3">
        <v>30</v>
      </c>
      <c r="G317" s="3" t="s">
        <v>7158</v>
      </c>
      <c r="H317" s="3">
        <v>7.0999999999999994E-2</v>
      </c>
      <c r="I317" s="3">
        <v>2.13</v>
      </c>
    </row>
    <row r="318" spans="1:9" ht="78.75" customHeight="1" x14ac:dyDescent="0.25">
      <c r="A318" s="2" t="s">
        <v>63</v>
      </c>
      <c r="B318" s="2" t="s">
        <v>5358</v>
      </c>
      <c r="C318" s="2" t="s">
        <v>4649</v>
      </c>
      <c r="D318" s="2" t="s">
        <v>7186</v>
      </c>
      <c r="E318" s="2" t="s">
        <v>7187</v>
      </c>
      <c r="F318" s="2">
        <v>1</v>
      </c>
      <c r="G318" s="2" t="s">
        <v>7158</v>
      </c>
      <c r="H318" s="2">
        <v>26</v>
      </c>
      <c r="I318" s="2">
        <v>26</v>
      </c>
    </row>
    <row r="319" spans="1:9" ht="78.75" customHeight="1" x14ac:dyDescent="0.25">
      <c r="A319" s="3" t="s">
        <v>63</v>
      </c>
      <c r="B319" s="3" t="s">
        <v>5358</v>
      </c>
      <c r="C319" s="3" t="s">
        <v>4649</v>
      </c>
      <c r="D319" s="3" t="s">
        <v>7159</v>
      </c>
      <c r="E319" s="3" t="s">
        <v>7160</v>
      </c>
      <c r="F319" s="3">
        <v>20</v>
      </c>
      <c r="G319" s="3" t="s">
        <v>7155</v>
      </c>
      <c r="H319" s="3">
        <v>1.8319999999999999E-2</v>
      </c>
      <c r="I319" s="3">
        <v>0.3664</v>
      </c>
    </row>
    <row r="320" spans="1:9" ht="78.75" customHeight="1" x14ac:dyDescent="0.25">
      <c r="A320" s="2" t="s">
        <v>63</v>
      </c>
      <c r="B320" s="2" t="s">
        <v>5358</v>
      </c>
      <c r="C320" s="2" t="s">
        <v>4649</v>
      </c>
      <c r="D320" s="2" t="s">
        <v>7161</v>
      </c>
      <c r="E320" s="2" t="s">
        <v>7162</v>
      </c>
      <c r="F320" s="2">
        <v>0.186</v>
      </c>
      <c r="G320" s="2" t="s">
        <v>7163</v>
      </c>
      <c r="H320" s="2" t="s">
        <v>7164</v>
      </c>
      <c r="I320" s="2">
        <v>0.186</v>
      </c>
    </row>
    <row r="321" spans="1:9" ht="78.75" customHeight="1" x14ac:dyDescent="0.25">
      <c r="A321" s="3" t="s">
        <v>63</v>
      </c>
      <c r="B321" s="3" t="s">
        <v>5358</v>
      </c>
      <c r="C321" s="3" t="s">
        <v>4649</v>
      </c>
      <c r="D321" s="3" t="s">
        <v>7173</v>
      </c>
      <c r="E321" s="3" t="s">
        <v>7174</v>
      </c>
      <c r="F321" s="3">
        <v>1.65</v>
      </c>
      <c r="G321" s="3" t="s">
        <v>7163</v>
      </c>
      <c r="H321" s="3" t="s">
        <v>7164</v>
      </c>
      <c r="I321" s="3">
        <v>1.65</v>
      </c>
    </row>
    <row r="322" spans="1:9" ht="78.75" customHeight="1" x14ac:dyDescent="0.25">
      <c r="A322" s="2" t="s">
        <v>63</v>
      </c>
      <c r="B322" s="2" t="s">
        <v>5358</v>
      </c>
      <c r="C322" s="2" t="s">
        <v>4649</v>
      </c>
      <c r="D322" s="2" t="s">
        <v>7188</v>
      </c>
      <c r="E322" s="2" t="s">
        <v>7189</v>
      </c>
      <c r="F322" s="2">
        <v>4</v>
      </c>
      <c r="G322" s="2" t="s">
        <v>7158</v>
      </c>
      <c r="H322" s="2">
        <v>0.27</v>
      </c>
      <c r="I322" s="2">
        <v>1.08</v>
      </c>
    </row>
    <row r="323" spans="1:9" ht="112.5" customHeight="1" x14ac:dyDescent="0.25">
      <c r="A323" s="3" t="s">
        <v>69</v>
      </c>
      <c r="B323" s="3" t="s">
        <v>5366</v>
      </c>
      <c r="C323" s="3" t="s">
        <v>4651</v>
      </c>
      <c r="D323" s="3" t="s">
        <v>7184</v>
      </c>
      <c r="E323" s="3" t="s">
        <v>7185</v>
      </c>
      <c r="F323" s="3">
        <v>30</v>
      </c>
      <c r="G323" s="3" t="s">
        <v>7158</v>
      </c>
      <c r="H323" s="3">
        <v>9.4E-2</v>
      </c>
      <c r="I323" s="3">
        <v>2.82</v>
      </c>
    </row>
    <row r="324" spans="1:9" ht="112.5" customHeight="1" x14ac:dyDescent="0.25">
      <c r="A324" s="2" t="s">
        <v>69</v>
      </c>
      <c r="B324" s="2" t="s">
        <v>5366</v>
      </c>
      <c r="C324" s="2" t="s">
        <v>4651</v>
      </c>
      <c r="D324" s="2" t="s">
        <v>7186</v>
      </c>
      <c r="E324" s="2" t="s">
        <v>7187</v>
      </c>
      <c r="F324" s="2">
        <v>1</v>
      </c>
      <c r="G324" s="2" t="s">
        <v>7158</v>
      </c>
      <c r="H324" s="2">
        <v>26</v>
      </c>
      <c r="I324" s="2">
        <v>26</v>
      </c>
    </row>
    <row r="325" spans="1:9" ht="112.5" customHeight="1" x14ac:dyDescent="0.25">
      <c r="A325" s="3" t="s">
        <v>69</v>
      </c>
      <c r="B325" s="3" t="s">
        <v>5366</v>
      </c>
      <c r="C325" s="3" t="s">
        <v>4651</v>
      </c>
      <c r="D325" s="3" t="s">
        <v>7159</v>
      </c>
      <c r="E325" s="3" t="s">
        <v>7160</v>
      </c>
      <c r="F325" s="3">
        <v>20</v>
      </c>
      <c r="G325" s="3" t="s">
        <v>7155</v>
      </c>
      <c r="H325" s="3">
        <v>1.8319999999999999E-2</v>
      </c>
      <c r="I325" s="3">
        <v>0.3664</v>
      </c>
    </row>
    <row r="326" spans="1:9" ht="112.5" customHeight="1" x14ac:dyDescent="0.25">
      <c r="A326" s="2" t="s">
        <v>69</v>
      </c>
      <c r="B326" s="2" t="s">
        <v>5366</v>
      </c>
      <c r="C326" s="2" t="s">
        <v>4651</v>
      </c>
      <c r="D326" s="2" t="s">
        <v>7161</v>
      </c>
      <c r="E326" s="2" t="s">
        <v>7162</v>
      </c>
      <c r="F326" s="2">
        <v>0.186</v>
      </c>
      <c r="G326" s="2" t="s">
        <v>7163</v>
      </c>
      <c r="H326" s="2" t="s">
        <v>7164</v>
      </c>
      <c r="I326" s="2">
        <v>0.186</v>
      </c>
    </row>
    <row r="327" spans="1:9" ht="112.5" customHeight="1" x14ac:dyDescent="0.25">
      <c r="A327" s="3" t="s">
        <v>69</v>
      </c>
      <c r="B327" s="3" t="s">
        <v>5366</v>
      </c>
      <c r="C327" s="3" t="s">
        <v>4651</v>
      </c>
      <c r="D327" s="3" t="s">
        <v>7173</v>
      </c>
      <c r="E327" s="3" t="s">
        <v>7174</v>
      </c>
      <c r="F327" s="3">
        <v>1.65</v>
      </c>
      <c r="G327" s="3" t="s">
        <v>7163</v>
      </c>
      <c r="H327" s="3" t="s">
        <v>7164</v>
      </c>
      <c r="I327" s="3">
        <v>1.65</v>
      </c>
    </row>
    <row r="328" spans="1:9" ht="112.5" customHeight="1" x14ac:dyDescent="0.25">
      <c r="A328" s="2" t="s">
        <v>69</v>
      </c>
      <c r="B328" s="2" t="s">
        <v>5366</v>
      </c>
      <c r="C328" s="2" t="s">
        <v>4651</v>
      </c>
      <c r="D328" s="2" t="s">
        <v>7188</v>
      </c>
      <c r="E328" s="2" t="s">
        <v>7189</v>
      </c>
      <c r="F328" s="2">
        <v>4</v>
      </c>
      <c r="G328" s="2" t="s">
        <v>7158</v>
      </c>
      <c r="H328" s="2">
        <v>0.27</v>
      </c>
      <c r="I328" s="2">
        <v>1.08</v>
      </c>
    </row>
    <row r="329" spans="1:9" ht="22.5" customHeight="1" x14ac:dyDescent="0.25">
      <c r="A329" s="3" t="s">
        <v>436</v>
      </c>
      <c r="B329" s="3" t="s">
        <v>5374</v>
      </c>
      <c r="C329" s="3" t="s">
        <v>4740</v>
      </c>
      <c r="D329" s="3" t="s">
        <v>7153</v>
      </c>
      <c r="E329" s="3" t="s">
        <v>7154</v>
      </c>
      <c r="F329" s="3">
        <v>14</v>
      </c>
      <c r="G329" s="3" t="s">
        <v>7155</v>
      </c>
      <c r="H329" s="3">
        <v>1.24E-2</v>
      </c>
      <c r="I329" s="3">
        <v>0.1736</v>
      </c>
    </row>
    <row r="330" spans="1:9" ht="22.5" customHeight="1" x14ac:dyDescent="0.25">
      <c r="A330" s="2" t="s">
        <v>436</v>
      </c>
      <c r="B330" s="2" t="s">
        <v>5374</v>
      </c>
      <c r="C330" s="2" t="s">
        <v>4740</v>
      </c>
      <c r="D330" s="2" t="s">
        <v>7199</v>
      </c>
      <c r="E330" s="2" t="s">
        <v>7200</v>
      </c>
      <c r="F330" s="2">
        <v>30</v>
      </c>
      <c r="G330" s="2" t="s">
        <v>7158</v>
      </c>
      <c r="H330" s="2">
        <v>7.0999999999999994E-2</v>
      </c>
      <c r="I330" s="2">
        <v>2.13</v>
      </c>
    </row>
    <row r="331" spans="1:9" ht="33.75" customHeight="1" x14ac:dyDescent="0.25">
      <c r="A331" s="3" t="s">
        <v>436</v>
      </c>
      <c r="B331" s="3" t="s">
        <v>5374</v>
      </c>
      <c r="C331" s="3" t="s">
        <v>4740</v>
      </c>
      <c r="D331" s="3" t="s">
        <v>7186</v>
      </c>
      <c r="E331" s="3" t="s">
        <v>7187</v>
      </c>
      <c r="F331" s="3">
        <v>1</v>
      </c>
      <c r="G331" s="3" t="s">
        <v>7158</v>
      </c>
      <c r="H331" s="3">
        <v>26</v>
      </c>
      <c r="I331" s="3">
        <v>26</v>
      </c>
    </row>
    <row r="332" spans="1:9" ht="22.5" customHeight="1" x14ac:dyDescent="0.25">
      <c r="A332" s="2" t="s">
        <v>436</v>
      </c>
      <c r="B332" s="2" t="s">
        <v>5374</v>
      </c>
      <c r="C332" s="2" t="s">
        <v>4740</v>
      </c>
      <c r="D332" s="2" t="s">
        <v>7159</v>
      </c>
      <c r="E332" s="2" t="s">
        <v>7160</v>
      </c>
      <c r="F332" s="2">
        <v>20</v>
      </c>
      <c r="G332" s="2" t="s">
        <v>7155</v>
      </c>
      <c r="H332" s="2">
        <v>1.8319999999999999E-2</v>
      </c>
      <c r="I332" s="2">
        <v>0.3664</v>
      </c>
    </row>
    <row r="333" spans="1:9" ht="22.5" customHeight="1" x14ac:dyDescent="0.25">
      <c r="A333" s="3" t="s">
        <v>436</v>
      </c>
      <c r="B333" s="3" t="s">
        <v>5374</v>
      </c>
      <c r="C333" s="3" t="s">
        <v>4740</v>
      </c>
      <c r="D333" s="3" t="s">
        <v>7190</v>
      </c>
      <c r="E333" s="3" t="s">
        <v>7191</v>
      </c>
      <c r="F333" s="3">
        <v>0.59699999999999998</v>
      </c>
      <c r="G333" s="3" t="s">
        <v>7163</v>
      </c>
      <c r="H333" s="3" t="s">
        <v>7164</v>
      </c>
      <c r="I333" s="3">
        <v>0.59699999999999998</v>
      </c>
    </row>
    <row r="334" spans="1:9" ht="33.75" customHeight="1" x14ac:dyDescent="0.25">
      <c r="A334" s="2" t="s">
        <v>436</v>
      </c>
      <c r="B334" s="2" t="s">
        <v>5374</v>
      </c>
      <c r="C334" s="2" t="s">
        <v>4740</v>
      </c>
      <c r="D334" s="2" t="s">
        <v>7188</v>
      </c>
      <c r="E334" s="2" t="s">
        <v>7189</v>
      </c>
      <c r="F334" s="2">
        <v>4</v>
      </c>
      <c r="G334" s="2" t="s">
        <v>7158</v>
      </c>
      <c r="H334" s="2">
        <v>0.27</v>
      </c>
      <c r="I334" s="2">
        <v>1.08</v>
      </c>
    </row>
    <row r="335" spans="1:9" ht="33.75" customHeight="1" x14ac:dyDescent="0.25">
      <c r="A335" s="3" t="s">
        <v>436</v>
      </c>
      <c r="B335" s="3" t="s">
        <v>5374</v>
      </c>
      <c r="C335" s="3" t="s">
        <v>4740</v>
      </c>
      <c r="D335" s="3" t="s">
        <v>7192</v>
      </c>
      <c r="E335" s="3" t="s">
        <v>7193</v>
      </c>
      <c r="F335" s="3">
        <v>4</v>
      </c>
      <c r="G335" s="3" t="s">
        <v>7158</v>
      </c>
      <c r="H335" s="3">
        <v>0.03</v>
      </c>
      <c r="I335" s="3">
        <v>0.12</v>
      </c>
    </row>
    <row r="336" spans="1:9" ht="22.5" customHeight="1" x14ac:dyDescent="0.25">
      <c r="A336" s="2" t="s">
        <v>426</v>
      </c>
      <c r="B336" s="2" t="s">
        <v>5382</v>
      </c>
      <c r="C336" s="2" t="s">
        <v>4738</v>
      </c>
      <c r="D336" s="2" t="s">
        <v>7153</v>
      </c>
      <c r="E336" s="2" t="s">
        <v>7154</v>
      </c>
      <c r="F336" s="2">
        <v>14</v>
      </c>
      <c r="G336" s="2" t="s">
        <v>7155</v>
      </c>
      <c r="H336" s="2">
        <v>1.24E-2</v>
      </c>
      <c r="I336" s="2">
        <v>0.1736</v>
      </c>
    </row>
    <row r="337" spans="1:9" ht="22.5" customHeight="1" x14ac:dyDescent="0.25">
      <c r="A337" s="3" t="s">
        <v>426</v>
      </c>
      <c r="B337" s="3" t="s">
        <v>5382</v>
      </c>
      <c r="C337" s="3" t="s">
        <v>4738</v>
      </c>
      <c r="D337" s="3" t="s">
        <v>7184</v>
      </c>
      <c r="E337" s="3" t="s">
        <v>7185</v>
      </c>
      <c r="F337" s="3">
        <v>30</v>
      </c>
      <c r="G337" s="3" t="s">
        <v>7158</v>
      </c>
      <c r="H337" s="3">
        <v>9.4E-2</v>
      </c>
      <c r="I337" s="3">
        <v>2.82</v>
      </c>
    </row>
    <row r="338" spans="1:9" ht="33.75" customHeight="1" x14ac:dyDescent="0.25">
      <c r="A338" s="2" t="s">
        <v>426</v>
      </c>
      <c r="B338" s="2" t="s">
        <v>5382</v>
      </c>
      <c r="C338" s="2" t="s">
        <v>4738</v>
      </c>
      <c r="D338" s="2" t="s">
        <v>7186</v>
      </c>
      <c r="E338" s="2" t="s">
        <v>7187</v>
      </c>
      <c r="F338" s="2">
        <v>1</v>
      </c>
      <c r="G338" s="2" t="s">
        <v>7158</v>
      </c>
      <c r="H338" s="2">
        <v>26</v>
      </c>
      <c r="I338" s="2">
        <v>26</v>
      </c>
    </row>
    <row r="339" spans="1:9" ht="22.5" customHeight="1" x14ac:dyDescent="0.25">
      <c r="A339" s="3" t="s">
        <v>426</v>
      </c>
      <c r="B339" s="3" t="s">
        <v>5382</v>
      </c>
      <c r="C339" s="3" t="s">
        <v>4738</v>
      </c>
      <c r="D339" s="3" t="s">
        <v>7159</v>
      </c>
      <c r="E339" s="3" t="s">
        <v>7160</v>
      </c>
      <c r="F339" s="3">
        <v>20</v>
      </c>
      <c r="G339" s="3" t="s">
        <v>7155</v>
      </c>
      <c r="H339" s="3">
        <v>1.8319999999999999E-2</v>
      </c>
      <c r="I339" s="3">
        <v>0.3664</v>
      </c>
    </row>
    <row r="340" spans="1:9" ht="22.5" customHeight="1" x14ac:dyDescent="0.25">
      <c r="A340" s="2" t="s">
        <v>426</v>
      </c>
      <c r="B340" s="2" t="s">
        <v>5382</v>
      </c>
      <c r="C340" s="2" t="s">
        <v>4738</v>
      </c>
      <c r="D340" s="2" t="s">
        <v>7190</v>
      </c>
      <c r="E340" s="2" t="s">
        <v>7191</v>
      </c>
      <c r="F340" s="2">
        <v>0.59699999999999998</v>
      </c>
      <c r="G340" s="2" t="s">
        <v>7163</v>
      </c>
      <c r="H340" s="2" t="s">
        <v>7164</v>
      </c>
      <c r="I340" s="2">
        <v>0.59699999999999998</v>
      </c>
    </row>
    <row r="341" spans="1:9" ht="33.75" customHeight="1" x14ac:dyDescent="0.25">
      <c r="A341" s="3" t="s">
        <v>426</v>
      </c>
      <c r="B341" s="3" t="s">
        <v>5382</v>
      </c>
      <c r="C341" s="3" t="s">
        <v>4738</v>
      </c>
      <c r="D341" s="3" t="s">
        <v>7188</v>
      </c>
      <c r="E341" s="3" t="s">
        <v>7189</v>
      </c>
      <c r="F341" s="3">
        <v>4</v>
      </c>
      <c r="G341" s="3" t="s">
        <v>7158</v>
      </c>
      <c r="H341" s="3">
        <v>0.27</v>
      </c>
      <c r="I341" s="3">
        <v>1.08</v>
      </c>
    </row>
    <row r="342" spans="1:9" ht="33.75" customHeight="1" x14ac:dyDescent="0.25">
      <c r="A342" s="2" t="s">
        <v>426</v>
      </c>
      <c r="B342" s="2" t="s">
        <v>5382</v>
      </c>
      <c r="C342" s="2" t="s">
        <v>4738</v>
      </c>
      <c r="D342" s="2" t="s">
        <v>7192</v>
      </c>
      <c r="E342" s="2" t="s">
        <v>7193</v>
      </c>
      <c r="F342" s="2">
        <v>4</v>
      </c>
      <c r="G342" s="2" t="s">
        <v>7158</v>
      </c>
      <c r="H342" s="2">
        <v>0.03</v>
      </c>
      <c r="I342" s="2">
        <v>0.12</v>
      </c>
    </row>
    <row r="343" spans="1:9" x14ac:dyDescent="0.25">
      <c r="A343" s="3" t="s">
        <v>344</v>
      </c>
      <c r="B343" s="3" t="s">
        <v>343</v>
      </c>
      <c r="C343" s="3" t="s">
        <v>4712</v>
      </c>
      <c r="D343" s="3" t="s">
        <v>7153</v>
      </c>
      <c r="E343" s="3"/>
      <c r="F343" s="3">
        <v>7</v>
      </c>
      <c r="G343" s="3" t="s">
        <v>7155</v>
      </c>
      <c r="H343" s="3">
        <v>1.24E-2</v>
      </c>
      <c r="I343" s="3">
        <v>8.6800000000000002E-2</v>
      </c>
    </row>
    <row r="344" spans="1:9" x14ac:dyDescent="0.25">
      <c r="A344" s="2" t="s">
        <v>344</v>
      </c>
      <c r="B344" s="2" t="s">
        <v>343</v>
      </c>
      <c r="C344" s="2" t="s">
        <v>4712</v>
      </c>
      <c r="D344" s="2" t="s">
        <v>7182</v>
      </c>
      <c r="E344" s="2"/>
      <c r="F344" s="2">
        <v>30</v>
      </c>
      <c r="G344" s="2" t="s">
        <v>7158</v>
      </c>
      <c r="H344" s="2">
        <v>0.10161000000000001</v>
      </c>
      <c r="I344" s="2">
        <v>3.0482999999999998</v>
      </c>
    </row>
    <row r="345" spans="1:9" x14ac:dyDescent="0.25">
      <c r="A345" s="3" t="s">
        <v>344</v>
      </c>
      <c r="B345" s="3" t="s">
        <v>343</v>
      </c>
      <c r="C345" s="3" t="s">
        <v>4712</v>
      </c>
      <c r="D345" s="3" t="s">
        <v>7186</v>
      </c>
      <c r="E345" s="3"/>
      <c r="F345" s="3">
        <v>1</v>
      </c>
      <c r="G345" s="3" t="s">
        <v>7158</v>
      </c>
      <c r="H345" s="3">
        <v>26</v>
      </c>
      <c r="I345" s="3">
        <v>26</v>
      </c>
    </row>
    <row r="346" spans="1:9" x14ac:dyDescent="0.25">
      <c r="A346" s="2" t="s">
        <v>344</v>
      </c>
      <c r="B346" s="2" t="s">
        <v>343</v>
      </c>
      <c r="C346" s="2" t="s">
        <v>4712</v>
      </c>
      <c r="D346" s="2" t="s">
        <v>7159</v>
      </c>
      <c r="E346" s="2"/>
      <c r="F346" s="2">
        <v>20</v>
      </c>
      <c r="G346" s="2" t="s">
        <v>7155</v>
      </c>
      <c r="H346" s="2">
        <v>1.8319999999999999E-2</v>
      </c>
      <c r="I346" s="2">
        <v>0.3664</v>
      </c>
    </row>
    <row r="347" spans="1:9" x14ac:dyDescent="0.25">
      <c r="A347" s="3" t="s">
        <v>344</v>
      </c>
      <c r="B347" s="3" t="s">
        <v>343</v>
      </c>
      <c r="C347" s="3" t="s">
        <v>4712</v>
      </c>
      <c r="D347" s="3" t="s">
        <v>7161</v>
      </c>
      <c r="E347" s="3"/>
      <c r="F347" s="3">
        <v>0.186</v>
      </c>
      <c r="G347" s="3" t="s">
        <v>7163</v>
      </c>
      <c r="H347" s="3">
        <v>0</v>
      </c>
      <c r="I347" s="3">
        <v>0</v>
      </c>
    </row>
    <row r="348" spans="1:9" x14ac:dyDescent="0.25">
      <c r="A348" s="2" t="s">
        <v>344</v>
      </c>
      <c r="B348" s="2" t="s">
        <v>343</v>
      </c>
      <c r="C348" s="2" t="s">
        <v>4712</v>
      </c>
      <c r="D348" s="2" t="s">
        <v>7173</v>
      </c>
      <c r="E348" s="2"/>
      <c r="F348" s="2">
        <v>1.65</v>
      </c>
      <c r="G348" s="2" t="s">
        <v>7163</v>
      </c>
      <c r="H348" s="2">
        <v>0</v>
      </c>
      <c r="I348" s="2">
        <v>0</v>
      </c>
    </row>
    <row r="349" spans="1:9" x14ac:dyDescent="0.25">
      <c r="A349" s="3" t="s">
        <v>344</v>
      </c>
      <c r="B349" s="3" t="s">
        <v>343</v>
      </c>
      <c r="C349" s="3" t="s">
        <v>4712</v>
      </c>
      <c r="D349" s="3" t="s">
        <v>7188</v>
      </c>
      <c r="E349" s="3"/>
      <c r="F349" s="3">
        <v>4</v>
      </c>
      <c r="G349" s="3" t="s">
        <v>7158</v>
      </c>
      <c r="H349" s="3">
        <v>0.27</v>
      </c>
      <c r="I349" s="3">
        <v>1.08</v>
      </c>
    </row>
    <row r="350" spans="1:9" x14ac:dyDescent="0.25">
      <c r="A350" s="2" t="s">
        <v>344</v>
      </c>
      <c r="B350" s="2" t="s">
        <v>343</v>
      </c>
      <c r="C350" s="2" t="s">
        <v>4712</v>
      </c>
      <c r="D350" s="2" t="s">
        <v>7165</v>
      </c>
      <c r="E350" s="2"/>
      <c r="F350" s="2">
        <v>2</v>
      </c>
      <c r="G350" s="2" t="s">
        <v>7158</v>
      </c>
      <c r="H350" s="2">
        <v>0.1</v>
      </c>
      <c r="I350" s="2">
        <v>0.2</v>
      </c>
    </row>
    <row r="351" spans="1:9" ht="22.5" customHeight="1" x14ac:dyDescent="0.25">
      <c r="A351" s="3" t="s">
        <v>2582</v>
      </c>
      <c r="B351" s="3" t="s">
        <v>5396</v>
      </c>
      <c r="C351" s="3" t="s">
        <v>4929</v>
      </c>
      <c r="D351" s="3" t="s">
        <v>7153</v>
      </c>
      <c r="E351" s="3" t="s">
        <v>7154</v>
      </c>
      <c r="F351" s="3">
        <v>14</v>
      </c>
      <c r="G351" s="3" t="s">
        <v>7155</v>
      </c>
      <c r="H351" s="3">
        <v>1.24E-2</v>
      </c>
      <c r="I351" s="3">
        <v>0.1736</v>
      </c>
    </row>
    <row r="352" spans="1:9" ht="22.5" customHeight="1" x14ac:dyDescent="0.25">
      <c r="A352" s="2" t="s">
        <v>2582</v>
      </c>
      <c r="B352" s="2" t="s">
        <v>5396</v>
      </c>
      <c r="C352" s="2" t="s">
        <v>4929</v>
      </c>
      <c r="D352" s="2" t="s">
        <v>7156</v>
      </c>
      <c r="E352" s="2" t="s">
        <v>7157</v>
      </c>
      <c r="F352" s="2">
        <v>1</v>
      </c>
      <c r="G352" s="2" t="s">
        <v>7158</v>
      </c>
      <c r="H352" s="2">
        <v>26</v>
      </c>
      <c r="I352" s="2">
        <v>26</v>
      </c>
    </row>
    <row r="353" spans="1:9" ht="22.5" customHeight="1" x14ac:dyDescent="0.25">
      <c r="A353" s="3" t="s">
        <v>2582</v>
      </c>
      <c r="B353" s="3" t="s">
        <v>5396</v>
      </c>
      <c r="C353" s="3" t="s">
        <v>4929</v>
      </c>
      <c r="D353" s="3" t="s">
        <v>7159</v>
      </c>
      <c r="E353" s="3" t="s">
        <v>7160</v>
      </c>
      <c r="F353" s="3">
        <v>20</v>
      </c>
      <c r="G353" s="3" t="s">
        <v>7155</v>
      </c>
      <c r="H353" s="3">
        <v>1.8319999999999999E-2</v>
      </c>
      <c r="I353" s="3">
        <v>0.3664</v>
      </c>
    </row>
    <row r="354" spans="1:9" ht="22.5" customHeight="1" x14ac:dyDescent="0.25">
      <c r="A354" s="2" t="s">
        <v>2582</v>
      </c>
      <c r="B354" s="2" t="s">
        <v>5396</v>
      </c>
      <c r="C354" s="2" t="s">
        <v>4929</v>
      </c>
      <c r="D354" s="2" t="s">
        <v>7161</v>
      </c>
      <c r="E354" s="2" t="s">
        <v>7162</v>
      </c>
      <c r="F354" s="2">
        <v>0.186</v>
      </c>
      <c r="G354" s="2" t="s">
        <v>7163</v>
      </c>
      <c r="H354" s="2" t="s">
        <v>7164</v>
      </c>
      <c r="I354" s="2">
        <v>0.186</v>
      </c>
    </row>
    <row r="355" spans="1:9" ht="33.75" customHeight="1" x14ac:dyDescent="0.25">
      <c r="A355" s="3" t="s">
        <v>2582</v>
      </c>
      <c r="B355" s="3" t="s">
        <v>5396</v>
      </c>
      <c r="C355" s="3" t="s">
        <v>4929</v>
      </c>
      <c r="D355" s="3" t="s">
        <v>7165</v>
      </c>
      <c r="E355" s="3" t="s">
        <v>7166</v>
      </c>
      <c r="F355" s="3">
        <v>4</v>
      </c>
      <c r="G355" s="3" t="s">
        <v>7158</v>
      </c>
      <c r="H355" s="3">
        <v>0.1</v>
      </c>
      <c r="I355" s="3">
        <v>0.4</v>
      </c>
    </row>
    <row r="356" spans="1:9" ht="33.75" customHeight="1" x14ac:dyDescent="0.25">
      <c r="A356" s="2" t="s">
        <v>2582</v>
      </c>
      <c r="B356" s="2" t="s">
        <v>5396</v>
      </c>
      <c r="C356" s="2" t="s">
        <v>4929</v>
      </c>
      <c r="D356" s="2" t="s">
        <v>7167</v>
      </c>
      <c r="E356" s="2" t="s">
        <v>7168</v>
      </c>
      <c r="F356" s="2">
        <v>4</v>
      </c>
      <c r="G356" s="2" t="s">
        <v>7158</v>
      </c>
      <c r="H356" s="2">
        <v>0.2</v>
      </c>
      <c r="I356" s="2">
        <v>0.8</v>
      </c>
    </row>
    <row r="357" spans="1:9" ht="22.5" customHeight="1" x14ac:dyDescent="0.25">
      <c r="A357" s="3" t="s">
        <v>1767</v>
      </c>
      <c r="B357" s="3" t="s">
        <v>5402</v>
      </c>
      <c r="C357" s="3" t="s">
        <v>4855</v>
      </c>
      <c r="D357" s="3" t="s">
        <v>7153</v>
      </c>
      <c r="E357" s="3" t="s">
        <v>7154</v>
      </c>
      <c r="F357" s="3">
        <v>14</v>
      </c>
      <c r="G357" s="3" t="s">
        <v>7155</v>
      </c>
      <c r="H357" s="3">
        <v>1.24E-2</v>
      </c>
      <c r="I357" s="3">
        <v>0.1736</v>
      </c>
    </row>
    <row r="358" spans="1:9" ht="22.5" customHeight="1" x14ac:dyDescent="0.25">
      <c r="A358" s="2" t="s">
        <v>1767</v>
      </c>
      <c r="B358" s="2" t="s">
        <v>5402</v>
      </c>
      <c r="C358" s="2" t="s">
        <v>4855</v>
      </c>
      <c r="D358" s="2" t="s">
        <v>7210</v>
      </c>
      <c r="E358" s="2" t="s">
        <v>7211</v>
      </c>
      <c r="F358" s="2">
        <v>34</v>
      </c>
      <c r="G358" s="2" t="s">
        <v>7158</v>
      </c>
      <c r="H358" s="2">
        <v>6.2399999999999997E-2</v>
      </c>
      <c r="I358" s="2">
        <v>2.1215999999999999</v>
      </c>
    </row>
    <row r="359" spans="1:9" ht="33.75" customHeight="1" x14ac:dyDescent="0.25">
      <c r="A359" s="3" t="s">
        <v>1767</v>
      </c>
      <c r="B359" s="3" t="s">
        <v>5402</v>
      </c>
      <c r="C359" s="3" t="s">
        <v>4855</v>
      </c>
      <c r="D359" s="3" t="s">
        <v>7186</v>
      </c>
      <c r="E359" s="3" t="s">
        <v>7187</v>
      </c>
      <c r="F359" s="3">
        <v>1</v>
      </c>
      <c r="G359" s="3" t="s">
        <v>7158</v>
      </c>
      <c r="H359" s="3">
        <v>26</v>
      </c>
      <c r="I359" s="3">
        <v>26</v>
      </c>
    </row>
    <row r="360" spans="1:9" ht="22.5" customHeight="1" x14ac:dyDescent="0.25">
      <c r="A360" s="2" t="s">
        <v>1767</v>
      </c>
      <c r="B360" s="2" t="s">
        <v>5402</v>
      </c>
      <c r="C360" s="2" t="s">
        <v>4855</v>
      </c>
      <c r="D360" s="2" t="s">
        <v>7159</v>
      </c>
      <c r="E360" s="2" t="s">
        <v>7160</v>
      </c>
      <c r="F360" s="2">
        <v>20</v>
      </c>
      <c r="G360" s="2" t="s">
        <v>7155</v>
      </c>
      <c r="H360" s="2">
        <v>1.8319999999999999E-2</v>
      </c>
      <c r="I360" s="2">
        <v>0.3664</v>
      </c>
    </row>
    <row r="361" spans="1:9" ht="22.5" customHeight="1" x14ac:dyDescent="0.25">
      <c r="A361" s="3" t="s">
        <v>1767</v>
      </c>
      <c r="B361" s="3" t="s">
        <v>5402</v>
      </c>
      <c r="C361" s="3" t="s">
        <v>4855</v>
      </c>
      <c r="D361" s="3" t="s">
        <v>7161</v>
      </c>
      <c r="E361" s="3" t="s">
        <v>7162</v>
      </c>
      <c r="F361" s="3">
        <v>0.186</v>
      </c>
      <c r="G361" s="3" t="s">
        <v>7163</v>
      </c>
      <c r="H361" s="3" t="s">
        <v>7164</v>
      </c>
      <c r="I361" s="3">
        <v>0.186</v>
      </c>
    </row>
    <row r="362" spans="1:9" ht="33.75" customHeight="1" x14ac:dyDescent="0.25">
      <c r="A362" s="2" t="s">
        <v>1767</v>
      </c>
      <c r="B362" s="2" t="s">
        <v>5402</v>
      </c>
      <c r="C362" s="2" t="s">
        <v>4855</v>
      </c>
      <c r="D362" s="2" t="s">
        <v>7212</v>
      </c>
      <c r="E362" s="2" t="s">
        <v>7213</v>
      </c>
      <c r="F362" s="2">
        <v>6</v>
      </c>
      <c r="G362" s="2" t="s">
        <v>7158</v>
      </c>
      <c r="H362" s="2">
        <v>0.21</v>
      </c>
      <c r="I362" s="2">
        <v>1.26</v>
      </c>
    </row>
    <row r="363" spans="1:9" ht="33.75" customHeight="1" x14ac:dyDescent="0.25">
      <c r="A363" s="3" t="s">
        <v>1767</v>
      </c>
      <c r="B363" s="3" t="s">
        <v>5402</v>
      </c>
      <c r="C363" s="3" t="s">
        <v>4855</v>
      </c>
      <c r="D363" s="3" t="s">
        <v>7188</v>
      </c>
      <c r="E363" s="3" t="s">
        <v>7189</v>
      </c>
      <c r="F363" s="3">
        <v>3</v>
      </c>
      <c r="G363" s="3" t="s">
        <v>7158</v>
      </c>
      <c r="H363" s="3">
        <v>0.27</v>
      </c>
      <c r="I363" s="3">
        <v>0.81</v>
      </c>
    </row>
    <row r="364" spans="1:9" ht="22.5" customHeight="1" x14ac:dyDescent="0.25">
      <c r="A364" s="2" t="s">
        <v>1767</v>
      </c>
      <c r="B364" s="2" t="s">
        <v>5402</v>
      </c>
      <c r="C364" s="2" t="s">
        <v>4855</v>
      </c>
      <c r="D364" s="2" t="s">
        <v>7214</v>
      </c>
      <c r="E364" s="2" t="s">
        <v>7215</v>
      </c>
      <c r="F364" s="2">
        <v>34</v>
      </c>
      <c r="G364" s="2" t="s">
        <v>7158</v>
      </c>
      <c r="H364" s="2">
        <v>0.28999999999999998</v>
      </c>
      <c r="I364" s="2">
        <v>9.86</v>
      </c>
    </row>
    <row r="365" spans="1:9" ht="22.5" customHeight="1" x14ac:dyDescent="0.25">
      <c r="A365" s="3" t="s">
        <v>1759</v>
      </c>
      <c r="B365" s="3" t="s">
        <v>1758</v>
      </c>
      <c r="C365" s="3" t="s">
        <v>4853</v>
      </c>
      <c r="D365" s="3" t="s">
        <v>7153</v>
      </c>
      <c r="E365" s="3" t="s">
        <v>7154</v>
      </c>
      <c r="F365" s="3">
        <v>14</v>
      </c>
      <c r="G365" s="3" t="s">
        <v>7155</v>
      </c>
      <c r="H365" s="3">
        <v>1.24E-2</v>
      </c>
      <c r="I365" s="3">
        <v>0.1736</v>
      </c>
    </row>
    <row r="366" spans="1:9" ht="33.75" customHeight="1" x14ac:dyDescent="0.25">
      <c r="A366" s="2" t="s">
        <v>1759</v>
      </c>
      <c r="B366" s="2" t="s">
        <v>1758</v>
      </c>
      <c r="C366" s="2" t="s">
        <v>4853</v>
      </c>
      <c r="D366" s="2" t="s">
        <v>7186</v>
      </c>
      <c r="E366" s="2" t="s">
        <v>7187</v>
      </c>
      <c r="F366" s="2">
        <v>1</v>
      </c>
      <c r="G366" s="2" t="s">
        <v>7158</v>
      </c>
      <c r="H366" s="2">
        <v>26</v>
      </c>
      <c r="I366" s="2">
        <v>26</v>
      </c>
    </row>
    <row r="367" spans="1:9" ht="22.5" customHeight="1" x14ac:dyDescent="0.25">
      <c r="A367" s="3" t="s">
        <v>1759</v>
      </c>
      <c r="B367" s="3" t="s">
        <v>1758</v>
      </c>
      <c r="C367" s="3" t="s">
        <v>4853</v>
      </c>
      <c r="D367" s="3" t="s">
        <v>7159</v>
      </c>
      <c r="E367" s="3" t="s">
        <v>7160</v>
      </c>
      <c r="F367" s="3">
        <v>20</v>
      </c>
      <c r="G367" s="3" t="s">
        <v>7155</v>
      </c>
      <c r="H367" s="3">
        <v>1.8319999999999999E-2</v>
      </c>
      <c r="I367" s="3">
        <v>0.3664</v>
      </c>
    </row>
    <row r="368" spans="1:9" ht="22.5" customHeight="1" x14ac:dyDescent="0.25">
      <c r="A368" s="2" t="s">
        <v>1759</v>
      </c>
      <c r="B368" s="2" t="s">
        <v>1758</v>
      </c>
      <c r="C368" s="2" t="s">
        <v>4853</v>
      </c>
      <c r="D368" s="2" t="s">
        <v>7161</v>
      </c>
      <c r="E368" s="2" t="s">
        <v>7162</v>
      </c>
      <c r="F368" s="2">
        <v>0.186</v>
      </c>
      <c r="G368" s="2" t="s">
        <v>7163</v>
      </c>
      <c r="H368" s="2" t="s">
        <v>7164</v>
      </c>
      <c r="I368" s="2">
        <v>0.186</v>
      </c>
    </row>
    <row r="369" spans="1:9" ht="33.75" customHeight="1" x14ac:dyDescent="0.25">
      <c r="A369" s="3" t="s">
        <v>1759</v>
      </c>
      <c r="B369" s="3" t="s">
        <v>1758</v>
      </c>
      <c r="C369" s="3" t="s">
        <v>4853</v>
      </c>
      <c r="D369" s="3" t="s">
        <v>7212</v>
      </c>
      <c r="E369" s="3" t="s">
        <v>7213</v>
      </c>
      <c r="F369" s="3">
        <v>6</v>
      </c>
      <c r="G369" s="3" t="s">
        <v>7158</v>
      </c>
      <c r="H369" s="3">
        <v>0.21</v>
      </c>
      <c r="I369" s="3">
        <v>1.26</v>
      </c>
    </row>
    <row r="370" spans="1:9" ht="33.75" customHeight="1" x14ac:dyDescent="0.25">
      <c r="A370" s="2" t="s">
        <v>1759</v>
      </c>
      <c r="B370" s="2" t="s">
        <v>1758</v>
      </c>
      <c r="C370" s="2" t="s">
        <v>4853</v>
      </c>
      <c r="D370" s="2" t="s">
        <v>7188</v>
      </c>
      <c r="E370" s="2" t="s">
        <v>7189</v>
      </c>
      <c r="F370" s="2">
        <v>3</v>
      </c>
      <c r="G370" s="2" t="s">
        <v>7158</v>
      </c>
      <c r="H370" s="2">
        <v>0.27</v>
      </c>
      <c r="I370" s="2">
        <v>0.81</v>
      </c>
    </row>
    <row r="371" spans="1:9" ht="22.5" customHeight="1" x14ac:dyDescent="0.25">
      <c r="A371" s="3" t="s">
        <v>1759</v>
      </c>
      <c r="B371" s="3" t="s">
        <v>1758</v>
      </c>
      <c r="C371" s="3" t="s">
        <v>4853</v>
      </c>
      <c r="D371" s="3" t="s">
        <v>7216</v>
      </c>
      <c r="E371" s="3" t="s">
        <v>7217</v>
      </c>
      <c r="F371" s="3">
        <v>34</v>
      </c>
      <c r="G371" s="3" t="s">
        <v>7158</v>
      </c>
      <c r="H371" s="3">
        <v>0.25</v>
      </c>
      <c r="I371" s="3">
        <v>8.5</v>
      </c>
    </row>
    <row r="372" spans="1:9" ht="22.5" customHeight="1" x14ac:dyDescent="0.25">
      <c r="A372" s="2" t="s">
        <v>1602</v>
      </c>
      <c r="B372" s="2" t="s">
        <v>1601</v>
      </c>
      <c r="C372" s="2" t="s">
        <v>4840</v>
      </c>
      <c r="D372" s="2" t="s">
        <v>7153</v>
      </c>
      <c r="E372" s="2" t="s">
        <v>7154</v>
      </c>
      <c r="F372" s="2">
        <v>14</v>
      </c>
      <c r="G372" s="2" t="s">
        <v>7155</v>
      </c>
      <c r="H372" s="2">
        <v>1.24E-2</v>
      </c>
      <c r="I372" s="2">
        <v>0.1736</v>
      </c>
    </row>
    <row r="373" spans="1:9" ht="22.5" customHeight="1" x14ac:dyDescent="0.25">
      <c r="A373" s="3" t="s">
        <v>1602</v>
      </c>
      <c r="B373" s="3" t="s">
        <v>1601</v>
      </c>
      <c r="C373" s="3" t="s">
        <v>4840</v>
      </c>
      <c r="D373" s="3" t="s">
        <v>7156</v>
      </c>
      <c r="E373" s="3" t="s">
        <v>7157</v>
      </c>
      <c r="F373" s="3">
        <v>1</v>
      </c>
      <c r="G373" s="3" t="s">
        <v>7158</v>
      </c>
      <c r="H373" s="3">
        <v>26</v>
      </c>
      <c r="I373" s="3">
        <v>26</v>
      </c>
    </row>
    <row r="374" spans="1:9" ht="22.5" customHeight="1" x14ac:dyDescent="0.25">
      <c r="A374" s="2" t="s">
        <v>1602</v>
      </c>
      <c r="B374" s="2" t="s">
        <v>1601</v>
      </c>
      <c r="C374" s="2" t="s">
        <v>4840</v>
      </c>
      <c r="D374" s="2" t="s">
        <v>7159</v>
      </c>
      <c r="E374" s="2" t="s">
        <v>7160</v>
      </c>
      <c r="F374" s="2">
        <v>20</v>
      </c>
      <c r="G374" s="2" t="s">
        <v>7155</v>
      </c>
      <c r="H374" s="2">
        <v>1.8319999999999999E-2</v>
      </c>
      <c r="I374" s="2">
        <v>0.3664</v>
      </c>
    </row>
    <row r="375" spans="1:9" ht="22.5" customHeight="1" x14ac:dyDescent="0.25">
      <c r="A375" s="3" t="s">
        <v>1602</v>
      </c>
      <c r="B375" s="3" t="s">
        <v>1601</v>
      </c>
      <c r="C375" s="3" t="s">
        <v>4840</v>
      </c>
      <c r="D375" s="3" t="s">
        <v>7161</v>
      </c>
      <c r="E375" s="3" t="s">
        <v>7162</v>
      </c>
      <c r="F375" s="3">
        <v>0.186</v>
      </c>
      <c r="G375" s="3" t="s">
        <v>7163</v>
      </c>
      <c r="H375" s="3" t="s">
        <v>7164</v>
      </c>
      <c r="I375" s="3">
        <v>0.186</v>
      </c>
    </row>
    <row r="376" spans="1:9" ht="33.75" customHeight="1" x14ac:dyDescent="0.25">
      <c r="A376" s="2" t="s">
        <v>1602</v>
      </c>
      <c r="B376" s="2" t="s">
        <v>1601</v>
      </c>
      <c r="C376" s="2" t="s">
        <v>4840</v>
      </c>
      <c r="D376" s="2" t="s">
        <v>7212</v>
      </c>
      <c r="E376" s="2" t="s">
        <v>7213</v>
      </c>
      <c r="F376" s="2">
        <v>6</v>
      </c>
      <c r="G376" s="2" t="s">
        <v>7158</v>
      </c>
      <c r="H376" s="2">
        <v>0.21</v>
      </c>
      <c r="I376" s="2">
        <v>1.26</v>
      </c>
    </row>
    <row r="377" spans="1:9" ht="33.75" customHeight="1" x14ac:dyDescent="0.25">
      <c r="A377" s="3" t="s">
        <v>1602</v>
      </c>
      <c r="B377" s="3" t="s">
        <v>1601</v>
      </c>
      <c r="C377" s="3" t="s">
        <v>4840</v>
      </c>
      <c r="D377" s="3" t="s">
        <v>7167</v>
      </c>
      <c r="E377" s="3" t="s">
        <v>7168</v>
      </c>
      <c r="F377" s="3">
        <v>4</v>
      </c>
      <c r="G377" s="3" t="s">
        <v>7158</v>
      </c>
      <c r="H377" s="3">
        <v>0.2</v>
      </c>
      <c r="I377" s="3">
        <v>0.8</v>
      </c>
    </row>
    <row r="378" spans="1:9" ht="33.75" customHeight="1" x14ac:dyDescent="0.25">
      <c r="A378" s="2" t="s">
        <v>1602</v>
      </c>
      <c r="B378" s="2" t="s">
        <v>1601</v>
      </c>
      <c r="C378" s="2" t="s">
        <v>4840</v>
      </c>
      <c r="D378" s="2" t="s">
        <v>7218</v>
      </c>
      <c r="E378" s="2" t="s">
        <v>7219</v>
      </c>
      <c r="F378" s="2">
        <v>36</v>
      </c>
      <c r="G378" s="2" t="s">
        <v>7158</v>
      </c>
      <c r="H378" s="2">
        <v>0.4</v>
      </c>
      <c r="I378" s="2">
        <v>14.4</v>
      </c>
    </row>
    <row r="379" spans="1:9" ht="22.5" customHeight="1" x14ac:dyDescent="0.25">
      <c r="A379" s="3" t="s">
        <v>1777</v>
      </c>
      <c r="B379" s="3" t="s">
        <v>1776</v>
      </c>
      <c r="C379" s="3" t="s">
        <v>4857</v>
      </c>
      <c r="D379" s="3" t="s">
        <v>7153</v>
      </c>
      <c r="E379" s="3" t="s">
        <v>7154</v>
      </c>
      <c r="F379" s="3">
        <v>14</v>
      </c>
      <c r="G379" s="3" t="s">
        <v>7155</v>
      </c>
      <c r="H379" s="3">
        <v>1.24E-2</v>
      </c>
      <c r="I379" s="3">
        <v>0.1736</v>
      </c>
    </row>
    <row r="380" spans="1:9" ht="22.5" customHeight="1" x14ac:dyDescent="0.25">
      <c r="A380" s="2" t="s">
        <v>1777</v>
      </c>
      <c r="B380" s="2" t="s">
        <v>1776</v>
      </c>
      <c r="C380" s="2" t="s">
        <v>4857</v>
      </c>
      <c r="D380" s="2" t="s">
        <v>7220</v>
      </c>
      <c r="E380" s="2" t="s">
        <v>7221</v>
      </c>
      <c r="F380" s="2">
        <v>8</v>
      </c>
      <c r="G380" s="2" t="s">
        <v>7158</v>
      </c>
      <c r="H380" s="2">
        <v>5.1999999999999998E-2</v>
      </c>
      <c r="I380" s="2">
        <v>0.41599999999999998</v>
      </c>
    </row>
    <row r="381" spans="1:9" ht="22.5" customHeight="1" x14ac:dyDescent="0.25">
      <c r="A381" s="3" t="s">
        <v>1777</v>
      </c>
      <c r="B381" s="3" t="s">
        <v>1776</v>
      </c>
      <c r="C381" s="3" t="s">
        <v>4857</v>
      </c>
      <c r="D381" s="3" t="s">
        <v>7156</v>
      </c>
      <c r="E381" s="3" t="s">
        <v>7157</v>
      </c>
      <c r="F381" s="3">
        <v>1</v>
      </c>
      <c r="G381" s="3" t="s">
        <v>7158</v>
      </c>
      <c r="H381" s="3">
        <v>26</v>
      </c>
      <c r="I381" s="3">
        <v>26</v>
      </c>
    </row>
    <row r="382" spans="1:9" ht="22.5" customHeight="1" x14ac:dyDescent="0.25">
      <c r="A382" s="2" t="s">
        <v>1777</v>
      </c>
      <c r="B382" s="2" t="s">
        <v>1776</v>
      </c>
      <c r="C382" s="2" t="s">
        <v>4857</v>
      </c>
      <c r="D382" s="2" t="s">
        <v>7159</v>
      </c>
      <c r="E382" s="2" t="s">
        <v>7160</v>
      </c>
      <c r="F382" s="2">
        <v>20</v>
      </c>
      <c r="G382" s="2" t="s">
        <v>7155</v>
      </c>
      <c r="H382" s="2">
        <v>1.8319999999999999E-2</v>
      </c>
      <c r="I382" s="2">
        <v>0.3664</v>
      </c>
    </row>
    <row r="383" spans="1:9" ht="22.5" customHeight="1" x14ac:dyDescent="0.25">
      <c r="A383" s="3" t="s">
        <v>1777</v>
      </c>
      <c r="B383" s="3" t="s">
        <v>1776</v>
      </c>
      <c r="C383" s="3" t="s">
        <v>4857</v>
      </c>
      <c r="D383" s="3" t="s">
        <v>7161</v>
      </c>
      <c r="E383" s="3" t="s">
        <v>7162</v>
      </c>
      <c r="F383" s="3">
        <v>0.186</v>
      </c>
      <c r="G383" s="3" t="s">
        <v>7163</v>
      </c>
      <c r="H383" s="3" t="s">
        <v>7164</v>
      </c>
      <c r="I383" s="3">
        <v>0.186</v>
      </c>
    </row>
    <row r="384" spans="1:9" ht="33.75" customHeight="1" x14ac:dyDescent="0.25">
      <c r="A384" s="2" t="s">
        <v>1777</v>
      </c>
      <c r="B384" s="2" t="s">
        <v>1776</v>
      </c>
      <c r="C384" s="2" t="s">
        <v>4857</v>
      </c>
      <c r="D384" s="2" t="s">
        <v>7165</v>
      </c>
      <c r="E384" s="2" t="s">
        <v>7166</v>
      </c>
      <c r="F384" s="2">
        <v>4</v>
      </c>
      <c r="G384" s="2" t="s">
        <v>7158</v>
      </c>
      <c r="H384" s="2">
        <v>0.1</v>
      </c>
      <c r="I384" s="2">
        <v>0.4</v>
      </c>
    </row>
    <row r="385" spans="1:9" ht="33.75" customHeight="1" x14ac:dyDescent="0.25">
      <c r="A385" s="3" t="s">
        <v>1777</v>
      </c>
      <c r="B385" s="3" t="s">
        <v>1776</v>
      </c>
      <c r="C385" s="3" t="s">
        <v>4857</v>
      </c>
      <c r="D385" s="3" t="s">
        <v>7167</v>
      </c>
      <c r="E385" s="3" t="s">
        <v>7168</v>
      </c>
      <c r="F385" s="3">
        <v>2</v>
      </c>
      <c r="G385" s="3" t="s">
        <v>7158</v>
      </c>
      <c r="H385" s="3">
        <v>0.2</v>
      </c>
      <c r="I385" s="3">
        <v>0.4</v>
      </c>
    </row>
    <row r="386" spans="1:9" ht="45" customHeight="1" x14ac:dyDescent="0.25">
      <c r="A386" s="2" t="s">
        <v>1817</v>
      </c>
      <c r="B386" s="2" t="s">
        <v>5431</v>
      </c>
      <c r="C386" s="2" t="s">
        <v>4863</v>
      </c>
      <c r="D386" s="2" t="s">
        <v>7153</v>
      </c>
      <c r="E386" s="2" t="s">
        <v>7154</v>
      </c>
      <c r="F386" s="2">
        <v>14</v>
      </c>
      <c r="G386" s="2" t="s">
        <v>7155</v>
      </c>
      <c r="H386" s="2">
        <v>1.24E-2</v>
      </c>
      <c r="I386" s="2">
        <v>0.1736</v>
      </c>
    </row>
    <row r="387" spans="1:9" ht="45" customHeight="1" x14ac:dyDescent="0.25">
      <c r="A387" s="3" t="s">
        <v>1817</v>
      </c>
      <c r="B387" s="3" t="s">
        <v>5431</v>
      </c>
      <c r="C387" s="3" t="s">
        <v>4863</v>
      </c>
      <c r="D387" s="3" t="s">
        <v>7156</v>
      </c>
      <c r="E387" s="3" t="s">
        <v>7157</v>
      </c>
      <c r="F387" s="3">
        <v>1</v>
      </c>
      <c r="G387" s="3" t="s">
        <v>7158</v>
      </c>
      <c r="H387" s="3">
        <v>26</v>
      </c>
      <c r="I387" s="3">
        <v>26</v>
      </c>
    </row>
    <row r="388" spans="1:9" ht="45" customHeight="1" x14ac:dyDescent="0.25">
      <c r="A388" s="2" t="s">
        <v>1817</v>
      </c>
      <c r="B388" s="2" t="s">
        <v>5431</v>
      </c>
      <c r="C388" s="2" t="s">
        <v>4863</v>
      </c>
      <c r="D388" s="2" t="s">
        <v>7159</v>
      </c>
      <c r="E388" s="2" t="s">
        <v>7160</v>
      </c>
      <c r="F388" s="2">
        <v>20</v>
      </c>
      <c r="G388" s="2" t="s">
        <v>7155</v>
      </c>
      <c r="H388" s="2">
        <v>1.8319999999999999E-2</v>
      </c>
      <c r="I388" s="2">
        <v>0.3664</v>
      </c>
    </row>
    <row r="389" spans="1:9" ht="45" customHeight="1" x14ac:dyDescent="0.25">
      <c r="A389" s="3" t="s">
        <v>1817</v>
      </c>
      <c r="B389" s="3" t="s">
        <v>5431</v>
      </c>
      <c r="C389" s="3" t="s">
        <v>4863</v>
      </c>
      <c r="D389" s="3" t="s">
        <v>7161</v>
      </c>
      <c r="E389" s="3" t="s">
        <v>7162</v>
      </c>
      <c r="F389" s="3">
        <v>0.186</v>
      </c>
      <c r="G389" s="3" t="s">
        <v>7163</v>
      </c>
      <c r="H389" s="3" t="s">
        <v>7164</v>
      </c>
      <c r="I389" s="3">
        <v>0.186</v>
      </c>
    </row>
    <row r="390" spans="1:9" ht="45" customHeight="1" x14ac:dyDescent="0.25">
      <c r="A390" s="2" t="s">
        <v>1817</v>
      </c>
      <c r="B390" s="2" t="s">
        <v>5431</v>
      </c>
      <c r="C390" s="2" t="s">
        <v>4863</v>
      </c>
      <c r="D390" s="2" t="s">
        <v>7201</v>
      </c>
      <c r="E390" s="2" t="s">
        <v>7209</v>
      </c>
      <c r="F390" s="2">
        <v>1.44</v>
      </c>
      <c r="G390" s="2" t="s">
        <v>7163</v>
      </c>
      <c r="H390" s="2" t="s">
        <v>7164</v>
      </c>
      <c r="I390" s="2">
        <v>1.44</v>
      </c>
    </row>
    <row r="391" spans="1:9" ht="45" customHeight="1" x14ac:dyDescent="0.25">
      <c r="A391" s="3" t="s">
        <v>1817</v>
      </c>
      <c r="B391" s="3" t="s">
        <v>5431</v>
      </c>
      <c r="C391" s="3" t="s">
        <v>4863</v>
      </c>
      <c r="D391" s="3" t="s">
        <v>7165</v>
      </c>
      <c r="E391" s="3" t="s">
        <v>7166</v>
      </c>
      <c r="F391" s="3">
        <v>4</v>
      </c>
      <c r="G391" s="3" t="s">
        <v>7158</v>
      </c>
      <c r="H391" s="3">
        <v>0.1</v>
      </c>
      <c r="I391" s="3">
        <v>0.4</v>
      </c>
    </row>
    <row r="392" spans="1:9" ht="45" customHeight="1" x14ac:dyDescent="0.25">
      <c r="A392" s="2" t="s">
        <v>1817</v>
      </c>
      <c r="B392" s="2" t="s">
        <v>5431</v>
      </c>
      <c r="C392" s="2" t="s">
        <v>4863</v>
      </c>
      <c r="D392" s="2" t="s">
        <v>7167</v>
      </c>
      <c r="E392" s="2" t="s">
        <v>7168</v>
      </c>
      <c r="F392" s="2">
        <v>4</v>
      </c>
      <c r="G392" s="2" t="s">
        <v>7158</v>
      </c>
      <c r="H392" s="2">
        <v>0.2</v>
      </c>
      <c r="I392" s="2">
        <v>0.8</v>
      </c>
    </row>
    <row r="393" spans="1:9" ht="157.5" customHeight="1" x14ac:dyDescent="0.25">
      <c r="A393" s="3" t="s">
        <v>2137</v>
      </c>
      <c r="B393" s="3" t="s">
        <v>5439</v>
      </c>
      <c r="C393" s="3" t="s">
        <v>4885</v>
      </c>
      <c r="D393" s="3" t="s">
        <v>7153</v>
      </c>
      <c r="E393" s="3" t="s">
        <v>7154</v>
      </c>
      <c r="F393" s="3">
        <v>14</v>
      </c>
      <c r="G393" s="3" t="s">
        <v>7155</v>
      </c>
      <c r="H393" s="3">
        <v>1.24E-2</v>
      </c>
      <c r="I393" s="3">
        <v>0.1736</v>
      </c>
    </row>
    <row r="394" spans="1:9" ht="157.5" customHeight="1" x14ac:dyDescent="0.25">
      <c r="A394" s="2" t="s">
        <v>2137</v>
      </c>
      <c r="B394" s="2" t="s">
        <v>5439</v>
      </c>
      <c r="C394" s="2" t="s">
        <v>4885</v>
      </c>
      <c r="D394" s="2" t="s">
        <v>7156</v>
      </c>
      <c r="E394" s="2" t="s">
        <v>7157</v>
      </c>
      <c r="F394" s="2">
        <v>1</v>
      </c>
      <c r="G394" s="2" t="s">
        <v>7158</v>
      </c>
      <c r="H394" s="2">
        <v>26</v>
      </c>
      <c r="I394" s="2">
        <v>26</v>
      </c>
    </row>
    <row r="395" spans="1:9" ht="157.5" customHeight="1" x14ac:dyDescent="0.25">
      <c r="A395" s="3" t="s">
        <v>2137</v>
      </c>
      <c r="B395" s="3" t="s">
        <v>5439</v>
      </c>
      <c r="C395" s="3" t="s">
        <v>4885</v>
      </c>
      <c r="D395" s="3" t="s">
        <v>7159</v>
      </c>
      <c r="E395" s="3" t="s">
        <v>7160</v>
      </c>
      <c r="F395" s="3">
        <v>20</v>
      </c>
      <c r="G395" s="3" t="s">
        <v>7155</v>
      </c>
      <c r="H395" s="3">
        <v>1.8319999999999999E-2</v>
      </c>
      <c r="I395" s="3">
        <v>0.3664</v>
      </c>
    </row>
    <row r="396" spans="1:9" ht="157.5" customHeight="1" x14ac:dyDescent="0.25">
      <c r="A396" s="2" t="s">
        <v>2137</v>
      </c>
      <c r="B396" s="2" t="s">
        <v>5439</v>
      </c>
      <c r="C396" s="2" t="s">
        <v>4885</v>
      </c>
      <c r="D396" s="2" t="s">
        <v>7161</v>
      </c>
      <c r="E396" s="2" t="s">
        <v>7162</v>
      </c>
      <c r="F396" s="2">
        <v>0.186</v>
      </c>
      <c r="G396" s="2" t="s">
        <v>7163</v>
      </c>
      <c r="H396" s="2" t="s">
        <v>7164</v>
      </c>
      <c r="I396" s="2">
        <v>0.186</v>
      </c>
    </row>
    <row r="397" spans="1:9" ht="157.5" customHeight="1" x14ac:dyDescent="0.25">
      <c r="A397" s="3" t="s">
        <v>2137</v>
      </c>
      <c r="B397" s="3" t="s">
        <v>5439</v>
      </c>
      <c r="C397" s="3" t="s">
        <v>4885</v>
      </c>
      <c r="D397" s="3" t="s">
        <v>7165</v>
      </c>
      <c r="E397" s="3" t="s">
        <v>7166</v>
      </c>
      <c r="F397" s="3">
        <v>4</v>
      </c>
      <c r="G397" s="3" t="s">
        <v>7158</v>
      </c>
      <c r="H397" s="3">
        <v>0.1</v>
      </c>
      <c r="I397" s="3">
        <v>0.4</v>
      </c>
    </row>
    <row r="398" spans="1:9" ht="157.5" customHeight="1" x14ac:dyDescent="0.25">
      <c r="A398" s="2" t="s">
        <v>2137</v>
      </c>
      <c r="B398" s="2" t="s">
        <v>5439</v>
      </c>
      <c r="C398" s="2" t="s">
        <v>4885</v>
      </c>
      <c r="D398" s="2" t="s">
        <v>7167</v>
      </c>
      <c r="E398" s="2" t="s">
        <v>7168</v>
      </c>
      <c r="F398" s="2">
        <v>4</v>
      </c>
      <c r="G398" s="2" t="s">
        <v>7158</v>
      </c>
      <c r="H398" s="2">
        <v>0.2</v>
      </c>
      <c r="I398" s="2">
        <v>0.8</v>
      </c>
    </row>
    <row r="399" spans="1:9" ht="22.5" customHeight="1" x14ac:dyDescent="0.25">
      <c r="A399" s="3" t="s">
        <v>2379</v>
      </c>
      <c r="B399" s="3" t="s">
        <v>5447</v>
      </c>
      <c r="C399" s="3" t="s">
        <v>4910</v>
      </c>
      <c r="D399" s="3" t="s">
        <v>7153</v>
      </c>
      <c r="E399" s="3" t="s">
        <v>7154</v>
      </c>
      <c r="F399" s="3">
        <v>7</v>
      </c>
      <c r="G399" s="3" t="s">
        <v>7155</v>
      </c>
      <c r="H399" s="3">
        <v>1.24E-2</v>
      </c>
      <c r="I399" s="3">
        <v>8.6800000000000002E-2</v>
      </c>
    </row>
    <row r="400" spans="1:9" ht="22.5" customHeight="1" x14ac:dyDescent="0.25">
      <c r="A400" s="2" t="s">
        <v>2379</v>
      </c>
      <c r="B400" s="2" t="s">
        <v>5447</v>
      </c>
      <c r="C400" s="2" t="s">
        <v>4910</v>
      </c>
      <c r="D400" s="2" t="s">
        <v>7222</v>
      </c>
      <c r="E400" s="2" t="s">
        <v>7223</v>
      </c>
      <c r="F400" s="2">
        <v>36</v>
      </c>
      <c r="G400" s="2" t="s">
        <v>7158</v>
      </c>
      <c r="H400" s="2">
        <v>8.0680000000000002E-2</v>
      </c>
      <c r="I400" s="2">
        <v>2.90448</v>
      </c>
    </row>
    <row r="401" spans="1:9" ht="22.5" customHeight="1" x14ac:dyDescent="0.25">
      <c r="A401" s="3" t="s">
        <v>2379</v>
      </c>
      <c r="B401" s="3" t="s">
        <v>5447</v>
      </c>
      <c r="C401" s="3" t="s">
        <v>4910</v>
      </c>
      <c r="D401" s="3" t="s">
        <v>7156</v>
      </c>
      <c r="E401" s="3" t="s">
        <v>7157</v>
      </c>
      <c r="F401" s="3">
        <v>1</v>
      </c>
      <c r="G401" s="3" t="s">
        <v>7158</v>
      </c>
      <c r="H401" s="3">
        <v>26</v>
      </c>
      <c r="I401" s="3">
        <v>26</v>
      </c>
    </row>
    <row r="402" spans="1:9" ht="22.5" customHeight="1" x14ac:dyDescent="0.25">
      <c r="A402" s="2" t="s">
        <v>2379</v>
      </c>
      <c r="B402" s="2" t="s">
        <v>5447</v>
      </c>
      <c r="C402" s="2" t="s">
        <v>4910</v>
      </c>
      <c r="D402" s="2" t="s">
        <v>7159</v>
      </c>
      <c r="E402" s="2" t="s">
        <v>7160</v>
      </c>
      <c r="F402" s="2">
        <v>20</v>
      </c>
      <c r="G402" s="2" t="s">
        <v>7155</v>
      </c>
      <c r="H402" s="2">
        <v>1.8319999999999999E-2</v>
      </c>
      <c r="I402" s="2">
        <v>0.3664</v>
      </c>
    </row>
    <row r="403" spans="1:9" ht="22.5" customHeight="1" x14ac:dyDescent="0.25">
      <c r="A403" s="3" t="s">
        <v>2379</v>
      </c>
      <c r="B403" s="3" t="s">
        <v>5447</v>
      </c>
      <c r="C403" s="3" t="s">
        <v>4910</v>
      </c>
      <c r="D403" s="3" t="s">
        <v>7161</v>
      </c>
      <c r="E403" s="3" t="s">
        <v>7162</v>
      </c>
      <c r="F403" s="3">
        <v>0.186</v>
      </c>
      <c r="G403" s="3" t="s">
        <v>7163</v>
      </c>
      <c r="H403" s="3" t="s">
        <v>7164</v>
      </c>
      <c r="I403" s="3">
        <v>0.186</v>
      </c>
    </row>
    <row r="404" spans="1:9" ht="22.5" customHeight="1" x14ac:dyDescent="0.25">
      <c r="A404" s="2" t="s">
        <v>2379</v>
      </c>
      <c r="B404" s="2" t="s">
        <v>5447</v>
      </c>
      <c r="C404" s="2" t="s">
        <v>4910</v>
      </c>
      <c r="D404" s="2" t="s">
        <v>7201</v>
      </c>
      <c r="E404" s="2" t="s">
        <v>7209</v>
      </c>
      <c r="F404" s="2">
        <v>1.44</v>
      </c>
      <c r="G404" s="2" t="s">
        <v>7163</v>
      </c>
      <c r="H404" s="2" t="s">
        <v>7164</v>
      </c>
      <c r="I404" s="2">
        <v>1.44</v>
      </c>
    </row>
    <row r="405" spans="1:9" ht="33.75" customHeight="1" x14ac:dyDescent="0.25">
      <c r="A405" s="3" t="s">
        <v>2379</v>
      </c>
      <c r="B405" s="3" t="s">
        <v>5447</v>
      </c>
      <c r="C405" s="3" t="s">
        <v>4910</v>
      </c>
      <c r="D405" s="3" t="s">
        <v>7165</v>
      </c>
      <c r="E405" s="3" t="s">
        <v>7166</v>
      </c>
      <c r="F405" s="3">
        <v>2</v>
      </c>
      <c r="G405" s="3" t="s">
        <v>7158</v>
      </c>
      <c r="H405" s="3">
        <v>0.1</v>
      </c>
      <c r="I405" s="3">
        <v>0.2</v>
      </c>
    </row>
    <row r="406" spans="1:9" ht="33.75" customHeight="1" x14ac:dyDescent="0.25">
      <c r="A406" s="2" t="s">
        <v>2379</v>
      </c>
      <c r="B406" s="2" t="s">
        <v>5447</v>
      </c>
      <c r="C406" s="2" t="s">
        <v>4910</v>
      </c>
      <c r="D406" s="2" t="s">
        <v>7167</v>
      </c>
      <c r="E406" s="2" t="s">
        <v>7168</v>
      </c>
      <c r="F406" s="2">
        <v>4</v>
      </c>
      <c r="G406" s="2" t="s">
        <v>7158</v>
      </c>
      <c r="H406" s="2">
        <v>0.2</v>
      </c>
      <c r="I406" s="2">
        <v>0.8</v>
      </c>
    </row>
    <row r="407" spans="1:9" ht="56.25" customHeight="1" x14ac:dyDescent="0.25">
      <c r="A407" s="3" t="s">
        <v>1727</v>
      </c>
      <c r="B407" s="3" t="s">
        <v>5455</v>
      </c>
      <c r="C407" s="3" t="s">
        <v>4847</v>
      </c>
      <c r="D407" s="3" t="s">
        <v>7153</v>
      </c>
      <c r="E407" s="3" t="s">
        <v>7154</v>
      </c>
      <c r="F407" s="3">
        <v>7</v>
      </c>
      <c r="G407" s="3" t="s">
        <v>7155</v>
      </c>
      <c r="H407" s="3">
        <v>1.24E-2</v>
      </c>
      <c r="I407" s="3">
        <v>8.6800000000000002E-2</v>
      </c>
    </row>
    <row r="408" spans="1:9" ht="56.25" customHeight="1" x14ac:dyDescent="0.25">
      <c r="A408" s="2" t="s">
        <v>1727</v>
      </c>
      <c r="B408" s="2" t="s">
        <v>5455</v>
      </c>
      <c r="C408" s="2" t="s">
        <v>4847</v>
      </c>
      <c r="D408" s="2" t="s">
        <v>7156</v>
      </c>
      <c r="E408" s="2" t="s">
        <v>7157</v>
      </c>
      <c r="F408" s="2">
        <v>1</v>
      </c>
      <c r="G408" s="2" t="s">
        <v>7158</v>
      </c>
      <c r="H408" s="2">
        <v>26</v>
      </c>
      <c r="I408" s="2">
        <v>26</v>
      </c>
    </row>
    <row r="409" spans="1:9" ht="56.25" customHeight="1" x14ac:dyDescent="0.25">
      <c r="A409" s="3" t="s">
        <v>1727</v>
      </c>
      <c r="B409" s="3" t="s">
        <v>5455</v>
      </c>
      <c r="C409" s="3" t="s">
        <v>4847</v>
      </c>
      <c r="D409" s="3" t="s">
        <v>7159</v>
      </c>
      <c r="E409" s="3" t="s">
        <v>7160</v>
      </c>
      <c r="F409" s="3">
        <v>20</v>
      </c>
      <c r="G409" s="3" t="s">
        <v>7155</v>
      </c>
      <c r="H409" s="3">
        <v>1.8319999999999999E-2</v>
      </c>
      <c r="I409" s="3">
        <v>0.3664</v>
      </c>
    </row>
    <row r="410" spans="1:9" ht="56.25" customHeight="1" x14ac:dyDescent="0.25">
      <c r="A410" s="2" t="s">
        <v>1727</v>
      </c>
      <c r="B410" s="2" t="s">
        <v>5455</v>
      </c>
      <c r="C410" s="2" t="s">
        <v>4847</v>
      </c>
      <c r="D410" s="2" t="s">
        <v>7161</v>
      </c>
      <c r="E410" s="2" t="s">
        <v>7162</v>
      </c>
      <c r="F410" s="2">
        <v>0.186</v>
      </c>
      <c r="G410" s="2" t="s">
        <v>7163</v>
      </c>
      <c r="H410" s="2" t="s">
        <v>7164</v>
      </c>
      <c r="I410" s="2">
        <v>0.186</v>
      </c>
    </row>
    <row r="411" spans="1:9" ht="56.25" customHeight="1" x14ac:dyDescent="0.25">
      <c r="A411" s="3" t="s">
        <v>1727</v>
      </c>
      <c r="B411" s="3" t="s">
        <v>5455</v>
      </c>
      <c r="C411" s="3" t="s">
        <v>4847</v>
      </c>
      <c r="D411" s="3" t="s">
        <v>7201</v>
      </c>
      <c r="E411" s="3" t="s">
        <v>7209</v>
      </c>
      <c r="F411" s="3">
        <v>1.44</v>
      </c>
      <c r="G411" s="3" t="s">
        <v>7163</v>
      </c>
      <c r="H411" s="3" t="s">
        <v>7164</v>
      </c>
      <c r="I411" s="3">
        <v>1.44</v>
      </c>
    </row>
    <row r="412" spans="1:9" ht="56.25" customHeight="1" x14ac:dyDescent="0.25">
      <c r="A412" s="2" t="s">
        <v>1727</v>
      </c>
      <c r="B412" s="2" t="s">
        <v>5455</v>
      </c>
      <c r="C412" s="2" t="s">
        <v>4847</v>
      </c>
      <c r="D412" s="2" t="s">
        <v>7165</v>
      </c>
      <c r="E412" s="2" t="s">
        <v>7166</v>
      </c>
      <c r="F412" s="2">
        <v>2</v>
      </c>
      <c r="G412" s="2" t="s">
        <v>7158</v>
      </c>
      <c r="H412" s="2">
        <v>0.1</v>
      </c>
      <c r="I412" s="2">
        <v>0.2</v>
      </c>
    </row>
    <row r="413" spans="1:9" ht="56.25" customHeight="1" x14ac:dyDescent="0.25">
      <c r="A413" s="3" t="s">
        <v>1727</v>
      </c>
      <c r="B413" s="3" t="s">
        <v>5455</v>
      </c>
      <c r="C413" s="3" t="s">
        <v>4847</v>
      </c>
      <c r="D413" s="3" t="s">
        <v>7167</v>
      </c>
      <c r="E413" s="3" t="s">
        <v>7168</v>
      </c>
      <c r="F413" s="3">
        <v>4</v>
      </c>
      <c r="G413" s="3" t="s">
        <v>7158</v>
      </c>
      <c r="H413" s="3">
        <v>0.2</v>
      </c>
      <c r="I413" s="3">
        <v>0.8</v>
      </c>
    </row>
    <row r="414" spans="1:9" ht="45" customHeight="1" x14ac:dyDescent="0.25">
      <c r="A414" s="2" t="s">
        <v>2696</v>
      </c>
      <c r="B414" s="2" t="s">
        <v>5463</v>
      </c>
      <c r="C414" s="2" t="s">
        <v>4934</v>
      </c>
      <c r="D414" s="2" t="s">
        <v>7153</v>
      </c>
      <c r="E414" s="2" t="s">
        <v>7154</v>
      </c>
      <c r="F414" s="2">
        <v>7</v>
      </c>
      <c r="G414" s="2" t="s">
        <v>7155</v>
      </c>
      <c r="H414" s="2">
        <v>1.24E-2</v>
      </c>
      <c r="I414" s="2">
        <v>8.6800000000000002E-2</v>
      </c>
    </row>
    <row r="415" spans="1:9" ht="45" customHeight="1" x14ac:dyDescent="0.25">
      <c r="A415" s="3" t="s">
        <v>2696</v>
      </c>
      <c r="B415" s="3" t="s">
        <v>5463</v>
      </c>
      <c r="C415" s="3" t="s">
        <v>4934</v>
      </c>
      <c r="D415" s="3" t="s">
        <v>7156</v>
      </c>
      <c r="E415" s="3" t="s">
        <v>7157</v>
      </c>
      <c r="F415" s="3">
        <v>1</v>
      </c>
      <c r="G415" s="3" t="s">
        <v>7158</v>
      </c>
      <c r="H415" s="3">
        <v>26</v>
      </c>
      <c r="I415" s="3">
        <v>26</v>
      </c>
    </row>
    <row r="416" spans="1:9" ht="45" customHeight="1" x14ac:dyDescent="0.25">
      <c r="A416" s="2" t="s">
        <v>2696</v>
      </c>
      <c r="B416" s="2" t="s">
        <v>5463</v>
      </c>
      <c r="C416" s="2" t="s">
        <v>4934</v>
      </c>
      <c r="D416" s="2" t="s">
        <v>7159</v>
      </c>
      <c r="E416" s="2" t="s">
        <v>7160</v>
      </c>
      <c r="F416" s="2">
        <v>20</v>
      </c>
      <c r="G416" s="2" t="s">
        <v>7155</v>
      </c>
      <c r="H416" s="2">
        <v>1.8319999999999999E-2</v>
      </c>
      <c r="I416" s="2">
        <v>0.3664</v>
      </c>
    </row>
    <row r="417" spans="1:9" ht="45" customHeight="1" x14ac:dyDescent="0.25">
      <c r="A417" s="3" t="s">
        <v>2696</v>
      </c>
      <c r="B417" s="3" t="s">
        <v>5463</v>
      </c>
      <c r="C417" s="3" t="s">
        <v>4934</v>
      </c>
      <c r="D417" s="3" t="s">
        <v>7161</v>
      </c>
      <c r="E417" s="3" t="s">
        <v>7162</v>
      </c>
      <c r="F417" s="3">
        <v>0.186</v>
      </c>
      <c r="G417" s="3" t="s">
        <v>7163</v>
      </c>
      <c r="H417" s="3" t="s">
        <v>7164</v>
      </c>
      <c r="I417" s="3">
        <v>0.186</v>
      </c>
    </row>
    <row r="418" spans="1:9" ht="45" customHeight="1" x14ac:dyDescent="0.25">
      <c r="A418" s="2" t="s">
        <v>2696</v>
      </c>
      <c r="B418" s="2" t="s">
        <v>5463</v>
      </c>
      <c r="C418" s="2" t="s">
        <v>4934</v>
      </c>
      <c r="D418" s="2" t="s">
        <v>7165</v>
      </c>
      <c r="E418" s="2" t="s">
        <v>7166</v>
      </c>
      <c r="F418" s="2">
        <v>2</v>
      </c>
      <c r="G418" s="2" t="s">
        <v>7158</v>
      </c>
      <c r="H418" s="2">
        <v>0.1</v>
      </c>
      <c r="I418" s="2">
        <v>0.2</v>
      </c>
    </row>
    <row r="419" spans="1:9" ht="45" customHeight="1" x14ac:dyDescent="0.25">
      <c r="A419" s="3" t="s">
        <v>2696</v>
      </c>
      <c r="B419" s="3" t="s">
        <v>5463</v>
      </c>
      <c r="C419" s="3" t="s">
        <v>4934</v>
      </c>
      <c r="D419" s="3" t="s">
        <v>7167</v>
      </c>
      <c r="E419" s="3" t="s">
        <v>7168</v>
      </c>
      <c r="F419" s="3">
        <v>4</v>
      </c>
      <c r="G419" s="3" t="s">
        <v>7158</v>
      </c>
      <c r="H419" s="3">
        <v>0.2</v>
      </c>
      <c r="I419" s="3">
        <v>0.8</v>
      </c>
    </row>
    <row r="420" spans="1:9" ht="22.5" customHeight="1" x14ac:dyDescent="0.25">
      <c r="A420" s="2" t="s">
        <v>3264</v>
      </c>
      <c r="B420" s="2" t="s">
        <v>3263</v>
      </c>
      <c r="C420" s="2" t="s">
        <v>4969</v>
      </c>
      <c r="D420" s="2" t="s">
        <v>7153</v>
      </c>
      <c r="E420" s="2" t="s">
        <v>7154</v>
      </c>
      <c r="F420" s="2">
        <v>14</v>
      </c>
      <c r="G420" s="2" t="s">
        <v>7155</v>
      </c>
      <c r="H420" s="2">
        <v>1.24E-2</v>
      </c>
      <c r="I420" s="2">
        <v>0.1736</v>
      </c>
    </row>
    <row r="421" spans="1:9" ht="33.75" customHeight="1" x14ac:dyDescent="0.25">
      <c r="A421" s="3" t="s">
        <v>3264</v>
      </c>
      <c r="B421" s="3" t="s">
        <v>3263</v>
      </c>
      <c r="C421" s="3" t="s">
        <v>4969</v>
      </c>
      <c r="D421" s="3" t="s">
        <v>7186</v>
      </c>
      <c r="E421" s="3" t="s">
        <v>7187</v>
      </c>
      <c r="F421" s="3">
        <v>1</v>
      </c>
      <c r="G421" s="3" t="s">
        <v>7158</v>
      </c>
      <c r="H421" s="3">
        <v>26</v>
      </c>
      <c r="I421" s="3">
        <v>26</v>
      </c>
    </row>
    <row r="422" spans="1:9" ht="22.5" customHeight="1" x14ac:dyDescent="0.25">
      <c r="A422" s="2" t="s">
        <v>3264</v>
      </c>
      <c r="B422" s="2" t="s">
        <v>3263</v>
      </c>
      <c r="C422" s="2" t="s">
        <v>4969</v>
      </c>
      <c r="D422" s="2" t="s">
        <v>7159</v>
      </c>
      <c r="E422" s="2" t="s">
        <v>7160</v>
      </c>
      <c r="F422" s="2">
        <v>20</v>
      </c>
      <c r="G422" s="2" t="s">
        <v>7155</v>
      </c>
      <c r="H422" s="2">
        <v>1.8319999999999999E-2</v>
      </c>
      <c r="I422" s="2">
        <v>0.3664</v>
      </c>
    </row>
    <row r="423" spans="1:9" ht="22.5" customHeight="1" x14ac:dyDescent="0.25">
      <c r="A423" s="3" t="s">
        <v>3264</v>
      </c>
      <c r="B423" s="3" t="s">
        <v>3263</v>
      </c>
      <c r="C423" s="3" t="s">
        <v>4969</v>
      </c>
      <c r="D423" s="3" t="s">
        <v>7161</v>
      </c>
      <c r="E423" s="3" t="s">
        <v>7162</v>
      </c>
      <c r="F423" s="3">
        <v>0.186</v>
      </c>
      <c r="G423" s="3" t="s">
        <v>7163</v>
      </c>
      <c r="H423" s="3" t="s">
        <v>7164</v>
      </c>
      <c r="I423" s="3">
        <v>0.186</v>
      </c>
    </row>
    <row r="424" spans="1:9" ht="33.75" customHeight="1" x14ac:dyDescent="0.25">
      <c r="A424" s="2" t="s">
        <v>3264</v>
      </c>
      <c r="B424" s="2" t="s">
        <v>3263</v>
      </c>
      <c r="C424" s="2" t="s">
        <v>4969</v>
      </c>
      <c r="D424" s="2" t="s">
        <v>7212</v>
      </c>
      <c r="E424" s="2" t="s">
        <v>7213</v>
      </c>
      <c r="F424" s="2">
        <v>6</v>
      </c>
      <c r="G424" s="2" t="s">
        <v>7158</v>
      </c>
      <c r="H424" s="2">
        <v>0.21</v>
      </c>
      <c r="I424" s="2">
        <v>1.26</v>
      </c>
    </row>
    <row r="425" spans="1:9" ht="33.75" customHeight="1" x14ac:dyDescent="0.25">
      <c r="A425" s="3" t="s">
        <v>3264</v>
      </c>
      <c r="B425" s="3" t="s">
        <v>3263</v>
      </c>
      <c r="C425" s="3" t="s">
        <v>4969</v>
      </c>
      <c r="D425" s="3" t="s">
        <v>7188</v>
      </c>
      <c r="E425" s="3" t="s">
        <v>7189</v>
      </c>
      <c r="F425" s="3">
        <v>3</v>
      </c>
      <c r="G425" s="3" t="s">
        <v>7158</v>
      </c>
      <c r="H425" s="3">
        <v>0.27</v>
      </c>
      <c r="I425" s="3">
        <v>0.81</v>
      </c>
    </row>
    <row r="426" spans="1:9" ht="22.5" customHeight="1" x14ac:dyDescent="0.25">
      <c r="A426" s="2" t="s">
        <v>3264</v>
      </c>
      <c r="B426" s="2" t="s">
        <v>3263</v>
      </c>
      <c r="C426" s="2" t="s">
        <v>4969</v>
      </c>
      <c r="D426" s="2" t="s">
        <v>7224</v>
      </c>
      <c r="E426" s="2" t="s">
        <v>7225</v>
      </c>
      <c r="F426" s="2">
        <v>36</v>
      </c>
      <c r="G426" s="2" t="s">
        <v>7158</v>
      </c>
      <c r="H426" s="2">
        <v>0.25</v>
      </c>
      <c r="I426" s="2">
        <v>9</v>
      </c>
    </row>
    <row r="427" spans="1:9" ht="22.5" customHeight="1" x14ac:dyDescent="0.25">
      <c r="A427" s="3" t="s">
        <v>3062</v>
      </c>
      <c r="B427" s="3" t="s">
        <v>3061</v>
      </c>
      <c r="C427" s="3" t="s">
        <v>4953</v>
      </c>
      <c r="D427" s="3" t="s">
        <v>7153</v>
      </c>
      <c r="E427" s="3" t="s">
        <v>7154</v>
      </c>
      <c r="F427" s="3">
        <v>14</v>
      </c>
      <c r="G427" s="3" t="s">
        <v>7155</v>
      </c>
      <c r="H427" s="3">
        <v>1.24E-2</v>
      </c>
      <c r="I427" s="3">
        <v>0.1736</v>
      </c>
    </row>
    <row r="428" spans="1:9" ht="33.75" customHeight="1" x14ac:dyDescent="0.25">
      <c r="A428" s="2" t="s">
        <v>3062</v>
      </c>
      <c r="B428" s="2" t="s">
        <v>3061</v>
      </c>
      <c r="C428" s="2" t="s">
        <v>4953</v>
      </c>
      <c r="D428" s="2" t="s">
        <v>7186</v>
      </c>
      <c r="E428" s="2" t="s">
        <v>7187</v>
      </c>
      <c r="F428" s="2">
        <v>1</v>
      </c>
      <c r="G428" s="2" t="s">
        <v>7158</v>
      </c>
      <c r="H428" s="2">
        <v>26</v>
      </c>
      <c r="I428" s="2">
        <v>26</v>
      </c>
    </row>
    <row r="429" spans="1:9" ht="22.5" customHeight="1" x14ac:dyDescent="0.25">
      <c r="A429" s="3" t="s">
        <v>3062</v>
      </c>
      <c r="B429" s="3" t="s">
        <v>3061</v>
      </c>
      <c r="C429" s="3" t="s">
        <v>4953</v>
      </c>
      <c r="D429" s="3" t="s">
        <v>7159</v>
      </c>
      <c r="E429" s="3" t="s">
        <v>7160</v>
      </c>
      <c r="F429" s="3">
        <v>20</v>
      </c>
      <c r="G429" s="3" t="s">
        <v>7155</v>
      </c>
      <c r="H429" s="3">
        <v>1.8319999999999999E-2</v>
      </c>
      <c r="I429" s="3">
        <v>0.3664</v>
      </c>
    </row>
    <row r="430" spans="1:9" ht="22.5" customHeight="1" x14ac:dyDescent="0.25">
      <c r="A430" s="2" t="s">
        <v>3062</v>
      </c>
      <c r="B430" s="2" t="s">
        <v>3061</v>
      </c>
      <c r="C430" s="2" t="s">
        <v>4953</v>
      </c>
      <c r="D430" s="2" t="s">
        <v>7161</v>
      </c>
      <c r="E430" s="2" t="s">
        <v>7162</v>
      </c>
      <c r="F430" s="2">
        <v>0.186</v>
      </c>
      <c r="G430" s="2" t="s">
        <v>7163</v>
      </c>
      <c r="H430" s="2" t="s">
        <v>7164</v>
      </c>
      <c r="I430" s="2">
        <v>0.186</v>
      </c>
    </row>
    <row r="431" spans="1:9" ht="22.5" customHeight="1" x14ac:dyDescent="0.25">
      <c r="A431" s="3" t="s">
        <v>3062</v>
      </c>
      <c r="B431" s="3" t="s">
        <v>3061</v>
      </c>
      <c r="C431" s="3" t="s">
        <v>4953</v>
      </c>
      <c r="D431" s="3" t="s">
        <v>7226</v>
      </c>
      <c r="E431" s="3" t="s">
        <v>7227</v>
      </c>
      <c r="F431" s="3">
        <v>1.224</v>
      </c>
      <c r="G431" s="3" t="s">
        <v>7163</v>
      </c>
      <c r="H431" s="3" t="s">
        <v>7164</v>
      </c>
      <c r="I431" s="3">
        <v>1.224</v>
      </c>
    </row>
    <row r="432" spans="1:9" ht="33.75" customHeight="1" x14ac:dyDescent="0.25">
      <c r="A432" s="2" t="s">
        <v>3062</v>
      </c>
      <c r="B432" s="2" t="s">
        <v>3061</v>
      </c>
      <c r="C432" s="2" t="s">
        <v>4953</v>
      </c>
      <c r="D432" s="2" t="s">
        <v>7188</v>
      </c>
      <c r="E432" s="2" t="s">
        <v>7189</v>
      </c>
      <c r="F432" s="2">
        <v>3</v>
      </c>
      <c r="G432" s="2" t="s">
        <v>7158</v>
      </c>
      <c r="H432" s="2">
        <v>0.27</v>
      </c>
      <c r="I432" s="2">
        <v>0.81</v>
      </c>
    </row>
    <row r="433" spans="1:9" ht="33.75" customHeight="1" x14ac:dyDescent="0.25">
      <c r="A433" s="3" t="s">
        <v>3062</v>
      </c>
      <c r="B433" s="3" t="s">
        <v>3061</v>
      </c>
      <c r="C433" s="3" t="s">
        <v>4953</v>
      </c>
      <c r="D433" s="3" t="s">
        <v>7165</v>
      </c>
      <c r="E433" s="3" t="s">
        <v>7166</v>
      </c>
      <c r="F433" s="3">
        <v>4</v>
      </c>
      <c r="G433" s="3" t="s">
        <v>7158</v>
      </c>
      <c r="H433" s="3">
        <v>0.1</v>
      </c>
      <c r="I433" s="3">
        <v>0.4</v>
      </c>
    </row>
    <row r="434" spans="1:9" ht="22.5" customHeight="1" x14ac:dyDescent="0.25">
      <c r="A434" s="2" t="s">
        <v>3945</v>
      </c>
      <c r="B434" s="2" t="s">
        <v>3944</v>
      </c>
      <c r="C434" s="2" t="s">
        <v>5016</v>
      </c>
      <c r="D434" s="2" t="s">
        <v>7153</v>
      </c>
      <c r="E434" s="2" t="s">
        <v>7154</v>
      </c>
      <c r="F434" s="2">
        <v>7</v>
      </c>
      <c r="G434" s="2" t="s">
        <v>7155</v>
      </c>
      <c r="H434" s="2">
        <v>1.24E-2</v>
      </c>
      <c r="I434" s="2">
        <v>8.6800000000000002E-2</v>
      </c>
    </row>
    <row r="435" spans="1:9" ht="33.75" customHeight="1" x14ac:dyDescent="0.25">
      <c r="A435" s="3" t="s">
        <v>3945</v>
      </c>
      <c r="B435" s="3" t="s">
        <v>3944</v>
      </c>
      <c r="C435" s="3" t="s">
        <v>5016</v>
      </c>
      <c r="D435" s="3" t="s">
        <v>7186</v>
      </c>
      <c r="E435" s="3" t="s">
        <v>7187</v>
      </c>
      <c r="F435" s="3">
        <v>1</v>
      </c>
      <c r="G435" s="3" t="s">
        <v>7158</v>
      </c>
      <c r="H435" s="3">
        <v>26</v>
      </c>
      <c r="I435" s="3">
        <v>26</v>
      </c>
    </row>
    <row r="436" spans="1:9" ht="22.5" customHeight="1" x14ac:dyDescent="0.25">
      <c r="A436" s="2" t="s">
        <v>3945</v>
      </c>
      <c r="B436" s="2" t="s">
        <v>3944</v>
      </c>
      <c r="C436" s="2" t="s">
        <v>5016</v>
      </c>
      <c r="D436" s="2" t="s">
        <v>7159</v>
      </c>
      <c r="E436" s="2" t="s">
        <v>7160</v>
      </c>
      <c r="F436" s="2">
        <v>20</v>
      </c>
      <c r="G436" s="2" t="s">
        <v>7155</v>
      </c>
      <c r="H436" s="2">
        <v>1.8319999999999999E-2</v>
      </c>
      <c r="I436" s="2">
        <v>0.3664</v>
      </c>
    </row>
    <row r="437" spans="1:9" ht="22.5" customHeight="1" x14ac:dyDescent="0.25">
      <c r="A437" s="3" t="s">
        <v>3945</v>
      </c>
      <c r="B437" s="3" t="s">
        <v>3944</v>
      </c>
      <c r="C437" s="3" t="s">
        <v>5016</v>
      </c>
      <c r="D437" s="3" t="s">
        <v>7161</v>
      </c>
      <c r="E437" s="3" t="s">
        <v>7162</v>
      </c>
      <c r="F437" s="3">
        <v>0.186</v>
      </c>
      <c r="G437" s="3" t="s">
        <v>7163</v>
      </c>
      <c r="H437" s="3" t="s">
        <v>7164</v>
      </c>
      <c r="I437" s="3">
        <v>0.186</v>
      </c>
    </row>
    <row r="438" spans="1:9" ht="22.5" customHeight="1" x14ac:dyDescent="0.25">
      <c r="A438" s="2" t="s">
        <v>3945</v>
      </c>
      <c r="B438" s="2" t="s">
        <v>3944</v>
      </c>
      <c r="C438" s="2" t="s">
        <v>5016</v>
      </c>
      <c r="D438" s="2" t="s">
        <v>7226</v>
      </c>
      <c r="E438" s="2" t="s">
        <v>7227</v>
      </c>
      <c r="F438" s="2">
        <v>1.224</v>
      </c>
      <c r="G438" s="2" t="s">
        <v>7163</v>
      </c>
      <c r="H438" s="2" t="s">
        <v>7164</v>
      </c>
      <c r="I438" s="2">
        <v>1.224</v>
      </c>
    </row>
    <row r="439" spans="1:9" ht="33.75" customHeight="1" x14ac:dyDescent="0.25">
      <c r="A439" s="3" t="s">
        <v>3945</v>
      </c>
      <c r="B439" s="3" t="s">
        <v>3944</v>
      </c>
      <c r="C439" s="3" t="s">
        <v>5016</v>
      </c>
      <c r="D439" s="3" t="s">
        <v>7188</v>
      </c>
      <c r="E439" s="3" t="s">
        <v>7189</v>
      </c>
      <c r="F439" s="3">
        <v>4</v>
      </c>
      <c r="G439" s="3" t="s">
        <v>7158</v>
      </c>
      <c r="H439" s="3">
        <v>0.27</v>
      </c>
      <c r="I439" s="3">
        <v>1.08</v>
      </c>
    </row>
    <row r="440" spans="1:9" ht="33.75" customHeight="1" x14ac:dyDescent="0.25">
      <c r="A440" s="2" t="s">
        <v>3945</v>
      </c>
      <c r="B440" s="2" t="s">
        <v>3944</v>
      </c>
      <c r="C440" s="2" t="s">
        <v>5016</v>
      </c>
      <c r="D440" s="2" t="s">
        <v>7165</v>
      </c>
      <c r="E440" s="2" t="s">
        <v>7166</v>
      </c>
      <c r="F440" s="2">
        <v>2</v>
      </c>
      <c r="G440" s="2" t="s">
        <v>7158</v>
      </c>
      <c r="H440" s="2">
        <v>0.1</v>
      </c>
      <c r="I440" s="2">
        <v>0.2</v>
      </c>
    </row>
    <row r="441" spans="1:9" x14ac:dyDescent="0.25">
      <c r="A441" s="3" t="s">
        <v>4165</v>
      </c>
      <c r="B441" s="3" t="s">
        <v>4164</v>
      </c>
      <c r="C441" s="3" t="s">
        <v>5023</v>
      </c>
      <c r="D441" s="3" t="s">
        <v>7153</v>
      </c>
      <c r="E441" s="3"/>
      <c r="F441" s="3">
        <v>14</v>
      </c>
      <c r="G441" s="3" t="s">
        <v>7155</v>
      </c>
      <c r="H441" s="3">
        <v>1.24E-2</v>
      </c>
      <c r="I441" s="3">
        <v>0.1736</v>
      </c>
    </row>
    <row r="442" spans="1:9" x14ac:dyDescent="0.25">
      <c r="A442" s="2" t="s">
        <v>4165</v>
      </c>
      <c r="B442" s="2" t="s">
        <v>4164</v>
      </c>
      <c r="C442" s="2" t="s">
        <v>5023</v>
      </c>
      <c r="D442" s="2" t="s">
        <v>7228</v>
      </c>
      <c r="E442" s="2"/>
      <c r="F442" s="2">
        <v>3</v>
      </c>
      <c r="G442" s="2" t="s">
        <v>7158</v>
      </c>
      <c r="H442" s="2">
        <v>0.06</v>
      </c>
      <c r="I442" s="2">
        <v>0.18</v>
      </c>
    </row>
    <row r="443" spans="1:9" x14ac:dyDescent="0.25">
      <c r="A443" s="3" t="s">
        <v>4165</v>
      </c>
      <c r="B443" s="3" t="s">
        <v>4164</v>
      </c>
      <c r="C443" s="3" t="s">
        <v>5023</v>
      </c>
      <c r="D443" s="3" t="s">
        <v>7156</v>
      </c>
      <c r="E443" s="3"/>
      <c r="F443" s="3">
        <v>1</v>
      </c>
      <c r="G443" s="3" t="s">
        <v>7158</v>
      </c>
      <c r="H443" s="3">
        <v>26</v>
      </c>
      <c r="I443" s="3">
        <v>26</v>
      </c>
    </row>
    <row r="444" spans="1:9" x14ac:dyDescent="0.25">
      <c r="A444" s="2" t="s">
        <v>4165</v>
      </c>
      <c r="B444" s="2" t="s">
        <v>4164</v>
      </c>
      <c r="C444" s="2" t="s">
        <v>5023</v>
      </c>
      <c r="D444" s="2" t="s">
        <v>7159</v>
      </c>
      <c r="E444" s="2"/>
      <c r="F444" s="2">
        <v>20</v>
      </c>
      <c r="G444" s="2" t="s">
        <v>7155</v>
      </c>
      <c r="H444" s="2">
        <v>1.8319999999999999E-2</v>
      </c>
      <c r="I444" s="2">
        <v>0.3664</v>
      </c>
    </row>
    <row r="445" spans="1:9" x14ac:dyDescent="0.25">
      <c r="A445" s="3" t="s">
        <v>4165</v>
      </c>
      <c r="B445" s="3" t="s">
        <v>4164</v>
      </c>
      <c r="C445" s="3" t="s">
        <v>5023</v>
      </c>
      <c r="D445" s="3" t="s">
        <v>7161</v>
      </c>
      <c r="E445" s="3"/>
      <c r="F445" s="3">
        <v>0.186</v>
      </c>
      <c r="G445" s="3" t="s">
        <v>7163</v>
      </c>
      <c r="H445" s="3">
        <v>0</v>
      </c>
      <c r="I445" s="3">
        <v>0</v>
      </c>
    </row>
    <row r="446" spans="1:9" x14ac:dyDescent="0.25">
      <c r="A446" s="2" t="s">
        <v>4165</v>
      </c>
      <c r="B446" s="2" t="s">
        <v>4164</v>
      </c>
      <c r="C446" s="2" t="s">
        <v>5023</v>
      </c>
      <c r="D446" s="2" t="s">
        <v>7201</v>
      </c>
      <c r="E446" s="2"/>
      <c r="F446" s="2">
        <v>1.44</v>
      </c>
      <c r="G446" s="2" t="s">
        <v>7163</v>
      </c>
      <c r="H446" s="2">
        <v>0</v>
      </c>
      <c r="I446" s="2">
        <v>0</v>
      </c>
    </row>
    <row r="447" spans="1:9" x14ac:dyDescent="0.25">
      <c r="A447" s="3" t="s">
        <v>4165</v>
      </c>
      <c r="B447" s="3" t="s">
        <v>4164</v>
      </c>
      <c r="C447" s="3" t="s">
        <v>5023</v>
      </c>
      <c r="D447" s="3" t="s">
        <v>7165</v>
      </c>
      <c r="E447" s="3"/>
      <c r="F447" s="3">
        <v>4</v>
      </c>
      <c r="G447" s="3" t="s">
        <v>7158</v>
      </c>
      <c r="H447" s="3">
        <v>0.1</v>
      </c>
      <c r="I447" s="3">
        <v>0.4</v>
      </c>
    </row>
    <row r="448" spans="1:9" x14ac:dyDescent="0.25">
      <c r="A448" s="2" t="s">
        <v>4165</v>
      </c>
      <c r="B448" s="2" t="s">
        <v>4164</v>
      </c>
      <c r="C448" s="2" t="s">
        <v>5023</v>
      </c>
      <c r="D448" s="2" t="s">
        <v>7167</v>
      </c>
      <c r="E448" s="2"/>
      <c r="F448" s="2">
        <v>4</v>
      </c>
      <c r="G448" s="2" t="s">
        <v>7158</v>
      </c>
      <c r="H448" s="2">
        <v>0.2</v>
      </c>
      <c r="I448" s="2">
        <v>0.8</v>
      </c>
    </row>
    <row r="449" spans="1:9" x14ac:dyDescent="0.25">
      <c r="A449" s="3" t="s">
        <v>4165</v>
      </c>
      <c r="B449" s="3" t="s">
        <v>4164</v>
      </c>
      <c r="C449" s="3" t="s">
        <v>5023</v>
      </c>
      <c r="D449" s="3" t="s">
        <v>7179</v>
      </c>
      <c r="E449" s="3"/>
      <c r="F449" s="3">
        <v>36</v>
      </c>
      <c r="G449" s="3" t="s">
        <v>7158</v>
      </c>
      <c r="H449" s="3">
        <v>1.08E-3</v>
      </c>
      <c r="I449" s="3">
        <v>3.8879999999999998E-2</v>
      </c>
    </row>
    <row r="450" spans="1:9" x14ac:dyDescent="0.25">
      <c r="A450" s="2" t="s">
        <v>4171</v>
      </c>
      <c r="B450" s="2" t="s">
        <v>4170</v>
      </c>
      <c r="C450" s="2" t="s">
        <v>5024</v>
      </c>
      <c r="D450" s="2" t="s">
        <v>7153</v>
      </c>
      <c r="E450" s="2"/>
      <c r="F450" s="2">
        <v>14</v>
      </c>
      <c r="G450" s="2" t="s">
        <v>7155</v>
      </c>
      <c r="H450" s="2">
        <v>1.24E-2</v>
      </c>
      <c r="I450" s="2">
        <v>0.1736</v>
      </c>
    </row>
    <row r="451" spans="1:9" x14ac:dyDescent="0.25">
      <c r="A451" s="3" t="s">
        <v>4171</v>
      </c>
      <c r="B451" s="3" t="s">
        <v>4170</v>
      </c>
      <c r="C451" s="3" t="s">
        <v>5024</v>
      </c>
      <c r="D451" s="3" t="s">
        <v>7156</v>
      </c>
      <c r="E451" s="3"/>
      <c r="F451" s="3">
        <v>1</v>
      </c>
      <c r="G451" s="3" t="s">
        <v>7158</v>
      </c>
      <c r="H451" s="3">
        <v>26</v>
      </c>
      <c r="I451" s="3">
        <v>26</v>
      </c>
    </row>
    <row r="452" spans="1:9" x14ac:dyDescent="0.25">
      <c r="A452" s="2" t="s">
        <v>4171</v>
      </c>
      <c r="B452" s="2" t="s">
        <v>4170</v>
      </c>
      <c r="C452" s="2" t="s">
        <v>5024</v>
      </c>
      <c r="D452" s="2" t="s">
        <v>7159</v>
      </c>
      <c r="E452" s="2"/>
      <c r="F452" s="2">
        <v>20</v>
      </c>
      <c r="G452" s="2" t="s">
        <v>7155</v>
      </c>
      <c r="H452" s="2">
        <v>1.8319999999999999E-2</v>
      </c>
      <c r="I452" s="2">
        <v>0.3664</v>
      </c>
    </row>
    <row r="453" spans="1:9" x14ac:dyDescent="0.25">
      <c r="A453" s="3" t="s">
        <v>4171</v>
      </c>
      <c r="B453" s="3" t="s">
        <v>4170</v>
      </c>
      <c r="C453" s="3" t="s">
        <v>5024</v>
      </c>
      <c r="D453" s="3" t="s">
        <v>7161</v>
      </c>
      <c r="E453" s="3"/>
      <c r="F453" s="3">
        <v>0.186</v>
      </c>
      <c r="G453" s="3" t="s">
        <v>7163</v>
      </c>
      <c r="H453" s="3">
        <v>0</v>
      </c>
      <c r="I453" s="3">
        <v>0</v>
      </c>
    </row>
    <row r="454" spans="1:9" x14ac:dyDescent="0.25">
      <c r="A454" s="2" t="s">
        <v>4171</v>
      </c>
      <c r="B454" s="2" t="s">
        <v>4170</v>
      </c>
      <c r="C454" s="2" t="s">
        <v>5024</v>
      </c>
      <c r="D454" s="2" t="s">
        <v>7201</v>
      </c>
      <c r="E454" s="2"/>
      <c r="F454" s="2">
        <v>1.44</v>
      </c>
      <c r="G454" s="2" t="s">
        <v>7163</v>
      </c>
      <c r="H454" s="2">
        <v>0</v>
      </c>
      <c r="I454" s="2">
        <v>0</v>
      </c>
    </row>
    <row r="455" spans="1:9" x14ac:dyDescent="0.25">
      <c r="A455" s="3" t="s">
        <v>4171</v>
      </c>
      <c r="B455" s="3" t="s">
        <v>4170</v>
      </c>
      <c r="C455" s="3" t="s">
        <v>5024</v>
      </c>
      <c r="D455" s="3" t="s">
        <v>7167</v>
      </c>
      <c r="E455" s="3"/>
      <c r="F455" s="3">
        <v>4</v>
      </c>
      <c r="G455" s="3" t="s">
        <v>7158</v>
      </c>
      <c r="H455" s="3">
        <v>0.2</v>
      </c>
      <c r="I455" s="3">
        <v>0.8</v>
      </c>
    </row>
    <row r="456" spans="1:9" x14ac:dyDescent="0.25">
      <c r="A456" s="2" t="s">
        <v>4171</v>
      </c>
      <c r="B456" s="2" t="s">
        <v>4170</v>
      </c>
      <c r="C456" s="2" t="s">
        <v>5024</v>
      </c>
      <c r="D456" s="2" t="s">
        <v>7179</v>
      </c>
      <c r="E456" s="2"/>
      <c r="F456" s="2">
        <v>36</v>
      </c>
      <c r="G456" s="2" t="s">
        <v>7158</v>
      </c>
      <c r="H456" s="2">
        <v>1.08E-3</v>
      </c>
      <c r="I456" s="2">
        <v>3.8879999999999998E-2</v>
      </c>
    </row>
    <row r="457" spans="1:9" x14ac:dyDescent="0.25">
      <c r="A457" s="3" t="s">
        <v>160</v>
      </c>
      <c r="B457" s="3" t="s">
        <v>159</v>
      </c>
      <c r="C457" s="3" t="s">
        <v>4672</v>
      </c>
      <c r="D457" s="3" t="s">
        <v>7222</v>
      </c>
      <c r="E457" s="3"/>
      <c r="F457" s="3">
        <v>36</v>
      </c>
      <c r="G457" s="3" t="s">
        <v>7158</v>
      </c>
      <c r="H457" s="3">
        <v>8.0680000000000002E-2</v>
      </c>
      <c r="I457" s="3">
        <v>2.90448</v>
      </c>
    </row>
    <row r="458" spans="1:9" x14ac:dyDescent="0.25">
      <c r="A458" s="2" t="s">
        <v>160</v>
      </c>
      <c r="B458" s="2" t="s">
        <v>159</v>
      </c>
      <c r="C458" s="2" t="s">
        <v>4672</v>
      </c>
      <c r="D458" s="2" t="s">
        <v>7156</v>
      </c>
      <c r="E458" s="2"/>
      <c r="F458" s="2">
        <v>1</v>
      </c>
      <c r="G458" s="2" t="s">
        <v>7158</v>
      </c>
      <c r="H458" s="2">
        <v>26</v>
      </c>
      <c r="I458" s="2">
        <v>26</v>
      </c>
    </row>
    <row r="459" spans="1:9" x14ac:dyDescent="0.25">
      <c r="A459" s="3" t="s">
        <v>160</v>
      </c>
      <c r="B459" s="3" t="s">
        <v>159</v>
      </c>
      <c r="C459" s="3" t="s">
        <v>4672</v>
      </c>
      <c r="D459" s="3" t="s">
        <v>7159</v>
      </c>
      <c r="E459" s="3"/>
      <c r="F459" s="3">
        <v>20</v>
      </c>
      <c r="G459" s="3" t="s">
        <v>7155</v>
      </c>
      <c r="H459" s="3">
        <v>1.8319999999999999E-2</v>
      </c>
      <c r="I459" s="3">
        <v>0.3664</v>
      </c>
    </row>
    <row r="460" spans="1:9" x14ac:dyDescent="0.25">
      <c r="A460" s="2" t="s">
        <v>160</v>
      </c>
      <c r="B460" s="2" t="s">
        <v>159</v>
      </c>
      <c r="C460" s="2" t="s">
        <v>4672</v>
      </c>
      <c r="D460" s="2" t="s">
        <v>7161</v>
      </c>
      <c r="E460" s="2"/>
      <c r="F460" s="2">
        <v>0.186</v>
      </c>
      <c r="G460" s="2" t="s">
        <v>7163</v>
      </c>
      <c r="H460" s="2">
        <v>0</v>
      </c>
      <c r="I460" s="2">
        <v>0</v>
      </c>
    </row>
    <row r="461" spans="1:9" x14ac:dyDescent="0.25">
      <c r="A461" s="3" t="s">
        <v>160</v>
      </c>
      <c r="B461" s="3" t="s">
        <v>159</v>
      </c>
      <c r="C461" s="3" t="s">
        <v>4672</v>
      </c>
      <c r="D461" s="3" t="s">
        <v>7201</v>
      </c>
      <c r="E461" s="3"/>
      <c r="F461" s="3">
        <v>1.44</v>
      </c>
      <c r="G461" s="3" t="s">
        <v>7163</v>
      </c>
      <c r="H461" s="3">
        <v>0</v>
      </c>
      <c r="I461" s="3">
        <v>0</v>
      </c>
    </row>
    <row r="462" spans="1:9" x14ac:dyDescent="0.25">
      <c r="A462" s="2" t="s">
        <v>160</v>
      </c>
      <c r="B462" s="2" t="s">
        <v>159</v>
      </c>
      <c r="C462" s="2" t="s">
        <v>4672</v>
      </c>
      <c r="D462" s="2" t="s">
        <v>7167</v>
      </c>
      <c r="E462" s="2"/>
      <c r="F462" s="2">
        <v>4</v>
      </c>
      <c r="G462" s="2" t="s">
        <v>7158</v>
      </c>
      <c r="H462" s="2">
        <v>0.2</v>
      </c>
      <c r="I462" s="2">
        <v>0.8</v>
      </c>
    </row>
    <row r="463" spans="1:9" x14ac:dyDescent="0.25">
      <c r="A463" s="3" t="s">
        <v>160</v>
      </c>
      <c r="B463" s="3" t="s">
        <v>159</v>
      </c>
      <c r="C463" s="3" t="s">
        <v>4672</v>
      </c>
      <c r="D463" s="3" t="s">
        <v>7181</v>
      </c>
      <c r="E463" s="3"/>
      <c r="F463" s="3">
        <v>36</v>
      </c>
      <c r="G463" s="3" t="s">
        <v>7158</v>
      </c>
      <c r="H463" s="3">
        <v>1.08E-3</v>
      </c>
      <c r="I463" s="3">
        <v>3.8879999999999998E-2</v>
      </c>
    </row>
    <row r="464" spans="1:9" x14ac:dyDescent="0.25">
      <c r="A464" s="2" t="s">
        <v>160</v>
      </c>
      <c r="B464" s="2" t="s">
        <v>159</v>
      </c>
      <c r="C464" s="2" t="s">
        <v>4672</v>
      </c>
      <c r="D464" s="2" t="s">
        <v>7179</v>
      </c>
      <c r="E464" s="2"/>
      <c r="F464" s="2">
        <v>36</v>
      </c>
      <c r="G464" s="2" t="s">
        <v>7158</v>
      </c>
      <c r="H464" s="2">
        <v>1.08E-3</v>
      </c>
      <c r="I464" s="2">
        <v>3.8879999999999998E-2</v>
      </c>
    </row>
    <row r="465" spans="1:9" x14ac:dyDescent="0.25">
      <c r="A465" s="3" t="s">
        <v>2308</v>
      </c>
      <c r="B465" s="3" t="s">
        <v>2307</v>
      </c>
      <c r="C465" s="3" t="s">
        <v>4867</v>
      </c>
      <c r="D465" s="3" t="s">
        <v>7156</v>
      </c>
      <c r="E465" s="3"/>
      <c r="F465" s="3">
        <v>1</v>
      </c>
      <c r="G465" s="3" t="s">
        <v>7158</v>
      </c>
      <c r="H465" s="3">
        <v>26</v>
      </c>
      <c r="I465" s="3">
        <v>26</v>
      </c>
    </row>
    <row r="466" spans="1:9" x14ac:dyDescent="0.25">
      <c r="A466" s="2" t="s">
        <v>2308</v>
      </c>
      <c r="B466" s="2" t="s">
        <v>2307</v>
      </c>
      <c r="C466" s="2" t="s">
        <v>4867</v>
      </c>
      <c r="D466" s="2" t="s">
        <v>7159</v>
      </c>
      <c r="E466" s="2"/>
      <c r="F466" s="2">
        <v>20</v>
      </c>
      <c r="G466" s="2" t="s">
        <v>7155</v>
      </c>
      <c r="H466" s="2">
        <v>1.8319999999999999E-2</v>
      </c>
      <c r="I466" s="2">
        <v>0.3664</v>
      </c>
    </row>
    <row r="467" spans="1:9" x14ac:dyDescent="0.25">
      <c r="A467" s="3" t="s">
        <v>2308</v>
      </c>
      <c r="B467" s="3" t="s">
        <v>2307</v>
      </c>
      <c r="C467" s="3" t="s">
        <v>4867</v>
      </c>
      <c r="D467" s="3" t="s">
        <v>7161</v>
      </c>
      <c r="E467" s="3"/>
      <c r="F467" s="3">
        <v>0.186</v>
      </c>
      <c r="G467" s="3" t="s">
        <v>7163</v>
      </c>
      <c r="H467" s="3">
        <v>0</v>
      </c>
      <c r="I467" s="3">
        <v>0</v>
      </c>
    </row>
    <row r="468" spans="1:9" x14ac:dyDescent="0.25">
      <c r="A468" s="2" t="s">
        <v>2308</v>
      </c>
      <c r="B468" s="2" t="s">
        <v>2307</v>
      </c>
      <c r="C468" s="2" t="s">
        <v>4867</v>
      </c>
      <c r="D468" s="2" t="s">
        <v>7201</v>
      </c>
      <c r="E468" s="2"/>
      <c r="F468" s="2">
        <v>1.44</v>
      </c>
      <c r="G468" s="2" t="s">
        <v>7163</v>
      </c>
      <c r="H468" s="2">
        <v>0</v>
      </c>
      <c r="I468" s="2">
        <v>0</v>
      </c>
    </row>
    <row r="469" spans="1:9" x14ac:dyDescent="0.25">
      <c r="A469" s="3" t="s">
        <v>2308</v>
      </c>
      <c r="B469" s="3" t="s">
        <v>2307</v>
      </c>
      <c r="C469" s="3" t="s">
        <v>4867</v>
      </c>
      <c r="D469" s="3" t="s">
        <v>7167</v>
      </c>
      <c r="E469" s="3"/>
      <c r="F469" s="3">
        <v>4</v>
      </c>
      <c r="G469" s="3" t="s">
        <v>7158</v>
      </c>
      <c r="H469" s="3">
        <v>0.2</v>
      </c>
      <c r="I469" s="3">
        <v>0.8</v>
      </c>
    </row>
    <row r="470" spans="1:9" x14ac:dyDescent="0.25">
      <c r="A470" s="2" t="s">
        <v>2308</v>
      </c>
      <c r="B470" s="2" t="s">
        <v>2307</v>
      </c>
      <c r="C470" s="2" t="s">
        <v>4867</v>
      </c>
      <c r="D470" s="2" t="s">
        <v>7202</v>
      </c>
      <c r="E470" s="2"/>
      <c r="F470" s="2">
        <v>36</v>
      </c>
      <c r="G470" s="2" t="s">
        <v>7158</v>
      </c>
      <c r="H470" s="2">
        <v>1.08E-3</v>
      </c>
      <c r="I470" s="2">
        <v>3.8879999999999998E-2</v>
      </c>
    </row>
    <row r="471" spans="1:9" x14ac:dyDescent="0.25">
      <c r="A471" s="3" t="s">
        <v>2308</v>
      </c>
      <c r="B471" s="3" t="s">
        <v>2307</v>
      </c>
      <c r="C471" s="3" t="s">
        <v>4867</v>
      </c>
      <c r="D471" s="3" t="s">
        <v>7179</v>
      </c>
      <c r="E471" s="3"/>
      <c r="F471" s="3">
        <v>36</v>
      </c>
      <c r="G471" s="3" t="s">
        <v>7158</v>
      </c>
      <c r="H471" s="3">
        <v>1.08E-3</v>
      </c>
      <c r="I471" s="3">
        <v>3.8879999999999998E-2</v>
      </c>
    </row>
    <row r="472" spans="1:9" x14ac:dyDescent="0.25">
      <c r="A472" s="2" t="s">
        <v>4143</v>
      </c>
      <c r="B472" s="2" t="s">
        <v>4142</v>
      </c>
      <c r="C472" s="2" t="s">
        <v>4867</v>
      </c>
      <c r="D472" s="2" t="s">
        <v>7156</v>
      </c>
      <c r="E472" s="2"/>
      <c r="F472" s="2">
        <v>1</v>
      </c>
      <c r="G472" s="2" t="s">
        <v>7158</v>
      </c>
      <c r="H472" s="2">
        <v>26</v>
      </c>
      <c r="I472" s="2">
        <v>26</v>
      </c>
    </row>
    <row r="473" spans="1:9" x14ac:dyDescent="0.25">
      <c r="A473" s="3" t="s">
        <v>4143</v>
      </c>
      <c r="B473" s="3" t="s">
        <v>4142</v>
      </c>
      <c r="C473" s="3" t="s">
        <v>4867</v>
      </c>
      <c r="D473" s="3" t="s">
        <v>7159</v>
      </c>
      <c r="E473" s="3"/>
      <c r="F473" s="3">
        <v>20</v>
      </c>
      <c r="G473" s="3" t="s">
        <v>7155</v>
      </c>
      <c r="H473" s="3">
        <v>1.8319999999999999E-2</v>
      </c>
      <c r="I473" s="3">
        <v>0.3664</v>
      </c>
    </row>
    <row r="474" spans="1:9" x14ac:dyDescent="0.25">
      <c r="A474" s="2" t="s">
        <v>4143</v>
      </c>
      <c r="B474" s="2" t="s">
        <v>4142</v>
      </c>
      <c r="C474" s="2" t="s">
        <v>4867</v>
      </c>
      <c r="D474" s="2" t="s">
        <v>7161</v>
      </c>
      <c r="E474" s="2"/>
      <c r="F474" s="2">
        <v>0.186</v>
      </c>
      <c r="G474" s="2" t="s">
        <v>7163</v>
      </c>
      <c r="H474" s="2">
        <v>0</v>
      </c>
      <c r="I474" s="2">
        <v>0</v>
      </c>
    </row>
    <row r="475" spans="1:9" x14ac:dyDescent="0.25">
      <c r="A475" s="3" t="s">
        <v>4143</v>
      </c>
      <c r="B475" s="3" t="s">
        <v>4142</v>
      </c>
      <c r="C475" s="3" t="s">
        <v>4867</v>
      </c>
      <c r="D475" s="3" t="s">
        <v>7201</v>
      </c>
      <c r="E475" s="3"/>
      <c r="F475" s="3">
        <v>1.44</v>
      </c>
      <c r="G475" s="3" t="s">
        <v>7163</v>
      </c>
      <c r="H475" s="3">
        <v>0</v>
      </c>
      <c r="I475" s="3">
        <v>0</v>
      </c>
    </row>
    <row r="476" spans="1:9" x14ac:dyDescent="0.25">
      <c r="A476" s="2" t="s">
        <v>4143</v>
      </c>
      <c r="B476" s="2" t="s">
        <v>4142</v>
      </c>
      <c r="C476" s="2" t="s">
        <v>4867</v>
      </c>
      <c r="D476" s="2" t="s">
        <v>7167</v>
      </c>
      <c r="E476" s="2"/>
      <c r="F476" s="2">
        <v>4</v>
      </c>
      <c r="G476" s="2" t="s">
        <v>7158</v>
      </c>
      <c r="H476" s="2">
        <v>0.2</v>
      </c>
      <c r="I476" s="2">
        <v>0.8</v>
      </c>
    </row>
    <row r="477" spans="1:9" x14ac:dyDescent="0.25">
      <c r="A477" s="3" t="s">
        <v>4143</v>
      </c>
      <c r="B477" s="3" t="s">
        <v>4142</v>
      </c>
      <c r="C477" s="3" t="s">
        <v>4867</v>
      </c>
      <c r="D477" s="3" t="s">
        <v>7229</v>
      </c>
      <c r="E477" s="3"/>
      <c r="F477" s="3">
        <v>36</v>
      </c>
      <c r="G477" s="3" t="s">
        <v>7158</v>
      </c>
      <c r="H477" s="3">
        <v>8.0000000000000002E-3</v>
      </c>
      <c r="I477" s="3">
        <v>0.28799999999999998</v>
      </c>
    </row>
    <row r="478" spans="1:9" x14ac:dyDescent="0.25">
      <c r="A478" s="2" t="s">
        <v>4143</v>
      </c>
      <c r="B478" s="2" t="s">
        <v>4142</v>
      </c>
      <c r="C478" s="2" t="s">
        <v>4867</v>
      </c>
      <c r="D478" s="2" t="s">
        <v>7230</v>
      </c>
      <c r="E478" s="2"/>
      <c r="F478" s="2">
        <v>36</v>
      </c>
      <c r="G478" s="2" t="s">
        <v>7158</v>
      </c>
      <c r="H478" s="2">
        <v>8.0000000000000002E-3</v>
      </c>
      <c r="I478" s="2">
        <v>0.28799999999999998</v>
      </c>
    </row>
    <row r="479" spans="1:9" x14ac:dyDescent="0.25">
      <c r="A479" s="3" t="s">
        <v>4517</v>
      </c>
      <c r="B479" s="3" t="s">
        <v>4516</v>
      </c>
      <c r="C479" s="3" t="s">
        <v>4867</v>
      </c>
      <c r="D479" s="3" t="s">
        <v>7156</v>
      </c>
      <c r="E479" s="3"/>
      <c r="F479" s="3">
        <v>1</v>
      </c>
      <c r="G479" s="3" t="s">
        <v>7158</v>
      </c>
      <c r="H479" s="3">
        <v>26</v>
      </c>
      <c r="I479" s="3">
        <v>26</v>
      </c>
    </row>
    <row r="480" spans="1:9" x14ac:dyDescent="0.25">
      <c r="A480" s="2" t="s">
        <v>4517</v>
      </c>
      <c r="B480" s="2" t="s">
        <v>4516</v>
      </c>
      <c r="C480" s="2" t="s">
        <v>4867</v>
      </c>
      <c r="D480" s="2" t="s">
        <v>7159</v>
      </c>
      <c r="E480" s="2"/>
      <c r="F480" s="2">
        <v>20</v>
      </c>
      <c r="G480" s="2" t="s">
        <v>7155</v>
      </c>
      <c r="H480" s="2">
        <v>1.8319999999999999E-2</v>
      </c>
      <c r="I480" s="2">
        <v>0.3664</v>
      </c>
    </row>
    <row r="481" spans="1:9" x14ac:dyDescent="0.25">
      <c r="A481" s="3" t="s">
        <v>4517</v>
      </c>
      <c r="B481" s="3" t="s">
        <v>4516</v>
      </c>
      <c r="C481" s="3" t="s">
        <v>4867</v>
      </c>
      <c r="D481" s="3" t="s">
        <v>7161</v>
      </c>
      <c r="E481" s="3"/>
      <c r="F481" s="3">
        <v>0.186</v>
      </c>
      <c r="G481" s="3" t="s">
        <v>7163</v>
      </c>
      <c r="H481" s="3">
        <v>0</v>
      </c>
      <c r="I481" s="3">
        <v>0</v>
      </c>
    </row>
    <row r="482" spans="1:9" x14ac:dyDescent="0.25">
      <c r="A482" s="2" t="s">
        <v>4517</v>
      </c>
      <c r="B482" s="2" t="s">
        <v>4516</v>
      </c>
      <c r="C482" s="2" t="s">
        <v>4867</v>
      </c>
      <c r="D482" s="2" t="s">
        <v>7201</v>
      </c>
      <c r="E482" s="2"/>
      <c r="F482" s="2">
        <v>1.44</v>
      </c>
      <c r="G482" s="2" t="s">
        <v>7163</v>
      </c>
      <c r="H482" s="2">
        <v>0</v>
      </c>
      <c r="I482" s="2">
        <v>0</v>
      </c>
    </row>
    <row r="483" spans="1:9" x14ac:dyDescent="0.25">
      <c r="A483" s="3" t="s">
        <v>4517</v>
      </c>
      <c r="B483" s="3" t="s">
        <v>4516</v>
      </c>
      <c r="C483" s="3" t="s">
        <v>4867</v>
      </c>
      <c r="D483" s="3" t="s">
        <v>7167</v>
      </c>
      <c r="E483" s="3"/>
      <c r="F483" s="3">
        <v>4</v>
      </c>
      <c r="G483" s="3" t="s">
        <v>7158</v>
      </c>
      <c r="H483" s="3">
        <v>0.2</v>
      </c>
      <c r="I483" s="3">
        <v>0.8</v>
      </c>
    </row>
    <row r="484" spans="1:9" x14ac:dyDescent="0.25">
      <c r="A484" s="2" t="s">
        <v>4517</v>
      </c>
      <c r="B484" s="2" t="s">
        <v>4516</v>
      </c>
      <c r="C484" s="2" t="s">
        <v>4867</v>
      </c>
      <c r="D484" s="2" t="s">
        <v>7231</v>
      </c>
      <c r="E484" s="2"/>
      <c r="F484" s="2">
        <v>36</v>
      </c>
      <c r="G484" s="2" t="s">
        <v>7158</v>
      </c>
      <c r="H484" s="2">
        <v>8.0000000000000002E-3</v>
      </c>
      <c r="I484" s="2">
        <v>0.28799999999999998</v>
      </c>
    </row>
    <row r="485" spans="1:9" x14ac:dyDescent="0.25">
      <c r="A485" s="3" t="s">
        <v>4517</v>
      </c>
      <c r="B485" s="3" t="s">
        <v>4516</v>
      </c>
      <c r="C485" s="3" t="s">
        <v>4867</v>
      </c>
      <c r="D485" s="3" t="s">
        <v>7232</v>
      </c>
      <c r="E485" s="3"/>
      <c r="F485" s="3">
        <v>36</v>
      </c>
      <c r="G485" s="3" t="s">
        <v>7158</v>
      </c>
      <c r="H485" s="3">
        <v>8.0000000000000002E-3</v>
      </c>
      <c r="I485" s="3">
        <v>0.28799999999999998</v>
      </c>
    </row>
    <row r="486" spans="1:9" x14ac:dyDescent="0.25">
      <c r="A486" s="2" t="s">
        <v>1866</v>
      </c>
      <c r="B486" s="2" t="s">
        <v>1865</v>
      </c>
      <c r="C486" s="2" t="s">
        <v>4867</v>
      </c>
      <c r="D486" s="2" t="s">
        <v>7156</v>
      </c>
      <c r="E486" s="2"/>
      <c r="F486" s="2">
        <v>1</v>
      </c>
      <c r="G486" s="2" t="s">
        <v>7158</v>
      </c>
      <c r="H486" s="2">
        <v>26</v>
      </c>
      <c r="I486" s="2">
        <v>26</v>
      </c>
    </row>
    <row r="487" spans="1:9" x14ac:dyDescent="0.25">
      <c r="A487" s="3" t="s">
        <v>1866</v>
      </c>
      <c r="B487" s="3" t="s">
        <v>1865</v>
      </c>
      <c r="C487" s="3" t="s">
        <v>4867</v>
      </c>
      <c r="D487" s="3" t="s">
        <v>7159</v>
      </c>
      <c r="E487" s="3"/>
      <c r="F487" s="3">
        <v>20</v>
      </c>
      <c r="G487" s="3" t="s">
        <v>7155</v>
      </c>
      <c r="H487" s="3">
        <v>1.8319999999999999E-2</v>
      </c>
      <c r="I487" s="3">
        <v>0.3664</v>
      </c>
    </row>
    <row r="488" spans="1:9" x14ac:dyDescent="0.25">
      <c r="A488" s="2" t="s">
        <v>1866</v>
      </c>
      <c r="B488" s="2" t="s">
        <v>1865</v>
      </c>
      <c r="C488" s="2" t="s">
        <v>4867</v>
      </c>
      <c r="D488" s="2" t="s">
        <v>7161</v>
      </c>
      <c r="E488" s="2"/>
      <c r="F488" s="2">
        <v>0.186</v>
      </c>
      <c r="G488" s="2" t="s">
        <v>7163</v>
      </c>
      <c r="H488" s="2">
        <v>0</v>
      </c>
      <c r="I488" s="2">
        <v>0</v>
      </c>
    </row>
    <row r="489" spans="1:9" x14ac:dyDescent="0.25">
      <c r="A489" s="3" t="s">
        <v>1866</v>
      </c>
      <c r="B489" s="3" t="s">
        <v>1865</v>
      </c>
      <c r="C489" s="3" t="s">
        <v>4867</v>
      </c>
      <c r="D489" s="3" t="s">
        <v>7201</v>
      </c>
      <c r="E489" s="3"/>
      <c r="F489" s="3">
        <v>1.44</v>
      </c>
      <c r="G489" s="3" t="s">
        <v>7163</v>
      </c>
      <c r="H489" s="3">
        <v>0</v>
      </c>
      <c r="I489" s="3">
        <v>0</v>
      </c>
    </row>
    <row r="490" spans="1:9" x14ac:dyDescent="0.25">
      <c r="A490" s="2" t="s">
        <v>1866</v>
      </c>
      <c r="B490" s="2" t="s">
        <v>1865</v>
      </c>
      <c r="C490" s="2" t="s">
        <v>4867</v>
      </c>
      <c r="D490" s="2" t="s">
        <v>7167</v>
      </c>
      <c r="E490" s="2"/>
      <c r="F490" s="2">
        <v>4</v>
      </c>
      <c r="G490" s="2" t="s">
        <v>7158</v>
      </c>
      <c r="H490" s="2">
        <v>0.2</v>
      </c>
      <c r="I490" s="2">
        <v>0.8</v>
      </c>
    </row>
    <row r="491" spans="1:9" x14ac:dyDescent="0.25">
      <c r="A491" s="3" t="s">
        <v>1866</v>
      </c>
      <c r="B491" s="3" t="s">
        <v>1865</v>
      </c>
      <c r="C491" s="3" t="s">
        <v>4867</v>
      </c>
      <c r="D491" s="3" t="s">
        <v>7233</v>
      </c>
      <c r="E491" s="3"/>
      <c r="F491" s="3">
        <v>36</v>
      </c>
      <c r="G491" s="3" t="s">
        <v>7158</v>
      </c>
      <c r="H491" s="3">
        <v>8.0000000000000002E-3</v>
      </c>
      <c r="I491" s="3">
        <v>0.28799999999999998</v>
      </c>
    </row>
    <row r="492" spans="1:9" x14ac:dyDescent="0.25">
      <c r="A492" s="2" t="s">
        <v>1866</v>
      </c>
      <c r="B492" s="2" t="s">
        <v>1865</v>
      </c>
      <c r="C492" s="2" t="s">
        <v>4867</v>
      </c>
      <c r="D492" s="2" t="s">
        <v>7234</v>
      </c>
      <c r="E492" s="2"/>
      <c r="F492" s="2">
        <v>36</v>
      </c>
      <c r="G492" s="2" t="s">
        <v>7158</v>
      </c>
      <c r="H492" s="2">
        <v>8.0000000000000002E-3</v>
      </c>
      <c r="I492" s="2">
        <v>0.28799999999999998</v>
      </c>
    </row>
    <row r="493" spans="1:9" ht="22.5" customHeight="1" x14ac:dyDescent="0.25">
      <c r="A493" s="3" t="s">
        <v>3925</v>
      </c>
      <c r="B493" s="3" t="s">
        <v>3924</v>
      </c>
      <c r="C493" s="3" t="s">
        <v>5013</v>
      </c>
      <c r="D493" s="3" t="s">
        <v>7153</v>
      </c>
      <c r="E493" s="3" t="s">
        <v>7154</v>
      </c>
      <c r="F493" s="3">
        <v>14</v>
      </c>
      <c r="G493" s="3" t="s">
        <v>7155</v>
      </c>
      <c r="H493" s="3">
        <v>1.24E-2</v>
      </c>
      <c r="I493" s="3">
        <v>0.1736</v>
      </c>
    </row>
    <row r="494" spans="1:9" ht="22.5" customHeight="1" x14ac:dyDescent="0.25">
      <c r="A494" s="2" t="s">
        <v>3925</v>
      </c>
      <c r="B494" s="2" t="s">
        <v>3924</v>
      </c>
      <c r="C494" s="2" t="s">
        <v>5013</v>
      </c>
      <c r="D494" s="2" t="s">
        <v>7210</v>
      </c>
      <c r="E494" s="2" t="s">
        <v>7211</v>
      </c>
      <c r="F494" s="2">
        <v>42</v>
      </c>
      <c r="G494" s="2" t="s">
        <v>7158</v>
      </c>
      <c r="H494" s="2">
        <v>6.2399999999999997E-2</v>
      </c>
      <c r="I494" s="2">
        <v>2.6208</v>
      </c>
    </row>
    <row r="495" spans="1:9" ht="22.5" customHeight="1" x14ac:dyDescent="0.25">
      <c r="A495" s="3" t="s">
        <v>3925</v>
      </c>
      <c r="B495" s="3" t="s">
        <v>3924</v>
      </c>
      <c r="C495" s="3" t="s">
        <v>5013</v>
      </c>
      <c r="D495" s="3" t="s">
        <v>7156</v>
      </c>
      <c r="E495" s="3" t="s">
        <v>7157</v>
      </c>
      <c r="F495" s="3">
        <v>1</v>
      </c>
      <c r="G495" s="3" t="s">
        <v>7158</v>
      </c>
      <c r="H495" s="3">
        <v>26</v>
      </c>
      <c r="I495" s="3">
        <v>26</v>
      </c>
    </row>
    <row r="496" spans="1:9" ht="22.5" customHeight="1" x14ac:dyDescent="0.25">
      <c r="A496" s="2" t="s">
        <v>3925</v>
      </c>
      <c r="B496" s="2" t="s">
        <v>3924</v>
      </c>
      <c r="C496" s="2" t="s">
        <v>5013</v>
      </c>
      <c r="D496" s="2" t="s">
        <v>7159</v>
      </c>
      <c r="E496" s="2" t="s">
        <v>7160</v>
      </c>
      <c r="F496" s="2">
        <v>20</v>
      </c>
      <c r="G496" s="2" t="s">
        <v>7155</v>
      </c>
      <c r="H496" s="2">
        <v>1.8319999999999999E-2</v>
      </c>
      <c r="I496" s="2">
        <v>0.3664</v>
      </c>
    </row>
    <row r="497" spans="1:9" ht="22.5" customHeight="1" x14ac:dyDescent="0.25">
      <c r="A497" s="3" t="s">
        <v>3925</v>
      </c>
      <c r="B497" s="3" t="s">
        <v>3924</v>
      </c>
      <c r="C497" s="3" t="s">
        <v>5013</v>
      </c>
      <c r="D497" s="3" t="s">
        <v>7161</v>
      </c>
      <c r="E497" s="3" t="s">
        <v>7162</v>
      </c>
      <c r="F497" s="3">
        <v>0.186</v>
      </c>
      <c r="G497" s="3" t="s">
        <v>7163</v>
      </c>
      <c r="H497" s="3" t="s">
        <v>7164</v>
      </c>
      <c r="I497" s="3">
        <v>0.186</v>
      </c>
    </row>
    <row r="498" spans="1:9" ht="33.75" customHeight="1" x14ac:dyDescent="0.25">
      <c r="A498" s="2" t="s">
        <v>3925</v>
      </c>
      <c r="B498" s="2" t="s">
        <v>3924</v>
      </c>
      <c r="C498" s="2" t="s">
        <v>5013</v>
      </c>
      <c r="D498" s="2" t="s">
        <v>7212</v>
      </c>
      <c r="E498" s="2" t="s">
        <v>7213</v>
      </c>
      <c r="F498" s="2">
        <v>8</v>
      </c>
      <c r="G498" s="2" t="s">
        <v>7158</v>
      </c>
      <c r="H498" s="2">
        <v>0.21</v>
      </c>
      <c r="I498" s="2">
        <v>1.68</v>
      </c>
    </row>
    <row r="499" spans="1:9" ht="33.75" customHeight="1" x14ac:dyDescent="0.25">
      <c r="A499" s="3" t="s">
        <v>3925</v>
      </c>
      <c r="B499" s="3" t="s">
        <v>3924</v>
      </c>
      <c r="C499" s="3" t="s">
        <v>5013</v>
      </c>
      <c r="D499" s="3" t="s">
        <v>7167</v>
      </c>
      <c r="E499" s="3" t="s">
        <v>7168</v>
      </c>
      <c r="F499" s="3">
        <v>4</v>
      </c>
      <c r="G499" s="3" t="s">
        <v>7158</v>
      </c>
      <c r="H499" s="3">
        <v>0.2</v>
      </c>
      <c r="I499" s="3">
        <v>0.8</v>
      </c>
    </row>
    <row r="500" spans="1:9" ht="22.5" customHeight="1" x14ac:dyDescent="0.25">
      <c r="A500" s="2" t="s">
        <v>3925</v>
      </c>
      <c r="B500" s="2" t="s">
        <v>3924</v>
      </c>
      <c r="C500" s="2" t="s">
        <v>5013</v>
      </c>
      <c r="D500" s="2" t="s">
        <v>7214</v>
      </c>
      <c r="E500" s="2" t="s">
        <v>7215</v>
      </c>
      <c r="F500" s="2">
        <v>42</v>
      </c>
      <c r="G500" s="2" t="s">
        <v>7158</v>
      </c>
      <c r="H500" s="2">
        <v>0.28999999999999998</v>
      </c>
      <c r="I500" s="2">
        <v>12.18</v>
      </c>
    </row>
    <row r="501" spans="1:9" ht="168.75" customHeight="1" x14ac:dyDescent="0.25">
      <c r="A501" s="3" t="s">
        <v>830</v>
      </c>
      <c r="B501" s="3" t="s">
        <v>5537</v>
      </c>
      <c r="C501" s="3" t="s">
        <v>4797</v>
      </c>
      <c r="D501" s="3" t="s">
        <v>7153</v>
      </c>
      <c r="E501" s="3" t="s">
        <v>7154</v>
      </c>
      <c r="F501" s="3">
        <v>14</v>
      </c>
      <c r="G501" s="3" t="s">
        <v>7155</v>
      </c>
      <c r="H501" s="3">
        <v>1.24E-2</v>
      </c>
      <c r="I501" s="3">
        <v>0.1736</v>
      </c>
    </row>
    <row r="502" spans="1:9" ht="168.75" customHeight="1" x14ac:dyDescent="0.25">
      <c r="A502" s="2" t="s">
        <v>830</v>
      </c>
      <c r="B502" s="2" t="s">
        <v>5537</v>
      </c>
      <c r="C502" s="2" t="s">
        <v>4797</v>
      </c>
      <c r="D502" s="2" t="s">
        <v>7156</v>
      </c>
      <c r="E502" s="2" t="s">
        <v>7157</v>
      </c>
      <c r="F502" s="2">
        <v>1</v>
      </c>
      <c r="G502" s="2" t="s">
        <v>7158</v>
      </c>
      <c r="H502" s="2">
        <v>26</v>
      </c>
      <c r="I502" s="2">
        <v>26</v>
      </c>
    </row>
    <row r="503" spans="1:9" ht="168.75" customHeight="1" x14ac:dyDescent="0.25">
      <c r="A503" s="3" t="s">
        <v>830</v>
      </c>
      <c r="B503" s="3" t="s">
        <v>5537</v>
      </c>
      <c r="C503" s="3" t="s">
        <v>4797</v>
      </c>
      <c r="D503" s="3" t="s">
        <v>7159</v>
      </c>
      <c r="E503" s="3" t="s">
        <v>7160</v>
      </c>
      <c r="F503" s="3">
        <v>20</v>
      </c>
      <c r="G503" s="3" t="s">
        <v>7155</v>
      </c>
      <c r="H503" s="3">
        <v>1.8319999999999999E-2</v>
      </c>
      <c r="I503" s="3">
        <v>0.3664</v>
      </c>
    </row>
    <row r="504" spans="1:9" ht="168.75" customHeight="1" x14ac:dyDescent="0.25">
      <c r="A504" s="2" t="s">
        <v>830</v>
      </c>
      <c r="B504" s="2" t="s">
        <v>5537</v>
      </c>
      <c r="C504" s="2" t="s">
        <v>4797</v>
      </c>
      <c r="D504" s="2" t="s">
        <v>7161</v>
      </c>
      <c r="E504" s="2" t="s">
        <v>7162</v>
      </c>
      <c r="F504" s="2">
        <v>0.186</v>
      </c>
      <c r="G504" s="2" t="s">
        <v>7163</v>
      </c>
      <c r="H504" s="2" t="s">
        <v>7164</v>
      </c>
      <c r="I504" s="2">
        <v>0.186</v>
      </c>
    </row>
    <row r="505" spans="1:9" ht="168.75" customHeight="1" x14ac:dyDescent="0.25">
      <c r="A505" s="3" t="s">
        <v>830</v>
      </c>
      <c r="B505" s="3" t="s">
        <v>5537</v>
      </c>
      <c r="C505" s="3" t="s">
        <v>4797</v>
      </c>
      <c r="D505" s="3" t="s">
        <v>7165</v>
      </c>
      <c r="E505" s="3" t="s">
        <v>7166</v>
      </c>
      <c r="F505" s="3">
        <v>4</v>
      </c>
      <c r="G505" s="3" t="s">
        <v>7158</v>
      </c>
      <c r="H505" s="3">
        <v>0.1</v>
      </c>
      <c r="I505" s="3">
        <v>0.4</v>
      </c>
    </row>
    <row r="506" spans="1:9" ht="168.75" customHeight="1" x14ac:dyDescent="0.25">
      <c r="A506" s="2" t="s">
        <v>830</v>
      </c>
      <c r="B506" s="2" t="s">
        <v>5537</v>
      </c>
      <c r="C506" s="2" t="s">
        <v>4797</v>
      </c>
      <c r="D506" s="2" t="s">
        <v>7167</v>
      </c>
      <c r="E506" s="2" t="s">
        <v>7168</v>
      </c>
      <c r="F506" s="2">
        <v>4</v>
      </c>
      <c r="G506" s="2" t="s">
        <v>7158</v>
      </c>
      <c r="H506" s="2">
        <v>0.2</v>
      </c>
      <c r="I506" s="2">
        <v>0.8</v>
      </c>
    </row>
    <row r="507" spans="1:9" ht="45" customHeight="1" x14ac:dyDescent="0.25">
      <c r="A507" s="3" t="s">
        <v>1723</v>
      </c>
      <c r="B507" s="3" t="s">
        <v>5545</v>
      </c>
      <c r="C507" s="3" t="s">
        <v>4846</v>
      </c>
      <c r="D507" s="3" t="s">
        <v>7153</v>
      </c>
      <c r="E507" s="3" t="s">
        <v>7154</v>
      </c>
      <c r="F507" s="3">
        <v>7</v>
      </c>
      <c r="G507" s="3" t="s">
        <v>7155</v>
      </c>
      <c r="H507" s="3">
        <v>1.24E-2</v>
      </c>
      <c r="I507" s="3">
        <v>8.6800000000000002E-2</v>
      </c>
    </row>
    <row r="508" spans="1:9" ht="45" customHeight="1" x14ac:dyDescent="0.25">
      <c r="A508" s="2" t="s">
        <v>1723</v>
      </c>
      <c r="B508" s="2" t="s">
        <v>5545</v>
      </c>
      <c r="C508" s="2" t="s">
        <v>4846</v>
      </c>
      <c r="D508" s="2" t="s">
        <v>7156</v>
      </c>
      <c r="E508" s="2" t="s">
        <v>7157</v>
      </c>
      <c r="F508" s="2">
        <v>1</v>
      </c>
      <c r="G508" s="2" t="s">
        <v>7158</v>
      </c>
      <c r="H508" s="2">
        <v>26</v>
      </c>
      <c r="I508" s="2">
        <v>26</v>
      </c>
    </row>
    <row r="509" spans="1:9" ht="45" customHeight="1" x14ac:dyDescent="0.25">
      <c r="A509" s="3" t="s">
        <v>1723</v>
      </c>
      <c r="B509" s="3" t="s">
        <v>5545</v>
      </c>
      <c r="C509" s="3" t="s">
        <v>4846</v>
      </c>
      <c r="D509" s="3" t="s">
        <v>7159</v>
      </c>
      <c r="E509" s="3" t="s">
        <v>7160</v>
      </c>
      <c r="F509" s="3">
        <v>20</v>
      </c>
      <c r="G509" s="3" t="s">
        <v>7155</v>
      </c>
      <c r="H509" s="3">
        <v>1.8319999999999999E-2</v>
      </c>
      <c r="I509" s="3">
        <v>0.3664</v>
      </c>
    </row>
    <row r="510" spans="1:9" ht="45" customHeight="1" x14ac:dyDescent="0.25">
      <c r="A510" s="2" t="s">
        <v>1723</v>
      </c>
      <c r="B510" s="2" t="s">
        <v>5545</v>
      </c>
      <c r="C510" s="2" t="s">
        <v>4846</v>
      </c>
      <c r="D510" s="2" t="s">
        <v>7161</v>
      </c>
      <c r="E510" s="2" t="s">
        <v>7162</v>
      </c>
      <c r="F510" s="2">
        <v>0.186</v>
      </c>
      <c r="G510" s="2" t="s">
        <v>7163</v>
      </c>
      <c r="H510" s="2" t="s">
        <v>7164</v>
      </c>
      <c r="I510" s="2">
        <v>0.186</v>
      </c>
    </row>
    <row r="511" spans="1:9" ht="45" customHeight="1" x14ac:dyDescent="0.25">
      <c r="A511" s="3" t="s">
        <v>1723</v>
      </c>
      <c r="B511" s="3" t="s">
        <v>5545</v>
      </c>
      <c r="C511" s="3" t="s">
        <v>4846</v>
      </c>
      <c r="D511" s="3" t="s">
        <v>7226</v>
      </c>
      <c r="E511" s="3" t="s">
        <v>7227</v>
      </c>
      <c r="F511" s="3">
        <v>1.4279999999999999</v>
      </c>
      <c r="G511" s="3" t="s">
        <v>7163</v>
      </c>
      <c r="H511" s="3" t="s">
        <v>7164</v>
      </c>
      <c r="I511" s="3">
        <v>1.4279999999999999</v>
      </c>
    </row>
    <row r="512" spans="1:9" ht="45" customHeight="1" x14ac:dyDescent="0.25">
      <c r="A512" s="2" t="s">
        <v>1723</v>
      </c>
      <c r="B512" s="2" t="s">
        <v>5545</v>
      </c>
      <c r="C512" s="2" t="s">
        <v>4846</v>
      </c>
      <c r="D512" s="2" t="s">
        <v>7165</v>
      </c>
      <c r="E512" s="2" t="s">
        <v>7166</v>
      </c>
      <c r="F512" s="2">
        <v>2</v>
      </c>
      <c r="G512" s="2" t="s">
        <v>7158</v>
      </c>
      <c r="H512" s="2">
        <v>0.1</v>
      </c>
      <c r="I512" s="2">
        <v>0.2</v>
      </c>
    </row>
    <row r="513" spans="1:9" ht="45" customHeight="1" x14ac:dyDescent="0.25">
      <c r="A513" s="3" t="s">
        <v>1723</v>
      </c>
      <c r="B513" s="3" t="s">
        <v>5545</v>
      </c>
      <c r="C513" s="3" t="s">
        <v>4846</v>
      </c>
      <c r="D513" s="3" t="s">
        <v>7167</v>
      </c>
      <c r="E513" s="3" t="s">
        <v>7168</v>
      </c>
      <c r="F513" s="3">
        <v>4</v>
      </c>
      <c r="G513" s="3" t="s">
        <v>7158</v>
      </c>
      <c r="H513" s="3">
        <v>0.2</v>
      </c>
      <c r="I513" s="3">
        <v>0.8</v>
      </c>
    </row>
    <row r="514" spans="1:9" ht="45" customHeight="1" x14ac:dyDescent="0.25">
      <c r="A514" s="2" t="s">
        <v>1884</v>
      </c>
      <c r="B514" s="2" t="s">
        <v>5553</v>
      </c>
      <c r="C514" s="2" t="s">
        <v>4871</v>
      </c>
      <c r="D514" s="2" t="s">
        <v>7153</v>
      </c>
      <c r="E514" s="2" t="s">
        <v>7154</v>
      </c>
      <c r="F514" s="2">
        <v>7</v>
      </c>
      <c r="G514" s="2" t="s">
        <v>7155</v>
      </c>
      <c r="H514" s="2">
        <v>1.24E-2</v>
      </c>
      <c r="I514" s="2">
        <v>8.6800000000000002E-2</v>
      </c>
    </row>
    <row r="515" spans="1:9" ht="45" customHeight="1" x14ac:dyDescent="0.25">
      <c r="A515" s="3" t="s">
        <v>1884</v>
      </c>
      <c r="B515" s="3" t="s">
        <v>5553</v>
      </c>
      <c r="C515" s="3" t="s">
        <v>4871</v>
      </c>
      <c r="D515" s="3" t="s">
        <v>7156</v>
      </c>
      <c r="E515" s="3" t="s">
        <v>7157</v>
      </c>
      <c r="F515" s="3">
        <v>1</v>
      </c>
      <c r="G515" s="3" t="s">
        <v>7158</v>
      </c>
      <c r="H515" s="3">
        <v>26</v>
      </c>
      <c r="I515" s="3">
        <v>26</v>
      </c>
    </row>
    <row r="516" spans="1:9" ht="45" customHeight="1" x14ac:dyDescent="0.25">
      <c r="A516" s="2" t="s">
        <v>1884</v>
      </c>
      <c r="B516" s="2" t="s">
        <v>5553</v>
      </c>
      <c r="C516" s="2" t="s">
        <v>4871</v>
      </c>
      <c r="D516" s="2" t="s">
        <v>7159</v>
      </c>
      <c r="E516" s="2" t="s">
        <v>7160</v>
      </c>
      <c r="F516" s="2">
        <v>20</v>
      </c>
      <c r="G516" s="2" t="s">
        <v>7155</v>
      </c>
      <c r="H516" s="2">
        <v>1.8319999999999999E-2</v>
      </c>
      <c r="I516" s="2">
        <v>0.3664</v>
      </c>
    </row>
    <row r="517" spans="1:9" ht="45" customHeight="1" x14ac:dyDescent="0.25">
      <c r="A517" s="3" t="s">
        <v>1884</v>
      </c>
      <c r="B517" s="3" t="s">
        <v>5553</v>
      </c>
      <c r="C517" s="3" t="s">
        <v>4871</v>
      </c>
      <c r="D517" s="3" t="s">
        <v>7161</v>
      </c>
      <c r="E517" s="3" t="s">
        <v>7162</v>
      </c>
      <c r="F517" s="3">
        <v>0.186</v>
      </c>
      <c r="G517" s="3" t="s">
        <v>7163</v>
      </c>
      <c r="H517" s="3" t="s">
        <v>7164</v>
      </c>
      <c r="I517" s="3">
        <v>0.186</v>
      </c>
    </row>
    <row r="518" spans="1:9" ht="45" customHeight="1" x14ac:dyDescent="0.25">
      <c r="A518" s="2" t="s">
        <v>1884</v>
      </c>
      <c r="B518" s="2" t="s">
        <v>5553</v>
      </c>
      <c r="C518" s="2" t="s">
        <v>4871</v>
      </c>
      <c r="D518" s="2" t="s">
        <v>7165</v>
      </c>
      <c r="E518" s="2" t="s">
        <v>7166</v>
      </c>
      <c r="F518" s="2">
        <v>2</v>
      </c>
      <c r="G518" s="2" t="s">
        <v>7158</v>
      </c>
      <c r="H518" s="2">
        <v>0.1</v>
      </c>
      <c r="I518" s="2">
        <v>0.2</v>
      </c>
    </row>
    <row r="519" spans="1:9" ht="45" customHeight="1" x14ac:dyDescent="0.25">
      <c r="A519" s="3" t="s">
        <v>1884</v>
      </c>
      <c r="B519" s="3" t="s">
        <v>5553</v>
      </c>
      <c r="C519" s="3" t="s">
        <v>4871</v>
      </c>
      <c r="D519" s="3" t="s">
        <v>7167</v>
      </c>
      <c r="E519" s="3" t="s">
        <v>7168</v>
      </c>
      <c r="F519" s="3">
        <v>4</v>
      </c>
      <c r="G519" s="3" t="s">
        <v>7158</v>
      </c>
      <c r="H519" s="3">
        <v>0.2</v>
      </c>
      <c r="I519" s="3">
        <v>0.8</v>
      </c>
    </row>
    <row r="520" spans="1:9" ht="22.5" customHeight="1" x14ac:dyDescent="0.25">
      <c r="A520" s="2" t="s">
        <v>1763</v>
      </c>
      <c r="B520" s="2" t="s">
        <v>1762</v>
      </c>
      <c r="C520" s="2" t="s">
        <v>4854</v>
      </c>
      <c r="D520" s="2" t="s">
        <v>7153</v>
      </c>
      <c r="E520" s="2" t="s">
        <v>7154</v>
      </c>
      <c r="F520" s="2">
        <v>14</v>
      </c>
      <c r="G520" s="2" t="s">
        <v>7155</v>
      </c>
      <c r="H520" s="2">
        <v>1.24E-2</v>
      </c>
      <c r="I520" s="2">
        <v>0.1736</v>
      </c>
    </row>
    <row r="521" spans="1:9" ht="22.5" customHeight="1" x14ac:dyDescent="0.25">
      <c r="A521" s="3" t="s">
        <v>1763</v>
      </c>
      <c r="B521" s="3" t="s">
        <v>1762</v>
      </c>
      <c r="C521" s="3" t="s">
        <v>4854</v>
      </c>
      <c r="D521" s="3" t="s">
        <v>7235</v>
      </c>
      <c r="E521" s="3" t="s">
        <v>7236</v>
      </c>
      <c r="F521" s="3">
        <v>42</v>
      </c>
      <c r="G521" s="3" t="s">
        <v>7158</v>
      </c>
      <c r="H521" s="3">
        <v>5.1069999999999997E-2</v>
      </c>
      <c r="I521" s="3">
        <v>2.1449400000000001</v>
      </c>
    </row>
    <row r="522" spans="1:9" ht="33.75" customHeight="1" x14ac:dyDescent="0.25">
      <c r="A522" s="2" t="s">
        <v>1763</v>
      </c>
      <c r="B522" s="2" t="s">
        <v>1762</v>
      </c>
      <c r="C522" s="2" t="s">
        <v>4854</v>
      </c>
      <c r="D522" s="2" t="s">
        <v>7186</v>
      </c>
      <c r="E522" s="2" t="s">
        <v>7187</v>
      </c>
      <c r="F522" s="2">
        <v>1</v>
      </c>
      <c r="G522" s="2" t="s">
        <v>7158</v>
      </c>
      <c r="H522" s="2">
        <v>26</v>
      </c>
      <c r="I522" s="2">
        <v>26</v>
      </c>
    </row>
    <row r="523" spans="1:9" ht="22.5" customHeight="1" x14ac:dyDescent="0.25">
      <c r="A523" s="3" t="s">
        <v>1763</v>
      </c>
      <c r="B523" s="3" t="s">
        <v>1762</v>
      </c>
      <c r="C523" s="3" t="s">
        <v>4854</v>
      </c>
      <c r="D523" s="3" t="s">
        <v>7159</v>
      </c>
      <c r="E523" s="3" t="s">
        <v>7160</v>
      </c>
      <c r="F523" s="3">
        <v>20</v>
      </c>
      <c r="G523" s="3" t="s">
        <v>7155</v>
      </c>
      <c r="H523" s="3">
        <v>1.8319999999999999E-2</v>
      </c>
      <c r="I523" s="3">
        <v>0.3664</v>
      </c>
    </row>
    <row r="524" spans="1:9" ht="22.5" customHeight="1" x14ac:dyDescent="0.25">
      <c r="A524" s="2" t="s">
        <v>1763</v>
      </c>
      <c r="B524" s="2" t="s">
        <v>1762</v>
      </c>
      <c r="C524" s="2" t="s">
        <v>4854</v>
      </c>
      <c r="D524" s="2" t="s">
        <v>7161</v>
      </c>
      <c r="E524" s="2" t="s">
        <v>7162</v>
      </c>
      <c r="F524" s="2">
        <v>0.186</v>
      </c>
      <c r="G524" s="2" t="s">
        <v>7163</v>
      </c>
      <c r="H524" s="2" t="s">
        <v>7164</v>
      </c>
      <c r="I524" s="2">
        <v>0.186</v>
      </c>
    </row>
    <row r="525" spans="1:9" ht="33.75" customHeight="1" x14ac:dyDescent="0.25">
      <c r="A525" s="3" t="s">
        <v>1763</v>
      </c>
      <c r="B525" s="3" t="s">
        <v>1762</v>
      </c>
      <c r="C525" s="3" t="s">
        <v>4854</v>
      </c>
      <c r="D525" s="3" t="s">
        <v>7212</v>
      </c>
      <c r="E525" s="3" t="s">
        <v>7213</v>
      </c>
      <c r="F525" s="3">
        <v>6</v>
      </c>
      <c r="G525" s="3" t="s">
        <v>7158</v>
      </c>
      <c r="H525" s="3">
        <v>0.21</v>
      </c>
      <c r="I525" s="3">
        <v>1.26</v>
      </c>
    </row>
    <row r="526" spans="1:9" ht="33.75" customHeight="1" x14ac:dyDescent="0.25">
      <c r="A526" s="2" t="s">
        <v>1763</v>
      </c>
      <c r="B526" s="2" t="s">
        <v>1762</v>
      </c>
      <c r="C526" s="2" t="s">
        <v>4854</v>
      </c>
      <c r="D526" s="2" t="s">
        <v>7188</v>
      </c>
      <c r="E526" s="2" t="s">
        <v>7189</v>
      </c>
      <c r="F526" s="2">
        <v>3</v>
      </c>
      <c r="G526" s="2" t="s">
        <v>7158</v>
      </c>
      <c r="H526" s="2">
        <v>0.27</v>
      </c>
      <c r="I526" s="2">
        <v>0.81</v>
      </c>
    </row>
    <row r="527" spans="1:9" ht="22.5" customHeight="1" x14ac:dyDescent="0.25">
      <c r="A527" s="3" t="s">
        <v>1763</v>
      </c>
      <c r="B527" s="3" t="s">
        <v>1762</v>
      </c>
      <c r="C527" s="3" t="s">
        <v>4854</v>
      </c>
      <c r="D527" s="3" t="s">
        <v>7237</v>
      </c>
      <c r="E527" s="3" t="s">
        <v>7238</v>
      </c>
      <c r="F527" s="3">
        <v>42</v>
      </c>
      <c r="G527" s="3" t="s">
        <v>7158</v>
      </c>
      <c r="H527" s="3">
        <v>0.24</v>
      </c>
      <c r="I527" s="3">
        <v>10.08</v>
      </c>
    </row>
    <row r="528" spans="1:9" ht="22.5" customHeight="1" x14ac:dyDescent="0.25">
      <c r="A528" s="2" t="s">
        <v>2783</v>
      </c>
      <c r="B528" s="2" t="s">
        <v>2782</v>
      </c>
      <c r="C528" s="2" t="s">
        <v>4945</v>
      </c>
      <c r="D528" s="2" t="s">
        <v>7153</v>
      </c>
      <c r="E528" s="2" t="s">
        <v>7154</v>
      </c>
      <c r="F528" s="2">
        <v>14</v>
      </c>
      <c r="G528" s="2" t="s">
        <v>7155</v>
      </c>
      <c r="H528" s="2">
        <v>1.24E-2</v>
      </c>
      <c r="I528" s="2">
        <v>0.1736</v>
      </c>
    </row>
    <row r="529" spans="1:9" ht="33.75" customHeight="1" x14ac:dyDescent="0.25">
      <c r="A529" s="3" t="s">
        <v>2783</v>
      </c>
      <c r="B529" s="3" t="s">
        <v>2782</v>
      </c>
      <c r="C529" s="3" t="s">
        <v>4945</v>
      </c>
      <c r="D529" s="3" t="s">
        <v>7186</v>
      </c>
      <c r="E529" s="3" t="s">
        <v>7187</v>
      </c>
      <c r="F529" s="3">
        <v>1</v>
      </c>
      <c r="G529" s="3" t="s">
        <v>7158</v>
      </c>
      <c r="H529" s="3">
        <v>26</v>
      </c>
      <c r="I529" s="3">
        <v>26</v>
      </c>
    </row>
    <row r="530" spans="1:9" ht="22.5" customHeight="1" x14ac:dyDescent="0.25">
      <c r="A530" s="2" t="s">
        <v>2783</v>
      </c>
      <c r="B530" s="2" t="s">
        <v>2782</v>
      </c>
      <c r="C530" s="2" t="s">
        <v>4945</v>
      </c>
      <c r="D530" s="2" t="s">
        <v>7159</v>
      </c>
      <c r="E530" s="2" t="s">
        <v>7160</v>
      </c>
      <c r="F530" s="2">
        <v>20</v>
      </c>
      <c r="G530" s="2" t="s">
        <v>7155</v>
      </c>
      <c r="H530" s="2">
        <v>1.8319999999999999E-2</v>
      </c>
      <c r="I530" s="2">
        <v>0.3664</v>
      </c>
    </row>
    <row r="531" spans="1:9" ht="22.5" customHeight="1" x14ac:dyDescent="0.25">
      <c r="A531" s="3" t="s">
        <v>2783</v>
      </c>
      <c r="B531" s="3" t="s">
        <v>2782</v>
      </c>
      <c r="C531" s="3" t="s">
        <v>4945</v>
      </c>
      <c r="D531" s="3" t="s">
        <v>7161</v>
      </c>
      <c r="E531" s="3" t="s">
        <v>7162</v>
      </c>
      <c r="F531" s="3">
        <v>0.186</v>
      </c>
      <c r="G531" s="3" t="s">
        <v>7163</v>
      </c>
      <c r="H531" s="3" t="s">
        <v>7164</v>
      </c>
      <c r="I531" s="3">
        <v>0.186</v>
      </c>
    </row>
    <row r="532" spans="1:9" ht="33.75" customHeight="1" x14ac:dyDescent="0.25">
      <c r="A532" s="2" t="s">
        <v>2783</v>
      </c>
      <c r="B532" s="2" t="s">
        <v>2782</v>
      </c>
      <c r="C532" s="2" t="s">
        <v>4945</v>
      </c>
      <c r="D532" s="2" t="s">
        <v>7212</v>
      </c>
      <c r="E532" s="2" t="s">
        <v>7213</v>
      </c>
      <c r="F532" s="2">
        <v>8</v>
      </c>
      <c r="G532" s="2" t="s">
        <v>7158</v>
      </c>
      <c r="H532" s="2">
        <v>0.21</v>
      </c>
      <c r="I532" s="2">
        <v>1.68</v>
      </c>
    </row>
    <row r="533" spans="1:9" ht="33.75" customHeight="1" x14ac:dyDescent="0.25">
      <c r="A533" s="3" t="s">
        <v>2783</v>
      </c>
      <c r="B533" s="3" t="s">
        <v>2782</v>
      </c>
      <c r="C533" s="3" t="s">
        <v>4945</v>
      </c>
      <c r="D533" s="3" t="s">
        <v>7188</v>
      </c>
      <c r="E533" s="3" t="s">
        <v>7189</v>
      </c>
      <c r="F533" s="3">
        <v>4</v>
      </c>
      <c r="G533" s="3" t="s">
        <v>7158</v>
      </c>
      <c r="H533" s="3">
        <v>0.27</v>
      </c>
      <c r="I533" s="3">
        <v>1.08</v>
      </c>
    </row>
    <row r="534" spans="1:9" ht="33.75" customHeight="1" x14ac:dyDescent="0.25">
      <c r="A534" s="2" t="s">
        <v>2783</v>
      </c>
      <c r="B534" s="2" t="s">
        <v>2782</v>
      </c>
      <c r="C534" s="2" t="s">
        <v>4945</v>
      </c>
      <c r="D534" s="2" t="s">
        <v>7239</v>
      </c>
      <c r="E534" s="2" t="s">
        <v>7240</v>
      </c>
      <c r="F534" s="2">
        <v>42</v>
      </c>
      <c r="G534" s="2" t="s">
        <v>7158</v>
      </c>
      <c r="H534" s="2">
        <v>0.4</v>
      </c>
      <c r="I534" s="2">
        <v>16.8</v>
      </c>
    </row>
    <row r="535" spans="1:9" ht="22.5" customHeight="1" x14ac:dyDescent="0.25">
      <c r="A535" s="3" t="s">
        <v>3058</v>
      </c>
      <c r="B535" s="3" t="s">
        <v>3057</v>
      </c>
      <c r="C535" s="3" t="s">
        <v>4952</v>
      </c>
      <c r="D535" s="3" t="s">
        <v>7153</v>
      </c>
      <c r="E535" s="3" t="s">
        <v>7154</v>
      </c>
      <c r="F535" s="3">
        <v>14</v>
      </c>
      <c r="G535" s="3" t="s">
        <v>7155</v>
      </c>
      <c r="H535" s="3">
        <v>1.24E-2</v>
      </c>
      <c r="I535" s="3">
        <v>0.1736</v>
      </c>
    </row>
    <row r="536" spans="1:9" ht="33.75" customHeight="1" x14ac:dyDescent="0.25">
      <c r="A536" s="2" t="s">
        <v>3058</v>
      </c>
      <c r="B536" s="2" t="s">
        <v>3057</v>
      </c>
      <c r="C536" s="2" t="s">
        <v>4952</v>
      </c>
      <c r="D536" s="2" t="s">
        <v>7186</v>
      </c>
      <c r="E536" s="2" t="s">
        <v>7187</v>
      </c>
      <c r="F536" s="2">
        <v>1</v>
      </c>
      <c r="G536" s="2" t="s">
        <v>7158</v>
      </c>
      <c r="H536" s="2">
        <v>26</v>
      </c>
      <c r="I536" s="2">
        <v>26</v>
      </c>
    </row>
    <row r="537" spans="1:9" ht="22.5" customHeight="1" x14ac:dyDescent="0.25">
      <c r="A537" s="3" t="s">
        <v>3058</v>
      </c>
      <c r="B537" s="3" t="s">
        <v>3057</v>
      </c>
      <c r="C537" s="3" t="s">
        <v>4952</v>
      </c>
      <c r="D537" s="3" t="s">
        <v>7159</v>
      </c>
      <c r="E537" s="3" t="s">
        <v>7160</v>
      </c>
      <c r="F537" s="3">
        <v>20</v>
      </c>
      <c r="G537" s="3" t="s">
        <v>7155</v>
      </c>
      <c r="H537" s="3">
        <v>1.8319999999999999E-2</v>
      </c>
      <c r="I537" s="3">
        <v>0.3664</v>
      </c>
    </row>
    <row r="538" spans="1:9" ht="22.5" customHeight="1" x14ac:dyDescent="0.25">
      <c r="A538" s="2" t="s">
        <v>3058</v>
      </c>
      <c r="B538" s="2" t="s">
        <v>3057</v>
      </c>
      <c r="C538" s="2" t="s">
        <v>4952</v>
      </c>
      <c r="D538" s="2" t="s">
        <v>7161</v>
      </c>
      <c r="E538" s="2" t="s">
        <v>7162</v>
      </c>
      <c r="F538" s="2">
        <v>0.186</v>
      </c>
      <c r="G538" s="2" t="s">
        <v>7163</v>
      </c>
      <c r="H538" s="2" t="s">
        <v>7164</v>
      </c>
      <c r="I538" s="2">
        <v>0.186</v>
      </c>
    </row>
    <row r="539" spans="1:9" ht="22.5" customHeight="1" x14ac:dyDescent="0.25">
      <c r="A539" s="3" t="s">
        <v>3058</v>
      </c>
      <c r="B539" s="3" t="s">
        <v>3057</v>
      </c>
      <c r="C539" s="3" t="s">
        <v>4952</v>
      </c>
      <c r="D539" s="3" t="s">
        <v>7207</v>
      </c>
      <c r="E539" s="3" t="s">
        <v>7208</v>
      </c>
      <c r="F539" s="3">
        <v>1.387</v>
      </c>
      <c r="G539" s="3" t="s">
        <v>7163</v>
      </c>
      <c r="H539" s="3" t="s">
        <v>7164</v>
      </c>
      <c r="I539" s="3">
        <v>1.387</v>
      </c>
    </row>
    <row r="540" spans="1:9" ht="33.75" customHeight="1" x14ac:dyDescent="0.25">
      <c r="A540" s="2" t="s">
        <v>3058</v>
      </c>
      <c r="B540" s="2" t="s">
        <v>3057</v>
      </c>
      <c r="C540" s="2" t="s">
        <v>4952</v>
      </c>
      <c r="D540" s="2" t="s">
        <v>7188</v>
      </c>
      <c r="E540" s="2" t="s">
        <v>7189</v>
      </c>
      <c r="F540" s="2">
        <v>3</v>
      </c>
      <c r="G540" s="2" t="s">
        <v>7158</v>
      </c>
      <c r="H540" s="2">
        <v>0.27</v>
      </c>
      <c r="I540" s="2">
        <v>0.81</v>
      </c>
    </row>
    <row r="541" spans="1:9" ht="33.75" customHeight="1" x14ac:dyDescent="0.25">
      <c r="A541" s="3" t="s">
        <v>3058</v>
      </c>
      <c r="B541" s="3" t="s">
        <v>3057</v>
      </c>
      <c r="C541" s="3" t="s">
        <v>4952</v>
      </c>
      <c r="D541" s="3" t="s">
        <v>7165</v>
      </c>
      <c r="E541" s="3" t="s">
        <v>7166</v>
      </c>
      <c r="F541" s="3">
        <v>4</v>
      </c>
      <c r="G541" s="3" t="s">
        <v>7158</v>
      </c>
      <c r="H541" s="3">
        <v>0.1</v>
      </c>
      <c r="I541" s="3">
        <v>0.4</v>
      </c>
    </row>
    <row r="542" spans="1:9" ht="22.5" customHeight="1" x14ac:dyDescent="0.25">
      <c r="A542" s="2" t="s">
        <v>3941</v>
      </c>
      <c r="B542" s="2" t="s">
        <v>3940</v>
      </c>
      <c r="C542" s="2" t="s">
        <v>5015</v>
      </c>
      <c r="D542" s="2" t="s">
        <v>7153</v>
      </c>
      <c r="E542" s="2" t="s">
        <v>7154</v>
      </c>
      <c r="F542" s="2">
        <v>7</v>
      </c>
      <c r="G542" s="2" t="s">
        <v>7155</v>
      </c>
      <c r="H542" s="2">
        <v>1.24E-2</v>
      </c>
      <c r="I542" s="2">
        <v>8.6800000000000002E-2</v>
      </c>
    </row>
    <row r="543" spans="1:9" ht="33.75" customHeight="1" x14ac:dyDescent="0.25">
      <c r="A543" s="3" t="s">
        <v>3941</v>
      </c>
      <c r="B543" s="3" t="s">
        <v>3940</v>
      </c>
      <c r="C543" s="3" t="s">
        <v>5015</v>
      </c>
      <c r="D543" s="3" t="s">
        <v>7186</v>
      </c>
      <c r="E543" s="3" t="s">
        <v>7187</v>
      </c>
      <c r="F543" s="3">
        <v>1</v>
      </c>
      <c r="G543" s="3" t="s">
        <v>7158</v>
      </c>
      <c r="H543" s="3">
        <v>26</v>
      </c>
      <c r="I543" s="3">
        <v>26</v>
      </c>
    </row>
    <row r="544" spans="1:9" ht="22.5" customHeight="1" x14ac:dyDescent="0.25">
      <c r="A544" s="2" t="s">
        <v>3941</v>
      </c>
      <c r="B544" s="2" t="s">
        <v>3940</v>
      </c>
      <c r="C544" s="2" t="s">
        <v>5015</v>
      </c>
      <c r="D544" s="2" t="s">
        <v>7159</v>
      </c>
      <c r="E544" s="2" t="s">
        <v>7160</v>
      </c>
      <c r="F544" s="2">
        <v>20</v>
      </c>
      <c r="G544" s="2" t="s">
        <v>7155</v>
      </c>
      <c r="H544" s="2">
        <v>1.8319999999999999E-2</v>
      </c>
      <c r="I544" s="2">
        <v>0.3664</v>
      </c>
    </row>
    <row r="545" spans="1:9" ht="22.5" customHeight="1" x14ac:dyDescent="0.25">
      <c r="A545" s="3" t="s">
        <v>3941</v>
      </c>
      <c r="B545" s="3" t="s">
        <v>3940</v>
      </c>
      <c r="C545" s="3" t="s">
        <v>5015</v>
      </c>
      <c r="D545" s="3" t="s">
        <v>7161</v>
      </c>
      <c r="E545" s="3" t="s">
        <v>7162</v>
      </c>
      <c r="F545" s="3">
        <v>0.186</v>
      </c>
      <c r="G545" s="3" t="s">
        <v>7163</v>
      </c>
      <c r="H545" s="3" t="s">
        <v>7164</v>
      </c>
      <c r="I545" s="3">
        <v>0.186</v>
      </c>
    </row>
    <row r="546" spans="1:9" ht="22.5" customHeight="1" x14ac:dyDescent="0.25">
      <c r="A546" s="2" t="s">
        <v>3941</v>
      </c>
      <c r="B546" s="2" t="s">
        <v>3940</v>
      </c>
      <c r="C546" s="2" t="s">
        <v>5015</v>
      </c>
      <c r="D546" s="2" t="s">
        <v>7207</v>
      </c>
      <c r="E546" s="2" t="s">
        <v>7208</v>
      </c>
      <c r="F546" s="2">
        <v>1.387</v>
      </c>
      <c r="G546" s="2" t="s">
        <v>7163</v>
      </c>
      <c r="H546" s="2" t="s">
        <v>7164</v>
      </c>
      <c r="I546" s="2">
        <v>1.387</v>
      </c>
    </row>
    <row r="547" spans="1:9" ht="33.75" customHeight="1" x14ac:dyDescent="0.25">
      <c r="A547" s="3" t="s">
        <v>3941</v>
      </c>
      <c r="B547" s="3" t="s">
        <v>3940</v>
      </c>
      <c r="C547" s="3" t="s">
        <v>5015</v>
      </c>
      <c r="D547" s="3" t="s">
        <v>7188</v>
      </c>
      <c r="E547" s="3" t="s">
        <v>7189</v>
      </c>
      <c r="F547" s="3">
        <v>4</v>
      </c>
      <c r="G547" s="3" t="s">
        <v>7158</v>
      </c>
      <c r="H547" s="3">
        <v>0.27</v>
      </c>
      <c r="I547" s="3">
        <v>1.08</v>
      </c>
    </row>
    <row r="548" spans="1:9" ht="33.75" customHeight="1" x14ac:dyDescent="0.25">
      <c r="A548" s="2" t="s">
        <v>3941</v>
      </c>
      <c r="B548" s="2" t="s">
        <v>3940</v>
      </c>
      <c r="C548" s="2" t="s">
        <v>5015</v>
      </c>
      <c r="D548" s="2" t="s">
        <v>7165</v>
      </c>
      <c r="E548" s="2" t="s">
        <v>7166</v>
      </c>
      <c r="F548" s="2">
        <v>2</v>
      </c>
      <c r="G548" s="2" t="s">
        <v>7158</v>
      </c>
      <c r="H548" s="2">
        <v>0.1</v>
      </c>
      <c r="I548" s="2">
        <v>0.2</v>
      </c>
    </row>
    <row r="549" spans="1:9" ht="67.5" customHeight="1" x14ac:dyDescent="0.25">
      <c r="A549" s="3" t="s">
        <v>356</v>
      </c>
      <c r="B549" s="3" t="s">
        <v>5589</v>
      </c>
      <c r="C549" s="3" t="s">
        <v>4716</v>
      </c>
      <c r="D549" s="3" t="s">
        <v>7153</v>
      </c>
      <c r="E549" s="3" t="s">
        <v>7154</v>
      </c>
      <c r="F549" s="3">
        <v>7</v>
      </c>
      <c r="G549" s="3" t="s">
        <v>7155</v>
      </c>
      <c r="H549" s="3">
        <v>1.24E-2</v>
      </c>
      <c r="I549" s="3">
        <v>8.6800000000000002E-2</v>
      </c>
    </row>
    <row r="550" spans="1:9" ht="67.5" customHeight="1" x14ac:dyDescent="0.25">
      <c r="A550" s="2" t="s">
        <v>356</v>
      </c>
      <c r="B550" s="2" t="s">
        <v>5589</v>
      </c>
      <c r="C550" s="2" t="s">
        <v>4716</v>
      </c>
      <c r="D550" s="2" t="s">
        <v>7186</v>
      </c>
      <c r="E550" s="2" t="s">
        <v>7187</v>
      </c>
      <c r="F550" s="2">
        <v>1</v>
      </c>
      <c r="G550" s="2" t="s">
        <v>7158</v>
      </c>
      <c r="H550" s="2">
        <v>26</v>
      </c>
      <c r="I550" s="2">
        <v>26</v>
      </c>
    </row>
    <row r="551" spans="1:9" ht="67.5" customHeight="1" x14ac:dyDescent="0.25">
      <c r="A551" s="3" t="s">
        <v>356</v>
      </c>
      <c r="B551" s="3" t="s">
        <v>5589</v>
      </c>
      <c r="C551" s="3" t="s">
        <v>4716</v>
      </c>
      <c r="D551" s="3" t="s">
        <v>7159</v>
      </c>
      <c r="E551" s="3" t="s">
        <v>7160</v>
      </c>
      <c r="F551" s="3">
        <v>20</v>
      </c>
      <c r="G551" s="3" t="s">
        <v>7155</v>
      </c>
      <c r="H551" s="3">
        <v>1.8319999999999999E-2</v>
      </c>
      <c r="I551" s="3">
        <v>0.3664</v>
      </c>
    </row>
    <row r="552" spans="1:9" ht="67.5" customHeight="1" x14ac:dyDescent="0.25">
      <c r="A552" s="2" t="s">
        <v>356</v>
      </c>
      <c r="B552" s="2" t="s">
        <v>5589</v>
      </c>
      <c r="C552" s="2" t="s">
        <v>4716</v>
      </c>
      <c r="D552" s="2" t="s">
        <v>7161</v>
      </c>
      <c r="E552" s="2" t="s">
        <v>7162</v>
      </c>
      <c r="F552" s="2">
        <v>0.186</v>
      </c>
      <c r="G552" s="2" t="s">
        <v>7163</v>
      </c>
      <c r="H552" s="2" t="s">
        <v>7164</v>
      </c>
      <c r="I552" s="2">
        <v>0.186</v>
      </c>
    </row>
    <row r="553" spans="1:9" ht="67.5" customHeight="1" x14ac:dyDescent="0.25">
      <c r="A553" s="3" t="s">
        <v>356</v>
      </c>
      <c r="B553" s="3" t="s">
        <v>5589</v>
      </c>
      <c r="C553" s="3" t="s">
        <v>4716</v>
      </c>
      <c r="D553" s="3" t="s">
        <v>7201</v>
      </c>
      <c r="E553" s="3" t="s">
        <v>7209</v>
      </c>
      <c r="F553" s="3">
        <v>1.68</v>
      </c>
      <c r="G553" s="3" t="s">
        <v>7163</v>
      </c>
      <c r="H553" s="3" t="s">
        <v>7164</v>
      </c>
      <c r="I553" s="3">
        <v>1.68</v>
      </c>
    </row>
    <row r="554" spans="1:9" ht="67.5" customHeight="1" x14ac:dyDescent="0.25">
      <c r="A554" s="2" t="s">
        <v>356</v>
      </c>
      <c r="B554" s="2" t="s">
        <v>5589</v>
      </c>
      <c r="C554" s="2" t="s">
        <v>4716</v>
      </c>
      <c r="D554" s="2" t="s">
        <v>7188</v>
      </c>
      <c r="E554" s="2" t="s">
        <v>7189</v>
      </c>
      <c r="F554" s="2">
        <v>4</v>
      </c>
      <c r="G554" s="2" t="s">
        <v>7158</v>
      </c>
      <c r="H554" s="2">
        <v>0.27</v>
      </c>
      <c r="I554" s="2">
        <v>1.08</v>
      </c>
    </row>
    <row r="555" spans="1:9" ht="67.5" customHeight="1" x14ac:dyDescent="0.25">
      <c r="A555" s="3" t="s">
        <v>356</v>
      </c>
      <c r="B555" s="3" t="s">
        <v>5589</v>
      </c>
      <c r="C555" s="3" t="s">
        <v>4716</v>
      </c>
      <c r="D555" s="3" t="s">
        <v>7165</v>
      </c>
      <c r="E555" s="3" t="s">
        <v>7166</v>
      </c>
      <c r="F555" s="3">
        <v>2</v>
      </c>
      <c r="G555" s="3" t="s">
        <v>7158</v>
      </c>
      <c r="H555" s="3">
        <v>0.1</v>
      </c>
      <c r="I555" s="3">
        <v>0.2</v>
      </c>
    </row>
    <row r="556" spans="1:9" ht="33.75" customHeight="1" x14ac:dyDescent="0.25">
      <c r="A556" s="2" t="s">
        <v>515</v>
      </c>
      <c r="B556" s="2" t="s">
        <v>5597</v>
      </c>
      <c r="C556" s="2" t="s">
        <v>4749</v>
      </c>
      <c r="D556" s="2" t="s">
        <v>7186</v>
      </c>
      <c r="E556" s="2" t="s">
        <v>7187</v>
      </c>
      <c r="F556" s="2">
        <v>1</v>
      </c>
      <c r="G556" s="2" t="s">
        <v>7158</v>
      </c>
      <c r="H556" s="2">
        <v>26</v>
      </c>
      <c r="I556" s="2">
        <v>26</v>
      </c>
    </row>
    <row r="557" spans="1:9" ht="33.75" customHeight="1" x14ac:dyDescent="0.25">
      <c r="A557" s="3" t="s">
        <v>515</v>
      </c>
      <c r="B557" s="3" t="s">
        <v>5597</v>
      </c>
      <c r="C557" s="3" t="s">
        <v>4749</v>
      </c>
      <c r="D557" s="3" t="s">
        <v>7159</v>
      </c>
      <c r="E557" s="3" t="s">
        <v>7160</v>
      </c>
      <c r="F557" s="3">
        <v>20</v>
      </c>
      <c r="G557" s="3" t="s">
        <v>7155</v>
      </c>
      <c r="H557" s="3">
        <v>1.8319999999999999E-2</v>
      </c>
      <c r="I557" s="3">
        <v>0.3664</v>
      </c>
    </row>
    <row r="558" spans="1:9" ht="33.75" customHeight="1" x14ac:dyDescent="0.25">
      <c r="A558" s="2" t="s">
        <v>515</v>
      </c>
      <c r="B558" s="2" t="s">
        <v>5597</v>
      </c>
      <c r="C558" s="2" t="s">
        <v>4749</v>
      </c>
      <c r="D558" s="2" t="s">
        <v>7161</v>
      </c>
      <c r="E558" s="2" t="s">
        <v>7162</v>
      </c>
      <c r="F558" s="2">
        <v>0.186</v>
      </c>
      <c r="G558" s="2" t="s">
        <v>7163</v>
      </c>
      <c r="H558" s="2" t="s">
        <v>7164</v>
      </c>
      <c r="I558" s="2">
        <v>0.186</v>
      </c>
    </row>
    <row r="559" spans="1:9" ht="33.75" customHeight="1" x14ac:dyDescent="0.25">
      <c r="A559" s="3" t="s">
        <v>515</v>
      </c>
      <c r="B559" s="3" t="s">
        <v>5597</v>
      </c>
      <c r="C559" s="3" t="s">
        <v>4749</v>
      </c>
      <c r="D559" s="3" t="s">
        <v>7201</v>
      </c>
      <c r="E559" s="3" t="s">
        <v>7209</v>
      </c>
      <c r="F559" s="3">
        <v>1.68</v>
      </c>
      <c r="G559" s="3" t="s">
        <v>7163</v>
      </c>
      <c r="H559" s="3" t="s">
        <v>7164</v>
      </c>
      <c r="I559" s="3">
        <v>1.68</v>
      </c>
    </row>
    <row r="560" spans="1:9" ht="33.75" customHeight="1" x14ac:dyDescent="0.25">
      <c r="A560" s="2" t="s">
        <v>515</v>
      </c>
      <c r="B560" s="2" t="s">
        <v>5597</v>
      </c>
      <c r="C560" s="2" t="s">
        <v>4749</v>
      </c>
      <c r="D560" s="2" t="s">
        <v>7188</v>
      </c>
      <c r="E560" s="2" t="s">
        <v>7189</v>
      </c>
      <c r="F560" s="2">
        <v>4</v>
      </c>
      <c r="G560" s="2" t="s">
        <v>7158</v>
      </c>
      <c r="H560" s="2">
        <v>0.27</v>
      </c>
      <c r="I560" s="2">
        <v>1.08</v>
      </c>
    </row>
    <row r="561" spans="1:9" ht="22.5" customHeight="1" x14ac:dyDescent="0.25">
      <c r="A561" s="3" t="s">
        <v>1329</v>
      </c>
      <c r="B561" s="3" t="s">
        <v>1328</v>
      </c>
      <c r="C561" s="3" t="s">
        <v>4820</v>
      </c>
      <c r="D561" s="3" t="s">
        <v>7153</v>
      </c>
      <c r="E561" s="3" t="s">
        <v>7154</v>
      </c>
      <c r="F561" s="3">
        <v>14</v>
      </c>
      <c r="G561" s="3" t="s">
        <v>7155</v>
      </c>
      <c r="H561" s="3">
        <v>1.24E-2</v>
      </c>
      <c r="I561" s="3">
        <v>0.1736</v>
      </c>
    </row>
    <row r="562" spans="1:9" ht="33.75" customHeight="1" x14ac:dyDescent="0.25">
      <c r="A562" s="2" t="s">
        <v>1329</v>
      </c>
      <c r="B562" s="2" t="s">
        <v>1328</v>
      </c>
      <c r="C562" s="2" t="s">
        <v>4820</v>
      </c>
      <c r="D562" s="2" t="s">
        <v>7186</v>
      </c>
      <c r="E562" s="2" t="s">
        <v>7187</v>
      </c>
      <c r="F562" s="2">
        <v>1</v>
      </c>
      <c r="G562" s="2" t="s">
        <v>7158</v>
      </c>
      <c r="H562" s="2">
        <v>26</v>
      </c>
      <c r="I562" s="2">
        <v>26</v>
      </c>
    </row>
    <row r="563" spans="1:9" ht="22.5" customHeight="1" x14ac:dyDescent="0.25">
      <c r="A563" s="3" t="s">
        <v>1329</v>
      </c>
      <c r="B563" s="3" t="s">
        <v>1328</v>
      </c>
      <c r="C563" s="3" t="s">
        <v>4820</v>
      </c>
      <c r="D563" s="3" t="s">
        <v>7159</v>
      </c>
      <c r="E563" s="3" t="s">
        <v>7160</v>
      </c>
      <c r="F563" s="3">
        <v>20</v>
      </c>
      <c r="G563" s="3" t="s">
        <v>7155</v>
      </c>
      <c r="H563" s="3">
        <v>1.8319999999999999E-2</v>
      </c>
      <c r="I563" s="3">
        <v>0.3664</v>
      </c>
    </row>
    <row r="564" spans="1:9" ht="22.5" customHeight="1" x14ac:dyDescent="0.25">
      <c r="A564" s="2" t="s">
        <v>1329</v>
      </c>
      <c r="B564" s="2" t="s">
        <v>1328</v>
      </c>
      <c r="C564" s="2" t="s">
        <v>4820</v>
      </c>
      <c r="D564" s="2" t="s">
        <v>7190</v>
      </c>
      <c r="E564" s="2" t="s">
        <v>7191</v>
      </c>
      <c r="F564" s="2">
        <v>0.59699999999999998</v>
      </c>
      <c r="G564" s="2" t="s">
        <v>7163</v>
      </c>
      <c r="H564" s="2" t="s">
        <v>7164</v>
      </c>
      <c r="I564" s="2">
        <v>0.59699999999999998</v>
      </c>
    </row>
    <row r="565" spans="1:9" ht="33.75" customHeight="1" x14ac:dyDescent="0.25">
      <c r="A565" s="3" t="s">
        <v>1329</v>
      </c>
      <c r="B565" s="3" t="s">
        <v>1328</v>
      </c>
      <c r="C565" s="3" t="s">
        <v>4820</v>
      </c>
      <c r="D565" s="3" t="s">
        <v>7188</v>
      </c>
      <c r="E565" s="3" t="s">
        <v>7189</v>
      </c>
      <c r="F565" s="3">
        <v>4</v>
      </c>
      <c r="G565" s="3" t="s">
        <v>7158</v>
      </c>
      <c r="H565" s="3">
        <v>0.27</v>
      </c>
      <c r="I565" s="3">
        <v>1.08</v>
      </c>
    </row>
    <row r="566" spans="1:9" ht="33.75" customHeight="1" x14ac:dyDescent="0.25">
      <c r="A566" s="2" t="s">
        <v>1329</v>
      </c>
      <c r="B566" s="2" t="s">
        <v>1328</v>
      </c>
      <c r="C566" s="2" t="s">
        <v>4820</v>
      </c>
      <c r="D566" s="2" t="s">
        <v>7165</v>
      </c>
      <c r="E566" s="2" t="s">
        <v>7166</v>
      </c>
      <c r="F566" s="2">
        <v>2</v>
      </c>
      <c r="G566" s="2" t="s">
        <v>7158</v>
      </c>
      <c r="H566" s="2">
        <v>0.1</v>
      </c>
      <c r="I566" s="2">
        <v>0.2</v>
      </c>
    </row>
    <row r="567" spans="1:9" ht="22.5" customHeight="1" x14ac:dyDescent="0.25">
      <c r="A567" s="3" t="s">
        <v>2898</v>
      </c>
      <c r="B567" s="3" t="s">
        <v>2897</v>
      </c>
      <c r="C567" s="3" t="s">
        <v>4947</v>
      </c>
      <c r="D567" s="3" t="s">
        <v>7153</v>
      </c>
      <c r="E567" s="3" t="s">
        <v>7154</v>
      </c>
      <c r="F567" s="3">
        <v>14</v>
      </c>
      <c r="G567" s="3" t="s">
        <v>7155</v>
      </c>
      <c r="H567" s="3">
        <v>1.24E-2</v>
      </c>
      <c r="I567" s="3">
        <v>0.1736</v>
      </c>
    </row>
    <row r="568" spans="1:9" ht="33.75" customHeight="1" x14ac:dyDescent="0.25">
      <c r="A568" s="2" t="s">
        <v>2898</v>
      </c>
      <c r="B568" s="2" t="s">
        <v>2897</v>
      </c>
      <c r="C568" s="2" t="s">
        <v>4947</v>
      </c>
      <c r="D568" s="2" t="s">
        <v>7186</v>
      </c>
      <c r="E568" s="2" t="s">
        <v>7187</v>
      </c>
      <c r="F568" s="2">
        <v>1</v>
      </c>
      <c r="G568" s="2" t="s">
        <v>7158</v>
      </c>
      <c r="H568" s="2">
        <v>26</v>
      </c>
      <c r="I568" s="2">
        <v>26</v>
      </c>
    </row>
    <row r="569" spans="1:9" ht="22.5" customHeight="1" x14ac:dyDescent="0.25">
      <c r="A569" s="3" t="s">
        <v>2898</v>
      </c>
      <c r="B569" s="3" t="s">
        <v>2897</v>
      </c>
      <c r="C569" s="3" t="s">
        <v>4947</v>
      </c>
      <c r="D569" s="3" t="s">
        <v>7159</v>
      </c>
      <c r="E569" s="3" t="s">
        <v>7160</v>
      </c>
      <c r="F569" s="3">
        <v>20</v>
      </c>
      <c r="G569" s="3" t="s">
        <v>7155</v>
      </c>
      <c r="H569" s="3">
        <v>1.8319999999999999E-2</v>
      </c>
      <c r="I569" s="3">
        <v>0.3664</v>
      </c>
    </row>
    <row r="570" spans="1:9" ht="22.5" customHeight="1" x14ac:dyDescent="0.25">
      <c r="A570" s="2" t="s">
        <v>2898</v>
      </c>
      <c r="B570" s="2" t="s">
        <v>2897</v>
      </c>
      <c r="C570" s="2" t="s">
        <v>4947</v>
      </c>
      <c r="D570" s="2" t="s">
        <v>7190</v>
      </c>
      <c r="E570" s="2" t="s">
        <v>7191</v>
      </c>
      <c r="F570" s="2">
        <v>0.59699999999999998</v>
      </c>
      <c r="G570" s="2" t="s">
        <v>7163</v>
      </c>
      <c r="H570" s="2" t="s">
        <v>7164</v>
      </c>
      <c r="I570" s="2">
        <v>0.59699999999999998</v>
      </c>
    </row>
    <row r="571" spans="1:9" ht="33.75" customHeight="1" x14ac:dyDescent="0.25">
      <c r="A571" s="3" t="s">
        <v>2898</v>
      </c>
      <c r="B571" s="3" t="s">
        <v>2897</v>
      </c>
      <c r="C571" s="3" t="s">
        <v>4947</v>
      </c>
      <c r="D571" s="3" t="s">
        <v>7188</v>
      </c>
      <c r="E571" s="3" t="s">
        <v>7189</v>
      </c>
      <c r="F571" s="3">
        <v>4</v>
      </c>
      <c r="G571" s="3" t="s">
        <v>7158</v>
      </c>
      <c r="H571" s="3">
        <v>0.27</v>
      </c>
      <c r="I571" s="3">
        <v>1.08</v>
      </c>
    </row>
    <row r="572" spans="1:9" ht="33.75" customHeight="1" x14ac:dyDescent="0.25">
      <c r="A572" s="2" t="s">
        <v>2898</v>
      </c>
      <c r="B572" s="2" t="s">
        <v>2897</v>
      </c>
      <c r="C572" s="2" t="s">
        <v>4947</v>
      </c>
      <c r="D572" s="2" t="s">
        <v>7165</v>
      </c>
      <c r="E572" s="2" t="s">
        <v>7166</v>
      </c>
      <c r="F572" s="2">
        <v>4</v>
      </c>
      <c r="G572" s="2" t="s">
        <v>7158</v>
      </c>
      <c r="H572" s="2">
        <v>0.1</v>
      </c>
      <c r="I572" s="2">
        <v>0.4</v>
      </c>
    </row>
    <row r="573" spans="1:9" ht="22.5" customHeight="1" x14ac:dyDescent="0.25">
      <c r="A573" s="3" t="s">
        <v>1813</v>
      </c>
      <c r="B573" s="3" t="s">
        <v>5619</v>
      </c>
      <c r="C573" s="3" t="s">
        <v>4862</v>
      </c>
      <c r="D573" s="3" t="s">
        <v>7153</v>
      </c>
      <c r="E573" s="3"/>
      <c r="F573" s="3">
        <v>14</v>
      </c>
      <c r="G573" s="3" t="s">
        <v>7155</v>
      </c>
      <c r="H573" s="3">
        <v>1.24E-2</v>
      </c>
      <c r="I573" s="3">
        <v>0.1736</v>
      </c>
    </row>
    <row r="574" spans="1:9" ht="22.5" customHeight="1" x14ac:dyDescent="0.25">
      <c r="A574" s="2" t="s">
        <v>1813</v>
      </c>
      <c r="B574" s="2" t="s">
        <v>5619</v>
      </c>
      <c r="C574" s="2" t="s">
        <v>4862</v>
      </c>
      <c r="D574" s="2" t="s">
        <v>7156</v>
      </c>
      <c r="E574" s="2"/>
      <c r="F574" s="2">
        <v>1</v>
      </c>
      <c r="G574" s="2" t="s">
        <v>7158</v>
      </c>
      <c r="H574" s="2">
        <v>26</v>
      </c>
      <c r="I574" s="2">
        <v>26</v>
      </c>
    </row>
    <row r="575" spans="1:9" ht="22.5" customHeight="1" x14ac:dyDescent="0.25">
      <c r="A575" s="3" t="s">
        <v>1813</v>
      </c>
      <c r="B575" s="3" t="s">
        <v>5619</v>
      </c>
      <c r="C575" s="3" t="s">
        <v>4862</v>
      </c>
      <c r="D575" s="3" t="s">
        <v>7159</v>
      </c>
      <c r="E575" s="3"/>
      <c r="F575" s="3">
        <v>20</v>
      </c>
      <c r="G575" s="3" t="s">
        <v>7155</v>
      </c>
      <c r="H575" s="3">
        <v>1.8319999999999999E-2</v>
      </c>
      <c r="I575" s="3">
        <v>0.3664</v>
      </c>
    </row>
    <row r="576" spans="1:9" ht="22.5" customHeight="1" x14ac:dyDescent="0.25">
      <c r="A576" s="2" t="s">
        <v>1813</v>
      </c>
      <c r="B576" s="2" t="s">
        <v>5619</v>
      </c>
      <c r="C576" s="2" t="s">
        <v>4862</v>
      </c>
      <c r="D576" s="2" t="s">
        <v>7161</v>
      </c>
      <c r="E576" s="2"/>
      <c r="F576" s="2">
        <v>0.186</v>
      </c>
      <c r="G576" s="2" t="s">
        <v>7163</v>
      </c>
      <c r="H576" s="2">
        <v>0</v>
      </c>
      <c r="I576" s="2">
        <v>0</v>
      </c>
    </row>
    <row r="577" spans="1:9" ht="22.5" customHeight="1" x14ac:dyDescent="0.25">
      <c r="A577" s="3" t="s">
        <v>1813</v>
      </c>
      <c r="B577" s="3" t="s">
        <v>5619</v>
      </c>
      <c r="C577" s="3" t="s">
        <v>4862</v>
      </c>
      <c r="D577" s="3" t="s">
        <v>7226</v>
      </c>
      <c r="E577" s="3"/>
      <c r="F577" s="3">
        <v>1.4279999999999999</v>
      </c>
      <c r="G577" s="3" t="s">
        <v>7163</v>
      </c>
      <c r="H577" s="3">
        <v>0</v>
      </c>
      <c r="I577" s="3">
        <v>0</v>
      </c>
    </row>
    <row r="578" spans="1:9" ht="22.5" customHeight="1" x14ac:dyDescent="0.25">
      <c r="A578" s="2" t="s">
        <v>1813</v>
      </c>
      <c r="B578" s="2" t="s">
        <v>5619</v>
      </c>
      <c r="C578" s="2" t="s">
        <v>4862</v>
      </c>
      <c r="D578" s="2" t="s">
        <v>7165</v>
      </c>
      <c r="E578" s="2"/>
      <c r="F578" s="2">
        <v>4</v>
      </c>
      <c r="G578" s="2" t="s">
        <v>7158</v>
      </c>
      <c r="H578" s="2">
        <v>0.1</v>
      </c>
      <c r="I578" s="2">
        <v>0.4</v>
      </c>
    </row>
    <row r="579" spans="1:9" ht="22.5" customHeight="1" x14ac:dyDescent="0.25">
      <c r="A579" s="3" t="s">
        <v>1813</v>
      </c>
      <c r="B579" s="3" t="s">
        <v>5619</v>
      </c>
      <c r="C579" s="3" t="s">
        <v>4862</v>
      </c>
      <c r="D579" s="3" t="s">
        <v>7167</v>
      </c>
      <c r="E579" s="3"/>
      <c r="F579" s="3">
        <v>4</v>
      </c>
      <c r="G579" s="3" t="s">
        <v>7158</v>
      </c>
      <c r="H579" s="3">
        <v>0.2</v>
      </c>
      <c r="I579" s="3">
        <v>0.8</v>
      </c>
    </row>
    <row r="580" spans="1:9" ht="22.5" customHeight="1" x14ac:dyDescent="0.25">
      <c r="A580" s="2" t="s">
        <v>1813</v>
      </c>
      <c r="B580" s="2" t="s">
        <v>5619</v>
      </c>
      <c r="C580" s="2" t="s">
        <v>4862</v>
      </c>
      <c r="D580" s="2" t="s">
        <v>7179</v>
      </c>
      <c r="E580" s="2"/>
      <c r="F580" s="2">
        <v>42</v>
      </c>
      <c r="G580" s="2" t="s">
        <v>7158</v>
      </c>
      <c r="H580" s="2">
        <v>1.08E-3</v>
      </c>
      <c r="I580" s="2">
        <v>4.5359999999999998E-2</v>
      </c>
    </row>
    <row r="581" spans="1:9" ht="22.5" customHeight="1" x14ac:dyDescent="0.25">
      <c r="A581" s="3" t="s">
        <v>3230</v>
      </c>
      <c r="B581" s="3" t="s">
        <v>3229</v>
      </c>
      <c r="C581" s="3" t="s">
        <v>4965</v>
      </c>
      <c r="D581" s="3" t="s">
        <v>7153</v>
      </c>
      <c r="E581" s="3" t="s">
        <v>7154</v>
      </c>
      <c r="F581" s="3">
        <v>14</v>
      </c>
      <c r="G581" s="3" t="s">
        <v>7155</v>
      </c>
      <c r="H581" s="3">
        <v>1.24E-2</v>
      </c>
      <c r="I581" s="3">
        <v>0.1736</v>
      </c>
    </row>
    <row r="582" spans="1:9" ht="33.75" customHeight="1" x14ac:dyDescent="0.25">
      <c r="A582" s="2" t="s">
        <v>3230</v>
      </c>
      <c r="B582" s="2" t="s">
        <v>3229</v>
      </c>
      <c r="C582" s="2" t="s">
        <v>4965</v>
      </c>
      <c r="D582" s="2" t="s">
        <v>7186</v>
      </c>
      <c r="E582" s="2" t="s">
        <v>7187</v>
      </c>
      <c r="F582" s="2">
        <v>1</v>
      </c>
      <c r="G582" s="2" t="s">
        <v>7158</v>
      </c>
      <c r="H582" s="2">
        <v>26</v>
      </c>
      <c r="I582" s="2">
        <v>26</v>
      </c>
    </row>
    <row r="583" spans="1:9" ht="22.5" customHeight="1" x14ac:dyDescent="0.25">
      <c r="A583" s="3" t="s">
        <v>3230</v>
      </c>
      <c r="B583" s="3" t="s">
        <v>3229</v>
      </c>
      <c r="C583" s="3" t="s">
        <v>4965</v>
      </c>
      <c r="D583" s="3" t="s">
        <v>7159</v>
      </c>
      <c r="E583" s="3" t="s">
        <v>7160</v>
      </c>
      <c r="F583" s="3">
        <v>20</v>
      </c>
      <c r="G583" s="3" t="s">
        <v>7155</v>
      </c>
      <c r="H583" s="3">
        <v>1.8319999999999999E-2</v>
      </c>
      <c r="I583" s="3">
        <v>0.3664</v>
      </c>
    </row>
    <row r="584" spans="1:9" ht="22.5" customHeight="1" x14ac:dyDescent="0.25">
      <c r="A584" s="2" t="s">
        <v>3230</v>
      </c>
      <c r="B584" s="2" t="s">
        <v>3229</v>
      </c>
      <c r="C584" s="2" t="s">
        <v>4965</v>
      </c>
      <c r="D584" s="2" t="s">
        <v>7161</v>
      </c>
      <c r="E584" s="2" t="s">
        <v>7162</v>
      </c>
      <c r="F584" s="2">
        <v>0.186</v>
      </c>
      <c r="G584" s="2" t="s">
        <v>7163</v>
      </c>
      <c r="H584" s="2" t="s">
        <v>7164</v>
      </c>
      <c r="I584" s="2">
        <v>0.186</v>
      </c>
    </row>
    <row r="585" spans="1:9" ht="33.75" customHeight="1" x14ac:dyDescent="0.25">
      <c r="A585" s="3" t="s">
        <v>3230</v>
      </c>
      <c r="B585" s="3" t="s">
        <v>3229</v>
      </c>
      <c r="C585" s="3" t="s">
        <v>4965</v>
      </c>
      <c r="D585" s="3" t="s">
        <v>7212</v>
      </c>
      <c r="E585" s="3" t="s">
        <v>7213</v>
      </c>
      <c r="F585" s="3">
        <v>6</v>
      </c>
      <c r="G585" s="3" t="s">
        <v>7158</v>
      </c>
      <c r="H585" s="3">
        <v>0.21</v>
      </c>
      <c r="I585" s="3">
        <v>1.26</v>
      </c>
    </row>
    <row r="586" spans="1:9" ht="33.75" customHeight="1" x14ac:dyDescent="0.25">
      <c r="A586" s="2" t="s">
        <v>3230</v>
      </c>
      <c r="B586" s="2" t="s">
        <v>3229</v>
      </c>
      <c r="C586" s="2" t="s">
        <v>4965</v>
      </c>
      <c r="D586" s="2" t="s">
        <v>7188</v>
      </c>
      <c r="E586" s="2" t="s">
        <v>7189</v>
      </c>
      <c r="F586" s="2">
        <v>3</v>
      </c>
      <c r="G586" s="2" t="s">
        <v>7158</v>
      </c>
      <c r="H586" s="2">
        <v>0.27</v>
      </c>
      <c r="I586" s="2">
        <v>0.81</v>
      </c>
    </row>
    <row r="587" spans="1:9" ht="22.5" customHeight="1" x14ac:dyDescent="0.25">
      <c r="A587" s="3" t="s">
        <v>3230</v>
      </c>
      <c r="B587" s="3" t="s">
        <v>3229</v>
      </c>
      <c r="C587" s="3" t="s">
        <v>4965</v>
      </c>
      <c r="D587" s="3" t="s">
        <v>7241</v>
      </c>
      <c r="E587" s="3" t="s">
        <v>7242</v>
      </c>
      <c r="F587" s="3">
        <v>44</v>
      </c>
      <c r="G587" s="3" t="s">
        <v>7158</v>
      </c>
      <c r="H587" s="3">
        <v>0.24</v>
      </c>
      <c r="I587" s="3">
        <v>10.56</v>
      </c>
    </row>
    <row r="588" spans="1:9" ht="33.75" customHeight="1" x14ac:dyDescent="0.25">
      <c r="A588" s="2" t="s">
        <v>3019</v>
      </c>
      <c r="B588" s="2" t="s">
        <v>5633</v>
      </c>
      <c r="C588" s="2" t="s">
        <v>4949</v>
      </c>
      <c r="D588" s="2" t="s">
        <v>7153</v>
      </c>
      <c r="E588" s="2" t="s">
        <v>7154</v>
      </c>
      <c r="F588" s="2">
        <v>14</v>
      </c>
      <c r="G588" s="2" t="s">
        <v>7155</v>
      </c>
      <c r="H588" s="2">
        <v>1.24E-2</v>
      </c>
      <c r="I588" s="2">
        <v>0.1736</v>
      </c>
    </row>
    <row r="589" spans="1:9" ht="33.75" customHeight="1" x14ac:dyDescent="0.25">
      <c r="A589" s="3" t="s">
        <v>3019</v>
      </c>
      <c r="B589" s="3" t="s">
        <v>5633</v>
      </c>
      <c r="C589" s="3" t="s">
        <v>4949</v>
      </c>
      <c r="D589" s="3" t="s">
        <v>7156</v>
      </c>
      <c r="E589" s="3" t="s">
        <v>7157</v>
      </c>
      <c r="F589" s="3">
        <v>1</v>
      </c>
      <c r="G589" s="3" t="s">
        <v>7158</v>
      </c>
      <c r="H589" s="3">
        <v>26</v>
      </c>
      <c r="I589" s="3">
        <v>26</v>
      </c>
    </row>
    <row r="590" spans="1:9" ht="33.75" customHeight="1" x14ac:dyDescent="0.25">
      <c r="A590" s="2" t="s">
        <v>3019</v>
      </c>
      <c r="B590" s="2" t="s">
        <v>5633</v>
      </c>
      <c r="C590" s="2" t="s">
        <v>4949</v>
      </c>
      <c r="D590" s="2" t="s">
        <v>7159</v>
      </c>
      <c r="E590" s="2" t="s">
        <v>7160</v>
      </c>
      <c r="F590" s="2">
        <v>20</v>
      </c>
      <c r="G590" s="2" t="s">
        <v>7155</v>
      </c>
      <c r="H590" s="2">
        <v>1.8319999999999999E-2</v>
      </c>
      <c r="I590" s="2">
        <v>0.3664</v>
      </c>
    </row>
    <row r="591" spans="1:9" ht="33.75" customHeight="1" x14ac:dyDescent="0.25">
      <c r="A591" s="3" t="s">
        <v>3019</v>
      </c>
      <c r="B591" s="3" t="s">
        <v>5633</v>
      </c>
      <c r="C591" s="3" t="s">
        <v>4949</v>
      </c>
      <c r="D591" s="3" t="s">
        <v>7161</v>
      </c>
      <c r="E591" s="3" t="s">
        <v>7162</v>
      </c>
      <c r="F591" s="3">
        <v>0.186</v>
      </c>
      <c r="G591" s="3" t="s">
        <v>7163</v>
      </c>
      <c r="H591" s="3" t="s">
        <v>7164</v>
      </c>
      <c r="I591" s="3">
        <v>0.186</v>
      </c>
    </row>
    <row r="592" spans="1:9" ht="33.75" customHeight="1" x14ac:dyDescent="0.25">
      <c r="A592" s="2" t="s">
        <v>3019</v>
      </c>
      <c r="B592" s="2" t="s">
        <v>5633</v>
      </c>
      <c r="C592" s="2" t="s">
        <v>4949</v>
      </c>
      <c r="D592" s="2" t="s">
        <v>7165</v>
      </c>
      <c r="E592" s="2" t="s">
        <v>7166</v>
      </c>
      <c r="F592" s="2">
        <v>4</v>
      </c>
      <c r="G592" s="2" t="s">
        <v>7158</v>
      </c>
      <c r="H592" s="2">
        <v>0.1</v>
      </c>
      <c r="I592" s="2">
        <v>0.4</v>
      </c>
    </row>
    <row r="593" spans="1:9" ht="33.75" customHeight="1" x14ac:dyDescent="0.25">
      <c r="A593" s="3" t="s">
        <v>3019</v>
      </c>
      <c r="B593" s="3" t="s">
        <v>5633</v>
      </c>
      <c r="C593" s="3" t="s">
        <v>4949</v>
      </c>
      <c r="D593" s="3" t="s">
        <v>7167</v>
      </c>
      <c r="E593" s="3" t="s">
        <v>7168</v>
      </c>
      <c r="F593" s="3">
        <v>4</v>
      </c>
      <c r="G593" s="3" t="s">
        <v>7158</v>
      </c>
      <c r="H593" s="3">
        <v>0.2</v>
      </c>
      <c r="I593" s="3">
        <v>0.8</v>
      </c>
    </row>
    <row r="594" spans="1:9" ht="22.5" customHeight="1" x14ac:dyDescent="0.25">
      <c r="A594" s="2" t="s">
        <v>3291</v>
      </c>
      <c r="B594" s="2" t="s">
        <v>3290</v>
      </c>
      <c r="C594" s="2" t="s">
        <v>4974</v>
      </c>
      <c r="D594" s="2" t="s">
        <v>7153</v>
      </c>
      <c r="E594" s="2" t="s">
        <v>7154</v>
      </c>
      <c r="F594" s="2">
        <v>14</v>
      </c>
      <c r="G594" s="2" t="s">
        <v>7155</v>
      </c>
      <c r="H594" s="2">
        <v>1.24E-2</v>
      </c>
      <c r="I594" s="2">
        <v>0.1736</v>
      </c>
    </row>
    <row r="595" spans="1:9" ht="33.75" customHeight="1" x14ac:dyDescent="0.25">
      <c r="A595" s="3" t="s">
        <v>3291</v>
      </c>
      <c r="B595" s="3" t="s">
        <v>3290</v>
      </c>
      <c r="C595" s="3" t="s">
        <v>4974</v>
      </c>
      <c r="D595" s="3" t="s">
        <v>7186</v>
      </c>
      <c r="E595" s="3" t="s">
        <v>7187</v>
      </c>
      <c r="F595" s="3">
        <v>1</v>
      </c>
      <c r="G595" s="3" t="s">
        <v>7158</v>
      </c>
      <c r="H595" s="3">
        <v>26</v>
      </c>
      <c r="I595" s="3">
        <v>26</v>
      </c>
    </row>
    <row r="596" spans="1:9" ht="22.5" customHeight="1" x14ac:dyDescent="0.25">
      <c r="A596" s="2" t="s">
        <v>3291</v>
      </c>
      <c r="B596" s="2" t="s">
        <v>3290</v>
      </c>
      <c r="C596" s="2" t="s">
        <v>4974</v>
      </c>
      <c r="D596" s="2" t="s">
        <v>7159</v>
      </c>
      <c r="E596" s="2" t="s">
        <v>7160</v>
      </c>
      <c r="F596" s="2">
        <v>20</v>
      </c>
      <c r="G596" s="2" t="s">
        <v>7155</v>
      </c>
      <c r="H596" s="2">
        <v>1.8319999999999999E-2</v>
      </c>
      <c r="I596" s="2">
        <v>0.3664</v>
      </c>
    </row>
    <row r="597" spans="1:9" ht="22.5" customHeight="1" x14ac:dyDescent="0.25">
      <c r="A597" s="3" t="s">
        <v>3291</v>
      </c>
      <c r="B597" s="3" t="s">
        <v>3290</v>
      </c>
      <c r="C597" s="3" t="s">
        <v>4974</v>
      </c>
      <c r="D597" s="3" t="s">
        <v>7161</v>
      </c>
      <c r="E597" s="3" t="s">
        <v>7162</v>
      </c>
      <c r="F597" s="3">
        <v>0.186</v>
      </c>
      <c r="G597" s="3" t="s">
        <v>7163</v>
      </c>
      <c r="H597" s="3" t="s">
        <v>7164</v>
      </c>
      <c r="I597" s="3">
        <v>0.186</v>
      </c>
    </row>
    <row r="598" spans="1:9" ht="33.75" customHeight="1" x14ac:dyDescent="0.25">
      <c r="A598" s="2" t="s">
        <v>3291</v>
      </c>
      <c r="B598" s="2" t="s">
        <v>3290</v>
      </c>
      <c r="C598" s="2" t="s">
        <v>4974</v>
      </c>
      <c r="D598" s="2" t="s">
        <v>7212</v>
      </c>
      <c r="E598" s="2" t="s">
        <v>7213</v>
      </c>
      <c r="F598" s="2">
        <v>6</v>
      </c>
      <c r="G598" s="2" t="s">
        <v>7158</v>
      </c>
      <c r="H598" s="2">
        <v>0.21</v>
      </c>
      <c r="I598" s="2">
        <v>1.26</v>
      </c>
    </row>
    <row r="599" spans="1:9" ht="33.75" customHeight="1" x14ac:dyDescent="0.25">
      <c r="A599" s="3" t="s">
        <v>3291</v>
      </c>
      <c r="B599" s="3" t="s">
        <v>3290</v>
      </c>
      <c r="C599" s="3" t="s">
        <v>4974</v>
      </c>
      <c r="D599" s="3" t="s">
        <v>7188</v>
      </c>
      <c r="E599" s="3" t="s">
        <v>7189</v>
      </c>
      <c r="F599" s="3">
        <v>4</v>
      </c>
      <c r="G599" s="3" t="s">
        <v>7158</v>
      </c>
      <c r="H599" s="3">
        <v>0.27</v>
      </c>
      <c r="I599" s="3">
        <v>1.08</v>
      </c>
    </row>
    <row r="600" spans="1:9" ht="22.5" customHeight="1" x14ac:dyDescent="0.25">
      <c r="A600" s="2" t="s">
        <v>3291</v>
      </c>
      <c r="B600" s="2" t="s">
        <v>3290</v>
      </c>
      <c r="C600" s="2" t="s">
        <v>4974</v>
      </c>
      <c r="D600" s="2" t="s">
        <v>7243</v>
      </c>
      <c r="E600" s="2" t="s">
        <v>7244</v>
      </c>
      <c r="F600" s="2">
        <v>45</v>
      </c>
      <c r="G600" s="2" t="s">
        <v>7158</v>
      </c>
      <c r="H600" s="2">
        <v>0.33</v>
      </c>
      <c r="I600" s="2">
        <v>14.85</v>
      </c>
    </row>
    <row r="601" spans="1:9" ht="22.5" customHeight="1" x14ac:dyDescent="0.25">
      <c r="A601" s="3" t="s">
        <v>2357</v>
      </c>
      <c r="B601" s="3" t="s">
        <v>2356</v>
      </c>
      <c r="C601" s="3" t="s">
        <v>4906</v>
      </c>
      <c r="D601" s="3" t="s">
        <v>7153</v>
      </c>
      <c r="E601" s="3" t="s">
        <v>7154</v>
      </c>
      <c r="F601" s="3">
        <v>14</v>
      </c>
      <c r="G601" s="3" t="s">
        <v>7155</v>
      </c>
      <c r="H601" s="3">
        <v>1.24E-2</v>
      </c>
      <c r="I601" s="3">
        <v>0.1736</v>
      </c>
    </row>
    <row r="602" spans="1:9" ht="33.75" customHeight="1" x14ac:dyDescent="0.25">
      <c r="A602" s="2" t="s">
        <v>2357</v>
      </c>
      <c r="B602" s="2" t="s">
        <v>2356</v>
      </c>
      <c r="C602" s="2" t="s">
        <v>4906</v>
      </c>
      <c r="D602" s="2" t="s">
        <v>7186</v>
      </c>
      <c r="E602" s="2" t="s">
        <v>7187</v>
      </c>
      <c r="F602" s="2">
        <v>1</v>
      </c>
      <c r="G602" s="2" t="s">
        <v>7158</v>
      </c>
      <c r="H602" s="2">
        <v>26</v>
      </c>
      <c r="I602" s="2">
        <v>26</v>
      </c>
    </row>
    <row r="603" spans="1:9" ht="22.5" customHeight="1" x14ac:dyDescent="0.25">
      <c r="A603" s="3" t="s">
        <v>2357</v>
      </c>
      <c r="B603" s="3" t="s">
        <v>2356</v>
      </c>
      <c r="C603" s="3" t="s">
        <v>4906</v>
      </c>
      <c r="D603" s="3" t="s">
        <v>7159</v>
      </c>
      <c r="E603" s="3" t="s">
        <v>7160</v>
      </c>
      <c r="F603" s="3">
        <v>20</v>
      </c>
      <c r="G603" s="3" t="s">
        <v>7155</v>
      </c>
      <c r="H603" s="3">
        <v>1.8319999999999999E-2</v>
      </c>
      <c r="I603" s="3">
        <v>0.3664</v>
      </c>
    </row>
    <row r="604" spans="1:9" ht="22.5" customHeight="1" x14ac:dyDescent="0.25">
      <c r="A604" s="2" t="s">
        <v>2357</v>
      </c>
      <c r="B604" s="2" t="s">
        <v>2356</v>
      </c>
      <c r="C604" s="2" t="s">
        <v>4906</v>
      </c>
      <c r="D604" s="2" t="s">
        <v>7161</v>
      </c>
      <c r="E604" s="2" t="s">
        <v>7162</v>
      </c>
      <c r="F604" s="2">
        <v>0.186</v>
      </c>
      <c r="G604" s="2" t="s">
        <v>7163</v>
      </c>
      <c r="H604" s="2" t="s">
        <v>7164</v>
      </c>
      <c r="I604" s="2">
        <v>0.186</v>
      </c>
    </row>
    <row r="605" spans="1:9" ht="33.75" customHeight="1" x14ac:dyDescent="0.25">
      <c r="A605" s="3" t="s">
        <v>2357</v>
      </c>
      <c r="B605" s="3" t="s">
        <v>2356</v>
      </c>
      <c r="C605" s="3" t="s">
        <v>4906</v>
      </c>
      <c r="D605" s="3" t="s">
        <v>7212</v>
      </c>
      <c r="E605" s="3" t="s">
        <v>7213</v>
      </c>
      <c r="F605" s="3">
        <v>8</v>
      </c>
      <c r="G605" s="3" t="s">
        <v>7158</v>
      </c>
      <c r="H605" s="3">
        <v>0.21</v>
      </c>
      <c r="I605" s="3">
        <v>1.68</v>
      </c>
    </row>
    <row r="606" spans="1:9" ht="33.75" customHeight="1" x14ac:dyDescent="0.25">
      <c r="A606" s="2" t="s">
        <v>2357</v>
      </c>
      <c r="B606" s="2" t="s">
        <v>2356</v>
      </c>
      <c r="C606" s="2" t="s">
        <v>4906</v>
      </c>
      <c r="D606" s="2" t="s">
        <v>7188</v>
      </c>
      <c r="E606" s="2" t="s">
        <v>7189</v>
      </c>
      <c r="F606" s="2">
        <v>4</v>
      </c>
      <c r="G606" s="2" t="s">
        <v>7158</v>
      </c>
      <c r="H606" s="2">
        <v>0.27</v>
      </c>
      <c r="I606" s="2">
        <v>1.08</v>
      </c>
    </row>
    <row r="607" spans="1:9" ht="33.75" customHeight="1" x14ac:dyDescent="0.25">
      <c r="A607" s="3" t="s">
        <v>2357</v>
      </c>
      <c r="B607" s="3" t="s">
        <v>2356</v>
      </c>
      <c r="C607" s="3" t="s">
        <v>4906</v>
      </c>
      <c r="D607" s="3" t="s">
        <v>7245</v>
      </c>
      <c r="E607" s="3" t="s">
        <v>7246</v>
      </c>
      <c r="F607" s="3">
        <v>45</v>
      </c>
      <c r="G607" s="3" t="s">
        <v>7158</v>
      </c>
      <c r="H607" s="3">
        <v>0.33</v>
      </c>
      <c r="I607" s="3">
        <v>14.85</v>
      </c>
    </row>
    <row r="608" spans="1:9" ht="22.5" customHeight="1" x14ac:dyDescent="0.25">
      <c r="A608" s="2" t="s">
        <v>2779</v>
      </c>
      <c r="B608" s="2" t="s">
        <v>2778</v>
      </c>
      <c r="C608" s="2" t="s">
        <v>4944</v>
      </c>
      <c r="D608" s="2" t="s">
        <v>7153</v>
      </c>
      <c r="E608" s="2" t="s">
        <v>7154</v>
      </c>
      <c r="F608" s="2">
        <v>14</v>
      </c>
      <c r="G608" s="2" t="s">
        <v>7155</v>
      </c>
      <c r="H608" s="2">
        <v>1.24E-2</v>
      </c>
      <c r="I608" s="2">
        <v>0.1736</v>
      </c>
    </row>
    <row r="609" spans="1:9" ht="33.75" customHeight="1" x14ac:dyDescent="0.25">
      <c r="A609" s="3" t="s">
        <v>2779</v>
      </c>
      <c r="B609" s="3" t="s">
        <v>2778</v>
      </c>
      <c r="C609" s="3" t="s">
        <v>4944</v>
      </c>
      <c r="D609" s="3" t="s">
        <v>7186</v>
      </c>
      <c r="E609" s="3" t="s">
        <v>7187</v>
      </c>
      <c r="F609" s="3">
        <v>1</v>
      </c>
      <c r="G609" s="3" t="s">
        <v>7158</v>
      </c>
      <c r="H609" s="3">
        <v>26</v>
      </c>
      <c r="I609" s="3">
        <v>26</v>
      </c>
    </row>
    <row r="610" spans="1:9" ht="22.5" customHeight="1" x14ac:dyDescent="0.25">
      <c r="A610" s="2" t="s">
        <v>2779</v>
      </c>
      <c r="B610" s="2" t="s">
        <v>2778</v>
      </c>
      <c r="C610" s="2" t="s">
        <v>4944</v>
      </c>
      <c r="D610" s="2" t="s">
        <v>7159</v>
      </c>
      <c r="E610" s="2" t="s">
        <v>7160</v>
      </c>
      <c r="F610" s="2">
        <v>20</v>
      </c>
      <c r="G610" s="2" t="s">
        <v>7155</v>
      </c>
      <c r="H610" s="2">
        <v>1.8319999999999999E-2</v>
      </c>
      <c r="I610" s="2">
        <v>0.3664</v>
      </c>
    </row>
    <row r="611" spans="1:9" ht="22.5" customHeight="1" x14ac:dyDescent="0.25">
      <c r="A611" s="3" t="s">
        <v>2779</v>
      </c>
      <c r="B611" s="3" t="s">
        <v>2778</v>
      </c>
      <c r="C611" s="3" t="s">
        <v>4944</v>
      </c>
      <c r="D611" s="3" t="s">
        <v>7161</v>
      </c>
      <c r="E611" s="3" t="s">
        <v>7162</v>
      </c>
      <c r="F611" s="3">
        <v>0.186</v>
      </c>
      <c r="G611" s="3" t="s">
        <v>7163</v>
      </c>
      <c r="H611" s="3" t="s">
        <v>7164</v>
      </c>
      <c r="I611" s="3">
        <v>0.186</v>
      </c>
    </row>
    <row r="612" spans="1:9" ht="33.75" customHeight="1" x14ac:dyDescent="0.25">
      <c r="A612" s="2" t="s">
        <v>2779</v>
      </c>
      <c r="B612" s="2" t="s">
        <v>2778</v>
      </c>
      <c r="C612" s="2" t="s">
        <v>4944</v>
      </c>
      <c r="D612" s="2" t="s">
        <v>7212</v>
      </c>
      <c r="E612" s="2" t="s">
        <v>7213</v>
      </c>
      <c r="F612" s="2">
        <v>8</v>
      </c>
      <c r="G612" s="2" t="s">
        <v>7158</v>
      </c>
      <c r="H612" s="2">
        <v>0.21</v>
      </c>
      <c r="I612" s="2">
        <v>1.68</v>
      </c>
    </row>
    <row r="613" spans="1:9" ht="33.75" customHeight="1" x14ac:dyDescent="0.25">
      <c r="A613" s="3" t="s">
        <v>2779</v>
      </c>
      <c r="B613" s="3" t="s">
        <v>2778</v>
      </c>
      <c r="C613" s="3" t="s">
        <v>4944</v>
      </c>
      <c r="D613" s="3" t="s">
        <v>7188</v>
      </c>
      <c r="E613" s="3" t="s">
        <v>7189</v>
      </c>
      <c r="F613" s="3">
        <v>4</v>
      </c>
      <c r="G613" s="3" t="s">
        <v>7158</v>
      </c>
      <c r="H613" s="3">
        <v>0.27</v>
      </c>
      <c r="I613" s="3">
        <v>1.08</v>
      </c>
    </row>
    <row r="614" spans="1:9" ht="33.75" customHeight="1" x14ac:dyDescent="0.25">
      <c r="A614" s="2" t="s">
        <v>2779</v>
      </c>
      <c r="B614" s="2" t="s">
        <v>2778</v>
      </c>
      <c r="C614" s="2" t="s">
        <v>4944</v>
      </c>
      <c r="D614" s="2" t="s">
        <v>7247</v>
      </c>
      <c r="E614" s="2" t="s">
        <v>7248</v>
      </c>
      <c r="F614" s="2">
        <v>45</v>
      </c>
      <c r="G614" s="2" t="s">
        <v>7158</v>
      </c>
      <c r="H614" s="2">
        <v>0.33</v>
      </c>
      <c r="I614" s="2">
        <v>14.85</v>
      </c>
    </row>
    <row r="615" spans="1:9" ht="22.5" customHeight="1" x14ac:dyDescent="0.25">
      <c r="A615" s="3" t="s">
        <v>3733</v>
      </c>
      <c r="B615" s="3" t="s">
        <v>3732</v>
      </c>
      <c r="C615" s="3" t="s">
        <v>4996</v>
      </c>
      <c r="D615" s="3" t="s">
        <v>7153</v>
      </c>
      <c r="E615" s="3" t="s">
        <v>7154</v>
      </c>
      <c r="F615" s="3">
        <v>14</v>
      </c>
      <c r="G615" s="3" t="s">
        <v>7155</v>
      </c>
      <c r="H615" s="3">
        <v>1.24E-2</v>
      </c>
      <c r="I615" s="3">
        <v>0.1736</v>
      </c>
    </row>
    <row r="616" spans="1:9" ht="33.75" customHeight="1" x14ac:dyDescent="0.25">
      <c r="A616" s="2" t="s">
        <v>3733</v>
      </c>
      <c r="B616" s="2" t="s">
        <v>3732</v>
      </c>
      <c r="C616" s="2" t="s">
        <v>4996</v>
      </c>
      <c r="D616" s="2" t="s">
        <v>7186</v>
      </c>
      <c r="E616" s="2" t="s">
        <v>7187</v>
      </c>
      <c r="F616" s="2">
        <v>1</v>
      </c>
      <c r="G616" s="2" t="s">
        <v>7158</v>
      </c>
      <c r="H616" s="2">
        <v>26</v>
      </c>
      <c r="I616" s="2">
        <v>26</v>
      </c>
    </row>
    <row r="617" spans="1:9" ht="22.5" customHeight="1" x14ac:dyDescent="0.25">
      <c r="A617" s="3" t="s">
        <v>3733</v>
      </c>
      <c r="B617" s="3" t="s">
        <v>3732</v>
      </c>
      <c r="C617" s="3" t="s">
        <v>4996</v>
      </c>
      <c r="D617" s="3" t="s">
        <v>7159</v>
      </c>
      <c r="E617" s="3" t="s">
        <v>7160</v>
      </c>
      <c r="F617" s="3">
        <v>20</v>
      </c>
      <c r="G617" s="3" t="s">
        <v>7155</v>
      </c>
      <c r="H617" s="3">
        <v>1.8319999999999999E-2</v>
      </c>
      <c r="I617" s="3">
        <v>0.3664</v>
      </c>
    </row>
    <row r="618" spans="1:9" ht="22.5" customHeight="1" x14ac:dyDescent="0.25">
      <c r="A618" s="2" t="s">
        <v>3733</v>
      </c>
      <c r="B618" s="2" t="s">
        <v>3732</v>
      </c>
      <c r="C618" s="2" t="s">
        <v>4996</v>
      </c>
      <c r="D618" s="2" t="s">
        <v>7161</v>
      </c>
      <c r="E618" s="2" t="s">
        <v>7162</v>
      </c>
      <c r="F618" s="2">
        <v>0.186</v>
      </c>
      <c r="G618" s="2" t="s">
        <v>7163</v>
      </c>
      <c r="H618" s="2" t="s">
        <v>7164</v>
      </c>
      <c r="I618" s="2">
        <v>0.186</v>
      </c>
    </row>
    <row r="619" spans="1:9" ht="33.75" customHeight="1" x14ac:dyDescent="0.25">
      <c r="A619" s="3" t="s">
        <v>3733</v>
      </c>
      <c r="B619" s="3" t="s">
        <v>3732</v>
      </c>
      <c r="C619" s="3" t="s">
        <v>4996</v>
      </c>
      <c r="D619" s="3" t="s">
        <v>7188</v>
      </c>
      <c r="E619" s="3" t="s">
        <v>7189</v>
      </c>
      <c r="F619" s="3">
        <v>4</v>
      </c>
      <c r="G619" s="3" t="s">
        <v>7158</v>
      </c>
      <c r="H619" s="3">
        <v>0.27</v>
      </c>
      <c r="I619" s="3">
        <v>1.08</v>
      </c>
    </row>
    <row r="620" spans="1:9" ht="33.75" customHeight="1" x14ac:dyDescent="0.25">
      <c r="A620" s="2" t="s">
        <v>3733</v>
      </c>
      <c r="B620" s="2" t="s">
        <v>3732</v>
      </c>
      <c r="C620" s="2" t="s">
        <v>4996</v>
      </c>
      <c r="D620" s="2" t="s">
        <v>7165</v>
      </c>
      <c r="E620" s="2" t="s">
        <v>7166</v>
      </c>
      <c r="F620" s="2">
        <v>4</v>
      </c>
      <c r="G620" s="2" t="s">
        <v>7158</v>
      </c>
      <c r="H620" s="2">
        <v>0.1</v>
      </c>
      <c r="I620" s="2">
        <v>0.4</v>
      </c>
    </row>
    <row r="621" spans="1:9" ht="101.25" customHeight="1" x14ac:dyDescent="0.25">
      <c r="A621" s="3" t="s">
        <v>120</v>
      </c>
      <c r="B621" s="3" t="s">
        <v>5669</v>
      </c>
      <c r="C621" s="3" t="s">
        <v>4662</v>
      </c>
      <c r="D621" s="3" t="s">
        <v>7153</v>
      </c>
      <c r="E621" s="3" t="s">
        <v>7154</v>
      </c>
      <c r="F621" s="3">
        <v>7</v>
      </c>
      <c r="G621" s="3" t="s">
        <v>7155</v>
      </c>
      <c r="H621" s="3">
        <v>1.24E-2</v>
      </c>
      <c r="I621" s="3">
        <v>8.6800000000000002E-2</v>
      </c>
    </row>
    <row r="622" spans="1:9" ht="101.25" customHeight="1" x14ac:dyDescent="0.25">
      <c r="A622" s="2" t="s">
        <v>120</v>
      </c>
      <c r="B622" s="2" t="s">
        <v>5669</v>
      </c>
      <c r="C622" s="2" t="s">
        <v>4662</v>
      </c>
      <c r="D622" s="2" t="s">
        <v>7222</v>
      </c>
      <c r="E622" s="2" t="s">
        <v>7223</v>
      </c>
      <c r="F622" s="2">
        <v>45</v>
      </c>
      <c r="G622" s="2" t="s">
        <v>7158</v>
      </c>
      <c r="H622" s="2">
        <v>8.0680000000000002E-2</v>
      </c>
      <c r="I622" s="2">
        <v>3.6305999999999998</v>
      </c>
    </row>
    <row r="623" spans="1:9" ht="101.25" customHeight="1" x14ac:dyDescent="0.25">
      <c r="A623" s="3" t="s">
        <v>120</v>
      </c>
      <c r="B623" s="3" t="s">
        <v>5669</v>
      </c>
      <c r="C623" s="3" t="s">
        <v>4662</v>
      </c>
      <c r="D623" s="3" t="s">
        <v>7186</v>
      </c>
      <c r="E623" s="3" t="s">
        <v>7187</v>
      </c>
      <c r="F623" s="3">
        <v>1</v>
      </c>
      <c r="G623" s="3" t="s">
        <v>7158</v>
      </c>
      <c r="H623" s="3">
        <v>26</v>
      </c>
      <c r="I623" s="3">
        <v>26</v>
      </c>
    </row>
    <row r="624" spans="1:9" ht="101.25" customHeight="1" x14ac:dyDescent="0.25">
      <c r="A624" s="2" t="s">
        <v>120</v>
      </c>
      <c r="B624" s="2" t="s">
        <v>5669</v>
      </c>
      <c r="C624" s="2" t="s">
        <v>4662</v>
      </c>
      <c r="D624" s="2" t="s">
        <v>7159</v>
      </c>
      <c r="E624" s="2" t="s">
        <v>7160</v>
      </c>
      <c r="F624" s="2">
        <v>20</v>
      </c>
      <c r="G624" s="2" t="s">
        <v>7155</v>
      </c>
      <c r="H624" s="2">
        <v>1.8319999999999999E-2</v>
      </c>
      <c r="I624" s="2">
        <v>0.3664</v>
      </c>
    </row>
    <row r="625" spans="1:9" ht="101.25" customHeight="1" x14ac:dyDescent="0.25">
      <c r="A625" s="3" t="s">
        <v>120</v>
      </c>
      <c r="B625" s="3" t="s">
        <v>5669</v>
      </c>
      <c r="C625" s="3" t="s">
        <v>4662</v>
      </c>
      <c r="D625" s="3" t="s">
        <v>7161</v>
      </c>
      <c r="E625" s="3" t="s">
        <v>7162</v>
      </c>
      <c r="F625" s="3">
        <v>0.186</v>
      </c>
      <c r="G625" s="3" t="s">
        <v>7163</v>
      </c>
      <c r="H625" s="3" t="s">
        <v>7164</v>
      </c>
      <c r="I625" s="3">
        <v>0.186</v>
      </c>
    </row>
    <row r="626" spans="1:9" ht="101.25" customHeight="1" x14ac:dyDescent="0.25">
      <c r="A626" s="2" t="s">
        <v>120</v>
      </c>
      <c r="B626" s="2" t="s">
        <v>5669</v>
      </c>
      <c r="C626" s="2" t="s">
        <v>4662</v>
      </c>
      <c r="D626" s="2" t="s">
        <v>7201</v>
      </c>
      <c r="E626" s="2" t="s">
        <v>7209</v>
      </c>
      <c r="F626" s="2">
        <v>1.8</v>
      </c>
      <c r="G626" s="2" t="s">
        <v>7163</v>
      </c>
      <c r="H626" s="2" t="s">
        <v>7164</v>
      </c>
      <c r="I626" s="2">
        <v>1.8</v>
      </c>
    </row>
    <row r="627" spans="1:9" ht="101.25" customHeight="1" x14ac:dyDescent="0.25">
      <c r="A627" s="3" t="s">
        <v>120</v>
      </c>
      <c r="B627" s="3" t="s">
        <v>5669</v>
      </c>
      <c r="C627" s="3" t="s">
        <v>4662</v>
      </c>
      <c r="D627" s="3" t="s">
        <v>7188</v>
      </c>
      <c r="E627" s="3" t="s">
        <v>7189</v>
      </c>
      <c r="F627" s="3">
        <v>4</v>
      </c>
      <c r="G627" s="3" t="s">
        <v>7158</v>
      </c>
      <c r="H627" s="3">
        <v>0.27</v>
      </c>
      <c r="I627" s="3">
        <v>1.08</v>
      </c>
    </row>
    <row r="628" spans="1:9" ht="101.25" customHeight="1" x14ac:dyDescent="0.25">
      <c r="A628" s="2" t="s">
        <v>120</v>
      </c>
      <c r="B628" s="2" t="s">
        <v>5669</v>
      </c>
      <c r="C628" s="2" t="s">
        <v>4662</v>
      </c>
      <c r="D628" s="2" t="s">
        <v>7165</v>
      </c>
      <c r="E628" s="2" t="s">
        <v>7166</v>
      </c>
      <c r="F628" s="2">
        <v>2</v>
      </c>
      <c r="G628" s="2" t="s">
        <v>7158</v>
      </c>
      <c r="H628" s="2">
        <v>0.1</v>
      </c>
      <c r="I628" s="2">
        <v>0.2</v>
      </c>
    </row>
    <row r="629" spans="1:9" ht="22.5" customHeight="1" x14ac:dyDescent="0.25">
      <c r="A629" s="3" t="s">
        <v>3640</v>
      </c>
      <c r="B629" s="3" t="s">
        <v>3639</v>
      </c>
      <c r="C629" s="3" t="s">
        <v>4990</v>
      </c>
      <c r="D629" s="3" t="s">
        <v>7153</v>
      </c>
      <c r="E629" s="3" t="s">
        <v>7154</v>
      </c>
      <c r="F629" s="3">
        <v>7</v>
      </c>
      <c r="G629" s="3" t="s">
        <v>7155</v>
      </c>
      <c r="H629" s="3">
        <v>1.24E-2</v>
      </c>
      <c r="I629" s="3">
        <v>8.6800000000000002E-2</v>
      </c>
    </row>
    <row r="630" spans="1:9" ht="33.75" customHeight="1" x14ac:dyDescent="0.25">
      <c r="A630" s="2" t="s">
        <v>3640</v>
      </c>
      <c r="B630" s="2" t="s">
        <v>3639</v>
      </c>
      <c r="C630" s="2" t="s">
        <v>4990</v>
      </c>
      <c r="D630" s="2" t="s">
        <v>7186</v>
      </c>
      <c r="E630" s="2" t="s">
        <v>7187</v>
      </c>
      <c r="F630" s="2">
        <v>1</v>
      </c>
      <c r="G630" s="2" t="s">
        <v>7158</v>
      </c>
      <c r="H630" s="2">
        <v>26</v>
      </c>
      <c r="I630" s="2">
        <v>26</v>
      </c>
    </row>
    <row r="631" spans="1:9" ht="22.5" customHeight="1" x14ac:dyDescent="0.25">
      <c r="A631" s="3" t="s">
        <v>3640</v>
      </c>
      <c r="B631" s="3" t="s">
        <v>3639</v>
      </c>
      <c r="C631" s="3" t="s">
        <v>4990</v>
      </c>
      <c r="D631" s="3" t="s">
        <v>7159</v>
      </c>
      <c r="E631" s="3" t="s">
        <v>7160</v>
      </c>
      <c r="F631" s="3">
        <v>20</v>
      </c>
      <c r="G631" s="3" t="s">
        <v>7155</v>
      </c>
      <c r="H631" s="3">
        <v>1.8319999999999999E-2</v>
      </c>
      <c r="I631" s="3">
        <v>0.3664</v>
      </c>
    </row>
    <row r="632" spans="1:9" ht="22.5" customHeight="1" x14ac:dyDescent="0.25">
      <c r="A632" s="2" t="s">
        <v>3640</v>
      </c>
      <c r="B632" s="2" t="s">
        <v>3639</v>
      </c>
      <c r="C632" s="2" t="s">
        <v>4990</v>
      </c>
      <c r="D632" s="2" t="s">
        <v>7161</v>
      </c>
      <c r="E632" s="2" t="s">
        <v>7162</v>
      </c>
      <c r="F632" s="2">
        <v>0.186</v>
      </c>
      <c r="G632" s="2" t="s">
        <v>7163</v>
      </c>
      <c r="H632" s="2" t="s">
        <v>7164</v>
      </c>
      <c r="I632" s="2">
        <v>0.186</v>
      </c>
    </row>
    <row r="633" spans="1:9" ht="33.75" customHeight="1" x14ac:dyDescent="0.25">
      <c r="A633" s="3" t="s">
        <v>3640</v>
      </c>
      <c r="B633" s="3" t="s">
        <v>3639</v>
      </c>
      <c r="C633" s="3" t="s">
        <v>4990</v>
      </c>
      <c r="D633" s="3" t="s">
        <v>7188</v>
      </c>
      <c r="E633" s="3" t="s">
        <v>7189</v>
      </c>
      <c r="F633" s="3">
        <v>4</v>
      </c>
      <c r="G633" s="3" t="s">
        <v>7158</v>
      </c>
      <c r="H633" s="3">
        <v>0.27</v>
      </c>
      <c r="I633" s="3">
        <v>1.08</v>
      </c>
    </row>
    <row r="634" spans="1:9" ht="33.75" customHeight="1" x14ac:dyDescent="0.25">
      <c r="A634" s="2" t="s">
        <v>3640</v>
      </c>
      <c r="B634" s="2" t="s">
        <v>3639</v>
      </c>
      <c r="C634" s="2" t="s">
        <v>4990</v>
      </c>
      <c r="D634" s="2" t="s">
        <v>7165</v>
      </c>
      <c r="E634" s="2" t="s">
        <v>7166</v>
      </c>
      <c r="F634" s="2">
        <v>2</v>
      </c>
      <c r="G634" s="2" t="s">
        <v>7158</v>
      </c>
      <c r="H634" s="2">
        <v>0.1</v>
      </c>
      <c r="I634" s="2">
        <v>0.2</v>
      </c>
    </row>
    <row r="635" spans="1:9" ht="22.5" customHeight="1" x14ac:dyDescent="0.25">
      <c r="A635" s="3" t="s">
        <v>3791</v>
      </c>
      <c r="B635" s="3" t="s">
        <v>3790</v>
      </c>
      <c r="C635" s="3" t="s">
        <v>5004</v>
      </c>
      <c r="D635" s="3" t="s">
        <v>7153</v>
      </c>
      <c r="E635" s="3" t="s">
        <v>7154</v>
      </c>
      <c r="F635" s="3">
        <v>7</v>
      </c>
      <c r="G635" s="3" t="s">
        <v>7155</v>
      </c>
      <c r="H635" s="3">
        <v>1.24E-2</v>
      </c>
      <c r="I635" s="3">
        <v>8.6800000000000002E-2</v>
      </c>
    </row>
    <row r="636" spans="1:9" ht="33.75" customHeight="1" x14ac:dyDescent="0.25">
      <c r="A636" s="2" t="s">
        <v>3791</v>
      </c>
      <c r="B636" s="2" t="s">
        <v>3790</v>
      </c>
      <c r="C636" s="2" t="s">
        <v>5004</v>
      </c>
      <c r="D636" s="2" t="s">
        <v>7186</v>
      </c>
      <c r="E636" s="2" t="s">
        <v>7187</v>
      </c>
      <c r="F636" s="2">
        <v>1</v>
      </c>
      <c r="G636" s="2" t="s">
        <v>7158</v>
      </c>
      <c r="H636" s="2">
        <v>26</v>
      </c>
      <c r="I636" s="2">
        <v>26</v>
      </c>
    </row>
    <row r="637" spans="1:9" ht="22.5" customHeight="1" x14ac:dyDescent="0.25">
      <c r="A637" s="3" t="s">
        <v>3791</v>
      </c>
      <c r="B637" s="3" t="s">
        <v>3790</v>
      </c>
      <c r="C637" s="3" t="s">
        <v>5004</v>
      </c>
      <c r="D637" s="3" t="s">
        <v>7159</v>
      </c>
      <c r="E637" s="3" t="s">
        <v>7160</v>
      </c>
      <c r="F637" s="3">
        <v>20</v>
      </c>
      <c r="G637" s="3" t="s">
        <v>7155</v>
      </c>
      <c r="H637" s="3">
        <v>1.8319999999999999E-2</v>
      </c>
      <c r="I637" s="3">
        <v>0.3664</v>
      </c>
    </row>
    <row r="638" spans="1:9" ht="22.5" customHeight="1" x14ac:dyDescent="0.25">
      <c r="A638" s="2" t="s">
        <v>3791</v>
      </c>
      <c r="B638" s="2" t="s">
        <v>3790</v>
      </c>
      <c r="C638" s="2" t="s">
        <v>5004</v>
      </c>
      <c r="D638" s="2" t="s">
        <v>7161</v>
      </c>
      <c r="E638" s="2" t="s">
        <v>7162</v>
      </c>
      <c r="F638" s="2">
        <v>0.186</v>
      </c>
      <c r="G638" s="2" t="s">
        <v>7163</v>
      </c>
      <c r="H638" s="2" t="s">
        <v>7164</v>
      </c>
      <c r="I638" s="2">
        <v>0.186</v>
      </c>
    </row>
    <row r="639" spans="1:9" ht="22.5" customHeight="1" x14ac:dyDescent="0.25">
      <c r="A639" s="3" t="s">
        <v>3791</v>
      </c>
      <c r="B639" s="3" t="s">
        <v>3790</v>
      </c>
      <c r="C639" s="3" t="s">
        <v>5004</v>
      </c>
      <c r="D639" s="3" t="s">
        <v>7201</v>
      </c>
      <c r="E639" s="3" t="s">
        <v>7209</v>
      </c>
      <c r="F639" s="3">
        <v>1.53</v>
      </c>
      <c r="G639" s="3" t="s">
        <v>7163</v>
      </c>
      <c r="H639" s="3" t="s">
        <v>7164</v>
      </c>
      <c r="I639" s="3">
        <v>1.53</v>
      </c>
    </row>
    <row r="640" spans="1:9" ht="33.75" customHeight="1" x14ac:dyDescent="0.25">
      <c r="A640" s="2" t="s">
        <v>3791</v>
      </c>
      <c r="B640" s="2" t="s">
        <v>3790</v>
      </c>
      <c r="C640" s="2" t="s">
        <v>5004</v>
      </c>
      <c r="D640" s="2" t="s">
        <v>7188</v>
      </c>
      <c r="E640" s="2" t="s">
        <v>7189</v>
      </c>
      <c r="F640" s="2">
        <v>4</v>
      </c>
      <c r="G640" s="2" t="s">
        <v>7158</v>
      </c>
      <c r="H640" s="2">
        <v>0.27</v>
      </c>
      <c r="I640" s="2">
        <v>1.08</v>
      </c>
    </row>
    <row r="641" spans="1:9" ht="33.75" customHeight="1" x14ac:dyDescent="0.25">
      <c r="A641" s="3" t="s">
        <v>3791</v>
      </c>
      <c r="B641" s="3" t="s">
        <v>3790</v>
      </c>
      <c r="C641" s="3" t="s">
        <v>5004</v>
      </c>
      <c r="D641" s="3" t="s">
        <v>7165</v>
      </c>
      <c r="E641" s="3" t="s">
        <v>7166</v>
      </c>
      <c r="F641" s="3">
        <v>2</v>
      </c>
      <c r="G641" s="3" t="s">
        <v>7158</v>
      </c>
      <c r="H641" s="3">
        <v>0.1</v>
      </c>
      <c r="I641" s="3">
        <v>0.2</v>
      </c>
    </row>
    <row r="642" spans="1:9" ht="409.5" customHeight="1" x14ac:dyDescent="0.25">
      <c r="A642" s="2" t="s">
        <v>324</v>
      </c>
      <c r="B642" s="2" t="s">
        <v>5691</v>
      </c>
      <c r="C642" s="2" t="s">
        <v>4704</v>
      </c>
      <c r="D642" s="2" t="s">
        <v>7153</v>
      </c>
      <c r="E642" s="2" t="s">
        <v>7154</v>
      </c>
      <c r="F642" s="2">
        <v>7</v>
      </c>
      <c r="G642" s="2" t="s">
        <v>7155</v>
      </c>
      <c r="H642" s="2">
        <v>1.24E-2</v>
      </c>
      <c r="I642" s="2">
        <v>8.6800000000000002E-2</v>
      </c>
    </row>
    <row r="643" spans="1:9" ht="409.5" customHeight="1" x14ac:dyDescent="0.25">
      <c r="A643" s="3" t="s">
        <v>324</v>
      </c>
      <c r="B643" s="3" t="s">
        <v>5691</v>
      </c>
      <c r="C643" s="3" t="s">
        <v>4704</v>
      </c>
      <c r="D643" s="3" t="s">
        <v>7186</v>
      </c>
      <c r="E643" s="3" t="s">
        <v>7187</v>
      </c>
      <c r="F643" s="3">
        <v>1</v>
      </c>
      <c r="G643" s="3" t="s">
        <v>7158</v>
      </c>
      <c r="H643" s="3">
        <v>26</v>
      </c>
      <c r="I643" s="3">
        <v>26</v>
      </c>
    </row>
    <row r="644" spans="1:9" ht="409.5" customHeight="1" x14ac:dyDescent="0.25">
      <c r="A644" s="2" t="s">
        <v>324</v>
      </c>
      <c r="B644" s="2" t="s">
        <v>5691</v>
      </c>
      <c r="C644" s="2" t="s">
        <v>4704</v>
      </c>
      <c r="D644" s="2" t="s">
        <v>7159</v>
      </c>
      <c r="E644" s="2" t="s">
        <v>7160</v>
      </c>
      <c r="F644" s="2">
        <v>20</v>
      </c>
      <c r="G644" s="2" t="s">
        <v>7155</v>
      </c>
      <c r="H644" s="2">
        <v>1.8319999999999999E-2</v>
      </c>
      <c r="I644" s="2">
        <v>0.3664</v>
      </c>
    </row>
    <row r="645" spans="1:9" ht="409.5" customHeight="1" x14ac:dyDescent="0.25">
      <c r="A645" s="3" t="s">
        <v>324</v>
      </c>
      <c r="B645" s="3" t="s">
        <v>5691</v>
      </c>
      <c r="C645" s="3" t="s">
        <v>4704</v>
      </c>
      <c r="D645" s="3" t="s">
        <v>7161</v>
      </c>
      <c r="E645" s="3" t="s">
        <v>7162</v>
      </c>
      <c r="F645" s="3">
        <v>0.186</v>
      </c>
      <c r="G645" s="3" t="s">
        <v>7163</v>
      </c>
      <c r="H645" s="3" t="s">
        <v>7164</v>
      </c>
      <c r="I645" s="3">
        <v>0.186</v>
      </c>
    </row>
    <row r="646" spans="1:9" ht="409.5" customHeight="1" x14ac:dyDescent="0.25">
      <c r="A646" s="2" t="s">
        <v>324</v>
      </c>
      <c r="B646" s="2" t="s">
        <v>5691</v>
      </c>
      <c r="C646" s="2" t="s">
        <v>4704</v>
      </c>
      <c r="D646" s="2" t="s">
        <v>7201</v>
      </c>
      <c r="E646" s="2" t="s">
        <v>7209</v>
      </c>
      <c r="F646" s="2">
        <v>1.8</v>
      </c>
      <c r="G646" s="2" t="s">
        <v>7163</v>
      </c>
      <c r="H646" s="2" t="s">
        <v>7164</v>
      </c>
      <c r="I646" s="2">
        <v>1.8</v>
      </c>
    </row>
    <row r="647" spans="1:9" ht="409.5" customHeight="1" x14ac:dyDescent="0.25">
      <c r="A647" s="3" t="s">
        <v>324</v>
      </c>
      <c r="B647" s="3" t="s">
        <v>5691</v>
      </c>
      <c r="C647" s="3" t="s">
        <v>4704</v>
      </c>
      <c r="D647" s="3" t="s">
        <v>7188</v>
      </c>
      <c r="E647" s="3" t="s">
        <v>7189</v>
      </c>
      <c r="F647" s="3">
        <v>4</v>
      </c>
      <c r="G647" s="3" t="s">
        <v>7158</v>
      </c>
      <c r="H647" s="3">
        <v>0.27</v>
      </c>
      <c r="I647" s="3">
        <v>1.08</v>
      </c>
    </row>
    <row r="648" spans="1:9" ht="409.5" customHeight="1" x14ac:dyDescent="0.25">
      <c r="A648" s="2" t="s">
        <v>324</v>
      </c>
      <c r="B648" s="2" t="s">
        <v>5691</v>
      </c>
      <c r="C648" s="2" t="s">
        <v>4704</v>
      </c>
      <c r="D648" s="2" t="s">
        <v>7165</v>
      </c>
      <c r="E648" s="2" t="s">
        <v>7166</v>
      </c>
      <c r="F648" s="2">
        <v>2</v>
      </c>
      <c r="G648" s="2" t="s">
        <v>7158</v>
      </c>
      <c r="H648" s="2">
        <v>0.1</v>
      </c>
      <c r="I648" s="2">
        <v>0.2</v>
      </c>
    </row>
    <row r="649" spans="1:9" ht="78.75" customHeight="1" x14ac:dyDescent="0.25">
      <c r="A649" s="3" t="s">
        <v>83</v>
      </c>
      <c r="B649" s="3" t="s">
        <v>5699</v>
      </c>
      <c r="C649" s="3" t="s">
        <v>4655</v>
      </c>
      <c r="D649" s="3" t="s">
        <v>7222</v>
      </c>
      <c r="E649" s="3" t="s">
        <v>7223</v>
      </c>
      <c r="F649" s="3">
        <v>45</v>
      </c>
      <c r="G649" s="3" t="s">
        <v>7158</v>
      </c>
      <c r="H649" s="3">
        <v>8.0680000000000002E-2</v>
      </c>
      <c r="I649" s="3">
        <v>3.6305999999999998</v>
      </c>
    </row>
    <row r="650" spans="1:9" ht="78.75" customHeight="1" x14ac:dyDescent="0.25">
      <c r="A650" s="2" t="s">
        <v>83</v>
      </c>
      <c r="B650" s="2" t="s">
        <v>5699</v>
      </c>
      <c r="C650" s="2" t="s">
        <v>4655</v>
      </c>
      <c r="D650" s="2" t="s">
        <v>7186</v>
      </c>
      <c r="E650" s="2" t="s">
        <v>7187</v>
      </c>
      <c r="F650" s="2">
        <v>1</v>
      </c>
      <c r="G650" s="2" t="s">
        <v>7158</v>
      </c>
      <c r="H650" s="2">
        <v>26</v>
      </c>
      <c r="I650" s="2">
        <v>26</v>
      </c>
    </row>
    <row r="651" spans="1:9" ht="78.75" customHeight="1" x14ac:dyDescent="0.25">
      <c r="A651" s="3" t="s">
        <v>83</v>
      </c>
      <c r="B651" s="3" t="s">
        <v>5699</v>
      </c>
      <c r="C651" s="3" t="s">
        <v>4655</v>
      </c>
      <c r="D651" s="3" t="s">
        <v>7159</v>
      </c>
      <c r="E651" s="3" t="s">
        <v>7160</v>
      </c>
      <c r="F651" s="3">
        <v>20</v>
      </c>
      <c r="G651" s="3" t="s">
        <v>7155</v>
      </c>
      <c r="H651" s="3">
        <v>1.8319999999999999E-2</v>
      </c>
      <c r="I651" s="3">
        <v>0.3664</v>
      </c>
    </row>
    <row r="652" spans="1:9" ht="78.75" customHeight="1" x14ac:dyDescent="0.25">
      <c r="A652" s="2" t="s">
        <v>83</v>
      </c>
      <c r="B652" s="2" t="s">
        <v>5699</v>
      </c>
      <c r="C652" s="2" t="s">
        <v>4655</v>
      </c>
      <c r="D652" s="2" t="s">
        <v>7161</v>
      </c>
      <c r="E652" s="2" t="s">
        <v>7162</v>
      </c>
      <c r="F652" s="2">
        <v>0.186</v>
      </c>
      <c r="G652" s="2" t="s">
        <v>7163</v>
      </c>
      <c r="H652" s="2" t="s">
        <v>7164</v>
      </c>
      <c r="I652" s="2">
        <v>0.186</v>
      </c>
    </row>
    <row r="653" spans="1:9" ht="78.75" customHeight="1" x14ac:dyDescent="0.25">
      <c r="A653" s="3" t="s">
        <v>83</v>
      </c>
      <c r="B653" s="3" t="s">
        <v>5699</v>
      </c>
      <c r="C653" s="3" t="s">
        <v>4655</v>
      </c>
      <c r="D653" s="3" t="s">
        <v>7201</v>
      </c>
      <c r="E653" s="3" t="s">
        <v>7209</v>
      </c>
      <c r="F653" s="3">
        <v>1.8</v>
      </c>
      <c r="G653" s="3" t="s">
        <v>7163</v>
      </c>
      <c r="H653" s="3" t="s">
        <v>7164</v>
      </c>
      <c r="I653" s="3">
        <v>1.8</v>
      </c>
    </row>
    <row r="654" spans="1:9" ht="78.75" customHeight="1" x14ac:dyDescent="0.25">
      <c r="A654" s="2" t="s">
        <v>83</v>
      </c>
      <c r="B654" s="2" t="s">
        <v>5699</v>
      </c>
      <c r="C654" s="2" t="s">
        <v>4655</v>
      </c>
      <c r="D654" s="2" t="s">
        <v>7188</v>
      </c>
      <c r="E654" s="2" t="s">
        <v>7189</v>
      </c>
      <c r="F654" s="2">
        <v>4</v>
      </c>
      <c r="G654" s="2" t="s">
        <v>7158</v>
      </c>
      <c r="H654" s="2">
        <v>0.27</v>
      </c>
      <c r="I654" s="2">
        <v>1.08</v>
      </c>
    </row>
    <row r="655" spans="1:9" ht="101.25" customHeight="1" x14ac:dyDescent="0.25">
      <c r="A655" s="3" t="s">
        <v>665</v>
      </c>
      <c r="B655" s="3" t="s">
        <v>5707</v>
      </c>
      <c r="C655" s="3" t="s">
        <v>4777</v>
      </c>
      <c r="D655" s="3" t="s">
        <v>7186</v>
      </c>
      <c r="E655" s="3" t="s">
        <v>7187</v>
      </c>
      <c r="F655" s="3">
        <v>1</v>
      </c>
      <c r="G655" s="3" t="s">
        <v>7158</v>
      </c>
      <c r="H655" s="3">
        <v>26</v>
      </c>
      <c r="I655" s="3">
        <v>26</v>
      </c>
    </row>
    <row r="656" spans="1:9" ht="101.25" customHeight="1" x14ac:dyDescent="0.25">
      <c r="A656" s="2" t="s">
        <v>665</v>
      </c>
      <c r="B656" s="2" t="s">
        <v>5707</v>
      </c>
      <c r="C656" s="2" t="s">
        <v>4777</v>
      </c>
      <c r="D656" s="2" t="s">
        <v>7159</v>
      </c>
      <c r="E656" s="2" t="s">
        <v>7160</v>
      </c>
      <c r="F656" s="2">
        <v>20</v>
      </c>
      <c r="G656" s="2" t="s">
        <v>7155</v>
      </c>
      <c r="H656" s="2">
        <v>1.8319999999999999E-2</v>
      </c>
      <c r="I656" s="2">
        <v>0.3664</v>
      </c>
    </row>
    <row r="657" spans="1:9" ht="101.25" customHeight="1" x14ac:dyDescent="0.25">
      <c r="A657" s="3" t="s">
        <v>665</v>
      </c>
      <c r="B657" s="3" t="s">
        <v>5707</v>
      </c>
      <c r="C657" s="3" t="s">
        <v>4777</v>
      </c>
      <c r="D657" s="3" t="s">
        <v>7161</v>
      </c>
      <c r="E657" s="3" t="s">
        <v>7162</v>
      </c>
      <c r="F657" s="3">
        <v>0.186</v>
      </c>
      <c r="G657" s="3" t="s">
        <v>7163</v>
      </c>
      <c r="H657" s="3" t="s">
        <v>7164</v>
      </c>
      <c r="I657" s="3">
        <v>0.186</v>
      </c>
    </row>
    <row r="658" spans="1:9" ht="101.25" customHeight="1" x14ac:dyDescent="0.25">
      <c r="A658" s="2" t="s">
        <v>665</v>
      </c>
      <c r="B658" s="2" t="s">
        <v>5707</v>
      </c>
      <c r="C658" s="2" t="s">
        <v>4777</v>
      </c>
      <c r="D658" s="2" t="s">
        <v>7201</v>
      </c>
      <c r="E658" s="2" t="s">
        <v>7209</v>
      </c>
      <c r="F658" s="2">
        <v>1.8</v>
      </c>
      <c r="G658" s="2" t="s">
        <v>7163</v>
      </c>
      <c r="H658" s="2" t="s">
        <v>7164</v>
      </c>
      <c r="I658" s="2">
        <v>1.8</v>
      </c>
    </row>
    <row r="659" spans="1:9" ht="101.25" customHeight="1" x14ac:dyDescent="0.25">
      <c r="A659" s="3" t="s">
        <v>665</v>
      </c>
      <c r="B659" s="3" t="s">
        <v>5707</v>
      </c>
      <c r="C659" s="3" t="s">
        <v>4777</v>
      </c>
      <c r="D659" s="3" t="s">
        <v>7188</v>
      </c>
      <c r="E659" s="3" t="s">
        <v>7189</v>
      </c>
      <c r="F659" s="3">
        <v>4</v>
      </c>
      <c r="G659" s="3" t="s">
        <v>7158</v>
      </c>
      <c r="H659" s="3">
        <v>0.27</v>
      </c>
      <c r="I659" s="3">
        <v>1.08</v>
      </c>
    </row>
    <row r="660" spans="1:9" ht="22.5" customHeight="1" x14ac:dyDescent="0.25">
      <c r="A660" s="2" t="s">
        <v>562</v>
      </c>
      <c r="B660" s="2" t="s">
        <v>5715</v>
      </c>
      <c r="C660" s="2" t="s">
        <v>4752</v>
      </c>
      <c r="D660" s="2" t="s">
        <v>7249</v>
      </c>
      <c r="E660" s="2" t="s">
        <v>7250</v>
      </c>
      <c r="F660" s="2">
        <v>3</v>
      </c>
      <c r="G660" s="2" t="s">
        <v>7158</v>
      </c>
      <c r="H660" s="2">
        <v>0.104</v>
      </c>
      <c r="I660" s="2">
        <v>0.312</v>
      </c>
    </row>
    <row r="661" spans="1:9" ht="22.5" customHeight="1" x14ac:dyDescent="0.25">
      <c r="A661" s="3" t="s">
        <v>562</v>
      </c>
      <c r="B661" s="3" t="s">
        <v>5715</v>
      </c>
      <c r="C661" s="3" t="s">
        <v>4752</v>
      </c>
      <c r="D661" s="3" t="s">
        <v>7153</v>
      </c>
      <c r="E661" s="3" t="s">
        <v>7154</v>
      </c>
      <c r="F661" s="3">
        <v>14</v>
      </c>
      <c r="G661" s="3" t="s">
        <v>7155</v>
      </c>
      <c r="H661" s="3">
        <v>1.24E-2</v>
      </c>
      <c r="I661" s="3">
        <v>0.1736</v>
      </c>
    </row>
    <row r="662" spans="1:9" ht="33.75" customHeight="1" x14ac:dyDescent="0.25">
      <c r="A662" s="2" t="s">
        <v>562</v>
      </c>
      <c r="B662" s="2" t="s">
        <v>5715</v>
      </c>
      <c r="C662" s="2" t="s">
        <v>4752</v>
      </c>
      <c r="D662" s="2" t="s">
        <v>7186</v>
      </c>
      <c r="E662" s="2" t="s">
        <v>7187</v>
      </c>
      <c r="F662" s="2">
        <v>1</v>
      </c>
      <c r="G662" s="2" t="s">
        <v>7158</v>
      </c>
      <c r="H662" s="2">
        <v>26</v>
      </c>
      <c r="I662" s="2">
        <v>26</v>
      </c>
    </row>
    <row r="663" spans="1:9" ht="22.5" customHeight="1" x14ac:dyDescent="0.25">
      <c r="A663" s="3" t="s">
        <v>562</v>
      </c>
      <c r="B663" s="3" t="s">
        <v>5715</v>
      </c>
      <c r="C663" s="3" t="s">
        <v>4752</v>
      </c>
      <c r="D663" s="3" t="s">
        <v>7159</v>
      </c>
      <c r="E663" s="3" t="s">
        <v>7160</v>
      </c>
      <c r="F663" s="3">
        <v>20</v>
      </c>
      <c r="G663" s="3" t="s">
        <v>7155</v>
      </c>
      <c r="H663" s="3">
        <v>1.8319999999999999E-2</v>
      </c>
      <c r="I663" s="3">
        <v>0.3664</v>
      </c>
    </row>
    <row r="664" spans="1:9" ht="22.5" customHeight="1" x14ac:dyDescent="0.25">
      <c r="A664" s="2" t="s">
        <v>562</v>
      </c>
      <c r="B664" s="2" t="s">
        <v>5715</v>
      </c>
      <c r="C664" s="2" t="s">
        <v>4752</v>
      </c>
      <c r="D664" s="2" t="s">
        <v>7190</v>
      </c>
      <c r="E664" s="2" t="s">
        <v>7191</v>
      </c>
      <c r="F664" s="2">
        <v>0.59699999999999998</v>
      </c>
      <c r="G664" s="2" t="s">
        <v>7163</v>
      </c>
      <c r="H664" s="2" t="s">
        <v>7164</v>
      </c>
      <c r="I664" s="2">
        <v>0.59699999999999998</v>
      </c>
    </row>
    <row r="665" spans="1:9" ht="33.75" customHeight="1" x14ac:dyDescent="0.25">
      <c r="A665" s="3" t="s">
        <v>562</v>
      </c>
      <c r="B665" s="3" t="s">
        <v>5715</v>
      </c>
      <c r="C665" s="3" t="s">
        <v>4752</v>
      </c>
      <c r="D665" s="3" t="s">
        <v>7188</v>
      </c>
      <c r="E665" s="3" t="s">
        <v>7189</v>
      </c>
      <c r="F665" s="3">
        <v>4</v>
      </c>
      <c r="G665" s="3" t="s">
        <v>7158</v>
      </c>
      <c r="H665" s="3">
        <v>0.27</v>
      </c>
      <c r="I665" s="3">
        <v>1.08</v>
      </c>
    </row>
    <row r="666" spans="1:9" ht="33.75" customHeight="1" x14ac:dyDescent="0.25">
      <c r="A666" s="2" t="s">
        <v>562</v>
      </c>
      <c r="B666" s="2" t="s">
        <v>5715</v>
      </c>
      <c r="C666" s="2" t="s">
        <v>4752</v>
      </c>
      <c r="D666" s="2" t="s">
        <v>7192</v>
      </c>
      <c r="E666" s="2" t="s">
        <v>7193</v>
      </c>
      <c r="F666" s="2">
        <v>4</v>
      </c>
      <c r="G666" s="2" t="s">
        <v>7158</v>
      </c>
      <c r="H666" s="2">
        <v>0.03</v>
      </c>
      <c r="I666" s="2">
        <v>0.12</v>
      </c>
    </row>
    <row r="667" spans="1:9" ht="22.5" customHeight="1" x14ac:dyDescent="0.25">
      <c r="A667" s="3" t="s">
        <v>2743</v>
      </c>
      <c r="B667" s="3" t="s">
        <v>2742</v>
      </c>
      <c r="C667" s="3" t="s">
        <v>4937</v>
      </c>
      <c r="D667" s="3" t="s">
        <v>7153</v>
      </c>
      <c r="E667" s="3" t="s">
        <v>7154</v>
      </c>
      <c r="F667" s="3">
        <v>14</v>
      </c>
      <c r="G667" s="3" t="s">
        <v>7155</v>
      </c>
      <c r="H667" s="3">
        <v>1.24E-2</v>
      </c>
      <c r="I667" s="3">
        <v>0.1736</v>
      </c>
    </row>
    <row r="668" spans="1:9" ht="33.75" customHeight="1" x14ac:dyDescent="0.25">
      <c r="A668" s="2" t="s">
        <v>2743</v>
      </c>
      <c r="B668" s="2" t="s">
        <v>2742</v>
      </c>
      <c r="C668" s="2" t="s">
        <v>4937</v>
      </c>
      <c r="D668" s="2" t="s">
        <v>7186</v>
      </c>
      <c r="E668" s="2" t="s">
        <v>7187</v>
      </c>
      <c r="F668" s="2">
        <v>1</v>
      </c>
      <c r="G668" s="2" t="s">
        <v>7158</v>
      </c>
      <c r="H668" s="2">
        <v>26</v>
      </c>
      <c r="I668" s="2">
        <v>26</v>
      </c>
    </row>
    <row r="669" spans="1:9" ht="22.5" customHeight="1" x14ac:dyDescent="0.25">
      <c r="A669" s="3" t="s">
        <v>2743</v>
      </c>
      <c r="B669" s="3" t="s">
        <v>2742</v>
      </c>
      <c r="C669" s="3" t="s">
        <v>4937</v>
      </c>
      <c r="D669" s="3" t="s">
        <v>7159</v>
      </c>
      <c r="E669" s="3" t="s">
        <v>7160</v>
      </c>
      <c r="F669" s="3">
        <v>20</v>
      </c>
      <c r="G669" s="3" t="s">
        <v>7155</v>
      </c>
      <c r="H669" s="3">
        <v>1.8319999999999999E-2</v>
      </c>
      <c r="I669" s="3">
        <v>0.3664</v>
      </c>
    </row>
    <row r="670" spans="1:9" ht="22.5" customHeight="1" x14ac:dyDescent="0.25">
      <c r="A670" s="2" t="s">
        <v>2743</v>
      </c>
      <c r="B670" s="2" t="s">
        <v>2742</v>
      </c>
      <c r="C670" s="2" t="s">
        <v>4937</v>
      </c>
      <c r="D670" s="2" t="s">
        <v>7190</v>
      </c>
      <c r="E670" s="2" t="s">
        <v>7191</v>
      </c>
      <c r="F670" s="2">
        <v>0.59699999999999998</v>
      </c>
      <c r="G670" s="2" t="s">
        <v>7163</v>
      </c>
      <c r="H670" s="2" t="s">
        <v>7164</v>
      </c>
      <c r="I670" s="2">
        <v>0.59699999999999998</v>
      </c>
    </row>
    <row r="671" spans="1:9" ht="33.75" customHeight="1" x14ac:dyDescent="0.25">
      <c r="A671" s="3" t="s">
        <v>2743</v>
      </c>
      <c r="B671" s="3" t="s">
        <v>2742</v>
      </c>
      <c r="C671" s="3" t="s">
        <v>4937</v>
      </c>
      <c r="D671" s="3" t="s">
        <v>7188</v>
      </c>
      <c r="E671" s="3" t="s">
        <v>7189</v>
      </c>
      <c r="F671" s="3">
        <v>4</v>
      </c>
      <c r="G671" s="3" t="s">
        <v>7158</v>
      </c>
      <c r="H671" s="3">
        <v>0.27</v>
      </c>
      <c r="I671" s="3">
        <v>1.08</v>
      </c>
    </row>
    <row r="672" spans="1:9" ht="33.75" customHeight="1" x14ac:dyDescent="0.25">
      <c r="A672" s="2" t="s">
        <v>2743</v>
      </c>
      <c r="B672" s="2" t="s">
        <v>2742</v>
      </c>
      <c r="C672" s="2" t="s">
        <v>4937</v>
      </c>
      <c r="D672" s="2" t="s">
        <v>7165</v>
      </c>
      <c r="E672" s="2" t="s">
        <v>7166</v>
      </c>
      <c r="F672" s="2">
        <v>2</v>
      </c>
      <c r="G672" s="2" t="s">
        <v>7158</v>
      </c>
      <c r="H672" s="2">
        <v>0.1</v>
      </c>
      <c r="I672" s="2">
        <v>0.2</v>
      </c>
    </row>
    <row r="673" spans="1:9" ht="22.5" customHeight="1" x14ac:dyDescent="0.25">
      <c r="A673" s="3" t="s">
        <v>1417</v>
      </c>
      <c r="B673" s="3" t="s">
        <v>5730</v>
      </c>
      <c r="C673" s="3" t="s">
        <v>4826</v>
      </c>
      <c r="D673" s="3" t="s">
        <v>7153</v>
      </c>
      <c r="E673" s="3" t="s">
        <v>7154</v>
      </c>
      <c r="F673" s="3">
        <v>14</v>
      </c>
      <c r="G673" s="3" t="s">
        <v>7155</v>
      </c>
      <c r="H673" s="3">
        <v>1.24E-2</v>
      </c>
      <c r="I673" s="3">
        <v>0.1736</v>
      </c>
    </row>
    <row r="674" spans="1:9" ht="33.75" customHeight="1" x14ac:dyDescent="0.25">
      <c r="A674" s="2" t="s">
        <v>1417</v>
      </c>
      <c r="B674" s="2" t="s">
        <v>5730</v>
      </c>
      <c r="C674" s="2" t="s">
        <v>4826</v>
      </c>
      <c r="D674" s="2" t="s">
        <v>7186</v>
      </c>
      <c r="E674" s="2" t="s">
        <v>7187</v>
      </c>
      <c r="F674" s="2">
        <v>1</v>
      </c>
      <c r="G674" s="2" t="s">
        <v>7158</v>
      </c>
      <c r="H674" s="2">
        <v>26</v>
      </c>
      <c r="I674" s="2">
        <v>26</v>
      </c>
    </row>
    <row r="675" spans="1:9" ht="22.5" customHeight="1" x14ac:dyDescent="0.25">
      <c r="A675" s="3" t="s">
        <v>1417</v>
      </c>
      <c r="B675" s="3" t="s">
        <v>5730</v>
      </c>
      <c r="C675" s="3" t="s">
        <v>4826</v>
      </c>
      <c r="D675" s="3" t="s">
        <v>7159</v>
      </c>
      <c r="E675" s="3" t="s">
        <v>7160</v>
      </c>
      <c r="F675" s="3">
        <v>20</v>
      </c>
      <c r="G675" s="3" t="s">
        <v>7155</v>
      </c>
      <c r="H675" s="3">
        <v>1.8319999999999999E-2</v>
      </c>
      <c r="I675" s="3">
        <v>0.3664</v>
      </c>
    </row>
    <row r="676" spans="1:9" ht="22.5" customHeight="1" x14ac:dyDescent="0.25">
      <c r="A676" s="2" t="s">
        <v>1417</v>
      </c>
      <c r="B676" s="2" t="s">
        <v>5730</v>
      </c>
      <c r="C676" s="2" t="s">
        <v>4826</v>
      </c>
      <c r="D676" s="2" t="s">
        <v>7190</v>
      </c>
      <c r="E676" s="2" t="s">
        <v>7191</v>
      </c>
      <c r="F676" s="2">
        <v>0.59699999999999998</v>
      </c>
      <c r="G676" s="2" t="s">
        <v>7163</v>
      </c>
      <c r="H676" s="2" t="s">
        <v>7164</v>
      </c>
      <c r="I676" s="2">
        <v>0.59699999999999998</v>
      </c>
    </row>
    <row r="677" spans="1:9" ht="33.75" customHeight="1" x14ac:dyDescent="0.25">
      <c r="A677" s="3" t="s">
        <v>1417</v>
      </c>
      <c r="B677" s="3" t="s">
        <v>5730</v>
      </c>
      <c r="C677" s="3" t="s">
        <v>4826</v>
      </c>
      <c r="D677" s="3" t="s">
        <v>7188</v>
      </c>
      <c r="E677" s="3" t="s">
        <v>7189</v>
      </c>
      <c r="F677" s="3">
        <v>4</v>
      </c>
      <c r="G677" s="3" t="s">
        <v>7158</v>
      </c>
      <c r="H677" s="3">
        <v>0.27</v>
      </c>
      <c r="I677" s="3">
        <v>1.08</v>
      </c>
    </row>
    <row r="678" spans="1:9" ht="33.75" customHeight="1" x14ac:dyDescent="0.25">
      <c r="A678" s="2" t="s">
        <v>1417</v>
      </c>
      <c r="B678" s="2" t="s">
        <v>5730</v>
      </c>
      <c r="C678" s="2" t="s">
        <v>4826</v>
      </c>
      <c r="D678" s="2" t="s">
        <v>7165</v>
      </c>
      <c r="E678" s="2" t="s">
        <v>7166</v>
      </c>
      <c r="F678" s="2">
        <v>4</v>
      </c>
      <c r="G678" s="2" t="s">
        <v>7158</v>
      </c>
      <c r="H678" s="2">
        <v>0.1</v>
      </c>
      <c r="I678" s="2">
        <v>0.4</v>
      </c>
    </row>
    <row r="679" spans="1:9" ht="22.5" customHeight="1" x14ac:dyDescent="0.25">
      <c r="A679" s="3" t="s">
        <v>3283</v>
      </c>
      <c r="B679" s="3" t="s">
        <v>3282</v>
      </c>
      <c r="C679" s="3" t="s">
        <v>4972</v>
      </c>
      <c r="D679" s="3" t="s">
        <v>7153</v>
      </c>
      <c r="E679" s="3" t="s">
        <v>7154</v>
      </c>
      <c r="F679" s="3">
        <v>14</v>
      </c>
      <c r="G679" s="3" t="s">
        <v>7155</v>
      </c>
      <c r="H679" s="3">
        <v>1.24E-2</v>
      </c>
      <c r="I679" s="3">
        <v>0.1736</v>
      </c>
    </row>
    <row r="680" spans="1:9" ht="33.75" customHeight="1" x14ac:dyDescent="0.25">
      <c r="A680" s="2" t="s">
        <v>3283</v>
      </c>
      <c r="B680" s="2" t="s">
        <v>3282</v>
      </c>
      <c r="C680" s="2" t="s">
        <v>4972</v>
      </c>
      <c r="D680" s="2" t="s">
        <v>7186</v>
      </c>
      <c r="E680" s="2" t="s">
        <v>7187</v>
      </c>
      <c r="F680" s="2">
        <v>1</v>
      </c>
      <c r="G680" s="2" t="s">
        <v>7158</v>
      </c>
      <c r="H680" s="2">
        <v>26</v>
      </c>
      <c r="I680" s="2">
        <v>26</v>
      </c>
    </row>
    <row r="681" spans="1:9" ht="22.5" customHeight="1" x14ac:dyDescent="0.25">
      <c r="A681" s="3" t="s">
        <v>3283</v>
      </c>
      <c r="B681" s="3" t="s">
        <v>3282</v>
      </c>
      <c r="C681" s="3" t="s">
        <v>4972</v>
      </c>
      <c r="D681" s="3" t="s">
        <v>7159</v>
      </c>
      <c r="E681" s="3" t="s">
        <v>7160</v>
      </c>
      <c r="F681" s="3">
        <v>20</v>
      </c>
      <c r="G681" s="3" t="s">
        <v>7155</v>
      </c>
      <c r="H681" s="3">
        <v>1.8319999999999999E-2</v>
      </c>
      <c r="I681" s="3">
        <v>0.3664</v>
      </c>
    </row>
    <row r="682" spans="1:9" ht="22.5" customHeight="1" x14ac:dyDescent="0.25">
      <c r="A682" s="2" t="s">
        <v>3283</v>
      </c>
      <c r="B682" s="2" t="s">
        <v>3282</v>
      </c>
      <c r="C682" s="2" t="s">
        <v>4972</v>
      </c>
      <c r="D682" s="2" t="s">
        <v>7161</v>
      </c>
      <c r="E682" s="2" t="s">
        <v>7162</v>
      </c>
      <c r="F682" s="2">
        <v>0.186</v>
      </c>
      <c r="G682" s="2" t="s">
        <v>7163</v>
      </c>
      <c r="H682" s="2" t="s">
        <v>7164</v>
      </c>
      <c r="I682" s="2">
        <v>0.186</v>
      </c>
    </row>
    <row r="683" spans="1:9" ht="33.75" customHeight="1" x14ac:dyDescent="0.25">
      <c r="A683" s="3" t="s">
        <v>3283</v>
      </c>
      <c r="B683" s="3" t="s">
        <v>3282</v>
      </c>
      <c r="C683" s="3" t="s">
        <v>4972</v>
      </c>
      <c r="D683" s="3" t="s">
        <v>7188</v>
      </c>
      <c r="E683" s="3" t="s">
        <v>7189</v>
      </c>
      <c r="F683" s="3">
        <v>5</v>
      </c>
      <c r="G683" s="3" t="s">
        <v>7158</v>
      </c>
      <c r="H683" s="3">
        <v>0.27</v>
      </c>
      <c r="I683" s="3">
        <v>1.35</v>
      </c>
    </row>
    <row r="684" spans="1:9" ht="33.75" customHeight="1" x14ac:dyDescent="0.25">
      <c r="A684" s="2" t="s">
        <v>3283</v>
      </c>
      <c r="B684" s="2" t="s">
        <v>3282</v>
      </c>
      <c r="C684" s="2" t="s">
        <v>4972</v>
      </c>
      <c r="D684" s="2" t="s">
        <v>7165</v>
      </c>
      <c r="E684" s="2" t="s">
        <v>7166</v>
      </c>
      <c r="F684" s="2">
        <v>4</v>
      </c>
      <c r="G684" s="2" t="s">
        <v>7158</v>
      </c>
      <c r="H684" s="2">
        <v>0.1</v>
      </c>
      <c r="I684" s="2">
        <v>0.4</v>
      </c>
    </row>
    <row r="685" spans="1:9" ht="22.5" customHeight="1" x14ac:dyDescent="0.25">
      <c r="A685" s="3" t="s">
        <v>490</v>
      </c>
      <c r="B685" s="3" t="s">
        <v>489</v>
      </c>
      <c r="C685" s="3" t="s">
        <v>4748</v>
      </c>
      <c r="D685" s="3" t="s">
        <v>7156</v>
      </c>
      <c r="E685" s="3" t="s">
        <v>7157</v>
      </c>
      <c r="F685" s="3">
        <v>1</v>
      </c>
      <c r="G685" s="3" t="s">
        <v>7158</v>
      </c>
      <c r="H685" s="3">
        <v>26</v>
      </c>
      <c r="I685" s="3">
        <v>26</v>
      </c>
    </row>
    <row r="686" spans="1:9" ht="22.5" customHeight="1" x14ac:dyDescent="0.25">
      <c r="A686" s="2" t="s">
        <v>490</v>
      </c>
      <c r="B686" s="2" t="s">
        <v>489</v>
      </c>
      <c r="C686" s="2" t="s">
        <v>4748</v>
      </c>
      <c r="D686" s="2" t="s">
        <v>7159</v>
      </c>
      <c r="E686" s="2" t="s">
        <v>7160</v>
      </c>
      <c r="F686" s="2">
        <v>20</v>
      </c>
      <c r="G686" s="2" t="s">
        <v>7155</v>
      </c>
      <c r="H686" s="2">
        <v>1.8319999999999999E-2</v>
      </c>
      <c r="I686" s="2">
        <v>0.3664</v>
      </c>
    </row>
    <row r="687" spans="1:9" ht="22.5" customHeight="1" x14ac:dyDescent="0.25">
      <c r="A687" s="3" t="s">
        <v>490</v>
      </c>
      <c r="B687" s="3" t="s">
        <v>489</v>
      </c>
      <c r="C687" s="3" t="s">
        <v>4748</v>
      </c>
      <c r="D687" s="3" t="s">
        <v>7161</v>
      </c>
      <c r="E687" s="3" t="s">
        <v>7162</v>
      </c>
      <c r="F687" s="3">
        <v>0.186</v>
      </c>
      <c r="G687" s="3" t="s">
        <v>7163</v>
      </c>
      <c r="H687" s="3" t="s">
        <v>7164</v>
      </c>
      <c r="I687" s="3">
        <v>0.186</v>
      </c>
    </row>
    <row r="688" spans="1:9" ht="33.75" customHeight="1" x14ac:dyDescent="0.25">
      <c r="A688" s="2" t="s">
        <v>490</v>
      </c>
      <c r="B688" s="2" t="s">
        <v>489</v>
      </c>
      <c r="C688" s="2" t="s">
        <v>4748</v>
      </c>
      <c r="D688" s="2" t="s">
        <v>7212</v>
      </c>
      <c r="E688" s="2" t="s">
        <v>7213</v>
      </c>
      <c r="F688" s="2">
        <v>6</v>
      </c>
      <c r="G688" s="2" t="s">
        <v>7158</v>
      </c>
      <c r="H688" s="2">
        <v>0.21</v>
      </c>
      <c r="I688" s="2">
        <v>1.26</v>
      </c>
    </row>
    <row r="689" spans="1:9" ht="33.75" customHeight="1" x14ac:dyDescent="0.25">
      <c r="A689" s="3" t="s">
        <v>490</v>
      </c>
      <c r="B689" s="3" t="s">
        <v>489</v>
      </c>
      <c r="C689" s="3" t="s">
        <v>4748</v>
      </c>
      <c r="D689" s="3" t="s">
        <v>7167</v>
      </c>
      <c r="E689" s="3" t="s">
        <v>7168</v>
      </c>
      <c r="F689" s="3">
        <v>5</v>
      </c>
      <c r="G689" s="3" t="s">
        <v>7158</v>
      </c>
      <c r="H689" s="3">
        <v>0.2</v>
      </c>
      <c r="I689" s="3">
        <v>1</v>
      </c>
    </row>
    <row r="690" spans="1:9" ht="33.75" customHeight="1" x14ac:dyDescent="0.25">
      <c r="A690" s="2" t="s">
        <v>490</v>
      </c>
      <c r="B690" s="2" t="s">
        <v>489</v>
      </c>
      <c r="C690" s="2" t="s">
        <v>4748</v>
      </c>
      <c r="D690" s="2" t="s">
        <v>7245</v>
      </c>
      <c r="E690" s="2" t="s">
        <v>7246</v>
      </c>
      <c r="F690" s="2">
        <v>48</v>
      </c>
      <c r="G690" s="2" t="s">
        <v>7158</v>
      </c>
      <c r="H690" s="2">
        <v>0.33</v>
      </c>
      <c r="I690" s="2">
        <v>15.84</v>
      </c>
    </row>
    <row r="691" spans="1:9" ht="67.5" customHeight="1" x14ac:dyDescent="0.25">
      <c r="A691" s="3" t="s">
        <v>2391</v>
      </c>
      <c r="B691" s="3" t="s">
        <v>5752</v>
      </c>
      <c r="C691" s="3" t="s">
        <v>4912</v>
      </c>
      <c r="D691" s="3" t="s">
        <v>7251</v>
      </c>
      <c r="E691" s="3" t="s">
        <v>7252</v>
      </c>
      <c r="F691" s="3">
        <v>48</v>
      </c>
      <c r="G691" s="3" t="s">
        <v>7158</v>
      </c>
      <c r="H691" s="3">
        <v>6.4000000000000001E-2</v>
      </c>
      <c r="I691" s="3">
        <v>3.0720000000000001</v>
      </c>
    </row>
    <row r="692" spans="1:9" ht="67.5" customHeight="1" x14ac:dyDescent="0.25">
      <c r="A692" s="2" t="s">
        <v>2391</v>
      </c>
      <c r="B692" s="2" t="s">
        <v>5752</v>
      </c>
      <c r="C692" s="2" t="s">
        <v>4912</v>
      </c>
      <c r="D692" s="2" t="s">
        <v>7153</v>
      </c>
      <c r="E692" s="2" t="s">
        <v>7154</v>
      </c>
      <c r="F692" s="2">
        <v>7</v>
      </c>
      <c r="G692" s="2" t="s">
        <v>7155</v>
      </c>
      <c r="H692" s="2">
        <v>1.24E-2</v>
      </c>
      <c r="I692" s="2">
        <v>8.6800000000000002E-2</v>
      </c>
    </row>
    <row r="693" spans="1:9" ht="67.5" customHeight="1" x14ac:dyDescent="0.25">
      <c r="A693" s="3" t="s">
        <v>2391</v>
      </c>
      <c r="B693" s="3" t="s">
        <v>5752</v>
      </c>
      <c r="C693" s="3" t="s">
        <v>4912</v>
      </c>
      <c r="D693" s="3" t="s">
        <v>7156</v>
      </c>
      <c r="E693" s="3" t="s">
        <v>7157</v>
      </c>
      <c r="F693" s="3">
        <v>1</v>
      </c>
      <c r="G693" s="3" t="s">
        <v>7158</v>
      </c>
      <c r="H693" s="3">
        <v>26</v>
      </c>
      <c r="I693" s="3">
        <v>26</v>
      </c>
    </row>
    <row r="694" spans="1:9" ht="67.5" customHeight="1" x14ac:dyDescent="0.25">
      <c r="A694" s="2" t="s">
        <v>2391</v>
      </c>
      <c r="B694" s="2" t="s">
        <v>5752</v>
      </c>
      <c r="C694" s="2" t="s">
        <v>4912</v>
      </c>
      <c r="D694" s="2" t="s">
        <v>7159</v>
      </c>
      <c r="E694" s="2" t="s">
        <v>7160</v>
      </c>
      <c r="F694" s="2">
        <v>20</v>
      </c>
      <c r="G694" s="2" t="s">
        <v>7155</v>
      </c>
      <c r="H694" s="2">
        <v>1.8319999999999999E-2</v>
      </c>
      <c r="I694" s="2">
        <v>0.3664</v>
      </c>
    </row>
    <row r="695" spans="1:9" ht="67.5" customHeight="1" x14ac:dyDescent="0.25">
      <c r="A695" s="3" t="s">
        <v>2391</v>
      </c>
      <c r="B695" s="3" t="s">
        <v>5752</v>
      </c>
      <c r="C695" s="3" t="s">
        <v>4912</v>
      </c>
      <c r="D695" s="3" t="s">
        <v>7161</v>
      </c>
      <c r="E695" s="3" t="s">
        <v>7162</v>
      </c>
      <c r="F695" s="3">
        <v>0.186</v>
      </c>
      <c r="G695" s="3" t="s">
        <v>7163</v>
      </c>
      <c r="H695" s="3" t="s">
        <v>7164</v>
      </c>
      <c r="I695" s="3">
        <v>0.186</v>
      </c>
    </row>
    <row r="696" spans="1:9" ht="67.5" customHeight="1" x14ac:dyDescent="0.25">
      <c r="A696" s="2" t="s">
        <v>2391</v>
      </c>
      <c r="B696" s="2" t="s">
        <v>5752</v>
      </c>
      <c r="C696" s="2" t="s">
        <v>4912</v>
      </c>
      <c r="D696" s="2" t="s">
        <v>7207</v>
      </c>
      <c r="E696" s="2" t="s">
        <v>7208</v>
      </c>
      <c r="F696" s="2">
        <v>1.6759999999999999</v>
      </c>
      <c r="G696" s="2" t="s">
        <v>7163</v>
      </c>
      <c r="H696" s="2" t="s">
        <v>7164</v>
      </c>
      <c r="I696" s="2">
        <v>1.6759999999999999</v>
      </c>
    </row>
    <row r="697" spans="1:9" ht="67.5" customHeight="1" x14ac:dyDescent="0.25">
      <c r="A697" s="3" t="s">
        <v>2391</v>
      </c>
      <c r="B697" s="3" t="s">
        <v>5752</v>
      </c>
      <c r="C697" s="3" t="s">
        <v>4912</v>
      </c>
      <c r="D697" s="3" t="s">
        <v>7165</v>
      </c>
      <c r="E697" s="3" t="s">
        <v>7166</v>
      </c>
      <c r="F697" s="3">
        <v>2</v>
      </c>
      <c r="G697" s="3" t="s">
        <v>7158</v>
      </c>
      <c r="H697" s="3">
        <v>0.1</v>
      </c>
      <c r="I697" s="3">
        <v>0.2</v>
      </c>
    </row>
    <row r="698" spans="1:9" ht="67.5" customHeight="1" x14ac:dyDescent="0.25">
      <c r="A698" s="2" t="s">
        <v>2391</v>
      </c>
      <c r="B698" s="2" t="s">
        <v>5752</v>
      </c>
      <c r="C698" s="2" t="s">
        <v>4912</v>
      </c>
      <c r="D698" s="2" t="s">
        <v>7167</v>
      </c>
      <c r="E698" s="2" t="s">
        <v>7168</v>
      </c>
      <c r="F698" s="2">
        <v>4</v>
      </c>
      <c r="G698" s="2" t="s">
        <v>7158</v>
      </c>
      <c r="H698" s="2">
        <v>0.2</v>
      </c>
      <c r="I698" s="2">
        <v>0.8</v>
      </c>
    </row>
    <row r="699" spans="1:9" ht="22.5" customHeight="1" x14ac:dyDescent="0.25">
      <c r="A699" s="3" t="s">
        <v>1773</v>
      </c>
      <c r="B699" s="3" t="s">
        <v>1772</v>
      </c>
      <c r="C699" s="3" t="s">
        <v>4856</v>
      </c>
      <c r="D699" s="3" t="s">
        <v>7153</v>
      </c>
      <c r="E699" s="3" t="s">
        <v>7154</v>
      </c>
      <c r="F699" s="3">
        <v>14</v>
      </c>
      <c r="G699" s="3" t="s">
        <v>7155</v>
      </c>
      <c r="H699" s="3">
        <v>1.24E-2</v>
      </c>
      <c r="I699" s="3">
        <v>0.1736</v>
      </c>
    </row>
    <row r="700" spans="1:9" ht="22.5" customHeight="1" x14ac:dyDescent="0.25">
      <c r="A700" s="2" t="s">
        <v>1773</v>
      </c>
      <c r="B700" s="2" t="s">
        <v>1772</v>
      </c>
      <c r="C700" s="2" t="s">
        <v>4856</v>
      </c>
      <c r="D700" s="2" t="s">
        <v>7220</v>
      </c>
      <c r="E700" s="2" t="s">
        <v>7221</v>
      </c>
      <c r="F700" s="2">
        <v>24</v>
      </c>
      <c r="G700" s="2" t="s">
        <v>7158</v>
      </c>
      <c r="H700" s="2">
        <v>5.1999999999999998E-2</v>
      </c>
      <c r="I700" s="2">
        <v>1.248</v>
      </c>
    </row>
    <row r="701" spans="1:9" ht="22.5" customHeight="1" x14ac:dyDescent="0.25">
      <c r="A701" s="3" t="s">
        <v>1773</v>
      </c>
      <c r="B701" s="3" t="s">
        <v>1772</v>
      </c>
      <c r="C701" s="3" t="s">
        <v>4856</v>
      </c>
      <c r="D701" s="3" t="s">
        <v>7156</v>
      </c>
      <c r="E701" s="3" t="s">
        <v>7157</v>
      </c>
      <c r="F701" s="3">
        <v>1</v>
      </c>
      <c r="G701" s="3" t="s">
        <v>7158</v>
      </c>
      <c r="H701" s="3">
        <v>26</v>
      </c>
      <c r="I701" s="3">
        <v>26</v>
      </c>
    </row>
    <row r="702" spans="1:9" ht="22.5" customHeight="1" x14ac:dyDescent="0.25">
      <c r="A702" s="2" t="s">
        <v>1773</v>
      </c>
      <c r="B702" s="2" t="s">
        <v>1772</v>
      </c>
      <c r="C702" s="2" t="s">
        <v>4856</v>
      </c>
      <c r="D702" s="2" t="s">
        <v>7159</v>
      </c>
      <c r="E702" s="2" t="s">
        <v>7160</v>
      </c>
      <c r="F702" s="2">
        <v>20</v>
      </c>
      <c r="G702" s="2" t="s">
        <v>7155</v>
      </c>
      <c r="H702" s="2">
        <v>1.8319999999999999E-2</v>
      </c>
      <c r="I702" s="2">
        <v>0.3664</v>
      </c>
    </row>
    <row r="703" spans="1:9" ht="22.5" customHeight="1" x14ac:dyDescent="0.25">
      <c r="A703" s="3" t="s">
        <v>1773</v>
      </c>
      <c r="B703" s="3" t="s">
        <v>1772</v>
      </c>
      <c r="C703" s="3" t="s">
        <v>4856</v>
      </c>
      <c r="D703" s="3" t="s">
        <v>7161</v>
      </c>
      <c r="E703" s="3" t="s">
        <v>7162</v>
      </c>
      <c r="F703" s="3">
        <v>0.186</v>
      </c>
      <c r="G703" s="3" t="s">
        <v>7163</v>
      </c>
      <c r="H703" s="3" t="s">
        <v>7164</v>
      </c>
      <c r="I703" s="3">
        <v>0.186</v>
      </c>
    </row>
    <row r="704" spans="1:9" ht="33.75" customHeight="1" x14ac:dyDescent="0.25">
      <c r="A704" s="2" t="s">
        <v>1773</v>
      </c>
      <c r="B704" s="2" t="s">
        <v>1772</v>
      </c>
      <c r="C704" s="2" t="s">
        <v>4856</v>
      </c>
      <c r="D704" s="2" t="s">
        <v>7165</v>
      </c>
      <c r="E704" s="2" t="s">
        <v>7166</v>
      </c>
      <c r="F704" s="2">
        <v>4</v>
      </c>
      <c r="G704" s="2" t="s">
        <v>7158</v>
      </c>
      <c r="H704" s="2">
        <v>0.1</v>
      </c>
      <c r="I704" s="2">
        <v>0.4</v>
      </c>
    </row>
    <row r="705" spans="1:9" ht="33.75" customHeight="1" x14ac:dyDescent="0.25">
      <c r="A705" s="3" t="s">
        <v>1773</v>
      </c>
      <c r="B705" s="3" t="s">
        <v>1772</v>
      </c>
      <c r="C705" s="3" t="s">
        <v>4856</v>
      </c>
      <c r="D705" s="3" t="s">
        <v>7167</v>
      </c>
      <c r="E705" s="3" t="s">
        <v>7168</v>
      </c>
      <c r="F705" s="3">
        <v>4</v>
      </c>
      <c r="G705" s="3" t="s">
        <v>7158</v>
      </c>
      <c r="H705" s="3">
        <v>0.2</v>
      </c>
      <c r="I705" s="3">
        <v>0.8</v>
      </c>
    </row>
    <row r="706" spans="1:9" ht="22.5" customHeight="1" x14ac:dyDescent="0.25">
      <c r="A706" s="2" t="s">
        <v>3929</v>
      </c>
      <c r="B706" s="2" t="s">
        <v>3928</v>
      </c>
      <c r="C706" s="2" t="s">
        <v>5014</v>
      </c>
      <c r="D706" s="2" t="s">
        <v>7153</v>
      </c>
      <c r="E706" s="2" t="s">
        <v>7154</v>
      </c>
      <c r="F706" s="2">
        <v>14</v>
      </c>
      <c r="G706" s="2" t="s">
        <v>7155</v>
      </c>
      <c r="H706" s="2">
        <v>1.24E-2</v>
      </c>
      <c r="I706" s="2">
        <v>0.1736</v>
      </c>
    </row>
    <row r="707" spans="1:9" ht="22.5" customHeight="1" x14ac:dyDescent="0.25">
      <c r="A707" s="3" t="s">
        <v>3929</v>
      </c>
      <c r="B707" s="3" t="s">
        <v>3928</v>
      </c>
      <c r="C707" s="3" t="s">
        <v>5014</v>
      </c>
      <c r="D707" s="3" t="s">
        <v>7156</v>
      </c>
      <c r="E707" s="3" t="s">
        <v>7157</v>
      </c>
      <c r="F707" s="3">
        <v>1</v>
      </c>
      <c r="G707" s="3" t="s">
        <v>7158</v>
      </c>
      <c r="H707" s="3">
        <v>26</v>
      </c>
      <c r="I707" s="3">
        <v>26</v>
      </c>
    </row>
    <row r="708" spans="1:9" ht="22.5" customHeight="1" x14ac:dyDescent="0.25">
      <c r="A708" s="2" t="s">
        <v>3929</v>
      </c>
      <c r="B708" s="2" t="s">
        <v>3928</v>
      </c>
      <c r="C708" s="2" t="s">
        <v>5014</v>
      </c>
      <c r="D708" s="2" t="s">
        <v>7159</v>
      </c>
      <c r="E708" s="2" t="s">
        <v>7160</v>
      </c>
      <c r="F708" s="2">
        <v>20</v>
      </c>
      <c r="G708" s="2" t="s">
        <v>7155</v>
      </c>
      <c r="H708" s="2">
        <v>1.8319999999999999E-2</v>
      </c>
      <c r="I708" s="2">
        <v>0.3664</v>
      </c>
    </row>
    <row r="709" spans="1:9" ht="22.5" customHeight="1" x14ac:dyDescent="0.25">
      <c r="A709" s="3" t="s">
        <v>3929</v>
      </c>
      <c r="B709" s="3" t="s">
        <v>3928</v>
      </c>
      <c r="C709" s="3" t="s">
        <v>5014</v>
      </c>
      <c r="D709" s="3" t="s">
        <v>7161</v>
      </c>
      <c r="E709" s="3" t="s">
        <v>7162</v>
      </c>
      <c r="F709" s="3">
        <v>0.186</v>
      </c>
      <c r="G709" s="3" t="s">
        <v>7163</v>
      </c>
      <c r="H709" s="3" t="s">
        <v>7164</v>
      </c>
      <c r="I709" s="3">
        <v>0.186</v>
      </c>
    </row>
    <row r="710" spans="1:9" ht="22.5" customHeight="1" x14ac:dyDescent="0.25">
      <c r="A710" s="2" t="s">
        <v>3929</v>
      </c>
      <c r="B710" s="2" t="s">
        <v>3928</v>
      </c>
      <c r="C710" s="2" t="s">
        <v>5014</v>
      </c>
      <c r="D710" s="2" t="s">
        <v>7201</v>
      </c>
      <c r="E710" s="2" t="s">
        <v>7209</v>
      </c>
      <c r="F710" s="2">
        <v>1.92</v>
      </c>
      <c r="G710" s="2" t="s">
        <v>7163</v>
      </c>
      <c r="H710" s="2" t="s">
        <v>7164</v>
      </c>
      <c r="I710" s="2">
        <v>1.92</v>
      </c>
    </row>
    <row r="711" spans="1:9" ht="33.75" customHeight="1" x14ac:dyDescent="0.25">
      <c r="A711" s="3" t="s">
        <v>3929</v>
      </c>
      <c r="B711" s="3" t="s">
        <v>3928</v>
      </c>
      <c r="C711" s="3" t="s">
        <v>5014</v>
      </c>
      <c r="D711" s="3" t="s">
        <v>7165</v>
      </c>
      <c r="E711" s="3" t="s">
        <v>7166</v>
      </c>
      <c r="F711" s="3">
        <v>4</v>
      </c>
      <c r="G711" s="3" t="s">
        <v>7158</v>
      </c>
      <c r="H711" s="3">
        <v>0.1</v>
      </c>
      <c r="I711" s="3">
        <v>0.4</v>
      </c>
    </row>
    <row r="712" spans="1:9" ht="33.75" customHeight="1" x14ac:dyDescent="0.25">
      <c r="A712" s="2" t="s">
        <v>3929</v>
      </c>
      <c r="B712" s="2" t="s">
        <v>3928</v>
      </c>
      <c r="C712" s="2" t="s">
        <v>5014</v>
      </c>
      <c r="D712" s="2" t="s">
        <v>7167</v>
      </c>
      <c r="E712" s="2" t="s">
        <v>7168</v>
      </c>
      <c r="F712" s="2">
        <v>5</v>
      </c>
      <c r="G712" s="2" t="s">
        <v>7158</v>
      </c>
      <c r="H712" s="2">
        <v>0.2</v>
      </c>
      <c r="I712" s="2">
        <v>1</v>
      </c>
    </row>
    <row r="713" spans="1:9" ht="56.25" customHeight="1" x14ac:dyDescent="0.25">
      <c r="A713" s="3" t="s">
        <v>2153</v>
      </c>
      <c r="B713" s="3" t="s">
        <v>5774</v>
      </c>
      <c r="C713" s="3" t="s">
        <v>4888</v>
      </c>
      <c r="D713" s="3" t="s">
        <v>7153</v>
      </c>
      <c r="E713" s="3" t="s">
        <v>7154</v>
      </c>
      <c r="F713" s="3">
        <v>14</v>
      </c>
      <c r="G713" s="3" t="s">
        <v>7155</v>
      </c>
      <c r="H713" s="3">
        <v>1.24E-2</v>
      </c>
      <c r="I713" s="3">
        <v>0.1736</v>
      </c>
    </row>
    <row r="714" spans="1:9" ht="56.25" customHeight="1" x14ac:dyDescent="0.25">
      <c r="A714" s="2" t="s">
        <v>2153</v>
      </c>
      <c r="B714" s="2" t="s">
        <v>5774</v>
      </c>
      <c r="C714" s="2" t="s">
        <v>4888</v>
      </c>
      <c r="D714" s="2" t="s">
        <v>7156</v>
      </c>
      <c r="E714" s="2" t="s">
        <v>7157</v>
      </c>
      <c r="F714" s="2">
        <v>1</v>
      </c>
      <c r="G714" s="2" t="s">
        <v>7158</v>
      </c>
      <c r="H714" s="2">
        <v>26</v>
      </c>
      <c r="I714" s="2">
        <v>26</v>
      </c>
    </row>
    <row r="715" spans="1:9" ht="56.25" customHeight="1" x14ac:dyDescent="0.25">
      <c r="A715" s="3" t="s">
        <v>2153</v>
      </c>
      <c r="B715" s="3" t="s">
        <v>5774</v>
      </c>
      <c r="C715" s="3" t="s">
        <v>4888</v>
      </c>
      <c r="D715" s="3" t="s">
        <v>7159</v>
      </c>
      <c r="E715" s="3" t="s">
        <v>7160</v>
      </c>
      <c r="F715" s="3">
        <v>20</v>
      </c>
      <c r="G715" s="3" t="s">
        <v>7155</v>
      </c>
      <c r="H715" s="3">
        <v>1.8319999999999999E-2</v>
      </c>
      <c r="I715" s="3">
        <v>0.3664</v>
      </c>
    </row>
    <row r="716" spans="1:9" ht="56.25" customHeight="1" x14ac:dyDescent="0.25">
      <c r="A716" s="2" t="s">
        <v>2153</v>
      </c>
      <c r="B716" s="2" t="s">
        <v>5774</v>
      </c>
      <c r="C716" s="2" t="s">
        <v>4888</v>
      </c>
      <c r="D716" s="2" t="s">
        <v>7161</v>
      </c>
      <c r="E716" s="2" t="s">
        <v>7162</v>
      </c>
      <c r="F716" s="2">
        <v>0.186</v>
      </c>
      <c r="G716" s="2" t="s">
        <v>7163</v>
      </c>
      <c r="H716" s="2" t="s">
        <v>7164</v>
      </c>
      <c r="I716" s="2">
        <v>0.186</v>
      </c>
    </row>
    <row r="717" spans="1:9" ht="56.25" customHeight="1" x14ac:dyDescent="0.25">
      <c r="A717" s="3" t="s">
        <v>2153</v>
      </c>
      <c r="B717" s="3" t="s">
        <v>5774</v>
      </c>
      <c r="C717" s="3" t="s">
        <v>4888</v>
      </c>
      <c r="D717" s="3" t="s">
        <v>7165</v>
      </c>
      <c r="E717" s="3" t="s">
        <v>7166</v>
      </c>
      <c r="F717" s="3">
        <v>4</v>
      </c>
      <c r="G717" s="3" t="s">
        <v>7158</v>
      </c>
      <c r="H717" s="3">
        <v>0.1</v>
      </c>
      <c r="I717" s="3">
        <v>0.4</v>
      </c>
    </row>
    <row r="718" spans="1:9" ht="56.25" customHeight="1" x14ac:dyDescent="0.25">
      <c r="A718" s="2" t="s">
        <v>2153</v>
      </c>
      <c r="B718" s="2" t="s">
        <v>5774</v>
      </c>
      <c r="C718" s="2" t="s">
        <v>4888</v>
      </c>
      <c r="D718" s="2" t="s">
        <v>7167</v>
      </c>
      <c r="E718" s="2" t="s">
        <v>7168</v>
      </c>
      <c r="F718" s="2">
        <v>1</v>
      </c>
      <c r="G718" s="2" t="s">
        <v>7158</v>
      </c>
      <c r="H718" s="2">
        <v>0.2</v>
      </c>
      <c r="I718" s="2">
        <v>0.2</v>
      </c>
    </row>
    <row r="719" spans="1:9" ht="56.25" customHeight="1" x14ac:dyDescent="0.25">
      <c r="A719" s="3" t="s">
        <v>2153</v>
      </c>
      <c r="B719" s="3" t="s">
        <v>5774</v>
      </c>
      <c r="C719" s="3" t="s">
        <v>4888</v>
      </c>
      <c r="D719" s="3" t="s">
        <v>7169</v>
      </c>
      <c r="E719" s="3" t="s">
        <v>7170</v>
      </c>
      <c r="F719" s="3">
        <v>3</v>
      </c>
      <c r="G719" s="3" t="s">
        <v>7158</v>
      </c>
      <c r="H719" s="3">
        <v>1</v>
      </c>
      <c r="I719" s="3">
        <v>3</v>
      </c>
    </row>
    <row r="720" spans="1:9" ht="22.5" customHeight="1" x14ac:dyDescent="0.25">
      <c r="A720" s="2" t="s">
        <v>2526</v>
      </c>
      <c r="B720" s="2" t="s">
        <v>5782</v>
      </c>
      <c r="C720" s="2" t="s">
        <v>4924</v>
      </c>
      <c r="D720" s="2" t="s">
        <v>7153</v>
      </c>
      <c r="E720" s="2" t="s">
        <v>7154</v>
      </c>
      <c r="F720" s="2">
        <v>14</v>
      </c>
      <c r="G720" s="2" t="s">
        <v>7155</v>
      </c>
      <c r="H720" s="2">
        <v>1.24E-2</v>
      </c>
      <c r="I720" s="2">
        <v>0.1736</v>
      </c>
    </row>
    <row r="721" spans="1:9" ht="22.5" customHeight="1" x14ac:dyDescent="0.25">
      <c r="A721" s="3" t="s">
        <v>2526</v>
      </c>
      <c r="B721" s="3" t="s">
        <v>5782</v>
      </c>
      <c r="C721" s="3" t="s">
        <v>4924</v>
      </c>
      <c r="D721" s="3" t="s">
        <v>7228</v>
      </c>
      <c r="E721" s="3" t="s">
        <v>7253</v>
      </c>
      <c r="F721" s="3">
        <v>3</v>
      </c>
      <c r="G721" s="3" t="s">
        <v>7158</v>
      </c>
      <c r="H721" s="3">
        <v>0.06</v>
      </c>
      <c r="I721" s="3">
        <v>0.18</v>
      </c>
    </row>
    <row r="722" spans="1:9" ht="22.5" customHeight="1" x14ac:dyDescent="0.25">
      <c r="A722" s="2" t="s">
        <v>2526</v>
      </c>
      <c r="B722" s="2" t="s">
        <v>5782</v>
      </c>
      <c r="C722" s="2" t="s">
        <v>4924</v>
      </c>
      <c r="D722" s="2" t="s">
        <v>7156</v>
      </c>
      <c r="E722" s="2" t="s">
        <v>7157</v>
      </c>
      <c r="F722" s="2">
        <v>1</v>
      </c>
      <c r="G722" s="2" t="s">
        <v>7158</v>
      </c>
      <c r="H722" s="2">
        <v>26</v>
      </c>
      <c r="I722" s="2">
        <v>26</v>
      </c>
    </row>
    <row r="723" spans="1:9" ht="22.5" customHeight="1" x14ac:dyDescent="0.25">
      <c r="A723" s="3" t="s">
        <v>2526</v>
      </c>
      <c r="B723" s="3" t="s">
        <v>5782</v>
      </c>
      <c r="C723" s="3" t="s">
        <v>4924</v>
      </c>
      <c r="D723" s="3" t="s">
        <v>7159</v>
      </c>
      <c r="E723" s="3" t="s">
        <v>7160</v>
      </c>
      <c r="F723" s="3">
        <v>20</v>
      </c>
      <c r="G723" s="3" t="s">
        <v>7155</v>
      </c>
      <c r="H723" s="3">
        <v>1.8319999999999999E-2</v>
      </c>
      <c r="I723" s="3">
        <v>0.3664</v>
      </c>
    </row>
    <row r="724" spans="1:9" ht="22.5" customHeight="1" x14ac:dyDescent="0.25">
      <c r="A724" s="2" t="s">
        <v>2526</v>
      </c>
      <c r="B724" s="2" t="s">
        <v>5782</v>
      </c>
      <c r="C724" s="2" t="s">
        <v>4924</v>
      </c>
      <c r="D724" s="2" t="s">
        <v>7161</v>
      </c>
      <c r="E724" s="2" t="s">
        <v>7162</v>
      </c>
      <c r="F724" s="2">
        <v>0.186</v>
      </c>
      <c r="G724" s="2" t="s">
        <v>7163</v>
      </c>
      <c r="H724" s="2" t="s">
        <v>7164</v>
      </c>
      <c r="I724" s="2">
        <v>0.186</v>
      </c>
    </row>
    <row r="725" spans="1:9" ht="33.75" customHeight="1" x14ac:dyDescent="0.25">
      <c r="A725" s="3" t="s">
        <v>2526</v>
      </c>
      <c r="B725" s="3" t="s">
        <v>5782</v>
      </c>
      <c r="C725" s="3" t="s">
        <v>4924</v>
      </c>
      <c r="D725" s="3" t="s">
        <v>7165</v>
      </c>
      <c r="E725" s="3" t="s">
        <v>7166</v>
      </c>
      <c r="F725" s="3">
        <v>4</v>
      </c>
      <c r="G725" s="3" t="s">
        <v>7158</v>
      </c>
      <c r="H725" s="3">
        <v>0.1</v>
      </c>
      <c r="I725" s="3">
        <v>0.4</v>
      </c>
    </row>
    <row r="726" spans="1:9" ht="33.75" customHeight="1" x14ac:dyDescent="0.25">
      <c r="A726" s="2" t="s">
        <v>2526</v>
      </c>
      <c r="B726" s="2" t="s">
        <v>5782</v>
      </c>
      <c r="C726" s="2" t="s">
        <v>4924</v>
      </c>
      <c r="D726" s="2" t="s">
        <v>7167</v>
      </c>
      <c r="E726" s="2" t="s">
        <v>7168</v>
      </c>
      <c r="F726" s="2">
        <v>1</v>
      </c>
      <c r="G726" s="2" t="s">
        <v>7158</v>
      </c>
      <c r="H726" s="2">
        <v>0.2</v>
      </c>
      <c r="I726" s="2">
        <v>0.2</v>
      </c>
    </row>
    <row r="727" spans="1:9" ht="78.75" customHeight="1" x14ac:dyDescent="0.25">
      <c r="A727" s="3" t="s">
        <v>1781</v>
      </c>
      <c r="B727" s="3" t="s">
        <v>5790</v>
      </c>
      <c r="C727" s="3" t="s">
        <v>4858</v>
      </c>
      <c r="D727" s="3" t="s">
        <v>7153</v>
      </c>
      <c r="E727" s="3" t="s">
        <v>7154</v>
      </c>
      <c r="F727" s="3">
        <v>14</v>
      </c>
      <c r="G727" s="3" t="s">
        <v>7155</v>
      </c>
      <c r="H727" s="3">
        <v>1.24E-2</v>
      </c>
      <c r="I727" s="3">
        <v>0.1736</v>
      </c>
    </row>
    <row r="728" spans="1:9" ht="78.75" customHeight="1" x14ac:dyDescent="0.25">
      <c r="A728" s="2" t="s">
        <v>1781</v>
      </c>
      <c r="B728" s="2" t="s">
        <v>5790</v>
      </c>
      <c r="C728" s="2" t="s">
        <v>4858</v>
      </c>
      <c r="D728" s="2" t="s">
        <v>7156</v>
      </c>
      <c r="E728" s="2" t="s">
        <v>7157</v>
      </c>
      <c r="F728" s="2">
        <v>1</v>
      </c>
      <c r="G728" s="2" t="s">
        <v>7158</v>
      </c>
      <c r="H728" s="2">
        <v>26</v>
      </c>
      <c r="I728" s="2">
        <v>26</v>
      </c>
    </row>
    <row r="729" spans="1:9" ht="78.75" customHeight="1" x14ac:dyDescent="0.25">
      <c r="A729" s="3" t="s">
        <v>1781</v>
      </c>
      <c r="B729" s="3" t="s">
        <v>5790</v>
      </c>
      <c r="C729" s="3" t="s">
        <v>4858</v>
      </c>
      <c r="D729" s="3" t="s">
        <v>7159</v>
      </c>
      <c r="E729" s="3" t="s">
        <v>7160</v>
      </c>
      <c r="F729" s="3">
        <v>20</v>
      </c>
      <c r="G729" s="3" t="s">
        <v>7155</v>
      </c>
      <c r="H729" s="3">
        <v>1.8319999999999999E-2</v>
      </c>
      <c r="I729" s="3">
        <v>0.3664</v>
      </c>
    </row>
    <row r="730" spans="1:9" ht="78.75" customHeight="1" x14ac:dyDescent="0.25">
      <c r="A730" s="2" t="s">
        <v>1781</v>
      </c>
      <c r="B730" s="2" t="s">
        <v>5790</v>
      </c>
      <c r="C730" s="2" t="s">
        <v>4858</v>
      </c>
      <c r="D730" s="2" t="s">
        <v>7161</v>
      </c>
      <c r="E730" s="2" t="s">
        <v>7162</v>
      </c>
      <c r="F730" s="2">
        <v>0.186</v>
      </c>
      <c r="G730" s="2" t="s">
        <v>7163</v>
      </c>
      <c r="H730" s="2" t="s">
        <v>7164</v>
      </c>
      <c r="I730" s="2">
        <v>0.186</v>
      </c>
    </row>
    <row r="731" spans="1:9" ht="78.75" customHeight="1" x14ac:dyDescent="0.25">
      <c r="A731" s="3" t="s">
        <v>1781</v>
      </c>
      <c r="B731" s="3" t="s">
        <v>5790</v>
      </c>
      <c r="C731" s="3" t="s">
        <v>4858</v>
      </c>
      <c r="D731" s="3" t="s">
        <v>7165</v>
      </c>
      <c r="E731" s="3" t="s">
        <v>7166</v>
      </c>
      <c r="F731" s="3">
        <v>4</v>
      </c>
      <c r="G731" s="3" t="s">
        <v>7158</v>
      </c>
      <c r="H731" s="3">
        <v>0.1</v>
      </c>
      <c r="I731" s="3">
        <v>0.4</v>
      </c>
    </row>
    <row r="732" spans="1:9" ht="78.75" customHeight="1" x14ac:dyDescent="0.25">
      <c r="A732" s="2" t="s">
        <v>1781</v>
      </c>
      <c r="B732" s="2" t="s">
        <v>5790</v>
      </c>
      <c r="C732" s="2" t="s">
        <v>4858</v>
      </c>
      <c r="D732" s="2" t="s">
        <v>7167</v>
      </c>
      <c r="E732" s="2" t="s">
        <v>7168</v>
      </c>
      <c r="F732" s="2">
        <v>4</v>
      </c>
      <c r="G732" s="2" t="s">
        <v>7158</v>
      </c>
      <c r="H732" s="2">
        <v>0.2</v>
      </c>
      <c r="I732" s="2">
        <v>0.8</v>
      </c>
    </row>
    <row r="733" spans="1:9" ht="33.75" customHeight="1" x14ac:dyDescent="0.25">
      <c r="A733" s="3" t="s">
        <v>3547</v>
      </c>
      <c r="B733" s="3" t="s">
        <v>5796</v>
      </c>
      <c r="C733" s="3" t="s">
        <v>4986</v>
      </c>
      <c r="D733" s="3" t="s">
        <v>7153</v>
      </c>
      <c r="E733" s="3" t="s">
        <v>7154</v>
      </c>
      <c r="F733" s="3">
        <v>14</v>
      </c>
      <c r="G733" s="3" t="s">
        <v>7155</v>
      </c>
      <c r="H733" s="3">
        <v>1.24E-2</v>
      </c>
      <c r="I733" s="3">
        <v>0.1736</v>
      </c>
    </row>
    <row r="734" spans="1:9" ht="33.75" customHeight="1" x14ac:dyDescent="0.25">
      <c r="A734" s="2" t="s">
        <v>3547</v>
      </c>
      <c r="B734" s="2" t="s">
        <v>5796</v>
      </c>
      <c r="C734" s="2" t="s">
        <v>4986</v>
      </c>
      <c r="D734" s="2" t="s">
        <v>7156</v>
      </c>
      <c r="E734" s="2" t="s">
        <v>7157</v>
      </c>
      <c r="F734" s="2">
        <v>1</v>
      </c>
      <c r="G734" s="2" t="s">
        <v>7158</v>
      </c>
      <c r="H734" s="2">
        <v>26</v>
      </c>
      <c r="I734" s="2">
        <v>26</v>
      </c>
    </row>
    <row r="735" spans="1:9" ht="33.75" customHeight="1" x14ac:dyDescent="0.25">
      <c r="A735" s="3" t="s">
        <v>3547</v>
      </c>
      <c r="B735" s="3" t="s">
        <v>5796</v>
      </c>
      <c r="C735" s="3" t="s">
        <v>4986</v>
      </c>
      <c r="D735" s="3" t="s">
        <v>7159</v>
      </c>
      <c r="E735" s="3" t="s">
        <v>7160</v>
      </c>
      <c r="F735" s="3">
        <v>20</v>
      </c>
      <c r="G735" s="3" t="s">
        <v>7155</v>
      </c>
      <c r="H735" s="3">
        <v>1.8319999999999999E-2</v>
      </c>
      <c r="I735" s="3">
        <v>0.3664</v>
      </c>
    </row>
    <row r="736" spans="1:9" ht="33.75" customHeight="1" x14ac:dyDescent="0.25">
      <c r="A736" s="2" t="s">
        <v>3547</v>
      </c>
      <c r="B736" s="2" t="s">
        <v>5796</v>
      </c>
      <c r="C736" s="2" t="s">
        <v>4986</v>
      </c>
      <c r="D736" s="2" t="s">
        <v>7161</v>
      </c>
      <c r="E736" s="2" t="s">
        <v>7162</v>
      </c>
      <c r="F736" s="2">
        <v>0.186</v>
      </c>
      <c r="G736" s="2" t="s">
        <v>7163</v>
      </c>
      <c r="H736" s="2" t="s">
        <v>7164</v>
      </c>
      <c r="I736" s="2">
        <v>0.186</v>
      </c>
    </row>
    <row r="737" spans="1:9" ht="33.75" customHeight="1" x14ac:dyDescent="0.25">
      <c r="A737" s="3" t="s">
        <v>3547</v>
      </c>
      <c r="B737" s="3" t="s">
        <v>5796</v>
      </c>
      <c r="C737" s="3" t="s">
        <v>4986</v>
      </c>
      <c r="D737" s="3" t="s">
        <v>7165</v>
      </c>
      <c r="E737" s="3" t="s">
        <v>7166</v>
      </c>
      <c r="F737" s="3">
        <v>4</v>
      </c>
      <c r="G737" s="3" t="s">
        <v>7158</v>
      </c>
      <c r="H737" s="3">
        <v>0.1</v>
      </c>
      <c r="I737" s="3">
        <v>0.4</v>
      </c>
    </row>
    <row r="738" spans="1:9" ht="33.75" customHeight="1" x14ac:dyDescent="0.25">
      <c r="A738" s="2" t="s">
        <v>3547</v>
      </c>
      <c r="B738" s="2" t="s">
        <v>5796</v>
      </c>
      <c r="C738" s="2" t="s">
        <v>4986</v>
      </c>
      <c r="D738" s="2" t="s">
        <v>7167</v>
      </c>
      <c r="E738" s="2" t="s">
        <v>7168</v>
      </c>
      <c r="F738" s="2">
        <v>5</v>
      </c>
      <c r="G738" s="2" t="s">
        <v>7158</v>
      </c>
      <c r="H738" s="2">
        <v>0.2</v>
      </c>
      <c r="I738" s="2">
        <v>1</v>
      </c>
    </row>
    <row r="739" spans="1:9" ht="135" customHeight="1" x14ac:dyDescent="0.25">
      <c r="A739" s="3" t="s">
        <v>372</v>
      </c>
      <c r="B739" s="3" t="s">
        <v>5804</v>
      </c>
      <c r="C739" s="3" t="s">
        <v>4720</v>
      </c>
      <c r="D739" s="3" t="s">
        <v>7153</v>
      </c>
      <c r="E739" s="3" t="s">
        <v>7154</v>
      </c>
      <c r="F739" s="3">
        <v>7</v>
      </c>
      <c r="G739" s="3" t="s">
        <v>7155</v>
      </c>
      <c r="H739" s="3">
        <v>1.24E-2</v>
      </c>
      <c r="I739" s="3">
        <v>8.6800000000000002E-2</v>
      </c>
    </row>
    <row r="740" spans="1:9" ht="135" customHeight="1" x14ac:dyDescent="0.25">
      <c r="A740" s="2" t="s">
        <v>372</v>
      </c>
      <c r="B740" s="2" t="s">
        <v>5804</v>
      </c>
      <c r="C740" s="2" t="s">
        <v>4720</v>
      </c>
      <c r="D740" s="2" t="s">
        <v>7254</v>
      </c>
      <c r="E740" s="2" t="s">
        <v>7255</v>
      </c>
      <c r="F740" s="2">
        <v>48</v>
      </c>
      <c r="G740" s="2" t="s">
        <v>7158</v>
      </c>
      <c r="H740" s="2">
        <v>6.2399999999999997E-2</v>
      </c>
      <c r="I740" s="2">
        <v>2.9952000000000001</v>
      </c>
    </row>
    <row r="741" spans="1:9" ht="135" customHeight="1" x14ac:dyDescent="0.25">
      <c r="A741" s="3" t="s">
        <v>372</v>
      </c>
      <c r="B741" s="3" t="s">
        <v>5804</v>
      </c>
      <c r="C741" s="3" t="s">
        <v>4720</v>
      </c>
      <c r="D741" s="3" t="s">
        <v>7156</v>
      </c>
      <c r="E741" s="3" t="s">
        <v>7157</v>
      </c>
      <c r="F741" s="3">
        <v>1</v>
      </c>
      <c r="G741" s="3" t="s">
        <v>7158</v>
      </c>
      <c r="H741" s="3">
        <v>26</v>
      </c>
      <c r="I741" s="3">
        <v>26</v>
      </c>
    </row>
    <row r="742" spans="1:9" ht="135" customHeight="1" x14ac:dyDescent="0.25">
      <c r="A742" s="2" t="s">
        <v>372</v>
      </c>
      <c r="B742" s="2" t="s">
        <v>5804</v>
      </c>
      <c r="C742" s="2" t="s">
        <v>4720</v>
      </c>
      <c r="D742" s="2" t="s">
        <v>7159</v>
      </c>
      <c r="E742" s="2" t="s">
        <v>7160</v>
      </c>
      <c r="F742" s="2">
        <v>20</v>
      </c>
      <c r="G742" s="2" t="s">
        <v>7155</v>
      </c>
      <c r="H742" s="2">
        <v>1.8319999999999999E-2</v>
      </c>
      <c r="I742" s="2">
        <v>0.3664</v>
      </c>
    </row>
    <row r="743" spans="1:9" ht="135" customHeight="1" x14ac:dyDescent="0.25">
      <c r="A743" s="3" t="s">
        <v>372</v>
      </c>
      <c r="B743" s="3" t="s">
        <v>5804</v>
      </c>
      <c r="C743" s="3" t="s">
        <v>4720</v>
      </c>
      <c r="D743" s="3" t="s">
        <v>7161</v>
      </c>
      <c r="E743" s="3" t="s">
        <v>7162</v>
      </c>
      <c r="F743" s="3">
        <v>0.186</v>
      </c>
      <c r="G743" s="3" t="s">
        <v>7163</v>
      </c>
      <c r="H743" s="3" t="s">
        <v>7164</v>
      </c>
      <c r="I743" s="3">
        <v>0.186</v>
      </c>
    </row>
    <row r="744" spans="1:9" ht="135" customHeight="1" x14ac:dyDescent="0.25">
      <c r="A744" s="2" t="s">
        <v>372</v>
      </c>
      <c r="B744" s="2" t="s">
        <v>5804</v>
      </c>
      <c r="C744" s="2" t="s">
        <v>4720</v>
      </c>
      <c r="D744" s="2" t="s">
        <v>7226</v>
      </c>
      <c r="E744" s="2" t="s">
        <v>7227</v>
      </c>
      <c r="F744" s="2">
        <v>2.218</v>
      </c>
      <c r="G744" s="2" t="s">
        <v>7163</v>
      </c>
      <c r="H744" s="2" t="s">
        <v>7164</v>
      </c>
      <c r="I744" s="2">
        <v>2.218</v>
      </c>
    </row>
    <row r="745" spans="1:9" ht="135" customHeight="1" x14ac:dyDescent="0.25">
      <c r="A745" s="3" t="s">
        <v>372</v>
      </c>
      <c r="B745" s="3" t="s">
        <v>5804</v>
      </c>
      <c r="C745" s="3" t="s">
        <v>4720</v>
      </c>
      <c r="D745" s="3" t="s">
        <v>7165</v>
      </c>
      <c r="E745" s="3" t="s">
        <v>7166</v>
      </c>
      <c r="F745" s="3">
        <v>2</v>
      </c>
      <c r="G745" s="3" t="s">
        <v>7158</v>
      </c>
      <c r="H745" s="3">
        <v>0.1</v>
      </c>
      <c r="I745" s="3">
        <v>0.2</v>
      </c>
    </row>
    <row r="746" spans="1:9" ht="135" customHeight="1" x14ac:dyDescent="0.25">
      <c r="A746" s="2" t="s">
        <v>372</v>
      </c>
      <c r="B746" s="2" t="s">
        <v>5804</v>
      </c>
      <c r="C746" s="2" t="s">
        <v>4720</v>
      </c>
      <c r="D746" s="2" t="s">
        <v>7167</v>
      </c>
      <c r="E746" s="2" t="s">
        <v>7168</v>
      </c>
      <c r="F746" s="2">
        <v>4</v>
      </c>
      <c r="G746" s="2" t="s">
        <v>7158</v>
      </c>
      <c r="H746" s="2">
        <v>0.2</v>
      </c>
      <c r="I746" s="2">
        <v>0.8</v>
      </c>
    </row>
    <row r="747" spans="1:9" ht="157.5" customHeight="1" x14ac:dyDescent="0.25">
      <c r="A747" s="3" t="s">
        <v>277</v>
      </c>
      <c r="B747" s="3" t="s">
        <v>5812</v>
      </c>
      <c r="C747" s="3" t="s">
        <v>4696</v>
      </c>
      <c r="D747" s="3" t="s">
        <v>7153</v>
      </c>
      <c r="E747" s="3" t="s">
        <v>7154</v>
      </c>
      <c r="F747" s="3">
        <v>7</v>
      </c>
      <c r="G747" s="3" t="s">
        <v>7155</v>
      </c>
      <c r="H747" s="3">
        <v>1.24E-2</v>
      </c>
      <c r="I747" s="3">
        <v>8.6800000000000002E-2</v>
      </c>
    </row>
    <row r="748" spans="1:9" ht="157.5" customHeight="1" x14ac:dyDescent="0.25">
      <c r="A748" s="2" t="s">
        <v>277</v>
      </c>
      <c r="B748" s="2" t="s">
        <v>5812</v>
      </c>
      <c r="C748" s="2" t="s">
        <v>4696</v>
      </c>
      <c r="D748" s="2" t="s">
        <v>7156</v>
      </c>
      <c r="E748" s="2" t="s">
        <v>7157</v>
      </c>
      <c r="F748" s="2">
        <v>1</v>
      </c>
      <c r="G748" s="2" t="s">
        <v>7158</v>
      </c>
      <c r="H748" s="2">
        <v>26</v>
      </c>
      <c r="I748" s="2">
        <v>26</v>
      </c>
    </row>
    <row r="749" spans="1:9" ht="157.5" customHeight="1" x14ac:dyDescent="0.25">
      <c r="A749" s="3" t="s">
        <v>277</v>
      </c>
      <c r="B749" s="3" t="s">
        <v>5812</v>
      </c>
      <c r="C749" s="3" t="s">
        <v>4696</v>
      </c>
      <c r="D749" s="3" t="s">
        <v>7159</v>
      </c>
      <c r="E749" s="3" t="s">
        <v>7160</v>
      </c>
      <c r="F749" s="3">
        <v>20</v>
      </c>
      <c r="G749" s="3" t="s">
        <v>7155</v>
      </c>
      <c r="H749" s="3">
        <v>1.8319999999999999E-2</v>
      </c>
      <c r="I749" s="3">
        <v>0.3664</v>
      </c>
    </row>
    <row r="750" spans="1:9" ht="157.5" customHeight="1" x14ac:dyDescent="0.25">
      <c r="A750" s="2" t="s">
        <v>277</v>
      </c>
      <c r="B750" s="2" t="s">
        <v>5812</v>
      </c>
      <c r="C750" s="2" t="s">
        <v>4696</v>
      </c>
      <c r="D750" s="2" t="s">
        <v>7161</v>
      </c>
      <c r="E750" s="2" t="s">
        <v>7162</v>
      </c>
      <c r="F750" s="2">
        <v>0.186</v>
      </c>
      <c r="G750" s="2" t="s">
        <v>7163</v>
      </c>
      <c r="H750" s="2" t="s">
        <v>7164</v>
      </c>
      <c r="I750" s="2">
        <v>0.186</v>
      </c>
    </row>
    <row r="751" spans="1:9" ht="157.5" customHeight="1" x14ac:dyDescent="0.25">
      <c r="A751" s="3" t="s">
        <v>277</v>
      </c>
      <c r="B751" s="3" t="s">
        <v>5812</v>
      </c>
      <c r="C751" s="3" t="s">
        <v>4696</v>
      </c>
      <c r="D751" s="3" t="s">
        <v>7201</v>
      </c>
      <c r="E751" s="3" t="s">
        <v>7209</v>
      </c>
      <c r="F751" s="3">
        <v>1.92</v>
      </c>
      <c r="G751" s="3" t="s">
        <v>7163</v>
      </c>
      <c r="H751" s="3" t="s">
        <v>7164</v>
      </c>
      <c r="I751" s="3">
        <v>1.92</v>
      </c>
    </row>
    <row r="752" spans="1:9" ht="157.5" customHeight="1" x14ac:dyDescent="0.25">
      <c r="A752" s="2" t="s">
        <v>277</v>
      </c>
      <c r="B752" s="2" t="s">
        <v>5812</v>
      </c>
      <c r="C752" s="2" t="s">
        <v>4696</v>
      </c>
      <c r="D752" s="2" t="s">
        <v>7165</v>
      </c>
      <c r="E752" s="2" t="s">
        <v>7166</v>
      </c>
      <c r="F752" s="2">
        <v>2</v>
      </c>
      <c r="G752" s="2" t="s">
        <v>7158</v>
      </c>
      <c r="H752" s="2">
        <v>0.1</v>
      </c>
      <c r="I752" s="2">
        <v>0.2</v>
      </c>
    </row>
    <row r="753" spans="1:9" ht="157.5" customHeight="1" x14ac:dyDescent="0.25">
      <c r="A753" s="3" t="s">
        <v>277</v>
      </c>
      <c r="B753" s="3" t="s">
        <v>5812</v>
      </c>
      <c r="C753" s="3" t="s">
        <v>4696</v>
      </c>
      <c r="D753" s="3" t="s">
        <v>7167</v>
      </c>
      <c r="E753" s="3" t="s">
        <v>7168</v>
      </c>
      <c r="F753" s="3">
        <v>5</v>
      </c>
      <c r="G753" s="3" t="s">
        <v>7158</v>
      </c>
      <c r="H753" s="3">
        <v>0.2</v>
      </c>
      <c r="I753" s="3">
        <v>1</v>
      </c>
    </row>
    <row r="754" spans="1:9" ht="22.5" customHeight="1" x14ac:dyDescent="0.25">
      <c r="A754" s="2" t="s">
        <v>3356</v>
      </c>
      <c r="B754" s="2" t="s">
        <v>3355</v>
      </c>
      <c r="C754" s="2" t="s">
        <v>4982</v>
      </c>
      <c r="D754" s="2" t="s">
        <v>7153</v>
      </c>
      <c r="E754" s="2" t="s">
        <v>7154</v>
      </c>
      <c r="F754" s="2">
        <v>7</v>
      </c>
      <c r="G754" s="2" t="s">
        <v>7155</v>
      </c>
      <c r="H754" s="2">
        <v>1.24E-2</v>
      </c>
      <c r="I754" s="2">
        <v>8.6800000000000002E-2</v>
      </c>
    </row>
    <row r="755" spans="1:9" ht="22.5" customHeight="1" x14ac:dyDescent="0.25">
      <c r="A755" s="3" t="s">
        <v>3356</v>
      </c>
      <c r="B755" s="3" t="s">
        <v>3355</v>
      </c>
      <c r="C755" s="3" t="s">
        <v>4982</v>
      </c>
      <c r="D755" s="3" t="s">
        <v>7228</v>
      </c>
      <c r="E755" s="3" t="s">
        <v>7253</v>
      </c>
      <c r="F755" s="3">
        <v>3</v>
      </c>
      <c r="G755" s="3" t="s">
        <v>7158</v>
      </c>
      <c r="H755" s="3">
        <v>0.06</v>
      </c>
      <c r="I755" s="3">
        <v>0.18</v>
      </c>
    </row>
    <row r="756" spans="1:9" ht="22.5" customHeight="1" x14ac:dyDescent="0.25">
      <c r="A756" s="2" t="s">
        <v>3356</v>
      </c>
      <c r="B756" s="2" t="s">
        <v>3355</v>
      </c>
      <c r="C756" s="2" t="s">
        <v>4982</v>
      </c>
      <c r="D756" s="2" t="s">
        <v>7156</v>
      </c>
      <c r="E756" s="2" t="s">
        <v>7157</v>
      </c>
      <c r="F756" s="2">
        <v>1</v>
      </c>
      <c r="G756" s="2" t="s">
        <v>7158</v>
      </c>
      <c r="H756" s="2">
        <v>26</v>
      </c>
      <c r="I756" s="2">
        <v>26</v>
      </c>
    </row>
    <row r="757" spans="1:9" ht="22.5" customHeight="1" x14ac:dyDescent="0.25">
      <c r="A757" s="3" t="s">
        <v>3356</v>
      </c>
      <c r="B757" s="3" t="s">
        <v>3355</v>
      </c>
      <c r="C757" s="3" t="s">
        <v>4982</v>
      </c>
      <c r="D757" s="3" t="s">
        <v>7159</v>
      </c>
      <c r="E757" s="3" t="s">
        <v>7160</v>
      </c>
      <c r="F757" s="3">
        <v>20</v>
      </c>
      <c r="G757" s="3" t="s">
        <v>7155</v>
      </c>
      <c r="H757" s="3">
        <v>1.8319999999999999E-2</v>
      </c>
      <c r="I757" s="3">
        <v>0.3664</v>
      </c>
    </row>
    <row r="758" spans="1:9" ht="22.5" customHeight="1" x14ac:dyDescent="0.25">
      <c r="A758" s="2" t="s">
        <v>3356</v>
      </c>
      <c r="B758" s="2" t="s">
        <v>3355</v>
      </c>
      <c r="C758" s="2" t="s">
        <v>4982</v>
      </c>
      <c r="D758" s="2" t="s">
        <v>7161</v>
      </c>
      <c r="E758" s="2" t="s">
        <v>7162</v>
      </c>
      <c r="F758" s="2">
        <v>0.186</v>
      </c>
      <c r="G758" s="2" t="s">
        <v>7163</v>
      </c>
      <c r="H758" s="2" t="s">
        <v>7164</v>
      </c>
      <c r="I758" s="2">
        <v>0.186</v>
      </c>
    </row>
    <row r="759" spans="1:9" ht="33.75" customHeight="1" x14ac:dyDescent="0.25">
      <c r="A759" s="3" t="s">
        <v>3356</v>
      </c>
      <c r="B759" s="3" t="s">
        <v>3355</v>
      </c>
      <c r="C759" s="3" t="s">
        <v>4982</v>
      </c>
      <c r="D759" s="3" t="s">
        <v>7165</v>
      </c>
      <c r="E759" s="3" t="s">
        <v>7166</v>
      </c>
      <c r="F759" s="3">
        <v>2</v>
      </c>
      <c r="G759" s="3" t="s">
        <v>7158</v>
      </c>
      <c r="H759" s="3">
        <v>0.1</v>
      </c>
      <c r="I759" s="3">
        <v>0.2</v>
      </c>
    </row>
    <row r="760" spans="1:9" ht="33.75" customHeight="1" x14ac:dyDescent="0.25">
      <c r="A760" s="2" t="s">
        <v>3356</v>
      </c>
      <c r="B760" s="2" t="s">
        <v>3355</v>
      </c>
      <c r="C760" s="2" t="s">
        <v>4982</v>
      </c>
      <c r="D760" s="2" t="s">
        <v>7167</v>
      </c>
      <c r="E760" s="2" t="s">
        <v>7168</v>
      </c>
      <c r="F760" s="2">
        <v>4</v>
      </c>
      <c r="G760" s="2" t="s">
        <v>7158</v>
      </c>
      <c r="H760" s="2">
        <v>0.2</v>
      </c>
      <c r="I760" s="2">
        <v>0.8</v>
      </c>
    </row>
    <row r="761" spans="1:9" ht="33.75" customHeight="1" x14ac:dyDescent="0.25">
      <c r="A761" s="3" t="s">
        <v>222</v>
      </c>
      <c r="B761" s="3" t="s">
        <v>5827</v>
      </c>
      <c r="C761" s="3" t="s">
        <v>4685</v>
      </c>
      <c r="D761" s="3" t="s">
        <v>7153</v>
      </c>
      <c r="E761" s="3" t="s">
        <v>7154</v>
      </c>
      <c r="F761" s="3">
        <v>7</v>
      </c>
      <c r="G761" s="3" t="s">
        <v>7155</v>
      </c>
      <c r="H761" s="3">
        <v>1.24E-2</v>
      </c>
      <c r="I761" s="3">
        <v>8.6800000000000002E-2</v>
      </c>
    </row>
    <row r="762" spans="1:9" ht="33.75" customHeight="1" x14ac:dyDescent="0.25">
      <c r="A762" s="2" t="s">
        <v>222</v>
      </c>
      <c r="B762" s="2" t="s">
        <v>5827</v>
      </c>
      <c r="C762" s="2" t="s">
        <v>4685</v>
      </c>
      <c r="D762" s="2" t="s">
        <v>7156</v>
      </c>
      <c r="E762" s="2" t="s">
        <v>7157</v>
      </c>
      <c r="F762" s="2">
        <v>1</v>
      </c>
      <c r="G762" s="2" t="s">
        <v>7158</v>
      </c>
      <c r="H762" s="2">
        <v>26</v>
      </c>
      <c r="I762" s="2">
        <v>26</v>
      </c>
    </row>
    <row r="763" spans="1:9" ht="33.75" customHeight="1" x14ac:dyDescent="0.25">
      <c r="A763" s="3" t="s">
        <v>222</v>
      </c>
      <c r="B763" s="3" t="s">
        <v>5827</v>
      </c>
      <c r="C763" s="3" t="s">
        <v>4685</v>
      </c>
      <c r="D763" s="3" t="s">
        <v>7159</v>
      </c>
      <c r="E763" s="3" t="s">
        <v>7160</v>
      </c>
      <c r="F763" s="3">
        <v>20</v>
      </c>
      <c r="G763" s="3" t="s">
        <v>7155</v>
      </c>
      <c r="H763" s="3">
        <v>1.8319999999999999E-2</v>
      </c>
      <c r="I763" s="3">
        <v>0.3664</v>
      </c>
    </row>
    <row r="764" spans="1:9" ht="33.75" customHeight="1" x14ac:dyDescent="0.25">
      <c r="A764" s="2" t="s">
        <v>222</v>
      </c>
      <c r="B764" s="2" t="s">
        <v>5827</v>
      </c>
      <c r="C764" s="2" t="s">
        <v>4685</v>
      </c>
      <c r="D764" s="2" t="s">
        <v>7161</v>
      </c>
      <c r="E764" s="2" t="s">
        <v>7162</v>
      </c>
      <c r="F764" s="2">
        <v>0.186</v>
      </c>
      <c r="G764" s="2" t="s">
        <v>7163</v>
      </c>
      <c r="H764" s="2" t="s">
        <v>7164</v>
      </c>
      <c r="I764" s="2">
        <v>0.186</v>
      </c>
    </row>
    <row r="765" spans="1:9" ht="33.75" customHeight="1" x14ac:dyDescent="0.25">
      <c r="A765" s="3" t="s">
        <v>222</v>
      </c>
      <c r="B765" s="3" t="s">
        <v>5827</v>
      </c>
      <c r="C765" s="3" t="s">
        <v>4685</v>
      </c>
      <c r="D765" s="3" t="s">
        <v>7165</v>
      </c>
      <c r="E765" s="3" t="s">
        <v>7166</v>
      </c>
      <c r="F765" s="3">
        <v>2</v>
      </c>
      <c r="G765" s="3" t="s">
        <v>7158</v>
      </c>
      <c r="H765" s="3">
        <v>0.1</v>
      </c>
      <c r="I765" s="3">
        <v>0.2</v>
      </c>
    </row>
    <row r="766" spans="1:9" ht="33.75" customHeight="1" x14ac:dyDescent="0.25">
      <c r="A766" s="2" t="s">
        <v>222</v>
      </c>
      <c r="B766" s="2" t="s">
        <v>5827</v>
      </c>
      <c r="C766" s="2" t="s">
        <v>4685</v>
      </c>
      <c r="D766" s="2" t="s">
        <v>7167</v>
      </c>
      <c r="E766" s="2" t="s">
        <v>7168</v>
      </c>
      <c r="F766" s="2">
        <v>5</v>
      </c>
      <c r="G766" s="2" t="s">
        <v>7158</v>
      </c>
      <c r="H766" s="2">
        <v>0.2</v>
      </c>
      <c r="I766" s="2">
        <v>1</v>
      </c>
    </row>
    <row r="767" spans="1:9" ht="22.5" customHeight="1" x14ac:dyDescent="0.25">
      <c r="A767" s="3" t="s">
        <v>1755</v>
      </c>
      <c r="B767" s="3" t="s">
        <v>1754</v>
      </c>
      <c r="C767" s="3" t="s">
        <v>4852</v>
      </c>
      <c r="D767" s="3" t="s">
        <v>7153</v>
      </c>
      <c r="E767" s="3" t="s">
        <v>7154</v>
      </c>
      <c r="F767" s="3">
        <v>14</v>
      </c>
      <c r="G767" s="3" t="s">
        <v>7155</v>
      </c>
      <c r="H767" s="3">
        <v>1.24E-2</v>
      </c>
      <c r="I767" s="3">
        <v>0.1736</v>
      </c>
    </row>
    <row r="768" spans="1:9" ht="33.75" customHeight="1" x14ac:dyDescent="0.25">
      <c r="A768" s="2" t="s">
        <v>1755</v>
      </c>
      <c r="B768" s="2" t="s">
        <v>1754</v>
      </c>
      <c r="C768" s="2" t="s">
        <v>4852</v>
      </c>
      <c r="D768" s="2" t="s">
        <v>7186</v>
      </c>
      <c r="E768" s="2" t="s">
        <v>7187</v>
      </c>
      <c r="F768" s="2">
        <v>1</v>
      </c>
      <c r="G768" s="2" t="s">
        <v>7158</v>
      </c>
      <c r="H768" s="2">
        <v>26</v>
      </c>
      <c r="I768" s="2">
        <v>26</v>
      </c>
    </row>
    <row r="769" spans="1:9" ht="22.5" customHeight="1" x14ac:dyDescent="0.25">
      <c r="A769" s="3" t="s">
        <v>1755</v>
      </c>
      <c r="B769" s="3" t="s">
        <v>1754</v>
      </c>
      <c r="C769" s="3" t="s">
        <v>4852</v>
      </c>
      <c r="D769" s="3" t="s">
        <v>7159</v>
      </c>
      <c r="E769" s="3" t="s">
        <v>7160</v>
      </c>
      <c r="F769" s="3">
        <v>20</v>
      </c>
      <c r="G769" s="3" t="s">
        <v>7155</v>
      </c>
      <c r="H769" s="3">
        <v>1.8319999999999999E-2</v>
      </c>
      <c r="I769" s="3">
        <v>0.3664</v>
      </c>
    </row>
    <row r="770" spans="1:9" ht="22.5" customHeight="1" x14ac:dyDescent="0.25">
      <c r="A770" s="2" t="s">
        <v>1755</v>
      </c>
      <c r="B770" s="2" t="s">
        <v>1754</v>
      </c>
      <c r="C770" s="2" t="s">
        <v>4852</v>
      </c>
      <c r="D770" s="2" t="s">
        <v>7161</v>
      </c>
      <c r="E770" s="2" t="s">
        <v>7162</v>
      </c>
      <c r="F770" s="2">
        <v>0.186</v>
      </c>
      <c r="G770" s="2" t="s">
        <v>7163</v>
      </c>
      <c r="H770" s="2" t="s">
        <v>7164</v>
      </c>
      <c r="I770" s="2">
        <v>0.186</v>
      </c>
    </row>
    <row r="771" spans="1:9" ht="33.75" customHeight="1" x14ac:dyDescent="0.25">
      <c r="A771" s="3" t="s">
        <v>1755</v>
      </c>
      <c r="B771" s="3" t="s">
        <v>1754</v>
      </c>
      <c r="C771" s="3" t="s">
        <v>4852</v>
      </c>
      <c r="D771" s="3" t="s">
        <v>7212</v>
      </c>
      <c r="E771" s="3" t="s">
        <v>7213</v>
      </c>
      <c r="F771" s="3">
        <v>6</v>
      </c>
      <c r="G771" s="3" t="s">
        <v>7158</v>
      </c>
      <c r="H771" s="3">
        <v>0.21</v>
      </c>
      <c r="I771" s="3">
        <v>1.26</v>
      </c>
    </row>
    <row r="772" spans="1:9" ht="33.75" customHeight="1" x14ac:dyDescent="0.25">
      <c r="A772" s="2" t="s">
        <v>1755</v>
      </c>
      <c r="B772" s="2" t="s">
        <v>1754</v>
      </c>
      <c r="C772" s="2" t="s">
        <v>4852</v>
      </c>
      <c r="D772" s="2" t="s">
        <v>7188</v>
      </c>
      <c r="E772" s="2" t="s">
        <v>7189</v>
      </c>
      <c r="F772" s="2">
        <v>3</v>
      </c>
      <c r="G772" s="2" t="s">
        <v>7158</v>
      </c>
      <c r="H772" s="2">
        <v>0.27</v>
      </c>
      <c r="I772" s="2">
        <v>0.81</v>
      </c>
    </row>
    <row r="773" spans="1:9" ht="22.5" customHeight="1" x14ac:dyDescent="0.25">
      <c r="A773" s="3" t="s">
        <v>1755</v>
      </c>
      <c r="B773" s="3" t="s">
        <v>1754</v>
      </c>
      <c r="C773" s="3" t="s">
        <v>4852</v>
      </c>
      <c r="D773" s="3" t="s">
        <v>7256</v>
      </c>
      <c r="E773" s="3" t="s">
        <v>7257</v>
      </c>
      <c r="F773" s="3">
        <v>48</v>
      </c>
      <c r="G773" s="3" t="s">
        <v>7158</v>
      </c>
      <c r="H773" s="3">
        <v>0.24</v>
      </c>
      <c r="I773" s="3">
        <v>11.52</v>
      </c>
    </row>
    <row r="774" spans="1:9" ht="22.5" customHeight="1" x14ac:dyDescent="0.25">
      <c r="A774" s="2" t="s">
        <v>3054</v>
      </c>
      <c r="B774" s="2" t="s">
        <v>3053</v>
      </c>
      <c r="C774" s="2" t="s">
        <v>4951</v>
      </c>
      <c r="D774" s="2" t="s">
        <v>7153</v>
      </c>
      <c r="E774" s="2" t="s">
        <v>7154</v>
      </c>
      <c r="F774" s="2">
        <v>14</v>
      </c>
      <c r="G774" s="2" t="s">
        <v>7155</v>
      </c>
      <c r="H774" s="2">
        <v>1.24E-2</v>
      </c>
      <c r="I774" s="2">
        <v>0.1736</v>
      </c>
    </row>
    <row r="775" spans="1:9" ht="33.75" customHeight="1" x14ac:dyDescent="0.25">
      <c r="A775" s="3" t="s">
        <v>3054</v>
      </c>
      <c r="B775" s="3" t="s">
        <v>3053</v>
      </c>
      <c r="C775" s="3" t="s">
        <v>4951</v>
      </c>
      <c r="D775" s="3" t="s">
        <v>7186</v>
      </c>
      <c r="E775" s="3" t="s">
        <v>7187</v>
      </c>
      <c r="F775" s="3">
        <v>1</v>
      </c>
      <c r="G775" s="3" t="s">
        <v>7158</v>
      </c>
      <c r="H775" s="3">
        <v>26</v>
      </c>
      <c r="I775" s="3">
        <v>26</v>
      </c>
    </row>
    <row r="776" spans="1:9" ht="22.5" customHeight="1" x14ac:dyDescent="0.25">
      <c r="A776" s="2" t="s">
        <v>3054</v>
      </c>
      <c r="B776" s="2" t="s">
        <v>3053</v>
      </c>
      <c r="C776" s="2" t="s">
        <v>4951</v>
      </c>
      <c r="D776" s="2" t="s">
        <v>7159</v>
      </c>
      <c r="E776" s="2" t="s">
        <v>7160</v>
      </c>
      <c r="F776" s="2">
        <v>20</v>
      </c>
      <c r="G776" s="2" t="s">
        <v>7155</v>
      </c>
      <c r="H776" s="2">
        <v>1.8319999999999999E-2</v>
      </c>
      <c r="I776" s="2">
        <v>0.3664</v>
      </c>
    </row>
    <row r="777" spans="1:9" ht="22.5" customHeight="1" x14ac:dyDescent="0.25">
      <c r="A777" s="3" t="s">
        <v>3054</v>
      </c>
      <c r="B777" s="3" t="s">
        <v>3053</v>
      </c>
      <c r="C777" s="3" t="s">
        <v>4951</v>
      </c>
      <c r="D777" s="3" t="s">
        <v>7161</v>
      </c>
      <c r="E777" s="3" t="s">
        <v>7162</v>
      </c>
      <c r="F777" s="3">
        <v>0.186</v>
      </c>
      <c r="G777" s="3" t="s">
        <v>7163</v>
      </c>
      <c r="H777" s="3" t="s">
        <v>7164</v>
      </c>
      <c r="I777" s="3">
        <v>0.186</v>
      </c>
    </row>
    <row r="778" spans="1:9" ht="22.5" customHeight="1" x14ac:dyDescent="0.25">
      <c r="A778" s="2" t="s">
        <v>3054</v>
      </c>
      <c r="B778" s="2" t="s">
        <v>3053</v>
      </c>
      <c r="C778" s="2" t="s">
        <v>4951</v>
      </c>
      <c r="D778" s="2" t="s">
        <v>7207</v>
      </c>
      <c r="E778" s="2" t="s">
        <v>7208</v>
      </c>
      <c r="F778" s="2">
        <v>1.8240000000000001</v>
      </c>
      <c r="G778" s="2" t="s">
        <v>7163</v>
      </c>
      <c r="H778" s="2" t="s">
        <v>7164</v>
      </c>
      <c r="I778" s="2">
        <v>1.8240000000000001</v>
      </c>
    </row>
    <row r="779" spans="1:9" ht="33.75" customHeight="1" x14ac:dyDescent="0.25">
      <c r="A779" s="3" t="s">
        <v>3054</v>
      </c>
      <c r="B779" s="3" t="s">
        <v>3053</v>
      </c>
      <c r="C779" s="3" t="s">
        <v>4951</v>
      </c>
      <c r="D779" s="3" t="s">
        <v>7188</v>
      </c>
      <c r="E779" s="3" t="s">
        <v>7189</v>
      </c>
      <c r="F779" s="3">
        <v>3</v>
      </c>
      <c r="G779" s="3" t="s">
        <v>7158</v>
      </c>
      <c r="H779" s="3">
        <v>0.27</v>
      </c>
      <c r="I779" s="3">
        <v>0.81</v>
      </c>
    </row>
    <row r="780" spans="1:9" ht="33.75" customHeight="1" x14ac:dyDescent="0.25">
      <c r="A780" s="2" t="s">
        <v>3054</v>
      </c>
      <c r="B780" s="2" t="s">
        <v>3053</v>
      </c>
      <c r="C780" s="2" t="s">
        <v>4951</v>
      </c>
      <c r="D780" s="2" t="s">
        <v>7165</v>
      </c>
      <c r="E780" s="2" t="s">
        <v>7166</v>
      </c>
      <c r="F780" s="2">
        <v>4</v>
      </c>
      <c r="G780" s="2" t="s">
        <v>7158</v>
      </c>
      <c r="H780" s="2">
        <v>0.1</v>
      </c>
      <c r="I780" s="2">
        <v>0.4</v>
      </c>
    </row>
    <row r="781" spans="1:9" x14ac:dyDescent="0.25">
      <c r="A781" s="3" t="s">
        <v>4155</v>
      </c>
      <c r="B781" s="3" t="s">
        <v>4154</v>
      </c>
      <c r="C781" s="3" t="s">
        <v>5022</v>
      </c>
      <c r="D781" s="3" t="s">
        <v>7153</v>
      </c>
      <c r="E781" s="3"/>
      <c r="F781" s="3">
        <v>14</v>
      </c>
      <c r="G781" s="3" t="s">
        <v>7155</v>
      </c>
      <c r="H781" s="3">
        <v>1.24E-2</v>
      </c>
      <c r="I781" s="3">
        <v>0.1736</v>
      </c>
    </row>
    <row r="782" spans="1:9" x14ac:dyDescent="0.25">
      <c r="A782" s="2" t="s">
        <v>4155</v>
      </c>
      <c r="B782" s="2" t="s">
        <v>4154</v>
      </c>
      <c r="C782" s="2" t="s">
        <v>5022</v>
      </c>
      <c r="D782" s="2" t="s">
        <v>7228</v>
      </c>
      <c r="E782" s="2"/>
      <c r="F782" s="2">
        <v>3</v>
      </c>
      <c r="G782" s="2" t="s">
        <v>7158</v>
      </c>
      <c r="H782" s="2">
        <v>0.06</v>
      </c>
      <c r="I782" s="2">
        <v>0.18</v>
      </c>
    </row>
    <row r="783" spans="1:9" x14ac:dyDescent="0.25">
      <c r="A783" s="3" t="s">
        <v>4155</v>
      </c>
      <c r="B783" s="3" t="s">
        <v>4154</v>
      </c>
      <c r="C783" s="3" t="s">
        <v>5022</v>
      </c>
      <c r="D783" s="3" t="s">
        <v>7156</v>
      </c>
      <c r="E783" s="3"/>
      <c r="F783" s="3">
        <v>1</v>
      </c>
      <c r="G783" s="3" t="s">
        <v>7158</v>
      </c>
      <c r="H783" s="3">
        <v>26</v>
      </c>
      <c r="I783" s="3">
        <v>26</v>
      </c>
    </row>
    <row r="784" spans="1:9" x14ac:dyDescent="0.25">
      <c r="A784" s="2" t="s">
        <v>4155</v>
      </c>
      <c r="B784" s="2" t="s">
        <v>4154</v>
      </c>
      <c r="C784" s="2" t="s">
        <v>5022</v>
      </c>
      <c r="D784" s="2" t="s">
        <v>7159</v>
      </c>
      <c r="E784" s="2"/>
      <c r="F784" s="2">
        <v>20</v>
      </c>
      <c r="G784" s="2" t="s">
        <v>7155</v>
      </c>
      <c r="H784" s="2">
        <v>1.8319999999999999E-2</v>
      </c>
      <c r="I784" s="2">
        <v>0.3664</v>
      </c>
    </row>
    <row r="785" spans="1:9" x14ac:dyDescent="0.25">
      <c r="A785" s="3" t="s">
        <v>4155</v>
      </c>
      <c r="B785" s="3" t="s">
        <v>4154</v>
      </c>
      <c r="C785" s="3" t="s">
        <v>5022</v>
      </c>
      <c r="D785" s="3" t="s">
        <v>7161</v>
      </c>
      <c r="E785" s="3"/>
      <c r="F785" s="3">
        <v>0.186</v>
      </c>
      <c r="G785" s="3" t="s">
        <v>7163</v>
      </c>
      <c r="H785" s="3">
        <v>0</v>
      </c>
      <c r="I785" s="3">
        <v>0</v>
      </c>
    </row>
    <row r="786" spans="1:9" x14ac:dyDescent="0.25">
      <c r="A786" s="2" t="s">
        <v>4155</v>
      </c>
      <c r="B786" s="2" t="s">
        <v>4154</v>
      </c>
      <c r="C786" s="2" t="s">
        <v>5022</v>
      </c>
      <c r="D786" s="2" t="s">
        <v>7226</v>
      </c>
      <c r="E786" s="2"/>
      <c r="F786" s="2">
        <v>2.218</v>
      </c>
      <c r="G786" s="2" t="s">
        <v>7163</v>
      </c>
      <c r="H786" s="2">
        <v>0</v>
      </c>
      <c r="I786" s="2">
        <v>0</v>
      </c>
    </row>
    <row r="787" spans="1:9" x14ac:dyDescent="0.25">
      <c r="A787" s="3" t="s">
        <v>4155</v>
      </c>
      <c r="B787" s="3" t="s">
        <v>4154</v>
      </c>
      <c r="C787" s="3" t="s">
        <v>5022</v>
      </c>
      <c r="D787" s="3" t="s">
        <v>7165</v>
      </c>
      <c r="E787" s="3"/>
      <c r="F787" s="3">
        <v>4</v>
      </c>
      <c r="G787" s="3" t="s">
        <v>7158</v>
      </c>
      <c r="H787" s="3">
        <v>0.1</v>
      </c>
      <c r="I787" s="3">
        <v>0.4</v>
      </c>
    </row>
    <row r="788" spans="1:9" x14ac:dyDescent="0.25">
      <c r="A788" s="2" t="s">
        <v>4155</v>
      </c>
      <c r="B788" s="2" t="s">
        <v>4154</v>
      </c>
      <c r="C788" s="2" t="s">
        <v>5022</v>
      </c>
      <c r="D788" s="2" t="s">
        <v>7167</v>
      </c>
      <c r="E788" s="2"/>
      <c r="F788" s="2">
        <v>4</v>
      </c>
      <c r="G788" s="2" t="s">
        <v>7158</v>
      </c>
      <c r="H788" s="2">
        <v>0.2</v>
      </c>
      <c r="I788" s="2">
        <v>0.8</v>
      </c>
    </row>
    <row r="789" spans="1:9" x14ac:dyDescent="0.25">
      <c r="A789" s="3" t="s">
        <v>4155</v>
      </c>
      <c r="B789" s="3" t="s">
        <v>4154</v>
      </c>
      <c r="C789" s="3" t="s">
        <v>5022</v>
      </c>
      <c r="D789" s="3" t="s">
        <v>7179</v>
      </c>
      <c r="E789" s="3"/>
      <c r="F789" s="3">
        <v>48</v>
      </c>
      <c r="G789" s="3" t="s">
        <v>7158</v>
      </c>
      <c r="H789" s="3">
        <v>1.08E-3</v>
      </c>
      <c r="I789" s="3">
        <v>5.1839999999999997E-2</v>
      </c>
    </row>
    <row r="790" spans="1:9" x14ac:dyDescent="0.25">
      <c r="A790" s="2" t="s">
        <v>1936</v>
      </c>
      <c r="B790" s="2" t="s">
        <v>1935</v>
      </c>
      <c r="C790" s="2" t="s">
        <v>4876</v>
      </c>
      <c r="D790" s="2" t="s">
        <v>7254</v>
      </c>
      <c r="E790" s="2"/>
      <c r="F790" s="2">
        <v>48</v>
      </c>
      <c r="G790" s="2" t="s">
        <v>7158</v>
      </c>
      <c r="H790" s="2">
        <v>6.2399999999999997E-2</v>
      </c>
      <c r="I790" s="2">
        <v>2.9952000000000001</v>
      </c>
    </row>
    <row r="791" spans="1:9" x14ac:dyDescent="0.25">
      <c r="A791" s="3" t="s">
        <v>1936</v>
      </c>
      <c r="B791" s="3" t="s">
        <v>1935</v>
      </c>
      <c r="C791" s="3" t="s">
        <v>4876</v>
      </c>
      <c r="D791" s="3" t="s">
        <v>7156</v>
      </c>
      <c r="E791" s="3"/>
      <c r="F791" s="3">
        <v>1</v>
      </c>
      <c r="G791" s="3" t="s">
        <v>7158</v>
      </c>
      <c r="H791" s="3">
        <v>26</v>
      </c>
      <c r="I791" s="3">
        <v>26</v>
      </c>
    </row>
    <row r="792" spans="1:9" x14ac:dyDescent="0.25">
      <c r="A792" s="2" t="s">
        <v>1936</v>
      </c>
      <c r="B792" s="2" t="s">
        <v>1935</v>
      </c>
      <c r="C792" s="2" t="s">
        <v>4876</v>
      </c>
      <c r="D792" s="2" t="s">
        <v>7159</v>
      </c>
      <c r="E792" s="2"/>
      <c r="F792" s="2">
        <v>20</v>
      </c>
      <c r="G792" s="2" t="s">
        <v>7155</v>
      </c>
      <c r="H792" s="2">
        <v>1.8319999999999999E-2</v>
      </c>
      <c r="I792" s="2">
        <v>0.3664</v>
      </c>
    </row>
    <row r="793" spans="1:9" x14ac:dyDescent="0.25">
      <c r="A793" s="3" t="s">
        <v>1936</v>
      </c>
      <c r="B793" s="3" t="s">
        <v>1935</v>
      </c>
      <c r="C793" s="3" t="s">
        <v>4876</v>
      </c>
      <c r="D793" s="3" t="s">
        <v>7161</v>
      </c>
      <c r="E793" s="3"/>
      <c r="F793" s="3">
        <v>0.186</v>
      </c>
      <c r="G793" s="3" t="s">
        <v>7163</v>
      </c>
      <c r="H793" s="3">
        <v>0</v>
      </c>
      <c r="I793" s="3">
        <v>0</v>
      </c>
    </row>
    <row r="794" spans="1:9" x14ac:dyDescent="0.25">
      <c r="A794" s="2" t="s">
        <v>1936</v>
      </c>
      <c r="B794" s="2" t="s">
        <v>1935</v>
      </c>
      <c r="C794" s="2" t="s">
        <v>4876</v>
      </c>
      <c r="D794" s="2" t="s">
        <v>7226</v>
      </c>
      <c r="E794" s="2"/>
      <c r="F794" s="2">
        <v>2.218</v>
      </c>
      <c r="G794" s="2" t="s">
        <v>7163</v>
      </c>
      <c r="H794" s="2">
        <v>0</v>
      </c>
      <c r="I794" s="2">
        <v>0</v>
      </c>
    </row>
    <row r="795" spans="1:9" x14ac:dyDescent="0.25">
      <c r="A795" s="3" t="s">
        <v>1936</v>
      </c>
      <c r="B795" s="3" t="s">
        <v>1935</v>
      </c>
      <c r="C795" s="3" t="s">
        <v>4876</v>
      </c>
      <c r="D795" s="3" t="s">
        <v>7167</v>
      </c>
      <c r="E795" s="3"/>
      <c r="F795" s="3">
        <v>4</v>
      </c>
      <c r="G795" s="3" t="s">
        <v>7158</v>
      </c>
      <c r="H795" s="3">
        <v>0.2</v>
      </c>
      <c r="I795" s="3">
        <v>0.8</v>
      </c>
    </row>
    <row r="796" spans="1:9" x14ac:dyDescent="0.25">
      <c r="A796" s="2" t="s">
        <v>1936</v>
      </c>
      <c r="B796" s="2" t="s">
        <v>1935</v>
      </c>
      <c r="C796" s="2" t="s">
        <v>4876</v>
      </c>
      <c r="D796" s="2" t="s">
        <v>7202</v>
      </c>
      <c r="E796" s="2"/>
      <c r="F796" s="2">
        <v>48</v>
      </c>
      <c r="G796" s="2" t="s">
        <v>7158</v>
      </c>
      <c r="H796" s="2">
        <v>1.08E-3</v>
      </c>
      <c r="I796" s="2">
        <v>5.1839999999999997E-2</v>
      </c>
    </row>
    <row r="797" spans="1:9" x14ac:dyDescent="0.25">
      <c r="A797" s="3" t="s">
        <v>1936</v>
      </c>
      <c r="B797" s="3" t="s">
        <v>1935</v>
      </c>
      <c r="C797" s="3" t="s">
        <v>4876</v>
      </c>
      <c r="D797" s="3" t="s">
        <v>7179</v>
      </c>
      <c r="E797" s="3"/>
      <c r="F797" s="3">
        <v>48</v>
      </c>
      <c r="G797" s="3" t="s">
        <v>7158</v>
      </c>
      <c r="H797" s="3">
        <v>1.08E-3</v>
      </c>
      <c r="I797" s="3">
        <v>5.1839999999999997E-2</v>
      </c>
    </row>
    <row r="798" spans="1:9" x14ac:dyDescent="0.25">
      <c r="A798" s="2" t="s">
        <v>1995</v>
      </c>
      <c r="B798" s="2" t="s">
        <v>5860</v>
      </c>
      <c r="C798" s="2" t="s">
        <v>4876</v>
      </c>
      <c r="D798" s="2" t="s">
        <v>7254</v>
      </c>
      <c r="E798" s="2"/>
      <c r="F798" s="2">
        <v>48</v>
      </c>
      <c r="G798" s="2" t="s">
        <v>7158</v>
      </c>
      <c r="H798" s="2">
        <v>6.2399999999999997E-2</v>
      </c>
      <c r="I798" s="2">
        <v>2.9952000000000001</v>
      </c>
    </row>
    <row r="799" spans="1:9" x14ac:dyDescent="0.25">
      <c r="A799" s="3" t="s">
        <v>1995</v>
      </c>
      <c r="B799" s="3" t="s">
        <v>5860</v>
      </c>
      <c r="C799" s="3" t="s">
        <v>4876</v>
      </c>
      <c r="D799" s="3" t="s">
        <v>7156</v>
      </c>
      <c r="E799" s="3"/>
      <c r="F799" s="3">
        <v>1</v>
      </c>
      <c r="G799" s="3" t="s">
        <v>7158</v>
      </c>
      <c r="H799" s="3">
        <v>26</v>
      </c>
      <c r="I799" s="3">
        <v>26</v>
      </c>
    </row>
    <row r="800" spans="1:9" x14ac:dyDescent="0.25">
      <c r="A800" s="2" t="s">
        <v>1995</v>
      </c>
      <c r="B800" s="2" t="s">
        <v>5860</v>
      </c>
      <c r="C800" s="2" t="s">
        <v>4876</v>
      </c>
      <c r="D800" s="2" t="s">
        <v>7159</v>
      </c>
      <c r="E800" s="2"/>
      <c r="F800" s="2">
        <v>20</v>
      </c>
      <c r="G800" s="2" t="s">
        <v>7155</v>
      </c>
      <c r="H800" s="2">
        <v>1.8319999999999999E-2</v>
      </c>
      <c r="I800" s="2">
        <v>0.3664</v>
      </c>
    </row>
    <row r="801" spans="1:9" x14ac:dyDescent="0.25">
      <c r="A801" s="3" t="s">
        <v>1995</v>
      </c>
      <c r="B801" s="3" t="s">
        <v>5860</v>
      </c>
      <c r="C801" s="3" t="s">
        <v>4876</v>
      </c>
      <c r="D801" s="3" t="s">
        <v>7161</v>
      </c>
      <c r="E801" s="3"/>
      <c r="F801" s="3">
        <v>0.186</v>
      </c>
      <c r="G801" s="3" t="s">
        <v>7163</v>
      </c>
      <c r="H801" s="3">
        <v>0</v>
      </c>
      <c r="I801" s="3">
        <v>0</v>
      </c>
    </row>
    <row r="802" spans="1:9" x14ac:dyDescent="0.25">
      <c r="A802" s="2" t="s">
        <v>1995</v>
      </c>
      <c r="B802" s="2" t="s">
        <v>5860</v>
      </c>
      <c r="C802" s="2" t="s">
        <v>4876</v>
      </c>
      <c r="D802" s="2" t="s">
        <v>7226</v>
      </c>
      <c r="E802" s="2"/>
      <c r="F802" s="2">
        <v>2.218</v>
      </c>
      <c r="G802" s="2" t="s">
        <v>7163</v>
      </c>
      <c r="H802" s="2">
        <v>0</v>
      </c>
      <c r="I802" s="2">
        <v>0</v>
      </c>
    </row>
    <row r="803" spans="1:9" x14ac:dyDescent="0.25">
      <c r="A803" s="3" t="s">
        <v>1995</v>
      </c>
      <c r="B803" s="3" t="s">
        <v>5860</v>
      </c>
      <c r="C803" s="3" t="s">
        <v>4876</v>
      </c>
      <c r="D803" s="3" t="s">
        <v>7167</v>
      </c>
      <c r="E803" s="3"/>
      <c r="F803" s="3">
        <v>4</v>
      </c>
      <c r="G803" s="3" t="s">
        <v>7158</v>
      </c>
      <c r="H803" s="3">
        <v>0.2</v>
      </c>
      <c r="I803" s="3">
        <v>0.8</v>
      </c>
    </row>
    <row r="804" spans="1:9" x14ac:dyDescent="0.25">
      <c r="A804" s="2" t="s">
        <v>1995</v>
      </c>
      <c r="B804" s="2" t="s">
        <v>5860</v>
      </c>
      <c r="C804" s="2" t="s">
        <v>4876</v>
      </c>
      <c r="D804" s="2" t="s">
        <v>7181</v>
      </c>
      <c r="E804" s="2"/>
      <c r="F804" s="2">
        <v>48</v>
      </c>
      <c r="G804" s="2" t="s">
        <v>7158</v>
      </c>
      <c r="H804" s="2">
        <v>1.08E-3</v>
      </c>
      <c r="I804" s="2">
        <v>5.1839999999999997E-2</v>
      </c>
    </row>
    <row r="805" spans="1:9" x14ac:dyDescent="0.25">
      <c r="A805" s="3" t="s">
        <v>1995</v>
      </c>
      <c r="B805" s="3" t="s">
        <v>5860</v>
      </c>
      <c r="C805" s="3" t="s">
        <v>4876</v>
      </c>
      <c r="D805" s="3" t="s">
        <v>7179</v>
      </c>
      <c r="E805" s="3"/>
      <c r="F805" s="3">
        <v>48</v>
      </c>
      <c r="G805" s="3" t="s">
        <v>7158</v>
      </c>
      <c r="H805" s="3">
        <v>1.08E-3</v>
      </c>
      <c r="I805" s="3">
        <v>5.1839999999999997E-2</v>
      </c>
    </row>
    <row r="806" spans="1:9" x14ac:dyDescent="0.25">
      <c r="A806" s="2" t="s">
        <v>1870</v>
      </c>
      <c r="B806" s="2" t="s">
        <v>1869</v>
      </c>
      <c r="C806" s="2" t="s">
        <v>4868</v>
      </c>
      <c r="D806" s="2" t="s">
        <v>7258</v>
      </c>
      <c r="E806" s="2"/>
      <c r="F806" s="2">
        <v>48</v>
      </c>
      <c r="G806" s="2" t="s">
        <v>7158</v>
      </c>
      <c r="H806" s="2">
        <v>4.6700000000000012E-2</v>
      </c>
      <c r="I806" s="2">
        <v>2.2416</v>
      </c>
    </row>
    <row r="807" spans="1:9" x14ac:dyDescent="0.25">
      <c r="A807" s="3" t="s">
        <v>1870</v>
      </c>
      <c r="B807" s="3" t="s">
        <v>1869</v>
      </c>
      <c r="C807" s="3" t="s">
        <v>4868</v>
      </c>
      <c r="D807" s="3" t="s">
        <v>7156</v>
      </c>
      <c r="E807" s="3"/>
      <c r="F807" s="3">
        <v>1</v>
      </c>
      <c r="G807" s="3" t="s">
        <v>7158</v>
      </c>
      <c r="H807" s="3">
        <v>26</v>
      </c>
      <c r="I807" s="3">
        <v>26</v>
      </c>
    </row>
    <row r="808" spans="1:9" x14ac:dyDescent="0.25">
      <c r="A808" s="2" t="s">
        <v>1870</v>
      </c>
      <c r="B808" s="2" t="s">
        <v>1869</v>
      </c>
      <c r="C808" s="2" t="s">
        <v>4868</v>
      </c>
      <c r="D808" s="2" t="s">
        <v>7159</v>
      </c>
      <c r="E808" s="2"/>
      <c r="F808" s="2">
        <v>20</v>
      </c>
      <c r="G808" s="2" t="s">
        <v>7155</v>
      </c>
      <c r="H808" s="2">
        <v>1.8319999999999999E-2</v>
      </c>
      <c r="I808" s="2">
        <v>0.3664</v>
      </c>
    </row>
    <row r="809" spans="1:9" x14ac:dyDescent="0.25">
      <c r="A809" s="3" t="s">
        <v>1870</v>
      </c>
      <c r="B809" s="3" t="s">
        <v>1869</v>
      </c>
      <c r="C809" s="3" t="s">
        <v>4868</v>
      </c>
      <c r="D809" s="3" t="s">
        <v>7161</v>
      </c>
      <c r="E809" s="3"/>
      <c r="F809" s="3">
        <v>0.186</v>
      </c>
      <c r="G809" s="3" t="s">
        <v>7163</v>
      </c>
      <c r="H809" s="3">
        <v>0</v>
      </c>
      <c r="I809" s="3">
        <v>0</v>
      </c>
    </row>
    <row r="810" spans="1:9" x14ac:dyDescent="0.25">
      <c r="A810" s="2" t="s">
        <v>1870</v>
      </c>
      <c r="B810" s="2" t="s">
        <v>1869</v>
      </c>
      <c r="C810" s="2" t="s">
        <v>4868</v>
      </c>
      <c r="D810" s="2" t="s">
        <v>7259</v>
      </c>
      <c r="E810" s="2"/>
      <c r="F810" s="2">
        <v>1.3140000000000001</v>
      </c>
      <c r="G810" s="2" t="s">
        <v>7163</v>
      </c>
      <c r="H810" s="2">
        <v>0</v>
      </c>
      <c r="I810" s="2">
        <v>0</v>
      </c>
    </row>
    <row r="811" spans="1:9" x14ac:dyDescent="0.25">
      <c r="A811" s="3" t="s">
        <v>1870</v>
      </c>
      <c r="B811" s="3" t="s">
        <v>1869</v>
      </c>
      <c r="C811" s="3" t="s">
        <v>4868</v>
      </c>
      <c r="D811" s="3" t="s">
        <v>7167</v>
      </c>
      <c r="E811" s="3"/>
      <c r="F811" s="3">
        <v>3</v>
      </c>
      <c r="G811" s="3" t="s">
        <v>7158</v>
      </c>
      <c r="H811" s="3">
        <v>0.2</v>
      </c>
      <c r="I811" s="3">
        <v>0.6</v>
      </c>
    </row>
    <row r="812" spans="1:9" x14ac:dyDescent="0.25">
      <c r="A812" s="2" t="s">
        <v>1971</v>
      </c>
      <c r="B812" s="2" t="s">
        <v>1970</v>
      </c>
      <c r="C812" s="2" t="s">
        <v>4756</v>
      </c>
      <c r="D812" s="2" t="s">
        <v>7156</v>
      </c>
      <c r="E812" s="2"/>
      <c r="F812" s="2">
        <v>1</v>
      </c>
      <c r="G812" s="2" t="s">
        <v>7158</v>
      </c>
      <c r="H812" s="2">
        <v>26</v>
      </c>
      <c r="I812" s="2">
        <v>26</v>
      </c>
    </row>
    <row r="813" spans="1:9" x14ac:dyDescent="0.25">
      <c r="A813" s="3" t="s">
        <v>1971</v>
      </c>
      <c r="B813" s="3" t="s">
        <v>1970</v>
      </c>
      <c r="C813" s="3" t="s">
        <v>4756</v>
      </c>
      <c r="D813" s="3" t="s">
        <v>7159</v>
      </c>
      <c r="E813" s="3"/>
      <c r="F813" s="3">
        <v>20</v>
      </c>
      <c r="G813" s="3" t="s">
        <v>7155</v>
      </c>
      <c r="H813" s="3">
        <v>1.8319999999999999E-2</v>
      </c>
      <c r="I813" s="3">
        <v>0.3664</v>
      </c>
    </row>
    <row r="814" spans="1:9" x14ac:dyDescent="0.25">
      <c r="A814" s="2" t="s">
        <v>1971</v>
      </c>
      <c r="B814" s="2" t="s">
        <v>1970</v>
      </c>
      <c r="C814" s="2" t="s">
        <v>4756</v>
      </c>
      <c r="D814" s="2" t="s">
        <v>7161</v>
      </c>
      <c r="E814" s="2"/>
      <c r="F814" s="2">
        <v>0.186</v>
      </c>
      <c r="G814" s="2" t="s">
        <v>7163</v>
      </c>
      <c r="H814" s="2">
        <v>0</v>
      </c>
      <c r="I814" s="2">
        <v>0</v>
      </c>
    </row>
    <row r="815" spans="1:9" x14ac:dyDescent="0.25">
      <c r="A815" s="3" t="s">
        <v>1971</v>
      </c>
      <c r="B815" s="3" t="s">
        <v>1970</v>
      </c>
      <c r="C815" s="3" t="s">
        <v>4756</v>
      </c>
      <c r="D815" s="3" t="s">
        <v>7201</v>
      </c>
      <c r="E815" s="3"/>
      <c r="F815" s="3">
        <v>1.92</v>
      </c>
      <c r="G815" s="3" t="s">
        <v>7163</v>
      </c>
      <c r="H815" s="3">
        <v>0</v>
      </c>
      <c r="I815" s="3">
        <v>0</v>
      </c>
    </row>
    <row r="816" spans="1:9" x14ac:dyDescent="0.25">
      <c r="A816" s="2" t="s">
        <v>1971</v>
      </c>
      <c r="B816" s="2" t="s">
        <v>1970</v>
      </c>
      <c r="C816" s="2" t="s">
        <v>4756</v>
      </c>
      <c r="D816" s="2" t="s">
        <v>7167</v>
      </c>
      <c r="E816" s="2"/>
      <c r="F816" s="2">
        <v>5</v>
      </c>
      <c r="G816" s="2" t="s">
        <v>7158</v>
      </c>
      <c r="H816" s="2">
        <v>0.2</v>
      </c>
      <c r="I816" s="2">
        <v>1</v>
      </c>
    </row>
    <row r="817" spans="1:9" x14ac:dyDescent="0.25">
      <c r="A817" s="3" t="s">
        <v>1971</v>
      </c>
      <c r="B817" s="3" t="s">
        <v>1970</v>
      </c>
      <c r="C817" s="3" t="s">
        <v>4756</v>
      </c>
      <c r="D817" s="3" t="s">
        <v>7202</v>
      </c>
      <c r="E817" s="3"/>
      <c r="F817" s="3">
        <v>48</v>
      </c>
      <c r="G817" s="3" t="s">
        <v>7158</v>
      </c>
      <c r="H817" s="3">
        <v>1.08E-3</v>
      </c>
      <c r="I817" s="3">
        <v>5.1839999999999997E-2</v>
      </c>
    </row>
    <row r="818" spans="1:9" x14ac:dyDescent="0.25">
      <c r="A818" s="2" t="s">
        <v>1971</v>
      </c>
      <c r="B818" s="2" t="s">
        <v>1970</v>
      </c>
      <c r="C818" s="2" t="s">
        <v>4756</v>
      </c>
      <c r="D818" s="2" t="s">
        <v>7179</v>
      </c>
      <c r="E818" s="2"/>
      <c r="F818" s="2">
        <v>48</v>
      </c>
      <c r="G818" s="2" t="s">
        <v>7158</v>
      </c>
      <c r="H818" s="2">
        <v>1.08E-3</v>
      </c>
      <c r="I818" s="2">
        <v>5.1839999999999997E-2</v>
      </c>
    </row>
    <row r="819" spans="1:9" x14ac:dyDescent="0.25">
      <c r="A819" s="3" t="s">
        <v>574</v>
      </c>
      <c r="B819" s="3" t="s">
        <v>5878</v>
      </c>
      <c r="C819" s="3" t="s">
        <v>4756</v>
      </c>
      <c r="D819" s="3" t="s">
        <v>7156</v>
      </c>
      <c r="E819" s="3"/>
      <c r="F819" s="3">
        <v>1</v>
      </c>
      <c r="G819" s="3" t="s">
        <v>7158</v>
      </c>
      <c r="H819" s="3">
        <v>26</v>
      </c>
      <c r="I819" s="3">
        <v>26</v>
      </c>
    </row>
    <row r="820" spans="1:9" x14ac:dyDescent="0.25">
      <c r="A820" s="2" t="s">
        <v>574</v>
      </c>
      <c r="B820" s="2" t="s">
        <v>5878</v>
      </c>
      <c r="C820" s="2" t="s">
        <v>4756</v>
      </c>
      <c r="D820" s="2" t="s">
        <v>7159</v>
      </c>
      <c r="E820" s="2"/>
      <c r="F820" s="2">
        <v>20</v>
      </c>
      <c r="G820" s="2" t="s">
        <v>7155</v>
      </c>
      <c r="H820" s="2">
        <v>1.8319999999999999E-2</v>
      </c>
      <c r="I820" s="2">
        <v>0.3664</v>
      </c>
    </row>
    <row r="821" spans="1:9" x14ac:dyDescent="0.25">
      <c r="A821" s="3" t="s">
        <v>574</v>
      </c>
      <c r="B821" s="3" t="s">
        <v>5878</v>
      </c>
      <c r="C821" s="3" t="s">
        <v>4756</v>
      </c>
      <c r="D821" s="3" t="s">
        <v>7161</v>
      </c>
      <c r="E821" s="3"/>
      <c r="F821" s="3">
        <v>0.186</v>
      </c>
      <c r="G821" s="3" t="s">
        <v>7163</v>
      </c>
      <c r="H821" s="3">
        <v>0</v>
      </c>
      <c r="I821" s="3">
        <v>0</v>
      </c>
    </row>
    <row r="822" spans="1:9" x14ac:dyDescent="0.25">
      <c r="A822" s="2" t="s">
        <v>574</v>
      </c>
      <c r="B822" s="2" t="s">
        <v>5878</v>
      </c>
      <c r="C822" s="2" t="s">
        <v>4756</v>
      </c>
      <c r="D822" s="2" t="s">
        <v>7201</v>
      </c>
      <c r="E822" s="2"/>
      <c r="F822" s="2">
        <v>1.92</v>
      </c>
      <c r="G822" s="2" t="s">
        <v>7163</v>
      </c>
      <c r="H822" s="2">
        <v>0</v>
      </c>
      <c r="I822" s="2">
        <v>0</v>
      </c>
    </row>
    <row r="823" spans="1:9" x14ac:dyDescent="0.25">
      <c r="A823" s="3" t="s">
        <v>574</v>
      </c>
      <c r="B823" s="3" t="s">
        <v>5878</v>
      </c>
      <c r="C823" s="3" t="s">
        <v>4756</v>
      </c>
      <c r="D823" s="3" t="s">
        <v>7167</v>
      </c>
      <c r="E823" s="3"/>
      <c r="F823" s="3">
        <v>5</v>
      </c>
      <c r="G823" s="3" t="s">
        <v>7158</v>
      </c>
      <c r="H823" s="3">
        <v>0.2</v>
      </c>
      <c r="I823" s="3">
        <v>1</v>
      </c>
    </row>
    <row r="824" spans="1:9" x14ac:dyDescent="0.25">
      <c r="A824" s="2" t="s">
        <v>574</v>
      </c>
      <c r="B824" s="2" t="s">
        <v>5878</v>
      </c>
      <c r="C824" s="2" t="s">
        <v>4756</v>
      </c>
      <c r="D824" s="2" t="s">
        <v>7231</v>
      </c>
      <c r="E824" s="2"/>
      <c r="F824" s="2">
        <v>48</v>
      </c>
      <c r="G824" s="2" t="s">
        <v>7158</v>
      </c>
      <c r="H824" s="2">
        <v>8.0000000000000002E-3</v>
      </c>
      <c r="I824" s="2">
        <v>0.38400000000000001</v>
      </c>
    </row>
    <row r="825" spans="1:9" x14ac:dyDescent="0.25">
      <c r="A825" s="3" t="s">
        <v>574</v>
      </c>
      <c r="B825" s="3" t="s">
        <v>5878</v>
      </c>
      <c r="C825" s="3" t="s">
        <v>4756</v>
      </c>
      <c r="D825" s="3" t="s">
        <v>7232</v>
      </c>
      <c r="E825" s="3"/>
      <c r="F825" s="3">
        <v>48</v>
      </c>
      <c r="G825" s="3" t="s">
        <v>7158</v>
      </c>
      <c r="H825" s="3">
        <v>8.0000000000000002E-3</v>
      </c>
      <c r="I825" s="3">
        <v>0.38400000000000001</v>
      </c>
    </row>
    <row r="826" spans="1:9" x14ac:dyDescent="0.25">
      <c r="A826" s="2" t="s">
        <v>1940</v>
      </c>
      <c r="B826" s="2" t="s">
        <v>5884</v>
      </c>
      <c r="C826" s="2" t="s">
        <v>4756</v>
      </c>
      <c r="D826" s="2" t="s">
        <v>7156</v>
      </c>
      <c r="E826" s="2"/>
      <c r="F826" s="2">
        <v>1</v>
      </c>
      <c r="G826" s="2" t="s">
        <v>7158</v>
      </c>
      <c r="H826" s="2">
        <v>26</v>
      </c>
      <c r="I826" s="2">
        <v>26</v>
      </c>
    </row>
    <row r="827" spans="1:9" x14ac:dyDescent="0.25">
      <c r="A827" s="3" t="s">
        <v>1940</v>
      </c>
      <c r="B827" s="3" t="s">
        <v>5884</v>
      </c>
      <c r="C827" s="3" t="s">
        <v>4756</v>
      </c>
      <c r="D827" s="3" t="s">
        <v>7159</v>
      </c>
      <c r="E827" s="3"/>
      <c r="F827" s="3">
        <v>20</v>
      </c>
      <c r="G827" s="3" t="s">
        <v>7155</v>
      </c>
      <c r="H827" s="3">
        <v>1.8319999999999999E-2</v>
      </c>
      <c r="I827" s="3">
        <v>0.3664</v>
      </c>
    </row>
    <row r="828" spans="1:9" x14ac:dyDescent="0.25">
      <c r="A828" s="2" t="s">
        <v>1940</v>
      </c>
      <c r="B828" s="2" t="s">
        <v>5884</v>
      </c>
      <c r="C828" s="2" t="s">
        <v>4756</v>
      </c>
      <c r="D828" s="2" t="s">
        <v>7161</v>
      </c>
      <c r="E828" s="2"/>
      <c r="F828" s="2">
        <v>0.186</v>
      </c>
      <c r="G828" s="2" t="s">
        <v>7163</v>
      </c>
      <c r="H828" s="2">
        <v>0</v>
      </c>
      <c r="I828" s="2">
        <v>0</v>
      </c>
    </row>
    <row r="829" spans="1:9" x14ac:dyDescent="0.25">
      <c r="A829" s="3" t="s">
        <v>1940</v>
      </c>
      <c r="B829" s="3" t="s">
        <v>5884</v>
      </c>
      <c r="C829" s="3" t="s">
        <v>4756</v>
      </c>
      <c r="D829" s="3" t="s">
        <v>7201</v>
      </c>
      <c r="E829" s="3"/>
      <c r="F829" s="3">
        <v>1.92</v>
      </c>
      <c r="G829" s="3" t="s">
        <v>7163</v>
      </c>
      <c r="H829" s="3">
        <v>0</v>
      </c>
      <c r="I829" s="3">
        <v>0</v>
      </c>
    </row>
    <row r="830" spans="1:9" x14ac:dyDescent="0.25">
      <c r="A830" s="2" t="s">
        <v>1940</v>
      </c>
      <c r="B830" s="2" t="s">
        <v>5884</v>
      </c>
      <c r="C830" s="2" t="s">
        <v>4756</v>
      </c>
      <c r="D830" s="2" t="s">
        <v>7167</v>
      </c>
      <c r="E830" s="2"/>
      <c r="F830" s="2">
        <v>5</v>
      </c>
      <c r="G830" s="2" t="s">
        <v>7158</v>
      </c>
      <c r="H830" s="2">
        <v>0.2</v>
      </c>
      <c r="I830" s="2">
        <v>1</v>
      </c>
    </row>
    <row r="831" spans="1:9" x14ac:dyDescent="0.25">
      <c r="A831" s="3" t="s">
        <v>1940</v>
      </c>
      <c r="B831" s="3" t="s">
        <v>5884</v>
      </c>
      <c r="C831" s="3" t="s">
        <v>4756</v>
      </c>
      <c r="D831" s="3" t="s">
        <v>7260</v>
      </c>
      <c r="E831" s="3"/>
      <c r="F831" s="3">
        <v>48</v>
      </c>
      <c r="G831" s="3" t="s">
        <v>7158</v>
      </c>
      <c r="H831" s="3">
        <v>8.0000000000000002E-3</v>
      </c>
      <c r="I831" s="3">
        <v>0.38400000000000001</v>
      </c>
    </row>
    <row r="832" spans="1:9" x14ac:dyDescent="0.25">
      <c r="A832" s="2" t="s">
        <v>1940</v>
      </c>
      <c r="B832" s="2" t="s">
        <v>5884</v>
      </c>
      <c r="C832" s="2" t="s">
        <v>4756</v>
      </c>
      <c r="D832" s="2" t="s">
        <v>7261</v>
      </c>
      <c r="E832" s="2"/>
      <c r="F832" s="2">
        <v>48</v>
      </c>
      <c r="G832" s="2" t="s">
        <v>7158</v>
      </c>
      <c r="H832" s="2">
        <v>8.0000000000000002E-3</v>
      </c>
      <c r="I832" s="2">
        <v>0.38400000000000001</v>
      </c>
    </row>
    <row r="833" spans="1:9" ht="258.75" customHeight="1" x14ac:dyDescent="0.25">
      <c r="A833" s="3" t="s">
        <v>878</v>
      </c>
      <c r="B833" s="3" t="s">
        <v>5890</v>
      </c>
      <c r="C833" s="3" t="s">
        <v>4802</v>
      </c>
      <c r="D833" s="3" t="s">
        <v>7153</v>
      </c>
      <c r="E833" s="3" t="s">
        <v>7154</v>
      </c>
      <c r="F833" s="3">
        <v>14</v>
      </c>
      <c r="G833" s="3" t="s">
        <v>7155</v>
      </c>
      <c r="H833" s="3">
        <v>1.24E-2</v>
      </c>
      <c r="I833" s="3">
        <v>0.1736</v>
      </c>
    </row>
    <row r="834" spans="1:9" ht="258.75" customHeight="1" x14ac:dyDescent="0.25">
      <c r="A834" s="2" t="s">
        <v>878</v>
      </c>
      <c r="B834" s="2" t="s">
        <v>5890</v>
      </c>
      <c r="C834" s="2" t="s">
        <v>4802</v>
      </c>
      <c r="D834" s="2" t="s">
        <v>7156</v>
      </c>
      <c r="E834" s="2" t="s">
        <v>7157</v>
      </c>
      <c r="F834" s="2">
        <v>1</v>
      </c>
      <c r="G834" s="2" t="s">
        <v>7158</v>
      </c>
      <c r="H834" s="2">
        <v>26</v>
      </c>
      <c r="I834" s="2">
        <v>26</v>
      </c>
    </row>
    <row r="835" spans="1:9" ht="258.75" customHeight="1" x14ac:dyDescent="0.25">
      <c r="A835" s="3" t="s">
        <v>878</v>
      </c>
      <c r="B835" s="3" t="s">
        <v>5890</v>
      </c>
      <c r="C835" s="3" t="s">
        <v>4802</v>
      </c>
      <c r="D835" s="3" t="s">
        <v>7159</v>
      </c>
      <c r="E835" s="3" t="s">
        <v>7160</v>
      </c>
      <c r="F835" s="3">
        <v>20</v>
      </c>
      <c r="G835" s="3" t="s">
        <v>7155</v>
      </c>
      <c r="H835" s="3">
        <v>1.8319999999999999E-2</v>
      </c>
      <c r="I835" s="3">
        <v>0.3664</v>
      </c>
    </row>
    <row r="836" spans="1:9" ht="258.75" customHeight="1" x14ac:dyDescent="0.25">
      <c r="A836" s="2" t="s">
        <v>878</v>
      </c>
      <c r="B836" s="2" t="s">
        <v>5890</v>
      </c>
      <c r="C836" s="2" t="s">
        <v>4802</v>
      </c>
      <c r="D836" s="2" t="s">
        <v>7161</v>
      </c>
      <c r="E836" s="2" t="s">
        <v>7162</v>
      </c>
      <c r="F836" s="2">
        <v>0.186</v>
      </c>
      <c r="G836" s="2" t="s">
        <v>7163</v>
      </c>
      <c r="H836" s="2" t="s">
        <v>7164</v>
      </c>
      <c r="I836" s="2">
        <v>0.186</v>
      </c>
    </row>
    <row r="837" spans="1:9" ht="258.75" customHeight="1" x14ac:dyDescent="0.25">
      <c r="A837" s="3" t="s">
        <v>878</v>
      </c>
      <c r="B837" s="3" t="s">
        <v>5890</v>
      </c>
      <c r="C837" s="3" t="s">
        <v>4802</v>
      </c>
      <c r="D837" s="3" t="s">
        <v>7165</v>
      </c>
      <c r="E837" s="3" t="s">
        <v>7166</v>
      </c>
      <c r="F837" s="3">
        <v>4</v>
      </c>
      <c r="G837" s="3" t="s">
        <v>7158</v>
      </c>
      <c r="H837" s="3">
        <v>0.1</v>
      </c>
      <c r="I837" s="3">
        <v>0.4</v>
      </c>
    </row>
    <row r="838" spans="1:9" ht="258.75" customHeight="1" x14ac:dyDescent="0.25">
      <c r="A838" s="2" t="s">
        <v>878</v>
      </c>
      <c r="B838" s="2" t="s">
        <v>5890</v>
      </c>
      <c r="C838" s="2" t="s">
        <v>4802</v>
      </c>
      <c r="D838" s="2" t="s">
        <v>7167</v>
      </c>
      <c r="E838" s="2" t="s">
        <v>7168</v>
      </c>
      <c r="F838" s="2">
        <v>4</v>
      </c>
      <c r="G838" s="2" t="s">
        <v>7158</v>
      </c>
      <c r="H838" s="2">
        <v>0.2</v>
      </c>
      <c r="I838" s="2">
        <v>0.8</v>
      </c>
    </row>
    <row r="839" spans="1:9" ht="22.5" customHeight="1" x14ac:dyDescent="0.25">
      <c r="A839" s="3" t="s">
        <v>4043</v>
      </c>
      <c r="B839" s="3" t="s">
        <v>4042</v>
      </c>
      <c r="C839" s="3" t="s">
        <v>5018</v>
      </c>
      <c r="D839" s="3" t="s">
        <v>7153</v>
      </c>
      <c r="E839" s="3" t="s">
        <v>7154</v>
      </c>
      <c r="F839" s="3">
        <v>7</v>
      </c>
      <c r="G839" s="3" t="s">
        <v>7155</v>
      </c>
      <c r="H839" s="3">
        <v>1.24E-2</v>
      </c>
      <c r="I839" s="3">
        <v>8.6800000000000002E-2</v>
      </c>
    </row>
    <row r="840" spans="1:9" ht="22.5" customHeight="1" x14ac:dyDescent="0.25">
      <c r="A840" s="2" t="s">
        <v>4043</v>
      </c>
      <c r="B840" s="2" t="s">
        <v>4042</v>
      </c>
      <c r="C840" s="2" t="s">
        <v>5018</v>
      </c>
      <c r="D840" s="2" t="s">
        <v>7156</v>
      </c>
      <c r="E840" s="2" t="s">
        <v>7157</v>
      </c>
      <c r="F840" s="2">
        <v>1</v>
      </c>
      <c r="G840" s="2" t="s">
        <v>7158</v>
      </c>
      <c r="H840" s="2">
        <v>26</v>
      </c>
      <c r="I840" s="2">
        <v>26</v>
      </c>
    </row>
    <row r="841" spans="1:9" ht="22.5" customHeight="1" x14ac:dyDescent="0.25">
      <c r="A841" s="3" t="s">
        <v>4043</v>
      </c>
      <c r="B841" s="3" t="s">
        <v>4042</v>
      </c>
      <c r="C841" s="3" t="s">
        <v>5018</v>
      </c>
      <c r="D841" s="3" t="s">
        <v>7159</v>
      </c>
      <c r="E841" s="3" t="s">
        <v>7160</v>
      </c>
      <c r="F841" s="3">
        <v>20</v>
      </c>
      <c r="G841" s="3" t="s">
        <v>7155</v>
      </c>
      <c r="H841" s="3">
        <v>1.8319999999999999E-2</v>
      </c>
      <c r="I841" s="3">
        <v>0.3664</v>
      </c>
    </row>
    <row r="842" spans="1:9" ht="22.5" customHeight="1" x14ac:dyDescent="0.25">
      <c r="A842" s="2" t="s">
        <v>4043</v>
      </c>
      <c r="B842" s="2" t="s">
        <v>4042</v>
      </c>
      <c r="C842" s="2" t="s">
        <v>5018</v>
      </c>
      <c r="D842" s="2" t="s">
        <v>7161</v>
      </c>
      <c r="E842" s="2" t="s">
        <v>7162</v>
      </c>
      <c r="F842" s="2">
        <v>0.186</v>
      </c>
      <c r="G842" s="2" t="s">
        <v>7163</v>
      </c>
      <c r="H842" s="2" t="s">
        <v>7164</v>
      </c>
      <c r="I842" s="2">
        <v>0.186</v>
      </c>
    </row>
    <row r="843" spans="1:9" ht="22.5" customHeight="1" x14ac:dyDescent="0.25">
      <c r="A843" s="3" t="s">
        <v>4043</v>
      </c>
      <c r="B843" s="3" t="s">
        <v>4042</v>
      </c>
      <c r="C843" s="3" t="s">
        <v>5018</v>
      </c>
      <c r="D843" s="3" t="s">
        <v>7207</v>
      </c>
      <c r="E843" s="3" t="s">
        <v>7208</v>
      </c>
      <c r="F843" s="3">
        <v>1.579</v>
      </c>
      <c r="G843" s="3" t="s">
        <v>7163</v>
      </c>
      <c r="H843" s="3" t="s">
        <v>7164</v>
      </c>
      <c r="I843" s="3">
        <v>1.579</v>
      </c>
    </row>
    <row r="844" spans="1:9" ht="33.75" customHeight="1" x14ac:dyDescent="0.25">
      <c r="A844" s="2" t="s">
        <v>4043</v>
      </c>
      <c r="B844" s="2" t="s">
        <v>4042</v>
      </c>
      <c r="C844" s="2" t="s">
        <v>5018</v>
      </c>
      <c r="D844" s="2" t="s">
        <v>7165</v>
      </c>
      <c r="E844" s="2" t="s">
        <v>7166</v>
      </c>
      <c r="F844" s="2">
        <v>2</v>
      </c>
      <c r="G844" s="2" t="s">
        <v>7158</v>
      </c>
      <c r="H844" s="2">
        <v>0.1</v>
      </c>
      <c r="I844" s="2">
        <v>0.2</v>
      </c>
    </row>
    <row r="845" spans="1:9" ht="33.75" customHeight="1" x14ac:dyDescent="0.25">
      <c r="A845" s="3" t="s">
        <v>4043</v>
      </c>
      <c r="B845" s="3" t="s">
        <v>4042</v>
      </c>
      <c r="C845" s="3" t="s">
        <v>5018</v>
      </c>
      <c r="D845" s="3" t="s">
        <v>7167</v>
      </c>
      <c r="E845" s="3" t="s">
        <v>7168</v>
      </c>
      <c r="F845" s="3">
        <v>4</v>
      </c>
      <c r="G845" s="3" t="s">
        <v>7158</v>
      </c>
      <c r="H845" s="3">
        <v>0.2</v>
      </c>
      <c r="I845" s="3">
        <v>0.8</v>
      </c>
    </row>
    <row r="846" spans="1:9" ht="33.75" customHeight="1" x14ac:dyDescent="0.25">
      <c r="A846" s="2" t="s">
        <v>1719</v>
      </c>
      <c r="B846" s="2" t="s">
        <v>5905</v>
      </c>
      <c r="C846" s="2" t="s">
        <v>4845</v>
      </c>
      <c r="D846" s="2" t="s">
        <v>7153</v>
      </c>
      <c r="E846" s="2" t="s">
        <v>7154</v>
      </c>
      <c r="F846" s="2">
        <v>7</v>
      </c>
      <c r="G846" s="2" t="s">
        <v>7155</v>
      </c>
      <c r="H846" s="2">
        <v>1.24E-2</v>
      </c>
      <c r="I846" s="2">
        <v>8.6800000000000002E-2</v>
      </c>
    </row>
    <row r="847" spans="1:9" ht="33.75" customHeight="1" x14ac:dyDescent="0.25">
      <c r="A847" s="3" t="s">
        <v>1719</v>
      </c>
      <c r="B847" s="3" t="s">
        <v>5905</v>
      </c>
      <c r="C847" s="3" t="s">
        <v>4845</v>
      </c>
      <c r="D847" s="3" t="s">
        <v>7156</v>
      </c>
      <c r="E847" s="3" t="s">
        <v>7157</v>
      </c>
      <c r="F847" s="3">
        <v>1</v>
      </c>
      <c r="G847" s="3" t="s">
        <v>7158</v>
      </c>
      <c r="H847" s="3">
        <v>26</v>
      </c>
      <c r="I847" s="3">
        <v>26</v>
      </c>
    </row>
    <row r="848" spans="1:9" ht="33.75" customHeight="1" x14ac:dyDescent="0.25">
      <c r="A848" s="2" t="s">
        <v>1719</v>
      </c>
      <c r="B848" s="2" t="s">
        <v>5905</v>
      </c>
      <c r="C848" s="2" t="s">
        <v>4845</v>
      </c>
      <c r="D848" s="2" t="s">
        <v>7159</v>
      </c>
      <c r="E848" s="2" t="s">
        <v>7160</v>
      </c>
      <c r="F848" s="2">
        <v>20</v>
      </c>
      <c r="G848" s="2" t="s">
        <v>7155</v>
      </c>
      <c r="H848" s="2">
        <v>1.8319999999999999E-2</v>
      </c>
      <c r="I848" s="2">
        <v>0.3664</v>
      </c>
    </row>
    <row r="849" spans="1:9" ht="33.75" customHeight="1" x14ac:dyDescent="0.25">
      <c r="A849" s="3" t="s">
        <v>1719</v>
      </c>
      <c r="B849" s="3" t="s">
        <v>5905</v>
      </c>
      <c r="C849" s="3" t="s">
        <v>4845</v>
      </c>
      <c r="D849" s="3" t="s">
        <v>7161</v>
      </c>
      <c r="E849" s="3" t="s">
        <v>7162</v>
      </c>
      <c r="F849" s="3">
        <v>0.186</v>
      </c>
      <c r="G849" s="3" t="s">
        <v>7163</v>
      </c>
      <c r="H849" s="3" t="s">
        <v>7164</v>
      </c>
      <c r="I849" s="3">
        <v>0.186</v>
      </c>
    </row>
    <row r="850" spans="1:9" ht="33.75" customHeight="1" x14ac:dyDescent="0.25">
      <c r="A850" s="2" t="s">
        <v>1719</v>
      </c>
      <c r="B850" s="2" t="s">
        <v>5905</v>
      </c>
      <c r="C850" s="2" t="s">
        <v>4845</v>
      </c>
      <c r="D850" s="2" t="s">
        <v>7207</v>
      </c>
      <c r="E850" s="2" t="s">
        <v>7208</v>
      </c>
      <c r="F850" s="2">
        <v>1.6839999999999999</v>
      </c>
      <c r="G850" s="2" t="s">
        <v>7163</v>
      </c>
      <c r="H850" s="2" t="s">
        <v>7164</v>
      </c>
      <c r="I850" s="2">
        <v>1.6839999999999999</v>
      </c>
    </row>
    <row r="851" spans="1:9" ht="33.75" customHeight="1" x14ac:dyDescent="0.25">
      <c r="A851" s="3" t="s">
        <v>1719</v>
      </c>
      <c r="B851" s="3" t="s">
        <v>5905</v>
      </c>
      <c r="C851" s="3" t="s">
        <v>4845</v>
      </c>
      <c r="D851" s="3" t="s">
        <v>7165</v>
      </c>
      <c r="E851" s="3" t="s">
        <v>7166</v>
      </c>
      <c r="F851" s="3">
        <v>2</v>
      </c>
      <c r="G851" s="3" t="s">
        <v>7158</v>
      </c>
      <c r="H851" s="3">
        <v>0.1</v>
      </c>
      <c r="I851" s="3">
        <v>0.2</v>
      </c>
    </row>
    <row r="852" spans="1:9" ht="33.75" customHeight="1" x14ac:dyDescent="0.25">
      <c r="A852" s="2" t="s">
        <v>1719</v>
      </c>
      <c r="B852" s="2" t="s">
        <v>5905</v>
      </c>
      <c r="C852" s="2" t="s">
        <v>4845</v>
      </c>
      <c r="D852" s="2" t="s">
        <v>7167</v>
      </c>
      <c r="E852" s="2" t="s">
        <v>7168</v>
      </c>
      <c r="F852" s="2">
        <v>4</v>
      </c>
      <c r="G852" s="2" t="s">
        <v>7158</v>
      </c>
      <c r="H852" s="2">
        <v>0.2</v>
      </c>
      <c r="I852" s="2">
        <v>0.8</v>
      </c>
    </row>
    <row r="853" spans="1:9" ht="67.5" customHeight="1" x14ac:dyDescent="0.25">
      <c r="A853" s="3" t="s">
        <v>1878</v>
      </c>
      <c r="B853" s="3" t="s">
        <v>5913</v>
      </c>
      <c r="C853" s="3" t="s">
        <v>4870</v>
      </c>
      <c r="D853" s="3" t="s">
        <v>7153</v>
      </c>
      <c r="E853" s="3" t="s">
        <v>7154</v>
      </c>
      <c r="F853" s="3">
        <v>7</v>
      </c>
      <c r="G853" s="3" t="s">
        <v>7155</v>
      </c>
      <c r="H853" s="3">
        <v>1.24E-2</v>
      </c>
      <c r="I853" s="3">
        <v>8.6800000000000002E-2</v>
      </c>
    </row>
    <row r="854" spans="1:9" ht="67.5" customHeight="1" x14ac:dyDescent="0.25">
      <c r="A854" s="2" t="s">
        <v>1878</v>
      </c>
      <c r="B854" s="2" t="s">
        <v>5913</v>
      </c>
      <c r="C854" s="2" t="s">
        <v>4870</v>
      </c>
      <c r="D854" s="2" t="s">
        <v>7156</v>
      </c>
      <c r="E854" s="2" t="s">
        <v>7157</v>
      </c>
      <c r="F854" s="2">
        <v>1</v>
      </c>
      <c r="G854" s="2" t="s">
        <v>7158</v>
      </c>
      <c r="H854" s="2">
        <v>26</v>
      </c>
      <c r="I854" s="2">
        <v>26</v>
      </c>
    </row>
    <row r="855" spans="1:9" ht="67.5" customHeight="1" x14ac:dyDescent="0.25">
      <c r="A855" s="3" t="s">
        <v>1878</v>
      </c>
      <c r="B855" s="3" t="s">
        <v>5913</v>
      </c>
      <c r="C855" s="3" t="s">
        <v>4870</v>
      </c>
      <c r="D855" s="3" t="s">
        <v>7159</v>
      </c>
      <c r="E855" s="3" t="s">
        <v>7160</v>
      </c>
      <c r="F855" s="3">
        <v>20</v>
      </c>
      <c r="G855" s="3" t="s">
        <v>7155</v>
      </c>
      <c r="H855" s="3">
        <v>1.8319999999999999E-2</v>
      </c>
      <c r="I855" s="3">
        <v>0.3664</v>
      </c>
    </row>
    <row r="856" spans="1:9" ht="67.5" customHeight="1" x14ac:dyDescent="0.25">
      <c r="A856" s="2" t="s">
        <v>1878</v>
      </c>
      <c r="B856" s="2" t="s">
        <v>5913</v>
      </c>
      <c r="C856" s="2" t="s">
        <v>4870</v>
      </c>
      <c r="D856" s="2" t="s">
        <v>7161</v>
      </c>
      <c r="E856" s="2" t="s">
        <v>7162</v>
      </c>
      <c r="F856" s="2">
        <v>0.186</v>
      </c>
      <c r="G856" s="2" t="s">
        <v>7163</v>
      </c>
      <c r="H856" s="2" t="s">
        <v>7164</v>
      </c>
      <c r="I856" s="2">
        <v>0.186</v>
      </c>
    </row>
    <row r="857" spans="1:9" ht="67.5" customHeight="1" x14ac:dyDescent="0.25">
      <c r="A857" s="3" t="s">
        <v>1878</v>
      </c>
      <c r="B857" s="3" t="s">
        <v>5913</v>
      </c>
      <c r="C857" s="3" t="s">
        <v>4870</v>
      </c>
      <c r="D857" s="3" t="s">
        <v>7165</v>
      </c>
      <c r="E857" s="3" t="s">
        <v>7166</v>
      </c>
      <c r="F857" s="3">
        <v>2</v>
      </c>
      <c r="G857" s="3" t="s">
        <v>7158</v>
      </c>
      <c r="H857" s="3">
        <v>0.1</v>
      </c>
      <c r="I857" s="3">
        <v>0.2</v>
      </c>
    </row>
    <row r="858" spans="1:9" ht="67.5" customHeight="1" x14ac:dyDescent="0.25">
      <c r="A858" s="2" t="s">
        <v>1878</v>
      </c>
      <c r="B858" s="2" t="s">
        <v>5913</v>
      </c>
      <c r="C858" s="2" t="s">
        <v>4870</v>
      </c>
      <c r="D858" s="2" t="s">
        <v>7167</v>
      </c>
      <c r="E858" s="2" t="s">
        <v>7168</v>
      </c>
      <c r="F858" s="2">
        <v>4</v>
      </c>
      <c r="G858" s="2" t="s">
        <v>7158</v>
      </c>
      <c r="H858" s="2">
        <v>0.2</v>
      </c>
      <c r="I858" s="2">
        <v>0.8</v>
      </c>
    </row>
    <row r="859" spans="1:9" ht="22.5" customHeight="1" x14ac:dyDescent="0.25">
      <c r="A859" s="3" t="s">
        <v>1096</v>
      </c>
      <c r="B859" s="3" t="s">
        <v>5921</v>
      </c>
      <c r="C859" s="3" t="s">
        <v>4810</v>
      </c>
      <c r="D859" s="3" t="s">
        <v>7153</v>
      </c>
      <c r="E859" s="3" t="s">
        <v>7154</v>
      </c>
      <c r="F859" s="3">
        <v>14</v>
      </c>
      <c r="G859" s="3" t="s">
        <v>7155</v>
      </c>
      <c r="H859" s="3">
        <v>1.24E-2</v>
      </c>
      <c r="I859" s="3">
        <v>0.1736</v>
      </c>
    </row>
    <row r="860" spans="1:9" ht="22.5" customHeight="1" x14ac:dyDescent="0.25">
      <c r="A860" s="2" t="s">
        <v>1096</v>
      </c>
      <c r="B860" s="2" t="s">
        <v>5921</v>
      </c>
      <c r="C860" s="2" t="s">
        <v>4810</v>
      </c>
      <c r="D860" s="2" t="s">
        <v>7210</v>
      </c>
      <c r="E860" s="2" t="s">
        <v>7211</v>
      </c>
      <c r="F860" s="2">
        <v>51</v>
      </c>
      <c r="G860" s="2" t="s">
        <v>7158</v>
      </c>
      <c r="H860" s="2">
        <v>6.2399999999999997E-2</v>
      </c>
      <c r="I860" s="2">
        <v>3.1823999999999999</v>
      </c>
    </row>
    <row r="861" spans="1:9" ht="33.75" customHeight="1" x14ac:dyDescent="0.25">
      <c r="A861" s="3" t="s">
        <v>1096</v>
      </c>
      <c r="B861" s="3" t="s">
        <v>5921</v>
      </c>
      <c r="C861" s="3" t="s">
        <v>4810</v>
      </c>
      <c r="D861" s="3" t="s">
        <v>7186</v>
      </c>
      <c r="E861" s="3" t="s">
        <v>7187</v>
      </c>
      <c r="F861" s="3">
        <v>1</v>
      </c>
      <c r="G861" s="3" t="s">
        <v>7158</v>
      </c>
      <c r="H861" s="3">
        <v>26</v>
      </c>
      <c r="I861" s="3">
        <v>26</v>
      </c>
    </row>
    <row r="862" spans="1:9" ht="22.5" customHeight="1" x14ac:dyDescent="0.25">
      <c r="A862" s="2" t="s">
        <v>1096</v>
      </c>
      <c r="B862" s="2" t="s">
        <v>5921</v>
      </c>
      <c r="C862" s="2" t="s">
        <v>4810</v>
      </c>
      <c r="D862" s="2" t="s">
        <v>7159</v>
      </c>
      <c r="E862" s="2" t="s">
        <v>7160</v>
      </c>
      <c r="F862" s="2">
        <v>20</v>
      </c>
      <c r="G862" s="2" t="s">
        <v>7155</v>
      </c>
      <c r="H862" s="2">
        <v>1.8319999999999999E-2</v>
      </c>
      <c r="I862" s="2">
        <v>0.3664</v>
      </c>
    </row>
    <row r="863" spans="1:9" ht="22.5" customHeight="1" x14ac:dyDescent="0.25">
      <c r="A863" s="3" t="s">
        <v>1096</v>
      </c>
      <c r="B863" s="3" t="s">
        <v>5921</v>
      </c>
      <c r="C863" s="3" t="s">
        <v>4810</v>
      </c>
      <c r="D863" s="3" t="s">
        <v>7161</v>
      </c>
      <c r="E863" s="3" t="s">
        <v>7162</v>
      </c>
      <c r="F863" s="3">
        <v>0.186</v>
      </c>
      <c r="G863" s="3" t="s">
        <v>7163</v>
      </c>
      <c r="H863" s="3" t="s">
        <v>7164</v>
      </c>
      <c r="I863" s="3">
        <v>0.186</v>
      </c>
    </row>
    <row r="864" spans="1:9" ht="33.75" customHeight="1" x14ac:dyDescent="0.25">
      <c r="A864" s="2" t="s">
        <v>1096</v>
      </c>
      <c r="B864" s="2" t="s">
        <v>5921</v>
      </c>
      <c r="C864" s="2" t="s">
        <v>4810</v>
      </c>
      <c r="D864" s="2" t="s">
        <v>7212</v>
      </c>
      <c r="E864" s="2" t="s">
        <v>7213</v>
      </c>
      <c r="F864" s="2">
        <v>6</v>
      </c>
      <c r="G864" s="2" t="s">
        <v>7158</v>
      </c>
      <c r="H864" s="2">
        <v>0.21</v>
      </c>
      <c r="I864" s="2">
        <v>1.26</v>
      </c>
    </row>
    <row r="865" spans="1:9" ht="33.75" customHeight="1" x14ac:dyDescent="0.25">
      <c r="A865" s="3" t="s">
        <v>1096</v>
      </c>
      <c r="B865" s="3" t="s">
        <v>5921</v>
      </c>
      <c r="C865" s="3" t="s">
        <v>4810</v>
      </c>
      <c r="D865" s="3" t="s">
        <v>7188</v>
      </c>
      <c r="E865" s="3" t="s">
        <v>7189</v>
      </c>
      <c r="F865" s="3">
        <v>4</v>
      </c>
      <c r="G865" s="3" t="s">
        <v>7158</v>
      </c>
      <c r="H865" s="3">
        <v>0.27</v>
      </c>
      <c r="I865" s="3">
        <v>1.08</v>
      </c>
    </row>
    <row r="866" spans="1:9" ht="22.5" customHeight="1" x14ac:dyDescent="0.25">
      <c r="A866" s="2" t="s">
        <v>1096</v>
      </c>
      <c r="B866" s="2" t="s">
        <v>5921</v>
      </c>
      <c r="C866" s="2" t="s">
        <v>4810</v>
      </c>
      <c r="D866" s="2" t="s">
        <v>7262</v>
      </c>
      <c r="E866" s="2" t="s">
        <v>7263</v>
      </c>
      <c r="F866" s="2">
        <v>51</v>
      </c>
      <c r="G866" s="2" t="s">
        <v>7158</v>
      </c>
      <c r="H866" s="2">
        <v>0.28999999999999998</v>
      </c>
      <c r="I866" s="2">
        <v>14.79</v>
      </c>
    </row>
    <row r="867" spans="1:9" ht="22.5" customHeight="1" x14ac:dyDescent="0.25">
      <c r="A867" s="3" t="s">
        <v>2628</v>
      </c>
      <c r="B867" s="3" t="s">
        <v>2627</v>
      </c>
      <c r="C867" s="3" t="s">
        <v>4931</v>
      </c>
      <c r="D867" s="3" t="s">
        <v>7153</v>
      </c>
      <c r="E867" s="3" t="s">
        <v>7154</v>
      </c>
      <c r="F867" s="3">
        <v>14</v>
      </c>
      <c r="G867" s="3" t="s">
        <v>7155</v>
      </c>
      <c r="H867" s="3">
        <v>1.24E-2</v>
      </c>
      <c r="I867" s="3">
        <v>0.1736</v>
      </c>
    </row>
    <row r="868" spans="1:9" ht="22.5" customHeight="1" x14ac:dyDescent="0.25">
      <c r="A868" s="2" t="s">
        <v>2628</v>
      </c>
      <c r="B868" s="2" t="s">
        <v>2627</v>
      </c>
      <c r="C868" s="2" t="s">
        <v>4931</v>
      </c>
      <c r="D868" s="2" t="s">
        <v>7210</v>
      </c>
      <c r="E868" s="2" t="s">
        <v>7211</v>
      </c>
      <c r="F868" s="2">
        <v>51</v>
      </c>
      <c r="G868" s="2" t="s">
        <v>7158</v>
      </c>
      <c r="H868" s="2">
        <v>6.2399999999999997E-2</v>
      </c>
      <c r="I868" s="2">
        <v>3.1823999999999999</v>
      </c>
    </row>
    <row r="869" spans="1:9" ht="33.75" customHeight="1" x14ac:dyDescent="0.25">
      <c r="A869" s="3" t="s">
        <v>2628</v>
      </c>
      <c r="B869" s="3" t="s">
        <v>2627</v>
      </c>
      <c r="C869" s="3" t="s">
        <v>4931</v>
      </c>
      <c r="D869" s="3" t="s">
        <v>7186</v>
      </c>
      <c r="E869" s="3" t="s">
        <v>7187</v>
      </c>
      <c r="F869" s="3">
        <v>1</v>
      </c>
      <c r="G869" s="3" t="s">
        <v>7158</v>
      </c>
      <c r="H869" s="3">
        <v>26</v>
      </c>
      <c r="I869" s="3">
        <v>26</v>
      </c>
    </row>
    <row r="870" spans="1:9" ht="22.5" customHeight="1" x14ac:dyDescent="0.25">
      <c r="A870" s="2" t="s">
        <v>2628</v>
      </c>
      <c r="B870" s="2" t="s">
        <v>2627</v>
      </c>
      <c r="C870" s="2" t="s">
        <v>4931</v>
      </c>
      <c r="D870" s="2" t="s">
        <v>7159</v>
      </c>
      <c r="E870" s="2" t="s">
        <v>7160</v>
      </c>
      <c r="F870" s="2">
        <v>20</v>
      </c>
      <c r="G870" s="2" t="s">
        <v>7155</v>
      </c>
      <c r="H870" s="2">
        <v>1.8319999999999999E-2</v>
      </c>
      <c r="I870" s="2">
        <v>0.3664</v>
      </c>
    </row>
    <row r="871" spans="1:9" ht="22.5" customHeight="1" x14ac:dyDescent="0.25">
      <c r="A871" s="3" t="s">
        <v>2628</v>
      </c>
      <c r="B871" s="3" t="s">
        <v>2627</v>
      </c>
      <c r="C871" s="3" t="s">
        <v>4931</v>
      </c>
      <c r="D871" s="3" t="s">
        <v>7161</v>
      </c>
      <c r="E871" s="3" t="s">
        <v>7162</v>
      </c>
      <c r="F871" s="3">
        <v>0.186</v>
      </c>
      <c r="G871" s="3" t="s">
        <v>7163</v>
      </c>
      <c r="H871" s="3" t="s">
        <v>7164</v>
      </c>
      <c r="I871" s="3">
        <v>0.186</v>
      </c>
    </row>
    <row r="872" spans="1:9" ht="33.75" customHeight="1" x14ac:dyDescent="0.25">
      <c r="A872" s="2" t="s">
        <v>2628</v>
      </c>
      <c r="B872" s="2" t="s">
        <v>2627</v>
      </c>
      <c r="C872" s="2" t="s">
        <v>4931</v>
      </c>
      <c r="D872" s="2" t="s">
        <v>7212</v>
      </c>
      <c r="E872" s="2" t="s">
        <v>7213</v>
      </c>
      <c r="F872" s="2">
        <v>6</v>
      </c>
      <c r="G872" s="2" t="s">
        <v>7158</v>
      </c>
      <c r="H872" s="2">
        <v>0.21</v>
      </c>
      <c r="I872" s="2">
        <v>1.26</v>
      </c>
    </row>
    <row r="873" spans="1:9" ht="33.75" customHeight="1" x14ac:dyDescent="0.25">
      <c r="A873" s="3" t="s">
        <v>2628</v>
      </c>
      <c r="B873" s="3" t="s">
        <v>2627</v>
      </c>
      <c r="C873" s="3" t="s">
        <v>4931</v>
      </c>
      <c r="D873" s="3" t="s">
        <v>7188</v>
      </c>
      <c r="E873" s="3" t="s">
        <v>7189</v>
      </c>
      <c r="F873" s="3">
        <v>4</v>
      </c>
      <c r="G873" s="3" t="s">
        <v>7158</v>
      </c>
      <c r="H873" s="3">
        <v>0.27</v>
      </c>
      <c r="I873" s="3">
        <v>1.08</v>
      </c>
    </row>
    <row r="874" spans="1:9" ht="22.5" customHeight="1" x14ac:dyDescent="0.25">
      <c r="A874" s="2" t="s">
        <v>2628</v>
      </c>
      <c r="B874" s="2" t="s">
        <v>2627</v>
      </c>
      <c r="C874" s="2" t="s">
        <v>4931</v>
      </c>
      <c r="D874" s="2" t="s">
        <v>7214</v>
      </c>
      <c r="E874" s="2" t="s">
        <v>7215</v>
      </c>
      <c r="F874" s="2">
        <v>51</v>
      </c>
      <c r="G874" s="2" t="s">
        <v>7158</v>
      </c>
      <c r="H874" s="2">
        <v>0.28999999999999998</v>
      </c>
      <c r="I874" s="2">
        <v>14.79</v>
      </c>
    </row>
    <row r="875" spans="1:9" ht="22.5" customHeight="1" x14ac:dyDescent="0.25">
      <c r="A875" s="3" t="s">
        <v>2346</v>
      </c>
      <c r="B875" s="3" t="s">
        <v>2345</v>
      </c>
      <c r="C875" s="3" t="s">
        <v>4903</v>
      </c>
      <c r="D875" s="3" t="s">
        <v>7153</v>
      </c>
      <c r="E875" s="3" t="s">
        <v>7154</v>
      </c>
      <c r="F875" s="3">
        <v>14</v>
      </c>
      <c r="G875" s="3" t="s">
        <v>7155</v>
      </c>
      <c r="H875" s="3">
        <v>1.24E-2</v>
      </c>
      <c r="I875" s="3">
        <v>0.1736</v>
      </c>
    </row>
    <row r="876" spans="1:9" ht="33.75" customHeight="1" x14ac:dyDescent="0.25">
      <c r="A876" s="2" t="s">
        <v>2346</v>
      </c>
      <c r="B876" s="2" t="s">
        <v>2345</v>
      </c>
      <c r="C876" s="2" t="s">
        <v>4903</v>
      </c>
      <c r="D876" s="2" t="s">
        <v>7186</v>
      </c>
      <c r="E876" s="2" t="s">
        <v>7187</v>
      </c>
      <c r="F876" s="2">
        <v>1</v>
      </c>
      <c r="G876" s="2" t="s">
        <v>7158</v>
      </c>
      <c r="H876" s="2">
        <v>26</v>
      </c>
      <c r="I876" s="2">
        <v>26</v>
      </c>
    </row>
    <row r="877" spans="1:9" ht="22.5" customHeight="1" x14ac:dyDescent="0.25">
      <c r="A877" s="3" t="s">
        <v>2346</v>
      </c>
      <c r="B877" s="3" t="s">
        <v>2345</v>
      </c>
      <c r="C877" s="3" t="s">
        <v>4903</v>
      </c>
      <c r="D877" s="3" t="s">
        <v>7159</v>
      </c>
      <c r="E877" s="3" t="s">
        <v>7160</v>
      </c>
      <c r="F877" s="3">
        <v>20</v>
      </c>
      <c r="G877" s="3" t="s">
        <v>7155</v>
      </c>
      <c r="H877" s="3">
        <v>1.8319999999999999E-2</v>
      </c>
      <c r="I877" s="3">
        <v>0.3664</v>
      </c>
    </row>
    <row r="878" spans="1:9" ht="22.5" customHeight="1" x14ac:dyDescent="0.25">
      <c r="A878" s="2" t="s">
        <v>2346</v>
      </c>
      <c r="B878" s="2" t="s">
        <v>2345</v>
      </c>
      <c r="C878" s="2" t="s">
        <v>4903</v>
      </c>
      <c r="D878" s="2" t="s">
        <v>7161</v>
      </c>
      <c r="E878" s="2" t="s">
        <v>7162</v>
      </c>
      <c r="F878" s="2">
        <v>0.186</v>
      </c>
      <c r="G878" s="2" t="s">
        <v>7163</v>
      </c>
      <c r="H878" s="2" t="s">
        <v>7164</v>
      </c>
      <c r="I878" s="2">
        <v>0.186</v>
      </c>
    </row>
    <row r="879" spans="1:9" ht="33.75" customHeight="1" x14ac:dyDescent="0.25">
      <c r="A879" s="3" t="s">
        <v>2346</v>
      </c>
      <c r="B879" s="3" t="s">
        <v>2345</v>
      </c>
      <c r="C879" s="3" t="s">
        <v>4903</v>
      </c>
      <c r="D879" s="3" t="s">
        <v>7212</v>
      </c>
      <c r="E879" s="3" t="s">
        <v>7213</v>
      </c>
      <c r="F879" s="3">
        <v>6</v>
      </c>
      <c r="G879" s="3" t="s">
        <v>7158</v>
      </c>
      <c r="H879" s="3">
        <v>0.21</v>
      </c>
      <c r="I879" s="3">
        <v>1.26</v>
      </c>
    </row>
    <row r="880" spans="1:9" ht="33.75" customHeight="1" x14ac:dyDescent="0.25">
      <c r="A880" s="2" t="s">
        <v>2346</v>
      </c>
      <c r="B880" s="2" t="s">
        <v>2345</v>
      </c>
      <c r="C880" s="2" t="s">
        <v>4903</v>
      </c>
      <c r="D880" s="2" t="s">
        <v>7188</v>
      </c>
      <c r="E880" s="2" t="s">
        <v>7189</v>
      </c>
      <c r="F880" s="2">
        <v>4</v>
      </c>
      <c r="G880" s="2" t="s">
        <v>7158</v>
      </c>
      <c r="H880" s="2">
        <v>0.27</v>
      </c>
      <c r="I880" s="2">
        <v>1.08</v>
      </c>
    </row>
    <row r="881" spans="1:9" ht="22.5" customHeight="1" x14ac:dyDescent="0.25">
      <c r="A881" s="3" t="s">
        <v>2346</v>
      </c>
      <c r="B881" s="3" t="s">
        <v>2345</v>
      </c>
      <c r="C881" s="3" t="s">
        <v>4903</v>
      </c>
      <c r="D881" s="3" t="s">
        <v>7216</v>
      </c>
      <c r="E881" s="3" t="s">
        <v>7217</v>
      </c>
      <c r="F881" s="3">
        <v>51</v>
      </c>
      <c r="G881" s="3" t="s">
        <v>7158</v>
      </c>
      <c r="H881" s="3">
        <v>0.25</v>
      </c>
      <c r="I881" s="3">
        <v>12.75</v>
      </c>
    </row>
    <row r="882" spans="1:9" ht="22.5" customHeight="1" x14ac:dyDescent="0.25">
      <c r="A882" s="2" t="s">
        <v>2960</v>
      </c>
      <c r="B882" s="2" t="s">
        <v>2959</v>
      </c>
      <c r="C882" s="2" t="s">
        <v>4948</v>
      </c>
      <c r="D882" s="2" t="s">
        <v>7153</v>
      </c>
      <c r="E882" s="2" t="s">
        <v>7154</v>
      </c>
      <c r="F882" s="2">
        <v>14</v>
      </c>
      <c r="G882" s="2" t="s">
        <v>7155</v>
      </c>
      <c r="H882" s="2">
        <v>1.24E-2</v>
      </c>
      <c r="I882" s="2">
        <v>0.1736</v>
      </c>
    </row>
    <row r="883" spans="1:9" ht="22.5" customHeight="1" x14ac:dyDescent="0.25">
      <c r="A883" s="3" t="s">
        <v>2960</v>
      </c>
      <c r="B883" s="3" t="s">
        <v>2959</v>
      </c>
      <c r="C883" s="3" t="s">
        <v>4948</v>
      </c>
      <c r="D883" s="3" t="s">
        <v>7210</v>
      </c>
      <c r="E883" s="3" t="s">
        <v>7211</v>
      </c>
      <c r="F883" s="3">
        <v>51</v>
      </c>
      <c r="G883" s="3" t="s">
        <v>7158</v>
      </c>
      <c r="H883" s="3">
        <v>6.2399999999999997E-2</v>
      </c>
      <c r="I883" s="3">
        <v>3.1823999999999999</v>
      </c>
    </row>
    <row r="884" spans="1:9" ht="33.75" customHeight="1" x14ac:dyDescent="0.25">
      <c r="A884" s="2" t="s">
        <v>2960</v>
      </c>
      <c r="B884" s="2" t="s">
        <v>2959</v>
      </c>
      <c r="C884" s="2" t="s">
        <v>4948</v>
      </c>
      <c r="D884" s="2" t="s">
        <v>7186</v>
      </c>
      <c r="E884" s="2" t="s">
        <v>7187</v>
      </c>
      <c r="F884" s="2">
        <v>1</v>
      </c>
      <c r="G884" s="2" t="s">
        <v>7158</v>
      </c>
      <c r="H884" s="2">
        <v>26</v>
      </c>
      <c r="I884" s="2">
        <v>26</v>
      </c>
    </row>
    <row r="885" spans="1:9" ht="22.5" customHeight="1" x14ac:dyDescent="0.25">
      <c r="A885" s="3" t="s">
        <v>2960</v>
      </c>
      <c r="B885" s="3" t="s">
        <v>2959</v>
      </c>
      <c r="C885" s="3" t="s">
        <v>4948</v>
      </c>
      <c r="D885" s="3" t="s">
        <v>7159</v>
      </c>
      <c r="E885" s="3" t="s">
        <v>7160</v>
      </c>
      <c r="F885" s="3">
        <v>20</v>
      </c>
      <c r="G885" s="3" t="s">
        <v>7155</v>
      </c>
      <c r="H885" s="3">
        <v>1.8319999999999999E-2</v>
      </c>
      <c r="I885" s="3">
        <v>0.3664</v>
      </c>
    </row>
    <row r="886" spans="1:9" ht="22.5" customHeight="1" x14ac:dyDescent="0.25">
      <c r="A886" s="2" t="s">
        <v>2960</v>
      </c>
      <c r="B886" s="2" t="s">
        <v>2959</v>
      </c>
      <c r="C886" s="2" t="s">
        <v>4948</v>
      </c>
      <c r="D886" s="2" t="s">
        <v>7161</v>
      </c>
      <c r="E886" s="2" t="s">
        <v>7162</v>
      </c>
      <c r="F886" s="2">
        <v>0.186</v>
      </c>
      <c r="G886" s="2" t="s">
        <v>7163</v>
      </c>
      <c r="H886" s="2" t="s">
        <v>7164</v>
      </c>
      <c r="I886" s="2">
        <v>0.186</v>
      </c>
    </row>
    <row r="887" spans="1:9" ht="33.75" customHeight="1" x14ac:dyDescent="0.25">
      <c r="A887" s="3" t="s">
        <v>2960</v>
      </c>
      <c r="B887" s="3" t="s">
        <v>2959</v>
      </c>
      <c r="C887" s="3" t="s">
        <v>4948</v>
      </c>
      <c r="D887" s="3" t="s">
        <v>7212</v>
      </c>
      <c r="E887" s="3" t="s">
        <v>7213</v>
      </c>
      <c r="F887" s="3">
        <v>8</v>
      </c>
      <c r="G887" s="3" t="s">
        <v>7158</v>
      </c>
      <c r="H887" s="3">
        <v>0.21</v>
      </c>
      <c r="I887" s="3">
        <v>1.68</v>
      </c>
    </row>
    <row r="888" spans="1:9" ht="33.75" customHeight="1" x14ac:dyDescent="0.25">
      <c r="A888" s="2" t="s">
        <v>2960</v>
      </c>
      <c r="B888" s="2" t="s">
        <v>2959</v>
      </c>
      <c r="C888" s="2" t="s">
        <v>4948</v>
      </c>
      <c r="D888" s="2" t="s">
        <v>7188</v>
      </c>
      <c r="E888" s="2" t="s">
        <v>7189</v>
      </c>
      <c r="F888" s="2">
        <v>4</v>
      </c>
      <c r="G888" s="2" t="s">
        <v>7158</v>
      </c>
      <c r="H888" s="2">
        <v>0.27</v>
      </c>
      <c r="I888" s="2">
        <v>1.08</v>
      </c>
    </row>
    <row r="889" spans="1:9" ht="22.5" customHeight="1" x14ac:dyDescent="0.25">
      <c r="A889" s="3" t="s">
        <v>2960</v>
      </c>
      <c r="B889" s="3" t="s">
        <v>2959</v>
      </c>
      <c r="C889" s="3" t="s">
        <v>4948</v>
      </c>
      <c r="D889" s="3" t="s">
        <v>7262</v>
      </c>
      <c r="E889" s="3" t="s">
        <v>7263</v>
      </c>
      <c r="F889" s="3">
        <v>51</v>
      </c>
      <c r="G889" s="3" t="s">
        <v>7158</v>
      </c>
      <c r="H889" s="3">
        <v>0.28999999999999998</v>
      </c>
      <c r="I889" s="3">
        <v>14.79</v>
      </c>
    </row>
    <row r="890" spans="1:9" ht="33.75" customHeight="1" x14ac:dyDescent="0.25">
      <c r="A890" s="2" t="s">
        <v>1084</v>
      </c>
      <c r="B890" s="2" t="s">
        <v>5950</v>
      </c>
      <c r="C890" s="2" t="s">
        <v>4809</v>
      </c>
      <c r="D890" s="2" t="s">
        <v>7153</v>
      </c>
      <c r="E890" s="2" t="s">
        <v>7154</v>
      </c>
      <c r="F890" s="2">
        <v>14</v>
      </c>
      <c r="G890" s="2" t="s">
        <v>7155</v>
      </c>
      <c r="H890" s="2">
        <v>1.24E-2</v>
      </c>
      <c r="I890" s="2">
        <v>0.1736</v>
      </c>
    </row>
    <row r="891" spans="1:9" ht="33.75" customHeight="1" x14ac:dyDescent="0.25">
      <c r="A891" s="3" t="s">
        <v>1084</v>
      </c>
      <c r="B891" s="3" t="s">
        <v>5950</v>
      </c>
      <c r="C891" s="3" t="s">
        <v>4809</v>
      </c>
      <c r="D891" s="3" t="s">
        <v>7210</v>
      </c>
      <c r="E891" s="3" t="s">
        <v>7211</v>
      </c>
      <c r="F891" s="3">
        <v>51</v>
      </c>
      <c r="G891" s="3" t="s">
        <v>7158</v>
      </c>
      <c r="H891" s="3">
        <v>6.2399999999999997E-2</v>
      </c>
      <c r="I891" s="3">
        <v>3.1823999999999999</v>
      </c>
    </row>
    <row r="892" spans="1:9" ht="33.75" customHeight="1" x14ac:dyDescent="0.25">
      <c r="A892" s="2" t="s">
        <v>1084</v>
      </c>
      <c r="B892" s="2" t="s">
        <v>5950</v>
      </c>
      <c r="C892" s="2" t="s">
        <v>4809</v>
      </c>
      <c r="D892" s="2" t="s">
        <v>7186</v>
      </c>
      <c r="E892" s="2" t="s">
        <v>7187</v>
      </c>
      <c r="F892" s="2">
        <v>1</v>
      </c>
      <c r="G892" s="2" t="s">
        <v>7158</v>
      </c>
      <c r="H892" s="2">
        <v>26</v>
      </c>
      <c r="I892" s="2">
        <v>26</v>
      </c>
    </row>
    <row r="893" spans="1:9" ht="33.75" customHeight="1" x14ac:dyDescent="0.25">
      <c r="A893" s="3" t="s">
        <v>1084</v>
      </c>
      <c r="B893" s="3" t="s">
        <v>5950</v>
      </c>
      <c r="C893" s="3" t="s">
        <v>4809</v>
      </c>
      <c r="D893" s="3" t="s">
        <v>7159</v>
      </c>
      <c r="E893" s="3" t="s">
        <v>7160</v>
      </c>
      <c r="F893" s="3">
        <v>20</v>
      </c>
      <c r="G893" s="3" t="s">
        <v>7155</v>
      </c>
      <c r="H893" s="3">
        <v>1.8319999999999999E-2</v>
      </c>
      <c r="I893" s="3">
        <v>0.3664</v>
      </c>
    </row>
    <row r="894" spans="1:9" ht="33.75" customHeight="1" x14ac:dyDescent="0.25">
      <c r="A894" s="2" t="s">
        <v>1084</v>
      </c>
      <c r="B894" s="2" t="s">
        <v>5950</v>
      </c>
      <c r="C894" s="2" t="s">
        <v>4809</v>
      </c>
      <c r="D894" s="2" t="s">
        <v>7161</v>
      </c>
      <c r="E894" s="2" t="s">
        <v>7162</v>
      </c>
      <c r="F894" s="2">
        <v>0.186</v>
      </c>
      <c r="G894" s="2" t="s">
        <v>7163</v>
      </c>
      <c r="H894" s="2" t="s">
        <v>7164</v>
      </c>
      <c r="I894" s="2">
        <v>0.186</v>
      </c>
    </row>
    <row r="895" spans="1:9" ht="33.75" customHeight="1" x14ac:dyDescent="0.25">
      <c r="A895" s="3" t="s">
        <v>1084</v>
      </c>
      <c r="B895" s="3" t="s">
        <v>5950</v>
      </c>
      <c r="C895" s="3" t="s">
        <v>4809</v>
      </c>
      <c r="D895" s="3" t="s">
        <v>7212</v>
      </c>
      <c r="E895" s="3" t="s">
        <v>7213</v>
      </c>
      <c r="F895" s="3">
        <v>8</v>
      </c>
      <c r="G895" s="3" t="s">
        <v>7158</v>
      </c>
      <c r="H895" s="3">
        <v>0.21</v>
      </c>
      <c r="I895" s="3">
        <v>1.68</v>
      </c>
    </row>
    <row r="896" spans="1:9" ht="33.75" customHeight="1" x14ac:dyDescent="0.25">
      <c r="A896" s="2" t="s">
        <v>1084</v>
      </c>
      <c r="B896" s="2" t="s">
        <v>5950</v>
      </c>
      <c r="C896" s="2" t="s">
        <v>4809</v>
      </c>
      <c r="D896" s="2" t="s">
        <v>7188</v>
      </c>
      <c r="E896" s="2" t="s">
        <v>7189</v>
      </c>
      <c r="F896" s="2">
        <v>4</v>
      </c>
      <c r="G896" s="2" t="s">
        <v>7158</v>
      </c>
      <c r="H896" s="2">
        <v>0.27</v>
      </c>
      <c r="I896" s="2">
        <v>1.08</v>
      </c>
    </row>
    <row r="897" spans="1:9" ht="33.75" customHeight="1" x14ac:dyDescent="0.25">
      <c r="A897" s="3" t="s">
        <v>1084</v>
      </c>
      <c r="B897" s="3" t="s">
        <v>5950</v>
      </c>
      <c r="C897" s="3" t="s">
        <v>4809</v>
      </c>
      <c r="D897" s="3" t="s">
        <v>7264</v>
      </c>
      <c r="E897" s="3" t="s">
        <v>7265</v>
      </c>
      <c r="F897" s="3">
        <v>51</v>
      </c>
      <c r="G897" s="3" t="s">
        <v>7158</v>
      </c>
      <c r="H897" s="3">
        <v>0.28999999999999998</v>
      </c>
      <c r="I897" s="3">
        <v>14.79</v>
      </c>
    </row>
    <row r="898" spans="1:9" ht="22.5" customHeight="1" x14ac:dyDescent="0.25">
      <c r="A898" s="2" t="s">
        <v>2775</v>
      </c>
      <c r="B898" s="2" t="s">
        <v>2774</v>
      </c>
      <c r="C898" s="2" t="s">
        <v>4943</v>
      </c>
      <c r="D898" s="2" t="s">
        <v>7153</v>
      </c>
      <c r="E898" s="2" t="s">
        <v>7154</v>
      </c>
      <c r="F898" s="2">
        <v>14</v>
      </c>
      <c r="G898" s="2" t="s">
        <v>7155</v>
      </c>
      <c r="H898" s="2">
        <v>1.24E-2</v>
      </c>
      <c r="I898" s="2">
        <v>0.1736</v>
      </c>
    </row>
    <row r="899" spans="1:9" ht="33.75" customHeight="1" x14ac:dyDescent="0.25">
      <c r="A899" s="3" t="s">
        <v>2775</v>
      </c>
      <c r="B899" s="3" t="s">
        <v>2774</v>
      </c>
      <c r="C899" s="3" t="s">
        <v>4943</v>
      </c>
      <c r="D899" s="3" t="s">
        <v>7186</v>
      </c>
      <c r="E899" s="3" t="s">
        <v>7187</v>
      </c>
      <c r="F899" s="3">
        <v>1</v>
      </c>
      <c r="G899" s="3" t="s">
        <v>7158</v>
      </c>
      <c r="H899" s="3">
        <v>26</v>
      </c>
      <c r="I899" s="3">
        <v>26</v>
      </c>
    </row>
    <row r="900" spans="1:9" ht="22.5" customHeight="1" x14ac:dyDescent="0.25">
      <c r="A900" s="2" t="s">
        <v>2775</v>
      </c>
      <c r="B900" s="2" t="s">
        <v>2774</v>
      </c>
      <c r="C900" s="2" t="s">
        <v>4943</v>
      </c>
      <c r="D900" s="2" t="s">
        <v>7159</v>
      </c>
      <c r="E900" s="2" t="s">
        <v>7160</v>
      </c>
      <c r="F900" s="2">
        <v>20</v>
      </c>
      <c r="G900" s="2" t="s">
        <v>7155</v>
      </c>
      <c r="H900" s="2">
        <v>1.8319999999999999E-2</v>
      </c>
      <c r="I900" s="2">
        <v>0.3664</v>
      </c>
    </row>
    <row r="901" spans="1:9" ht="22.5" customHeight="1" x14ac:dyDescent="0.25">
      <c r="A901" s="3" t="s">
        <v>2775</v>
      </c>
      <c r="B901" s="3" t="s">
        <v>2774</v>
      </c>
      <c r="C901" s="3" t="s">
        <v>4943</v>
      </c>
      <c r="D901" s="3" t="s">
        <v>7161</v>
      </c>
      <c r="E901" s="3" t="s">
        <v>7162</v>
      </c>
      <c r="F901" s="3">
        <v>0.186</v>
      </c>
      <c r="G901" s="3" t="s">
        <v>7163</v>
      </c>
      <c r="H901" s="3" t="s">
        <v>7164</v>
      </c>
      <c r="I901" s="3">
        <v>0.186</v>
      </c>
    </row>
    <row r="902" spans="1:9" ht="33.75" customHeight="1" x14ac:dyDescent="0.25">
      <c r="A902" s="2" t="s">
        <v>2775</v>
      </c>
      <c r="B902" s="2" t="s">
        <v>2774</v>
      </c>
      <c r="C902" s="2" t="s">
        <v>4943</v>
      </c>
      <c r="D902" s="2" t="s">
        <v>7212</v>
      </c>
      <c r="E902" s="2" t="s">
        <v>7213</v>
      </c>
      <c r="F902" s="2">
        <v>8</v>
      </c>
      <c r="G902" s="2" t="s">
        <v>7158</v>
      </c>
      <c r="H902" s="2">
        <v>0.21</v>
      </c>
      <c r="I902" s="2">
        <v>1.68</v>
      </c>
    </row>
    <row r="903" spans="1:9" ht="33.75" customHeight="1" x14ac:dyDescent="0.25">
      <c r="A903" s="3" t="s">
        <v>2775</v>
      </c>
      <c r="B903" s="3" t="s">
        <v>2774</v>
      </c>
      <c r="C903" s="3" t="s">
        <v>4943</v>
      </c>
      <c r="D903" s="3" t="s">
        <v>7188</v>
      </c>
      <c r="E903" s="3" t="s">
        <v>7189</v>
      </c>
      <c r="F903" s="3">
        <v>4</v>
      </c>
      <c r="G903" s="3" t="s">
        <v>7158</v>
      </c>
      <c r="H903" s="3">
        <v>0.27</v>
      </c>
      <c r="I903" s="3">
        <v>1.08</v>
      </c>
    </row>
    <row r="904" spans="1:9" ht="33.75" customHeight="1" x14ac:dyDescent="0.25">
      <c r="A904" s="2" t="s">
        <v>2775</v>
      </c>
      <c r="B904" s="2" t="s">
        <v>2774</v>
      </c>
      <c r="C904" s="2" t="s">
        <v>4943</v>
      </c>
      <c r="D904" s="2" t="s">
        <v>7266</v>
      </c>
      <c r="E904" s="2" t="s">
        <v>7267</v>
      </c>
      <c r="F904" s="2">
        <v>51</v>
      </c>
      <c r="G904" s="2" t="s">
        <v>7158</v>
      </c>
      <c r="H904" s="2">
        <v>0.27</v>
      </c>
      <c r="I904" s="2">
        <v>13.77</v>
      </c>
    </row>
    <row r="905" spans="1:9" ht="22.5" customHeight="1" x14ac:dyDescent="0.25">
      <c r="A905" s="3" t="s">
        <v>1062</v>
      </c>
      <c r="B905" s="3" t="s">
        <v>5965</v>
      </c>
      <c r="C905" s="3" t="s">
        <v>4808</v>
      </c>
      <c r="D905" s="3" t="s">
        <v>7153</v>
      </c>
      <c r="E905" s="3" t="s">
        <v>7154</v>
      </c>
      <c r="F905" s="3">
        <v>14</v>
      </c>
      <c r="G905" s="3" t="s">
        <v>7155</v>
      </c>
      <c r="H905" s="3">
        <v>1.24E-2</v>
      </c>
      <c r="I905" s="3">
        <v>0.1736</v>
      </c>
    </row>
    <row r="906" spans="1:9" ht="22.5" customHeight="1" x14ac:dyDescent="0.25">
      <c r="A906" s="2" t="s">
        <v>1062</v>
      </c>
      <c r="B906" s="2" t="s">
        <v>5965</v>
      </c>
      <c r="C906" s="2" t="s">
        <v>4808</v>
      </c>
      <c r="D906" s="2" t="s">
        <v>7210</v>
      </c>
      <c r="E906" s="2" t="s">
        <v>7211</v>
      </c>
      <c r="F906" s="2">
        <v>51</v>
      </c>
      <c r="G906" s="2" t="s">
        <v>7158</v>
      </c>
      <c r="H906" s="2">
        <v>6.2399999999999997E-2</v>
      </c>
      <c r="I906" s="2">
        <v>3.1823999999999999</v>
      </c>
    </row>
    <row r="907" spans="1:9" ht="33.75" customHeight="1" x14ac:dyDescent="0.25">
      <c r="A907" s="3" t="s">
        <v>1062</v>
      </c>
      <c r="B907" s="3" t="s">
        <v>5965</v>
      </c>
      <c r="C907" s="3" t="s">
        <v>4808</v>
      </c>
      <c r="D907" s="3" t="s">
        <v>7186</v>
      </c>
      <c r="E907" s="3" t="s">
        <v>7187</v>
      </c>
      <c r="F907" s="3">
        <v>1</v>
      </c>
      <c r="G907" s="3" t="s">
        <v>7158</v>
      </c>
      <c r="H907" s="3">
        <v>26</v>
      </c>
      <c r="I907" s="3">
        <v>26</v>
      </c>
    </row>
    <row r="908" spans="1:9" ht="22.5" customHeight="1" x14ac:dyDescent="0.25">
      <c r="A908" s="2" t="s">
        <v>1062</v>
      </c>
      <c r="B908" s="2" t="s">
        <v>5965</v>
      </c>
      <c r="C908" s="2" t="s">
        <v>4808</v>
      </c>
      <c r="D908" s="2" t="s">
        <v>7159</v>
      </c>
      <c r="E908" s="2" t="s">
        <v>7160</v>
      </c>
      <c r="F908" s="2">
        <v>20</v>
      </c>
      <c r="G908" s="2" t="s">
        <v>7155</v>
      </c>
      <c r="H908" s="2">
        <v>1.8319999999999999E-2</v>
      </c>
      <c r="I908" s="2">
        <v>0.3664</v>
      </c>
    </row>
    <row r="909" spans="1:9" ht="22.5" customHeight="1" x14ac:dyDescent="0.25">
      <c r="A909" s="3" t="s">
        <v>1062</v>
      </c>
      <c r="B909" s="3" t="s">
        <v>5965</v>
      </c>
      <c r="C909" s="3" t="s">
        <v>4808</v>
      </c>
      <c r="D909" s="3" t="s">
        <v>7161</v>
      </c>
      <c r="E909" s="3" t="s">
        <v>7162</v>
      </c>
      <c r="F909" s="3">
        <v>0.186</v>
      </c>
      <c r="G909" s="3" t="s">
        <v>7163</v>
      </c>
      <c r="H909" s="3" t="s">
        <v>7164</v>
      </c>
      <c r="I909" s="3">
        <v>0.186</v>
      </c>
    </row>
    <row r="910" spans="1:9" ht="33.75" customHeight="1" x14ac:dyDescent="0.25">
      <c r="A910" s="2" t="s">
        <v>1062</v>
      </c>
      <c r="B910" s="2" t="s">
        <v>5965</v>
      </c>
      <c r="C910" s="2" t="s">
        <v>4808</v>
      </c>
      <c r="D910" s="2" t="s">
        <v>7212</v>
      </c>
      <c r="E910" s="2" t="s">
        <v>7213</v>
      </c>
      <c r="F910" s="2">
        <v>8</v>
      </c>
      <c r="G910" s="2" t="s">
        <v>7158</v>
      </c>
      <c r="H910" s="2">
        <v>0.21</v>
      </c>
      <c r="I910" s="2">
        <v>1.68</v>
      </c>
    </row>
    <row r="911" spans="1:9" ht="33.75" customHeight="1" x14ac:dyDescent="0.25">
      <c r="A911" s="3" t="s">
        <v>1062</v>
      </c>
      <c r="B911" s="3" t="s">
        <v>5965</v>
      </c>
      <c r="C911" s="3" t="s">
        <v>4808</v>
      </c>
      <c r="D911" s="3" t="s">
        <v>7188</v>
      </c>
      <c r="E911" s="3" t="s">
        <v>7189</v>
      </c>
      <c r="F911" s="3">
        <v>5</v>
      </c>
      <c r="G911" s="3" t="s">
        <v>7158</v>
      </c>
      <c r="H911" s="3">
        <v>0.27</v>
      </c>
      <c r="I911" s="3">
        <v>1.35</v>
      </c>
    </row>
    <row r="912" spans="1:9" ht="22.5" customHeight="1" x14ac:dyDescent="0.25">
      <c r="A912" s="2" t="s">
        <v>1062</v>
      </c>
      <c r="B912" s="2" t="s">
        <v>5965</v>
      </c>
      <c r="C912" s="2" t="s">
        <v>4808</v>
      </c>
      <c r="D912" s="2" t="s">
        <v>7268</v>
      </c>
      <c r="E912" s="2" t="s">
        <v>7269</v>
      </c>
      <c r="F912" s="2">
        <v>51</v>
      </c>
      <c r="G912" s="2" t="s">
        <v>7158</v>
      </c>
      <c r="H912" s="2">
        <v>0.28999999999999998</v>
      </c>
      <c r="I912" s="2">
        <v>14.79</v>
      </c>
    </row>
    <row r="913" spans="1:9" ht="22.5" customHeight="1" x14ac:dyDescent="0.25">
      <c r="A913" s="3" t="s">
        <v>3327</v>
      </c>
      <c r="B913" s="3" t="s">
        <v>3326</v>
      </c>
      <c r="C913" s="3" t="s">
        <v>4980</v>
      </c>
      <c r="D913" s="3" t="s">
        <v>7153</v>
      </c>
      <c r="E913" s="3" t="s">
        <v>7154</v>
      </c>
      <c r="F913" s="3">
        <v>14</v>
      </c>
      <c r="G913" s="3" t="s">
        <v>7155</v>
      </c>
      <c r="H913" s="3">
        <v>1.24E-2</v>
      </c>
      <c r="I913" s="3">
        <v>0.1736</v>
      </c>
    </row>
    <row r="914" spans="1:9" ht="22.5" customHeight="1" x14ac:dyDescent="0.25">
      <c r="A914" s="2" t="s">
        <v>3327</v>
      </c>
      <c r="B914" s="2" t="s">
        <v>3326</v>
      </c>
      <c r="C914" s="2" t="s">
        <v>4980</v>
      </c>
      <c r="D914" s="2" t="s">
        <v>7210</v>
      </c>
      <c r="E914" s="2" t="s">
        <v>7211</v>
      </c>
      <c r="F914" s="2">
        <v>51</v>
      </c>
      <c r="G914" s="2" t="s">
        <v>7158</v>
      </c>
      <c r="H914" s="2">
        <v>6.2399999999999997E-2</v>
      </c>
      <c r="I914" s="2">
        <v>3.1823999999999999</v>
      </c>
    </row>
    <row r="915" spans="1:9" ht="33.75" customHeight="1" x14ac:dyDescent="0.25">
      <c r="A915" s="3" t="s">
        <v>3327</v>
      </c>
      <c r="B915" s="3" t="s">
        <v>3326</v>
      </c>
      <c r="C915" s="3" t="s">
        <v>4980</v>
      </c>
      <c r="D915" s="3" t="s">
        <v>7186</v>
      </c>
      <c r="E915" s="3" t="s">
        <v>7187</v>
      </c>
      <c r="F915" s="3">
        <v>1</v>
      </c>
      <c r="G915" s="3" t="s">
        <v>7158</v>
      </c>
      <c r="H915" s="3">
        <v>26</v>
      </c>
      <c r="I915" s="3">
        <v>26</v>
      </c>
    </row>
    <row r="916" spans="1:9" ht="22.5" customHeight="1" x14ac:dyDescent="0.25">
      <c r="A916" s="2" t="s">
        <v>3327</v>
      </c>
      <c r="B916" s="2" t="s">
        <v>3326</v>
      </c>
      <c r="C916" s="2" t="s">
        <v>4980</v>
      </c>
      <c r="D916" s="2" t="s">
        <v>7159</v>
      </c>
      <c r="E916" s="2" t="s">
        <v>7160</v>
      </c>
      <c r="F916" s="2">
        <v>20</v>
      </c>
      <c r="G916" s="2" t="s">
        <v>7155</v>
      </c>
      <c r="H916" s="2">
        <v>1.8319999999999999E-2</v>
      </c>
      <c r="I916" s="2">
        <v>0.3664</v>
      </c>
    </row>
    <row r="917" spans="1:9" ht="22.5" customHeight="1" x14ac:dyDescent="0.25">
      <c r="A917" s="3" t="s">
        <v>3327</v>
      </c>
      <c r="B917" s="3" t="s">
        <v>3326</v>
      </c>
      <c r="C917" s="3" t="s">
        <v>4980</v>
      </c>
      <c r="D917" s="3" t="s">
        <v>7161</v>
      </c>
      <c r="E917" s="3" t="s">
        <v>7162</v>
      </c>
      <c r="F917" s="3">
        <v>0.186</v>
      </c>
      <c r="G917" s="3" t="s">
        <v>7163</v>
      </c>
      <c r="H917" s="3" t="s">
        <v>7164</v>
      </c>
      <c r="I917" s="3">
        <v>0.186</v>
      </c>
    </row>
    <row r="918" spans="1:9" ht="33.75" customHeight="1" x14ac:dyDescent="0.25">
      <c r="A918" s="2" t="s">
        <v>3327</v>
      </c>
      <c r="B918" s="2" t="s">
        <v>3326</v>
      </c>
      <c r="C918" s="2" t="s">
        <v>4980</v>
      </c>
      <c r="D918" s="2" t="s">
        <v>7188</v>
      </c>
      <c r="E918" s="2" t="s">
        <v>7189</v>
      </c>
      <c r="F918" s="2">
        <v>4</v>
      </c>
      <c r="G918" s="2" t="s">
        <v>7158</v>
      </c>
      <c r="H918" s="2">
        <v>0.27</v>
      </c>
      <c r="I918" s="2">
        <v>1.08</v>
      </c>
    </row>
    <row r="919" spans="1:9" ht="33.75" customHeight="1" x14ac:dyDescent="0.25">
      <c r="A919" s="3" t="s">
        <v>3327</v>
      </c>
      <c r="B919" s="3" t="s">
        <v>3326</v>
      </c>
      <c r="C919" s="3" t="s">
        <v>4980</v>
      </c>
      <c r="D919" s="3" t="s">
        <v>7165</v>
      </c>
      <c r="E919" s="3" t="s">
        <v>7166</v>
      </c>
      <c r="F919" s="3">
        <v>8</v>
      </c>
      <c r="G919" s="3" t="s">
        <v>7158</v>
      </c>
      <c r="H919" s="3">
        <v>0.1</v>
      </c>
      <c r="I919" s="3">
        <v>0.8</v>
      </c>
    </row>
    <row r="920" spans="1:9" ht="22.5" customHeight="1" x14ac:dyDescent="0.25">
      <c r="A920" s="2" t="s">
        <v>3327</v>
      </c>
      <c r="B920" s="2" t="s">
        <v>3326</v>
      </c>
      <c r="C920" s="2" t="s">
        <v>4980</v>
      </c>
      <c r="D920" s="2" t="s">
        <v>7268</v>
      </c>
      <c r="E920" s="2" t="s">
        <v>7269</v>
      </c>
      <c r="F920" s="2">
        <v>51</v>
      </c>
      <c r="G920" s="2" t="s">
        <v>7158</v>
      </c>
      <c r="H920" s="2">
        <v>0.28999999999999998</v>
      </c>
      <c r="I920" s="2">
        <v>14.79</v>
      </c>
    </row>
    <row r="921" spans="1:9" x14ac:dyDescent="0.25">
      <c r="A921" s="3" t="s">
        <v>1805</v>
      </c>
      <c r="B921" s="3" t="s">
        <v>5980</v>
      </c>
      <c r="C921" s="3" t="s">
        <v>4861</v>
      </c>
      <c r="D921" s="3" t="s">
        <v>7153</v>
      </c>
      <c r="E921" s="3"/>
      <c r="F921" s="3">
        <v>14</v>
      </c>
      <c r="G921" s="3" t="s">
        <v>7155</v>
      </c>
      <c r="H921" s="3">
        <v>1.24E-2</v>
      </c>
      <c r="I921" s="3">
        <v>0.1736</v>
      </c>
    </row>
    <row r="922" spans="1:9" x14ac:dyDescent="0.25">
      <c r="A922" s="2" t="s">
        <v>1805</v>
      </c>
      <c r="B922" s="2" t="s">
        <v>5980</v>
      </c>
      <c r="C922" s="2" t="s">
        <v>4861</v>
      </c>
      <c r="D922" s="2" t="s">
        <v>7156</v>
      </c>
      <c r="E922" s="2"/>
      <c r="F922" s="2">
        <v>1</v>
      </c>
      <c r="G922" s="2" t="s">
        <v>7158</v>
      </c>
      <c r="H922" s="2">
        <v>26</v>
      </c>
      <c r="I922" s="2">
        <v>26</v>
      </c>
    </row>
    <row r="923" spans="1:9" x14ac:dyDescent="0.25">
      <c r="A923" s="3" t="s">
        <v>1805</v>
      </c>
      <c r="B923" s="3" t="s">
        <v>5980</v>
      </c>
      <c r="C923" s="3" t="s">
        <v>4861</v>
      </c>
      <c r="D923" s="3" t="s">
        <v>7159</v>
      </c>
      <c r="E923" s="3"/>
      <c r="F923" s="3">
        <v>20</v>
      </c>
      <c r="G923" s="3" t="s">
        <v>7155</v>
      </c>
      <c r="H923" s="3">
        <v>1.8319999999999999E-2</v>
      </c>
      <c r="I923" s="3">
        <v>0.3664</v>
      </c>
    </row>
    <row r="924" spans="1:9" x14ac:dyDescent="0.25">
      <c r="A924" s="2" t="s">
        <v>1805</v>
      </c>
      <c r="B924" s="2" t="s">
        <v>5980</v>
      </c>
      <c r="C924" s="2" t="s">
        <v>4861</v>
      </c>
      <c r="D924" s="2" t="s">
        <v>7161</v>
      </c>
      <c r="E924" s="2"/>
      <c r="F924" s="2">
        <v>0.186</v>
      </c>
      <c r="G924" s="2" t="s">
        <v>7163</v>
      </c>
      <c r="H924" s="2">
        <v>0</v>
      </c>
      <c r="I924" s="2">
        <v>0</v>
      </c>
    </row>
    <row r="925" spans="1:9" x14ac:dyDescent="0.25">
      <c r="A925" s="3" t="s">
        <v>1805</v>
      </c>
      <c r="B925" s="3" t="s">
        <v>5980</v>
      </c>
      <c r="C925" s="3" t="s">
        <v>4861</v>
      </c>
      <c r="D925" s="3" t="s">
        <v>7207</v>
      </c>
      <c r="E925" s="3"/>
      <c r="F925" s="3">
        <v>1.579</v>
      </c>
      <c r="G925" s="3" t="s">
        <v>7163</v>
      </c>
      <c r="H925" s="3">
        <v>0</v>
      </c>
      <c r="I925" s="3">
        <v>0</v>
      </c>
    </row>
    <row r="926" spans="1:9" x14ac:dyDescent="0.25">
      <c r="A926" s="2" t="s">
        <v>1805</v>
      </c>
      <c r="B926" s="2" t="s">
        <v>5980</v>
      </c>
      <c r="C926" s="2" t="s">
        <v>4861</v>
      </c>
      <c r="D926" s="2" t="s">
        <v>7165</v>
      </c>
      <c r="E926" s="2"/>
      <c r="F926" s="2">
        <v>4</v>
      </c>
      <c r="G926" s="2" t="s">
        <v>7158</v>
      </c>
      <c r="H926" s="2">
        <v>0.1</v>
      </c>
      <c r="I926" s="2">
        <v>0.4</v>
      </c>
    </row>
    <row r="927" spans="1:9" x14ac:dyDescent="0.25">
      <c r="A927" s="3" t="s">
        <v>1805</v>
      </c>
      <c r="B927" s="3" t="s">
        <v>5980</v>
      </c>
      <c r="C927" s="3" t="s">
        <v>4861</v>
      </c>
      <c r="D927" s="3" t="s">
        <v>7167</v>
      </c>
      <c r="E927" s="3"/>
      <c r="F927" s="3">
        <v>4</v>
      </c>
      <c r="G927" s="3" t="s">
        <v>7158</v>
      </c>
      <c r="H927" s="3">
        <v>0.2</v>
      </c>
      <c r="I927" s="3">
        <v>0.8</v>
      </c>
    </row>
    <row r="928" spans="1:9" x14ac:dyDescent="0.25">
      <c r="A928" s="2" t="s">
        <v>1805</v>
      </c>
      <c r="B928" s="2" t="s">
        <v>5980</v>
      </c>
      <c r="C928" s="2" t="s">
        <v>4861</v>
      </c>
      <c r="D928" s="2" t="s">
        <v>7179</v>
      </c>
      <c r="E928" s="2"/>
      <c r="F928" s="2">
        <v>51</v>
      </c>
      <c r="G928" s="2" t="s">
        <v>7158</v>
      </c>
      <c r="H928" s="2">
        <v>1.08E-3</v>
      </c>
      <c r="I928" s="2">
        <v>5.5079999999999997E-2</v>
      </c>
    </row>
    <row r="929" spans="1:9" ht="33.75" customHeight="1" x14ac:dyDescent="0.25">
      <c r="A929" s="3" t="s">
        <v>632</v>
      </c>
      <c r="B929" s="3" t="s">
        <v>5987</v>
      </c>
      <c r="C929" s="3" t="s">
        <v>4772</v>
      </c>
      <c r="D929" s="3" t="s">
        <v>7153</v>
      </c>
      <c r="E929" s="3"/>
      <c r="F929" s="3">
        <v>14</v>
      </c>
      <c r="G929" s="3" t="s">
        <v>7155</v>
      </c>
      <c r="H929" s="3">
        <v>1.24E-2</v>
      </c>
      <c r="I929" s="3">
        <v>0.1736</v>
      </c>
    </row>
    <row r="930" spans="1:9" ht="33.75" customHeight="1" x14ac:dyDescent="0.25">
      <c r="A930" s="2" t="s">
        <v>632</v>
      </c>
      <c r="B930" s="2" t="s">
        <v>5987</v>
      </c>
      <c r="C930" s="2" t="s">
        <v>4772</v>
      </c>
      <c r="D930" s="2" t="s">
        <v>7156</v>
      </c>
      <c r="E930" s="2"/>
      <c r="F930" s="2">
        <v>1</v>
      </c>
      <c r="G930" s="2" t="s">
        <v>7158</v>
      </c>
      <c r="H930" s="2">
        <v>26</v>
      </c>
      <c r="I930" s="2">
        <v>26</v>
      </c>
    </row>
    <row r="931" spans="1:9" ht="33.75" customHeight="1" x14ac:dyDescent="0.25">
      <c r="A931" s="3" t="s">
        <v>632</v>
      </c>
      <c r="B931" s="3" t="s">
        <v>5987</v>
      </c>
      <c r="C931" s="3" t="s">
        <v>4772</v>
      </c>
      <c r="D931" s="3" t="s">
        <v>7159</v>
      </c>
      <c r="E931" s="3"/>
      <c r="F931" s="3">
        <v>20</v>
      </c>
      <c r="G931" s="3" t="s">
        <v>7155</v>
      </c>
      <c r="H931" s="3">
        <v>1.8319999999999999E-2</v>
      </c>
      <c r="I931" s="3">
        <v>0.3664</v>
      </c>
    </row>
    <row r="932" spans="1:9" ht="33.75" customHeight="1" x14ac:dyDescent="0.25">
      <c r="A932" s="2" t="s">
        <v>632</v>
      </c>
      <c r="B932" s="2" t="s">
        <v>5987</v>
      </c>
      <c r="C932" s="2" t="s">
        <v>4772</v>
      </c>
      <c r="D932" s="2" t="s">
        <v>7161</v>
      </c>
      <c r="E932" s="2"/>
      <c r="F932" s="2">
        <v>0.186</v>
      </c>
      <c r="G932" s="2" t="s">
        <v>7163</v>
      </c>
      <c r="H932" s="2">
        <v>0</v>
      </c>
      <c r="I932" s="2">
        <v>0</v>
      </c>
    </row>
    <row r="933" spans="1:9" ht="33.75" customHeight="1" x14ac:dyDescent="0.25">
      <c r="A933" s="3" t="s">
        <v>632</v>
      </c>
      <c r="B933" s="3" t="s">
        <v>5987</v>
      </c>
      <c r="C933" s="3" t="s">
        <v>4772</v>
      </c>
      <c r="D933" s="3" t="s">
        <v>7207</v>
      </c>
      <c r="E933" s="3"/>
      <c r="F933" s="3">
        <v>1.6839999999999999</v>
      </c>
      <c r="G933" s="3" t="s">
        <v>7163</v>
      </c>
      <c r="H933" s="3">
        <v>0</v>
      </c>
      <c r="I933" s="3">
        <v>0</v>
      </c>
    </row>
    <row r="934" spans="1:9" ht="33.75" customHeight="1" x14ac:dyDescent="0.25">
      <c r="A934" s="2" t="s">
        <v>632</v>
      </c>
      <c r="B934" s="2" t="s">
        <v>5987</v>
      </c>
      <c r="C934" s="2" t="s">
        <v>4772</v>
      </c>
      <c r="D934" s="2" t="s">
        <v>7165</v>
      </c>
      <c r="E934" s="2"/>
      <c r="F934" s="2">
        <v>4</v>
      </c>
      <c r="G934" s="2" t="s">
        <v>7158</v>
      </c>
      <c r="H934" s="2">
        <v>0.1</v>
      </c>
      <c r="I934" s="2">
        <v>0.4</v>
      </c>
    </row>
    <row r="935" spans="1:9" ht="33.75" customHeight="1" x14ac:dyDescent="0.25">
      <c r="A935" s="3" t="s">
        <v>632</v>
      </c>
      <c r="B935" s="3" t="s">
        <v>5987</v>
      </c>
      <c r="C935" s="3" t="s">
        <v>4772</v>
      </c>
      <c r="D935" s="3" t="s">
        <v>7167</v>
      </c>
      <c r="E935" s="3"/>
      <c r="F935" s="3">
        <v>4</v>
      </c>
      <c r="G935" s="3" t="s">
        <v>7158</v>
      </c>
      <c r="H935" s="3">
        <v>0.2</v>
      </c>
      <c r="I935" s="3">
        <v>0.8</v>
      </c>
    </row>
    <row r="936" spans="1:9" ht="33.75" customHeight="1" x14ac:dyDescent="0.25">
      <c r="A936" s="2" t="s">
        <v>632</v>
      </c>
      <c r="B936" s="2" t="s">
        <v>5987</v>
      </c>
      <c r="C936" s="2" t="s">
        <v>4772</v>
      </c>
      <c r="D936" s="2" t="s">
        <v>7179</v>
      </c>
      <c r="E936" s="2"/>
      <c r="F936" s="2">
        <v>51</v>
      </c>
      <c r="G936" s="2" t="s">
        <v>7158</v>
      </c>
      <c r="H936" s="2">
        <v>1.08E-3</v>
      </c>
      <c r="I936" s="2">
        <v>5.5079999999999997E-2</v>
      </c>
    </row>
    <row r="937" spans="1:9" x14ac:dyDescent="0.25">
      <c r="A937" s="3" t="s">
        <v>1874</v>
      </c>
      <c r="B937" s="3" t="s">
        <v>1873</v>
      </c>
      <c r="C937" s="3" t="s">
        <v>4869</v>
      </c>
      <c r="D937" s="3" t="s">
        <v>7156</v>
      </c>
      <c r="E937" s="3"/>
      <c r="F937" s="3">
        <v>1</v>
      </c>
      <c r="G937" s="3" t="s">
        <v>7158</v>
      </c>
      <c r="H937" s="3">
        <v>26</v>
      </c>
      <c r="I937" s="3">
        <v>26</v>
      </c>
    </row>
    <row r="938" spans="1:9" x14ac:dyDescent="0.25">
      <c r="A938" s="2" t="s">
        <v>1874</v>
      </c>
      <c r="B938" s="2" t="s">
        <v>1873</v>
      </c>
      <c r="C938" s="2" t="s">
        <v>4869</v>
      </c>
      <c r="D938" s="2" t="s">
        <v>7159</v>
      </c>
      <c r="E938" s="2"/>
      <c r="F938" s="2">
        <v>20</v>
      </c>
      <c r="G938" s="2" t="s">
        <v>7155</v>
      </c>
      <c r="H938" s="2">
        <v>1.8319999999999999E-2</v>
      </c>
      <c r="I938" s="2">
        <v>0.3664</v>
      </c>
    </row>
    <row r="939" spans="1:9" x14ac:dyDescent="0.25">
      <c r="A939" s="3" t="s">
        <v>1874</v>
      </c>
      <c r="B939" s="3" t="s">
        <v>1873</v>
      </c>
      <c r="C939" s="3" t="s">
        <v>4869</v>
      </c>
      <c r="D939" s="3" t="s">
        <v>7161</v>
      </c>
      <c r="E939" s="3"/>
      <c r="F939" s="3">
        <v>0.186</v>
      </c>
      <c r="G939" s="3" t="s">
        <v>7163</v>
      </c>
      <c r="H939" s="3">
        <v>0</v>
      </c>
      <c r="I939" s="3">
        <v>0</v>
      </c>
    </row>
    <row r="940" spans="1:9" x14ac:dyDescent="0.25">
      <c r="A940" s="2" t="s">
        <v>1874</v>
      </c>
      <c r="B940" s="2" t="s">
        <v>1873</v>
      </c>
      <c r="C940" s="2" t="s">
        <v>4869</v>
      </c>
      <c r="D940" s="2" t="s">
        <v>7207</v>
      </c>
      <c r="E940" s="2"/>
      <c r="F940" s="2">
        <v>1.95</v>
      </c>
      <c r="G940" s="2" t="s">
        <v>7163</v>
      </c>
      <c r="H940" s="2">
        <v>0</v>
      </c>
      <c r="I940" s="2">
        <v>0</v>
      </c>
    </row>
    <row r="941" spans="1:9" x14ac:dyDescent="0.25">
      <c r="A941" s="3" t="s">
        <v>1874</v>
      </c>
      <c r="B941" s="3" t="s">
        <v>1873</v>
      </c>
      <c r="C941" s="3" t="s">
        <v>4869</v>
      </c>
      <c r="D941" s="3" t="s">
        <v>7167</v>
      </c>
      <c r="E941" s="3"/>
      <c r="F941" s="3">
        <v>4</v>
      </c>
      <c r="G941" s="3" t="s">
        <v>7158</v>
      </c>
      <c r="H941" s="3">
        <v>0.2</v>
      </c>
      <c r="I941" s="3">
        <v>0.8</v>
      </c>
    </row>
    <row r="942" spans="1:9" x14ac:dyDescent="0.25">
      <c r="A942" s="2" t="s">
        <v>1874</v>
      </c>
      <c r="B942" s="2" t="s">
        <v>1873</v>
      </c>
      <c r="C942" s="2" t="s">
        <v>4869</v>
      </c>
      <c r="D942" s="2" t="s">
        <v>7233</v>
      </c>
      <c r="E942" s="2"/>
      <c r="F942" s="2">
        <v>51</v>
      </c>
      <c r="G942" s="2" t="s">
        <v>7158</v>
      </c>
      <c r="H942" s="2">
        <v>8.0000000000000002E-3</v>
      </c>
      <c r="I942" s="2">
        <v>0.40799999999999997</v>
      </c>
    </row>
    <row r="943" spans="1:9" x14ac:dyDescent="0.25">
      <c r="A943" s="3" t="s">
        <v>1874</v>
      </c>
      <c r="B943" s="3" t="s">
        <v>1873</v>
      </c>
      <c r="C943" s="3" t="s">
        <v>4869</v>
      </c>
      <c r="D943" s="3" t="s">
        <v>7234</v>
      </c>
      <c r="E943" s="3"/>
      <c r="F943" s="3">
        <v>51</v>
      </c>
      <c r="G943" s="3" t="s">
        <v>7158</v>
      </c>
      <c r="H943" s="3">
        <v>8.0000000000000002E-3</v>
      </c>
      <c r="I943" s="3">
        <v>0.40799999999999997</v>
      </c>
    </row>
    <row r="944" spans="1:9" ht="22.5" customHeight="1" x14ac:dyDescent="0.25">
      <c r="A944" s="2" t="s">
        <v>2572</v>
      </c>
      <c r="B944" s="2" t="s">
        <v>5999</v>
      </c>
      <c r="C944" s="2" t="s">
        <v>4928</v>
      </c>
      <c r="D944" s="2" t="s">
        <v>7153</v>
      </c>
      <c r="E944" s="2" t="s">
        <v>7154</v>
      </c>
      <c r="F944" s="2">
        <v>14</v>
      </c>
      <c r="G944" s="2" t="s">
        <v>7155</v>
      </c>
      <c r="H944" s="2">
        <v>1.24E-2</v>
      </c>
      <c r="I944" s="2">
        <v>0.1736</v>
      </c>
    </row>
    <row r="945" spans="1:9" ht="22.5" customHeight="1" x14ac:dyDescent="0.25">
      <c r="A945" s="3" t="s">
        <v>2572</v>
      </c>
      <c r="B945" s="3" t="s">
        <v>5999</v>
      </c>
      <c r="C945" s="3" t="s">
        <v>4928</v>
      </c>
      <c r="D945" s="3" t="s">
        <v>7156</v>
      </c>
      <c r="E945" s="3" t="s">
        <v>7157</v>
      </c>
      <c r="F945" s="3">
        <v>1</v>
      </c>
      <c r="G945" s="3" t="s">
        <v>7158</v>
      </c>
      <c r="H945" s="3">
        <v>26</v>
      </c>
      <c r="I945" s="3">
        <v>26</v>
      </c>
    </row>
    <row r="946" spans="1:9" ht="22.5" customHeight="1" x14ac:dyDescent="0.25">
      <c r="A946" s="2" t="s">
        <v>2572</v>
      </c>
      <c r="B946" s="2" t="s">
        <v>5999</v>
      </c>
      <c r="C946" s="2" t="s">
        <v>4928</v>
      </c>
      <c r="D946" s="2" t="s">
        <v>7159</v>
      </c>
      <c r="E946" s="2" t="s">
        <v>7160</v>
      </c>
      <c r="F946" s="2">
        <v>20</v>
      </c>
      <c r="G946" s="2" t="s">
        <v>7155</v>
      </c>
      <c r="H946" s="2">
        <v>1.8319999999999999E-2</v>
      </c>
      <c r="I946" s="2">
        <v>0.3664</v>
      </c>
    </row>
    <row r="947" spans="1:9" ht="22.5" customHeight="1" x14ac:dyDescent="0.25">
      <c r="A947" s="3" t="s">
        <v>2572</v>
      </c>
      <c r="B947" s="3" t="s">
        <v>5999</v>
      </c>
      <c r="C947" s="3" t="s">
        <v>4928</v>
      </c>
      <c r="D947" s="3" t="s">
        <v>7161</v>
      </c>
      <c r="E947" s="3" t="s">
        <v>7162</v>
      </c>
      <c r="F947" s="3">
        <v>0.186</v>
      </c>
      <c r="G947" s="3" t="s">
        <v>7163</v>
      </c>
      <c r="H947" s="3" t="s">
        <v>7164</v>
      </c>
      <c r="I947" s="3">
        <v>0.186</v>
      </c>
    </row>
    <row r="948" spans="1:9" ht="33.75" customHeight="1" x14ac:dyDescent="0.25">
      <c r="A948" s="2" t="s">
        <v>2572</v>
      </c>
      <c r="B948" s="2" t="s">
        <v>5999</v>
      </c>
      <c r="C948" s="2" t="s">
        <v>4928</v>
      </c>
      <c r="D948" s="2" t="s">
        <v>7165</v>
      </c>
      <c r="E948" s="2" t="s">
        <v>7166</v>
      </c>
      <c r="F948" s="2">
        <v>4</v>
      </c>
      <c r="G948" s="2" t="s">
        <v>7158</v>
      </c>
      <c r="H948" s="2">
        <v>0.1</v>
      </c>
      <c r="I948" s="2">
        <v>0.4</v>
      </c>
    </row>
    <row r="949" spans="1:9" ht="33.75" customHeight="1" x14ac:dyDescent="0.25">
      <c r="A949" s="3" t="s">
        <v>2572</v>
      </c>
      <c r="B949" s="3" t="s">
        <v>5999</v>
      </c>
      <c r="C949" s="3" t="s">
        <v>4928</v>
      </c>
      <c r="D949" s="3" t="s">
        <v>7167</v>
      </c>
      <c r="E949" s="3" t="s">
        <v>7168</v>
      </c>
      <c r="F949" s="3">
        <v>4</v>
      </c>
      <c r="G949" s="3" t="s">
        <v>7158</v>
      </c>
      <c r="H949" s="3">
        <v>0.2</v>
      </c>
      <c r="I949" s="3">
        <v>0.8</v>
      </c>
    </row>
    <row r="950" spans="1:9" ht="22.5" customHeight="1" x14ac:dyDescent="0.25">
      <c r="A950" s="2" t="s">
        <v>3270</v>
      </c>
      <c r="B950" s="2" t="s">
        <v>3269</v>
      </c>
      <c r="C950" s="2" t="s">
        <v>4970</v>
      </c>
      <c r="D950" s="2" t="s">
        <v>7153</v>
      </c>
      <c r="E950" s="2" t="s">
        <v>7154</v>
      </c>
      <c r="F950" s="2">
        <v>14</v>
      </c>
      <c r="G950" s="2" t="s">
        <v>7155</v>
      </c>
      <c r="H950" s="2">
        <v>1.24E-2</v>
      </c>
      <c r="I950" s="2">
        <v>0.1736</v>
      </c>
    </row>
    <row r="951" spans="1:9" ht="33.75" customHeight="1" x14ac:dyDescent="0.25">
      <c r="A951" s="3" t="s">
        <v>3270</v>
      </c>
      <c r="B951" s="3" t="s">
        <v>3269</v>
      </c>
      <c r="C951" s="3" t="s">
        <v>4970</v>
      </c>
      <c r="D951" s="3" t="s">
        <v>7186</v>
      </c>
      <c r="E951" s="3" t="s">
        <v>7187</v>
      </c>
      <c r="F951" s="3">
        <v>1</v>
      </c>
      <c r="G951" s="3" t="s">
        <v>7158</v>
      </c>
      <c r="H951" s="3">
        <v>26</v>
      </c>
      <c r="I951" s="3">
        <v>26</v>
      </c>
    </row>
    <row r="952" spans="1:9" ht="22.5" customHeight="1" x14ac:dyDescent="0.25">
      <c r="A952" s="2" t="s">
        <v>3270</v>
      </c>
      <c r="B952" s="2" t="s">
        <v>3269</v>
      </c>
      <c r="C952" s="2" t="s">
        <v>4970</v>
      </c>
      <c r="D952" s="2" t="s">
        <v>7159</v>
      </c>
      <c r="E952" s="2" t="s">
        <v>7160</v>
      </c>
      <c r="F952" s="2">
        <v>20</v>
      </c>
      <c r="G952" s="2" t="s">
        <v>7155</v>
      </c>
      <c r="H952" s="2">
        <v>1.8319999999999999E-2</v>
      </c>
      <c r="I952" s="2">
        <v>0.3664</v>
      </c>
    </row>
    <row r="953" spans="1:9" ht="22.5" customHeight="1" x14ac:dyDescent="0.25">
      <c r="A953" s="3" t="s">
        <v>3270</v>
      </c>
      <c r="B953" s="3" t="s">
        <v>3269</v>
      </c>
      <c r="C953" s="3" t="s">
        <v>4970</v>
      </c>
      <c r="D953" s="3" t="s">
        <v>7161</v>
      </c>
      <c r="E953" s="3" t="s">
        <v>7162</v>
      </c>
      <c r="F953" s="3">
        <v>0.186</v>
      </c>
      <c r="G953" s="3" t="s">
        <v>7163</v>
      </c>
      <c r="H953" s="3" t="s">
        <v>7164</v>
      </c>
      <c r="I953" s="3">
        <v>0.186</v>
      </c>
    </row>
    <row r="954" spans="1:9" ht="33.75" customHeight="1" x14ac:dyDescent="0.25">
      <c r="A954" s="2" t="s">
        <v>3270</v>
      </c>
      <c r="B954" s="2" t="s">
        <v>3269</v>
      </c>
      <c r="C954" s="2" t="s">
        <v>4970</v>
      </c>
      <c r="D954" s="2" t="s">
        <v>7212</v>
      </c>
      <c r="E954" s="2" t="s">
        <v>7213</v>
      </c>
      <c r="F954" s="2">
        <v>6</v>
      </c>
      <c r="G954" s="2" t="s">
        <v>7158</v>
      </c>
      <c r="H954" s="2">
        <v>0.21</v>
      </c>
      <c r="I954" s="2">
        <v>1.26</v>
      </c>
    </row>
    <row r="955" spans="1:9" ht="33.75" customHeight="1" x14ac:dyDescent="0.25">
      <c r="A955" s="3" t="s">
        <v>3270</v>
      </c>
      <c r="B955" s="3" t="s">
        <v>3269</v>
      </c>
      <c r="C955" s="3" t="s">
        <v>4970</v>
      </c>
      <c r="D955" s="3" t="s">
        <v>7188</v>
      </c>
      <c r="E955" s="3" t="s">
        <v>7189</v>
      </c>
      <c r="F955" s="3">
        <v>4</v>
      </c>
      <c r="G955" s="3" t="s">
        <v>7158</v>
      </c>
      <c r="H955" s="3">
        <v>0.27</v>
      </c>
      <c r="I955" s="3">
        <v>1.08</v>
      </c>
    </row>
    <row r="956" spans="1:9" ht="22.5" customHeight="1" x14ac:dyDescent="0.25">
      <c r="A956" s="2" t="s">
        <v>3270</v>
      </c>
      <c r="B956" s="2" t="s">
        <v>3269</v>
      </c>
      <c r="C956" s="2" t="s">
        <v>4970</v>
      </c>
      <c r="D956" s="2" t="s">
        <v>7224</v>
      </c>
      <c r="E956" s="2" t="s">
        <v>7225</v>
      </c>
      <c r="F956" s="2">
        <v>54</v>
      </c>
      <c r="G956" s="2" t="s">
        <v>7158</v>
      </c>
      <c r="H956" s="2">
        <v>0.25</v>
      </c>
      <c r="I956" s="2">
        <v>13.5</v>
      </c>
    </row>
    <row r="957" spans="1:9" ht="22.5" customHeight="1" x14ac:dyDescent="0.25">
      <c r="A957" s="3" t="s">
        <v>2353</v>
      </c>
      <c r="B957" s="3" t="s">
        <v>2352</v>
      </c>
      <c r="C957" s="3" t="s">
        <v>4905</v>
      </c>
      <c r="D957" s="3" t="s">
        <v>7153</v>
      </c>
      <c r="E957" s="3" t="s">
        <v>7154</v>
      </c>
      <c r="F957" s="3">
        <v>14</v>
      </c>
      <c r="G957" s="3" t="s">
        <v>7155</v>
      </c>
      <c r="H957" s="3">
        <v>1.24E-2</v>
      </c>
      <c r="I957" s="3">
        <v>0.1736</v>
      </c>
    </row>
    <row r="958" spans="1:9" ht="33.75" customHeight="1" x14ac:dyDescent="0.25">
      <c r="A958" s="2" t="s">
        <v>2353</v>
      </c>
      <c r="B958" s="2" t="s">
        <v>2352</v>
      </c>
      <c r="C958" s="2" t="s">
        <v>4905</v>
      </c>
      <c r="D958" s="2" t="s">
        <v>7186</v>
      </c>
      <c r="E958" s="2" t="s">
        <v>7187</v>
      </c>
      <c r="F958" s="2">
        <v>1</v>
      </c>
      <c r="G958" s="2" t="s">
        <v>7158</v>
      </c>
      <c r="H958" s="2">
        <v>26</v>
      </c>
      <c r="I958" s="2">
        <v>26</v>
      </c>
    </row>
    <row r="959" spans="1:9" ht="22.5" customHeight="1" x14ac:dyDescent="0.25">
      <c r="A959" s="3" t="s">
        <v>2353</v>
      </c>
      <c r="B959" s="3" t="s">
        <v>2352</v>
      </c>
      <c r="C959" s="3" t="s">
        <v>4905</v>
      </c>
      <c r="D959" s="3" t="s">
        <v>7159</v>
      </c>
      <c r="E959" s="3" t="s">
        <v>7160</v>
      </c>
      <c r="F959" s="3">
        <v>20</v>
      </c>
      <c r="G959" s="3" t="s">
        <v>7155</v>
      </c>
      <c r="H959" s="3">
        <v>1.8319999999999999E-2</v>
      </c>
      <c r="I959" s="3">
        <v>0.3664</v>
      </c>
    </row>
    <row r="960" spans="1:9" ht="22.5" customHeight="1" x14ac:dyDescent="0.25">
      <c r="A960" s="2" t="s">
        <v>2353</v>
      </c>
      <c r="B960" s="2" t="s">
        <v>2352</v>
      </c>
      <c r="C960" s="2" t="s">
        <v>4905</v>
      </c>
      <c r="D960" s="2" t="s">
        <v>7161</v>
      </c>
      <c r="E960" s="2" t="s">
        <v>7162</v>
      </c>
      <c r="F960" s="2">
        <v>0.186</v>
      </c>
      <c r="G960" s="2" t="s">
        <v>7163</v>
      </c>
      <c r="H960" s="2" t="s">
        <v>7164</v>
      </c>
      <c r="I960" s="2">
        <v>0.186</v>
      </c>
    </row>
    <row r="961" spans="1:9" ht="33.75" customHeight="1" x14ac:dyDescent="0.25">
      <c r="A961" s="3" t="s">
        <v>2353</v>
      </c>
      <c r="B961" s="3" t="s">
        <v>2352</v>
      </c>
      <c r="C961" s="3" t="s">
        <v>4905</v>
      </c>
      <c r="D961" s="3" t="s">
        <v>7212</v>
      </c>
      <c r="E961" s="3" t="s">
        <v>7213</v>
      </c>
      <c r="F961" s="3">
        <v>8</v>
      </c>
      <c r="G961" s="3" t="s">
        <v>7158</v>
      </c>
      <c r="H961" s="3">
        <v>0.21</v>
      </c>
      <c r="I961" s="3">
        <v>1.68</v>
      </c>
    </row>
    <row r="962" spans="1:9" ht="33.75" customHeight="1" x14ac:dyDescent="0.25">
      <c r="A962" s="2" t="s">
        <v>2353</v>
      </c>
      <c r="B962" s="2" t="s">
        <v>2352</v>
      </c>
      <c r="C962" s="2" t="s">
        <v>4905</v>
      </c>
      <c r="D962" s="2" t="s">
        <v>7188</v>
      </c>
      <c r="E962" s="2" t="s">
        <v>7189</v>
      </c>
      <c r="F962" s="2">
        <v>4</v>
      </c>
      <c r="G962" s="2" t="s">
        <v>7158</v>
      </c>
      <c r="H962" s="2">
        <v>0.27</v>
      </c>
      <c r="I962" s="2">
        <v>1.08</v>
      </c>
    </row>
    <row r="963" spans="1:9" ht="33.75" customHeight="1" x14ac:dyDescent="0.25">
      <c r="A963" s="3" t="s">
        <v>2353</v>
      </c>
      <c r="B963" s="3" t="s">
        <v>2352</v>
      </c>
      <c r="C963" s="3" t="s">
        <v>4905</v>
      </c>
      <c r="D963" s="3" t="s">
        <v>7270</v>
      </c>
      <c r="E963" s="3" t="s">
        <v>7271</v>
      </c>
      <c r="F963" s="3">
        <v>54</v>
      </c>
      <c r="G963" s="3" t="s">
        <v>7158</v>
      </c>
      <c r="H963" s="3">
        <v>0.25</v>
      </c>
      <c r="I963" s="3">
        <v>13.5</v>
      </c>
    </row>
    <row r="964" spans="1:9" ht="22.5" customHeight="1" x14ac:dyDescent="0.25">
      <c r="A964" s="2" t="s">
        <v>2771</v>
      </c>
      <c r="B964" s="2" t="s">
        <v>2770</v>
      </c>
      <c r="C964" s="2" t="s">
        <v>4942</v>
      </c>
      <c r="D964" s="2" t="s">
        <v>7153</v>
      </c>
      <c r="E964" s="2" t="s">
        <v>7154</v>
      </c>
      <c r="F964" s="2">
        <v>14</v>
      </c>
      <c r="G964" s="2" t="s">
        <v>7155</v>
      </c>
      <c r="H964" s="2">
        <v>1.24E-2</v>
      </c>
      <c r="I964" s="2">
        <v>0.1736</v>
      </c>
    </row>
    <row r="965" spans="1:9" ht="33.75" customHeight="1" x14ac:dyDescent="0.25">
      <c r="A965" s="3" t="s">
        <v>2771</v>
      </c>
      <c r="B965" s="3" t="s">
        <v>2770</v>
      </c>
      <c r="C965" s="3" t="s">
        <v>4942</v>
      </c>
      <c r="D965" s="3" t="s">
        <v>7186</v>
      </c>
      <c r="E965" s="3" t="s">
        <v>7187</v>
      </c>
      <c r="F965" s="3">
        <v>1</v>
      </c>
      <c r="G965" s="3" t="s">
        <v>7158</v>
      </c>
      <c r="H965" s="3">
        <v>26</v>
      </c>
      <c r="I965" s="3">
        <v>26</v>
      </c>
    </row>
    <row r="966" spans="1:9" ht="22.5" customHeight="1" x14ac:dyDescent="0.25">
      <c r="A966" s="2" t="s">
        <v>2771</v>
      </c>
      <c r="B966" s="2" t="s">
        <v>2770</v>
      </c>
      <c r="C966" s="2" t="s">
        <v>4942</v>
      </c>
      <c r="D966" s="2" t="s">
        <v>7159</v>
      </c>
      <c r="E966" s="2" t="s">
        <v>7160</v>
      </c>
      <c r="F966" s="2">
        <v>20</v>
      </c>
      <c r="G966" s="2" t="s">
        <v>7155</v>
      </c>
      <c r="H966" s="2">
        <v>1.8319999999999999E-2</v>
      </c>
      <c r="I966" s="2">
        <v>0.3664</v>
      </c>
    </row>
    <row r="967" spans="1:9" ht="22.5" customHeight="1" x14ac:dyDescent="0.25">
      <c r="A967" s="3" t="s">
        <v>2771</v>
      </c>
      <c r="B967" s="3" t="s">
        <v>2770</v>
      </c>
      <c r="C967" s="3" t="s">
        <v>4942</v>
      </c>
      <c r="D967" s="3" t="s">
        <v>7161</v>
      </c>
      <c r="E967" s="3" t="s">
        <v>7162</v>
      </c>
      <c r="F967" s="3">
        <v>0.186</v>
      </c>
      <c r="G967" s="3" t="s">
        <v>7163</v>
      </c>
      <c r="H967" s="3" t="s">
        <v>7164</v>
      </c>
      <c r="I967" s="3">
        <v>0.186</v>
      </c>
    </row>
    <row r="968" spans="1:9" ht="33.75" customHeight="1" x14ac:dyDescent="0.25">
      <c r="A968" s="2" t="s">
        <v>2771</v>
      </c>
      <c r="B968" s="2" t="s">
        <v>2770</v>
      </c>
      <c r="C968" s="2" t="s">
        <v>4942</v>
      </c>
      <c r="D968" s="2" t="s">
        <v>7212</v>
      </c>
      <c r="E968" s="2" t="s">
        <v>7213</v>
      </c>
      <c r="F968" s="2">
        <v>8</v>
      </c>
      <c r="G968" s="2" t="s">
        <v>7158</v>
      </c>
      <c r="H968" s="2">
        <v>0.21</v>
      </c>
      <c r="I968" s="2">
        <v>1.68</v>
      </c>
    </row>
    <row r="969" spans="1:9" ht="33.75" customHeight="1" x14ac:dyDescent="0.25">
      <c r="A969" s="3" t="s">
        <v>2771</v>
      </c>
      <c r="B969" s="3" t="s">
        <v>2770</v>
      </c>
      <c r="C969" s="3" t="s">
        <v>4942</v>
      </c>
      <c r="D969" s="3" t="s">
        <v>7188</v>
      </c>
      <c r="E969" s="3" t="s">
        <v>7189</v>
      </c>
      <c r="F969" s="3">
        <v>4</v>
      </c>
      <c r="G969" s="3" t="s">
        <v>7158</v>
      </c>
      <c r="H969" s="3">
        <v>0.27</v>
      </c>
      <c r="I969" s="3">
        <v>1.08</v>
      </c>
    </row>
    <row r="970" spans="1:9" ht="33.75" customHeight="1" x14ac:dyDescent="0.25">
      <c r="A970" s="2" t="s">
        <v>2771</v>
      </c>
      <c r="B970" s="2" t="s">
        <v>2770</v>
      </c>
      <c r="C970" s="2" t="s">
        <v>4942</v>
      </c>
      <c r="D970" s="2" t="s">
        <v>7272</v>
      </c>
      <c r="E970" s="2" t="s">
        <v>7273</v>
      </c>
      <c r="F970" s="2">
        <v>54</v>
      </c>
      <c r="G970" s="2" t="s">
        <v>7158</v>
      </c>
      <c r="H970" s="2">
        <v>0.25</v>
      </c>
      <c r="I970" s="2">
        <v>13.5</v>
      </c>
    </row>
    <row r="971" spans="1:9" ht="22.5" customHeight="1" x14ac:dyDescent="0.25">
      <c r="A971" s="3" t="s">
        <v>2245</v>
      </c>
      <c r="B971" s="3" t="s">
        <v>2244</v>
      </c>
      <c r="C971" s="3" t="s">
        <v>4899</v>
      </c>
      <c r="D971" s="3" t="s">
        <v>7249</v>
      </c>
      <c r="E971" s="3" t="s">
        <v>7250</v>
      </c>
      <c r="F971" s="3">
        <v>3</v>
      </c>
      <c r="G971" s="3" t="s">
        <v>7158</v>
      </c>
      <c r="H971" s="3">
        <v>0.104</v>
      </c>
      <c r="I971" s="3">
        <v>0.312</v>
      </c>
    </row>
    <row r="972" spans="1:9" ht="22.5" customHeight="1" x14ac:dyDescent="0.25">
      <c r="A972" s="2" t="s">
        <v>2245</v>
      </c>
      <c r="B972" s="2" t="s">
        <v>2244</v>
      </c>
      <c r="C972" s="2" t="s">
        <v>4899</v>
      </c>
      <c r="D972" s="2" t="s">
        <v>7153</v>
      </c>
      <c r="E972" s="2" t="s">
        <v>7154</v>
      </c>
      <c r="F972" s="2">
        <v>14</v>
      </c>
      <c r="G972" s="2" t="s">
        <v>7155</v>
      </c>
      <c r="H972" s="2">
        <v>1.24E-2</v>
      </c>
      <c r="I972" s="2">
        <v>0.1736</v>
      </c>
    </row>
    <row r="973" spans="1:9" ht="33.75" customHeight="1" x14ac:dyDescent="0.25">
      <c r="A973" s="3" t="s">
        <v>2245</v>
      </c>
      <c r="B973" s="3" t="s">
        <v>2244</v>
      </c>
      <c r="C973" s="3" t="s">
        <v>4899</v>
      </c>
      <c r="D973" s="3" t="s">
        <v>7186</v>
      </c>
      <c r="E973" s="3" t="s">
        <v>7187</v>
      </c>
      <c r="F973" s="3">
        <v>1</v>
      </c>
      <c r="G973" s="3" t="s">
        <v>7158</v>
      </c>
      <c r="H973" s="3">
        <v>26</v>
      </c>
      <c r="I973" s="3">
        <v>26</v>
      </c>
    </row>
    <row r="974" spans="1:9" ht="22.5" customHeight="1" x14ac:dyDescent="0.25">
      <c r="A974" s="2" t="s">
        <v>2245</v>
      </c>
      <c r="B974" s="2" t="s">
        <v>2244</v>
      </c>
      <c r="C974" s="2" t="s">
        <v>4899</v>
      </c>
      <c r="D974" s="2" t="s">
        <v>7159</v>
      </c>
      <c r="E974" s="2" t="s">
        <v>7160</v>
      </c>
      <c r="F974" s="2">
        <v>20</v>
      </c>
      <c r="G974" s="2" t="s">
        <v>7155</v>
      </c>
      <c r="H974" s="2">
        <v>1.8319999999999999E-2</v>
      </c>
      <c r="I974" s="2">
        <v>0.3664</v>
      </c>
    </row>
    <row r="975" spans="1:9" ht="22.5" customHeight="1" x14ac:dyDescent="0.25">
      <c r="A975" s="3" t="s">
        <v>2245</v>
      </c>
      <c r="B975" s="3" t="s">
        <v>2244</v>
      </c>
      <c r="C975" s="3" t="s">
        <v>4899</v>
      </c>
      <c r="D975" s="3" t="s">
        <v>7161</v>
      </c>
      <c r="E975" s="3" t="s">
        <v>7162</v>
      </c>
      <c r="F975" s="3">
        <v>0.186</v>
      </c>
      <c r="G975" s="3" t="s">
        <v>7163</v>
      </c>
      <c r="H975" s="3" t="s">
        <v>7164</v>
      </c>
      <c r="I975" s="3">
        <v>0.186</v>
      </c>
    </row>
    <row r="976" spans="1:9" ht="33.75" customHeight="1" x14ac:dyDescent="0.25">
      <c r="A976" s="2" t="s">
        <v>2245</v>
      </c>
      <c r="B976" s="2" t="s">
        <v>2244</v>
      </c>
      <c r="C976" s="2" t="s">
        <v>4899</v>
      </c>
      <c r="D976" s="2" t="s">
        <v>7188</v>
      </c>
      <c r="E976" s="2" t="s">
        <v>7189</v>
      </c>
      <c r="F976" s="2">
        <v>4</v>
      </c>
      <c r="G976" s="2" t="s">
        <v>7158</v>
      </c>
      <c r="H976" s="2">
        <v>0.27</v>
      </c>
      <c r="I976" s="2">
        <v>1.08</v>
      </c>
    </row>
    <row r="977" spans="1:9" ht="33.75" customHeight="1" x14ac:dyDescent="0.25">
      <c r="A977" s="3" t="s">
        <v>2245</v>
      </c>
      <c r="B977" s="3" t="s">
        <v>2244</v>
      </c>
      <c r="C977" s="3" t="s">
        <v>4899</v>
      </c>
      <c r="D977" s="3" t="s">
        <v>7165</v>
      </c>
      <c r="E977" s="3" t="s">
        <v>7166</v>
      </c>
      <c r="F977" s="3">
        <v>4</v>
      </c>
      <c r="G977" s="3" t="s">
        <v>7158</v>
      </c>
      <c r="H977" s="3">
        <v>0.1</v>
      </c>
      <c r="I977" s="3">
        <v>0.4</v>
      </c>
    </row>
    <row r="978" spans="1:9" ht="22.5" customHeight="1" x14ac:dyDescent="0.25">
      <c r="A978" s="2" t="s">
        <v>3124</v>
      </c>
      <c r="B978" s="2" t="s">
        <v>6035</v>
      </c>
      <c r="C978" s="2" t="s">
        <v>4959</v>
      </c>
      <c r="D978" s="2" t="s">
        <v>7153</v>
      </c>
      <c r="E978" s="2" t="s">
        <v>7154</v>
      </c>
      <c r="F978" s="2">
        <v>14</v>
      </c>
      <c r="G978" s="2" t="s">
        <v>7155</v>
      </c>
      <c r="H978" s="2">
        <v>1.24E-2</v>
      </c>
      <c r="I978" s="2">
        <v>0.1736</v>
      </c>
    </row>
    <row r="979" spans="1:9" ht="22.5" customHeight="1" x14ac:dyDescent="0.25">
      <c r="A979" s="3" t="s">
        <v>3124</v>
      </c>
      <c r="B979" s="3" t="s">
        <v>6035</v>
      </c>
      <c r="C979" s="3" t="s">
        <v>4959</v>
      </c>
      <c r="D979" s="3" t="s">
        <v>7254</v>
      </c>
      <c r="E979" s="3" t="s">
        <v>7255</v>
      </c>
      <c r="F979" s="3">
        <v>54</v>
      </c>
      <c r="G979" s="3" t="s">
        <v>7158</v>
      </c>
      <c r="H979" s="3">
        <v>6.2399999999999997E-2</v>
      </c>
      <c r="I979" s="3">
        <v>3.3696000000000002</v>
      </c>
    </row>
    <row r="980" spans="1:9" ht="33.75" customHeight="1" x14ac:dyDescent="0.25">
      <c r="A980" s="2" t="s">
        <v>3124</v>
      </c>
      <c r="B980" s="2" t="s">
        <v>6035</v>
      </c>
      <c r="C980" s="2" t="s">
        <v>4959</v>
      </c>
      <c r="D980" s="2" t="s">
        <v>7186</v>
      </c>
      <c r="E980" s="2" t="s">
        <v>7187</v>
      </c>
      <c r="F980" s="2">
        <v>1</v>
      </c>
      <c r="G980" s="2" t="s">
        <v>7158</v>
      </c>
      <c r="H980" s="2">
        <v>26</v>
      </c>
      <c r="I980" s="2">
        <v>26</v>
      </c>
    </row>
    <row r="981" spans="1:9" ht="22.5" customHeight="1" x14ac:dyDescent="0.25">
      <c r="A981" s="3" t="s">
        <v>3124</v>
      </c>
      <c r="B981" s="3" t="s">
        <v>6035</v>
      </c>
      <c r="C981" s="3" t="s">
        <v>4959</v>
      </c>
      <c r="D981" s="3" t="s">
        <v>7159</v>
      </c>
      <c r="E981" s="3" t="s">
        <v>7160</v>
      </c>
      <c r="F981" s="3">
        <v>20</v>
      </c>
      <c r="G981" s="3" t="s">
        <v>7155</v>
      </c>
      <c r="H981" s="3">
        <v>1.8319999999999999E-2</v>
      </c>
      <c r="I981" s="3">
        <v>0.3664</v>
      </c>
    </row>
    <row r="982" spans="1:9" ht="22.5" customHeight="1" x14ac:dyDescent="0.25">
      <c r="A982" s="2" t="s">
        <v>3124</v>
      </c>
      <c r="B982" s="2" t="s">
        <v>6035</v>
      </c>
      <c r="C982" s="2" t="s">
        <v>4959</v>
      </c>
      <c r="D982" s="2" t="s">
        <v>7161</v>
      </c>
      <c r="E982" s="2" t="s">
        <v>7162</v>
      </c>
      <c r="F982" s="2">
        <v>0.186</v>
      </c>
      <c r="G982" s="2" t="s">
        <v>7163</v>
      </c>
      <c r="H982" s="2" t="s">
        <v>7164</v>
      </c>
      <c r="I982" s="2">
        <v>0.186</v>
      </c>
    </row>
    <row r="983" spans="1:9" ht="22.5" customHeight="1" x14ac:dyDescent="0.25">
      <c r="A983" s="3" t="s">
        <v>3124</v>
      </c>
      <c r="B983" s="3" t="s">
        <v>6035</v>
      </c>
      <c r="C983" s="3" t="s">
        <v>4959</v>
      </c>
      <c r="D983" s="3" t="s">
        <v>7226</v>
      </c>
      <c r="E983" s="3" t="s">
        <v>7227</v>
      </c>
      <c r="F983" s="3">
        <v>2.4950000000000001</v>
      </c>
      <c r="G983" s="3" t="s">
        <v>7163</v>
      </c>
      <c r="H983" s="3" t="s">
        <v>7164</v>
      </c>
      <c r="I983" s="3">
        <v>2.4950000000000001</v>
      </c>
    </row>
    <row r="984" spans="1:9" ht="33.75" customHeight="1" x14ac:dyDescent="0.25">
      <c r="A984" s="2" t="s">
        <v>3124</v>
      </c>
      <c r="B984" s="2" t="s">
        <v>6035</v>
      </c>
      <c r="C984" s="2" t="s">
        <v>4959</v>
      </c>
      <c r="D984" s="2" t="s">
        <v>7188</v>
      </c>
      <c r="E984" s="2" t="s">
        <v>7189</v>
      </c>
      <c r="F984" s="2">
        <v>4</v>
      </c>
      <c r="G984" s="2" t="s">
        <v>7158</v>
      </c>
      <c r="H984" s="2">
        <v>0.27</v>
      </c>
      <c r="I984" s="2">
        <v>1.08</v>
      </c>
    </row>
    <row r="985" spans="1:9" ht="33.75" customHeight="1" x14ac:dyDescent="0.25">
      <c r="A985" s="3" t="s">
        <v>3124</v>
      </c>
      <c r="B985" s="3" t="s">
        <v>6035</v>
      </c>
      <c r="C985" s="3" t="s">
        <v>4959</v>
      </c>
      <c r="D985" s="3" t="s">
        <v>7165</v>
      </c>
      <c r="E985" s="3" t="s">
        <v>7166</v>
      </c>
      <c r="F985" s="3">
        <v>4</v>
      </c>
      <c r="G985" s="3" t="s">
        <v>7158</v>
      </c>
      <c r="H985" s="3">
        <v>0.1</v>
      </c>
      <c r="I985" s="3">
        <v>0.4</v>
      </c>
    </row>
    <row r="986" spans="1:9" ht="135" customHeight="1" x14ac:dyDescent="0.25">
      <c r="A986" s="2" t="s">
        <v>990</v>
      </c>
      <c r="B986" s="2" t="s">
        <v>6043</v>
      </c>
      <c r="C986" s="2" t="s">
        <v>4806</v>
      </c>
      <c r="D986" s="2" t="s">
        <v>7153</v>
      </c>
      <c r="E986" s="2" t="s">
        <v>7154</v>
      </c>
      <c r="F986" s="2">
        <v>7</v>
      </c>
      <c r="G986" s="2" t="s">
        <v>7155</v>
      </c>
      <c r="H986" s="2">
        <v>1.24E-2</v>
      </c>
      <c r="I986" s="2">
        <v>8.6800000000000002E-2</v>
      </c>
    </row>
    <row r="987" spans="1:9" ht="135" customHeight="1" x14ac:dyDescent="0.25">
      <c r="A987" s="3" t="s">
        <v>990</v>
      </c>
      <c r="B987" s="3" t="s">
        <v>6043</v>
      </c>
      <c r="C987" s="3" t="s">
        <v>4806</v>
      </c>
      <c r="D987" s="3" t="s">
        <v>7186</v>
      </c>
      <c r="E987" s="3" t="s">
        <v>7187</v>
      </c>
      <c r="F987" s="3">
        <v>1</v>
      </c>
      <c r="G987" s="3" t="s">
        <v>7158</v>
      </c>
      <c r="H987" s="3">
        <v>26</v>
      </c>
      <c r="I987" s="3">
        <v>26</v>
      </c>
    </row>
    <row r="988" spans="1:9" ht="135" customHeight="1" x14ac:dyDescent="0.25">
      <c r="A988" s="2" t="s">
        <v>990</v>
      </c>
      <c r="B988" s="2" t="s">
        <v>6043</v>
      </c>
      <c r="C988" s="2" t="s">
        <v>4806</v>
      </c>
      <c r="D988" s="2" t="s">
        <v>7159</v>
      </c>
      <c r="E988" s="2" t="s">
        <v>7160</v>
      </c>
      <c r="F988" s="2">
        <v>20</v>
      </c>
      <c r="G988" s="2" t="s">
        <v>7155</v>
      </c>
      <c r="H988" s="2">
        <v>1.8319999999999999E-2</v>
      </c>
      <c r="I988" s="2">
        <v>0.3664</v>
      </c>
    </row>
    <row r="989" spans="1:9" ht="135" customHeight="1" x14ac:dyDescent="0.25">
      <c r="A989" s="3" t="s">
        <v>990</v>
      </c>
      <c r="B989" s="3" t="s">
        <v>6043</v>
      </c>
      <c r="C989" s="3" t="s">
        <v>4806</v>
      </c>
      <c r="D989" s="3" t="s">
        <v>7161</v>
      </c>
      <c r="E989" s="3" t="s">
        <v>7162</v>
      </c>
      <c r="F989" s="3">
        <v>0.186</v>
      </c>
      <c r="G989" s="3" t="s">
        <v>7163</v>
      </c>
      <c r="H989" s="3" t="s">
        <v>7164</v>
      </c>
      <c r="I989" s="3">
        <v>0.186</v>
      </c>
    </row>
    <row r="990" spans="1:9" ht="135" customHeight="1" x14ac:dyDescent="0.25">
      <c r="A990" s="2" t="s">
        <v>990</v>
      </c>
      <c r="B990" s="2" t="s">
        <v>6043</v>
      </c>
      <c r="C990" s="2" t="s">
        <v>4806</v>
      </c>
      <c r="D990" s="2" t="s">
        <v>7226</v>
      </c>
      <c r="E990" s="2" t="s">
        <v>7227</v>
      </c>
      <c r="F990" s="2">
        <v>1.8360000000000001</v>
      </c>
      <c r="G990" s="2" t="s">
        <v>7163</v>
      </c>
      <c r="H990" s="2" t="s">
        <v>7164</v>
      </c>
      <c r="I990" s="2">
        <v>1.8360000000000001</v>
      </c>
    </row>
    <row r="991" spans="1:9" ht="135" customHeight="1" x14ac:dyDescent="0.25">
      <c r="A991" s="3" t="s">
        <v>990</v>
      </c>
      <c r="B991" s="3" t="s">
        <v>6043</v>
      </c>
      <c r="C991" s="3" t="s">
        <v>4806</v>
      </c>
      <c r="D991" s="3" t="s">
        <v>7188</v>
      </c>
      <c r="E991" s="3" t="s">
        <v>7189</v>
      </c>
      <c r="F991" s="3">
        <v>4</v>
      </c>
      <c r="G991" s="3" t="s">
        <v>7158</v>
      </c>
      <c r="H991" s="3">
        <v>0.27</v>
      </c>
      <c r="I991" s="3">
        <v>1.08</v>
      </c>
    </row>
    <row r="992" spans="1:9" ht="135" customHeight="1" x14ac:dyDescent="0.25">
      <c r="A992" s="2" t="s">
        <v>990</v>
      </c>
      <c r="B992" s="2" t="s">
        <v>6043</v>
      </c>
      <c r="C992" s="2" t="s">
        <v>4806</v>
      </c>
      <c r="D992" s="2" t="s">
        <v>7165</v>
      </c>
      <c r="E992" s="2" t="s">
        <v>7166</v>
      </c>
      <c r="F992" s="2">
        <v>2</v>
      </c>
      <c r="G992" s="2" t="s">
        <v>7158</v>
      </c>
      <c r="H992" s="2">
        <v>0.1</v>
      </c>
      <c r="I992" s="2">
        <v>0.2</v>
      </c>
    </row>
    <row r="993" spans="1:9" ht="393.75" customHeight="1" x14ac:dyDescent="0.25">
      <c r="A993" s="3" t="s">
        <v>386</v>
      </c>
      <c r="B993" s="3" t="s">
        <v>6051</v>
      </c>
      <c r="C993" s="3" t="s">
        <v>4727</v>
      </c>
      <c r="D993" s="3" t="s">
        <v>7153</v>
      </c>
      <c r="E993" s="3" t="s">
        <v>7154</v>
      </c>
      <c r="F993" s="3">
        <v>7</v>
      </c>
      <c r="G993" s="3" t="s">
        <v>7155</v>
      </c>
      <c r="H993" s="3">
        <v>1.24E-2</v>
      </c>
      <c r="I993" s="3">
        <v>8.6800000000000002E-2</v>
      </c>
    </row>
    <row r="994" spans="1:9" ht="393.75" customHeight="1" x14ac:dyDescent="0.25">
      <c r="A994" s="2" t="s">
        <v>386</v>
      </c>
      <c r="B994" s="2" t="s">
        <v>6051</v>
      </c>
      <c r="C994" s="2" t="s">
        <v>4727</v>
      </c>
      <c r="D994" s="2" t="s">
        <v>7254</v>
      </c>
      <c r="E994" s="2" t="s">
        <v>7255</v>
      </c>
      <c r="F994" s="2">
        <v>54</v>
      </c>
      <c r="G994" s="2" t="s">
        <v>7158</v>
      </c>
      <c r="H994" s="2">
        <v>6.2399999999999997E-2</v>
      </c>
      <c r="I994" s="2">
        <v>3.3696000000000002</v>
      </c>
    </row>
    <row r="995" spans="1:9" ht="393.75" customHeight="1" x14ac:dyDescent="0.25">
      <c r="A995" s="3" t="s">
        <v>386</v>
      </c>
      <c r="B995" s="3" t="s">
        <v>6051</v>
      </c>
      <c r="C995" s="3" t="s">
        <v>4727</v>
      </c>
      <c r="D995" s="3" t="s">
        <v>7186</v>
      </c>
      <c r="E995" s="3" t="s">
        <v>7187</v>
      </c>
      <c r="F995" s="3">
        <v>1</v>
      </c>
      <c r="G995" s="3" t="s">
        <v>7158</v>
      </c>
      <c r="H995" s="3">
        <v>26</v>
      </c>
      <c r="I995" s="3">
        <v>26</v>
      </c>
    </row>
    <row r="996" spans="1:9" ht="393.75" customHeight="1" x14ac:dyDescent="0.25">
      <c r="A996" s="2" t="s">
        <v>386</v>
      </c>
      <c r="B996" s="2" t="s">
        <v>6051</v>
      </c>
      <c r="C996" s="2" t="s">
        <v>4727</v>
      </c>
      <c r="D996" s="2" t="s">
        <v>7159</v>
      </c>
      <c r="E996" s="2" t="s">
        <v>7160</v>
      </c>
      <c r="F996" s="2">
        <v>20</v>
      </c>
      <c r="G996" s="2" t="s">
        <v>7155</v>
      </c>
      <c r="H996" s="2">
        <v>1.8319999999999999E-2</v>
      </c>
      <c r="I996" s="2">
        <v>0.3664</v>
      </c>
    </row>
    <row r="997" spans="1:9" ht="393.75" customHeight="1" x14ac:dyDescent="0.25">
      <c r="A997" s="3" t="s">
        <v>386</v>
      </c>
      <c r="B997" s="3" t="s">
        <v>6051</v>
      </c>
      <c r="C997" s="3" t="s">
        <v>4727</v>
      </c>
      <c r="D997" s="3" t="s">
        <v>7161</v>
      </c>
      <c r="E997" s="3" t="s">
        <v>7162</v>
      </c>
      <c r="F997" s="3">
        <v>0.186</v>
      </c>
      <c r="G997" s="3" t="s">
        <v>7163</v>
      </c>
      <c r="H997" s="3" t="s">
        <v>7164</v>
      </c>
      <c r="I997" s="3">
        <v>0.186</v>
      </c>
    </row>
    <row r="998" spans="1:9" ht="393.75" customHeight="1" x14ac:dyDescent="0.25">
      <c r="A998" s="2" t="s">
        <v>386</v>
      </c>
      <c r="B998" s="2" t="s">
        <v>6051</v>
      </c>
      <c r="C998" s="2" t="s">
        <v>4727</v>
      </c>
      <c r="D998" s="2" t="s">
        <v>7226</v>
      </c>
      <c r="E998" s="2" t="s">
        <v>7227</v>
      </c>
      <c r="F998" s="2">
        <v>2.4950000000000001</v>
      </c>
      <c r="G998" s="2" t="s">
        <v>7163</v>
      </c>
      <c r="H998" s="2" t="s">
        <v>7164</v>
      </c>
      <c r="I998" s="2">
        <v>2.4950000000000001</v>
      </c>
    </row>
    <row r="999" spans="1:9" ht="393.75" customHeight="1" x14ac:dyDescent="0.25">
      <c r="A999" s="3" t="s">
        <v>386</v>
      </c>
      <c r="B999" s="3" t="s">
        <v>6051</v>
      </c>
      <c r="C999" s="3" t="s">
        <v>4727</v>
      </c>
      <c r="D999" s="3" t="s">
        <v>7188</v>
      </c>
      <c r="E999" s="3" t="s">
        <v>7189</v>
      </c>
      <c r="F999" s="3">
        <v>4</v>
      </c>
      <c r="G999" s="3" t="s">
        <v>7158</v>
      </c>
      <c r="H999" s="3">
        <v>0.27</v>
      </c>
      <c r="I999" s="3">
        <v>1.08</v>
      </c>
    </row>
    <row r="1000" spans="1:9" ht="393.75" customHeight="1" x14ac:dyDescent="0.25">
      <c r="A1000" s="2" t="s">
        <v>386</v>
      </c>
      <c r="B1000" s="2" t="s">
        <v>6051</v>
      </c>
      <c r="C1000" s="2" t="s">
        <v>4727</v>
      </c>
      <c r="D1000" s="2" t="s">
        <v>7165</v>
      </c>
      <c r="E1000" s="2" t="s">
        <v>7166</v>
      </c>
      <c r="F1000" s="2">
        <v>2</v>
      </c>
      <c r="G1000" s="2" t="s">
        <v>7158</v>
      </c>
      <c r="H1000" s="2">
        <v>0.1</v>
      </c>
      <c r="I1000" s="2">
        <v>0.2</v>
      </c>
    </row>
    <row r="1001" spans="1:9" ht="33.75" customHeight="1" x14ac:dyDescent="0.25">
      <c r="A1001" s="3" t="s">
        <v>906</v>
      </c>
      <c r="B1001" s="3" t="s">
        <v>6059</v>
      </c>
      <c r="C1001" s="3" t="s">
        <v>4803</v>
      </c>
      <c r="D1001" s="3" t="s">
        <v>7186</v>
      </c>
      <c r="E1001" s="3" t="s">
        <v>7187</v>
      </c>
      <c r="F1001" s="3">
        <v>1</v>
      </c>
      <c r="G1001" s="3" t="s">
        <v>7158</v>
      </c>
      <c r="H1001" s="3">
        <v>26</v>
      </c>
      <c r="I1001" s="3">
        <v>26</v>
      </c>
    </row>
    <row r="1002" spans="1:9" ht="33.75" customHeight="1" x14ac:dyDescent="0.25">
      <c r="A1002" s="2" t="s">
        <v>906</v>
      </c>
      <c r="B1002" s="2" t="s">
        <v>6059</v>
      </c>
      <c r="C1002" s="2" t="s">
        <v>4803</v>
      </c>
      <c r="D1002" s="2" t="s">
        <v>7159</v>
      </c>
      <c r="E1002" s="2" t="s">
        <v>7160</v>
      </c>
      <c r="F1002" s="2">
        <v>20</v>
      </c>
      <c r="G1002" s="2" t="s">
        <v>7155</v>
      </c>
      <c r="H1002" s="2">
        <v>1.8319999999999999E-2</v>
      </c>
      <c r="I1002" s="2">
        <v>0.3664</v>
      </c>
    </row>
    <row r="1003" spans="1:9" ht="33.75" customHeight="1" x14ac:dyDescent="0.25">
      <c r="A1003" s="3" t="s">
        <v>906</v>
      </c>
      <c r="B1003" s="3" t="s">
        <v>6059</v>
      </c>
      <c r="C1003" s="3" t="s">
        <v>4803</v>
      </c>
      <c r="D1003" s="3" t="s">
        <v>7161</v>
      </c>
      <c r="E1003" s="3" t="s">
        <v>7162</v>
      </c>
      <c r="F1003" s="3">
        <v>0.186</v>
      </c>
      <c r="G1003" s="3" t="s">
        <v>7163</v>
      </c>
      <c r="H1003" s="3" t="s">
        <v>7164</v>
      </c>
      <c r="I1003" s="3">
        <v>0.186</v>
      </c>
    </row>
    <row r="1004" spans="1:9" ht="33.75" customHeight="1" x14ac:dyDescent="0.25">
      <c r="A1004" s="2" t="s">
        <v>906</v>
      </c>
      <c r="B1004" s="2" t="s">
        <v>6059</v>
      </c>
      <c r="C1004" s="2" t="s">
        <v>4803</v>
      </c>
      <c r="D1004" s="2" t="s">
        <v>7226</v>
      </c>
      <c r="E1004" s="2" t="s">
        <v>7227</v>
      </c>
      <c r="F1004" s="2">
        <v>1.8360000000000001</v>
      </c>
      <c r="G1004" s="2" t="s">
        <v>7163</v>
      </c>
      <c r="H1004" s="2" t="s">
        <v>7164</v>
      </c>
      <c r="I1004" s="2">
        <v>1.8360000000000001</v>
      </c>
    </row>
    <row r="1005" spans="1:9" ht="33.75" customHeight="1" x14ac:dyDescent="0.25">
      <c r="A1005" s="3" t="s">
        <v>906</v>
      </c>
      <c r="B1005" s="3" t="s">
        <v>6059</v>
      </c>
      <c r="C1005" s="3" t="s">
        <v>4803</v>
      </c>
      <c r="D1005" s="3" t="s">
        <v>7188</v>
      </c>
      <c r="E1005" s="3" t="s">
        <v>7189</v>
      </c>
      <c r="F1005" s="3">
        <v>4</v>
      </c>
      <c r="G1005" s="3" t="s">
        <v>7158</v>
      </c>
      <c r="H1005" s="3">
        <v>0.27</v>
      </c>
      <c r="I1005" s="3">
        <v>1.08</v>
      </c>
    </row>
    <row r="1006" spans="1:9" ht="101.25" customHeight="1" x14ac:dyDescent="0.25">
      <c r="A1006" s="2" t="s">
        <v>650</v>
      </c>
      <c r="B1006" s="2" t="s">
        <v>6067</v>
      </c>
      <c r="C1006" s="2" t="s">
        <v>4775</v>
      </c>
      <c r="D1006" s="2" t="s">
        <v>7254</v>
      </c>
      <c r="E1006" s="2" t="s">
        <v>7255</v>
      </c>
      <c r="F1006" s="2">
        <v>54</v>
      </c>
      <c r="G1006" s="2" t="s">
        <v>7158</v>
      </c>
      <c r="H1006" s="2">
        <v>6.2399999999999997E-2</v>
      </c>
      <c r="I1006" s="2">
        <v>3.3696000000000002</v>
      </c>
    </row>
    <row r="1007" spans="1:9" ht="101.25" customHeight="1" x14ac:dyDescent="0.25">
      <c r="A1007" s="3" t="s">
        <v>650</v>
      </c>
      <c r="B1007" s="3" t="s">
        <v>6067</v>
      </c>
      <c r="C1007" s="3" t="s">
        <v>4775</v>
      </c>
      <c r="D1007" s="3" t="s">
        <v>7186</v>
      </c>
      <c r="E1007" s="3" t="s">
        <v>7187</v>
      </c>
      <c r="F1007" s="3">
        <v>1</v>
      </c>
      <c r="G1007" s="3" t="s">
        <v>7158</v>
      </c>
      <c r="H1007" s="3">
        <v>26</v>
      </c>
      <c r="I1007" s="3">
        <v>26</v>
      </c>
    </row>
    <row r="1008" spans="1:9" ht="101.25" customHeight="1" x14ac:dyDescent="0.25">
      <c r="A1008" s="2" t="s">
        <v>650</v>
      </c>
      <c r="B1008" s="2" t="s">
        <v>6067</v>
      </c>
      <c r="C1008" s="2" t="s">
        <v>4775</v>
      </c>
      <c r="D1008" s="2" t="s">
        <v>7159</v>
      </c>
      <c r="E1008" s="2" t="s">
        <v>7160</v>
      </c>
      <c r="F1008" s="2">
        <v>20</v>
      </c>
      <c r="G1008" s="2" t="s">
        <v>7155</v>
      </c>
      <c r="H1008" s="2">
        <v>1.8319999999999999E-2</v>
      </c>
      <c r="I1008" s="2">
        <v>0.3664</v>
      </c>
    </row>
    <row r="1009" spans="1:9" ht="101.25" customHeight="1" x14ac:dyDescent="0.25">
      <c r="A1009" s="3" t="s">
        <v>650</v>
      </c>
      <c r="B1009" s="3" t="s">
        <v>6067</v>
      </c>
      <c r="C1009" s="3" t="s">
        <v>4775</v>
      </c>
      <c r="D1009" s="3" t="s">
        <v>7161</v>
      </c>
      <c r="E1009" s="3" t="s">
        <v>7162</v>
      </c>
      <c r="F1009" s="3">
        <v>0.186</v>
      </c>
      <c r="G1009" s="3" t="s">
        <v>7163</v>
      </c>
      <c r="H1009" s="3" t="s">
        <v>7164</v>
      </c>
      <c r="I1009" s="3">
        <v>0.186</v>
      </c>
    </row>
    <row r="1010" spans="1:9" ht="101.25" customHeight="1" x14ac:dyDescent="0.25">
      <c r="A1010" s="2" t="s">
        <v>650</v>
      </c>
      <c r="B1010" s="2" t="s">
        <v>6067</v>
      </c>
      <c r="C1010" s="2" t="s">
        <v>4775</v>
      </c>
      <c r="D1010" s="2" t="s">
        <v>7226</v>
      </c>
      <c r="E1010" s="2" t="s">
        <v>7227</v>
      </c>
      <c r="F1010" s="2">
        <v>2.4950000000000001</v>
      </c>
      <c r="G1010" s="2" t="s">
        <v>7163</v>
      </c>
      <c r="H1010" s="2" t="s">
        <v>7164</v>
      </c>
      <c r="I1010" s="2">
        <v>2.4950000000000001</v>
      </c>
    </row>
    <row r="1011" spans="1:9" ht="101.25" customHeight="1" x14ac:dyDescent="0.25">
      <c r="A1011" s="3" t="s">
        <v>650</v>
      </c>
      <c r="B1011" s="3" t="s">
        <v>6067</v>
      </c>
      <c r="C1011" s="3" t="s">
        <v>4775</v>
      </c>
      <c r="D1011" s="3" t="s">
        <v>7188</v>
      </c>
      <c r="E1011" s="3" t="s">
        <v>7189</v>
      </c>
      <c r="F1011" s="3">
        <v>4</v>
      </c>
      <c r="G1011" s="3" t="s">
        <v>7158</v>
      </c>
      <c r="H1011" s="3">
        <v>0.27</v>
      </c>
      <c r="I1011" s="3">
        <v>1.08</v>
      </c>
    </row>
    <row r="1012" spans="1:9" ht="22.5" customHeight="1" x14ac:dyDescent="0.25">
      <c r="A1012" s="2" t="s">
        <v>1402</v>
      </c>
      <c r="B1012" s="2" t="s">
        <v>6075</v>
      </c>
      <c r="C1012" s="2" t="s">
        <v>4825</v>
      </c>
      <c r="D1012" s="2" t="s">
        <v>7249</v>
      </c>
      <c r="E1012" s="2" t="s">
        <v>7250</v>
      </c>
      <c r="F1012" s="2">
        <v>3</v>
      </c>
      <c r="G1012" s="2" t="s">
        <v>7158</v>
      </c>
      <c r="H1012" s="2">
        <v>0.104</v>
      </c>
      <c r="I1012" s="2">
        <v>0.312</v>
      </c>
    </row>
    <row r="1013" spans="1:9" ht="22.5" customHeight="1" x14ac:dyDescent="0.25">
      <c r="A1013" s="3" t="s">
        <v>1402</v>
      </c>
      <c r="B1013" s="3" t="s">
        <v>6075</v>
      </c>
      <c r="C1013" s="3" t="s">
        <v>4825</v>
      </c>
      <c r="D1013" s="3" t="s">
        <v>7153</v>
      </c>
      <c r="E1013" s="3" t="s">
        <v>7154</v>
      </c>
      <c r="F1013" s="3">
        <v>14</v>
      </c>
      <c r="G1013" s="3" t="s">
        <v>7155</v>
      </c>
      <c r="H1013" s="3">
        <v>1.24E-2</v>
      </c>
      <c r="I1013" s="3">
        <v>0.1736</v>
      </c>
    </row>
    <row r="1014" spans="1:9" ht="33.75" customHeight="1" x14ac:dyDescent="0.25">
      <c r="A1014" s="2" t="s">
        <v>1402</v>
      </c>
      <c r="B1014" s="2" t="s">
        <v>6075</v>
      </c>
      <c r="C1014" s="2" t="s">
        <v>4825</v>
      </c>
      <c r="D1014" s="2" t="s">
        <v>7186</v>
      </c>
      <c r="E1014" s="2" t="s">
        <v>7187</v>
      </c>
      <c r="F1014" s="2">
        <v>1</v>
      </c>
      <c r="G1014" s="2" t="s">
        <v>7158</v>
      </c>
      <c r="H1014" s="2">
        <v>26</v>
      </c>
      <c r="I1014" s="2">
        <v>26</v>
      </c>
    </row>
    <row r="1015" spans="1:9" ht="22.5" customHeight="1" x14ac:dyDescent="0.25">
      <c r="A1015" s="3" t="s">
        <v>1402</v>
      </c>
      <c r="B1015" s="3" t="s">
        <v>6075</v>
      </c>
      <c r="C1015" s="3" t="s">
        <v>4825</v>
      </c>
      <c r="D1015" s="3" t="s">
        <v>7159</v>
      </c>
      <c r="E1015" s="3" t="s">
        <v>7160</v>
      </c>
      <c r="F1015" s="3">
        <v>20</v>
      </c>
      <c r="G1015" s="3" t="s">
        <v>7155</v>
      </c>
      <c r="H1015" s="3">
        <v>1.8319999999999999E-2</v>
      </c>
      <c r="I1015" s="3">
        <v>0.3664</v>
      </c>
    </row>
    <row r="1016" spans="1:9" ht="22.5" customHeight="1" x14ac:dyDescent="0.25">
      <c r="A1016" s="2" t="s">
        <v>1402</v>
      </c>
      <c r="B1016" s="2" t="s">
        <v>6075</v>
      </c>
      <c r="C1016" s="2" t="s">
        <v>4825</v>
      </c>
      <c r="D1016" s="2" t="s">
        <v>7190</v>
      </c>
      <c r="E1016" s="2" t="s">
        <v>7191</v>
      </c>
      <c r="F1016" s="2">
        <v>0.59699999999999998</v>
      </c>
      <c r="G1016" s="2" t="s">
        <v>7163</v>
      </c>
      <c r="H1016" s="2" t="s">
        <v>7164</v>
      </c>
      <c r="I1016" s="2">
        <v>0.59699999999999998</v>
      </c>
    </row>
    <row r="1017" spans="1:9" ht="33.75" customHeight="1" x14ac:dyDescent="0.25">
      <c r="A1017" s="3" t="s">
        <v>1402</v>
      </c>
      <c r="B1017" s="3" t="s">
        <v>6075</v>
      </c>
      <c r="C1017" s="3" t="s">
        <v>4825</v>
      </c>
      <c r="D1017" s="3" t="s">
        <v>7188</v>
      </c>
      <c r="E1017" s="3" t="s">
        <v>7189</v>
      </c>
      <c r="F1017" s="3">
        <v>4</v>
      </c>
      <c r="G1017" s="3" t="s">
        <v>7158</v>
      </c>
      <c r="H1017" s="3">
        <v>0.27</v>
      </c>
      <c r="I1017" s="3">
        <v>1.08</v>
      </c>
    </row>
    <row r="1018" spans="1:9" ht="33.75" customHeight="1" x14ac:dyDescent="0.25">
      <c r="A1018" s="2" t="s">
        <v>1402</v>
      </c>
      <c r="B1018" s="2" t="s">
        <v>6075</v>
      </c>
      <c r="C1018" s="2" t="s">
        <v>4825</v>
      </c>
      <c r="D1018" s="2" t="s">
        <v>7192</v>
      </c>
      <c r="E1018" s="2" t="s">
        <v>7193</v>
      </c>
      <c r="F1018" s="2">
        <v>4</v>
      </c>
      <c r="G1018" s="2" t="s">
        <v>7158</v>
      </c>
      <c r="H1018" s="2">
        <v>0.03</v>
      </c>
      <c r="I1018" s="2">
        <v>0.12</v>
      </c>
    </row>
    <row r="1019" spans="1:9" ht="22.5" customHeight="1" x14ac:dyDescent="0.25">
      <c r="A1019" s="3" t="s">
        <v>2755</v>
      </c>
      <c r="B1019" s="3" t="s">
        <v>2754</v>
      </c>
      <c r="C1019" s="3" t="s">
        <v>4940</v>
      </c>
      <c r="D1019" s="3" t="s">
        <v>7153</v>
      </c>
      <c r="E1019" s="3" t="s">
        <v>7154</v>
      </c>
      <c r="F1019" s="3">
        <v>14</v>
      </c>
      <c r="G1019" s="3" t="s">
        <v>7155</v>
      </c>
      <c r="H1019" s="3">
        <v>1.24E-2</v>
      </c>
      <c r="I1019" s="3">
        <v>0.1736</v>
      </c>
    </row>
    <row r="1020" spans="1:9" ht="33.75" customHeight="1" x14ac:dyDescent="0.25">
      <c r="A1020" s="2" t="s">
        <v>2755</v>
      </c>
      <c r="B1020" s="2" t="s">
        <v>2754</v>
      </c>
      <c r="C1020" s="2" t="s">
        <v>4940</v>
      </c>
      <c r="D1020" s="2" t="s">
        <v>7186</v>
      </c>
      <c r="E1020" s="2" t="s">
        <v>7187</v>
      </c>
      <c r="F1020" s="2">
        <v>1</v>
      </c>
      <c r="G1020" s="2" t="s">
        <v>7158</v>
      </c>
      <c r="H1020" s="2">
        <v>26</v>
      </c>
      <c r="I1020" s="2">
        <v>26</v>
      </c>
    </row>
    <row r="1021" spans="1:9" ht="22.5" customHeight="1" x14ac:dyDescent="0.25">
      <c r="A1021" s="3" t="s">
        <v>2755</v>
      </c>
      <c r="B1021" s="3" t="s">
        <v>2754</v>
      </c>
      <c r="C1021" s="3" t="s">
        <v>4940</v>
      </c>
      <c r="D1021" s="3" t="s">
        <v>7159</v>
      </c>
      <c r="E1021" s="3" t="s">
        <v>7160</v>
      </c>
      <c r="F1021" s="3">
        <v>20</v>
      </c>
      <c r="G1021" s="3" t="s">
        <v>7155</v>
      </c>
      <c r="H1021" s="3">
        <v>1.8319999999999999E-2</v>
      </c>
      <c r="I1021" s="3">
        <v>0.3664</v>
      </c>
    </row>
    <row r="1022" spans="1:9" ht="22.5" customHeight="1" x14ac:dyDescent="0.25">
      <c r="A1022" s="2" t="s">
        <v>2755</v>
      </c>
      <c r="B1022" s="2" t="s">
        <v>2754</v>
      </c>
      <c r="C1022" s="2" t="s">
        <v>4940</v>
      </c>
      <c r="D1022" s="2" t="s">
        <v>7190</v>
      </c>
      <c r="E1022" s="2" t="s">
        <v>7191</v>
      </c>
      <c r="F1022" s="2">
        <v>0.59699999999999998</v>
      </c>
      <c r="G1022" s="2" t="s">
        <v>7163</v>
      </c>
      <c r="H1022" s="2" t="s">
        <v>7164</v>
      </c>
      <c r="I1022" s="2">
        <v>0.59699999999999998</v>
      </c>
    </row>
    <row r="1023" spans="1:9" ht="33.75" customHeight="1" x14ac:dyDescent="0.25">
      <c r="A1023" s="3" t="s">
        <v>2755</v>
      </c>
      <c r="B1023" s="3" t="s">
        <v>2754</v>
      </c>
      <c r="C1023" s="3" t="s">
        <v>4940</v>
      </c>
      <c r="D1023" s="3" t="s">
        <v>7188</v>
      </c>
      <c r="E1023" s="3" t="s">
        <v>7189</v>
      </c>
      <c r="F1023" s="3">
        <v>4</v>
      </c>
      <c r="G1023" s="3" t="s">
        <v>7158</v>
      </c>
      <c r="H1023" s="3">
        <v>0.27</v>
      </c>
      <c r="I1023" s="3">
        <v>1.08</v>
      </c>
    </row>
    <row r="1024" spans="1:9" ht="33.75" customHeight="1" x14ac:dyDescent="0.25">
      <c r="A1024" s="2" t="s">
        <v>2755</v>
      </c>
      <c r="B1024" s="2" t="s">
        <v>2754</v>
      </c>
      <c r="C1024" s="2" t="s">
        <v>4940</v>
      </c>
      <c r="D1024" s="2" t="s">
        <v>7165</v>
      </c>
      <c r="E1024" s="2" t="s">
        <v>7166</v>
      </c>
      <c r="F1024" s="2">
        <v>2</v>
      </c>
      <c r="G1024" s="2" t="s">
        <v>7158</v>
      </c>
      <c r="H1024" s="2">
        <v>0.1</v>
      </c>
      <c r="I1024" s="2">
        <v>0.2</v>
      </c>
    </row>
    <row r="1025" spans="1:9" ht="22.5" customHeight="1" x14ac:dyDescent="0.25">
      <c r="A1025" s="3" t="s">
        <v>1498</v>
      </c>
      <c r="B1025" s="3" t="s">
        <v>1497</v>
      </c>
      <c r="C1025" s="3" t="s">
        <v>4832</v>
      </c>
      <c r="D1025" s="3" t="s">
        <v>7153</v>
      </c>
      <c r="E1025" s="3" t="s">
        <v>7154</v>
      </c>
      <c r="F1025" s="3">
        <v>14</v>
      </c>
      <c r="G1025" s="3" t="s">
        <v>7155</v>
      </c>
      <c r="H1025" s="3">
        <v>1.24E-2</v>
      </c>
      <c r="I1025" s="3">
        <v>0.1736</v>
      </c>
    </row>
    <row r="1026" spans="1:9" ht="33.75" customHeight="1" x14ac:dyDescent="0.25">
      <c r="A1026" s="2" t="s">
        <v>1498</v>
      </c>
      <c r="B1026" s="2" t="s">
        <v>1497</v>
      </c>
      <c r="C1026" s="2" t="s">
        <v>4832</v>
      </c>
      <c r="D1026" s="2" t="s">
        <v>7186</v>
      </c>
      <c r="E1026" s="2" t="s">
        <v>7187</v>
      </c>
      <c r="F1026" s="2">
        <v>1</v>
      </c>
      <c r="G1026" s="2" t="s">
        <v>7158</v>
      </c>
      <c r="H1026" s="2">
        <v>26</v>
      </c>
      <c r="I1026" s="2">
        <v>26</v>
      </c>
    </row>
    <row r="1027" spans="1:9" ht="22.5" customHeight="1" x14ac:dyDescent="0.25">
      <c r="A1027" s="3" t="s">
        <v>1498</v>
      </c>
      <c r="B1027" s="3" t="s">
        <v>1497</v>
      </c>
      <c r="C1027" s="3" t="s">
        <v>4832</v>
      </c>
      <c r="D1027" s="3" t="s">
        <v>7159</v>
      </c>
      <c r="E1027" s="3" t="s">
        <v>7160</v>
      </c>
      <c r="F1027" s="3">
        <v>20</v>
      </c>
      <c r="G1027" s="3" t="s">
        <v>7155</v>
      </c>
      <c r="H1027" s="3">
        <v>1.8319999999999999E-2</v>
      </c>
      <c r="I1027" s="3">
        <v>0.3664</v>
      </c>
    </row>
    <row r="1028" spans="1:9" ht="22.5" customHeight="1" x14ac:dyDescent="0.25">
      <c r="A1028" s="2" t="s">
        <v>1498</v>
      </c>
      <c r="B1028" s="2" t="s">
        <v>1497</v>
      </c>
      <c r="C1028" s="2" t="s">
        <v>4832</v>
      </c>
      <c r="D1028" s="2" t="s">
        <v>7190</v>
      </c>
      <c r="E1028" s="2" t="s">
        <v>7191</v>
      </c>
      <c r="F1028" s="2">
        <v>0.59699999999999998</v>
      </c>
      <c r="G1028" s="2" t="s">
        <v>7163</v>
      </c>
      <c r="H1028" s="2" t="s">
        <v>7164</v>
      </c>
      <c r="I1028" s="2">
        <v>0.59699999999999998</v>
      </c>
    </row>
    <row r="1029" spans="1:9" ht="33.75" customHeight="1" x14ac:dyDescent="0.25">
      <c r="A1029" s="3" t="s">
        <v>1498</v>
      </c>
      <c r="B1029" s="3" t="s">
        <v>1497</v>
      </c>
      <c r="C1029" s="3" t="s">
        <v>4832</v>
      </c>
      <c r="D1029" s="3" t="s">
        <v>7188</v>
      </c>
      <c r="E1029" s="3" t="s">
        <v>7189</v>
      </c>
      <c r="F1029" s="3">
        <v>4</v>
      </c>
      <c r="G1029" s="3" t="s">
        <v>7158</v>
      </c>
      <c r="H1029" s="3">
        <v>0.27</v>
      </c>
      <c r="I1029" s="3">
        <v>1.08</v>
      </c>
    </row>
    <row r="1030" spans="1:9" ht="33.75" customHeight="1" x14ac:dyDescent="0.25">
      <c r="A1030" s="2" t="s">
        <v>1498</v>
      </c>
      <c r="B1030" s="2" t="s">
        <v>1497</v>
      </c>
      <c r="C1030" s="2" t="s">
        <v>4832</v>
      </c>
      <c r="D1030" s="2" t="s">
        <v>7165</v>
      </c>
      <c r="E1030" s="2" t="s">
        <v>7166</v>
      </c>
      <c r="F1030" s="2">
        <v>4</v>
      </c>
      <c r="G1030" s="2" t="s">
        <v>7158</v>
      </c>
      <c r="H1030" s="2">
        <v>0.1</v>
      </c>
      <c r="I1030" s="2">
        <v>0.4</v>
      </c>
    </row>
    <row r="1031" spans="1:9" ht="22.5" customHeight="1" x14ac:dyDescent="0.25">
      <c r="A1031" s="3" t="s">
        <v>1564</v>
      </c>
      <c r="B1031" s="3" t="s">
        <v>1563</v>
      </c>
      <c r="C1031" s="3" t="s">
        <v>4837</v>
      </c>
      <c r="D1031" s="3" t="s">
        <v>7153</v>
      </c>
      <c r="E1031" s="3" t="s">
        <v>7154</v>
      </c>
      <c r="F1031" s="3">
        <v>14</v>
      </c>
      <c r="G1031" s="3" t="s">
        <v>7155</v>
      </c>
      <c r="H1031" s="3">
        <v>1.24E-2</v>
      </c>
      <c r="I1031" s="3">
        <v>0.1736</v>
      </c>
    </row>
    <row r="1032" spans="1:9" ht="22.5" customHeight="1" x14ac:dyDescent="0.25">
      <c r="A1032" s="2" t="s">
        <v>1564</v>
      </c>
      <c r="B1032" s="2" t="s">
        <v>1563</v>
      </c>
      <c r="C1032" s="2" t="s">
        <v>4837</v>
      </c>
      <c r="D1032" s="2" t="s">
        <v>7156</v>
      </c>
      <c r="E1032" s="2" t="s">
        <v>7157</v>
      </c>
      <c r="F1032" s="2">
        <v>1</v>
      </c>
      <c r="G1032" s="2" t="s">
        <v>7158</v>
      </c>
      <c r="H1032" s="2">
        <v>26</v>
      </c>
      <c r="I1032" s="2">
        <v>26</v>
      </c>
    </row>
    <row r="1033" spans="1:9" ht="22.5" customHeight="1" x14ac:dyDescent="0.25">
      <c r="A1033" s="3" t="s">
        <v>1564</v>
      </c>
      <c r="B1033" s="3" t="s">
        <v>1563</v>
      </c>
      <c r="C1033" s="3" t="s">
        <v>4837</v>
      </c>
      <c r="D1033" s="3" t="s">
        <v>7159</v>
      </c>
      <c r="E1033" s="3" t="s">
        <v>7160</v>
      </c>
      <c r="F1033" s="3">
        <v>20</v>
      </c>
      <c r="G1033" s="3" t="s">
        <v>7155</v>
      </c>
      <c r="H1033" s="3">
        <v>1.8319999999999999E-2</v>
      </c>
      <c r="I1033" s="3">
        <v>0.3664</v>
      </c>
    </row>
    <row r="1034" spans="1:9" ht="22.5" customHeight="1" x14ac:dyDescent="0.25">
      <c r="A1034" s="2" t="s">
        <v>1564</v>
      </c>
      <c r="B1034" s="2" t="s">
        <v>1563</v>
      </c>
      <c r="C1034" s="2" t="s">
        <v>4837</v>
      </c>
      <c r="D1034" s="2" t="s">
        <v>7161</v>
      </c>
      <c r="E1034" s="2" t="s">
        <v>7162</v>
      </c>
      <c r="F1034" s="2">
        <v>0.186</v>
      </c>
      <c r="G1034" s="2" t="s">
        <v>7163</v>
      </c>
      <c r="H1034" s="2" t="s">
        <v>7164</v>
      </c>
      <c r="I1034" s="2">
        <v>0.186</v>
      </c>
    </row>
    <row r="1035" spans="1:9" ht="33.75" customHeight="1" x14ac:dyDescent="0.25">
      <c r="A1035" s="3" t="s">
        <v>1564</v>
      </c>
      <c r="B1035" s="3" t="s">
        <v>1563</v>
      </c>
      <c r="C1035" s="3" t="s">
        <v>4837</v>
      </c>
      <c r="D1035" s="3" t="s">
        <v>7212</v>
      </c>
      <c r="E1035" s="3" t="s">
        <v>7213</v>
      </c>
      <c r="F1035" s="3">
        <v>6</v>
      </c>
      <c r="G1035" s="3" t="s">
        <v>7158</v>
      </c>
      <c r="H1035" s="3">
        <v>0.21</v>
      </c>
      <c r="I1035" s="3">
        <v>1.26</v>
      </c>
    </row>
    <row r="1036" spans="1:9" ht="33.75" customHeight="1" x14ac:dyDescent="0.25">
      <c r="A1036" s="2" t="s">
        <v>1564</v>
      </c>
      <c r="B1036" s="2" t="s">
        <v>1563</v>
      </c>
      <c r="C1036" s="2" t="s">
        <v>4837</v>
      </c>
      <c r="D1036" s="2" t="s">
        <v>7167</v>
      </c>
      <c r="E1036" s="2" t="s">
        <v>7168</v>
      </c>
      <c r="F1036" s="2">
        <v>5</v>
      </c>
      <c r="G1036" s="2" t="s">
        <v>7158</v>
      </c>
      <c r="H1036" s="2">
        <v>0.2</v>
      </c>
      <c r="I1036" s="2">
        <v>1</v>
      </c>
    </row>
    <row r="1037" spans="1:9" ht="33.75" customHeight="1" x14ac:dyDescent="0.25">
      <c r="A1037" s="3" t="s">
        <v>1564</v>
      </c>
      <c r="B1037" s="3" t="s">
        <v>1563</v>
      </c>
      <c r="C1037" s="3" t="s">
        <v>4837</v>
      </c>
      <c r="D1037" s="3" t="s">
        <v>7274</v>
      </c>
      <c r="E1037" s="3" t="s">
        <v>7275</v>
      </c>
      <c r="F1037" s="3">
        <v>56</v>
      </c>
      <c r="G1037" s="3" t="s">
        <v>7158</v>
      </c>
      <c r="H1037" s="3">
        <v>0.27</v>
      </c>
      <c r="I1037" s="3">
        <v>15.12</v>
      </c>
    </row>
    <row r="1038" spans="1:9" ht="45" customHeight="1" x14ac:dyDescent="0.25">
      <c r="A1038" s="2" t="s">
        <v>2700</v>
      </c>
      <c r="B1038" s="2" t="s">
        <v>6104</v>
      </c>
      <c r="C1038" s="2" t="s">
        <v>4935</v>
      </c>
      <c r="D1038" s="2" t="s">
        <v>7153</v>
      </c>
      <c r="E1038" s="2" t="s">
        <v>7154</v>
      </c>
      <c r="F1038" s="2">
        <v>14</v>
      </c>
      <c r="G1038" s="2" t="s">
        <v>7155</v>
      </c>
      <c r="H1038" s="2">
        <v>1.24E-2</v>
      </c>
      <c r="I1038" s="2">
        <v>0.1736</v>
      </c>
    </row>
    <row r="1039" spans="1:9" ht="45" customHeight="1" x14ac:dyDescent="0.25">
      <c r="A1039" s="3" t="s">
        <v>2700</v>
      </c>
      <c r="B1039" s="3" t="s">
        <v>6104</v>
      </c>
      <c r="C1039" s="3" t="s">
        <v>4935</v>
      </c>
      <c r="D1039" s="3" t="s">
        <v>7156</v>
      </c>
      <c r="E1039" s="3" t="s">
        <v>7157</v>
      </c>
      <c r="F1039" s="3">
        <v>1</v>
      </c>
      <c r="G1039" s="3" t="s">
        <v>7158</v>
      </c>
      <c r="H1039" s="3">
        <v>26</v>
      </c>
      <c r="I1039" s="3">
        <v>26</v>
      </c>
    </row>
    <row r="1040" spans="1:9" ht="45" customHeight="1" x14ac:dyDescent="0.25">
      <c r="A1040" s="2" t="s">
        <v>2700</v>
      </c>
      <c r="B1040" s="2" t="s">
        <v>6104</v>
      </c>
      <c r="C1040" s="2" t="s">
        <v>4935</v>
      </c>
      <c r="D1040" s="2" t="s">
        <v>7159</v>
      </c>
      <c r="E1040" s="2" t="s">
        <v>7160</v>
      </c>
      <c r="F1040" s="2">
        <v>20</v>
      </c>
      <c r="G1040" s="2" t="s">
        <v>7155</v>
      </c>
      <c r="H1040" s="2">
        <v>1.8319999999999999E-2</v>
      </c>
      <c r="I1040" s="2">
        <v>0.3664</v>
      </c>
    </row>
    <row r="1041" spans="1:9" ht="45" customHeight="1" x14ac:dyDescent="0.25">
      <c r="A1041" s="3" t="s">
        <v>2700</v>
      </c>
      <c r="B1041" s="3" t="s">
        <v>6104</v>
      </c>
      <c r="C1041" s="3" t="s">
        <v>4935</v>
      </c>
      <c r="D1041" s="3" t="s">
        <v>7161</v>
      </c>
      <c r="E1041" s="3" t="s">
        <v>7162</v>
      </c>
      <c r="F1041" s="3">
        <v>0.186</v>
      </c>
      <c r="G1041" s="3" t="s">
        <v>7163</v>
      </c>
      <c r="H1041" s="3" t="s">
        <v>7164</v>
      </c>
      <c r="I1041" s="3">
        <v>0.186</v>
      </c>
    </row>
    <row r="1042" spans="1:9" ht="45" customHeight="1" x14ac:dyDescent="0.25">
      <c r="A1042" s="2" t="s">
        <v>2700</v>
      </c>
      <c r="B1042" s="2" t="s">
        <v>6104</v>
      </c>
      <c r="C1042" s="2" t="s">
        <v>4935</v>
      </c>
      <c r="D1042" s="2" t="s">
        <v>7165</v>
      </c>
      <c r="E1042" s="2" t="s">
        <v>7166</v>
      </c>
      <c r="F1042" s="2">
        <v>4</v>
      </c>
      <c r="G1042" s="2" t="s">
        <v>7158</v>
      </c>
      <c r="H1042" s="2">
        <v>0.1</v>
      </c>
      <c r="I1042" s="2">
        <v>0.4</v>
      </c>
    </row>
    <row r="1043" spans="1:9" ht="45" customHeight="1" x14ac:dyDescent="0.25">
      <c r="A1043" s="3" t="s">
        <v>2700</v>
      </c>
      <c r="B1043" s="3" t="s">
        <v>6104</v>
      </c>
      <c r="C1043" s="3" t="s">
        <v>4935</v>
      </c>
      <c r="D1043" s="3" t="s">
        <v>7167</v>
      </c>
      <c r="E1043" s="3" t="s">
        <v>7168</v>
      </c>
      <c r="F1043" s="3">
        <v>5</v>
      </c>
      <c r="G1043" s="3" t="s">
        <v>7158</v>
      </c>
      <c r="H1043" s="3">
        <v>0.2</v>
      </c>
      <c r="I1043" s="3">
        <v>1</v>
      </c>
    </row>
    <row r="1044" spans="1:9" ht="101.25" customHeight="1" x14ac:dyDescent="0.25">
      <c r="A1044" s="2" t="s">
        <v>378</v>
      </c>
      <c r="B1044" s="2" t="s">
        <v>6110</v>
      </c>
      <c r="C1044" s="2" t="s">
        <v>4722</v>
      </c>
      <c r="D1044" s="2" t="s">
        <v>7153</v>
      </c>
      <c r="E1044" s="2" t="s">
        <v>7154</v>
      </c>
      <c r="F1044" s="2">
        <v>7</v>
      </c>
      <c r="G1044" s="2" t="s">
        <v>7155</v>
      </c>
      <c r="H1044" s="2">
        <v>1.24E-2</v>
      </c>
      <c r="I1044" s="2">
        <v>8.6800000000000002E-2</v>
      </c>
    </row>
    <row r="1045" spans="1:9" ht="101.25" customHeight="1" x14ac:dyDescent="0.25">
      <c r="A1045" s="3" t="s">
        <v>378</v>
      </c>
      <c r="B1045" s="3" t="s">
        <v>6110</v>
      </c>
      <c r="C1045" s="3" t="s">
        <v>4722</v>
      </c>
      <c r="D1045" s="3" t="s">
        <v>7156</v>
      </c>
      <c r="E1045" s="3" t="s">
        <v>7157</v>
      </c>
      <c r="F1045" s="3">
        <v>1</v>
      </c>
      <c r="G1045" s="3" t="s">
        <v>7158</v>
      </c>
      <c r="H1045" s="3">
        <v>26</v>
      </c>
      <c r="I1045" s="3">
        <v>26</v>
      </c>
    </row>
    <row r="1046" spans="1:9" ht="101.25" customHeight="1" x14ac:dyDescent="0.25">
      <c r="A1046" s="2" t="s">
        <v>378</v>
      </c>
      <c r="B1046" s="2" t="s">
        <v>6110</v>
      </c>
      <c r="C1046" s="2" t="s">
        <v>4722</v>
      </c>
      <c r="D1046" s="2" t="s">
        <v>7159</v>
      </c>
      <c r="E1046" s="2" t="s">
        <v>7160</v>
      </c>
      <c r="F1046" s="2">
        <v>20</v>
      </c>
      <c r="G1046" s="2" t="s">
        <v>7155</v>
      </c>
      <c r="H1046" s="2">
        <v>1.8319999999999999E-2</v>
      </c>
      <c r="I1046" s="2">
        <v>0.3664</v>
      </c>
    </row>
    <row r="1047" spans="1:9" ht="101.25" customHeight="1" x14ac:dyDescent="0.25">
      <c r="A1047" s="3" t="s">
        <v>378</v>
      </c>
      <c r="B1047" s="3" t="s">
        <v>6110</v>
      </c>
      <c r="C1047" s="3" t="s">
        <v>4722</v>
      </c>
      <c r="D1047" s="3" t="s">
        <v>7161</v>
      </c>
      <c r="E1047" s="3" t="s">
        <v>7162</v>
      </c>
      <c r="F1047" s="3">
        <v>0.186</v>
      </c>
      <c r="G1047" s="3" t="s">
        <v>7163</v>
      </c>
      <c r="H1047" s="3" t="s">
        <v>7164</v>
      </c>
      <c r="I1047" s="3">
        <v>0.186</v>
      </c>
    </row>
    <row r="1048" spans="1:9" ht="101.25" customHeight="1" x14ac:dyDescent="0.25">
      <c r="A1048" s="2" t="s">
        <v>378</v>
      </c>
      <c r="B1048" s="2" t="s">
        <v>6110</v>
      </c>
      <c r="C1048" s="2" t="s">
        <v>4722</v>
      </c>
      <c r="D1048" s="2" t="s">
        <v>7226</v>
      </c>
      <c r="E1048" s="2" t="s">
        <v>7227</v>
      </c>
      <c r="F1048" s="2">
        <v>1.9039999999999999</v>
      </c>
      <c r="G1048" s="2" t="s">
        <v>7163</v>
      </c>
      <c r="H1048" s="2" t="s">
        <v>7164</v>
      </c>
      <c r="I1048" s="2">
        <v>1.9039999999999999</v>
      </c>
    </row>
    <row r="1049" spans="1:9" ht="101.25" customHeight="1" x14ac:dyDescent="0.25">
      <c r="A1049" s="3" t="s">
        <v>378</v>
      </c>
      <c r="B1049" s="3" t="s">
        <v>6110</v>
      </c>
      <c r="C1049" s="3" t="s">
        <v>4722</v>
      </c>
      <c r="D1049" s="3" t="s">
        <v>7165</v>
      </c>
      <c r="E1049" s="3" t="s">
        <v>7166</v>
      </c>
      <c r="F1049" s="3">
        <v>2</v>
      </c>
      <c r="G1049" s="3" t="s">
        <v>7158</v>
      </c>
      <c r="H1049" s="3">
        <v>0.1</v>
      </c>
      <c r="I1049" s="3">
        <v>0.2</v>
      </c>
    </row>
    <row r="1050" spans="1:9" ht="101.25" customHeight="1" x14ac:dyDescent="0.25">
      <c r="A1050" s="2" t="s">
        <v>378</v>
      </c>
      <c r="B1050" s="2" t="s">
        <v>6110</v>
      </c>
      <c r="C1050" s="2" t="s">
        <v>4722</v>
      </c>
      <c r="D1050" s="2" t="s">
        <v>7167</v>
      </c>
      <c r="E1050" s="2" t="s">
        <v>7168</v>
      </c>
      <c r="F1050" s="2">
        <v>5</v>
      </c>
      <c r="G1050" s="2" t="s">
        <v>7158</v>
      </c>
      <c r="H1050" s="2">
        <v>0.2</v>
      </c>
      <c r="I1050" s="2">
        <v>1</v>
      </c>
    </row>
    <row r="1051" spans="1:9" ht="33.75" customHeight="1" x14ac:dyDescent="0.25">
      <c r="A1051" s="3" t="s">
        <v>265</v>
      </c>
      <c r="B1051" s="3" t="s">
        <v>6118</v>
      </c>
      <c r="C1051" s="3" t="s">
        <v>4692</v>
      </c>
      <c r="D1051" s="3" t="s">
        <v>7153</v>
      </c>
      <c r="E1051" s="3" t="s">
        <v>7154</v>
      </c>
      <c r="F1051" s="3">
        <v>7</v>
      </c>
      <c r="G1051" s="3" t="s">
        <v>7155</v>
      </c>
      <c r="H1051" s="3">
        <v>1.24E-2</v>
      </c>
      <c r="I1051" s="3">
        <v>8.6800000000000002E-2</v>
      </c>
    </row>
    <row r="1052" spans="1:9" ht="33.75" customHeight="1" x14ac:dyDescent="0.25">
      <c r="A1052" s="2" t="s">
        <v>265</v>
      </c>
      <c r="B1052" s="2" t="s">
        <v>6118</v>
      </c>
      <c r="C1052" s="2" t="s">
        <v>4692</v>
      </c>
      <c r="D1052" s="2" t="s">
        <v>7156</v>
      </c>
      <c r="E1052" s="2" t="s">
        <v>7157</v>
      </c>
      <c r="F1052" s="2">
        <v>1</v>
      </c>
      <c r="G1052" s="2" t="s">
        <v>7158</v>
      </c>
      <c r="H1052" s="2">
        <v>26</v>
      </c>
      <c r="I1052" s="2">
        <v>26</v>
      </c>
    </row>
    <row r="1053" spans="1:9" ht="33.75" customHeight="1" x14ac:dyDescent="0.25">
      <c r="A1053" s="3" t="s">
        <v>265</v>
      </c>
      <c r="B1053" s="3" t="s">
        <v>6118</v>
      </c>
      <c r="C1053" s="3" t="s">
        <v>4692</v>
      </c>
      <c r="D1053" s="3" t="s">
        <v>7159</v>
      </c>
      <c r="E1053" s="3" t="s">
        <v>7160</v>
      </c>
      <c r="F1053" s="3">
        <v>20</v>
      </c>
      <c r="G1053" s="3" t="s">
        <v>7155</v>
      </c>
      <c r="H1053" s="3">
        <v>1.8319999999999999E-2</v>
      </c>
      <c r="I1053" s="3">
        <v>0.3664</v>
      </c>
    </row>
    <row r="1054" spans="1:9" ht="33.75" customHeight="1" x14ac:dyDescent="0.25">
      <c r="A1054" s="2" t="s">
        <v>265</v>
      </c>
      <c r="B1054" s="2" t="s">
        <v>6118</v>
      </c>
      <c r="C1054" s="2" t="s">
        <v>4692</v>
      </c>
      <c r="D1054" s="2" t="s">
        <v>7161</v>
      </c>
      <c r="E1054" s="2" t="s">
        <v>7162</v>
      </c>
      <c r="F1054" s="2">
        <v>0.186</v>
      </c>
      <c r="G1054" s="2" t="s">
        <v>7163</v>
      </c>
      <c r="H1054" s="2" t="s">
        <v>7164</v>
      </c>
      <c r="I1054" s="2">
        <v>0.186</v>
      </c>
    </row>
    <row r="1055" spans="1:9" ht="33.75" customHeight="1" x14ac:dyDescent="0.25">
      <c r="A1055" s="3" t="s">
        <v>265</v>
      </c>
      <c r="B1055" s="3" t="s">
        <v>6118</v>
      </c>
      <c r="C1055" s="3" t="s">
        <v>4692</v>
      </c>
      <c r="D1055" s="3" t="s">
        <v>7165</v>
      </c>
      <c r="E1055" s="3" t="s">
        <v>7166</v>
      </c>
      <c r="F1055" s="3">
        <v>2</v>
      </c>
      <c r="G1055" s="3" t="s">
        <v>7158</v>
      </c>
      <c r="H1055" s="3">
        <v>0.1</v>
      </c>
      <c r="I1055" s="3">
        <v>0.2</v>
      </c>
    </row>
    <row r="1056" spans="1:9" ht="33.75" customHeight="1" x14ac:dyDescent="0.25">
      <c r="A1056" s="2" t="s">
        <v>265</v>
      </c>
      <c r="B1056" s="2" t="s">
        <v>6118</v>
      </c>
      <c r="C1056" s="2" t="s">
        <v>4692</v>
      </c>
      <c r="D1056" s="2" t="s">
        <v>7167</v>
      </c>
      <c r="E1056" s="2" t="s">
        <v>7168</v>
      </c>
      <c r="F1056" s="2">
        <v>5</v>
      </c>
      <c r="G1056" s="2" t="s">
        <v>7158</v>
      </c>
      <c r="H1056" s="2">
        <v>0.2</v>
      </c>
      <c r="I1056" s="2">
        <v>1</v>
      </c>
    </row>
    <row r="1057" spans="1:9" x14ac:dyDescent="0.25">
      <c r="A1057" s="3" t="s">
        <v>2294</v>
      </c>
      <c r="B1057" s="3" t="s">
        <v>2293</v>
      </c>
      <c r="C1057" s="3" t="s">
        <v>4901</v>
      </c>
      <c r="D1057" s="3" t="s">
        <v>7156</v>
      </c>
      <c r="E1057" s="3"/>
      <c r="F1057" s="3">
        <v>1</v>
      </c>
      <c r="G1057" s="3" t="s">
        <v>7158</v>
      </c>
      <c r="H1057" s="3">
        <v>26</v>
      </c>
      <c r="I1057" s="3">
        <v>26</v>
      </c>
    </row>
    <row r="1058" spans="1:9" x14ac:dyDescent="0.25">
      <c r="A1058" s="2" t="s">
        <v>2294</v>
      </c>
      <c r="B1058" s="2" t="s">
        <v>2293</v>
      </c>
      <c r="C1058" s="2" t="s">
        <v>4901</v>
      </c>
      <c r="D1058" s="2" t="s">
        <v>7159</v>
      </c>
      <c r="E1058" s="2"/>
      <c r="F1058" s="2">
        <v>20</v>
      </c>
      <c r="G1058" s="2" t="s">
        <v>7155</v>
      </c>
      <c r="H1058" s="2">
        <v>1.8319999999999999E-2</v>
      </c>
      <c r="I1058" s="2">
        <v>0.3664</v>
      </c>
    </row>
    <row r="1059" spans="1:9" x14ac:dyDescent="0.25">
      <c r="A1059" s="3" t="s">
        <v>2294</v>
      </c>
      <c r="B1059" s="3" t="s">
        <v>2293</v>
      </c>
      <c r="C1059" s="3" t="s">
        <v>4901</v>
      </c>
      <c r="D1059" s="3" t="s">
        <v>7161</v>
      </c>
      <c r="E1059" s="3"/>
      <c r="F1059" s="3">
        <v>0.186</v>
      </c>
      <c r="G1059" s="3" t="s">
        <v>7163</v>
      </c>
      <c r="H1059" s="3">
        <v>0</v>
      </c>
      <c r="I1059" s="3">
        <v>0</v>
      </c>
    </row>
    <row r="1060" spans="1:9" x14ac:dyDescent="0.25">
      <c r="A1060" s="2" t="s">
        <v>2294</v>
      </c>
      <c r="B1060" s="2" t="s">
        <v>2293</v>
      </c>
      <c r="C1060" s="2" t="s">
        <v>4901</v>
      </c>
      <c r="D1060" s="2" t="s">
        <v>7226</v>
      </c>
      <c r="E1060" s="2"/>
      <c r="F1060" s="2">
        <v>1.9039999999999999</v>
      </c>
      <c r="G1060" s="2" t="s">
        <v>7163</v>
      </c>
      <c r="H1060" s="2">
        <v>0</v>
      </c>
      <c r="I1060" s="2">
        <v>0</v>
      </c>
    </row>
    <row r="1061" spans="1:9" x14ac:dyDescent="0.25">
      <c r="A1061" s="3" t="s">
        <v>2294</v>
      </c>
      <c r="B1061" s="3" t="s">
        <v>2293</v>
      </c>
      <c r="C1061" s="3" t="s">
        <v>4901</v>
      </c>
      <c r="D1061" s="3" t="s">
        <v>7167</v>
      </c>
      <c r="E1061" s="3"/>
      <c r="F1061" s="3">
        <v>5</v>
      </c>
      <c r="G1061" s="3" t="s">
        <v>7158</v>
      </c>
      <c r="H1061" s="3">
        <v>0.2</v>
      </c>
      <c r="I1061" s="3">
        <v>1</v>
      </c>
    </row>
    <row r="1062" spans="1:9" x14ac:dyDescent="0.25">
      <c r="A1062" s="2" t="s">
        <v>2294</v>
      </c>
      <c r="B1062" s="2" t="s">
        <v>2293</v>
      </c>
      <c r="C1062" s="2" t="s">
        <v>4901</v>
      </c>
      <c r="D1062" s="2" t="s">
        <v>7231</v>
      </c>
      <c r="E1062" s="2"/>
      <c r="F1062" s="2">
        <v>56</v>
      </c>
      <c r="G1062" s="2" t="s">
        <v>7158</v>
      </c>
      <c r="H1062" s="2">
        <v>8.0000000000000002E-3</v>
      </c>
      <c r="I1062" s="2">
        <v>0.44800000000000001</v>
      </c>
    </row>
    <row r="1063" spans="1:9" x14ac:dyDescent="0.25">
      <c r="A1063" s="3" t="s">
        <v>2294</v>
      </c>
      <c r="B1063" s="3" t="s">
        <v>2293</v>
      </c>
      <c r="C1063" s="3" t="s">
        <v>4901</v>
      </c>
      <c r="D1063" s="3" t="s">
        <v>7232</v>
      </c>
      <c r="E1063" s="3"/>
      <c r="F1063" s="3">
        <v>56</v>
      </c>
      <c r="G1063" s="3" t="s">
        <v>7158</v>
      </c>
      <c r="H1063" s="3">
        <v>8.0000000000000002E-3</v>
      </c>
      <c r="I1063" s="3">
        <v>0.44800000000000001</v>
      </c>
    </row>
    <row r="1064" spans="1:9" x14ac:dyDescent="0.25">
      <c r="A1064" s="2" t="s">
        <v>4426</v>
      </c>
      <c r="B1064" s="2" t="s">
        <v>4425</v>
      </c>
      <c r="C1064" s="2" t="s">
        <v>4901</v>
      </c>
      <c r="D1064" s="2" t="s">
        <v>7156</v>
      </c>
      <c r="E1064" s="2"/>
      <c r="F1064" s="2">
        <v>1</v>
      </c>
      <c r="G1064" s="2" t="s">
        <v>7158</v>
      </c>
      <c r="H1064" s="2">
        <v>26</v>
      </c>
      <c r="I1064" s="2">
        <v>26</v>
      </c>
    </row>
    <row r="1065" spans="1:9" x14ac:dyDescent="0.25">
      <c r="A1065" s="3" t="s">
        <v>4426</v>
      </c>
      <c r="B1065" s="3" t="s">
        <v>4425</v>
      </c>
      <c r="C1065" s="3" t="s">
        <v>4901</v>
      </c>
      <c r="D1065" s="3" t="s">
        <v>7159</v>
      </c>
      <c r="E1065" s="3"/>
      <c r="F1065" s="3">
        <v>20</v>
      </c>
      <c r="G1065" s="3" t="s">
        <v>7155</v>
      </c>
      <c r="H1065" s="3">
        <v>1.8319999999999999E-2</v>
      </c>
      <c r="I1065" s="3">
        <v>0.3664</v>
      </c>
    </row>
    <row r="1066" spans="1:9" x14ac:dyDescent="0.25">
      <c r="A1066" s="2" t="s">
        <v>4426</v>
      </c>
      <c r="B1066" s="2" t="s">
        <v>4425</v>
      </c>
      <c r="C1066" s="2" t="s">
        <v>4901</v>
      </c>
      <c r="D1066" s="2" t="s">
        <v>7161</v>
      </c>
      <c r="E1066" s="2"/>
      <c r="F1066" s="2">
        <v>0.186</v>
      </c>
      <c r="G1066" s="2" t="s">
        <v>7163</v>
      </c>
      <c r="H1066" s="2">
        <v>0</v>
      </c>
      <c r="I1066" s="2">
        <v>0</v>
      </c>
    </row>
    <row r="1067" spans="1:9" x14ac:dyDescent="0.25">
      <c r="A1067" s="3" t="s">
        <v>4426</v>
      </c>
      <c r="B1067" s="3" t="s">
        <v>4425</v>
      </c>
      <c r="C1067" s="3" t="s">
        <v>4901</v>
      </c>
      <c r="D1067" s="3" t="s">
        <v>7226</v>
      </c>
      <c r="E1067" s="3"/>
      <c r="F1067" s="3">
        <v>1.9039999999999999</v>
      </c>
      <c r="G1067" s="3" t="s">
        <v>7163</v>
      </c>
      <c r="H1067" s="3">
        <v>0</v>
      </c>
      <c r="I1067" s="3">
        <v>0</v>
      </c>
    </row>
    <row r="1068" spans="1:9" x14ac:dyDescent="0.25">
      <c r="A1068" s="2" t="s">
        <v>4426</v>
      </c>
      <c r="B1068" s="2" t="s">
        <v>4425</v>
      </c>
      <c r="C1068" s="2" t="s">
        <v>4901</v>
      </c>
      <c r="D1068" s="2" t="s">
        <v>7167</v>
      </c>
      <c r="E1068" s="2"/>
      <c r="F1068" s="2">
        <v>5</v>
      </c>
      <c r="G1068" s="2" t="s">
        <v>7158</v>
      </c>
      <c r="H1068" s="2">
        <v>0.2</v>
      </c>
      <c r="I1068" s="2">
        <v>1</v>
      </c>
    </row>
    <row r="1069" spans="1:9" x14ac:dyDescent="0.25">
      <c r="A1069" s="3" t="s">
        <v>4426</v>
      </c>
      <c r="B1069" s="3" t="s">
        <v>4425</v>
      </c>
      <c r="C1069" s="3" t="s">
        <v>4901</v>
      </c>
      <c r="D1069" s="3" t="s">
        <v>7260</v>
      </c>
      <c r="E1069" s="3"/>
      <c r="F1069" s="3">
        <v>56</v>
      </c>
      <c r="G1069" s="3" t="s">
        <v>7158</v>
      </c>
      <c r="H1069" s="3">
        <v>8.0000000000000002E-3</v>
      </c>
      <c r="I1069" s="3">
        <v>0.44800000000000001</v>
      </c>
    </row>
    <row r="1070" spans="1:9" x14ac:dyDescent="0.25">
      <c r="A1070" s="2" t="s">
        <v>4426</v>
      </c>
      <c r="B1070" s="2" t="s">
        <v>4425</v>
      </c>
      <c r="C1070" s="2" t="s">
        <v>4901</v>
      </c>
      <c r="D1070" s="2" t="s">
        <v>7261</v>
      </c>
      <c r="E1070" s="2"/>
      <c r="F1070" s="2">
        <v>56</v>
      </c>
      <c r="G1070" s="2" t="s">
        <v>7158</v>
      </c>
      <c r="H1070" s="2">
        <v>8.0000000000000002E-3</v>
      </c>
      <c r="I1070" s="2">
        <v>0.44800000000000001</v>
      </c>
    </row>
    <row r="1071" spans="1:9" ht="45" customHeight="1" x14ac:dyDescent="0.25">
      <c r="A1071" s="3" t="s">
        <v>2147</v>
      </c>
      <c r="B1071" s="3" t="s">
        <v>6137</v>
      </c>
      <c r="C1071" s="3" t="s">
        <v>4887</v>
      </c>
      <c r="D1071" s="3" t="s">
        <v>7153</v>
      </c>
      <c r="E1071" s="3" t="s">
        <v>7154</v>
      </c>
      <c r="F1071" s="3">
        <v>14</v>
      </c>
      <c r="G1071" s="3" t="s">
        <v>7155</v>
      </c>
      <c r="H1071" s="3">
        <v>1.24E-2</v>
      </c>
      <c r="I1071" s="3">
        <v>0.1736</v>
      </c>
    </row>
    <row r="1072" spans="1:9" ht="45" customHeight="1" x14ac:dyDescent="0.25">
      <c r="A1072" s="2" t="s">
        <v>2147</v>
      </c>
      <c r="B1072" s="2" t="s">
        <v>6137</v>
      </c>
      <c r="C1072" s="2" t="s">
        <v>4887</v>
      </c>
      <c r="D1072" s="2" t="s">
        <v>7156</v>
      </c>
      <c r="E1072" s="2" t="s">
        <v>7157</v>
      </c>
      <c r="F1072" s="2">
        <v>1</v>
      </c>
      <c r="G1072" s="2" t="s">
        <v>7158</v>
      </c>
      <c r="H1072" s="2">
        <v>26</v>
      </c>
      <c r="I1072" s="2">
        <v>26</v>
      </c>
    </row>
    <row r="1073" spans="1:9" ht="45" customHeight="1" x14ac:dyDescent="0.25">
      <c r="A1073" s="3" t="s">
        <v>2147</v>
      </c>
      <c r="B1073" s="3" t="s">
        <v>6137</v>
      </c>
      <c r="C1073" s="3" t="s">
        <v>4887</v>
      </c>
      <c r="D1073" s="3" t="s">
        <v>7159</v>
      </c>
      <c r="E1073" s="3" t="s">
        <v>7160</v>
      </c>
      <c r="F1073" s="3">
        <v>20</v>
      </c>
      <c r="G1073" s="3" t="s">
        <v>7155</v>
      </c>
      <c r="H1073" s="3">
        <v>1.8319999999999999E-2</v>
      </c>
      <c r="I1073" s="3">
        <v>0.3664</v>
      </c>
    </row>
    <row r="1074" spans="1:9" ht="45" customHeight="1" x14ac:dyDescent="0.25">
      <c r="A1074" s="2" t="s">
        <v>2147</v>
      </c>
      <c r="B1074" s="2" t="s">
        <v>6137</v>
      </c>
      <c r="C1074" s="2" t="s">
        <v>4887</v>
      </c>
      <c r="D1074" s="2" t="s">
        <v>7161</v>
      </c>
      <c r="E1074" s="2" t="s">
        <v>7162</v>
      </c>
      <c r="F1074" s="2">
        <v>0.186</v>
      </c>
      <c r="G1074" s="2" t="s">
        <v>7163</v>
      </c>
      <c r="H1074" s="2" t="s">
        <v>7164</v>
      </c>
      <c r="I1074" s="2">
        <v>0.186</v>
      </c>
    </row>
    <row r="1075" spans="1:9" ht="45" customHeight="1" x14ac:dyDescent="0.25">
      <c r="A1075" s="3" t="s">
        <v>2147</v>
      </c>
      <c r="B1075" s="3" t="s">
        <v>6137</v>
      </c>
      <c r="C1075" s="3" t="s">
        <v>4887</v>
      </c>
      <c r="D1075" s="3" t="s">
        <v>7165</v>
      </c>
      <c r="E1075" s="3" t="s">
        <v>7166</v>
      </c>
      <c r="F1075" s="3">
        <v>4</v>
      </c>
      <c r="G1075" s="3" t="s">
        <v>7158</v>
      </c>
      <c r="H1075" s="3">
        <v>0.1</v>
      </c>
      <c r="I1075" s="3">
        <v>0.4</v>
      </c>
    </row>
    <row r="1076" spans="1:9" ht="45" customHeight="1" x14ac:dyDescent="0.25">
      <c r="A1076" s="2" t="s">
        <v>2147</v>
      </c>
      <c r="B1076" s="2" t="s">
        <v>6137</v>
      </c>
      <c r="C1076" s="2" t="s">
        <v>4887</v>
      </c>
      <c r="D1076" s="2" t="s">
        <v>7167</v>
      </c>
      <c r="E1076" s="2" t="s">
        <v>7168</v>
      </c>
      <c r="F1076" s="2">
        <v>1</v>
      </c>
      <c r="G1076" s="2" t="s">
        <v>7158</v>
      </c>
      <c r="H1076" s="2">
        <v>0.2</v>
      </c>
      <c r="I1076" s="2">
        <v>0.2</v>
      </c>
    </row>
    <row r="1077" spans="1:9" ht="45" customHeight="1" x14ac:dyDescent="0.25">
      <c r="A1077" s="3" t="s">
        <v>2147</v>
      </c>
      <c r="B1077" s="3" t="s">
        <v>6137</v>
      </c>
      <c r="C1077" s="3" t="s">
        <v>4887</v>
      </c>
      <c r="D1077" s="3" t="s">
        <v>7169</v>
      </c>
      <c r="E1077" s="3" t="s">
        <v>7170</v>
      </c>
      <c r="F1077" s="3">
        <v>3</v>
      </c>
      <c r="G1077" s="3" t="s">
        <v>7158</v>
      </c>
      <c r="H1077" s="3">
        <v>1</v>
      </c>
      <c r="I1077" s="3">
        <v>3</v>
      </c>
    </row>
    <row r="1078" spans="1:9" ht="22.5" customHeight="1" x14ac:dyDescent="0.25">
      <c r="A1078" s="2" t="s">
        <v>3626</v>
      </c>
      <c r="B1078" s="2" t="s">
        <v>6145</v>
      </c>
      <c r="C1078" s="2" t="s">
        <v>4988</v>
      </c>
      <c r="D1078" s="2" t="s">
        <v>7153</v>
      </c>
      <c r="E1078" s="2" t="s">
        <v>7154</v>
      </c>
      <c r="F1078" s="2">
        <v>14</v>
      </c>
      <c r="G1078" s="2" t="s">
        <v>7155</v>
      </c>
      <c r="H1078" s="2">
        <v>1.24E-2</v>
      </c>
      <c r="I1078" s="2">
        <v>0.1736</v>
      </c>
    </row>
    <row r="1079" spans="1:9" ht="22.5" customHeight="1" x14ac:dyDescent="0.25">
      <c r="A1079" s="3" t="s">
        <v>3626</v>
      </c>
      <c r="B1079" s="3" t="s">
        <v>6145</v>
      </c>
      <c r="C1079" s="3" t="s">
        <v>4988</v>
      </c>
      <c r="D1079" s="3" t="s">
        <v>7228</v>
      </c>
      <c r="E1079" s="3" t="s">
        <v>7253</v>
      </c>
      <c r="F1079" s="3">
        <v>3</v>
      </c>
      <c r="G1079" s="3" t="s">
        <v>7158</v>
      </c>
      <c r="H1079" s="3">
        <v>0.06</v>
      </c>
      <c r="I1079" s="3">
        <v>0.18</v>
      </c>
    </row>
    <row r="1080" spans="1:9" ht="22.5" customHeight="1" x14ac:dyDescent="0.25">
      <c r="A1080" s="2" t="s">
        <v>3626</v>
      </c>
      <c r="B1080" s="2" t="s">
        <v>6145</v>
      </c>
      <c r="C1080" s="2" t="s">
        <v>4988</v>
      </c>
      <c r="D1080" s="2" t="s">
        <v>7156</v>
      </c>
      <c r="E1080" s="2" t="s">
        <v>7157</v>
      </c>
      <c r="F1080" s="2">
        <v>1</v>
      </c>
      <c r="G1080" s="2" t="s">
        <v>7158</v>
      </c>
      <c r="H1080" s="2">
        <v>26</v>
      </c>
      <c r="I1080" s="2">
        <v>26</v>
      </c>
    </row>
    <row r="1081" spans="1:9" ht="22.5" customHeight="1" x14ac:dyDescent="0.25">
      <c r="A1081" s="3" t="s">
        <v>3626</v>
      </c>
      <c r="B1081" s="3" t="s">
        <v>6145</v>
      </c>
      <c r="C1081" s="3" t="s">
        <v>4988</v>
      </c>
      <c r="D1081" s="3" t="s">
        <v>7159</v>
      </c>
      <c r="E1081" s="3" t="s">
        <v>7160</v>
      </c>
      <c r="F1081" s="3">
        <v>20</v>
      </c>
      <c r="G1081" s="3" t="s">
        <v>7155</v>
      </c>
      <c r="H1081" s="3">
        <v>1.8319999999999999E-2</v>
      </c>
      <c r="I1081" s="3">
        <v>0.3664</v>
      </c>
    </row>
    <row r="1082" spans="1:9" ht="22.5" customHeight="1" x14ac:dyDescent="0.25">
      <c r="A1082" s="2" t="s">
        <v>3626</v>
      </c>
      <c r="B1082" s="2" t="s">
        <v>6145</v>
      </c>
      <c r="C1082" s="2" t="s">
        <v>4988</v>
      </c>
      <c r="D1082" s="2" t="s">
        <v>7161</v>
      </c>
      <c r="E1082" s="2" t="s">
        <v>7162</v>
      </c>
      <c r="F1082" s="2">
        <v>0.186</v>
      </c>
      <c r="G1082" s="2" t="s">
        <v>7163</v>
      </c>
      <c r="H1082" s="2" t="s">
        <v>7164</v>
      </c>
      <c r="I1082" s="2">
        <v>0.186</v>
      </c>
    </row>
    <row r="1083" spans="1:9" ht="33.75" customHeight="1" x14ac:dyDescent="0.25">
      <c r="A1083" s="3" t="s">
        <v>3626</v>
      </c>
      <c r="B1083" s="3" t="s">
        <v>6145</v>
      </c>
      <c r="C1083" s="3" t="s">
        <v>4988</v>
      </c>
      <c r="D1083" s="3" t="s">
        <v>7165</v>
      </c>
      <c r="E1083" s="3" t="s">
        <v>7166</v>
      </c>
      <c r="F1083" s="3">
        <v>4</v>
      </c>
      <c r="G1083" s="3" t="s">
        <v>7158</v>
      </c>
      <c r="H1083" s="3">
        <v>0.1</v>
      </c>
      <c r="I1083" s="3">
        <v>0.4</v>
      </c>
    </row>
    <row r="1084" spans="1:9" ht="33.75" customHeight="1" x14ac:dyDescent="0.25">
      <c r="A1084" s="2" t="s">
        <v>3626</v>
      </c>
      <c r="B1084" s="2" t="s">
        <v>6145</v>
      </c>
      <c r="C1084" s="2" t="s">
        <v>4988</v>
      </c>
      <c r="D1084" s="2" t="s">
        <v>7167</v>
      </c>
      <c r="E1084" s="2" t="s">
        <v>7168</v>
      </c>
      <c r="F1084" s="2">
        <v>1</v>
      </c>
      <c r="G1084" s="2" t="s">
        <v>7158</v>
      </c>
      <c r="H1084" s="2">
        <v>0.2</v>
      </c>
      <c r="I1084" s="2">
        <v>0.2</v>
      </c>
    </row>
    <row r="1085" spans="1:9" ht="213.75" customHeight="1" x14ac:dyDescent="0.25">
      <c r="A1085" s="3" t="s">
        <v>1294</v>
      </c>
      <c r="B1085" s="3" t="s">
        <v>6153</v>
      </c>
      <c r="C1085" s="3" t="s">
        <v>4819</v>
      </c>
      <c r="D1085" s="3" t="s">
        <v>7153</v>
      </c>
      <c r="E1085" s="3" t="s">
        <v>7154</v>
      </c>
      <c r="F1085" s="3">
        <v>14</v>
      </c>
      <c r="G1085" s="3" t="s">
        <v>7155</v>
      </c>
      <c r="H1085" s="3">
        <v>1.24E-2</v>
      </c>
      <c r="I1085" s="3">
        <v>0.1736</v>
      </c>
    </row>
    <row r="1086" spans="1:9" ht="213.75" customHeight="1" x14ac:dyDescent="0.25">
      <c r="A1086" s="2" t="s">
        <v>1294</v>
      </c>
      <c r="B1086" s="2" t="s">
        <v>6153</v>
      </c>
      <c r="C1086" s="2" t="s">
        <v>4819</v>
      </c>
      <c r="D1086" s="2" t="s">
        <v>7156</v>
      </c>
      <c r="E1086" s="2" t="s">
        <v>7157</v>
      </c>
      <c r="F1086" s="2">
        <v>1</v>
      </c>
      <c r="G1086" s="2" t="s">
        <v>7158</v>
      </c>
      <c r="H1086" s="2">
        <v>26</v>
      </c>
      <c r="I1086" s="2">
        <v>26</v>
      </c>
    </row>
    <row r="1087" spans="1:9" ht="213.75" customHeight="1" x14ac:dyDescent="0.25">
      <c r="A1087" s="3" t="s">
        <v>1294</v>
      </c>
      <c r="B1087" s="3" t="s">
        <v>6153</v>
      </c>
      <c r="C1087" s="3" t="s">
        <v>4819</v>
      </c>
      <c r="D1087" s="3" t="s">
        <v>7159</v>
      </c>
      <c r="E1087" s="3" t="s">
        <v>7160</v>
      </c>
      <c r="F1087" s="3">
        <v>20</v>
      </c>
      <c r="G1087" s="3" t="s">
        <v>7155</v>
      </c>
      <c r="H1087" s="3">
        <v>1.8319999999999999E-2</v>
      </c>
      <c r="I1087" s="3">
        <v>0.3664</v>
      </c>
    </row>
    <row r="1088" spans="1:9" ht="213.75" customHeight="1" x14ac:dyDescent="0.25">
      <c r="A1088" s="2" t="s">
        <v>1294</v>
      </c>
      <c r="B1088" s="2" t="s">
        <v>6153</v>
      </c>
      <c r="C1088" s="2" t="s">
        <v>4819</v>
      </c>
      <c r="D1088" s="2" t="s">
        <v>7161</v>
      </c>
      <c r="E1088" s="2" t="s">
        <v>7162</v>
      </c>
      <c r="F1088" s="2">
        <v>0.186</v>
      </c>
      <c r="G1088" s="2" t="s">
        <v>7163</v>
      </c>
      <c r="H1088" s="2" t="s">
        <v>7164</v>
      </c>
      <c r="I1088" s="2">
        <v>0.186</v>
      </c>
    </row>
    <row r="1089" spans="1:9" ht="213.75" customHeight="1" x14ac:dyDescent="0.25">
      <c r="A1089" s="3" t="s">
        <v>1294</v>
      </c>
      <c r="B1089" s="3" t="s">
        <v>6153</v>
      </c>
      <c r="C1089" s="3" t="s">
        <v>4819</v>
      </c>
      <c r="D1089" s="3" t="s">
        <v>7165</v>
      </c>
      <c r="E1089" s="3" t="s">
        <v>7166</v>
      </c>
      <c r="F1089" s="3">
        <v>4</v>
      </c>
      <c r="G1089" s="3" t="s">
        <v>7158</v>
      </c>
      <c r="H1089" s="3">
        <v>0.1</v>
      </c>
      <c r="I1089" s="3">
        <v>0.4</v>
      </c>
    </row>
    <row r="1090" spans="1:9" ht="213.75" customHeight="1" x14ac:dyDescent="0.25">
      <c r="A1090" s="2" t="s">
        <v>1294</v>
      </c>
      <c r="B1090" s="2" t="s">
        <v>6153</v>
      </c>
      <c r="C1090" s="2" t="s">
        <v>4819</v>
      </c>
      <c r="D1090" s="2" t="s">
        <v>7167</v>
      </c>
      <c r="E1090" s="2" t="s">
        <v>7168</v>
      </c>
      <c r="F1090" s="2">
        <v>4</v>
      </c>
      <c r="G1090" s="2" t="s">
        <v>7158</v>
      </c>
      <c r="H1090" s="2">
        <v>0.2</v>
      </c>
      <c r="I1090" s="2">
        <v>0.8</v>
      </c>
    </row>
    <row r="1091" spans="1:9" ht="56.25" customHeight="1" x14ac:dyDescent="0.25">
      <c r="A1091" s="3" t="s">
        <v>1715</v>
      </c>
      <c r="B1091" s="3" t="s">
        <v>6161</v>
      </c>
      <c r="C1091" s="3" t="s">
        <v>4844</v>
      </c>
      <c r="D1091" s="3" t="s">
        <v>7153</v>
      </c>
      <c r="E1091" s="3" t="s">
        <v>7154</v>
      </c>
      <c r="F1091" s="3">
        <v>7</v>
      </c>
      <c r="G1091" s="3" t="s">
        <v>7155</v>
      </c>
      <c r="H1091" s="3">
        <v>1.24E-2</v>
      </c>
      <c r="I1091" s="3">
        <v>8.6800000000000002E-2</v>
      </c>
    </row>
    <row r="1092" spans="1:9" ht="56.25" customHeight="1" x14ac:dyDescent="0.25">
      <c r="A1092" s="2" t="s">
        <v>1715</v>
      </c>
      <c r="B1092" s="2" t="s">
        <v>6161</v>
      </c>
      <c r="C1092" s="2" t="s">
        <v>4844</v>
      </c>
      <c r="D1092" s="2" t="s">
        <v>7156</v>
      </c>
      <c r="E1092" s="2" t="s">
        <v>7157</v>
      </c>
      <c r="F1092" s="2">
        <v>1</v>
      </c>
      <c r="G1092" s="2" t="s">
        <v>7158</v>
      </c>
      <c r="H1092" s="2">
        <v>26</v>
      </c>
      <c r="I1092" s="2">
        <v>26</v>
      </c>
    </row>
    <row r="1093" spans="1:9" ht="56.25" customHeight="1" x14ac:dyDescent="0.25">
      <c r="A1093" s="3" t="s">
        <v>1715</v>
      </c>
      <c r="B1093" s="3" t="s">
        <v>6161</v>
      </c>
      <c r="C1093" s="3" t="s">
        <v>4844</v>
      </c>
      <c r="D1093" s="3" t="s">
        <v>7159</v>
      </c>
      <c r="E1093" s="3" t="s">
        <v>7160</v>
      </c>
      <c r="F1093" s="3">
        <v>20</v>
      </c>
      <c r="G1093" s="3" t="s">
        <v>7155</v>
      </c>
      <c r="H1093" s="3">
        <v>1.8319999999999999E-2</v>
      </c>
      <c r="I1093" s="3">
        <v>0.3664</v>
      </c>
    </row>
    <row r="1094" spans="1:9" ht="56.25" customHeight="1" x14ac:dyDescent="0.25">
      <c r="A1094" s="2" t="s">
        <v>1715</v>
      </c>
      <c r="B1094" s="2" t="s">
        <v>6161</v>
      </c>
      <c r="C1094" s="2" t="s">
        <v>4844</v>
      </c>
      <c r="D1094" s="2" t="s">
        <v>7161</v>
      </c>
      <c r="E1094" s="2" t="s">
        <v>7162</v>
      </c>
      <c r="F1094" s="2">
        <v>0.186</v>
      </c>
      <c r="G1094" s="2" t="s">
        <v>7163</v>
      </c>
      <c r="H1094" s="2" t="s">
        <v>7164</v>
      </c>
      <c r="I1094" s="2">
        <v>0.186</v>
      </c>
    </row>
    <row r="1095" spans="1:9" ht="56.25" customHeight="1" x14ac:dyDescent="0.25">
      <c r="A1095" s="3" t="s">
        <v>1715</v>
      </c>
      <c r="B1095" s="3" t="s">
        <v>6161</v>
      </c>
      <c r="C1095" s="3" t="s">
        <v>4844</v>
      </c>
      <c r="D1095" s="3" t="s">
        <v>7207</v>
      </c>
      <c r="E1095" s="3" t="s">
        <v>7208</v>
      </c>
      <c r="F1095" s="3">
        <v>2.1659999999999999</v>
      </c>
      <c r="G1095" s="3" t="s">
        <v>7163</v>
      </c>
      <c r="H1095" s="3" t="s">
        <v>7164</v>
      </c>
      <c r="I1095" s="3">
        <v>2.1659999999999999</v>
      </c>
    </row>
    <row r="1096" spans="1:9" ht="56.25" customHeight="1" x14ac:dyDescent="0.25">
      <c r="A1096" s="2" t="s">
        <v>1715</v>
      </c>
      <c r="B1096" s="2" t="s">
        <v>6161</v>
      </c>
      <c r="C1096" s="2" t="s">
        <v>4844</v>
      </c>
      <c r="D1096" s="2" t="s">
        <v>7165</v>
      </c>
      <c r="E1096" s="2" t="s">
        <v>7166</v>
      </c>
      <c r="F1096" s="2">
        <v>2</v>
      </c>
      <c r="G1096" s="2" t="s">
        <v>7158</v>
      </c>
      <c r="H1096" s="2">
        <v>0.1</v>
      </c>
      <c r="I1096" s="2">
        <v>0.2</v>
      </c>
    </row>
    <row r="1097" spans="1:9" ht="56.25" customHeight="1" x14ac:dyDescent="0.25">
      <c r="A1097" s="3" t="s">
        <v>1715</v>
      </c>
      <c r="B1097" s="3" t="s">
        <v>6161</v>
      </c>
      <c r="C1097" s="3" t="s">
        <v>4844</v>
      </c>
      <c r="D1097" s="3" t="s">
        <v>7167</v>
      </c>
      <c r="E1097" s="3" t="s">
        <v>7168</v>
      </c>
      <c r="F1097" s="3">
        <v>4</v>
      </c>
      <c r="G1097" s="3" t="s">
        <v>7158</v>
      </c>
      <c r="H1097" s="3">
        <v>0.2</v>
      </c>
      <c r="I1097" s="3">
        <v>0.8</v>
      </c>
    </row>
    <row r="1098" spans="1:9" ht="56.25" customHeight="1" x14ac:dyDescent="0.25">
      <c r="A1098" s="2" t="s">
        <v>820</v>
      </c>
      <c r="B1098" s="2" t="s">
        <v>6169</v>
      </c>
      <c r="C1098" s="2" t="s">
        <v>4795</v>
      </c>
      <c r="D1098" s="2" t="s">
        <v>7153</v>
      </c>
      <c r="E1098" s="2" t="s">
        <v>7154</v>
      </c>
      <c r="F1098" s="2">
        <v>7</v>
      </c>
      <c r="G1098" s="2" t="s">
        <v>7155</v>
      </c>
      <c r="H1098" s="2">
        <v>1.24E-2</v>
      </c>
      <c r="I1098" s="2">
        <v>8.6800000000000002E-2</v>
      </c>
    </row>
    <row r="1099" spans="1:9" ht="56.25" customHeight="1" x14ac:dyDescent="0.25">
      <c r="A1099" s="3" t="s">
        <v>820</v>
      </c>
      <c r="B1099" s="3" t="s">
        <v>6169</v>
      </c>
      <c r="C1099" s="3" t="s">
        <v>4795</v>
      </c>
      <c r="D1099" s="3" t="s">
        <v>7156</v>
      </c>
      <c r="E1099" s="3" t="s">
        <v>7157</v>
      </c>
      <c r="F1099" s="3">
        <v>1</v>
      </c>
      <c r="G1099" s="3" t="s">
        <v>7158</v>
      </c>
      <c r="H1099" s="3">
        <v>26</v>
      </c>
      <c r="I1099" s="3">
        <v>26</v>
      </c>
    </row>
    <row r="1100" spans="1:9" ht="56.25" customHeight="1" x14ac:dyDescent="0.25">
      <c r="A1100" s="2" t="s">
        <v>820</v>
      </c>
      <c r="B1100" s="2" t="s">
        <v>6169</v>
      </c>
      <c r="C1100" s="2" t="s">
        <v>4795</v>
      </c>
      <c r="D1100" s="2" t="s">
        <v>7159</v>
      </c>
      <c r="E1100" s="2" t="s">
        <v>7160</v>
      </c>
      <c r="F1100" s="2">
        <v>20</v>
      </c>
      <c r="G1100" s="2" t="s">
        <v>7155</v>
      </c>
      <c r="H1100" s="2">
        <v>1.8319999999999999E-2</v>
      </c>
      <c r="I1100" s="2">
        <v>0.3664</v>
      </c>
    </row>
    <row r="1101" spans="1:9" ht="56.25" customHeight="1" x14ac:dyDescent="0.25">
      <c r="A1101" s="3" t="s">
        <v>820</v>
      </c>
      <c r="B1101" s="3" t="s">
        <v>6169</v>
      </c>
      <c r="C1101" s="3" t="s">
        <v>4795</v>
      </c>
      <c r="D1101" s="3" t="s">
        <v>7161</v>
      </c>
      <c r="E1101" s="3" t="s">
        <v>7162</v>
      </c>
      <c r="F1101" s="3">
        <v>0.186</v>
      </c>
      <c r="G1101" s="3" t="s">
        <v>7163</v>
      </c>
      <c r="H1101" s="3" t="s">
        <v>7164</v>
      </c>
      <c r="I1101" s="3">
        <v>0.186</v>
      </c>
    </row>
    <row r="1102" spans="1:9" ht="56.25" customHeight="1" x14ac:dyDescent="0.25">
      <c r="A1102" s="2" t="s">
        <v>820</v>
      </c>
      <c r="B1102" s="2" t="s">
        <v>6169</v>
      </c>
      <c r="C1102" s="2" t="s">
        <v>4795</v>
      </c>
      <c r="D1102" s="2" t="s">
        <v>7165</v>
      </c>
      <c r="E1102" s="2" t="s">
        <v>7166</v>
      </c>
      <c r="F1102" s="2">
        <v>2</v>
      </c>
      <c r="G1102" s="2" t="s">
        <v>7158</v>
      </c>
      <c r="H1102" s="2">
        <v>0.1</v>
      </c>
      <c r="I1102" s="2">
        <v>0.2</v>
      </c>
    </row>
    <row r="1103" spans="1:9" ht="56.25" customHeight="1" x14ac:dyDescent="0.25">
      <c r="A1103" s="3" t="s">
        <v>820</v>
      </c>
      <c r="B1103" s="3" t="s">
        <v>6169</v>
      </c>
      <c r="C1103" s="3" t="s">
        <v>4795</v>
      </c>
      <c r="D1103" s="3" t="s">
        <v>7167</v>
      </c>
      <c r="E1103" s="3" t="s">
        <v>7168</v>
      </c>
      <c r="F1103" s="3">
        <v>4</v>
      </c>
      <c r="G1103" s="3" t="s">
        <v>7158</v>
      </c>
      <c r="H1103" s="3">
        <v>0.2</v>
      </c>
      <c r="I1103" s="3">
        <v>0.8</v>
      </c>
    </row>
    <row r="1104" spans="1:9" ht="22.5" customHeight="1" x14ac:dyDescent="0.25">
      <c r="A1104" s="2" t="s">
        <v>628</v>
      </c>
      <c r="B1104" s="2" t="s">
        <v>627</v>
      </c>
      <c r="C1104" s="2" t="s">
        <v>4769</v>
      </c>
      <c r="D1104" s="2" t="s">
        <v>7153</v>
      </c>
      <c r="E1104" s="2" t="s">
        <v>7154</v>
      </c>
      <c r="F1104" s="2">
        <v>14</v>
      </c>
      <c r="G1104" s="2" t="s">
        <v>7155</v>
      </c>
      <c r="H1104" s="2">
        <v>1.24E-2</v>
      </c>
      <c r="I1104" s="2">
        <v>0.1736</v>
      </c>
    </row>
    <row r="1105" spans="1:9" ht="22.5" customHeight="1" x14ac:dyDescent="0.25">
      <c r="A1105" s="3" t="s">
        <v>628</v>
      </c>
      <c r="B1105" s="3" t="s">
        <v>627</v>
      </c>
      <c r="C1105" s="3" t="s">
        <v>4769</v>
      </c>
      <c r="D1105" s="3" t="s">
        <v>7276</v>
      </c>
      <c r="E1105" s="3" t="s">
        <v>7277</v>
      </c>
      <c r="F1105" s="3">
        <v>57</v>
      </c>
      <c r="G1105" s="3" t="s">
        <v>7158</v>
      </c>
      <c r="H1105" s="3">
        <v>6.4000000000000001E-2</v>
      </c>
      <c r="I1105" s="3">
        <v>3.6480000000000001</v>
      </c>
    </row>
    <row r="1106" spans="1:9" ht="33.75" customHeight="1" x14ac:dyDescent="0.25">
      <c r="A1106" s="2" t="s">
        <v>628</v>
      </c>
      <c r="B1106" s="2" t="s">
        <v>627</v>
      </c>
      <c r="C1106" s="2" t="s">
        <v>4769</v>
      </c>
      <c r="D1106" s="2" t="s">
        <v>7186</v>
      </c>
      <c r="E1106" s="2" t="s">
        <v>7187</v>
      </c>
      <c r="F1106" s="2">
        <v>1</v>
      </c>
      <c r="G1106" s="2" t="s">
        <v>7158</v>
      </c>
      <c r="H1106" s="2">
        <v>26</v>
      </c>
      <c r="I1106" s="2">
        <v>26</v>
      </c>
    </row>
    <row r="1107" spans="1:9" ht="22.5" customHeight="1" x14ac:dyDescent="0.25">
      <c r="A1107" s="3" t="s">
        <v>628</v>
      </c>
      <c r="B1107" s="3" t="s">
        <v>627</v>
      </c>
      <c r="C1107" s="3" t="s">
        <v>4769</v>
      </c>
      <c r="D1107" s="3" t="s">
        <v>7159</v>
      </c>
      <c r="E1107" s="3" t="s">
        <v>7160</v>
      </c>
      <c r="F1107" s="3">
        <v>20</v>
      </c>
      <c r="G1107" s="3" t="s">
        <v>7155</v>
      </c>
      <c r="H1107" s="3">
        <v>1.8319999999999999E-2</v>
      </c>
      <c r="I1107" s="3">
        <v>0.3664</v>
      </c>
    </row>
    <row r="1108" spans="1:9" ht="22.5" customHeight="1" x14ac:dyDescent="0.25">
      <c r="A1108" s="2" t="s">
        <v>628</v>
      </c>
      <c r="B1108" s="2" t="s">
        <v>627</v>
      </c>
      <c r="C1108" s="2" t="s">
        <v>4769</v>
      </c>
      <c r="D1108" s="2" t="s">
        <v>7161</v>
      </c>
      <c r="E1108" s="2" t="s">
        <v>7162</v>
      </c>
      <c r="F1108" s="2">
        <v>0.186</v>
      </c>
      <c r="G1108" s="2" t="s">
        <v>7163</v>
      </c>
      <c r="H1108" s="2" t="s">
        <v>7164</v>
      </c>
      <c r="I1108" s="2">
        <v>0.186</v>
      </c>
    </row>
    <row r="1109" spans="1:9" ht="33.75" customHeight="1" x14ac:dyDescent="0.25">
      <c r="A1109" s="3" t="s">
        <v>628</v>
      </c>
      <c r="B1109" s="3" t="s">
        <v>627</v>
      </c>
      <c r="C1109" s="3" t="s">
        <v>4769</v>
      </c>
      <c r="D1109" s="3" t="s">
        <v>7212</v>
      </c>
      <c r="E1109" s="3" t="s">
        <v>7213</v>
      </c>
      <c r="F1109" s="3">
        <v>6</v>
      </c>
      <c r="G1109" s="3" t="s">
        <v>7158</v>
      </c>
      <c r="H1109" s="3">
        <v>0.21</v>
      </c>
      <c r="I1109" s="3">
        <v>1.26</v>
      </c>
    </row>
    <row r="1110" spans="1:9" ht="33.75" customHeight="1" x14ac:dyDescent="0.25">
      <c r="A1110" s="2" t="s">
        <v>628</v>
      </c>
      <c r="B1110" s="2" t="s">
        <v>627</v>
      </c>
      <c r="C1110" s="2" t="s">
        <v>4769</v>
      </c>
      <c r="D1110" s="2" t="s">
        <v>7188</v>
      </c>
      <c r="E1110" s="2" t="s">
        <v>7189</v>
      </c>
      <c r="F1110" s="2">
        <v>4</v>
      </c>
      <c r="G1110" s="2" t="s">
        <v>7158</v>
      </c>
      <c r="H1110" s="2">
        <v>0.27</v>
      </c>
      <c r="I1110" s="2">
        <v>1.08</v>
      </c>
    </row>
    <row r="1111" spans="1:9" ht="22.5" customHeight="1" x14ac:dyDescent="0.25">
      <c r="A1111" s="3" t="s">
        <v>628</v>
      </c>
      <c r="B1111" s="3" t="s">
        <v>627</v>
      </c>
      <c r="C1111" s="3" t="s">
        <v>4769</v>
      </c>
      <c r="D1111" s="3" t="s">
        <v>7278</v>
      </c>
      <c r="E1111" s="3" t="s">
        <v>7279</v>
      </c>
      <c r="F1111" s="3">
        <v>57</v>
      </c>
      <c r="G1111" s="3" t="s">
        <v>7158</v>
      </c>
      <c r="H1111" s="3">
        <v>0.32</v>
      </c>
      <c r="I1111" s="3">
        <v>18.239999999999998</v>
      </c>
    </row>
    <row r="1112" spans="1:9" ht="22.5" customHeight="1" x14ac:dyDescent="0.25">
      <c r="A1112" s="2" t="s">
        <v>1354</v>
      </c>
      <c r="B1112" s="2" t="s">
        <v>1353</v>
      </c>
      <c r="C1112" s="2" t="s">
        <v>4822</v>
      </c>
      <c r="D1112" s="2" t="s">
        <v>7153</v>
      </c>
      <c r="E1112" s="2" t="s">
        <v>7154</v>
      </c>
      <c r="F1112" s="2">
        <v>14</v>
      </c>
      <c r="G1112" s="2" t="s">
        <v>7155</v>
      </c>
      <c r="H1112" s="2">
        <v>1.24E-2</v>
      </c>
      <c r="I1112" s="2">
        <v>0.1736</v>
      </c>
    </row>
    <row r="1113" spans="1:9" ht="22.5" customHeight="1" x14ac:dyDescent="0.25">
      <c r="A1113" s="3" t="s">
        <v>1354</v>
      </c>
      <c r="B1113" s="3" t="s">
        <v>1353</v>
      </c>
      <c r="C1113" s="3" t="s">
        <v>4822</v>
      </c>
      <c r="D1113" s="3" t="s">
        <v>7276</v>
      </c>
      <c r="E1113" s="3" t="s">
        <v>7277</v>
      </c>
      <c r="F1113" s="3">
        <v>57</v>
      </c>
      <c r="G1113" s="3" t="s">
        <v>7158</v>
      </c>
      <c r="H1113" s="3">
        <v>6.4000000000000001E-2</v>
      </c>
      <c r="I1113" s="3">
        <v>3.6480000000000001</v>
      </c>
    </row>
    <row r="1114" spans="1:9" ht="33.75" customHeight="1" x14ac:dyDescent="0.25">
      <c r="A1114" s="2" t="s">
        <v>1354</v>
      </c>
      <c r="B1114" s="2" t="s">
        <v>1353</v>
      </c>
      <c r="C1114" s="2" t="s">
        <v>4822</v>
      </c>
      <c r="D1114" s="2" t="s">
        <v>7186</v>
      </c>
      <c r="E1114" s="2" t="s">
        <v>7187</v>
      </c>
      <c r="F1114" s="2">
        <v>1</v>
      </c>
      <c r="G1114" s="2" t="s">
        <v>7158</v>
      </c>
      <c r="H1114" s="2">
        <v>26</v>
      </c>
      <c r="I1114" s="2">
        <v>26</v>
      </c>
    </row>
    <row r="1115" spans="1:9" ht="22.5" customHeight="1" x14ac:dyDescent="0.25">
      <c r="A1115" s="3" t="s">
        <v>1354</v>
      </c>
      <c r="B1115" s="3" t="s">
        <v>1353</v>
      </c>
      <c r="C1115" s="3" t="s">
        <v>4822</v>
      </c>
      <c r="D1115" s="3" t="s">
        <v>7159</v>
      </c>
      <c r="E1115" s="3" t="s">
        <v>7160</v>
      </c>
      <c r="F1115" s="3">
        <v>20</v>
      </c>
      <c r="G1115" s="3" t="s">
        <v>7155</v>
      </c>
      <c r="H1115" s="3">
        <v>1.8319999999999999E-2</v>
      </c>
      <c r="I1115" s="3">
        <v>0.3664</v>
      </c>
    </row>
    <row r="1116" spans="1:9" ht="22.5" customHeight="1" x14ac:dyDescent="0.25">
      <c r="A1116" s="2" t="s">
        <v>1354</v>
      </c>
      <c r="B1116" s="2" t="s">
        <v>1353</v>
      </c>
      <c r="C1116" s="2" t="s">
        <v>4822</v>
      </c>
      <c r="D1116" s="2" t="s">
        <v>7161</v>
      </c>
      <c r="E1116" s="2" t="s">
        <v>7162</v>
      </c>
      <c r="F1116" s="2">
        <v>0.186</v>
      </c>
      <c r="G1116" s="2" t="s">
        <v>7163</v>
      </c>
      <c r="H1116" s="2" t="s">
        <v>7164</v>
      </c>
      <c r="I1116" s="2">
        <v>0.186</v>
      </c>
    </row>
    <row r="1117" spans="1:9" ht="33.75" customHeight="1" x14ac:dyDescent="0.25">
      <c r="A1117" s="3" t="s">
        <v>1354</v>
      </c>
      <c r="B1117" s="3" t="s">
        <v>1353</v>
      </c>
      <c r="C1117" s="3" t="s">
        <v>4822</v>
      </c>
      <c r="D1117" s="3" t="s">
        <v>7212</v>
      </c>
      <c r="E1117" s="3" t="s">
        <v>7213</v>
      </c>
      <c r="F1117" s="3">
        <v>6</v>
      </c>
      <c r="G1117" s="3" t="s">
        <v>7158</v>
      </c>
      <c r="H1117" s="3">
        <v>0.21</v>
      </c>
      <c r="I1117" s="3">
        <v>1.26</v>
      </c>
    </row>
    <row r="1118" spans="1:9" ht="33.75" customHeight="1" x14ac:dyDescent="0.25">
      <c r="A1118" s="2" t="s">
        <v>1354</v>
      </c>
      <c r="B1118" s="2" t="s">
        <v>1353</v>
      </c>
      <c r="C1118" s="2" t="s">
        <v>4822</v>
      </c>
      <c r="D1118" s="2" t="s">
        <v>7188</v>
      </c>
      <c r="E1118" s="2" t="s">
        <v>7189</v>
      </c>
      <c r="F1118" s="2">
        <v>4</v>
      </c>
      <c r="G1118" s="2" t="s">
        <v>7158</v>
      </c>
      <c r="H1118" s="2">
        <v>0.27</v>
      </c>
      <c r="I1118" s="2">
        <v>1.08</v>
      </c>
    </row>
    <row r="1119" spans="1:9" ht="22.5" customHeight="1" x14ac:dyDescent="0.25">
      <c r="A1119" s="3" t="s">
        <v>1354</v>
      </c>
      <c r="B1119" s="3" t="s">
        <v>1353</v>
      </c>
      <c r="C1119" s="3" t="s">
        <v>4822</v>
      </c>
      <c r="D1119" s="3" t="s">
        <v>7280</v>
      </c>
      <c r="E1119" s="3" t="s">
        <v>7281</v>
      </c>
      <c r="F1119" s="3">
        <v>57</v>
      </c>
      <c r="G1119" s="3" t="s">
        <v>7158</v>
      </c>
      <c r="H1119" s="3">
        <v>0.32</v>
      </c>
      <c r="I1119" s="3">
        <v>18.239999999999998</v>
      </c>
    </row>
    <row r="1120" spans="1:9" ht="22.5" customHeight="1" x14ac:dyDescent="0.25">
      <c r="A1120" s="2" t="s">
        <v>2340</v>
      </c>
      <c r="B1120" s="2" t="s">
        <v>6191</v>
      </c>
      <c r="C1120" s="2" t="s">
        <v>4902</v>
      </c>
      <c r="D1120" s="2" t="s">
        <v>7153</v>
      </c>
      <c r="E1120" s="2" t="s">
        <v>7154</v>
      </c>
      <c r="F1120" s="2">
        <v>14</v>
      </c>
      <c r="G1120" s="2" t="s">
        <v>7155</v>
      </c>
      <c r="H1120" s="2">
        <v>1.24E-2</v>
      </c>
      <c r="I1120" s="2">
        <v>0.1736</v>
      </c>
    </row>
    <row r="1121" spans="1:9" ht="22.5" customHeight="1" x14ac:dyDescent="0.25">
      <c r="A1121" s="3" t="s">
        <v>2340</v>
      </c>
      <c r="B1121" s="3" t="s">
        <v>6191</v>
      </c>
      <c r="C1121" s="3" t="s">
        <v>4902</v>
      </c>
      <c r="D1121" s="3" t="s">
        <v>7276</v>
      </c>
      <c r="E1121" s="3" t="s">
        <v>7277</v>
      </c>
      <c r="F1121" s="3">
        <v>57</v>
      </c>
      <c r="G1121" s="3" t="s">
        <v>7158</v>
      </c>
      <c r="H1121" s="3">
        <v>6.4000000000000001E-2</v>
      </c>
      <c r="I1121" s="3">
        <v>3.6480000000000001</v>
      </c>
    </row>
    <row r="1122" spans="1:9" ht="33.75" customHeight="1" x14ac:dyDescent="0.25">
      <c r="A1122" s="2" t="s">
        <v>2340</v>
      </c>
      <c r="B1122" s="2" t="s">
        <v>6191</v>
      </c>
      <c r="C1122" s="2" t="s">
        <v>4902</v>
      </c>
      <c r="D1122" s="2" t="s">
        <v>7186</v>
      </c>
      <c r="E1122" s="2" t="s">
        <v>7187</v>
      </c>
      <c r="F1122" s="2">
        <v>1</v>
      </c>
      <c r="G1122" s="2" t="s">
        <v>7158</v>
      </c>
      <c r="H1122" s="2">
        <v>26</v>
      </c>
      <c r="I1122" s="2">
        <v>26</v>
      </c>
    </row>
    <row r="1123" spans="1:9" ht="22.5" customHeight="1" x14ac:dyDescent="0.25">
      <c r="A1123" s="3" t="s">
        <v>2340</v>
      </c>
      <c r="B1123" s="3" t="s">
        <v>6191</v>
      </c>
      <c r="C1123" s="3" t="s">
        <v>4902</v>
      </c>
      <c r="D1123" s="3" t="s">
        <v>7159</v>
      </c>
      <c r="E1123" s="3" t="s">
        <v>7160</v>
      </c>
      <c r="F1123" s="3">
        <v>20</v>
      </c>
      <c r="G1123" s="3" t="s">
        <v>7155</v>
      </c>
      <c r="H1123" s="3">
        <v>1.8319999999999999E-2</v>
      </c>
      <c r="I1123" s="3">
        <v>0.3664</v>
      </c>
    </row>
    <row r="1124" spans="1:9" ht="22.5" customHeight="1" x14ac:dyDescent="0.25">
      <c r="A1124" s="2" t="s">
        <v>2340</v>
      </c>
      <c r="B1124" s="2" t="s">
        <v>6191</v>
      </c>
      <c r="C1124" s="2" t="s">
        <v>4902</v>
      </c>
      <c r="D1124" s="2" t="s">
        <v>7161</v>
      </c>
      <c r="E1124" s="2" t="s">
        <v>7162</v>
      </c>
      <c r="F1124" s="2">
        <v>0.186</v>
      </c>
      <c r="G1124" s="2" t="s">
        <v>7163</v>
      </c>
      <c r="H1124" s="2" t="s">
        <v>7164</v>
      </c>
      <c r="I1124" s="2">
        <v>0.186</v>
      </c>
    </row>
    <row r="1125" spans="1:9" ht="33.75" customHeight="1" x14ac:dyDescent="0.25">
      <c r="A1125" s="3" t="s">
        <v>2340</v>
      </c>
      <c r="B1125" s="3" t="s">
        <v>6191</v>
      </c>
      <c r="C1125" s="3" t="s">
        <v>4902</v>
      </c>
      <c r="D1125" s="3" t="s">
        <v>7212</v>
      </c>
      <c r="E1125" s="3" t="s">
        <v>7213</v>
      </c>
      <c r="F1125" s="3">
        <v>6</v>
      </c>
      <c r="G1125" s="3" t="s">
        <v>7158</v>
      </c>
      <c r="H1125" s="3">
        <v>0.21</v>
      </c>
      <c r="I1125" s="3">
        <v>1.26</v>
      </c>
    </row>
    <row r="1126" spans="1:9" ht="33.75" customHeight="1" x14ac:dyDescent="0.25">
      <c r="A1126" s="2" t="s">
        <v>2340</v>
      </c>
      <c r="B1126" s="2" t="s">
        <v>6191</v>
      </c>
      <c r="C1126" s="2" t="s">
        <v>4902</v>
      </c>
      <c r="D1126" s="2" t="s">
        <v>7188</v>
      </c>
      <c r="E1126" s="2" t="s">
        <v>7189</v>
      </c>
      <c r="F1126" s="2">
        <v>4</v>
      </c>
      <c r="G1126" s="2" t="s">
        <v>7158</v>
      </c>
      <c r="H1126" s="2">
        <v>0.27</v>
      </c>
      <c r="I1126" s="2">
        <v>1.08</v>
      </c>
    </row>
    <row r="1127" spans="1:9" ht="22.5" customHeight="1" x14ac:dyDescent="0.25">
      <c r="A1127" s="3" t="s">
        <v>2340</v>
      </c>
      <c r="B1127" s="3" t="s">
        <v>6191</v>
      </c>
      <c r="C1127" s="3" t="s">
        <v>4902</v>
      </c>
      <c r="D1127" s="3" t="s">
        <v>7282</v>
      </c>
      <c r="E1127" s="3" t="s">
        <v>7283</v>
      </c>
      <c r="F1127" s="3">
        <v>57</v>
      </c>
      <c r="G1127" s="3" t="s">
        <v>7158</v>
      </c>
      <c r="H1127" s="3">
        <v>0.32</v>
      </c>
      <c r="I1127" s="3">
        <v>18.239999999999998</v>
      </c>
    </row>
    <row r="1128" spans="1:9" x14ac:dyDescent="0.25">
      <c r="A1128" s="2" t="s">
        <v>4139</v>
      </c>
      <c r="B1128" s="2" t="s">
        <v>4138</v>
      </c>
      <c r="C1128" s="2" t="s">
        <v>5021</v>
      </c>
      <c r="D1128" s="2" t="s">
        <v>7153</v>
      </c>
      <c r="E1128" s="2"/>
      <c r="F1128" s="2">
        <v>14</v>
      </c>
      <c r="G1128" s="2" t="s">
        <v>7155</v>
      </c>
      <c r="H1128" s="2">
        <v>1.24E-2</v>
      </c>
      <c r="I1128" s="2">
        <v>0.1736</v>
      </c>
    </row>
    <row r="1129" spans="1:9" x14ac:dyDescent="0.25">
      <c r="A1129" s="3" t="s">
        <v>4139</v>
      </c>
      <c r="B1129" s="3" t="s">
        <v>4138</v>
      </c>
      <c r="C1129" s="3" t="s">
        <v>5021</v>
      </c>
      <c r="D1129" s="3" t="s">
        <v>7228</v>
      </c>
      <c r="E1129" s="3"/>
      <c r="F1129" s="3">
        <v>3</v>
      </c>
      <c r="G1129" s="3" t="s">
        <v>7158</v>
      </c>
      <c r="H1129" s="3">
        <v>0.06</v>
      </c>
      <c r="I1129" s="3">
        <v>0.18</v>
      </c>
    </row>
    <row r="1130" spans="1:9" x14ac:dyDescent="0.25">
      <c r="A1130" s="2" t="s">
        <v>4139</v>
      </c>
      <c r="B1130" s="2" t="s">
        <v>4138</v>
      </c>
      <c r="C1130" s="2" t="s">
        <v>5021</v>
      </c>
      <c r="D1130" s="2" t="s">
        <v>7156</v>
      </c>
      <c r="E1130" s="2"/>
      <c r="F1130" s="2">
        <v>1</v>
      </c>
      <c r="G1130" s="2" t="s">
        <v>7158</v>
      </c>
      <c r="H1130" s="2">
        <v>26</v>
      </c>
      <c r="I1130" s="2">
        <v>26</v>
      </c>
    </row>
    <row r="1131" spans="1:9" x14ac:dyDescent="0.25">
      <c r="A1131" s="3" t="s">
        <v>4139</v>
      </c>
      <c r="B1131" s="3" t="s">
        <v>4138</v>
      </c>
      <c r="C1131" s="3" t="s">
        <v>5021</v>
      </c>
      <c r="D1131" s="3" t="s">
        <v>7159</v>
      </c>
      <c r="E1131" s="3"/>
      <c r="F1131" s="3">
        <v>20</v>
      </c>
      <c r="G1131" s="3" t="s">
        <v>7155</v>
      </c>
      <c r="H1131" s="3">
        <v>1.8319999999999999E-2</v>
      </c>
      <c r="I1131" s="3">
        <v>0.3664</v>
      </c>
    </row>
    <row r="1132" spans="1:9" x14ac:dyDescent="0.25">
      <c r="A1132" s="2" t="s">
        <v>4139</v>
      </c>
      <c r="B1132" s="2" t="s">
        <v>4138</v>
      </c>
      <c r="C1132" s="2" t="s">
        <v>5021</v>
      </c>
      <c r="D1132" s="2" t="s">
        <v>7161</v>
      </c>
      <c r="E1132" s="2"/>
      <c r="F1132" s="2">
        <v>0.186</v>
      </c>
      <c r="G1132" s="2" t="s">
        <v>7163</v>
      </c>
      <c r="H1132" s="2">
        <v>0</v>
      </c>
      <c r="I1132" s="2">
        <v>0</v>
      </c>
    </row>
    <row r="1133" spans="1:9" x14ac:dyDescent="0.25">
      <c r="A1133" s="3" t="s">
        <v>4139</v>
      </c>
      <c r="B1133" s="3" t="s">
        <v>4138</v>
      </c>
      <c r="C1133" s="3" t="s">
        <v>5021</v>
      </c>
      <c r="D1133" s="3" t="s">
        <v>7207</v>
      </c>
      <c r="E1133" s="3"/>
      <c r="F1133" s="3">
        <v>1.99</v>
      </c>
      <c r="G1133" s="3" t="s">
        <v>7163</v>
      </c>
      <c r="H1133" s="3">
        <v>0</v>
      </c>
      <c r="I1133" s="3">
        <v>0</v>
      </c>
    </row>
    <row r="1134" spans="1:9" x14ac:dyDescent="0.25">
      <c r="A1134" s="2" t="s">
        <v>4139</v>
      </c>
      <c r="B1134" s="2" t="s">
        <v>4138</v>
      </c>
      <c r="C1134" s="2" t="s">
        <v>5021</v>
      </c>
      <c r="D1134" s="2" t="s">
        <v>7165</v>
      </c>
      <c r="E1134" s="2"/>
      <c r="F1134" s="2">
        <v>4</v>
      </c>
      <c r="G1134" s="2" t="s">
        <v>7158</v>
      </c>
      <c r="H1134" s="2">
        <v>0.1</v>
      </c>
      <c r="I1134" s="2">
        <v>0.4</v>
      </c>
    </row>
    <row r="1135" spans="1:9" x14ac:dyDescent="0.25">
      <c r="A1135" s="3" t="s">
        <v>4139</v>
      </c>
      <c r="B1135" s="3" t="s">
        <v>4138</v>
      </c>
      <c r="C1135" s="3" t="s">
        <v>5021</v>
      </c>
      <c r="D1135" s="3" t="s">
        <v>7167</v>
      </c>
      <c r="E1135" s="3"/>
      <c r="F1135" s="3">
        <v>4</v>
      </c>
      <c r="G1135" s="3" t="s">
        <v>7158</v>
      </c>
      <c r="H1135" s="3">
        <v>0.2</v>
      </c>
      <c r="I1135" s="3">
        <v>0.8</v>
      </c>
    </row>
    <row r="1136" spans="1:9" x14ac:dyDescent="0.25">
      <c r="A1136" s="2" t="s">
        <v>4139</v>
      </c>
      <c r="B1136" s="2" t="s">
        <v>4138</v>
      </c>
      <c r="C1136" s="2" t="s">
        <v>5021</v>
      </c>
      <c r="D1136" s="2" t="s">
        <v>7179</v>
      </c>
      <c r="E1136" s="2"/>
      <c r="F1136" s="2">
        <v>57</v>
      </c>
      <c r="G1136" s="2" t="s">
        <v>7158</v>
      </c>
      <c r="H1136" s="2">
        <v>1.08E-3</v>
      </c>
      <c r="I1136" s="2">
        <v>6.1559999999999997E-2</v>
      </c>
    </row>
    <row r="1137" spans="1:9" ht="22.5" customHeight="1" x14ac:dyDescent="0.25">
      <c r="A1137" s="3" t="s">
        <v>1789</v>
      </c>
      <c r="B1137" s="3" t="s">
        <v>6205</v>
      </c>
      <c r="C1137" s="3" t="s">
        <v>4859</v>
      </c>
      <c r="D1137" s="3" t="s">
        <v>7153</v>
      </c>
      <c r="E1137" s="3"/>
      <c r="F1137" s="3">
        <v>14</v>
      </c>
      <c r="G1137" s="3" t="s">
        <v>7155</v>
      </c>
      <c r="H1137" s="3">
        <v>1.24E-2</v>
      </c>
      <c r="I1137" s="3">
        <v>0.1736</v>
      </c>
    </row>
    <row r="1138" spans="1:9" ht="22.5" customHeight="1" x14ac:dyDescent="0.25">
      <c r="A1138" s="2" t="s">
        <v>1789</v>
      </c>
      <c r="B1138" s="2" t="s">
        <v>6205</v>
      </c>
      <c r="C1138" s="2" t="s">
        <v>4859</v>
      </c>
      <c r="D1138" s="2" t="s">
        <v>7156</v>
      </c>
      <c r="E1138" s="2"/>
      <c r="F1138" s="2">
        <v>1</v>
      </c>
      <c r="G1138" s="2" t="s">
        <v>7158</v>
      </c>
      <c r="H1138" s="2">
        <v>26</v>
      </c>
      <c r="I1138" s="2">
        <v>26</v>
      </c>
    </row>
    <row r="1139" spans="1:9" ht="22.5" customHeight="1" x14ac:dyDescent="0.25">
      <c r="A1139" s="3" t="s">
        <v>1789</v>
      </c>
      <c r="B1139" s="3" t="s">
        <v>6205</v>
      </c>
      <c r="C1139" s="3" t="s">
        <v>4859</v>
      </c>
      <c r="D1139" s="3" t="s">
        <v>7159</v>
      </c>
      <c r="E1139" s="3"/>
      <c r="F1139" s="3">
        <v>20</v>
      </c>
      <c r="G1139" s="3" t="s">
        <v>7155</v>
      </c>
      <c r="H1139" s="3">
        <v>1.8319999999999999E-2</v>
      </c>
      <c r="I1139" s="3">
        <v>0.3664</v>
      </c>
    </row>
    <row r="1140" spans="1:9" ht="22.5" customHeight="1" x14ac:dyDescent="0.25">
      <c r="A1140" s="2" t="s">
        <v>1789</v>
      </c>
      <c r="B1140" s="2" t="s">
        <v>6205</v>
      </c>
      <c r="C1140" s="2" t="s">
        <v>4859</v>
      </c>
      <c r="D1140" s="2" t="s">
        <v>7161</v>
      </c>
      <c r="E1140" s="2"/>
      <c r="F1140" s="2">
        <v>0.186</v>
      </c>
      <c r="G1140" s="2" t="s">
        <v>7163</v>
      </c>
      <c r="H1140" s="2">
        <v>0</v>
      </c>
      <c r="I1140" s="2">
        <v>0</v>
      </c>
    </row>
    <row r="1141" spans="1:9" ht="22.5" customHeight="1" x14ac:dyDescent="0.25">
      <c r="A1141" s="3" t="s">
        <v>1789</v>
      </c>
      <c r="B1141" s="3" t="s">
        <v>6205</v>
      </c>
      <c r="C1141" s="3" t="s">
        <v>4859</v>
      </c>
      <c r="D1141" s="3" t="s">
        <v>7207</v>
      </c>
      <c r="E1141" s="3"/>
      <c r="F1141" s="3">
        <v>2.1659999999999999</v>
      </c>
      <c r="G1141" s="3" t="s">
        <v>7163</v>
      </c>
      <c r="H1141" s="3">
        <v>0</v>
      </c>
      <c r="I1141" s="3">
        <v>0</v>
      </c>
    </row>
    <row r="1142" spans="1:9" ht="22.5" customHeight="1" x14ac:dyDescent="0.25">
      <c r="A1142" s="2" t="s">
        <v>1789</v>
      </c>
      <c r="B1142" s="2" t="s">
        <v>6205</v>
      </c>
      <c r="C1142" s="2" t="s">
        <v>4859</v>
      </c>
      <c r="D1142" s="2" t="s">
        <v>7165</v>
      </c>
      <c r="E1142" s="2"/>
      <c r="F1142" s="2">
        <v>4</v>
      </c>
      <c r="G1142" s="2" t="s">
        <v>7158</v>
      </c>
      <c r="H1142" s="2">
        <v>0.1</v>
      </c>
      <c r="I1142" s="2">
        <v>0.4</v>
      </c>
    </row>
    <row r="1143" spans="1:9" ht="22.5" customHeight="1" x14ac:dyDescent="0.25">
      <c r="A1143" s="3" t="s">
        <v>1789</v>
      </c>
      <c r="B1143" s="3" t="s">
        <v>6205</v>
      </c>
      <c r="C1143" s="3" t="s">
        <v>4859</v>
      </c>
      <c r="D1143" s="3" t="s">
        <v>7167</v>
      </c>
      <c r="E1143" s="3"/>
      <c r="F1143" s="3">
        <v>4</v>
      </c>
      <c r="G1143" s="3" t="s">
        <v>7158</v>
      </c>
      <c r="H1143" s="3">
        <v>0.2</v>
      </c>
      <c r="I1143" s="3">
        <v>0.8</v>
      </c>
    </row>
    <row r="1144" spans="1:9" ht="22.5" customHeight="1" x14ac:dyDescent="0.25">
      <c r="A1144" s="2" t="s">
        <v>1789</v>
      </c>
      <c r="B1144" s="2" t="s">
        <v>6205</v>
      </c>
      <c r="C1144" s="2" t="s">
        <v>4859</v>
      </c>
      <c r="D1144" s="2" t="s">
        <v>7179</v>
      </c>
      <c r="E1144" s="2"/>
      <c r="F1144" s="2">
        <v>57</v>
      </c>
      <c r="G1144" s="2" t="s">
        <v>7158</v>
      </c>
      <c r="H1144" s="2">
        <v>1.08E-3</v>
      </c>
      <c r="I1144" s="2">
        <v>6.1559999999999997E-2</v>
      </c>
    </row>
    <row r="1145" spans="1:9" ht="22.5" customHeight="1" x14ac:dyDescent="0.25">
      <c r="A1145" s="3" t="s">
        <v>3921</v>
      </c>
      <c r="B1145" s="3" t="s">
        <v>3920</v>
      </c>
      <c r="C1145" s="3" t="s">
        <v>5012</v>
      </c>
      <c r="D1145" s="3" t="s">
        <v>7153</v>
      </c>
      <c r="E1145" s="3" t="s">
        <v>7154</v>
      </c>
      <c r="F1145" s="3">
        <v>14</v>
      </c>
      <c r="G1145" s="3" t="s">
        <v>7155</v>
      </c>
      <c r="H1145" s="3">
        <v>1.24E-2</v>
      </c>
      <c r="I1145" s="3">
        <v>0.1736</v>
      </c>
    </row>
    <row r="1146" spans="1:9" ht="22.5" customHeight="1" x14ac:dyDescent="0.25">
      <c r="A1146" s="2" t="s">
        <v>3921</v>
      </c>
      <c r="B1146" s="2" t="s">
        <v>3920</v>
      </c>
      <c r="C1146" s="2" t="s">
        <v>5012</v>
      </c>
      <c r="D1146" s="2" t="s">
        <v>7235</v>
      </c>
      <c r="E1146" s="2" t="s">
        <v>7236</v>
      </c>
      <c r="F1146" s="2">
        <v>60</v>
      </c>
      <c r="G1146" s="2" t="s">
        <v>7158</v>
      </c>
      <c r="H1146" s="2">
        <v>5.1069999999999997E-2</v>
      </c>
      <c r="I1146" s="2">
        <v>3.0642</v>
      </c>
    </row>
    <row r="1147" spans="1:9" ht="22.5" customHeight="1" x14ac:dyDescent="0.25">
      <c r="A1147" s="3" t="s">
        <v>3921</v>
      </c>
      <c r="B1147" s="3" t="s">
        <v>3920</v>
      </c>
      <c r="C1147" s="3" t="s">
        <v>5012</v>
      </c>
      <c r="D1147" s="3" t="s">
        <v>7156</v>
      </c>
      <c r="E1147" s="3" t="s">
        <v>7157</v>
      </c>
      <c r="F1147" s="3">
        <v>1</v>
      </c>
      <c r="G1147" s="3" t="s">
        <v>7158</v>
      </c>
      <c r="H1147" s="3">
        <v>26</v>
      </c>
      <c r="I1147" s="3">
        <v>26</v>
      </c>
    </row>
    <row r="1148" spans="1:9" ht="22.5" customHeight="1" x14ac:dyDescent="0.25">
      <c r="A1148" s="2" t="s">
        <v>3921</v>
      </c>
      <c r="B1148" s="2" t="s">
        <v>3920</v>
      </c>
      <c r="C1148" s="2" t="s">
        <v>5012</v>
      </c>
      <c r="D1148" s="2" t="s">
        <v>7159</v>
      </c>
      <c r="E1148" s="2" t="s">
        <v>7160</v>
      </c>
      <c r="F1148" s="2">
        <v>20</v>
      </c>
      <c r="G1148" s="2" t="s">
        <v>7155</v>
      </c>
      <c r="H1148" s="2">
        <v>1.8319999999999999E-2</v>
      </c>
      <c r="I1148" s="2">
        <v>0.3664</v>
      </c>
    </row>
    <row r="1149" spans="1:9" ht="22.5" customHeight="1" x14ac:dyDescent="0.25">
      <c r="A1149" s="3" t="s">
        <v>3921</v>
      </c>
      <c r="B1149" s="3" t="s">
        <v>3920</v>
      </c>
      <c r="C1149" s="3" t="s">
        <v>5012</v>
      </c>
      <c r="D1149" s="3" t="s">
        <v>7161</v>
      </c>
      <c r="E1149" s="3" t="s">
        <v>7162</v>
      </c>
      <c r="F1149" s="3">
        <v>0.186</v>
      </c>
      <c r="G1149" s="3" t="s">
        <v>7163</v>
      </c>
      <c r="H1149" s="3" t="s">
        <v>7164</v>
      </c>
      <c r="I1149" s="3">
        <v>0.186</v>
      </c>
    </row>
    <row r="1150" spans="1:9" ht="33.75" customHeight="1" x14ac:dyDescent="0.25">
      <c r="A1150" s="2" t="s">
        <v>3921</v>
      </c>
      <c r="B1150" s="2" t="s">
        <v>3920</v>
      </c>
      <c r="C1150" s="2" t="s">
        <v>5012</v>
      </c>
      <c r="D1150" s="2" t="s">
        <v>7212</v>
      </c>
      <c r="E1150" s="2" t="s">
        <v>7213</v>
      </c>
      <c r="F1150" s="2">
        <v>8</v>
      </c>
      <c r="G1150" s="2" t="s">
        <v>7158</v>
      </c>
      <c r="H1150" s="2">
        <v>0.21</v>
      </c>
      <c r="I1150" s="2">
        <v>1.68</v>
      </c>
    </row>
    <row r="1151" spans="1:9" ht="33.75" customHeight="1" x14ac:dyDescent="0.25">
      <c r="A1151" s="3" t="s">
        <v>3921</v>
      </c>
      <c r="B1151" s="3" t="s">
        <v>3920</v>
      </c>
      <c r="C1151" s="3" t="s">
        <v>5012</v>
      </c>
      <c r="D1151" s="3" t="s">
        <v>7167</v>
      </c>
      <c r="E1151" s="3" t="s">
        <v>7168</v>
      </c>
      <c r="F1151" s="3">
        <v>4</v>
      </c>
      <c r="G1151" s="3" t="s">
        <v>7158</v>
      </c>
      <c r="H1151" s="3">
        <v>0.2</v>
      </c>
      <c r="I1151" s="3">
        <v>0.8</v>
      </c>
    </row>
    <row r="1152" spans="1:9" ht="22.5" customHeight="1" x14ac:dyDescent="0.25">
      <c r="A1152" s="2" t="s">
        <v>3921</v>
      </c>
      <c r="B1152" s="2" t="s">
        <v>3920</v>
      </c>
      <c r="C1152" s="2" t="s">
        <v>5012</v>
      </c>
      <c r="D1152" s="2" t="s">
        <v>7237</v>
      </c>
      <c r="E1152" s="2" t="s">
        <v>7238</v>
      </c>
      <c r="F1152" s="2">
        <v>60</v>
      </c>
      <c r="G1152" s="2" t="s">
        <v>7158</v>
      </c>
      <c r="H1152" s="2">
        <v>0.24</v>
      </c>
      <c r="I1152" s="2">
        <v>14.4</v>
      </c>
    </row>
    <row r="1153" spans="1:9" ht="78.75" customHeight="1" x14ac:dyDescent="0.25">
      <c r="A1153" s="3" t="s">
        <v>366</v>
      </c>
      <c r="B1153" s="3" t="s">
        <v>6219</v>
      </c>
      <c r="C1153" s="3" t="s">
        <v>4718</v>
      </c>
      <c r="D1153" s="3" t="s">
        <v>7153</v>
      </c>
      <c r="E1153" s="3" t="s">
        <v>7154</v>
      </c>
      <c r="F1153" s="3">
        <v>7</v>
      </c>
      <c r="G1153" s="3" t="s">
        <v>7155</v>
      </c>
      <c r="H1153" s="3">
        <v>1.24E-2</v>
      </c>
      <c r="I1153" s="3">
        <v>8.6800000000000002E-2</v>
      </c>
    </row>
    <row r="1154" spans="1:9" ht="78.75" customHeight="1" x14ac:dyDescent="0.25">
      <c r="A1154" s="2" t="s">
        <v>366</v>
      </c>
      <c r="B1154" s="2" t="s">
        <v>6219</v>
      </c>
      <c r="C1154" s="2" t="s">
        <v>4718</v>
      </c>
      <c r="D1154" s="2" t="s">
        <v>7284</v>
      </c>
      <c r="E1154" s="2" t="s">
        <v>7285</v>
      </c>
      <c r="F1154" s="2">
        <v>60</v>
      </c>
      <c r="G1154" s="2" t="s">
        <v>7158</v>
      </c>
      <c r="H1154" s="2">
        <v>5.1069999999999997E-2</v>
      </c>
      <c r="I1154" s="2">
        <v>3.0642</v>
      </c>
    </row>
    <row r="1155" spans="1:9" ht="78.75" customHeight="1" x14ac:dyDescent="0.25">
      <c r="A1155" s="3" t="s">
        <v>366</v>
      </c>
      <c r="B1155" s="3" t="s">
        <v>6219</v>
      </c>
      <c r="C1155" s="3" t="s">
        <v>4718</v>
      </c>
      <c r="D1155" s="3" t="s">
        <v>7156</v>
      </c>
      <c r="E1155" s="3" t="s">
        <v>7157</v>
      </c>
      <c r="F1155" s="3">
        <v>1</v>
      </c>
      <c r="G1155" s="3" t="s">
        <v>7158</v>
      </c>
      <c r="H1155" s="3">
        <v>26</v>
      </c>
      <c r="I1155" s="3">
        <v>26</v>
      </c>
    </row>
    <row r="1156" spans="1:9" ht="78.75" customHeight="1" x14ac:dyDescent="0.25">
      <c r="A1156" s="2" t="s">
        <v>366</v>
      </c>
      <c r="B1156" s="2" t="s">
        <v>6219</v>
      </c>
      <c r="C1156" s="2" t="s">
        <v>4718</v>
      </c>
      <c r="D1156" s="2" t="s">
        <v>7159</v>
      </c>
      <c r="E1156" s="2" t="s">
        <v>7160</v>
      </c>
      <c r="F1156" s="2">
        <v>20</v>
      </c>
      <c r="G1156" s="2" t="s">
        <v>7155</v>
      </c>
      <c r="H1156" s="2">
        <v>1.8319999999999999E-2</v>
      </c>
      <c r="I1156" s="2">
        <v>0.3664</v>
      </c>
    </row>
    <row r="1157" spans="1:9" ht="78.75" customHeight="1" x14ac:dyDescent="0.25">
      <c r="A1157" s="3" t="s">
        <v>366</v>
      </c>
      <c r="B1157" s="3" t="s">
        <v>6219</v>
      </c>
      <c r="C1157" s="3" t="s">
        <v>4718</v>
      </c>
      <c r="D1157" s="3" t="s">
        <v>7161</v>
      </c>
      <c r="E1157" s="3" t="s">
        <v>7162</v>
      </c>
      <c r="F1157" s="3">
        <v>0.186</v>
      </c>
      <c r="G1157" s="3" t="s">
        <v>7163</v>
      </c>
      <c r="H1157" s="3" t="s">
        <v>7164</v>
      </c>
      <c r="I1157" s="3">
        <v>0.186</v>
      </c>
    </row>
    <row r="1158" spans="1:9" ht="78.75" customHeight="1" x14ac:dyDescent="0.25">
      <c r="A1158" s="2" t="s">
        <v>366</v>
      </c>
      <c r="B1158" s="2" t="s">
        <v>6219</v>
      </c>
      <c r="C1158" s="2" t="s">
        <v>4718</v>
      </c>
      <c r="D1158" s="2" t="s">
        <v>7207</v>
      </c>
      <c r="E1158" s="2" t="s">
        <v>7208</v>
      </c>
      <c r="F1158" s="2">
        <v>2.2799999999999998</v>
      </c>
      <c r="G1158" s="2" t="s">
        <v>7163</v>
      </c>
      <c r="H1158" s="2" t="s">
        <v>7164</v>
      </c>
      <c r="I1158" s="2">
        <v>2.2799999999999998</v>
      </c>
    </row>
    <row r="1159" spans="1:9" ht="78.75" customHeight="1" x14ac:dyDescent="0.25">
      <c r="A1159" s="3" t="s">
        <v>366</v>
      </c>
      <c r="B1159" s="3" t="s">
        <v>6219</v>
      </c>
      <c r="C1159" s="3" t="s">
        <v>4718</v>
      </c>
      <c r="D1159" s="3" t="s">
        <v>7165</v>
      </c>
      <c r="E1159" s="3" t="s">
        <v>7166</v>
      </c>
      <c r="F1159" s="3">
        <v>2</v>
      </c>
      <c r="G1159" s="3" t="s">
        <v>7158</v>
      </c>
      <c r="H1159" s="3">
        <v>0.1</v>
      </c>
      <c r="I1159" s="3">
        <v>0.2</v>
      </c>
    </row>
    <row r="1160" spans="1:9" ht="78.75" customHeight="1" x14ac:dyDescent="0.25">
      <c r="A1160" s="2" t="s">
        <v>366</v>
      </c>
      <c r="B1160" s="2" t="s">
        <v>6219</v>
      </c>
      <c r="C1160" s="2" t="s">
        <v>4718</v>
      </c>
      <c r="D1160" s="2" t="s">
        <v>7167</v>
      </c>
      <c r="E1160" s="2" t="s">
        <v>7168</v>
      </c>
      <c r="F1160" s="2">
        <v>4</v>
      </c>
      <c r="G1160" s="2" t="s">
        <v>7158</v>
      </c>
      <c r="H1160" s="2">
        <v>0.2</v>
      </c>
      <c r="I1160" s="2">
        <v>0.8</v>
      </c>
    </row>
    <row r="1161" spans="1:9" ht="22.5" customHeight="1" x14ac:dyDescent="0.25">
      <c r="A1161" s="3" t="s">
        <v>1139</v>
      </c>
      <c r="B1161" s="3" t="s">
        <v>6227</v>
      </c>
      <c r="C1161" s="3" t="s">
        <v>4811</v>
      </c>
      <c r="D1161" s="3" t="s">
        <v>7153</v>
      </c>
      <c r="E1161" s="3" t="s">
        <v>7154</v>
      </c>
      <c r="F1161" s="3">
        <v>14</v>
      </c>
      <c r="G1161" s="3" t="s">
        <v>7155</v>
      </c>
      <c r="H1161" s="3">
        <v>1.24E-2</v>
      </c>
      <c r="I1161" s="3">
        <v>0.1736</v>
      </c>
    </row>
    <row r="1162" spans="1:9" ht="33.75" customHeight="1" x14ac:dyDescent="0.25">
      <c r="A1162" s="2" t="s">
        <v>1139</v>
      </c>
      <c r="B1162" s="2" t="s">
        <v>6227</v>
      </c>
      <c r="C1162" s="2" t="s">
        <v>4811</v>
      </c>
      <c r="D1162" s="2" t="s">
        <v>7186</v>
      </c>
      <c r="E1162" s="2" t="s">
        <v>7187</v>
      </c>
      <c r="F1162" s="2">
        <v>1</v>
      </c>
      <c r="G1162" s="2" t="s">
        <v>7158</v>
      </c>
      <c r="H1162" s="2">
        <v>26</v>
      </c>
      <c r="I1162" s="2">
        <v>26</v>
      </c>
    </row>
    <row r="1163" spans="1:9" ht="22.5" customHeight="1" x14ac:dyDescent="0.25">
      <c r="A1163" s="3" t="s">
        <v>1139</v>
      </c>
      <c r="B1163" s="3" t="s">
        <v>6227</v>
      </c>
      <c r="C1163" s="3" t="s">
        <v>4811</v>
      </c>
      <c r="D1163" s="3" t="s">
        <v>7159</v>
      </c>
      <c r="E1163" s="3" t="s">
        <v>7160</v>
      </c>
      <c r="F1163" s="3">
        <v>20</v>
      </c>
      <c r="G1163" s="3" t="s">
        <v>7155</v>
      </c>
      <c r="H1163" s="3">
        <v>1.8319999999999999E-2</v>
      </c>
      <c r="I1163" s="3">
        <v>0.3664</v>
      </c>
    </row>
    <row r="1164" spans="1:9" ht="22.5" customHeight="1" x14ac:dyDescent="0.25">
      <c r="A1164" s="2" t="s">
        <v>1139</v>
      </c>
      <c r="B1164" s="2" t="s">
        <v>6227</v>
      </c>
      <c r="C1164" s="2" t="s">
        <v>4811</v>
      </c>
      <c r="D1164" s="2" t="s">
        <v>7161</v>
      </c>
      <c r="E1164" s="2" t="s">
        <v>7162</v>
      </c>
      <c r="F1164" s="2">
        <v>0.186</v>
      </c>
      <c r="G1164" s="2" t="s">
        <v>7163</v>
      </c>
      <c r="H1164" s="2" t="s">
        <v>7164</v>
      </c>
      <c r="I1164" s="2">
        <v>0.186</v>
      </c>
    </row>
    <row r="1165" spans="1:9" ht="33.75" customHeight="1" x14ac:dyDescent="0.25">
      <c r="A1165" s="3" t="s">
        <v>1139</v>
      </c>
      <c r="B1165" s="3" t="s">
        <v>6227</v>
      </c>
      <c r="C1165" s="3" t="s">
        <v>4811</v>
      </c>
      <c r="D1165" s="3" t="s">
        <v>7212</v>
      </c>
      <c r="E1165" s="3" t="s">
        <v>7213</v>
      </c>
      <c r="F1165" s="3">
        <v>6</v>
      </c>
      <c r="G1165" s="3" t="s">
        <v>7158</v>
      </c>
      <c r="H1165" s="3">
        <v>0.21</v>
      </c>
      <c r="I1165" s="3">
        <v>1.26</v>
      </c>
    </row>
    <row r="1166" spans="1:9" ht="33.75" customHeight="1" x14ac:dyDescent="0.25">
      <c r="A1166" s="2" t="s">
        <v>1139</v>
      </c>
      <c r="B1166" s="2" t="s">
        <v>6227</v>
      </c>
      <c r="C1166" s="2" t="s">
        <v>4811</v>
      </c>
      <c r="D1166" s="2" t="s">
        <v>7188</v>
      </c>
      <c r="E1166" s="2" t="s">
        <v>7189</v>
      </c>
      <c r="F1166" s="2">
        <v>5</v>
      </c>
      <c r="G1166" s="2" t="s">
        <v>7158</v>
      </c>
      <c r="H1166" s="2">
        <v>0.27</v>
      </c>
      <c r="I1166" s="2">
        <v>1.35</v>
      </c>
    </row>
    <row r="1167" spans="1:9" ht="22.5" customHeight="1" x14ac:dyDescent="0.25">
      <c r="A1167" s="3" t="s">
        <v>1139</v>
      </c>
      <c r="B1167" s="3" t="s">
        <v>6227</v>
      </c>
      <c r="C1167" s="3" t="s">
        <v>4811</v>
      </c>
      <c r="D1167" s="3" t="s">
        <v>7286</v>
      </c>
      <c r="E1167" s="3" t="s">
        <v>7287</v>
      </c>
      <c r="F1167" s="3">
        <v>60</v>
      </c>
      <c r="G1167" s="3" t="s">
        <v>7158</v>
      </c>
      <c r="H1167" s="3">
        <v>0.33</v>
      </c>
      <c r="I1167" s="3">
        <v>19.8</v>
      </c>
    </row>
    <row r="1168" spans="1:9" ht="22.5" customHeight="1" x14ac:dyDescent="0.25">
      <c r="A1168" s="2" t="s">
        <v>3287</v>
      </c>
      <c r="B1168" s="2" t="s">
        <v>6235</v>
      </c>
      <c r="C1168" s="2" t="s">
        <v>4973</v>
      </c>
      <c r="D1168" s="2" t="s">
        <v>7153</v>
      </c>
      <c r="E1168" s="2" t="s">
        <v>7154</v>
      </c>
      <c r="F1168" s="2">
        <v>14</v>
      </c>
      <c r="G1168" s="2" t="s">
        <v>7155</v>
      </c>
      <c r="H1168" s="2">
        <v>1.24E-2</v>
      </c>
      <c r="I1168" s="2">
        <v>0.1736</v>
      </c>
    </row>
    <row r="1169" spans="1:9" ht="33.75" customHeight="1" x14ac:dyDescent="0.25">
      <c r="A1169" s="3" t="s">
        <v>3287</v>
      </c>
      <c r="B1169" s="3" t="s">
        <v>6235</v>
      </c>
      <c r="C1169" s="3" t="s">
        <v>4973</v>
      </c>
      <c r="D1169" s="3" t="s">
        <v>7186</v>
      </c>
      <c r="E1169" s="3" t="s">
        <v>7187</v>
      </c>
      <c r="F1169" s="3">
        <v>1</v>
      </c>
      <c r="G1169" s="3" t="s">
        <v>7158</v>
      </c>
      <c r="H1169" s="3">
        <v>26</v>
      </c>
      <c r="I1169" s="3">
        <v>26</v>
      </c>
    </row>
    <row r="1170" spans="1:9" ht="22.5" customHeight="1" x14ac:dyDescent="0.25">
      <c r="A1170" s="2" t="s">
        <v>3287</v>
      </c>
      <c r="B1170" s="2" t="s">
        <v>6235</v>
      </c>
      <c r="C1170" s="2" t="s">
        <v>4973</v>
      </c>
      <c r="D1170" s="2" t="s">
        <v>7159</v>
      </c>
      <c r="E1170" s="2" t="s">
        <v>7160</v>
      </c>
      <c r="F1170" s="2">
        <v>20</v>
      </c>
      <c r="G1170" s="2" t="s">
        <v>7155</v>
      </c>
      <c r="H1170" s="2">
        <v>1.8319999999999999E-2</v>
      </c>
      <c r="I1170" s="2">
        <v>0.3664</v>
      </c>
    </row>
    <row r="1171" spans="1:9" ht="22.5" customHeight="1" x14ac:dyDescent="0.25">
      <c r="A1171" s="3" t="s">
        <v>3287</v>
      </c>
      <c r="B1171" s="3" t="s">
        <v>6235</v>
      </c>
      <c r="C1171" s="3" t="s">
        <v>4973</v>
      </c>
      <c r="D1171" s="3" t="s">
        <v>7161</v>
      </c>
      <c r="E1171" s="3" t="s">
        <v>7162</v>
      </c>
      <c r="F1171" s="3">
        <v>0.186</v>
      </c>
      <c r="G1171" s="3" t="s">
        <v>7163</v>
      </c>
      <c r="H1171" s="3" t="s">
        <v>7164</v>
      </c>
      <c r="I1171" s="3">
        <v>0.186</v>
      </c>
    </row>
    <row r="1172" spans="1:9" ht="33.75" customHeight="1" x14ac:dyDescent="0.25">
      <c r="A1172" s="2" t="s">
        <v>3287</v>
      </c>
      <c r="B1172" s="2" t="s">
        <v>6235</v>
      </c>
      <c r="C1172" s="2" t="s">
        <v>4973</v>
      </c>
      <c r="D1172" s="2" t="s">
        <v>7212</v>
      </c>
      <c r="E1172" s="2" t="s">
        <v>7213</v>
      </c>
      <c r="F1172" s="2">
        <v>6</v>
      </c>
      <c r="G1172" s="2" t="s">
        <v>7158</v>
      </c>
      <c r="H1172" s="2">
        <v>0.21</v>
      </c>
      <c r="I1172" s="2">
        <v>1.26</v>
      </c>
    </row>
    <row r="1173" spans="1:9" ht="33.75" customHeight="1" x14ac:dyDescent="0.25">
      <c r="A1173" s="3" t="s">
        <v>3287</v>
      </c>
      <c r="B1173" s="3" t="s">
        <v>6235</v>
      </c>
      <c r="C1173" s="3" t="s">
        <v>4973</v>
      </c>
      <c r="D1173" s="3" t="s">
        <v>7188</v>
      </c>
      <c r="E1173" s="3" t="s">
        <v>7189</v>
      </c>
      <c r="F1173" s="3">
        <v>5</v>
      </c>
      <c r="G1173" s="3" t="s">
        <v>7158</v>
      </c>
      <c r="H1173" s="3">
        <v>0.27</v>
      </c>
      <c r="I1173" s="3">
        <v>1.35</v>
      </c>
    </row>
    <row r="1174" spans="1:9" ht="22.5" customHeight="1" x14ac:dyDescent="0.25">
      <c r="A1174" s="2" t="s">
        <v>3287</v>
      </c>
      <c r="B1174" s="2" t="s">
        <v>6235</v>
      </c>
      <c r="C1174" s="2" t="s">
        <v>4973</v>
      </c>
      <c r="D1174" s="2" t="s">
        <v>7243</v>
      </c>
      <c r="E1174" s="2" t="s">
        <v>7244</v>
      </c>
      <c r="F1174" s="2">
        <v>60</v>
      </c>
      <c r="G1174" s="2" t="s">
        <v>7158</v>
      </c>
      <c r="H1174" s="2">
        <v>0.33</v>
      </c>
      <c r="I1174" s="2">
        <v>19.8</v>
      </c>
    </row>
    <row r="1175" spans="1:9" ht="22.5" customHeight="1" x14ac:dyDescent="0.25">
      <c r="A1175" s="3" t="s">
        <v>616</v>
      </c>
      <c r="B1175" s="3" t="s">
        <v>615</v>
      </c>
      <c r="C1175" s="3" t="s">
        <v>4766</v>
      </c>
      <c r="D1175" s="3" t="s">
        <v>7153</v>
      </c>
      <c r="E1175" s="3" t="s">
        <v>7154</v>
      </c>
      <c r="F1175" s="3">
        <v>14</v>
      </c>
      <c r="G1175" s="3" t="s">
        <v>7155</v>
      </c>
      <c r="H1175" s="3">
        <v>1.24E-2</v>
      </c>
      <c r="I1175" s="3">
        <v>0.1736</v>
      </c>
    </row>
    <row r="1176" spans="1:9" ht="33.75" customHeight="1" x14ac:dyDescent="0.25">
      <c r="A1176" s="2" t="s">
        <v>616</v>
      </c>
      <c r="B1176" s="2" t="s">
        <v>615</v>
      </c>
      <c r="C1176" s="2" t="s">
        <v>4766</v>
      </c>
      <c r="D1176" s="2" t="s">
        <v>7186</v>
      </c>
      <c r="E1176" s="2" t="s">
        <v>7187</v>
      </c>
      <c r="F1176" s="2">
        <v>1</v>
      </c>
      <c r="G1176" s="2" t="s">
        <v>7158</v>
      </c>
      <c r="H1176" s="2">
        <v>26</v>
      </c>
      <c r="I1176" s="2">
        <v>26</v>
      </c>
    </row>
    <row r="1177" spans="1:9" ht="22.5" customHeight="1" x14ac:dyDescent="0.25">
      <c r="A1177" s="3" t="s">
        <v>616</v>
      </c>
      <c r="B1177" s="3" t="s">
        <v>615</v>
      </c>
      <c r="C1177" s="3" t="s">
        <v>4766</v>
      </c>
      <c r="D1177" s="3" t="s">
        <v>7159</v>
      </c>
      <c r="E1177" s="3" t="s">
        <v>7160</v>
      </c>
      <c r="F1177" s="3">
        <v>20</v>
      </c>
      <c r="G1177" s="3" t="s">
        <v>7155</v>
      </c>
      <c r="H1177" s="3">
        <v>1.8319999999999999E-2</v>
      </c>
      <c r="I1177" s="3">
        <v>0.3664</v>
      </c>
    </row>
    <row r="1178" spans="1:9" ht="22.5" customHeight="1" x14ac:dyDescent="0.25">
      <c r="A1178" s="2" t="s">
        <v>616</v>
      </c>
      <c r="B1178" s="2" t="s">
        <v>615</v>
      </c>
      <c r="C1178" s="2" t="s">
        <v>4766</v>
      </c>
      <c r="D1178" s="2" t="s">
        <v>7161</v>
      </c>
      <c r="E1178" s="2" t="s">
        <v>7162</v>
      </c>
      <c r="F1178" s="2">
        <v>0.186</v>
      </c>
      <c r="G1178" s="2" t="s">
        <v>7163</v>
      </c>
      <c r="H1178" s="2" t="s">
        <v>7164</v>
      </c>
      <c r="I1178" s="2">
        <v>0.186</v>
      </c>
    </row>
    <row r="1179" spans="1:9" ht="33.75" customHeight="1" x14ac:dyDescent="0.25">
      <c r="A1179" s="3" t="s">
        <v>616</v>
      </c>
      <c r="B1179" s="3" t="s">
        <v>615</v>
      </c>
      <c r="C1179" s="3" t="s">
        <v>4766</v>
      </c>
      <c r="D1179" s="3" t="s">
        <v>7212</v>
      </c>
      <c r="E1179" s="3" t="s">
        <v>7213</v>
      </c>
      <c r="F1179" s="3">
        <v>6</v>
      </c>
      <c r="G1179" s="3" t="s">
        <v>7158</v>
      </c>
      <c r="H1179" s="3">
        <v>0.21</v>
      </c>
      <c r="I1179" s="3">
        <v>1.26</v>
      </c>
    </row>
    <row r="1180" spans="1:9" ht="33.75" customHeight="1" x14ac:dyDescent="0.25">
      <c r="A1180" s="2" t="s">
        <v>616</v>
      </c>
      <c r="B1180" s="2" t="s">
        <v>615</v>
      </c>
      <c r="C1180" s="2" t="s">
        <v>4766</v>
      </c>
      <c r="D1180" s="2" t="s">
        <v>7188</v>
      </c>
      <c r="E1180" s="2" t="s">
        <v>7189</v>
      </c>
      <c r="F1180" s="2">
        <v>5</v>
      </c>
      <c r="G1180" s="2" t="s">
        <v>7158</v>
      </c>
      <c r="H1180" s="2">
        <v>0.27</v>
      </c>
      <c r="I1180" s="2">
        <v>1.35</v>
      </c>
    </row>
    <row r="1181" spans="1:9" ht="22.5" customHeight="1" x14ac:dyDescent="0.25">
      <c r="A1181" s="3" t="s">
        <v>616</v>
      </c>
      <c r="B1181" s="3" t="s">
        <v>615</v>
      </c>
      <c r="C1181" s="3" t="s">
        <v>4766</v>
      </c>
      <c r="D1181" s="3" t="s">
        <v>7288</v>
      </c>
      <c r="E1181" s="3" t="s">
        <v>7289</v>
      </c>
      <c r="F1181" s="3">
        <v>60</v>
      </c>
      <c r="G1181" s="3" t="s">
        <v>7158</v>
      </c>
      <c r="H1181" s="3">
        <v>0.33</v>
      </c>
      <c r="I1181" s="3">
        <v>19.8</v>
      </c>
    </row>
    <row r="1182" spans="1:9" ht="22.5" customHeight="1" x14ac:dyDescent="0.25">
      <c r="A1182" s="2" t="s">
        <v>740</v>
      </c>
      <c r="B1182" s="2" t="s">
        <v>739</v>
      </c>
      <c r="C1182" s="2" t="s">
        <v>4790</v>
      </c>
      <c r="D1182" s="2" t="s">
        <v>7153</v>
      </c>
      <c r="E1182" s="2" t="s">
        <v>7154</v>
      </c>
      <c r="F1182" s="2">
        <v>14</v>
      </c>
      <c r="G1182" s="2" t="s">
        <v>7155</v>
      </c>
      <c r="H1182" s="2">
        <v>1.24E-2</v>
      </c>
      <c r="I1182" s="2">
        <v>0.1736</v>
      </c>
    </row>
    <row r="1183" spans="1:9" ht="33.75" customHeight="1" x14ac:dyDescent="0.25">
      <c r="A1183" s="3" t="s">
        <v>740</v>
      </c>
      <c r="B1183" s="3" t="s">
        <v>739</v>
      </c>
      <c r="C1183" s="3" t="s">
        <v>4790</v>
      </c>
      <c r="D1183" s="3" t="s">
        <v>7186</v>
      </c>
      <c r="E1183" s="3" t="s">
        <v>7187</v>
      </c>
      <c r="F1183" s="3">
        <v>1</v>
      </c>
      <c r="G1183" s="3" t="s">
        <v>7158</v>
      </c>
      <c r="H1183" s="3">
        <v>26</v>
      </c>
      <c r="I1183" s="3">
        <v>26</v>
      </c>
    </row>
    <row r="1184" spans="1:9" ht="22.5" customHeight="1" x14ac:dyDescent="0.25">
      <c r="A1184" s="2" t="s">
        <v>740</v>
      </c>
      <c r="B1184" s="2" t="s">
        <v>739</v>
      </c>
      <c r="C1184" s="2" t="s">
        <v>4790</v>
      </c>
      <c r="D1184" s="2" t="s">
        <v>7159</v>
      </c>
      <c r="E1184" s="2" t="s">
        <v>7160</v>
      </c>
      <c r="F1184" s="2">
        <v>20</v>
      </c>
      <c r="G1184" s="2" t="s">
        <v>7155</v>
      </c>
      <c r="H1184" s="2">
        <v>1.8319999999999999E-2</v>
      </c>
      <c r="I1184" s="2">
        <v>0.3664</v>
      </c>
    </row>
    <row r="1185" spans="1:9" ht="22.5" customHeight="1" x14ac:dyDescent="0.25">
      <c r="A1185" s="3" t="s">
        <v>740</v>
      </c>
      <c r="B1185" s="3" t="s">
        <v>739</v>
      </c>
      <c r="C1185" s="3" t="s">
        <v>4790</v>
      </c>
      <c r="D1185" s="3" t="s">
        <v>7161</v>
      </c>
      <c r="E1185" s="3" t="s">
        <v>7162</v>
      </c>
      <c r="F1185" s="3">
        <v>0.186</v>
      </c>
      <c r="G1185" s="3" t="s">
        <v>7163</v>
      </c>
      <c r="H1185" s="3" t="s">
        <v>7164</v>
      </c>
      <c r="I1185" s="3">
        <v>0.186</v>
      </c>
    </row>
    <row r="1186" spans="1:9" ht="33.75" customHeight="1" x14ac:dyDescent="0.25">
      <c r="A1186" s="2" t="s">
        <v>740</v>
      </c>
      <c r="B1186" s="2" t="s">
        <v>739</v>
      </c>
      <c r="C1186" s="2" t="s">
        <v>4790</v>
      </c>
      <c r="D1186" s="2" t="s">
        <v>7212</v>
      </c>
      <c r="E1186" s="2" t="s">
        <v>7213</v>
      </c>
      <c r="F1186" s="2">
        <v>6</v>
      </c>
      <c r="G1186" s="2" t="s">
        <v>7158</v>
      </c>
      <c r="H1186" s="2">
        <v>0.21</v>
      </c>
      <c r="I1186" s="2">
        <v>1.26</v>
      </c>
    </row>
    <row r="1187" spans="1:9" ht="33.75" customHeight="1" x14ac:dyDescent="0.25">
      <c r="A1187" s="3" t="s">
        <v>740</v>
      </c>
      <c r="B1187" s="3" t="s">
        <v>739</v>
      </c>
      <c r="C1187" s="3" t="s">
        <v>4790</v>
      </c>
      <c r="D1187" s="3" t="s">
        <v>7188</v>
      </c>
      <c r="E1187" s="3" t="s">
        <v>7189</v>
      </c>
      <c r="F1187" s="3">
        <v>5</v>
      </c>
      <c r="G1187" s="3" t="s">
        <v>7158</v>
      </c>
      <c r="H1187" s="3">
        <v>0.27</v>
      </c>
      <c r="I1187" s="3">
        <v>1.35</v>
      </c>
    </row>
    <row r="1188" spans="1:9" ht="22.5" customHeight="1" x14ac:dyDescent="0.25">
      <c r="A1188" s="2" t="s">
        <v>740</v>
      </c>
      <c r="B1188" s="2" t="s">
        <v>739</v>
      </c>
      <c r="C1188" s="2" t="s">
        <v>4790</v>
      </c>
      <c r="D1188" s="2" t="s">
        <v>7290</v>
      </c>
      <c r="E1188" s="2" t="s">
        <v>7291</v>
      </c>
      <c r="F1188" s="2">
        <v>60</v>
      </c>
      <c r="G1188" s="2" t="s">
        <v>7158</v>
      </c>
      <c r="H1188" s="2">
        <v>0.33</v>
      </c>
      <c r="I1188" s="2">
        <v>19.8</v>
      </c>
    </row>
    <row r="1189" spans="1:9" ht="22.5" customHeight="1" x14ac:dyDescent="0.25">
      <c r="A1189" s="3" t="s">
        <v>2218</v>
      </c>
      <c r="B1189" s="3" t="s">
        <v>2217</v>
      </c>
      <c r="C1189" s="3" t="s">
        <v>4896</v>
      </c>
      <c r="D1189" s="3" t="s">
        <v>7153</v>
      </c>
      <c r="E1189" s="3" t="s">
        <v>7154</v>
      </c>
      <c r="F1189" s="3">
        <v>14</v>
      </c>
      <c r="G1189" s="3" t="s">
        <v>7155</v>
      </c>
      <c r="H1189" s="3">
        <v>1.24E-2</v>
      </c>
      <c r="I1189" s="3">
        <v>0.1736</v>
      </c>
    </row>
    <row r="1190" spans="1:9" ht="33.75" customHeight="1" x14ac:dyDescent="0.25">
      <c r="A1190" s="2" t="s">
        <v>2218</v>
      </c>
      <c r="B1190" s="2" t="s">
        <v>2217</v>
      </c>
      <c r="C1190" s="2" t="s">
        <v>4896</v>
      </c>
      <c r="D1190" s="2" t="s">
        <v>7186</v>
      </c>
      <c r="E1190" s="2" t="s">
        <v>7187</v>
      </c>
      <c r="F1190" s="2">
        <v>1</v>
      </c>
      <c r="G1190" s="2" t="s">
        <v>7158</v>
      </c>
      <c r="H1190" s="2">
        <v>26</v>
      </c>
      <c r="I1190" s="2">
        <v>26</v>
      </c>
    </row>
    <row r="1191" spans="1:9" ht="22.5" customHeight="1" x14ac:dyDescent="0.25">
      <c r="A1191" s="3" t="s">
        <v>2218</v>
      </c>
      <c r="B1191" s="3" t="s">
        <v>2217</v>
      </c>
      <c r="C1191" s="3" t="s">
        <v>4896</v>
      </c>
      <c r="D1191" s="3" t="s">
        <v>7159</v>
      </c>
      <c r="E1191" s="3" t="s">
        <v>7160</v>
      </c>
      <c r="F1191" s="3">
        <v>20</v>
      </c>
      <c r="G1191" s="3" t="s">
        <v>7155</v>
      </c>
      <c r="H1191" s="3">
        <v>1.8319999999999999E-2</v>
      </c>
      <c r="I1191" s="3">
        <v>0.3664</v>
      </c>
    </row>
    <row r="1192" spans="1:9" ht="22.5" customHeight="1" x14ac:dyDescent="0.25">
      <c r="A1192" s="2" t="s">
        <v>2218</v>
      </c>
      <c r="B1192" s="2" t="s">
        <v>2217</v>
      </c>
      <c r="C1192" s="2" t="s">
        <v>4896</v>
      </c>
      <c r="D1192" s="2" t="s">
        <v>7161</v>
      </c>
      <c r="E1192" s="2" t="s">
        <v>7162</v>
      </c>
      <c r="F1192" s="2">
        <v>0.186</v>
      </c>
      <c r="G1192" s="2" t="s">
        <v>7163</v>
      </c>
      <c r="H1192" s="2" t="s">
        <v>7164</v>
      </c>
      <c r="I1192" s="2">
        <v>0.186</v>
      </c>
    </row>
    <row r="1193" spans="1:9" ht="33.75" customHeight="1" x14ac:dyDescent="0.25">
      <c r="A1193" s="3" t="s">
        <v>2218</v>
      </c>
      <c r="B1193" s="3" t="s">
        <v>2217</v>
      </c>
      <c r="C1193" s="3" t="s">
        <v>4896</v>
      </c>
      <c r="D1193" s="3" t="s">
        <v>7212</v>
      </c>
      <c r="E1193" s="3" t="s">
        <v>7213</v>
      </c>
      <c r="F1193" s="3">
        <v>8</v>
      </c>
      <c r="G1193" s="3" t="s">
        <v>7158</v>
      </c>
      <c r="H1193" s="3">
        <v>0.21</v>
      </c>
      <c r="I1193" s="3">
        <v>1.68</v>
      </c>
    </row>
    <row r="1194" spans="1:9" ht="33.75" customHeight="1" x14ac:dyDescent="0.25">
      <c r="A1194" s="2" t="s">
        <v>2218</v>
      </c>
      <c r="B1194" s="2" t="s">
        <v>2217</v>
      </c>
      <c r="C1194" s="2" t="s">
        <v>4896</v>
      </c>
      <c r="D1194" s="2" t="s">
        <v>7188</v>
      </c>
      <c r="E1194" s="2" t="s">
        <v>7189</v>
      </c>
      <c r="F1194" s="2">
        <v>5</v>
      </c>
      <c r="G1194" s="2" t="s">
        <v>7158</v>
      </c>
      <c r="H1194" s="2">
        <v>0.27</v>
      </c>
      <c r="I1194" s="2">
        <v>1.35</v>
      </c>
    </row>
    <row r="1195" spans="1:9" ht="22.5" customHeight="1" x14ac:dyDescent="0.25">
      <c r="A1195" s="3" t="s">
        <v>2218</v>
      </c>
      <c r="B1195" s="3" t="s">
        <v>2217</v>
      </c>
      <c r="C1195" s="3" t="s">
        <v>4896</v>
      </c>
      <c r="D1195" s="3" t="s">
        <v>7292</v>
      </c>
      <c r="E1195" s="3" t="s">
        <v>7293</v>
      </c>
      <c r="F1195" s="3">
        <v>60</v>
      </c>
      <c r="G1195" s="3" t="s">
        <v>7158</v>
      </c>
      <c r="H1195" s="3">
        <v>0.33</v>
      </c>
      <c r="I1195" s="3">
        <v>19.8</v>
      </c>
    </row>
    <row r="1196" spans="1:9" ht="45" customHeight="1" x14ac:dyDescent="0.25">
      <c r="A1196" s="2" t="s">
        <v>2141</v>
      </c>
      <c r="B1196" s="2" t="s">
        <v>6264</v>
      </c>
      <c r="C1196" s="2" t="s">
        <v>4886</v>
      </c>
      <c r="D1196" s="2" t="s">
        <v>7153</v>
      </c>
      <c r="E1196" s="2" t="s">
        <v>7154</v>
      </c>
      <c r="F1196" s="2">
        <v>14</v>
      </c>
      <c r="G1196" s="2" t="s">
        <v>7155</v>
      </c>
      <c r="H1196" s="2">
        <v>1.24E-2</v>
      </c>
      <c r="I1196" s="2">
        <v>0.1736</v>
      </c>
    </row>
    <row r="1197" spans="1:9" ht="45" customHeight="1" x14ac:dyDescent="0.25">
      <c r="A1197" s="3" t="s">
        <v>2141</v>
      </c>
      <c r="B1197" s="3" t="s">
        <v>6264</v>
      </c>
      <c r="C1197" s="3" t="s">
        <v>4886</v>
      </c>
      <c r="D1197" s="3" t="s">
        <v>7156</v>
      </c>
      <c r="E1197" s="3" t="s">
        <v>7157</v>
      </c>
      <c r="F1197" s="3">
        <v>1</v>
      </c>
      <c r="G1197" s="3" t="s">
        <v>7158</v>
      </c>
      <c r="H1197" s="3">
        <v>26</v>
      </c>
      <c r="I1197" s="3">
        <v>26</v>
      </c>
    </row>
    <row r="1198" spans="1:9" ht="45" customHeight="1" x14ac:dyDescent="0.25">
      <c r="A1198" s="2" t="s">
        <v>2141</v>
      </c>
      <c r="B1198" s="2" t="s">
        <v>6264</v>
      </c>
      <c r="C1198" s="2" t="s">
        <v>4886</v>
      </c>
      <c r="D1198" s="2" t="s">
        <v>7159</v>
      </c>
      <c r="E1198" s="2" t="s">
        <v>7160</v>
      </c>
      <c r="F1198" s="2">
        <v>20</v>
      </c>
      <c r="G1198" s="2" t="s">
        <v>7155</v>
      </c>
      <c r="H1198" s="2">
        <v>1.8319999999999999E-2</v>
      </c>
      <c r="I1198" s="2">
        <v>0.3664</v>
      </c>
    </row>
    <row r="1199" spans="1:9" ht="45" customHeight="1" x14ac:dyDescent="0.25">
      <c r="A1199" s="3" t="s">
        <v>2141</v>
      </c>
      <c r="B1199" s="3" t="s">
        <v>6264</v>
      </c>
      <c r="C1199" s="3" t="s">
        <v>4886</v>
      </c>
      <c r="D1199" s="3" t="s">
        <v>7161</v>
      </c>
      <c r="E1199" s="3" t="s">
        <v>7162</v>
      </c>
      <c r="F1199" s="3">
        <v>0.186</v>
      </c>
      <c r="G1199" s="3" t="s">
        <v>7163</v>
      </c>
      <c r="H1199" s="3" t="s">
        <v>7164</v>
      </c>
      <c r="I1199" s="3">
        <v>0.186</v>
      </c>
    </row>
    <row r="1200" spans="1:9" ht="45" customHeight="1" x14ac:dyDescent="0.25">
      <c r="A1200" s="2" t="s">
        <v>2141</v>
      </c>
      <c r="B1200" s="2" t="s">
        <v>6264</v>
      </c>
      <c r="C1200" s="2" t="s">
        <v>4886</v>
      </c>
      <c r="D1200" s="2" t="s">
        <v>7165</v>
      </c>
      <c r="E1200" s="2" t="s">
        <v>7166</v>
      </c>
      <c r="F1200" s="2">
        <v>4</v>
      </c>
      <c r="G1200" s="2" t="s">
        <v>7158</v>
      </c>
      <c r="H1200" s="2">
        <v>0.1</v>
      </c>
      <c r="I1200" s="2">
        <v>0.4</v>
      </c>
    </row>
    <row r="1201" spans="1:9" ht="45" customHeight="1" x14ac:dyDescent="0.25">
      <c r="A1201" s="3" t="s">
        <v>2141</v>
      </c>
      <c r="B1201" s="3" t="s">
        <v>6264</v>
      </c>
      <c r="C1201" s="3" t="s">
        <v>4886</v>
      </c>
      <c r="D1201" s="3" t="s">
        <v>7167</v>
      </c>
      <c r="E1201" s="3" t="s">
        <v>7168</v>
      </c>
      <c r="F1201" s="3">
        <v>1</v>
      </c>
      <c r="G1201" s="3" t="s">
        <v>7158</v>
      </c>
      <c r="H1201" s="3">
        <v>0.2</v>
      </c>
      <c r="I1201" s="3">
        <v>0.2</v>
      </c>
    </row>
    <row r="1202" spans="1:9" ht="45" customHeight="1" x14ac:dyDescent="0.25">
      <c r="A1202" s="2" t="s">
        <v>2141</v>
      </c>
      <c r="B1202" s="2" t="s">
        <v>6264</v>
      </c>
      <c r="C1202" s="2" t="s">
        <v>4886</v>
      </c>
      <c r="D1202" s="2" t="s">
        <v>7169</v>
      </c>
      <c r="E1202" s="2" t="s">
        <v>7170</v>
      </c>
      <c r="F1202" s="2">
        <v>3</v>
      </c>
      <c r="G1202" s="2" t="s">
        <v>7158</v>
      </c>
      <c r="H1202" s="2">
        <v>1</v>
      </c>
      <c r="I1202" s="2">
        <v>3</v>
      </c>
    </row>
    <row r="1203" spans="1:9" ht="22.5" customHeight="1" x14ac:dyDescent="0.25">
      <c r="A1203" s="3" t="s">
        <v>3630</v>
      </c>
      <c r="B1203" s="3" t="s">
        <v>6272</v>
      </c>
      <c r="C1203" s="3" t="s">
        <v>4989</v>
      </c>
      <c r="D1203" s="3" t="s">
        <v>7153</v>
      </c>
      <c r="E1203" s="3" t="s">
        <v>7154</v>
      </c>
      <c r="F1203" s="3">
        <v>14</v>
      </c>
      <c r="G1203" s="3" t="s">
        <v>7155</v>
      </c>
      <c r="H1203" s="3">
        <v>1.24E-2</v>
      </c>
      <c r="I1203" s="3">
        <v>0.1736</v>
      </c>
    </row>
    <row r="1204" spans="1:9" ht="22.5" customHeight="1" x14ac:dyDescent="0.25">
      <c r="A1204" s="2" t="s">
        <v>3630</v>
      </c>
      <c r="B1204" s="2" t="s">
        <v>6272</v>
      </c>
      <c r="C1204" s="2" t="s">
        <v>4989</v>
      </c>
      <c r="D1204" s="2" t="s">
        <v>7228</v>
      </c>
      <c r="E1204" s="2" t="s">
        <v>7253</v>
      </c>
      <c r="F1204" s="2">
        <v>3</v>
      </c>
      <c r="G1204" s="2" t="s">
        <v>7158</v>
      </c>
      <c r="H1204" s="2">
        <v>0.06</v>
      </c>
      <c r="I1204" s="2">
        <v>0.18</v>
      </c>
    </row>
    <row r="1205" spans="1:9" ht="22.5" customHeight="1" x14ac:dyDescent="0.25">
      <c r="A1205" s="3" t="s">
        <v>3630</v>
      </c>
      <c r="B1205" s="3" t="s">
        <v>6272</v>
      </c>
      <c r="C1205" s="3" t="s">
        <v>4989</v>
      </c>
      <c r="D1205" s="3" t="s">
        <v>7156</v>
      </c>
      <c r="E1205" s="3" t="s">
        <v>7157</v>
      </c>
      <c r="F1205" s="3">
        <v>1</v>
      </c>
      <c r="G1205" s="3" t="s">
        <v>7158</v>
      </c>
      <c r="H1205" s="3">
        <v>26</v>
      </c>
      <c r="I1205" s="3">
        <v>26</v>
      </c>
    </row>
    <row r="1206" spans="1:9" ht="22.5" customHeight="1" x14ac:dyDescent="0.25">
      <c r="A1206" s="2" t="s">
        <v>3630</v>
      </c>
      <c r="B1206" s="2" t="s">
        <v>6272</v>
      </c>
      <c r="C1206" s="2" t="s">
        <v>4989</v>
      </c>
      <c r="D1206" s="2" t="s">
        <v>7159</v>
      </c>
      <c r="E1206" s="2" t="s">
        <v>7160</v>
      </c>
      <c r="F1206" s="2">
        <v>20</v>
      </c>
      <c r="G1206" s="2" t="s">
        <v>7155</v>
      </c>
      <c r="H1206" s="2">
        <v>1.8319999999999999E-2</v>
      </c>
      <c r="I1206" s="2">
        <v>0.3664</v>
      </c>
    </row>
    <row r="1207" spans="1:9" ht="22.5" customHeight="1" x14ac:dyDescent="0.25">
      <c r="A1207" s="3" t="s">
        <v>3630</v>
      </c>
      <c r="B1207" s="3" t="s">
        <v>6272</v>
      </c>
      <c r="C1207" s="3" t="s">
        <v>4989</v>
      </c>
      <c r="D1207" s="3" t="s">
        <v>7161</v>
      </c>
      <c r="E1207" s="3" t="s">
        <v>7162</v>
      </c>
      <c r="F1207" s="3">
        <v>0.186</v>
      </c>
      <c r="G1207" s="3" t="s">
        <v>7163</v>
      </c>
      <c r="H1207" s="3" t="s">
        <v>7164</v>
      </c>
      <c r="I1207" s="3">
        <v>0.186</v>
      </c>
    </row>
    <row r="1208" spans="1:9" ht="33.75" customHeight="1" x14ac:dyDescent="0.25">
      <c r="A1208" s="2" t="s">
        <v>3630</v>
      </c>
      <c r="B1208" s="2" t="s">
        <v>6272</v>
      </c>
      <c r="C1208" s="2" t="s">
        <v>4989</v>
      </c>
      <c r="D1208" s="2" t="s">
        <v>7165</v>
      </c>
      <c r="E1208" s="2" t="s">
        <v>7166</v>
      </c>
      <c r="F1208" s="2">
        <v>4</v>
      </c>
      <c r="G1208" s="2" t="s">
        <v>7158</v>
      </c>
      <c r="H1208" s="2">
        <v>0.1</v>
      </c>
      <c r="I1208" s="2">
        <v>0.4</v>
      </c>
    </row>
    <row r="1209" spans="1:9" ht="33.75" customHeight="1" x14ac:dyDescent="0.25">
      <c r="A1209" s="3" t="s">
        <v>3630</v>
      </c>
      <c r="B1209" s="3" t="s">
        <v>6272</v>
      </c>
      <c r="C1209" s="3" t="s">
        <v>4989</v>
      </c>
      <c r="D1209" s="3" t="s">
        <v>7167</v>
      </c>
      <c r="E1209" s="3" t="s">
        <v>7168</v>
      </c>
      <c r="F1209" s="3">
        <v>1</v>
      </c>
      <c r="G1209" s="3" t="s">
        <v>7158</v>
      </c>
      <c r="H1209" s="3">
        <v>0.2</v>
      </c>
      <c r="I1209" s="3">
        <v>0.2</v>
      </c>
    </row>
    <row r="1210" spans="1:9" ht="22.5" customHeight="1" x14ac:dyDescent="0.25">
      <c r="A1210" s="2" t="s">
        <v>624</v>
      </c>
      <c r="B1210" s="2" t="s">
        <v>623</v>
      </c>
      <c r="C1210" s="2" t="s">
        <v>4768</v>
      </c>
      <c r="D1210" s="2" t="s">
        <v>7153</v>
      </c>
      <c r="E1210" s="2" t="s">
        <v>7154</v>
      </c>
      <c r="F1210" s="2">
        <v>14</v>
      </c>
      <c r="G1210" s="2" t="s">
        <v>7155</v>
      </c>
      <c r="H1210" s="2">
        <v>1.24E-2</v>
      </c>
      <c r="I1210" s="2">
        <v>0.1736</v>
      </c>
    </row>
    <row r="1211" spans="1:9" ht="22.5" customHeight="1" x14ac:dyDescent="0.25">
      <c r="A1211" s="3" t="s">
        <v>624</v>
      </c>
      <c r="B1211" s="3" t="s">
        <v>623</v>
      </c>
      <c r="C1211" s="3" t="s">
        <v>4768</v>
      </c>
      <c r="D1211" s="3" t="s">
        <v>7235</v>
      </c>
      <c r="E1211" s="3" t="s">
        <v>7236</v>
      </c>
      <c r="F1211" s="3">
        <v>63</v>
      </c>
      <c r="G1211" s="3" t="s">
        <v>7158</v>
      </c>
      <c r="H1211" s="3">
        <v>5.1069999999999997E-2</v>
      </c>
      <c r="I1211" s="3">
        <v>3.2174100000000001</v>
      </c>
    </row>
    <row r="1212" spans="1:9" ht="33.75" customHeight="1" x14ac:dyDescent="0.25">
      <c r="A1212" s="2" t="s">
        <v>624</v>
      </c>
      <c r="B1212" s="2" t="s">
        <v>623</v>
      </c>
      <c r="C1212" s="2" t="s">
        <v>4768</v>
      </c>
      <c r="D1212" s="2" t="s">
        <v>7186</v>
      </c>
      <c r="E1212" s="2" t="s">
        <v>7187</v>
      </c>
      <c r="F1212" s="2">
        <v>1</v>
      </c>
      <c r="G1212" s="2" t="s">
        <v>7158</v>
      </c>
      <c r="H1212" s="2">
        <v>26</v>
      </c>
      <c r="I1212" s="2">
        <v>26</v>
      </c>
    </row>
    <row r="1213" spans="1:9" ht="22.5" customHeight="1" x14ac:dyDescent="0.25">
      <c r="A1213" s="3" t="s">
        <v>624</v>
      </c>
      <c r="B1213" s="3" t="s">
        <v>623</v>
      </c>
      <c r="C1213" s="3" t="s">
        <v>4768</v>
      </c>
      <c r="D1213" s="3" t="s">
        <v>7159</v>
      </c>
      <c r="E1213" s="3" t="s">
        <v>7160</v>
      </c>
      <c r="F1213" s="3">
        <v>20</v>
      </c>
      <c r="G1213" s="3" t="s">
        <v>7155</v>
      </c>
      <c r="H1213" s="3">
        <v>1.8319999999999999E-2</v>
      </c>
      <c r="I1213" s="3">
        <v>0.3664</v>
      </c>
    </row>
    <row r="1214" spans="1:9" ht="22.5" customHeight="1" x14ac:dyDescent="0.25">
      <c r="A1214" s="2" t="s">
        <v>624</v>
      </c>
      <c r="B1214" s="2" t="s">
        <v>623</v>
      </c>
      <c r="C1214" s="2" t="s">
        <v>4768</v>
      </c>
      <c r="D1214" s="2" t="s">
        <v>7161</v>
      </c>
      <c r="E1214" s="2" t="s">
        <v>7162</v>
      </c>
      <c r="F1214" s="2">
        <v>0.186</v>
      </c>
      <c r="G1214" s="2" t="s">
        <v>7163</v>
      </c>
      <c r="H1214" s="2" t="s">
        <v>7164</v>
      </c>
      <c r="I1214" s="2">
        <v>0.186</v>
      </c>
    </row>
    <row r="1215" spans="1:9" ht="33.75" customHeight="1" x14ac:dyDescent="0.25">
      <c r="A1215" s="3" t="s">
        <v>624</v>
      </c>
      <c r="B1215" s="3" t="s">
        <v>623</v>
      </c>
      <c r="C1215" s="3" t="s">
        <v>4768</v>
      </c>
      <c r="D1215" s="3" t="s">
        <v>7212</v>
      </c>
      <c r="E1215" s="3" t="s">
        <v>7213</v>
      </c>
      <c r="F1215" s="3">
        <v>6</v>
      </c>
      <c r="G1215" s="3" t="s">
        <v>7158</v>
      </c>
      <c r="H1215" s="3">
        <v>0.21</v>
      </c>
      <c r="I1215" s="3">
        <v>1.26</v>
      </c>
    </row>
    <row r="1216" spans="1:9" ht="33.75" customHeight="1" x14ac:dyDescent="0.25">
      <c r="A1216" s="2" t="s">
        <v>624</v>
      </c>
      <c r="B1216" s="2" t="s">
        <v>623</v>
      </c>
      <c r="C1216" s="2" t="s">
        <v>4768</v>
      </c>
      <c r="D1216" s="2" t="s">
        <v>7188</v>
      </c>
      <c r="E1216" s="2" t="s">
        <v>7189</v>
      </c>
      <c r="F1216" s="2">
        <v>4</v>
      </c>
      <c r="G1216" s="2" t="s">
        <v>7158</v>
      </c>
      <c r="H1216" s="2">
        <v>0.27</v>
      </c>
      <c r="I1216" s="2">
        <v>1.08</v>
      </c>
    </row>
    <row r="1217" spans="1:9" ht="33.75" customHeight="1" x14ac:dyDescent="0.25">
      <c r="A1217" s="3" t="s">
        <v>624</v>
      </c>
      <c r="B1217" s="3" t="s">
        <v>623</v>
      </c>
      <c r="C1217" s="3" t="s">
        <v>4768</v>
      </c>
      <c r="D1217" s="3" t="s">
        <v>7294</v>
      </c>
      <c r="E1217" s="3" t="s">
        <v>7295</v>
      </c>
      <c r="F1217" s="3">
        <v>63</v>
      </c>
      <c r="G1217" s="3" t="s">
        <v>7158</v>
      </c>
      <c r="H1217" s="3">
        <v>0.24</v>
      </c>
      <c r="I1217" s="3">
        <v>15.12</v>
      </c>
    </row>
    <row r="1218" spans="1:9" ht="22.5" customHeight="1" x14ac:dyDescent="0.25">
      <c r="A1218" s="2" t="s">
        <v>2367</v>
      </c>
      <c r="B1218" s="2" t="s">
        <v>6287</v>
      </c>
      <c r="C1218" s="2" t="s">
        <v>4908</v>
      </c>
      <c r="D1218" s="2" t="s">
        <v>7249</v>
      </c>
      <c r="E1218" s="2" t="s">
        <v>7250</v>
      </c>
      <c r="F1218" s="2">
        <v>3</v>
      </c>
      <c r="G1218" s="2" t="s">
        <v>7158</v>
      </c>
      <c r="H1218" s="2">
        <v>0.104</v>
      </c>
      <c r="I1218" s="2">
        <v>0.312</v>
      </c>
    </row>
    <row r="1219" spans="1:9" ht="22.5" customHeight="1" x14ac:dyDescent="0.25">
      <c r="A1219" s="3" t="s">
        <v>2367</v>
      </c>
      <c r="B1219" s="3" t="s">
        <v>6287</v>
      </c>
      <c r="C1219" s="3" t="s">
        <v>4908</v>
      </c>
      <c r="D1219" s="3" t="s">
        <v>7153</v>
      </c>
      <c r="E1219" s="3" t="s">
        <v>7154</v>
      </c>
      <c r="F1219" s="3">
        <v>14</v>
      </c>
      <c r="G1219" s="3" t="s">
        <v>7155</v>
      </c>
      <c r="H1219" s="3">
        <v>1.24E-2</v>
      </c>
      <c r="I1219" s="3">
        <v>0.1736</v>
      </c>
    </row>
    <row r="1220" spans="1:9" ht="33.75" customHeight="1" x14ac:dyDescent="0.25">
      <c r="A1220" s="2" t="s">
        <v>2367</v>
      </c>
      <c r="B1220" s="2" t="s">
        <v>6287</v>
      </c>
      <c r="C1220" s="2" t="s">
        <v>4908</v>
      </c>
      <c r="D1220" s="2" t="s">
        <v>7186</v>
      </c>
      <c r="E1220" s="2" t="s">
        <v>7187</v>
      </c>
      <c r="F1220" s="2">
        <v>1</v>
      </c>
      <c r="G1220" s="2" t="s">
        <v>7158</v>
      </c>
      <c r="H1220" s="2">
        <v>26</v>
      </c>
      <c r="I1220" s="2">
        <v>26</v>
      </c>
    </row>
    <row r="1221" spans="1:9" ht="22.5" customHeight="1" x14ac:dyDescent="0.25">
      <c r="A1221" s="3" t="s">
        <v>2367</v>
      </c>
      <c r="B1221" s="3" t="s">
        <v>6287</v>
      </c>
      <c r="C1221" s="3" t="s">
        <v>4908</v>
      </c>
      <c r="D1221" s="3" t="s">
        <v>7159</v>
      </c>
      <c r="E1221" s="3" t="s">
        <v>7160</v>
      </c>
      <c r="F1221" s="3">
        <v>20</v>
      </c>
      <c r="G1221" s="3" t="s">
        <v>7155</v>
      </c>
      <c r="H1221" s="3">
        <v>1.8319999999999999E-2</v>
      </c>
      <c r="I1221" s="3">
        <v>0.3664</v>
      </c>
    </row>
    <row r="1222" spans="1:9" ht="22.5" customHeight="1" x14ac:dyDescent="0.25">
      <c r="A1222" s="2" t="s">
        <v>2367</v>
      </c>
      <c r="B1222" s="2" t="s">
        <v>6287</v>
      </c>
      <c r="C1222" s="2" t="s">
        <v>4908</v>
      </c>
      <c r="D1222" s="2" t="s">
        <v>7161</v>
      </c>
      <c r="E1222" s="2" t="s">
        <v>7162</v>
      </c>
      <c r="F1222" s="2">
        <v>0.186</v>
      </c>
      <c r="G1222" s="2" t="s">
        <v>7163</v>
      </c>
      <c r="H1222" s="2" t="s">
        <v>7164</v>
      </c>
      <c r="I1222" s="2">
        <v>0.186</v>
      </c>
    </row>
    <row r="1223" spans="1:9" ht="33.75" customHeight="1" x14ac:dyDescent="0.25">
      <c r="A1223" s="3" t="s">
        <v>2367</v>
      </c>
      <c r="B1223" s="3" t="s">
        <v>6287</v>
      </c>
      <c r="C1223" s="3" t="s">
        <v>4908</v>
      </c>
      <c r="D1223" s="3" t="s">
        <v>7188</v>
      </c>
      <c r="E1223" s="3" t="s">
        <v>7189</v>
      </c>
      <c r="F1223" s="3">
        <v>1</v>
      </c>
      <c r="G1223" s="3" t="s">
        <v>7158</v>
      </c>
      <c r="H1223" s="3">
        <v>0.27</v>
      </c>
      <c r="I1223" s="3">
        <v>0.27</v>
      </c>
    </row>
    <row r="1224" spans="1:9" ht="33.75" customHeight="1" x14ac:dyDescent="0.25">
      <c r="A1224" s="2" t="s">
        <v>2367</v>
      </c>
      <c r="B1224" s="2" t="s">
        <v>6287</v>
      </c>
      <c r="C1224" s="2" t="s">
        <v>4908</v>
      </c>
      <c r="D1224" s="2" t="s">
        <v>7165</v>
      </c>
      <c r="E1224" s="2" t="s">
        <v>7166</v>
      </c>
      <c r="F1224" s="2">
        <v>4</v>
      </c>
      <c r="G1224" s="2" t="s">
        <v>7158</v>
      </c>
      <c r="H1224" s="2">
        <v>0.1</v>
      </c>
      <c r="I1224" s="2">
        <v>0.4</v>
      </c>
    </row>
    <row r="1225" spans="1:9" ht="22.5" customHeight="1" x14ac:dyDescent="0.25">
      <c r="A1225" s="3" t="s">
        <v>2476</v>
      </c>
      <c r="B1225" s="3" t="s">
        <v>2475</v>
      </c>
      <c r="C1225" s="3" t="s">
        <v>4921</v>
      </c>
      <c r="D1225" s="3" t="s">
        <v>7251</v>
      </c>
      <c r="E1225" s="3" t="s">
        <v>7252</v>
      </c>
      <c r="F1225" s="3">
        <v>63</v>
      </c>
      <c r="G1225" s="3" t="s">
        <v>7158</v>
      </c>
      <c r="H1225" s="3">
        <v>6.4000000000000001E-2</v>
      </c>
      <c r="I1225" s="3">
        <v>4.032</v>
      </c>
    </row>
    <row r="1226" spans="1:9" ht="22.5" customHeight="1" x14ac:dyDescent="0.25">
      <c r="A1226" s="2" t="s">
        <v>2476</v>
      </c>
      <c r="B1226" s="2" t="s">
        <v>2475</v>
      </c>
      <c r="C1226" s="2" t="s">
        <v>4921</v>
      </c>
      <c r="D1226" s="2" t="s">
        <v>7153</v>
      </c>
      <c r="E1226" s="2" t="s">
        <v>7154</v>
      </c>
      <c r="F1226" s="2">
        <v>14</v>
      </c>
      <c r="G1226" s="2" t="s">
        <v>7155</v>
      </c>
      <c r="H1226" s="2">
        <v>1.24E-2</v>
      </c>
      <c r="I1226" s="2">
        <v>0.1736</v>
      </c>
    </row>
    <row r="1227" spans="1:9" ht="33.75" customHeight="1" x14ac:dyDescent="0.25">
      <c r="A1227" s="3" t="s">
        <v>2476</v>
      </c>
      <c r="B1227" s="3" t="s">
        <v>2475</v>
      </c>
      <c r="C1227" s="3" t="s">
        <v>4921</v>
      </c>
      <c r="D1227" s="3" t="s">
        <v>7186</v>
      </c>
      <c r="E1227" s="3" t="s">
        <v>7187</v>
      </c>
      <c r="F1227" s="3">
        <v>1</v>
      </c>
      <c r="G1227" s="3" t="s">
        <v>7158</v>
      </c>
      <c r="H1227" s="3">
        <v>26</v>
      </c>
      <c r="I1227" s="3">
        <v>26</v>
      </c>
    </row>
    <row r="1228" spans="1:9" ht="22.5" customHeight="1" x14ac:dyDescent="0.25">
      <c r="A1228" s="2" t="s">
        <v>2476</v>
      </c>
      <c r="B1228" s="2" t="s">
        <v>2475</v>
      </c>
      <c r="C1228" s="2" t="s">
        <v>4921</v>
      </c>
      <c r="D1228" s="2" t="s">
        <v>7159</v>
      </c>
      <c r="E1228" s="2" t="s">
        <v>7160</v>
      </c>
      <c r="F1228" s="2">
        <v>20</v>
      </c>
      <c r="G1228" s="2" t="s">
        <v>7155</v>
      </c>
      <c r="H1228" s="2">
        <v>1.8319999999999999E-2</v>
      </c>
      <c r="I1228" s="2">
        <v>0.3664</v>
      </c>
    </row>
    <row r="1229" spans="1:9" ht="22.5" customHeight="1" x14ac:dyDescent="0.25">
      <c r="A1229" s="3" t="s">
        <v>2476</v>
      </c>
      <c r="B1229" s="3" t="s">
        <v>2475</v>
      </c>
      <c r="C1229" s="3" t="s">
        <v>4921</v>
      </c>
      <c r="D1229" s="3" t="s">
        <v>7161</v>
      </c>
      <c r="E1229" s="3" t="s">
        <v>7162</v>
      </c>
      <c r="F1229" s="3">
        <v>0.186</v>
      </c>
      <c r="G1229" s="3" t="s">
        <v>7163</v>
      </c>
      <c r="H1229" s="3" t="s">
        <v>7164</v>
      </c>
      <c r="I1229" s="3">
        <v>0.186</v>
      </c>
    </row>
    <row r="1230" spans="1:9" ht="22.5" customHeight="1" x14ac:dyDescent="0.25">
      <c r="A1230" s="2" t="s">
        <v>2476</v>
      </c>
      <c r="B1230" s="2" t="s">
        <v>2475</v>
      </c>
      <c r="C1230" s="2" t="s">
        <v>4921</v>
      </c>
      <c r="D1230" s="2" t="s">
        <v>7207</v>
      </c>
      <c r="E1230" s="2" t="s">
        <v>7208</v>
      </c>
      <c r="F1230" s="2">
        <v>2.2000000000000002</v>
      </c>
      <c r="G1230" s="2" t="s">
        <v>7163</v>
      </c>
      <c r="H1230" s="2" t="s">
        <v>7164</v>
      </c>
      <c r="I1230" s="2">
        <v>2.2000000000000002</v>
      </c>
    </row>
    <row r="1231" spans="1:9" ht="33.75" customHeight="1" x14ac:dyDescent="0.25">
      <c r="A1231" s="3" t="s">
        <v>2476</v>
      </c>
      <c r="B1231" s="3" t="s">
        <v>2475</v>
      </c>
      <c r="C1231" s="3" t="s">
        <v>4921</v>
      </c>
      <c r="D1231" s="3" t="s">
        <v>7188</v>
      </c>
      <c r="E1231" s="3" t="s">
        <v>7189</v>
      </c>
      <c r="F1231" s="3">
        <v>1</v>
      </c>
      <c r="G1231" s="3" t="s">
        <v>7158</v>
      </c>
      <c r="H1231" s="3">
        <v>0.27</v>
      </c>
      <c r="I1231" s="3">
        <v>0.27</v>
      </c>
    </row>
    <row r="1232" spans="1:9" ht="33.75" customHeight="1" x14ac:dyDescent="0.25">
      <c r="A1232" s="2" t="s">
        <v>2476</v>
      </c>
      <c r="B1232" s="2" t="s">
        <v>2475</v>
      </c>
      <c r="C1232" s="2" t="s">
        <v>4921</v>
      </c>
      <c r="D1232" s="2" t="s">
        <v>7165</v>
      </c>
      <c r="E1232" s="2" t="s">
        <v>7166</v>
      </c>
      <c r="F1232" s="2">
        <v>4</v>
      </c>
      <c r="G1232" s="2" t="s">
        <v>7158</v>
      </c>
      <c r="H1232" s="2">
        <v>0.1</v>
      </c>
      <c r="I1232" s="2">
        <v>0.4</v>
      </c>
    </row>
    <row r="1233" spans="1:9" ht="303.75" customHeight="1" x14ac:dyDescent="0.25">
      <c r="A1233" s="3" t="s">
        <v>794</v>
      </c>
      <c r="B1233" s="3" t="s">
        <v>6302</v>
      </c>
      <c r="C1233" s="3" t="s">
        <v>4791</v>
      </c>
      <c r="D1233" s="3" t="s">
        <v>7251</v>
      </c>
      <c r="E1233" s="3" t="s">
        <v>7252</v>
      </c>
      <c r="F1233" s="3">
        <v>63</v>
      </c>
      <c r="G1233" s="3" t="s">
        <v>7158</v>
      </c>
      <c r="H1233" s="3">
        <v>6.4000000000000001E-2</v>
      </c>
      <c r="I1233" s="3">
        <v>4.032</v>
      </c>
    </row>
    <row r="1234" spans="1:9" ht="303.75" customHeight="1" x14ac:dyDescent="0.25">
      <c r="A1234" s="2" t="s">
        <v>794</v>
      </c>
      <c r="B1234" s="2" t="s">
        <v>6302</v>
      </c>
      <c r="C1234" s="2" t="s">
        <v>4791</v>
      </c>
      <c r="D1234" s="2" t="s">
        <v>7153</v>
      </c>
      <c r="E1234" s="2" t="s">
        <v>7154</v>
      </c>
      <c r="F1234" s="2">
        <v>7</v>
      </c>
      <c r="G1234" s="2" t="s">
        <v>7155</v>
      </c>
      <c r="H1234" s="2">
        <v>1.24E-2</v>
      </c>
      <c r="I1234" s="2">
        <v>8.6800000000000002E-2</v>
      </c>
    </row>
    <row r="1235" spans="1:9" ht="303.75" customHeight="1" x14ac:dyDescent="0.25">
      <c r="A1235" s="3" t="s">
        <v>794</v>
      </c>
      <c r="B1235" s="3" t="s">
        <v>6302</v>
      </c>
      <c r="C1235" s="3" t="s">
        <v>4791</v>
      </c>
      <c r="D1235" s="3" t="s">
        <v>7186</v>
      </c>
      <c r="E1235" s="3" t="s">
        <v>7187</v>
      </c>
      <c r="F1235" s="3">
        <v>1</v>
      </c>
      <c r="G1235" s="3" t="s">
        <v>7158</v>
      </c>
      <c r="H1235" s="3">
        <v>26</v>
      </c>
      <c r="I1235" s="3">
        <v>26</v>
      </c>
    </row>
    <row r="1236" spans="1:9" ht="303.75" customHeight="1" x14ac:dyDescent="0.25">
      <c r="A1236" s="2" t="s">
        <v>794</v>
      </c>
      <c r="B1236" s="2" t="s">
        <v>6302</v>
      </c>
      <c r="C1236" s="2" t="s">
        <v>4791</v>
      </c>
      <c r="D1236" s="2" t="s">
        <v>7159</v>
      </c>
      <c r="E1236" s="2" t="s">
        <v>7160</v>
      </c>
      <c r="F1236" s="2">
        <v>20</v>
      </c>
      <c r="G1236" s="2" t="s">
        <v>7155</v>
      </c>
      <c r="H1236" s="2">
        <v>1.8319999999999999E-2</v>
      </c>
      <c r="I1236" s="2">
        <v>0.3664</v>
      </c>
    </row>
    <row r="1237" spans="1:9" ht="303.75" customHeight="1" x14ac:dyDescent="0.25">
      <c r="A1237" s="3" t="s">
        <v>794</v>
      </c>
      <c r="B1237" s="3" t="s">
        <v>6302</v>
      </c>
      <c r="C1237" s="3" t="s">
        <v>4791</v>
      </c>
      <c r="D1237" s="3" t="s">
        <v>7161</v>
      </c>
      <c r="E1237" s="3" t="s">
        <v>7162</v>
      </c>
      <c r="F1237" s="3">
        <v>0.186</v>
      </c>
      <c r="G1237" s="3" t="s">
        <v>7163</v>
      </c>
      <c r="H1237" s="3" t="s">
        <v>7164</v>
      </c>
      <c r="I1237" s="3">
        <v>0.186</v>
      </c>
    </row>
    <row r="1238" spans="1:9" ht="303.75" customHeight="1" x14ac:dyDescent="0.25">
      <c r="A1238" s="2" t="s">
        <v>794</v>
      </c>
      <c r="B1238" s="2" t="s">
        <v>6302</v>
      </c>
      <c r="C1238" s="2" t="s">
        <v>4791</v>
      </c>
      <c r="D1238" s="2" t="s">
        <v>7207</v>
      </c>
      <c r="E1238" s="2" t="s">
        <v>7208</v>
      </c>
      <c r="F1238" s="2">
        <v>2.2000000000000002</v>
      </c>
      <c r="G1238" s="2" t="s">
        <v>7163</v>
      </c>
      <c r="H1238" s="2" t="s">
        <v>7164</v>
      </c>
      <c r="I1238" s="2">
        <v>2.2000000000000002</v>
      </c>
    </row>
    <row r="1239" spans="1:9" ht="303.75" customHeight="1" x14ac:dyDescent="0.25">
      <c r="A1239" s="3" t="s">
        <v>794</v>
      </c>
      <c r="B1239" s="3" t="s">
        <v>6302</v>
      </c>
      <c r="C1239" s="3" t="s">
        <v>4791</v>
      </c>
      <c r="D1239" s="3" t="s">
        <v>7188</v>
      </c>
      <c r="E1239" s="3" t="s">
        <v>7189</v>
      </c>
      <c r="F1239" s="3">
        <v>4</v>
      </c>
      <c r="G1239" s="3" t="s">
        <v>7158</v>
      </c>
      <c r="H1239" s="3">
        <v>0.27</v>
      </c>
      <c r="I1239" s="3">
        <v>1.08</v>
      </c>
    </row>
    <row r="1240" spans="1:9" ht="303.75" customHeight="1" x14ac:dyDescent="0.25">
      <c r="A1240" s="2" t="s">
        <v>794</v>
      </c>
      <c r="B1240" s="2" t="s">
        <v>6302</v>
      </c>
      <c r="C1240" s="2" t="s">
        <v>4791</v>
      </c>
      <c r="D1240" s="2" t="s">
        <v>7165</v>
      </c>
      <c r="E1240" s="2" t="s">
        <v>7166</v>
      </c>
      <c r="F1240" s="2">
        <v>2</v>
      </c>
      <c r="G1240" s="2" t="s">
        <v>7158</v>
      </c>
      <c r="H1240" s="2">
        <v>0.1</v>
      </c>
      <c r="I1240" s="2">
        <v>0.2</v>
      </c>
    </row>
    <row r="1241" spans="1:9" ht="45" customHeight="1" x14ac:dyDescent="0.25">
      <c r="A1241" s="3" t="s">
        <v>644</v>
      </c>
      <c r="B1241" s="3" t="s">
        <v>6310</v>
      </c>
      <c r="C1241" s="3" t="s">
        <v>4774</v>
      </c>
      <c r="D1241" s="3" t="s">
        <v>7251</v>
      </c>
      <c r="E1241" s="3" t="s">
        <v>7252</v>
      </c>
      <c r="F1241" s="3">
        <v>63</v>
      </c>
      <c r="G1241" s="3" t="s">
        <v>7158</v>
      </c>
      <c r="H1241" s="3">
        <v>6.4000000000000001E-2</v>
      </c>
      <c r="I1241" s="3">
        <v>4.032</v>
      </c>
    </row>
    <row r="1242" spans="1:9" ht="45" customHeight="1" x14ac:dyDescent="0.25">
      <c r="A1242" s="2" t="s">
        <v>644</v>
      </c>
      <c r="B1242" s="2" t="s">
        <v>6310</v>
      </c>
      <c r="C1242" s="2" t="s">
        <v>4774</v>
      </c>
      <c r="D1242" s="2" t="s">
        <v>7186</v>
      </c>
      <c r="E1242" s="2" t="s">
        <v>7187</v>
      </c>
      <c r="F1242" s="2">
        <v>1</v>
      </c>
      <c r="G1242" s="2" t="s">
        <v>7158</v>
      </c>
      <c r="H1242" s="2">
        <v>26</v>
      </c>
      <c r="I1242" s="2">
        <v>26</v>
      </c>
    </row>
    <row r="1243" spans="1:9" ht="45" customHeight="1" x14ac:dyDescent="0.25">
      <c r="A1243" s="3" t="s">
        <v>644</v>
      </c>
      <c r="B1243" s="3" t="s">
        <v>6310</v>
      </c>
      <c r="C1243" s="3" t="s">
        <v>4774</v>
      </c>
      <c r="D1243" s="3" t="s">
        <v>7159</v>
      </c>
      <c r="E1243" s="3" t="s">
        <v>7160</v>
      </c>
      <c r="F1243" s="3">
        <v>20</v>
      </c>
      <c r="G1243" s="3" t="s">
        <v>7155</v>
      </c>
      <c r="H1243" s="3">
        <v>1.8319999999999999E-2</v>
      </c>
      <c r="I1243" s="3">
        <v>0.3664</v>
      </c>
    </row>
    <row r="1244" spans="1:9" ht="45" customHeight="1" x14ac:dyDescent="0.25">
      <c r="A1244" s="2" t="s">
        <v>644</v>
      </c>
      <c r="B1244" s="2" t="s">
        <v>6310</v>
      </c>
      <c r="C1244" s="2" t="s">
        <v>4774</v>
      </c>
      <c r="D1244" s="2" t="s">
        <v>7161</v>
      </c>
      <c r="E1244" s="2" t="s">
        <v>7162</v>
      </c>
      <c r="F1244" s="2">
        <v>0.186</v>
      </c>
      <c r="G1244" s="2" t="s">
        <v>7163</v>
      </c>
      <c r="H1244" s="2" t="s">
        <v>7164</v>
      </c>
      <c r="I1244" s="2">
        <v>0.186</v>
      </c>
    </row>
    <row r="1245" spans="1:9" ht="45" customHeight="1" x14ac:dyDescent="0.25">
      <c r="A1245" s="3" t="s">
        <v>644</v>
      </c>
      <c r="B1245" s="3" t="s">
        <v>6310</v>
      </c>
      <c r="C1245" s="3" t="s">
        <v>4774</v>
      </c>
      <c r="D1245" s="3" t="s">
        <v>7207</v>
      </c>
      <c r="E1245" s="3" t="s">
        <v>7208</v>
      </c>
      <c r="F1245" s="3">
        <v>2.2000000000000002</v>
      </c>
      <c r="G1245" s="3" t="s">
        <v>7163</v>
      </c>
      <c r="H1245" s="3" t="s">
        <v>7164</v>
      </c>
      <c r="I1245" s="3">
        <v>2.2000000000000002</v>
      </c>
    </row>
    <row r="1246" spans="1:9" ht="45" customHeight="1" x14ac:dyDescent="0.25">
      <c r="A1246" s="2" t="s">
        <v>644</v>
      </c>
      <c r="B1246" s="2" t="s">
        <v>6310</v>
      </c>
      <c r="C1246" s="2" t="s">
        <v>4774</v>
      </c>
      <c r="D1246" s="2" t="s">
        <v>7188</v>
      </c>
      <c r="E1246" s="2" t="s">
        <v>7189</v>
      </c>
      <c r="F1246" s="2">
        <v>4</v>
      </c>
      <c r="G1246" s="2" t="s">
        <v>7158</v>
      </c>
      <c r="H1246" s="2">
        <v>0.27</v>
      </c>
      <c r="I1246" s="2">
        <v>1.08</v>
      </c>
    </row>
    <row r="1247" spans="1:9" ht="22.5" customHeight="1" x14ac:dyDescent="0.25">
      <c r="A1247" s="3" t="s">
        <v>4534</v>
      </c>
      <c r="B1247" s="3" t="s">
        <v>4533</v>
      </c>
      <c r="C1247" s="3" t="s">
        <v>5038</v>
      </c>
      <c r="D1247" s="3" t="s">
        <v>7153</v>
      </c>
      <c r="E1247" s="3" t="s">
        <v>7154</v>
      </c>
      <c r="F1247" s="3">
        <v>14</v>
      </c>
      <c r="G1247" s="3" t="s">
        <v>7155</v>
      </c>
      <c r="H1247" s="3">
        <v>1.24E-2</v>
      </c>
      <c r="I1247" s="3">
        <v>0.1736</v>
      </c>
    </row>
    <row r="1248" spans="1:9" ht="33.75" customHeight="1" x14ac:dyDescent="0.25">
      <c r="A1248" s="2" t="s">
        <v>4534</v>
      </c>
      <c r="B1248" s="2" t="s">
        <v>4533</v>
      </c>
      <c r="C1248" s="2" t="s">
        <v>5038</v>
      </c>
      <c r="D1248" s="2" t="s">
        <v>7186</v>
      </c>
      <c r="E1248" s="2" t="s">
        <v>7187</v>
      </c>
      <c r="F1248" s="2">
        <v>1</v>
      </c>
      <c r="G1248" s="2" t="s">
        <v>7158</v>
      </c>
      <c r="H1248" s="2">
        <v>26</v>
      </c>
      <c r="I1248" s="2">
        <v>26</v>
      </c>
    </row>
    <row r="1249" spans="1:9" ht="22.5" customHeight="1" x14ac:dyDescent="0.25">
      <c r="A1249" s="3" t="s">
        <v>4534</v>
      </c>
      <c r="B1249" s="3" t="s">
        <v>4533</v>
      </c>
      <c r="C1249" s="3" t="s">
        <v>5038</v>
      </c>
      <c r="D1249" s="3" t="s">
        <v>7159</v>
      </c>
      <c r="E1249" s="3" t="s">
        <v>7160</v>
      </c>
      <c r="F1249" s="3">
        <v>20</v>
      </c>
      <c r="G1249" s="3" t="s">
        <v>7155</v>
      </c>
      <c r="H1249" s="3">
        <v>1.8319999999999999E-2</v>
      </c>
      <c r="I1249" s="3">
        <v>0.3664</v>
      </c>
    </row>
    <row r="1250" spans="1:9" ht="22.5" customHeight="1" x14ac:dyDescent="0.25">
      <c r="A1250" s="2" t="s">
        <v>4534</v>
      </c>
      <c r="B1250" s="2" t="s">
        <v>4533</v>
      </c>
      <c r="C1250" s="2" t="s">
        <v>5038</v>
      </c>
      <c r="D1250" s="2" t="s">
        <v>7161</v>
      </c>
      <c r="E1250" s="2" t="s">
        <v>7162</v>
      </c>
      <c r="F1250" s="2">
        <v>0.186</v>
      </c>
      <c r="G1250" s="2" t="s">
        <v>7163</v>
      </c>
      <c r="H1250" s="2" t="s">
        <v>7164</v>
      </c>
      <c r="I1250" s="2">
        <v>0.186</v>
      </c>
    </row>
    <row r="1251" spans="1:9" ht="33.75" customHeight="1" x14ac:dyDescent="0.25">
      <c r="A1251" s="3" t="s">
        <v>4534</v>
      </c>
      <c r="B1251" s="3" t="s">
        <v>4533</v>
      </c>
      <c r="C1251" s="3" t="s">
        <v>5038</v>
      </c>
      <c r="D1251" s="3" t="s">
        <v>7188</v>
      </c>
      <c r="E1251" s="3" t="s">
        <v>7189</v>
      </c>
      <c r="F1251" s="3">
        <v>4</v>
      </c>
      <c r="G1251" s="3" t="s">
        <v>7158</v>
      </c>
      <c r="H1251" s="3">
        <v>0.27</v>
      </c>
      <c r="I1251" s="3">
        <v>1.08</v>
      </c>
    </row>
    <row r="1252" spans="1:9" ht="33.75" customHeight="1" x14ac:dyDescent="0.25">
      <c r="A1252" s="2" t="s">
        <v>4534</v>
      </c>
      <c r="B1252" s="2" t="s">
        <v>4533</v>
      </c>
      <c r="C1252" s="2" t="s">
        <v>5038</v>
      </c>
      <c r="D1252" s="2" t="s">
        <v>7165</v>
      </c>
      <c r="E1252" s="2" t="s">
        <v>7166</v>
      </c>
      <c r="F1252" s="2">
        <v>4</v>
      </c>
      <c r="G1252" s="2" t="s">
        <v>7158</v>
      </c>
      <c r="H1252" s="2">
        <v>0.1</v>
      </c>
      <c r="I1252" s="2">
        <v>0.4</v>
      </c>
    </row>
    <row r="1253" spans="1:9" ht="146.25" customHeight="1" x14ac:dyDescent="0.25">
      <c r="A1253" s="3" t="s">
        <v>588</v>
      </c>
      <c r="B1253" s="3" t="s">
        <v>6325</v>
      </c>
      <c r="C1253" s="3" t="s">
        <v>4761</v>
      </c>
      <c r="D1253" s="3" t="s">
        <v>7153</v>
      </c>
      <c r="E1253" s="3" t="s">
        <v>7154</v>
      </c>
      <c r="F1253" s="3">
        <v>7</v>
      </c>
      <c r="G1253" s="3" t="s">
        <v>7155</v>
      </c>
      <c r="H1253" s="3">
        <v>1.24E-2</v>
      </c>
      <c r="I1253" s="3">
        <v>8.6800000000000002E-2</v>
      </c>
    </row>
    <row r="1254" spans="1:9" ht="146.25" customHeight="1" x14ac:dyDescent="0.25">
      <c r="A1254" s="2" t="s">
        <v>588</v>
      </c>
      <c r="B1254" s="2" t="s">
        <v>6325</v>
      </c>
      <c r="C1254" s="2" t="s">
        <v>4761</v>
      </c>
      <c r="D1254" s="2" t="s">
        <v>7186</v>
      </c>
      <c r="E1254" s="2" t="s">
        <v>7187</v>
      </c>
      <c r="F1254" s="2">
        <v>1</v>
      </c>
      <c r="G1254" s="2" t="s">
        <v>7158</v>
      </c>
      <c r="H1254" s="2">
        <v>26</v>
      </c>
      <c r="I1254" s="2">
        <v>26</v>
      </c>
    </row>
    <row r="1255" spans="1:9" ht="146.25" customHeight="1" x14ac:dyDescent="0.25">
      <c r="A1255" s="3" t="s">
        <v>588</v>
      </c>
      <c r="B1255" s="3" t="s">
        <v>6325</v>
      </c>
      <c r="C1255" s="3" t="s">
        <v>4761</v>
      </c>
      <c r="D1255" s="3" t="s">
        <v>7159</v>
      </c>
      <c r="E1255" s="3" t="s">
        <v>7160</v>
      </c>
      <c r="F1255" s="3">
        <v>20</v>
      </c>
      <c r="G1255" s="3" t="s">
        <v>7155</v>
      </c>
      <c r="H1255" s="3">
        <v>1.8319999999999999E-2</v>
      </c>
      <c r="I1255" s="3">
        <v>0.3664</v>
      </c>
    </row>
    <row r="1256" spans="1:9" ht="146.25" customHeight="1" x14ac:dyDescent="0.25">
      <c r="A1256" s="2" t="s">
        <v>588</v>
      </c>
      <c r="B1256" s="2" t="s">
        <v>6325</v>
      </c>
      <c r="C1256" s="2" t="s">
        <v>4761</v>
      </c>
      <c r="D1256" s="2" t="s">
        <v>7161</v>
      </c>
      <c r="E1256" s="2" t="s">
        <v>7162</v>
      </c>
      <c r="F1256" s="2">
        <v>0.186</v>
      </c>
      <c r="G1256" s="2" t="s">
        <v>7163</v>
      </c>
      <c r="H1256" s="2" t="s">
        <v>7164</v>
      </c>
      <c r="I1256" s="2">
        <v>0.186</v>
      </c>
    </row>
    <row r="1257" spans="1:9" ht="146.25" customHeight="1" x14ac:dyDescent="0.25">
      <c r="A1257" s="3" t="s">
        <v>588</v>
      </c>
      <c r="B1257" s="3" t="s">
        <v>6325</v>
      </c>
      <c r="C1257" s="3" t="s">
        <v>4761</v>
      </c>
      <c r="D1257" s="3" t="s">
        <v>7207</v>
      </c>
      <c r="E1257" s="3" t="s">
        <v>7208</v>
      </c>
      <c r="F1257" s="3">
        <v>1.95</v>
      </c>
      <c r="G1257" s="3" t="s">
        <v>7163</v>
      </c>
      <c r="H1257" s="3" t="s">
        <v>7164</v>
      </c>
      <c r="I1257" s="3">
        <v>1.95</v>
      </c>
    </row>
    <row r="1258" spans="1:9" ht="146.25" customHeight="1" x14ac:dyDescent="0.25">
      <c r="A1258" s="2" t="s">
        <v>588</v>
      </c>
      <c r="B1258" s="2" t="s">
        <v>6325</v>
      </c>
      <c r="C1258" s="2" t="s">
        <v>4761</v>
      </c>
      <c r="D1258" s="2" t="s">
        <v>7188</v>
      </c>
      <c r="E1258" s="2" t="s">
        <v>7189</v>
      </c>
      <c r="F1258" s="2">
        <v>4</v>
      </c>
      <c r="G1258" s="2" t="s">
        <v>7158</v>
      </c>
      <c r="H1258" s="2">
        <v>0.27</v>
      </c>
      <c r="I1258" s="2">
        <v>1.08</v>
      </c>
    </row>
    <row r="1259" spans="1:9" ht="146.25" customHeight="1" x14ac:dyDescent="0.25">
      <c r="A1259" s="3" t="s">
        <v>588</v>
      </c>
      <c r="B1259" s="3" t="s">
        <v>6325</v>
      </c>
      <c r="C1259" s="3" t="s">
        <v>4761</v>
      </c>
      <c r="D1259" s="3" t="s">
        <v>7165</v>
      </c>
      <c r="E1259" s="3" t="s">
        <v>7166</v>
      </c>
      <c r="F1259" s="3">
        <v>2</v>
      </c>
      <c r="G1259" s="3" t="s">
        <v>7158</v>
      </c>
      <c r="H1259" s="3">
        <v>0.1</v>
      </c>
      <c r="I1259" s="3">
        <v>0.2</v>
      </c>
    </row>
    <row r="1260" spans="1:9" ht="409.5" customHeight="1" x14ac:dyDescent="0.25">
      <c r="A1260" s="2" t="s">
        <v>404</v>
      </c>
      <c r="B1260" s="2" t="s">
        <v>6333</v>
      </c>
      <c r="C1260" s="2" t="s">
        <v>4731</v>
      </c>
      <c r="D1260" s="2" t="s">
        <v>7153</v>
      </c>
      <c r="E1260" s="2" t="s">
        <v>7154</v>
      </c>
      <c r="F1260" s="2">
        <v>7</v>
      </c>
      <c r="G1260" s="2" t="s">
        <v>7155</v>
      </c>
      <c r="H1260" s="2">
        <v>1.24E-2</v>
      </c>
      <c r="I1260" s="2">
        <v>8.6800000000000002E-2</v>
      </c>
    </row>
    <row r="1261" spans="1:9" ht="409.5" customHeight="1" x14ac:dyDescent="0.25">
      <c r="A1261" s="3" t="s">
        <v>404</v>
      </c>
      <c r="B1261" s="3" t="s">
        <v>6333</v>
      </c>
      <c r="C1261" s="3" t="s">
        <v>4731</v>
      </c>
      <c r="D1261" s="3" t="s">
        <v>7186</v>
      </c>
      <c r="E1261" s="3" t="s">
        <v>7187</v>
      </c>
      <c r="F1261" s="3">
        <v>1</v>
      </c>
      <c r="G1261" s="3" t="s">
        <v>7158</v>
      </c>
      <c r="H1261" s="3">
        <v>26</v>
      </c>
      <c r="I1261" s="3">
        <v>26</v>
      </c>
    </row>
    <row r="1262" spans="1:9" ht="409.5" customHeight="1" x14ac:dyDescent="0.25">
      <c r="A1262" s="2" t="s">
        <v>404</v>
      </c>
      <c r="B1262" s="2" t="s">
        <v>6333</v>
      </c>
      <c r="C1262" s="2" t="s">
        <v>4731</v>
      </c>
      <c r="D1262" s="2" t="s">
        <v>7159</v>
      </c>
      <c r="E1262" s="2" t="s">
        <v>7160</v>
      </c>
      <c r="F1262" s="2">
        <v>20</v>
      </c>
      <c r="G1262" s="2" t="s">
        <v>7155</v>
      </c>
      <c r="H1262" s="2">
        <v>1.8319999999999999E-2</v>
      </c>
      <c r="I1262" s="2">
        <v>0.3664</v>
      </c>
    </row>
    <row r="1263" spans="1:9" ht="409.5" customHeight="1" x14ac:dyDescent="0.25">
      <c r="A1263" s="3" t="s">
        <v>404</v>
      </c>
      <c r="B1263" s="3" t="s">
        <v>6333</v>
      </c>
      <c r="C1263" s="3" t="s">
        <v>4731</v>
      </c>
      <c r="D1263" s="3" t="s">
        <v>7161</v>
      </c>
      <c r="E1263" s="3" t="s">
        <v>7162</v>
      </c>
      <c r="F1263" s="3">
        <v>0.186</v>
      </c>
      <c r="G1263" s="3" t="s">
        <v>7163</v>
      </c>
      <c r="H1263" s="3" t="s">
        <v>7164</v>
      </c>
      <c r="I1263" s="3">
        <v>0.186</v>
      </c>
    </row>
    <row r="1264" spans="1:9" ht="409.5" customHeight="1" x14ac:dyDescent="0.25">
      <c r="A1264" s="2" t="s">
        <v>404</v>
      </c>
      <c r="B1264" s="2" t="s">
        <v>6333</v>
      </c>
      <c r="C1264" s="2" t="s">
        <v>4731</v>
      </c>
      <c r="D1264" s="2" t="s">
        <v>7207</v>
      </c>
      <c r="E1264" s="2" t="s">
        <v>7208</v>
      </c>
      <c r="F1264" s="2">
        <v>2.08</v>
      </c>
      <c r="G1264" s="2" t="s">
        <v>7163</v>
      </c>
      <c r="H1264" s="2" t="s">
        <v>7164</v>
      </c>
      <c r="I1264" s="2">
        <v>2.08</v>
      </c>
    </row>
    <row r="1265" spans="1:9" ht="409.5" customHeight="1" x14ac:dyDescent="0.25">
      <c r="A1265" s="3" t="s">
        <v>404</v>
      </c>
      <c r="B1265" s="3" t="s">
        <v>6333</v>
      </c>
      <c r="C1265" s="3" t="s">
        <v>4731</v>
      </c>
      <c r="D1265" s="3" t="s">
        <v>7188</v>
      </c>
      <c r="E1265" s="3" t="s">
        <v>7189</v>
      </c>
      <c r="F1265" s="3">
        <v>4</v>
      </c>
      <c r="G1265" s="3" t="s">
        <v>7158</v>
      </c>
      <c r="H1265" s="3">
        <v>0.27</v>
      </c>
      <c r="I1265" s="3">
        <v>1.08</v>
      </c>
    </row>
    <row r="1266" spans="1:9" ht="409.5" customHeight="1" x14ac:dyDescent="0.25">
      <c r="A1266" s="2" t="s">
        <v>404</v>
      </c>
      <c r="B1266" s="2" t="s">
        <v>6333</v>
      </c>
      <c r="C1266" s="2" t="s">
        <v>4731</v>
      </c>
      <c r="D1266" s="2" t="s">
        <v>7165</v>
      </c>
      <c r="E1266" s="2" t="s">
        <v>7166</v>
      </c>
      <c r="F1266" s="2">
        <v>2</v>
      </c>
      <c r="G1266" s="2" t="s">
        <v>7158</v>
      </c>
      <c r="H1266" s="2">
        <v>0.1</v>
      </c>
      <c r="I1266" s="2">
        <v>0.2</v>
      </c>
    </row>
    <row r="1267" spans="1:9" ht="22.5" customHeight="1" x14ac:dyDescent="0.25">
      <c r="A1267" s="3" t="s">
        <v>3313</v>
      </c>
      <c r="B1267" s="3" t="s">
        <v>3312</v>
      </c>
      <c r="C1267" s="3" t="s">
        <v>4978</v>
      </c>
      <c r="D1267" s="3" t="s">
        <v>7153</v>
      </c>
      <c r="E1267" s="3" t="s">
        <v>7154</v>
      </c>
      <c r="F1267" s="3">
        <v>7</v>
      </c>
      <c r="G1267" s="3" t="s">
        <v>7155</v>
      </c>
      <c r="H1267" s="3">
        <v>1.24E-2</v>
      </c>
      <c r="I1267" s="3">
        <v>8.6800000000000002E-2</v>
      </c>
    </row>
    <row r="1268" spans="1:9" ht="33.75" customHeight="1" x14ac:dyDescent="0.25">
      <c r="A1268" s="2" t="s">
        <v>3313</v>
      </c>
      <c r="B1268" s="2" t="s">
        <v>3312</v>
      </c>
      <c r="C1268" s="2" t="s">
        <v>4978</v>
      </c>
      <c r="D1268" s="2" t="s">
        <v>7186</v>
      </c>
      <c r="E1268" s="2" t="s">
        <v>7187</v>
      </c>
      <c r="F1268" s="2">
        <v>1</v>
      </c>
      <c r="G1268" s="2" t="s">
        <v>7158</v>
      </c>
      <c r="H1268" s="2">
        <v>26</v>
      </c>
      <c r="I1268" s="2">
        <v>26</v>
      </c>
    </row>
    <row r="1269" spans="1:9" ht="22.5" customHeight="1" x14ac:dyDescent="0.25">
      <c r="A1269" s="3" t="s">
        <v>3313</v>
      </c>
      <c r="B1269" s="3" t="s">
        <v>3312</v>
      </c>
      <c r="C1269" s="3" t="s">
        <v>4978</v>
      </c>
      <c r="D1269" s="3" t="s">
        <v>7159</v>
      </c>
      <c r="E1269" s="3" t="s">
        <v>7160</v>
      </c>
      <c r="F1269" s="3">
        <v>20</v>
      </c>
      <c r="G1269" s="3" t="s">
        <v>7155</v>
      </c>
      <c r="H1269" s="3">
        <v>1.8319999999999999E-2</v>
      </c>
      <c r="I1269" s="3">
        <v>0.3664</v>
      </c>
    </row>
    <row r="1270" spans="1:9" ht="22.5" customHeight="1" x14ac:dyDescent="0.25">
      <c r="A1270" s="2" t="s">
        <v>3313</v>
      </c>
      <c r="B1270" s="2" t="s">
        <v>3312</v>
      </c>
      <c r="C1270" s="2" t="s">
        <v>4978</v>
      </c>
      <c r="D1270" s="2" t="s">
        <v>7161</v>
      </c>
      <c r="E1270" s="2" t="s">
        <v>7162</v>
      </c>
      <c r="F1270" s="2">
        <v>0.186</v>
      </c>
      <c r="G1270" s="2" t="s">
        <v>7163</v>
      </c>
      <c r="H1270" s="2" t="s">
        <v>7164</v>
      </c>
      <c r="I1270" s="2">
        <v>0.186</v>
      </c>
    </row>
    <row r="1271" spans="1:9" ht="33.75" customHeight="1" x14ac:dyDescent="0.25">
      <c r="A1271" s="3" t="s">
        <v>3313</v>
      </c>
      <c r="B1271" s="3" t="s">
        <v>3312</v>
      </c>
      <c r="C1271" s="3" t="s">
        <v>4978</v>
      </c>
      <c r="D1271" s="3" t="s">
        <v>7188</v>
      </c>
      <c r="E1271" s="3" t="s">
        <v>7189</v>
      </c>
      <c r="F1271" s="3">
        <v>4</v>
      </c>
      <c r="G1271" s="3" t="s">
        <v>7158</v>
      </c>
      <c r="H1271" s="3">
        <v>0.27</v>
      </c>
      <c r="I1271" s="3">
        <v>1.08</v>
      </c>
    </row>
    <row r="1272" spans="1:9" ht="33.75" customHeight="1" x14ac:dyDescent="0.25">
      <c r="A1272" s="2" t="s">
        <v>3313</v>
      </c>
      <c r="B1272" s="2" t="s">
        <v>3312</v>
      </c>
      <c r="C1272" s="2" t="s">
        <v>4978</v>
      </c>
      <c r="D1272" s="2" t="s">
        <v>7165</v>
      </c>
      <c r="E1272" s="2" t="s">
        <v>7166</v>
      </c>
      <c r="F1272" s="2">
        <v>2</v>
      </c>
      <c r="G1272" s="2" t="s">
        <v>7158</v>
      </c>
      <c r="H1272" s="2">
        <v>0.1</v>
      </c>
      <c r="I1272" s="2">
        <v>0.2</v>
      </c>
    </row>
    <row r="1273" spans="1:9" ht="67.5" customHeight="1" x14ac:dyDescent="0.25">
      <c r="A1273" s="3" t="s">
        <v>673</v>
      </c>
      <c r="B1273" s="3" t="s">
        <v>6348</v>
      </c>
      <c r="C1273" s="3" t="s">
        <v>4779</v>
      </c>
      <c r="D1273" s="3" t="s">
        <v>7186</v>
      </c>
      <c r="E1273" s="3" t="s">
        <v>7187</v>
      </c>
      <c r="F1273" s="3">
        <v>1</v>
      </c>
      <c r="G1273" s="3" t="s">
        <v>7158</v>
      </c>
      <c r="H1273" s="3">
        <v>26</v>
      </c>
      <c r="I1273" s="3">
        <v>26</v>
      </c>
    </row>
    <row r="1274" spans="1:9" ht="67.5" customHeight="1" x14ac:dyDescent="0.25">
      <c r="A1274" s="2" t="s">
        <v>673</v>
      </c>
      <c r="B1274" s="2" t="s">
        <v>6348</v>
      </c>
      <c r="C1274" s="2" t="s">
        <v>4779</v>
      </c>
      <c r="D1274" s="2" t="s">
        <v>7159</v>
      </c>
      <c r="E1274" s="2" t="s">
        <v>7160</v>
      </c>
      <c r="F1274" s="2">
        <v>20</v>
      </c>
      <c r="G1274" s="2" t="s">
        <v>7155</v>
      </c>
      <c r="H1274" s="2">
        <v>1.8319999999999999E-2</v>
      </c>
      <c r="I1274" s="2">
        <v>0.3664</v>
      </c>
    </row>
    <row r="1275" spans="1:9" ht="67.5" customHeight="1" x14ac:dyDescent="0.25">
      <c r="A1275" s="3" t="s">
        <v>673</v>
      </c>
      <c r="B1275" s="3" t="s">
        <v>6348</v>
      </c>
      <c r="C1275" s="3" t="s">
        <v>4779</v>
      </c>
      <c r="D1275" s="3" t="s">
        <v>7161</v>
      </c>
      <c r="E1275" s="3" t="s">
        <v>7162</v>
      </c>
      <c r="F1275" s="3">
        <v>0.186</v>
      </c>
      <c r="G1275" s="3" t="s">
        <v>7163</v>
      </c>
      <c r="H1275" s="3" t="s">
        <v>7164</v>
      </c>
      <c r="I1275" s="3">
        <v>0.186</v>
      </c>
    </row>
    <row r="1276" spans="1:9" ht="67.5" customHeight="1" x14ac:dyDescent="0.25">
      <c r="A1276" s="2" t="s">
        <v>673</v>
      </c>
      <c r="B1276" s="2" t="s">
        <v>6348</v>
      </c>
      <c r="C1276" s="2" t="s">
        <v>4779</v>
      </c>
      <c r="D1276" s="2" t="s">
        <v>7207</v>
      </c>
      <c r="E1276" s="2" t="s">
        <v>7208</v>
      </c>
      <c r="F1276" s="2">
        <v>1.95</v>
      </c>
      <c r="G1276" s="2" t="s">
        <v>7163</v>
      </c>
      <c r="H1276" s="2" t="s">
        <v>7164</v>
      </c>
      <c r="I1276" s="2">
        <v>1.95</v>
      </c>
    </row>
    <row r="1277" spans="1:9" ht="67.5" customHeight="1" x14ac:dyDescent="0.25">
      <c r="A1277" s="3" t="s">
        <v>673</v>
      </c>
      <c r="B1277" s="3" t="s">
        <v>6348</v>
      </c>
      <c r="C1277" s="3" t="s">
        <v>4779</v>
      </c>
      <c r="D1277" s="3" t="s">
        <v>7188</v>
      </c>
      <c r="E1277" s="3" t="s">
        <v>7189</v>
      </c>
      <c r="F1277" s="3">
        <v>4</v>
      </c>
      <c r="G1277" s="3" t="s">
        <v>7158</v>
      </c>
      <c r="H1277" s="3">
        <v>0.27</v>
      </c>
      <c r="I1277" s="3">
        <v>1.08</v>
      </c>
    </row>
    <row r="1278" spans="1:9" ht="146.25" customHeight="1" x14ac:dyDescent="0.25">
      <c r="A1278" s="2" t="s">
        <v>612</v>
      </c>
      <c r="B1278" s="2" t="s">
        <v>6356</v>
      </c>
      <c r="C1278" s="2" t="s">
        <v>4765</v>
      </c>
      <c r="D1278" s="2" t="s">
        <v>7186</v>
      </c>
      <c r="E1278" s="2" t="s">
        <v>7187</v>
      </c>
      <c r="F1278" s="2">
        <v>1</v>
      </c>
      <c r="G1278" s="2" t="s">
        <v>7158</v>
      </c>
      <c r="H1278" s="2">
        <v>26</v>
      </c>
      <c r="I1278" s="2">
        <v>26</v>
      </c>
    </row>
    <row r="1279" spans="1:9" ht="146.25" customHeight="1" x14ac:dyDescent="0.25">
      <c r="A1279" s="3" t="s">
        <v>612</v>
      </c>
      <c r="B1279" s="3" t="s">
        <v>6356</v>
      </c>
      <c r="C1279" s="3" t="s">
        <v>4765</v>
      </c>
      <c r="D1279" s="3" t="s">
        <v>7159</v>
      </c>
      <c r="E1279" s="3" t="s">
        <v>7160</v>
      </c>
      <c r="F1279" s="3">
        <v>20</v>
      </c>
      <c r="G1279" s="3" t="s">
        <v>7155</v>
      </c>
      <c r="H1279" s="3">
        <v>1.8319999999999999E-2</v>
      </c>
      <c r="I1279" s="3">
        <v>0.3664</v>
      </c>
    </row>
    <row r="1280" spans="1:9" ht="146.25" customHeight="1" x14ac:dyDescent="0.25">
      <c r="A1280" s="2" t="s">
        <v>612</v>
      </c>
      <c r="B1280" s="2" t="s">
        <v>6356</v>
      </c>
      <c r="C1280" s="2" t="s">
        <v>4765</v>
      </c>
      <c r="D1280" s="2" t="s">
        <v>7161</v>
      </c>
      <c r="E1280" s="2" t="s">
        <v>7162</v>
      </c>
      <c r="F1280" s="2">
        <v>0.186</v>
      </c>
      <c r="G1280" s="2" t="s">
        <v>7163</v>
      </c>
      <c r="H1280" s="2" t="s">
        <v>7164</v>
      </c>
      <c r="I1280" s="2">
        <v>0.186</v>
      </c>
    </row>
    <row r="1281" spans="1:9" ht="146.25" customHeight="1" x14ac:dyDescent="0.25">
      <c r="A1281" s="3" t="s">
        <v>612</v>
      </c>
      <c r="B1281" s="3" t="s">
        <v>6356</v>
      </c>
      <c r="C1281" s="3" t="s">
        <v>4765</v>
      </c>
      <c r="D1281" s="3" t="s">
        <v>7207</v>
      </c>
      <c r="E1281" s="3" t="s">
        <v>7208</v>
      </c>
      <c r="F1281" s="3">
        <v>2.08</v>
      </c>
      <c r="G1281" s="3" t="s">
        <v>7163</v>
      </c>
      <c r="H1281" s="3" t="s">
        <v>7164</v>
      </c>
      <c r="I1281" s="3">
        <v>2.08</v>
      </c>
    </row>
    <row r="1282" spans="1:9" ht="146.25" customHeight="1" x14ac:dyDescent="0.25">
      <c r="A1282" s="2" t="s">
        <v>612</v>
      </c>
      <c r="B1282" s="2" t="s">
        <v>6356</v>
      </c>
      <c r="C1282" s="2" t="s">
        <v>4765</v>
      </c>
      <c r="D1282" s="2" t="s">
        <v>7188</v>
      </c>
      <c r="E1282" s="2" t="s">
        <v>7189</v>
      </c>
      <c r="F1282" s="2">
        <v>4</v>
      </c>
      <c r="G1282" s="2" t="s">
        <v>7158</v>
      </c>
      <c r="H1282" s="2">
        <v>0.27</v>
      </c>
      <c r="I1282" s="2">
        <v>1.08</v>
      </c>
    </row>
    <row r="1283" spans="1:9" ht="45" customHeight="1" x14ac:dyDescent="0.25">
      <c r="A1283" s="3" t="s">
        <v>1427</v>
      </c>
      <c r="B1283" s="3" t="s">
        <v>6364</v>
      </c>
      <c r="C1283" s="3" t="s">
        <v>4827</v>
      </c>
      <c r="D1283" s="3" t="s">
        <v>7249</v>
      </c>
      <c r="E1283" s="3" t="s">
        <v>7250</v>
      </c>
      <c r="F1283" s="3">
        <v>3</v>
      </c>
      <c r="G1283" s="3" t="s">
        <v>7158</v>
      </c>
      <c r="H1283" s="3">
        <v>0.104</v>
      </c>
      <c r="I1283" s="3">
        <v>0.312</v>
      </c>
    </row>
    <row r="1284" spans="1:9" ht="45" customHeight="1" x14ac:dyDescent="0.25">
      <c r="A1284" s="2" t="s">
        <v>1427</v>
      </c>
      <c r="B1284" s="2" t="s">
        <v>6364</v>
      </c>
      <c r="C1284" s="2" t="s">
        <v>4827</v>
      </c>
      <c r="D1284" s="2" t="s">
        <v>7153</v>
      </c>
      <c r="E1284" s="2" t="s">
        <v>7154</v>
      </c>
      <c r="F1284" s="2">
        <v>14</v>
      </c>
      <c r="G1284" s="2" t="s">
        <v>7155</v>
      </c>
      <c r="H1284" s="2">
        <v>1.24E-2</v>
      </c>
      <c r="I1284" s="2">
        <v>0.1736</v>
      </c>
    </row>
    <row r="1285" spans="1:9" ht="45" customHeight="1" x14ac:dyDescent="0.25">
      <c r="A1285" s="3" t="s">
        <v>1427</v>
      </c>
      <c r="B1285" s="3" t="s">
        <v>6364</v>
      </c>
      <c r="C1285" s="3" t="s">
        <v>4827</v>
      </c>
      <c r="D1285" s="3" t="s">
        <v>7186</v>
      </c>
      <c r="E1285" s="3" t="s">
        <v>7187</v>
      </c>
      <c r="F1285" s="3">
        <v>1</v>
      </c>
      <c r="G1285" s="3" t="s">
        <v>7158</v>
      </c>
      <c r="H1285" s="3">
        <v>26</v>
      </c>
      <c r="I1285" s="3">
        <v>26</v>
      </c>
    </row>
    <row r="1286" spans="1:9" ht="45" customHeight="1" x14ac:dyDescent="0.25">
      <c r="A1286" s="2" t="s">
        <v>1427</v>
      </c>
      <c r="B1286" s="2" t="s">
        <v>6364</v>
      </c>
      <c r="C1286" s="2" t="s">
        <v>4827</v>
      </c>
      <c r="D1286" s="2" t="s">
        <v>7159</v>
      </c>
      <c r="E1286" s="2" t="s">
        <v>7160</v>
      </c>
      <c r="F1286" s="2">
        <v>20</v>
      </c>
      <c r="G1286" s="2" t="s">
        <v>7155</v>
      </c>
      <c r="H1286" s="2">
        <v>1.8319999999999999E-2</v>
      </c>
      <c r="I1286" s="2">
        <v>0.3664</v>
      </c>
    </row>
    <row r="1287" spans="1:9" ht="45" customHeight="1" x14ac:dyDescent="0.25">
      <c r="A1287" s="3" t="s">
        <v>1427</v>
      </c>
      <c r="B1287" s="3" t="s">
        <v>6364</v>
      </c>
      <c r="C1287" s="3" t="s">
        <v>4827</v>
      </c>
      <c r="D1287" s="3" t="s">
        <v>7190</v>
      </c>
      <c r="E1287" s="3" t="s">
        <v>7191</v>
      </c>
      <c r="F1287" s="3">
        <v>0.59699999999999998</v>
      </c>
      <c r="G1287" s="3" t="s">
        <v>7163</v>
      </c>
      <c r="H1287" s="3" t="s">
        <v>7164</v>
      </c>
      <c r="I1287" s="3">
        <v>0.59699999999999998</v>
      </c>
    </row>
    <row r="1288" spans="1:9" ht="45" customHeight="1" x14ac:dyDescent="0.25">
      <c r="A1288" s="2" t="s">
        <v>1427</v>
      </c>
      <c r="B1288" s="2" t="s">
        <v>6364</v>
      </c>
      <c r="C1288" s="2" t="s">
        <v>4827</v>
      </c>
      <c r="D1288" s="2" t="s">
        <v>7188</v>
      </c>
      <c r="E1288" s="2" t="s">
        <v>7189</v>
      </c>
      <c r="F1288" s="2">
        <v>4</v>
      </c>
      <c r="G1288" s="2" t="s">
        <v>7158</v>
      </c>
      <c r="H1288" s="2">
        <v>0.27</v>
      </c>
      <c r="I1288" s="2">
        <v>1.08</v>
      </c>
    </row>
    <row r="1289" spans="1:9" ht="45" customHeight="1" x14ac:dyDescent="0.25">
      <c r="A1289" s="3" t="s">
        <v>1427</v>
      </c>
      <c r="B1289" s="3" t="s">
        <v>6364</v>
      </c>
      <c r="C1289" s="3" t="s">
        <v>4827</v>
      </c>
      <c r="D1289" s="3" t="s">
        <v>7192</v>
      </c>
      <c r="E1289" s="3" t="s">
        <v>7193</v>
      </c>
      <c r="F1289" s="3">
        <v>4</v>
      </c>
      <c r="G1289" s="3" t="s">
        <v>7158</v>
      </c>
      <c r="H1289" s="3">
        <v>0.03</v>
      </c>
      <c r="I1289" s="3">
        <v>0.12</v>
      </c>
    </row>
    <row r="1290" spans="1:9" ht="22.5" customHeight="1" x14ac:dyDescent="0.25">
      <c r="A1290" s="2" t="s">
        <v>2747</v>
      </c>
      <c r="B1290" s="2" t="s">
        <v>2746</v>
      </c>
      <c r="C1290" s="2" t="s">
        <v>4938</v>
      </c>
      <c r="D1290" s="2" t="s">
        <v>7153</v>
      </c>
      <c r="E1290" s="2" t="s">
        <v>7154</v>
      </c>
      <c r="F1290" s="2">
        <v>14</v>
      </c>
      <c r="G1290" s="2" t="s">
        <v>7155</v>
      </c>
      <c r="H1290" s="2">
        <v>1.24E-2</v>
      </c>
      <c r="I1290" s="2">
        <v>0.1736</v>
      </c>
    </row>
    <row r="1291" spans="1:9" ht="33.75" customHeight="1" x14ac:dyDescent="0.25">
      <c r="A1291" s="3" t="s">
        <v>2747</v>
      </c>
      <c r="B1291" s="3" t="s">
        <v>2746</v>
      </c>
      <c r="C1291" s="3" t="s">
        <v>4938</v>
      </c>
      <c r="D1291" s="3" t="s">
        <v>7186</v>
      </c>
      <c r="E1291" s="3" t="s">
        <v>7187</v>
      </c>
      <c r="F1291" s="3">
        <v>1</v>
      </c>
      <c r="G1291" s="3" t="s">
        <v>7158</v>
      </c>
      <c r="H1291" s="3">
        <v>26</v>
      </c>
      <c r="I1291" s="3">
        <v>26</v>
      </c>
    </row>
    <row r="1292" spans="1:9" ht="22.5" customHeight="1" x14ac:dyDescent="0.25">
      <c r="A1292" s="2" t="s">
        <v>2747</v>
      </c>
      <c r="B1292" s="2" t="s">
        <v>2746</v>
      </c>
      <c r="C1292" s="2" t="s">
        <v>4938</v>
      </c>
      <c r="D1292" s="2" t="s">
        <v>7159</v>
      </c>
      <c r="E1292" s="2" t="s">
        <v>7160</v>
      </c>
      <c r="F1292" s="2">
        <v>20</v>
      </c>
      <c r="G1292" s="2" t="s">
        <v>7155</v>
      </c>
      <c r="H1292" s="2">
        <v>1.8319999999999999E-2</v>
      </c>
      <c r="I1292" s="2">
        <v>0.3664</v>
      </c>
    </row>
    <row r="1293" spans="1:9" ht="22.5" customHeight="1" x14ac:dyDescent="0.25">
      <c r="A1293" s="3" t="s">
        <v>2747</v>
      </c>
      <c r="B1293" s="3" t="s">
        <v>2746</v>
      </c>
      <c r="C1293" s="3" t="s">
        <v>4938</v>
      </c>
      <c r="D1293" s="3" t="s">
        <v>7190</v>
      </c>
      <c r="E1293" s="3" t="s">
        <v>7191</v>
      </c>
      <c r="F1293" s="3">
        <v>0.59699999999999998</v>
      </c>
      <c r="G1293" s="3" t="s">
        <v>7163</v>
      </c>
      <c r="H1293" s="3" t="s">
        <v>7164</v>
      </c>
      <c r="I1293" s="3">
        <v>0.59699999999999998</v>
      </c>
    </row>
    <row r="1294" spans="1:9" ht="33.75" customHeight="1" x14ac:dyDescent="0.25">
      <c r="A1294" s="2" t="s">
        <v>2747</v>
      </c>
      <c r="B1294" s="2" t="s">
        <v>2746</v>
      </c>
      <c r="C1294" s="2" t="s">
        <v>4938</v>
      </c>
      <c r="D1294" s="2" t="s">
        <v>7188</v>
      </c>
      <c r="E1294" s="2" t="s">
        <v>7189</v>
      </c>
      <c r="F1294" s="2">
        <v>4</v>
      </c>
      <c r="G1294" s="2" t="s">
        <v>7158</v>
      </c>
      <c r="H1294" s="2">
        <v>0.27</v>
      </c>
      <c r="I1294" s="2">
        <v>1.08</v>
      </c>
    </row>
    <row r="1295" spans="1:9" ht="33.75" customHeight="1" x14ac:dyDescent="0.25">
      <c r="A1295" s="3" t="s">
        <v>2747</v>
      </c>
      <c r="B1295" s="3" t="s">
        <v>2746</v>
      </c>
      <c r="C1295" s="3" t="s">
        <v>4938</v>
      </c>
      <c r="D1295" s="3" t="s">
        <v>7165</v>
      </c>
      <c r="E1295" s="3" t="s">
        <v>7166</v>
      </c>
      <c r="F1295" s="3">
        <v>2</v>
      </c>
      <c r="G1295" s="3" t="s">
        <v>7158</v>
      </c>
      <c r="H1295" s="3">
        <v>0.1</v>
      </c>
      <c r="I1295" s="3">
        <v>0.2</v>
      </c>
    </row>
    <row r="1296" spans="1:9" ht="45" customHeight="1" x14ac:dyDescent="0.25">
      <c r="A1296" s="2" t="s">
        <v>1479</v>
      </c>
      <c r="B1296" s="2" t="s">
        <v>6379</v>
      </c>
      <c r="C1296" s="2" t="s">
        <v>4830</v>
      </c>
      <c r="D1296" s="2" t="s">
        <v>7153</v>
      </c>
      <c r="E1296" s="2" t="s">
        <v>7154</v>
      </c>
      <c r="F1296" s="2">
        <v>14</v>
      </c>
      <c r="G1296" s="2" t="s">
        <v>7155</v>
      </c>
      <c r="H1296" s="2">
        <v>1.24E-2</v>
      </c>
      <c r="I1296" s="2">
        <v>0.1736</v>
      </c>
    </row>
    <row r="1297" spans="1:9" ht="45" customHeight="1" x14ac:dyDescent="0.25">
      <c r="A1297" s="3" t="s">
        <v>1479</v>
      </c>
      <c r="B1297" s="3" t="s">
        <v>6379</v>
      </c>
      <c r="C1297" s="3" t="s">
        <v>4830</v>
      </c>
      <c r="D1297" s="3" t="s">
        <v>7186</v>
      </c>
      <c r="E1297" s="3" t="s">
        <v>7187</v>
      </c>
      <c r="F1297" s="3">
        <v>1</v>
      </c>
      <c r="G1297" s="3" t="s">
        <v>7158</v>
      </c>
      <c r="H1297" s="3">
        <v>26</v>
      </c>
      <c r="I1297" s="3">
        <v>26</v>
      </c>
    </row>
    <row r="1298" spans="1:9" ht="45" customHeight="1" x14ac:dyDescent="0.25">
      <c r="A1298" s="2" t="s">
        <v>1479</v>
      </c>
      <c r="B1298" s="2" t="s">
        <v>6379</v>
      </c>
      <c r="C1298" s="2" t="s">
        <v>4830</v>
      </c>
      <c r="D1298" s="2" t="s">
        <v>7159</v>
      </c>
      <c r="E1298" s="2" t="s">
        <v>7160</v>
      </c>
      <c r="F1298" s="2">
        <v>20</v>
      </c>
      <c r="G1298" s="2" t="s">
        <v>7155</v>
      </c>
      <c r="H1298" s="2">
        <v>1.8319999999999999E-2</v>
      </c>
      <c r="I1298" s="2">
        <v>0.3664</v>
      </c>
    </row>
    <row r="1299" spans="1:9" ht="45" customHeight="1" x14ac:dyDescent="0.25">
      <c r="A1299" s="3" t="s">
        <v>1479</v>
      </c>
      <c r="B1299" s="3" t="s">
        <v>6379</v>
      </c>
      <c r="C1299" s="3" t="s">
        <v>4830</v>
      </c>
      <c r="D1299" s="3" t="s">
        <v>7190</v>
      </c>
      <c r="E1299" s="3" t="s">
        <v>7191</v>
      </c>
      <c r="F1299" s="3">
        <v>0.59699999999999998</v>
      </c>
      <c r="G1299" s="3" t="s">
        <v>7163</v>
      </c>
      <c r="H1299" s="3" t="s">
        <v>7164</v>
      </c>
      <c r="I1299" s="3">
        <v>0.59699999999999998</v>
      </c>
    </row>
    <row r="1300" spans="1:9" ht="45" customHeight="1" x14ac:dyDescent="0.25">
      <c r="A1300" s="2" t="s">
        <v>1479</v>
      </c>
      <c r="B1300" s="2" t="s">
        <v>6379</v>
      </c>
      <c r="C1300" s="2" t="s">
        <v>4830</v>
      </c>
      <c r="D1300" s="2" t="s">
        <v>7188</v>
      </c>
      <c r="E1300" s="2" t="s">
        <v>7189</v>
      </c>
      <c r="F1300" s="2">
        <v>4</v>
      </c>
      <c r="G1300" s="2" t="s">
        <v>7158</v>
      </c>
      <c r="H1300" s="2">
        <v>0.27</v>
      </c>
      <c r="I1300" s="2">
        <v>1.08</v>
      </c>
    </row>
    <row r="1301" spans="1:9" ht="45" customHeight="1" x14ac:dyDescent="0.25">
      <c r="A1301" s="3" t="s">
        <v>1479</v>
      </c>
      <c r="B1301" s="3" t="s">
        <v>6379</v>
      </c>
      <c r="C1301" s="3" t="s">
        <v>4830</v>
      </c>
      <c r="D1301" s="3" t="s">
        <v>7165</v>
      </c>
      <c r="E1301" s="3" t="s">
        <v>7166</v>
      </c>
      <c r="F1301" s="3">
        <v>4</v>
      </c>
      <c r="G1301" s="3" t="s">
        <v>7158</v>
      </c>
      <c r="H1301" s="3">
        <v>0.1</v>
      </c>
      <c r="I1301" s="3">
        <v>0.4</v>
      </c>
    </row>
    <row r="1302" spans="1:9" ht="22.5" customHeight="1" x14ac:dyDescent="0.25">
      <c r="A1302" s="2" t="s">
        <v>600</v>
      </c>
      <c r="B1302" s="2" t="s">
        <v>6387</v>
      </c>
      <c r="C1302" s="2" t="s">
        <v>4762</v>
      </c>
      <c r="D1302" s="2" t="s">
        <v>7153</v>
      </c>
      <c r="E1302" s="2" t="s">
        <v>7154</v>
      </c>
      <c r="F1302" s="2">
        <v>7</v>
      </c>
      <c r="G1302" s="2" t="s">
        <v>7155</v>
      </c>
      <c r="H1302" s="2">
        <v>1.24E-2</v>
      </c>
      <c r="I1302" s="2">
        <v>8.6800000000000002E-2</v>
      </c>
    </row>
    <row r="1303" spans="1:9" ht="33.75" customHeight="1" x14ac:dyDescent="0.25">
      <c r="A1303" s="3" t="s">
        <v>600</v>
      </c>
      <c r="B1303" s="3" t="s">
        <v>6387</v>
      </c>
      <c r="C1303" s="3" t="s">
        <v>4762</v>
      </c>
      <c r="D1303" s="3" t="s">
        <v>7186</v>
      </c>
      <c r="E1303" s="3" t="s">
        <v>7187</v>
      </c>
      <c r="F1303" s="3">
        <v>1</v>
      </c>
      <c r="G1303" s="3" t="s">
        <v>7158</v>
      </c>
      <c r="H1303" s="3">
        <v>26</v>
      </c>
      <c r="I1303" s="3">
        <v>26</v>
      </c>
    </row>
    <row r="1304" spans="1:9" ht="22.5" customHeight="1" x14ac:dyDescent="0.25">
      <c r="A1304" s="2" t="s">
        <v>600</v>
      </c>
      <c r="B1304" s="2" t="s">
        <v>6387</v>
      </c>
      <c r="C1304" s="2" t="s">
        <v>4762</v>
      </c>
      <c r="D1304" s="2" t="s">
        <v>7159</v>
      </c>
      <c r="E1304" s="2" t="s">
        <v>7160</v>
      </c>
      <c r="F1304" s="2">
        <v>20</v>
      </c>
      <c r="G1304" s="2" t="s">
        <v>7155</v>
      </c>
      <c r="H1304" s="2">
        <v>1.8319999999999999E-2</v>
      </c>
      <c r="I1304" s="2">
        <v>0.3664</v>
      </c>
    </row>
    <row r="1305" spans="1:9" ht="22.5" customHeight="1" x14ac:dyDescent="0.25">
      <c r="A1305" s="3" t="s">
        <v>600</v>
      </c>
      <c r="B1305" s="3" t="s">
        <v>6387</v>
      </c>
      <c r="C1305" s="3" t="s">
        <v>4762</v>
      </c>
      <c r="D1305" s="3" t="s">
        <v>7161</v>
      </c>
      <c r="E1305" s="3" t="s">
        <v>7162</v>
      </c>
      <c r="F1305" s="3">
        <v>0.186</v>
      </c>
      <c r="G1305" s="3" t="s">
        <v>7163</v>
      </c>
      <c r="H1305" s="3" t="s">
        <v>7164</v>
      </c>
      <c r="I1305" s="3">
        <v>0.186</v>
      </c>
    </row>
    <row r="1306" spans="1:9" ht="22.5" customHeight="1" x14ac:dyDescent="0.25">
      <c r="A1306" s="2" t="s">
        <v>600</v>
      </c>
      <c r="B1306" s="2" t="s">
        <v>6387</v>
      </c>
      <c r="C1306" s="2" t="s">
        <v>4762</v>
      </c>
      <c r="D1306" s="2" t="s">
        <v>7207</v>
      </c>
      <c r="E1306" s="2" t="s">
        <v>7208</v>
      </c>
      <c r="F1306" s="2">
        <v>2.08</v>
      </c>
      <c r="G1306" s="2" t="s">
        <v>7163</v>
      </c>
      <c r="H1306" s="2" t="s">
        <v>7164</v>
      </c>
      <c r="I1306" s="2">
        <v>2.08</v>
      </c>
    </row>
    <row r="1307" spans="1:9" ht="33.75" customHeight="1" x14ac:dyDescent="0.25">
      <c r="A1307" s="3" t="s">
        <v>600</v>
      </c>
      <c r="B1307" s="3" t="s">
        <v>6387</v>
      </c>
      <c r="C1307" s="3" t="s">
        <v>4762</v>
      </c>
      <c r="D1307" s="3" t="s">
        <v>7188</v>
      </c>
      <c r="E1307" s="3" t="s">
        <v>7189</v>
      </c>
      <c r="F1307" s="3">
        <v>5</v>
      </c>
      <c r="G1307" s="3" t="s">
        <v>7158</v>
      </c>
      <c r="H1307" s="3">
        <v>0.27</v>
      </c>
      <c r="I1307" s="3">
        <v>1.35</v>
      </c>
    </row>
    <row r="1308" spans="1:9" ht="33.75" customHeight="1" x14ac:dyDescent="0.25">
      <c r="A1308" s="2" t="s">
        <v>600</v>
      </c>
      <c r="B1308" s="2" t="s">
        <v>6387</v>
      </c>
      <c r="C1308" s="2" t="s">
        <v>4762</v>
      </c>
      <c r="D1308" s="2" t="s">
        <v>7165</v>
      </c>
      <c r="E1308" s="2" t="s">
        <v>7166</v>
      </c>
      <c r="F1308" s="2">
        <v>2</v>
      </c>
      <c r="G1308" s="2" t="s">
        <v>7158</v>
      </c>
      <c r="H1308" s="2">
        <v>0.1</v>
      </c>
      <c r="I1308" s="2">
        <v>0.2</v>
      </c>
    </row>
    <row r="1309" spans="1:9" x14ac:dyDescent="0.25">
      <c r="A1309" s="3" t="s">
        <v>4193</v>
      </c>
      <c r="B1309" s="3" t="s">
        <v>4192</v>
      </c>
      <c r="C1309" s="3" t="s">
        <v>5028</v>
      </c>
      <c r="D1309" s="3" t="s">
        <v>7153</v>
      </c>
      <c r="E1309" s="3"/>
      <c r="F1309" s="3">
        <v>14</v>
      </c>
      <c r="G1309" s="3" t="s">
        <v>7155</v>
      </c>
      <c r="H1309" s="3">
        <v>1.24E-2</v>
      </c>
      <c r="I1309" s="3">
        <v>0.1736</v>
      </c>
    </row>
    <row r="1310" spans="1:9" x14ac:dyDescent="0.25">
      <c r="A1310" s="2" t="s">
        <v>4193</v>
      </c>
      <c r="B1310" s="2" t="s">
        <v>4192</v>
      </c>
      <c r="C1310" s="2" t="s">
        <v>5028</v>
      </c>
      <c r="D1310" s="2" t="s">
        <v>7228</v>
      </c>
      <c r="E1310" s="2"/>
      <c r="F1310" s="2">
        <v>3</v>
      </c>
      <c r="G1310" s="2" t="s">
        <v>7158</v>
      </c>
      <c r="H1310" s="2">
        <v>0.06</v>
      </c>
      <c r="I1310" s="2">
        <v>0.18</v>
      </c>
    </row>
    <row r="1311" spans="1:9" x14ac:dyDescent="0.25">
      <c r="A1311" s="3" t="s">
        <v>4193</v>
      </c>
      <c r="B1311" s="3" t="s">
        <v>4192</v>
      </c>
      <c r="C1311" s="3" t="s">
        <v>5028</v>
      </c>
      <c r="D1311" s="3" t="s">
        <v>7156</v>
      </c>
      <c r="E1311" s="3"/>
      <c r="F1311" s="3">
        <v>1</v>
      </c>
      <c r="G1311" s="3" t="s">
        <v>7158</v>
      </c>
      <c r="H1311" s="3">
        <v>26</v>
      </c>
      <c r="I1311" s="3">
        <v>26</v>
      </c>
    </row>
    <row r="1312" spans="1:9" x14ac:dyDescent="0.25">
      <c r="A1312" s="2" t="s">
        <v>4193</v>
      </c>
      <c r="B1312" s="2" t="s">
        <v>4192</v>
      </c>
      <c r="C1312" s="2" t="s">
        <v>5028</v>
      </c>
      <c r="D1312" s="2" t="s">
        <v>7159</v>
      </c>
      <c r="E1312" s="2"/>
      <c r="F1312" s="2">
        <v>20</v>
      </c>
      <c r="G1312" s="2" t="s">
        <v>7155</v>
      </c>
      <c r="H1312" s="2">
        <v>1.8319999999999999E-2</v>
      </c>
      <c r="I1312" s="2">
        <v>0.3664</v>
      </c>
    </row>
    <row r="1313" spans="1:9" x14ac:dyDescent="0.25">
      <c r="A1313" s="3" t="s">
        <v>4193</v>
      </c>
      <c r="B1313" s="3" t="s">
        <v>4192</v>
      </c>
      <c r="C1313" s="3" t="s">
        <v>5028</v>
      </c>
      <c r="D1313" s="3" t="s">
        <v>7161</v>
      </c>
      <c r="E1313" s="3"/>
      <c r="F1313" s="3">
        <v>0.186</v>
      </c>
      <c r="G1313" s="3" t="s">
        <v>7163</v>
      </c>
      <c r="H1313" s="3">
        <v>0</v>
      </c>
      <c r="I1313" s="3">
        <v>0</v>
      </c>
    </row>
    <row r="1314" spans="1:9" x14ac:dyDescent="0.25">
      <c r="A1314" s="2" t="s">
        <v>4193</v>
      </c>
      <c r="B1314" s="2" t="s">
        <v>4192</v>
      </c>
      <c r="C1314" s="2" t="s">
        <v>5028</v>
      </c>
      <c r="D1314" s="2" t="s">
        <v>7207</v>
      </c>
      <c r="E1314" s="2"/>
      <c r="F1314" s="2">
        <v>2.3940000000000001</v>
      </c>
      <c r="G1314" s="2" t="s">
        <v>7163</v>
      </c>
      <c r="H1314" s="2">
        <v>0</v>
      </c>
      <c r="I1314" s="2">
        <v>0</v>
      </c>
    </row>
    <row r="1315" spans="1:9" x14ac:dyDescent="0.25">
      <c r="A1315" s="3" t="s">
        <v>4193</v>
      </c>
      <c r="B1315" s="3" t="s">
        <v>4192</v>
      </c>
      <c r="C1315" s="3" t="s">
        <v>5028</v>
      </c>
      <c r="D1315" s="3" t="s">
        <v>7165</v>
      </c>
      <c r="E1315" s="3"/>
      <c r="F1315" s="3">
        <v>4</v>
      </c>
      <c r="G1315" s="3" t="s">
        <v>7158</v>
      </c>
      <c r="H1315" s="3">
        <v>0.1</v>
      </c>
      <c r="I1315" s="3">
        <v>0.4</v>
      </c>
    </row>
    <row r="1316" spans="1:9" x14ac:dyDescent="0.25">
      <c r="A1316" s="2" t="s">
        <v>4193</v>
      </c>
      <c r="B1316" s="2" t="s">
        <v>4192</v>
      </c>
      <c r="C1316" s="2" t="s">
        <v>5028</v>
      </c>
      <c r="D1316" s="2" t="s">
        <v>7167</v>
      </c>
      <c r="E1316" s="2"/>
      <c r="F1316" s="2">
        <v>4</v>
      </c>
      <c r="G1316" s="2" t="s">
        <v>7158</v>
      </c>
      <c r="H1316" s="2">
        <v>0.2</v>
      </c>
      <c r="I1316" s="2">
        <v>0.8</v>
      </c>
    </row>
    <row r="1317" spans="1:9" x14ac:dyDescent="0.25">
      <c r="A1317" s="3" t="s">
        <v>4193</v>
      </c>
      <c r="B1317" s="3" t="s">
        <v>4192</v>
      </c>
      <c r="C1317" s="3" t="s">
        <v>5028</v>
      </c>
      <c r="D1317" s="3" t="s">
        <v>7179</v>
      </c>
      <c r="E1317" s="3"/>
      <c r="F1317" s="3">
        <v>63</v>
      </c>
      <c r="G1317" s="3" t="s">
        <v>7158</v>
      </c>
      <c r="H1317" s="3">
        <v>1.08E-3</v>
      </c>
      <c r="I1317" s="3">
        <v>6.8040000000000003E-2</v>
      </c>
    </row>
    <row r="1318" spans="1:9" ht="22.5" customHeight="1" x14ac:dyDescent="0.25">
      <c r="A1318" s="2" t="s">
        <v>486</v>
      </c>
      <c r="B1318" s="2" t="s">
        <v>485</v>
      </c>
      <c r="C1318" s="2" t="s">
        <v>4747</v>
      </c>
      <c r="D1318" s="2" t="s">
        <v>7156</v>
      </c>
      <c r="E1318" s="2" t="s">
        <v>7157</v>
      </c>
      <c r="F1318" s="2">
        <v>1</v>
      </c>
      <c r="G1318" s="2" t="s">
        <v>7158</v>
      </c>
      <c r="H1318" s="2">
        <v>26</v>
      </c>
      <c r="I1318" s="2">
        <v>26</v>
      </c>
    </row>
    <row r="1319" spans="1:9" ht="22.5" customHeight="1" x14ac:dyDescent="0.25">
      <c r="A1319" s="3" t="s">
        <v>486</v>
      </c>
      <c r="B1319" s="3" t="s">
        <v>485</v>
      </c>
      <c r="C1319" s="3" t="s">
        <v>4747</v>
      </c>
      <c r="D1319" s="3" t="s">
        <v>7159</v>
      </c>
      <c r="E1319" s="3" t="s">
        <v>7160</v>
      </c>
      <c r="F1319" s="3">
        <v>20</v>
      </c>
      <c r="G1319" s="3" t="s">
        <v>7155</v>
      </c>
      <c r="H1319" s="3">
        <v>1.8319999999999999E-2</v>
      </c>
      <c r="I1319" s="3">
        <v>0.3664</v>
      </c>
    </row>
    <row r="1320" spans="1:9" ht="22.5" customHeight="1" x14ac:dyDescent="0.25">
      <c r="A1320" s="2" t="s">
        <v>486</v>
      </c>
      <c r="B1320" s="2" t="s">
        <v>485</v>
      </c>
      <c r="C1320" s="2" t="s">
        <v>4747</v>
      </c>
      <c r="D1320" s="2" t="s">
        <v>7161</v>
      </c>
      <c r="E1320" s="2" t="s">
        <v>7162</v>
      </c>
      <c r="F1320" s="2">
        <v>0.186</v>
      </c>
      <c r="G1320" s="2" t="s">
        <v>7163</v>
      </c>
      <c r="H1320" s="2" t="s">
        <v>7164</v>
      </c>
      <c r="I1320" s="2">
        <v>0.186</v>
      </c>
    </row>
    <row r="1321" spans="1:9" ht="33.75" customHeight="1" x14ac:dyDescent="0.25">
      <c r="A1321" s="3" t="s">
        <v>486</v>
      </c>
      <c r="B1321" s="3" t="s">
        <v>485</v>
      </c>
      <c r="C1321" s="3" t="s">
        <v>4747</v>
      </c>
      <c r="D1321" s="3" t="s">
        <v>7212</v>
      </c>
      <c r="E1321" s="3" t="s">
        <v>7213</v>
      </c>
      <c r="F1321" s="3">
        <v>6</v>
      </c>
      <c r="G1321" s="3" t="s">
        <v>7158</v>
      </c>
      <c r="H1321" s="3">
        <v>0.21</v>
      </c>
      <c r="I1321" s="3">
        <v>1.26</v>
      </c>
    </row>
    <row r="1322" spans="1:9" ht="33.75" customHeight="1" x14ac:dyDescent="0.25">
      <c r="A1322" s="2" t="s">
        <v>486</v>
      </c>
      <c r="B1322" s="2" t="s">
        <v>485</v>
      </c>
      <c r="C1322" s="2" t="s">
        <v>4747</v>
      </c>
      <c r="D1322" s="2" t="s">
        <v>7167</v>
      </c>
      <c r="E1322" s="2" t="s">
        <v>7168</v>
      </c>
      <c r="F1322" s="2">
        <v>5</v>
      </c>
      <c r="G1322" s="2" t="s">
        <v>7158</v>
      </c>
      <c r="H1322" s="2">
        <v>0.2</v>
      </c>
      <c r="I1322" s="2">
        <v>1</v>
      </c>
    </row>
    <row r="1323" spans="1:9" ht="33.75" customHeight="1" x14ac:dyDescent="0.25">
      <c r="A1323" s="3" t="s">
        <v>486</v>
      </c>
      <c r="B1323" s="3" t="s">
        <v>485</v>
      </c>
      <c r="C1323" s="3" t="s">
        <v>4747</v>
      </c>
      <c r="D1323" s="3" t="s">
        <v>7270</v>
      </c>
      <c r="E1323" s="3" t="s">
        <v>7271</v>
      </c>
      <c r="F1323" s="3">
        <v>64</v>
      </c>
      <c r="G1323" s="3" t="s">
        <v>7158</v>
      </c>
      <c r="H1323" s="3">
        <v>0.25</v>
      </c>
      <c r="I1323" s="3">
        <v>16</v>
      </c>
    </row>
    <row r="1324" spans="1:9" ht="22.5" customHeight="1" x14ac:dyDescent="0.25">
      <c r="A1324" s="2" t="s">
        <v>3246</v>
      </c>
      <c r="B1324" s="2" t="s">
        <v>3245</v>
      </c>
      <c r="C1324" s="2" t="s">
        <v>4967</v>
      </c>
      <c r="D1324" s="2" t="s">
        <v>7153</v>
      </c>
      <c r="E1324" s="2" t="s">
        <v>7154</v>
      </c>
      <c r="F1324" s="2">
        <v>14</v>
      </c>
      <c r="G1324" s="2" t="s">
        <v>7155</v>
      </c>
      <c r="H1324" s="2">
        <v>1.24E-2</v>
      </c>
      <c r="I1324" s="2">
        <v>0.1736</v>
      </c>
    </row>
    <row r="1325" spans="1:9" ht="33.75" customHeight="1" x14ac:dyDescent="0.25">
      <c r="A1325" s="3" t="s">
        <v>3246</v>
      </c>
      <c r="B1325" s="3" t="s">
        <v>3245</v>
      </c>
      <c r="C1325" s="3" t="s">
        <v>4967</v>
      </c>
      <c r="D1325" s="3" t="s">
        <v>7186</v>
      </c>
      <c r="E1325" s="3" t="s">
        <v>7187</v>
      </c>
      <c r="F1325" s="3">
        <v>1</v>
      </c>
      <c r="G1325" s="3" t="s">
        <v>7158</v>
      </c>
      <c r="H1325" s="3">
        <v>26</v>
      </c>
      <c r="I1325" s="3">
        <v>26</v>
      </c>
    </row>
    <row r="1326" spans="1:9" ht="22.5" customHeight="1" x14ac:dyDescent="0.25">
      <c r="A1326" s="2" t="s">
        <v>3246</v>
      </c>
      <c r="B1326" s="2" t="s">
        <v>3245</v>
      </c>
      <c r="C1326" s="2" t="s">
        <v>4967</v>
      </c>
      <c r="D1326" s="2" t="s">
        <v>7159</v>
      </c>
      <c r="E1326" s="2" t="s">
        <v>7160</v>
      </c>
      <c r="F1326" s="2">
        <v>20</v>
      </c>
      <c r="G1326" s="2" t="s">
        <v>7155</v>
      </c>
      <c r="H1326" s="2">
        <v>1.8319999999999999E-2</v>
      </c>
      <c r="I1326" s="2">
        <v>0.3664</v>
      </c>
    </row>
    <row r="1327" spans="1:9" ht="22.5" customHeight="1" x14ac:dyDescent="0.25">
      <c r="A1327" s="3" t="s">
        <v>3246</v>
      </c>
      <c r="B1327" s="3" t="s">
        <v>3245</v>
      </c>
      <c r="C1327" s="3" t="s">
        <v>4967</v>
      </c>
      <c r="D1327" s="3" t="s">
        <v>7161</v>
      </c>
      <c r="E1327" s="3" t="s">
        <v>7162</v>
      </c>
      <c r="F1327" s="3">
        <v>0.186</v>
      </c>
      <c r="G1327" s="3" t="s">
        <v>7163</v>
      </c>
      <c r="H1327" s="3" t="s">
        <v>7164</v>
      </c>
      <c r="I1327" s="3">
        <v>0.186</v>
      </c>
    </row>
    <row r="1328" spans="1:9" ht="33.75" customHeight="1" x14ac:dyDescent="0.25">
      <c r="A1328" s="2" t="s">
        <v>3246</v>
      </c>
      <c r="B1328" s="2" t="s">
        <v>3245</v>
      </c>
      <c r="C1328" s="2" t="s">
        <v>4967</v>
      </c>
      <c r="D1328" s="2" t="s">
        <v>7212</v>
      </c>
      <c r="E1328" s="2" t="s">
        <v>7213</v>
      </c>
      <c r="F1328" s="2">
        <v>6</v>
      </c>
      <c r="G1328" s="2" t="s">
        <v>7158</v>
      </c>
      <c r="H1328" s="2">
        <v>0.21</v>
      </c>
      <c r="I1328" s="2">
        <v>1.26</v>
      </c>
    </row>
    <row r="1329" spans="1:9" ht="33.75" customHeight="1" x14ac:dyDescent="0.25">
      <c r="A1329" s="3" t="s">
        <v>3246</v>
      </c>
      <c r="B1329" s="3" t="s">
        <v>3245</v>
      </c>
      <c r="C1329" s="3" t="s">
        <v>4967</v>
      </c>
      <c r="D1329" s="3" t="s">
        <v>7188</v>
      </c>
      <c r="E1329" s="3" t="s">
        <v>7189</v>
      </c>
      <c r="F1329" s="3">
        <v>4</v>
      </c>
      <c r="G1329" s="3" t="s">
        <v>7158</v>
      </c>
      <c r="H1329" s="3">
        <v>0.27</v>
      </c>
      <c r="I1329" s="3">
        <v>1.08</v>
      </c>
    </row>
    <row r="1330" spans="1:9" ht="22.5" customHeight="1" x14ac:dyDescent="0.25">
      <c r="A1330" s="2" t="s">
        <v>3246</v>
      </c>
      <c r="B1330" s="2" t="s">
        <v>3245</v>
      </c>
      <c r="C1330" s="2" t="s">
        <v>4967</v>
      </c>
      <c r="D1330" s="2" t="s">
        <v>7241</v>
      </c>
      <c r="E1330" s="2" t="s">
        <v>7242</v>
      </c>
      <c r="F1330" s="2">
        <v>66</v>
      </c>
      <c r="G1330" s="2" t="s">
        <v>7158</v>
      </c>
      <c r="H1330" s="2">
        <v>0.24</v>
      </c>
      <c r="I1330" s="2">
        <v>15.84</v>
      </c>
    </row>
    <row r="1331" spans="1:9" ht="22.5" customHeight="1" x14ac:dyDescent="0.25">
      <c r="A1331" s="3" t="s">
        <v>2349</v>
      </c>
      <c r="B1331" s="3" t="s">
        <v>2348</v>
      </c>
      <c r="C1331" s="3" t="s">
        <v>4904</v>
      </c>
      <c r="D1331" s="3" t="s">
        <v>7153</v>
      </c>
      <c r="E1331" s="3" t="s">
        <v>7154</v>
      </c>
      <c r="F1331" s="3">
        <v>14</v>
      </c>
      <c r="G1331" s="3" t="s">
        <v>7155</v>
      </c>
      <c r="H1331" s="3">
        <v>1.24E-2</v>
      </c>
      <c r="I1331" s="3">
        <v>0.1736</v>
      </c>
    </row>
    <row r="1332" spans="1:9" ht="33.75" customHeight="1" x14ac:dyDescent="0.25">
      <c r="A1332" s="2" t="s">
        <v>2349</v>
      </c>
      <c r="B1332" s="2" t="s">
        <v>2348</v>
      </c>
      <c r="C1332" s="2" t="s">
        <v>4904</v>
      </c>
      <c r="D1332" s="2" t="s">
        <v>7186</v>
      </c>
      <c r="E1332" s="2" t="s">
        <v>7187</v>
      </c>
      <c r="F1332" s="2">
        <v>1</v>
      </c>
      <c r="G1332" s="2" t="s">
        <v>7158</v>
      </c>
      <c r="H1332" s="2">
        <v>26</v>
      </c>
      <c r="I1332" s="2">
        <v>26</v>
      </c>
    </row>
    <row r="1333" spans="1:9" ht="22.5" customHeight="1" x14ac:dyDescent="0.25">
      <c r="A1333" s="3" t="s">
        <v>2349</v>
      </c>
      <c r="B1333" s="3" t="s">
        <v>2348</v>
      </c>
      <c r="C1333" s="3" t="s">
        <v>4904</v>
      </c>
      <c r="D1333" s="3" t="s">
        <v>7159</v>
      </c>
      <c r="E1333" s="3" t="s">
        <v>7160</v>
      </c>
      <c r="F1333" s="3">
        <v>20</v>
      </c>
      <c r="G1333" s="3" t="s">
        <v>7155</v>
      </c>
      <c r="H1333" s="3">
        <v>1.8319999999999999E-2</v>
      </c>
      <c r="I1333" s="3">
        <v>0.3664</v>
      </c>
    </row>
    <row r="1334" spans="1:9" ht="22.5" customHeight="1" x14ac:dyDescent="0.25">
      <c r="A1334" s="2" t="s">
        <v>2349</v>
      </c>
      <c r="B1334" s="2" t="s">
        <v>2348</v>
      </c>
      <c r="C1334" s="2" t="s">
        <v>4904</v>
      </c>
      <c r="D1334" s="2" t="s">
        <v>7161</v>
      </c>
      <c r="E1334" s="2" t="s">
        <v>7162</v>
      </c>
      <c r="F1334" s="2">
        <v>0.186</v>
      </c>
      <c r="G1334" s="2" t="s">
        <v>7163</v>
      </c>
      <c r="H1334" s="2" t="s">
        <v>7164</v>
      </c>
      <c r="I1334" s="2">
        <v>0.186</v>
      </c>
    </row>
    <row r="1335" spans="1:9" ht="33.75" customHeight="1" x14ac:dyDescent="0.25">
      <c r="A1335" s="3" t="s">
        <v>2349</v>
      </c>
      <c r="B1335" s="3" t="s">
        <v>2348</v>
      </c>
      <c r="C1335" s="3" t="s">
        <v>4904</v>
      </c>
      <c r="D1335" s="3" t="s">
        <v>7212</v>
      </c>
      <c r="E1335" s="3" t="s">
        <v>7213</v>
      </c>
      <c r="F1335" s="3">
        <v>8</v>
      </c>
      <c r="G1335" s="3" t="s">
        <v>7158</v>
      </c>
      <c r="H1335" s="3">
        <v>0.21</v>
      </c>
      <c r="I1335" s="3">
        <v>1.68</v>
      </c>
    </row>
    <row r="1336" spans="1:9" ht="33.75" customHeight="1" x14ac:dyDescent="0.25">
      <c r="A1336" s="2" t="s">
        <v>2349</v>
      </c>
      <c r="B1336" s="2" t="s">
        <v>2348</v>
      </c>
      <c r="C1336" s="2" t="s">
        <v>4904</v>
      </c>
      <c r="D1336" s="2" t="s">
        <v>7188</v>
      </c>
      <c r="E1336" s="2" t="s">
        <v>7189</v>
      </c>
      <c r="F1336" s="2">
        <v>4</v>
      </c>
      <c r="G1336" s="2" t="s">
        <v>7158</v>
      </c>
      <c r="H1336" s="2">
        <v>0.27</v>
      </c>
      <c r="I1336" s="2">
        <v>1.08</v>
      </c>
    </row>
    <row r="1337" spans="1:9" ht="33.75" customHeight="1" x14ac:dyDescent="0.25">
      <c r="A1337" s="3" t="s">
        <v>2349</v>
      </c>
      <c r="B1337" s="3" t="s">
        <v>2348</v>
      </c>
      <c r="C1337" s="3" t="s">
        <v>4904</v>
      </c>
      <c r="D1337" s="3" t="s">
        <v>7296</v>
      </c>
      <c r="E1337" s="3" t="s">
        <v>7297</v>
      </c>
      <c r="F1337" s="3">
        <v>66</v>
      </c>
      <c r="G1337" s="3" t="s">
        <v>7158</v>
      </c>
      <c r="H1337" s="3">
        <v>0.24</v>
      </c>
      <c r="I1337" s="3">
        <v>15.84</v>
      </c>
    </row>
    <row r="1338" spans="1:9" ht="22.5" customHeight="1" x14ac:dyDescent="0.25">
      <c r="A1338" s="2" t="s">
        <v>2767</v>
      </c>
      <c r="B1338" s="2" t="s">
        <v>2766</v>
      </c>
      <c r="C1338" s="2" t="s">
        <v>4941</v>
      </c>
      <c r="D1338" s="2" t="s">
        <v>7153</v>
      </c>
      <c r="E1338" s="2" t="s">
        <v>7154</v>
      </c>
      <c r="F1338" s="2">
        <v>14</v>
      </c>
      <c r="G1338" s="2" t="s">
        <v>7155</v>
      </c>
      <c r="H1338" s="2">
        <v>1.24E-2</v>
      </c>
      <c r="I1338" s="2">
        <v>0.1736</v>
      </c>
    </row>
    <row r="1339" spans="1:9" ht="33.75" customHeight="1" x14ac:dyDescent="0.25">
      <c r="A1339" s="3" t="s">
        <v>2767</v>
      </c>
      <c r="B1339" s="3" t="s">
        <v>2766</v>
      </c>
      <c r="C1339" s="3" t="s">
        <v>4941</v>
      </c>
      <c r="D1339" s="3" t="s">
        <v>7186</v>
      </c>
      <c r="E1339" s="3" t="s">
        <v>7187</v>
      </c>
      <c r="F1339" s="3">
        <v>1</v>
      </c>
      <c r="G1339" s="3" t="s">
        <v>7158</v>
      </c>
      <c r="H1339" s="3">
        <v>26</v>
      </c>
      <c r="I1339" s="3">
        <v>26</v>
      </c>
    </row>
    <row r="1340" spans="1:9" ht="22.5" customHeight="1" x14ac:dyDescent="0.25">
      <c r="A1340" s="2" t="s">
        <v>2767</v>
      </c>
      <c r="B1340" s="2" t="s">
        <v>2766</v>
      </c>
      <c r="C1340" s="2" t="s">
        <v>4941</v>
      </c>
      <c r="D1340" s="2" t="s">
        <v>7159</v>
      </c>
      <c r="E1340" s="2" t="s">
        <v>7160</v>
      </c>
      <c r="F1340" s="2">
        <v>20</v>
      </c>
      <c r="G1340" s="2" t="s">
        <v>7155</v>
      </c>
      <c r="H1340" s="2">
        <v>1.8319999999999999E-2</v>
      </c>
      <c r="I1340" s="2">
        <v>0.3664</v>
      </c>
    </row>
    <row r="1341" spans="1:9" ht="22.5" customHeight="1" x14ac:dyDescent="0.25">
      <c r="A1341" s="3" t="s">
        <v>2767</v>
      </c>
      <c r="B1341" s="3" t="s">
        <v>2766</v>
      </c>
      <c r="C1341" s="3" t="s">
        <v>4941</v>
      </c>
      <c r="D1341" s="3" t="s">
        <v>7161</v>
      </c>
      <c r="E1341" s="3" t="s">
        <v>7162</v>
      </c>
      <c r="F1341" s="3">
        <v>0.186</v>
      </c>
      <c r="G1341" s="3" t="s">
        <v>7163</v>
      </c>
      <c r="H1341" s="3" t="s">
        <v>7164</v>
      </c>
      <c r="I1341" s="3">
        <v>0.186</v>
      </c>
    </row>
    <row r="1342" spans="1:9" ht="33.75" customHeight="1" x14ac:dyDescent="0.25">
      <c r="A1342" s="2" t="s">
        <v>2767</v>
      </c>
      <c r="B1342" s="2" t="s">
        <v>2766</v>
      </c>
      <c r="C1342" s="2" t="s">
        <v>4941</v>
      </c>
      <c r="D1342" s="2" t="s">
        <v>7212</v>
      </c>
      <c r="E1342" s="2" t="s">
        <v>7213</v>
      </c>
      <c r="F1342" s="2">
        <v>8</v>
      </c>
      <c r="G1342" s="2" t="s">
        <v>7158</v>
      </c>
      <c r="H1342" s="2">
        <v>0.21</v>
      </c>
      <c r="I1342" s="2">
        <v>1.68</v>
      </c>
    </row>
    <row r="1343" spans="1:9" ht="33.75" customHeight="1" x14ac:dyDescent="0.25">
      <c r="A1343" s="3" t="s">
        <v>2767</v>
      </c>
      <c r="B1343" s="3" t="s">
        <v>2766</v>
      </c>
      <c r="C1343" s="3" t="s">
        <v>4941</v>
      </c>
      <c r="D1343" s="3" t="s">
        <v>7188</v>
      </c>
      <c r="E1343" s="3" t="s">
        <v>7189</v>
      </c>
      <c r="F1343" s="3">
        <v>4</v>
      </c>
      <c r="G1343" s="3" t="s">
        <v>7158</v>
      </c>
      <c r="H1343" s="3">
        <v>0.27</v>
      </c>
      <c r="I1343" s="3">
        <v>1.08</v>
      </c>
    </row>
    <row r="1344" spans="1:9" ht="33.75" customHeight="1" x14ac:dyDescent="0.25">
      <c r="A1344" s="2" t="s">
        <v>2767</v>
      </c>
      <c r="B1344" s="2" t="s">
        <v>2766</v>
      </c>
      <c r="C1344" s="2" t="s">
        <v>4941</v>
      </c>
      <c r="D1344" s="2" t="s">
        <v>7298</v>
      </c>
      <c r="E1344" s="2" t="s">
        <v>7299</v>
      </c>
      <c r="F1344" s="2">
        <v>66</v>
      </c>
      <c r="G1344" s="2" t="s">
        <v>7158</v>
      </c>
      <c r="H1344" s="2">
        <v>0.24</v>
      </c>
      <c r="I1344" s="2">
        <v>15.84</v>
      </c>
    </row>
    <row r="1345" spans="1:9" ht="56.25" customHeight="1" x14ac:dyDescent="0.25">
      <c r="A1345" s="3" t="s">
        <v>2462</v>
      </c>
      <c r="B1345" s="3" t="s">
        <v>6429</v>
      </c>
      <c r="C1345" s="3" t="s">
        <v>4919</v>
      </c>
      <c r="D1345" s="3" t="s">
        <v>7153</v>
      </c>
      <c r="E1345" s="3" t="s">
        <v>7154</v>
      </c>
      <c r="F1345" s="3">
        <v>14</v>
      </c>
      <c r="G1345" s="3" t="s">
        <v>7155</v>
      </c>
      <c r="H1345" s="3">
        <v>1.24E-2</v>
      </c>
      <c r="I1345" s="3">
        <v>0.1736</v>
      </c>
    </row>
    <row r="1346" spans="1:9" ht="56.25" customHeight="1" x14ac:dyDescent="0.25">
      <c r="A1346" s="2" t="s">
        <v>2462</v>
      </c>
      <c r="B1346" s="2" t="s">
        <v>6429</v>
      </c>
      <c r="C1346" s="2" t="s">
        <v>4919</v>
      </c>
      <c r="D1346" s="2" t="s">
        <v>7156</v>
      </c>
      <c r="E1346" s="2" t="s">
        <v>7157</v>
      </c>
      <c r="F1346" s="2">
        <v>1</v>
      </c>
      <c r="G1346" s="2" t="s">
        <v>7158</v>
      </c>
      <c r="H1346" s="2">
        <v>26</v>
      </c>
      <c r="I1346" s="2">
        <v>26</v>
      </c>
    </row>
    <row r="1347" spans="1:9" ht="56.25" customHeight="1" x14ac:dyDescent="0.25">
      <c r="A1347" s="3" t="s">
        <v>2462</v>
      </c>
      <c r="B1347" s="3" t="s">
        <v>6429</v>
      </c>
      <c r="C1347" s="3" t="s">
        <v>4919</v>
      </c>
      <c r="D1347" s="3" t="s">
        <v>7159</v>
      </c>
      <c r="E1347" s="3" t="s">
        <v>7160</v>
      </c>
      <c r="F1347" s="3">
        <v>20</v>
      </c>
      <c r="G1347" s="3" t="s">
        <v>7155</v>
      </c>
      <c r="H1347" s="3">
        <v>1.8319999999999999E-2</v>
      </c>
      <c r="I1347" s="3">
        <v>0.3664</v>
      </c>
    </row>
    <row r="1348" spans="1:9" ht="56.25" customHeight="1" x14ac:dyDescent="0.25">
      <c r="A1348" s="2" t="s">
        <v>2462</v>
      </c>
      <c r="B1348" s="2" t="s">
        <v>6429</v>
      </c>
      <c r="C1348" s="2" t="s">
        <v>4919</v>
      </c>
      <c r="D1348" s="2" t="s">
        <v>7161</v>
      </c>
      <c r="E1348" s="2" t="s">
        <v>7162</v>
      </c>
      <c r="F1348" s="2">
        <v>0.186</v>
      </c>
      <c r="G1348" s="2" t="s">
        <v>7163</v>
      </c>
      <c r="H1348" s="2" t="s">
        <v>7164</v>
      </c>
      <c r="I1348" s="2">
        <v>0.186</v>
      </c>
    </row>
    <row r="1349" spans="1:9" ht="56.25" customHeight="1" x14ac:dyDescent="0.25">
      <c r="A1349" s="3" t="s">
        <v>2462</v>
      </c>
      <c r="B1349" s="3" t="s">
        <v>6429</v>
      </c>
      <c r="C1349" s="3" t="s">
        <v>4919</v>
      </c>
      <c r="D1349" s="3" t="s">
        <v>7165</v>
      </c>
      <c r="E1349" s="3" t="s">
        <v>7166</v>
      </c>
      <c r="F1349" s="3">
        <v>4</v>
      </c>
      <c r="G1349" s="3" t="s">
        <v>7158</v>
      </c>
      <c r="H1349" s="3">
        <v>0.1</v>
      </c>
      <c r="I1349" s="3">
        <v>0.4</v>
      </c>
    </row>
    <row r="1350" spans="1:9" ht="56.25" customHeight="1" x14ac:dyDescent="0.25">
      <c r="A1350" s="2" t="s">
        <v>2462</v>
      </c>
      <c r="B1350" s="2" t="s">
        <v>6429</v>
      </c>
      <c r="C1350" s="2" t="s">
        <v>4919</v>
      </c>
      <c r="D1350" s="2" t="s">
        <v>7167</v>
      </c>
      <c r="E1350" s="2" t="s">
        <v>7168</v>
      </c>
      <c r="F1350" s="2">
        <v>5</v>
      </c>
      <c r="G1350" s="2" t="s">
        <v>7158</v>
      </c>
      <c r="H1350" s="2">
        <v>0.2</v>
      </c>
      <c r="I1350" s="2">
        <v>1</v>
      </c>
    </row>
    <row r="1351" spans="1:9" ht="78.75" customHeight="1" x14ac:dyDescent="0.25">
      <c r="A1351" s="3" t="s">
        <v>846</v>
      </c>
      <c r="B1351" s="3" t="s">
        <v>6437</v>
      </c>
      <c r="C1351" s="3" t="s">
        <v>4800</v>
      </c>
      <c r="D1351" s="3" t="s">
        <v>7153</v>
      </c>
      <c r="E1351" s="3" t="s">
        <v>7154</v>
      </c>
      <c r="F1351" s="3">
        <v>7</v>
      </c>
      <c r="G1351" s="3" t="s">
        <v>7155</v>
      </c>
      <c r="H1351" s="3">
        <v>1.24E-2</v>
      </c>
      <c r="I1351" s="3">
        <v>8.6800000000000002E-2</v>
      </c>
    </row>
    <row r="1352" spans="1:9" ht="78.75" customHeight="1" x14ac:dyDescent="0.25">
      <c r="A1352" s="2" t="s">
        <v>846</v>
      </c>
      <c r="B1352" s="2" t="s">
        <v>6437</v>
      </c>
      <c r="C1352" s="2" t="s">
        <v>4800</v>
      </c>
      <c r="D1352" s="2" t="s">
        <v>7156</v>
      </c>
      <c r="E1352" s="2" t="s">
        <v>7157</v>
      </c>
      <c r="F1352" s="2">
        <v>1</v>
      </c>
      <c r="G1352" s="2" t="s">
        <v>7158</v>
      </c>
      <c r="H1352" s="2">
        <v>26</v>
      </c>
      <c r="I1352" s="2">
        <v>26</v>
      </c>
    </row>
    <row r="1353" spans="1:9" ht="78.75" customHeight="1" x14ac:dyDescent="0.25">
      <c r="A1353" s="3" t="s">
        <v>846</v>
      </c>
      <c r="B1353" s="3" t="s">
        <v>6437</v>
      </c>
      <c r="C1353" s="3" t="s">
        <v>4800</v>
      </c>
      <c r="D1353" s="3" t="s">
        <v>7159</v>
      </c>
      <c r="E1353" s="3" t="s">
        <v>7160</v>
      </c>
      <c r="F1353" s="3">
        <v>20</v>
      </c>
      <c r="G1353" s="3" t="s">
        <v>7155</v>
      </c>
      <c r="H1353" s="3">
        <v>1.8319999999999999E-2</v>
      </c>
      <c r="I1353" s="3">
        <v>0.3664</v>
      </c>
    </row>
    <row r="1354" spans="1:9" ht="78.75" customHeight="1" x14ac:dyDescent="0.25">
      <c r="A1354" s="2" t="s">
        <v>846</v>
      </c>
      <c r="B1354" s="2" t="s">
        <v>6437</v>
      </c>
      <c r="C1354" s="2" t="s">
        <v>4800</v>
      </c>
      <c r="D1354" s="2" t="s">
        <v>7161</v>
      </c>
      <c r="E1354" s="2" t="s">
        <v>7162</v>
      </c>
      <c r="F1354" s="2">
        <v>0.186</v>
      </c>
      <c r="G1354" s="2" t="s">
        <v>7163</v>
      </c>
      <c r="H1354" s="2" t="s">
        <v>7164</v>
      </c>
      <c r="I1354" s="2">
        <v>0.186</v>
      </c>
    </row>
    <row r="1355" spans="1:9" ht="78.75" customHeight="1" x14ac:dyDescent="0.25">
      <c r="A1355" s="3" t="s">
        <v>846</v>
      </c>
      <c r="B1355" s="3" t="s">
        <v>6437</v>
      </c>
      <c r="C1355" s="3" t="s">
        <v>4800</v>
      </c>
      <c r="D1355" s="3" t="s">
        <v>7207</v>
      </c>
      <c r="E1355" s="3" t="s">
        <v>7208</v>
      </c>
      <c r="F1355" s="3">
        <v>2.105</v>
      </c>
      <c r="G1355" s="3" t="s">
        <v>7163</v>
      </c>
      <c r="H1355" s="3" t="s">
        <v>7164</v>
      </c>
      <c r="I1355" s="3">
        <v>2.105</v>
      </c>
    </row>
    <row r="1356" spans="1:9" ht="78.75" customHeight="1" x14ac:dyDescent="0.25">
      <c r="A1356" s="2" t="s">
        <v>846</v>
      </c>
      <c r="B1356" s="2" t="s">
        <v>6437</v>
      </c>
      <c r="C1356" s="2" t="s">
        <v>4800</v>
      </c>
      <c r="D1356" s="2" t="s">
        <v>7165</v>
      </c>
      <c r="E1356" s="2" t="s">
        <v>7166</v>
      </c>
      <c r="F1356" s="2">
        <v>2</v>
      </c>
      <c r="G1356" s="2" t="s">
        <v>7158</v>
      </c>
      <c r="H1356" s="2">
        <v>0.1</v>
      </c>
      <c r="I1356" s="2">
        <v>0.2</v>
      </c>
    </row>
    <row r="1357" spans="1:9" ht="78.75" customHeight="1" x14ac:dyDescent="0.25">
      <c r="A1357" s="3" t="s">
        <v>846</v>
      </c>
      <c r="B1357" s="3" t="s">
        <v>6437</v>
      </c>
      <c r="C1357" s="3" t="s">
        <v>4800</v>
      </c>
      <c r="D1357" s="3" t="s">
        <v>7167</v>
      </c>
      <c r="E1357" s="3" t="s">
        <v>7168</v>
      </c>
      <c r="F1357" s="3">
        <v>5</v>
      </c>
      <c r="G1357" s="3" t="s">
        <v>7158</v>
      </c>
      <c r="H1357" s="3">
        <v>0.2</v>
      </c>
      <c r="I1357" s="3">
        <v>1</v>
      </c>
    </row>
    <row r="1358" spans="1:9" ht="146.25" customHeight="1" x14ac:dyDescent="0.25">
      <c r="A1358" s="2" t="s">
        <v>273</v>
      </c>
      <c r="B1358" s="2" t="s">
        <v>6445</v>
      </c>
      <c r="C1358" s="2" t="s">
        <v>4694</v>
      </c>
      <c r="D1358" s="2" t="s">
        <v>7153</v>
      </c>
      <c r="E1358" s="2" t="s">
        <v>7154</v>
      </c>
      <c r="F1358" s="2">
        <v>7</v>
      </c>
      <c r="G1358" s="2" t="s">
        <v>7155</v>
      </c>
      <c r="H1358" s="2">
        <v>1.24E-2</v>
      </c>
      <c r="I1358" s="2">
        <v>8.6800000000000002E-2</v>
      </c>
    </row>
    <row r="1359" spans="1:9" ht="146.25" customHeight="1" x14ac:dyDescent="0.25">
      <c r="A1359" s="3" t="s">
        <v>273</v>
      </c>
      <c r="B1359" s="3" t="s">
        <v>6445</v>
      </c>
      <c r="C1359" s="3" t="s">
        <v>4694</v>
      </c>
      <c r="D1359" s="3" t="s">
        <v>7156</v>
      </c>
      <c r="E1359" s="3" t="s">
        <v>7157</v>
      </c>
      <c r="F1359" s="3">
        <v>1</v>
      </c>
      <c r="G1359" s="3" t="s">
        <v>7158</v>
      </c>
      <c r="H1359" s="3">
        <v>26</v>
      </c>
      <c r="I1359" s="3">
        <v>26</v>
      </c>
    </row>
    <row r="1360" spans="1:9" ht="146.25" customHeight="1" x14ac:dyDescent="0.25">
      <c r="A1360" s="2" t="s">
        <v>273</v>
      </c>
      <c r="B1360" s="2" t="s">
        <v>6445</v>
      </c>
      <c r="C1360" s="2" t="s">
        <v>4694</v>
      </c>
      <c r="D1360" s="2" t="s">
        <v>7159</v>
      </c>
      <c r="E1360" s="2" t="s">
        <v>7160</v>
      </c>
      <c r="F1360" s="2">
        <v>20</v>
      </c>
      <c r="G1360" s="2" t="s">
        <v>7155</v>
      </c>
      <c r="H1360" s="2">
        <v>1.8319999999999999E-2</v>
      </c>
      <c r="I1360" s="2">
        <v>0.3664</v>
      </c>
    </row>
    <row r="1361" spans="1:9" ht="146.25" customHeight="1" x14ac:dyDescent="0.25">
      <c r="A1361" s="3" t="s">
        <v>273</v>
      </c>
      <c r="B1361" s="3" t="s">
        <v>6445</v>
      </c>
      <c r="C1361" s="3" t="s">
        <v>4694</v>
      </c>
      <c r="D1361" s="3" t="s">
        <v>7161</v>
      </c>
      <c r="E1361" s="3" t="s">
        <v>7162</v>
      </c>
      <c r="F1361" s="3">
        <v>0.186</v>
      </c>
      <c r="G1361" s="3" t="s">
        <v>7163</v>
      </c>
      <c r="H1361" s="3" t="s">
        <v>7164</v>
      </c>
      <c r="I1361" s="3">
        <v>0.186</v>
      </c>
    </row>
    <row r="1362" spans="1:9" ht="146.25" customHeight="1" x14ac:dyDescent="0.25">
      <c r="A1362" s="2" t="s">
        <v>273</v>
      </c>
      <c r="B1362" s="2" t="s">
        <v>6445</v>
      </c>
      <c r="C1362" s="2" t="s">
        <v>4694</v>
      </c>
      <c r="D1362" s="2" t="s">
        <v>7207</v>
      </c>
      <c r="E1362" s="2" t="s">
        <v>7208</v>
      </c>
      <c r="F1362" s="2">
        <v>2.2450000000000001</v>
      </c>
      <c r="G1362" s="2" t="s">
        <v>7163</v>
      </c>
      <c r="H1362" s="2" t="s">
        <v>7164</v>
      </c>
      <c r="I1362" s="2">
        <v>2.2450000000000001</v>
      </c>
    </row>
    <row r="1363" spans="1:9" ht="146.25" customHeight="1" x14ac:dyDescent="0.25">
      <c r="A1363" s="3" t="s">
        <v>273</v>
      </c>
      <c r="B1363" s="3" t="s">
        <v>6445</v>
      </c>
      <c r="C1363" s="3" t="s">
        <v>4694</v>
      </c>
      <c r="D1363" s="3" t="s">
        <v>7165</v>
      </c>
      <c r="E1363" s="3" t="s">
        <v>7166</v>
      </c>
      <c r="F1363" s="3">
        <v>2</v>
      </c>
      <c r="G1363" s="3" t="s">
        <v>7158</v>
      </c>
      <c r="H1363" s="3">
        <v>0.1</v>
      </c>
      <c r="I1363" s="3">
        <v>0.2</v>
      </c>
    </row>
    <row r="1364" spans="1:9" ht="146.25" customHeight="1" x14ac:dyDescent="0.25">
      <c r="A1364" s="2" t="s">
        <v>273</v>
      </c>
      <c r="B1364" s="2" t="s">
        <v>6445</v>
      </c>
      <c r="C1364" s="2" t="s">
        <v>4694</v>
      </c>
      <c r="D1364" s="2" t="s">
        <v>7167</v>
      </c>
      <c r="E1364" s="2" t="s">
        <v>7168</v>
      </c>
      <c r="F1364" s="2">
        <v>5</v>
      </c>
      <c r="G1364" s="2" t="s">
        <v>7158</v>
      </c>
      <c r="H1364" s="2">
        <v>0.2</v>
      </c>
      <c r="I1364" s="2">
        <v>1</v>
      </c>
    </row>
    <row r="1365" spans="1:9" ht="45" customHeight="1" x14ac:dyDescent="0.25">
      <c r="A1365" s="3" t="s">
        <v>218</v>
      </c>
      <c r="B1365" s="3" t="s">
        <v>6453</v>
      </c>
      <c r="C1365" s="3" t="s">
        <v>4683</v>
      </c>
      <c r="D1365" s="3" t="s">
        <v>7153</v>
      </c>
      <c r="E1365" s="3" t="s">
        <v>7154</v>
      </c>
      <c r="F1365" s="3">
        <v>7</v>
      </c>
      <c r="G1365" s="3" t="s">
        <v>7155</v>
      </c>
      <c r="H1365" s="3">
        <v>1.24E-2</v>
      </c>
      <c r="I1365" s="3">
        <v>8.6800000000000002E-2</v>
      </c>
    </row>
    <row r="1366" spans="1:9" ht="45" customHeight="1" x14ac:dyDescent="0.25">
      <c r="A1366" s="2" t="s">
        <v>218</v>
      </c>
      <c r="B1366" s="2" t="s">
        <v>6453</v>
      </c>
      <c r="C1366" s="2" t="s">
        <v>4683</v>
      </c>
      <c r="D1366" s="2" t="s">
        <v>7156</v>
      </c>
      <c r="E1366" s="2" t="s">
        <v>7157</v>
      </c>
      <c r="F1366" s="2">
        <v>1</v>
      </c>
      <c r="G1366" s="2" t="s">
        <v>7158</v>
      </c>
      <c r="H1366" s="2">
        <v>26</v>
      </c>
      <c r="I1366" s="2">
        <v>26</v>
      </c>
    </row>
    <row r="1367" spans="1:9" ht="45" customHeight="1" x14ac:dyDescent="0.25">
      <c r="A1367" s="3" t="s">
        <v>218</v>
      </c>
      <c r="B1367" s="3" t="s">
        <v>6453</v>
      </c>
      <c r="C1367" s="3" t="s">
        <v>4683</v>
      </c>
      <c r="D1367" s="3" t="s">
        <v>7159</v>
      </c>
      <c r="E1367" s="3" t="s">
        <v>7160</v>
      </c>
      <c r="F1367" s="3">
        <v>20</v>
      </c>
      <c r="G1367" s="3" t="s">
        <v>7155</v>
      </c>
      <c r="H1367" s="3">
        <v>1.8319999999999999E-2</v>
      </c>
      <c r="I1367" s="3">
        <v>0.3664</v>
      </c>
    </row>
    <row r="1368" spans="1:9" ht="45" customHeight="1" x14ac:dyDescent="0.25">
      <c r="A1368" s="2" t="s">
        <v>218</v>
      </c>
      <c r="B1368" s="2" t="s">
        <v>6453</v>
      </c>
      <c r="C1368" s="2" t="s">
        <v>4683</v>
      </c>
      <c r="D1368" s="2" t="s">
        <v>7161</v>
      </c>
      <c r="E1368" s="2" t="s">
        <v>7162</v>
      </c>
      <c r="F1368" s="2">
        <v>0.186</v>
      </c>
      <c r="G1368" s="2" t="s">
        <v>7163</v>
      </c>
      <c r="H1368" s="2" t="s">
        <v>7164</v>
      </c>
      <c r="I1368" s="2">
        <v>0.186</v>
      </c>
    </row>
    <row r="1369" spans="1:9" ht="45" customHeight="1" x14ac:dyDescent="0.25">
      <c r="A1369" s="3" t="s">
        <v>218</v>
      </c>
      <c r="B1369" s="3" t="s">
        <v>6453</v>
      </c>
      <c r="C1369" s="3" t="s">
        <v>4683</v>
      </c>
      <c r="D1369" s="3" t="s">
        <v>7165</v>
      </c>
      <c r="E1369" s="3" t="s">
        <v>7166</v>
      </c>
      <c r="F1369" s="3">
        <v>2</v>
      </c>
      <c r="G1369" s="3" t="s">
        <v>7158</v>
      </c>
      <c r="H1369" s="3">
        <v>0.1</v>
      </c>
      <c r="I1369" s="3">
        <v>0.2</v>
      </c>
    </row>
    <row r="1370" spans="1:9" ht="45" customHeight="1" x14ac:dyDescent="0.25">
      <c r="A1370" s="2" t="s">
        <v>218</v>
      </c>
      <c r="B1370" s="2" t="s">
        <v>6453</v>
      </c>
      <c r="C1370" s="2" t="s">
        <v>4683</v>
      </c>
      <c r="D1370" s="2" t="s">
        <v>7167</v>
      </c>
      <c r="E1370" s="2" t="s">
        <v>7168</v>
      </c>
      <c r="F1370" s="2">
        <v>5</v>
      </c>
      <c r="G1370" s="2" t="s">
        <v>7158</v>
      </c>
      <c r="H1370" s="2">
        <v>0.2</v>
      </c>
      <c r="I1370" s="2">
        <v>1</v>
      </c>
    </row>
    <row r="1371" spans="1:9" ht="22.5" customHeight="1" x14ac:dyDescent="0.25">
      <c r="A1371" s="3" t="s">
        <v>2624</v>
      </c>
      <c r="B1371" s="3" t="s">
        <v>2623</v>
      </c>
      <c r="C1371" s="3" t="s">
        <v>4930</v>
      </c>
      <c r="D1371" s="3" t="s">
        <v>7153</v>
      </c>
      <c r="E1371" s="3" t="s">
        <v>7154</v>
      </c>
      <c r="F1371" s="3">
        <v>14</v>
      </c>
      <c r="G1371" s="3" t="s">
        <v>7155</v>
      </c>
      <c r="H1371" s="3">
        <v>1.24E-2</v>
      </c>
      <c r="I1371" s="3">
        <v>0.1736</v>
      </c>
    </row>
    <row r="1372" spans="1:9" ht="33.75" customHeight="1" x14ac:dyDescent="0.25">
      <c r="A1372" s="2" t="s">
        <v>2624</v>
      </c>
      <c r="B1372" s="2" t="s">
        <v>2623</v>
      </c>
      <c r="C1372" s="2" t="s">
        <v>4930</v>
      </c>
      <c r="D1372" s="2" t="s">
        <v>7186</v>
      </c>
      <c r="E1372" s="2" t="s">
        <v>7187</v>
      </c>
      <c r="F1372" s="2">
        <v>1</v>
      </c>
      <c r="G1372" s="2" t="s">
        <v>7158</v>
      </c>
      <c r="H1372" s="2">
        <v>26</v>
      </c>
      <c r="I1372" s="2">
        <v>26</v>
      </c>
    </row>
    <row r="1373" spans="1:9" ht="22.5" customHeight="1" x14ac:dyDescent="0.25">
      <c r="A1373" s="3" t="s">
        <v>2624</v>
      </c>
      <c r="B1373" s="3" t="s">
        <v>2623</v>
      </c>
      <c r="C1373" s="3" t="s">
        <v>4930</v>
      </c>
      <c r="D1373" s="3" t="s">
        <v>7159</v>
      </c>
      <c r="E1373" s="3" t="s">
        <v>7160</v>
      </c>
      <c r="F1373" s="3">
        <v>20</v>
      </c>
      <c r="G1373" s="3" t="s">
        <v>7155</v>
      </c>
      <c r="H1373" s="3">
        <v>1.8319999999999999E-2</v>
      </c>
      <c r="I1373" s="3">
        <v>0.3664</v>
      </c>
    </row>
    <row r="1374" spans="1:9" ht="22.5" customHeight="1" x14ac:dyDescent="0.25">
      <c r="A1374" s="2" t="s">
        <v>2624</v>
      </c>
      <c r="B1374" s="2" t="s">
        <v>2623</v>
      </c>
      <c r="C1374" s="2" t="s">
        <v>4930</v>
      </c>
      <c r="D1374" s="2" t="s">
        <v>7161</v>
      </c>
      <c r="E1374" s="2" t="s">
        <v>7162</v>
      </c>
      <c r="F1374" s="2">
        <v>0.186</v>
      </c>
      <c r="G1374" s="2" t="s">
        <v>7163</v>
      </c>
      <c r="H1374" s="2" t="s">
        <v>7164</v>
      </c>
      <c r="I1374" s="2">
        <v>0.186</v>
      </c>
    </row>
    <row r="1375" spans="1:9" ht="33.75" customHeight="1" x14ac:dyDescent="0.25">
      <c r="A1375" s="3" t="s">
        <v>2624</v>
      </c>
      <c r="B1375" s="3" t="s">
        <v>2623</v>
      </c>
      <c r="C1375" s="3" t="s">
        <v>4930</v>
      </c>
      <c r="D1375" s="3" t="s">
        <v>7212</v>
      </c>
      <c r="E1375" s="3" t="s">
        <v>7213</v>
      </c>
      <c r="F1375" s="3">
        <v>6</v>
      </c>
      <c r="G1375" s="3" t="s">
        <v>7158</v>
      </c>
      <c r="H1375" s="3">
        <v>0.21</v>
      </c>
      <c r="I1375" s="3">
        <v>1.26</v>
      </c>
    </row>
    <row r="1376" spans="1:9" ht="33.75" customHeight="1" x14ac:dyDescent="0.25">
      <c r="A1376" s="2" t="s">
        <v>2624</v>
      </c>
      <c r="B1376" s="2" t="s">
        <v>2623</v>
      </c>
      <c r="C1376" s="2" t="s">
        <v>4930</v>
      </c>
      <c r="D1376" s="2" t="s">
        <v>7188</v>
      </c>
      <c r="E1376" s="2" t="s">
        <v>7189</v>
      </c>
      <c r="F1376" s="2">
        <v>5</v>
      </c>
      <c r="G1376" s="2" t="s">
        <v>7158</v>
      </c>
      <c r="H1376" s="2">
        <v>0.27</v>
      </c>
      <c r="I1376" s="2">
        <v>1.35</v>
      </c>
    </row>
    <row r="1377" spans="1:9" ht="22.5" customHeight="1" x14ac:dyDescent="0.25">
      <c r="A1377" s="3" t="s">
        <v>2624</v>
      </c>
      <c r="B1377" s="3" t="s">
        <v>2623</v>
      </c>
      <c r="C1377" s="3" t="s">
        <v>4930</v>
      </c>
      <c r="D1377" s="3" t="s">
        <v>7300</v>
      </c>
      <c r="E1377" s="3" t="s">
        <v>7301</v>
      </c>
      <c r="F1377" s="3">
        <v>68</v>
      </c>
      <c r="G1377" s="3" t="s">
        <v>7158</v>
      </c>
      <c r="H1377" s="3">
        <v>0.27</v>
      </c>
      <c r="I1377" s="3">
        <v>18.36</v>
      </c>
    </row>
    <row r="1378" spans="1:9" ht="22.5" customHeight="1" x14ac:dyDescent="0.25">
      <c r="A1378" s="2" t="s">
        <v>620</v>
      </c>
      <c r="B1378" s="2" t="s">
        <v>619</v>
      </c>
      <c r="C1378" s="2" t="s">
        <v>4767</v>
      </c>
      <c r="D1378" s="2" t="s">
        <v>7153</v>
      </c>
      <c r="E1378" s="2" t="s">
        <v>7154</v>
      </c>
      <c r="F1378" s="2">
        <v>14</v>
      </c>
      <c r="G1378" s="2" t="s">
        <v>7155</v>
      </c>
      <c r="H1378" s="2">
        <v>1.24E-2</v>
      </c>
      <c r="I1378" s="2">
        <v>0.1736</v>
      </c>
    </row>
    <row r="1379" spans="1:9" ht="33.75" customHeight="1" x14ac:dyDescent="0.25">
      <c r="A1379" s="3" t="s">
        <v>620</v>
      </c>
      <c r="B1379" s="3" t="s">
        <v>619</v>
      </c>
      <c r="C1379" s="3" t="s">
        <v>4767</v>
      </c>
      <c r="D1379" s="3" t="s">
        <v>7186</v>
      </c>
      <c r="E1379" s="3" t="s">
        <v>7187</v>
      </c>
      <c r="F1379" s="3">
        <v>1</v>
      </c>
      <c r="G1379" s="3" t="s">
        <v>7158</v>
      </c>
      <c r="H1379" s="3">
        <v>26</v>
      </c>
      <c r="I1379" s="3">
        <v>26</v>
      </c>
    </row>
    <row r="1380" spans="1:9" ht="22.5" customHeight="1" x14ac:dyDescent="0.25">
      <c r="A1380" s="2" t="s">
        <v>620</v>
      </c>
      <c r="B1380" s="2" t="s">
        <v>619</v>
      </c>
      <c r="C1380" s="2" t="s">
        <v>4767</v>
      </c>
      <c r="D1380" s="2" t="s">
        <v>7159</v>
      </c>
      <c r="E1380" s="2" t="s">
        <v>7160</v>
      </c>
      <c r="F1380" s="2">
        <v>20</v>
      </c>
      <c r="G1380" s="2" t="s">
        <v>7155</v>
      </c>
      <c r="H1380" s="2">
        <v>1.8319999999999999E-2</v>
      </c>
      <c r="I1380" s="2">
        <v>0.3664</v>
      </c>
    </row>
    <row r="1381" spans="1:9" ht="22.5" customHeight="1" x14ac:dyDescent="0.25">
      <c r="A1381" s="3" t="s">
        <v>620</v>
      </c>
      <c r="B1381" s="3" t="s">
        <v>619</v>
      </c>
      <c r="C1381" s="3" t="s">
        <v>4767</v>
      </c>
      <c r="D1381" s="3" t="s">
        <v>7161</v>
      </c>
      <c r="E1381" s="3" t="s">
        <v>7162</v>
      </c>
      <c r="F1381" s="3">
        <v>0.186</v>
      </c>
      <c r="G1381" s="3" t="s">
        <v>7163</v>
      </c>
      <c r="H1381" s="3" t="s">
        <v>7164</v>
      </c>
      <c r="I1381" s="3">
        <v>0.186</v>
      </c>
    </row>
    <row r="1382" spans="1:9" ht="33.75" customHeight="1" x14ac:dyDescent="0.25">
      <c r="A1382" s="2" t="s">
        <v>620</v>
      </c>
      <c r="B1382" s="2" t="s">
        <v>619</v>
      </c>
      <c r="C1382" s="2" t="s">
        <v>4767</v>
      </c>
      <c r="D1382" s="2" t="s">
        <v>7212</v>
      </c>
      <c r="E1382" s="2" t="s">
        <v>7213</v>
      </c>
      <c r="F1382" s="2">
        <v>6</v>
      </c>
      <c r="G1382" s="2" t="s">
        <v>7158</v>
      </c>
      <c r="H1382" s="2">
        <v>0.21</v>
      </c>
      <c r="I1382" s="2">
        <v>1.26</v>
      </c>
    </row>
    <row r="1383" spans="1:9" ht="33.75" customHeight="1" x14ac:dyDescent="0.25">
      <c r="A1383" s="3" t="s">
        <v>620</v>
      </c>
      <c r="B1383" s="3" t="s">
        <v>619</v>
      </c>
      <c r="C1383" s="3" t="s">
        <v>4767</v>
      </c>
      <c r="D1383" s="3" t="s">
        <v>7188</v>
      </c>
      <c r="E1383" s="3" t="s">
        <v>7189</v>
      </c>
      <c r="F1383" s="3">
        <v>5</v>
      </c>
      <c r="G1383" s="3" t="s">
        <v>7158</v>
      </c>
      <c r="H1383" s="3">
        <v>0.27</v>
      </c>
      <c r="I1383" s="3">
        <v>1.35</v>
      </c>
    </row>
    <row r="1384" spans="1:9" ht="22.5" customHeight="1" x14ac:dyDescent="0.25">
      <c r="A1384" s="2" t="s">
        <v>620</v>
      </c>
      <c r="B1384" s="2" t="s">
        <v>619</v>
      </c>
      <c r="C1384" s="2" t="s">
        <v>4767</v>
      </c>
      <c r="D1384" s="2" t="s">
        <v>7302</v>
      </c>
      <c r="E1384" s="2" t="s">
        <v>7303</v>
      </c>
      <c r="F1384" s="2">
        <v>68</v>
      </c>
      <c r="G1384" s="2" t="s">
        <v>7158</v>
      </c>
      <c r="H1384" s="2">
        <v>0.27</v>
      </c>
      <c r="I1384" s="2">
        <v>18.36</v>
      </c>
    </row>
    <row r="1385" spans="1:9" ht="22.5" customHeight="1" x14ac:dyDescent="0.25">
      <c r="A1385" s="3" t="s">
        <v>732</v>
      </c>
      <c r="B1385" s="3" t="s">
        <v>731</v>
      </c>
      <c r="C1385" s="3" t="s">
        <v>4788</v>
      </c>
      <c r="D1385" s="3" t="s">
        <v>7153</v>
      </c>
      <c r="E1385" s="3" t="s">
        <v>7154</v>
      </c>
      <c r="F1385" s="3">
        <v>14</v>
      </c>
      <c r="G1385" s="3" t="s">
        <v>7155</v>
      </c>
      <c r="H1385" s="3">
        <v>1.24E-2</v>
      </c>
      <c r="I1385" s="3">
        <v>0.1736</v>
      </c>
    </row>
    <row r="1386" spans="1:9" ht="33.75" customHeight="1" x14ac:dyDescent="0.25">
      <c r="A1386" s="2" t="s">
        <v>732</v>
      </c>
      <c r="B1386" s="2" t="s">
        <v>731</v>
      </c>
      <c r="C1386" s="2" t="s">
        <v>4788</v>
      </c>
      <c r="D1386" s="2" t="s">
        <v>7186</v>
      </c>
      <c r="E1386" s="2" t="s">
        <v>7187</v>
      </c>
      <c r="F1386" s="2">
        <v>1</v>
      </c>
      <c r="G1386" s="2" t="s">
        <v>7158</v>
      </c>
      <c r="H1386" s="2">
        <v>26</v>
      </c>
      <c r="I1386" s="2">
        <v>26</v>
      </c>
    </row>
    <row r="1387" spans="1:9" ht="22.5" customHeight="1" x14ac:dyDescent="0.25">
      <c r="A1387" s="3" t="s">
        <v>732</v>
      </c>
      <c r="B1387" s="3" t="s">
        <v>731</v>
      </c>
      <c r="C1387" s="3" t="s">
        <v>4788</v>
      </c>
      <c r="D1387" s="3" t="s">
        <v>7159</v>
      </c>
      <c r="E1387" s="3" t="s">
        <v>7160</v>
      </c>
      <c r="F1387" s="3">
        <v>20</v>
      </c>
      <c r="G1387" s="3" t="s">
        <v>7155</v>
      </c>
      <c r="H1387" s="3">
        <v>1.8319999999999999E-2</v>
      </c>
      <c r="I1387" s="3">
        <v>0.3664</v>
      </c>
    </row>
    <row r="1388" spans="1:9" ht="22.5" customHeight="1" x14ac:dyDescent="0.25">
      <c r="A1388" s="2" t="s">
        <v>732</v>
      </c>
      <c r="B1388" s="2" t="s">
        <v>731</v>
      </c>
      <c r="C1388" s="2" t="s">
        <v>4788</v>
      </c>
      <c r="D1388" s="2" t="s">
        <v>7161</v>
      </c>
      <c r="E1388" s="2" t="s">
        <v>7162</v>
      </c>
      <c r="F1388" s="2">
        <v>0.186</v>
      </c>
      <c r="G1388" s="2" t="s">
        <v>7163</v>
      </c>
      <c r="H1388" s="2" t="s">
        <v>7164</v>
      </c>
      <c r="I1388" s="2">
        <v>0.186</v>
      </c>
    </row>
    <row r="1389" spans="1:9" ht="33.75" customHeight="1" x14ac:dyDescent="0.25">
      <c r="A1389" s="3" t="s">
        <v>732</v>
      </c>
      <c r="B1389" s="3" t="s">
        <v>731</v>
      </c>
      <c r="C1389" s="3" t="s">
        <v>4788</v>
      </c>
      <c r="D1389" s="3" t="s">
        <v>7212</v>
      </c>
      <c r="E1389" s="3" t="s">
        <v>7213</v>
      </c>
      <c r="F1389" s="3">
        <v>6</v>
      </c>
      <c r="G1389" s="3" t="s">
        <v>7158</v>
      </c>
      <c r="H1389" s="3">
        <v>0.21</v>
      </c>
      <c r="I1389" s="3">
        <v>1.26</v>
      </c>
    </row>
    <row r="1390" spans="1:9" ht="33.75" customHeight="1" x14ac:dyDescent="0.25">
      <c r="A1390" s="2" t="s">
        <v>732</v>
      </c>
      <c r="B1390" s="2" t="s">
        <v>731</v>
      </c>
      <c r="C1390" s="2" t="s">
        <v>4788</v>
      </c>
      <c r="D1390" s="2" t="s">
        <v>7188</v>
      </c>
      <c r="E1390" s="2" t="s">
        <v>7189</v>
      </c>
      <c r="F1390" s="2">
        <v>5</v>
      </c>
      <c r="G1390" s="2" t="s">
        <v>7158</v>
      </c>
      <c r="H1390" s="2">
        <v>0.27</v>
      </c>
      <c r="I1390" s="2">
        <v>1.35</v>
      </c>
    </row>
    <row r="1391" spans="1:9" ht="22.5" customHeight="1" x14ac:dyDescent="0.25">
      <c r="A1391" s="3" t="s">
        <v>732</v>
      </c>
      <c r="B1391" s="3" t="s">
        <v>731</v>
      </c>
      <c r="C1391" s="3" t="s">
        <v>4788</v>
      </c>
      <c r="D1391" s="3" t="s">
        <v>7304</v>
      </c>
      <c r="E1391" s="3" t="s">
        <v>7305</v>
      </c>
      <c r="F1391" s="3">
        <v>68</v>
      </c>
      <c r="G1391" s="3" t="s">
        <v>7158</v>
      </c>
      <c r="H1391" s="3">
        <v>0.27</v>
      </c>
      <c r="I1391" s="3">
        <v>18.36</v>
      </c>
    </row>
    <row r="1392" spans="1:9" ht="22.5" customHeight="1" x14ac:dyDescent="0.25">
      <c r="A1392" s="2" t="s">
        <v>736</v>
      </c>
      <c r="B1392" s="2" t="s">
        <v>735</v>
      </c>
      <c r="C1392" s="2" t="s">
        <v>4789</v>
      </c>
      <c r="D1392" s="2" t="s">
        <v>7153</v>
      </c>
      <c r="E1392" s="2" t="s">
        <v>7154</v>
      </c>
      <c r="F1392" s="2">
        <v>14</v>
      </c>
      <c r="G1392" s="2" t="s">
        <v>7155</v>
      </c>
      <c r="H1392" s="2">
        <v>1.24E-2</v>
      </c>
      <c r="I1392" s="2">
        <v>0.1736</v>
      </c>
    </row>
    <row r="1393" spans="1:9" ht="33.75" customHeight="1" x14ac:dyDescent="0.25">
      <c r="A1393" s="3" t="s">
        <v>736</v>
      </c>
      <c r="B1393" s="3" t="s">
        <v>735</v>
      </c>
      <c r="C1393" s="3" t="s">
        <v>4789</v>
      </c>
      <c r="D1393" s="3" t="s">
        <v>7186</v>
      </c>
      <c r="E1393" s="3" t="s">
        <v>7187</v>
      </c>
      <c r="F1393" s="3">
        <v>1</v>
      </c>
      <c r="G1393" s="3" t="s">
        <v>7158</v>
      </c>
      <c r="H1393" s="3">
        <v>26</v>
      </c>
      <c r="I1393" s="3">
        <v>26</v>
      </c>
    </row>
    <row r="1394" spans="1:9" ht="22.5" customHeight="1" x14ac:dyDescent="0.25">
      <c r="A1394" s="2" t="s">
        <v>736</v>
      </c>
      <c r="B1394" s="2" t="s">
        <v>735</v>
      </c>
      <c r="C1394" s="2" t="s">
        <v>4789</v>
      </c>
      <c r="D1394" s="2" t="s">
        <v>7159</v>
      </c>
      <c r="E1394" s="2" t="s">
        <v>7160</v>
      </c>
      <c r="F1394" s="2">
        <v>20</v>
      </c>
      <c r="G1394" s="2" t="s">
        <v>7155</v>
      </c>
      <c r="H1394" s="2">
        <v>1.8319999999999999E-2</v>
      </c>
      <c r="I1394" s="2">
        <v>0.3664</v>
      </c>
    </row>
    <row r="1395" spans="1:9" ht="22.5" customHeight="1" x14ac:dyDescent="0.25">
      <c r="A1395" s="3" t="s">
        <v>736</v>
      </c>
      <c r="B1395" s="3" t="s">
        <v>735</v>
      </c>
      <c r="C1395" s="3" t="s">
        <v>4789</v>
      </c>
      <c r="D1395" s="3" t="s">
        <v>7161</v>
      </c>
      <c r="E1395" s="3" t="s">
        <v>7162</v>
      </c>
      <c r="F1395" s="3">
        <v>0.186</v>
      </c>
      <c r="G1395" s="3" t="s">
        <v>7163</v>
      </c>
      <c r="H1395" s="3" t="s">
        <v>7164</v>
      </c>
      <c r="I1395" s="3">
        <v>0.186</v>
      </c>
    </row>
    <row r="1396" spans="1:9" ht="33.75" customHeight="1" x14ac:dyDescent="0.25">
      <c r="A1396" s="2" t="s">
        <v>736</v>
      </c>
      <c r="B1396" s="2" t="s">
        <v>735</v>
      </c>
      <c r="C1396" s="2" t="s">
        <v>4789</v>
      </c>
      <c r="D1396" s="2" t="s">
        <v>7212</v>
      </c>
      <c r="E1396" s="2" t="s">
        <v>7213</v>
      </c>
      <c r="F1396" s="2">
        <v>6</v>
      </c>
      <c r="G1396" s="2" t="s">
        <v>7158</v>
      </c>
      <c r="H1396" s="2">
        <v>0.21</v>
      </c>
      <c r="I1396" s="2">
        <v>1.26</v>
      </c>
    </row>
    <row r="1397" spans="1:9" ht="33.75" customHeight="1" x14ac:dyDescent="0.25">
      <c r="A1397" s="3" t="s">
        <v>736</v>
      </c>
      <c r="B1397" s="3" t="s">
        <v>735</v>
      </c>
      <c r="C1397" s="3" t="s">
        <v>4789</v>
      </c>
      <c r="D1397" s="3" t="s">
        <v>7188</v>
      </c>
      <c r="E1397" s="3" t="s">
        <v>7189</v>
      </c>
      <c r="F1397" s="3">
        <v>5</v>
      </c>
      <c r="G1397" s="3" t="s">
        <v>7158</v>
      </c>
      <c r="H1397" s="3">
        <v>0.27</v>
      </c>
      <c r="I1397" s="3">
        <v>1.35</v>
      </c>
    </row>
    <row r="1398" spans="1:9" ht="22.5" customHeight="1" x14ac:dyDescent="0.25">
      <c r="A1398" s="2" t="s">
        <v>736</v>
      </c>
      <c r="B1398" s="2" t="s">
        <v>735</v>
      </c>
      <c r="C1398" s="2" t="s">
        <v>4789</v>
      </c>
      <c r="D1398" s="2" t="s">
        <v>7306</v>
      </c>
      <c r="E1398" s="2" t="s">
        <v>7307</v>
      </c>
      <c r="F1398" s="2">
        <v>68</v>
      </c>
      <c r="G1398" s="2" t="s">
        <v>7158</v>
      </c>
      <c r="H1398" s="2">
        <v>0.27</v>
      </c>
      <c r="I1398" s="2">
        <v>18.36</v>
      </c>
    </row>
    <row r="1399" spans="1:9" x14ac:dyDescent="0.25">
      <c r="A1399" s="3" t="s">
        <v>1987</v>
      </c>
      <c r="B1399" s="3" t="s">
        <v>1986</v>
      </c>
      <c r="C1399" s="3" t="s">
        <v>4881</v>
      </c>
      <c r="D1399" s="3" t="s">
        <v>7156</v>
      </c>
      <c r="E1399" s="3"/>
      <c r="F1399" s="3">
        <v>1</v>
      </c>
      <c r="G1399" s="3" t="s">
        <v>7158</v>
      </c>
      <c r="H1399" s="3">
        <v>26</v>
      </c>
      <c r="I1399" s="3">
        <v>26</v>
      </c>
    </row>
    <row r="1400" spans="1:9" x14ac:dyDescent="0.25">
      <c r="A1400" s="2" t="s">
        <v>1987</v>
      </c>
      <c r="B1400" s="2" t="s">
        <v>1986</v>
      </c>
      <c r="C1400" s="2" t="s">
        <v>4881</v>
      </c>
      <c r="D1400" s="2" t="s">
        <v>7159</v>
      </c>
      <c r="E1400" s="2"/>
      <c r="F1400" s="2">
        <v>20</v>
      </c>
      <c r="G1400" s="2" t="s">
        <v>7155</v>
      </c>
      <c r="H1400" s="2">
        <v>1.8319999999999999E-2</v>
      </c>
      <c r="I1400" s="2">
        <v>0.3664</v>
      </c>
    </row>
    <row r="1401" spans="1:9" x14ac:dyDescent="0.25">
      <c r="A1401" s="3" t="s">
        <v>1987</v>
      </c>
      <c r="B1401" s="3" t="s">
        <v>1986</v>
      </c>
      <c r="C1401" s="3" t="s">
        <v>4881</v>
      </c>
      <c r="D1401" s="3" t="s">
        <v>7161</v>
      </c>
      <c r="E1401" s="3"/>
      <c r="F1401" s="3">
        <v>0.186</v>
      </c>
      <c r="G1401" s="3" t="s">
        <v>7163</v>
      </c>
      <c r="H1401" s="3">
        <v>0</v>
      </c>
      <c r="I1401" s="3">
        <v>0</v>
      </c>
    </row>
    <row r="1402" spans="1:9" x14ac:dyDescent="0.25">
      <c r="A1402" s="2" t="s">
        <v>1987</v>
      </c>
      <c r="B1402" s="2" t="s">
        <v>1986</v>
      </c>
      <c r="C1402" s="2" t="s">
        <v>4881</v>
      </c>
      <c r="D1402" s="2" t="s">
        <v>7207</v>
      </c>
      <c r="E1402" s="2"/>
      <c r="F1402" s="2">
        <v>2.105</v>
      </c>
      <c r="G1402" s="2" t="s">
        <v>7163</v>
      </c>
      <c r="H1402" s="2">
        <v>0</v>
      </c>
      <c r="I1402" s="2">
        <v>0</v>
      </c>
    </row>
    <row r="1403" spans="1:9" x14ac:dyDescent="0.25">
      <c r="A1403" s="3" t="s">
        <v>1987</v>
      </c>
      <c r="B1403" s="3" t="s">
        <v>1986</v>
      </c>
      <c r="C1403" s="3" t="s">
        <v>4881</v>
      </c>
      <c r="D1403" s="3" t="s">
        <v>7167</v>
      </c>
      <c r="E1403" s="3"/>
      <c r="F1403" s="3">
        <v>5</v>
      </c>
      <c r="G1403" s="3" t="s">
        <v>7158</v>
      </c>
      <c r="H1403" s="3">
        <v>0.2</v>
      </c>
      <c r="I1403" s="3">
        <v>1</v>
      </c>
    </row>
    <row r="1404" spans="1:9" x14ac:dyDescent="0.25">
      <c r="A1404" s="2" t="s">
        <v>1987</v>
      </c>
      <c r="B1404" s="2" t="s">
        <v>1986</v>
      </c>
      <c r="C1404" s="2" t="s">
        <v>4881</v>
      </c>
      <c r="D1404" s="2" t="s">
        <v>7260</v>
      </c>
      <c r="E1404" s="2"/>
      <c r="F1404" s="2">
        <v>68</v>
      </c>
      <c r="G1404" s="2" t="s">
        <v>7158</v>
      </c>
      <c r="H1404" s="2">
        <v>8.0000000000000002E-3</v>
      </c>
      <c r="I1404" s="2">
        <v>0.54400000000000004</v>
      </c>
    </row>
    <row r="1405" spans="1:9" x14ac:dyDescent="0.25">
      <c r="A1405" s="3" t="s">
        <v>1987</v>
      </c>
      <c r="B1405" s="3" t="s">
        <v>1986</v>
      </c>
      <c r="C1405" s="3" t="s">
        <v>4881</v>
      </c>
      <c r="D1405" s="3" t="s">
        <v>7261</v>
      </c>
      <c r="E1405" s="3"/>
      <c r="F1405" s="3">
        <v>68</v>
      </c>
      <c r="G1405" s="3" t="s">
        <v>7158</v>
      </c>
      <c r="H1405" s="3">
        <v>8.0000000000000002E-3</v>
      </c>
      <c r="I1405" s="3">
        <v>0.54400000000000004</v>
      </c>
    </row>
    <row r="1406" spans="1:9" ht="45" customHeight="1" x14ac:dyDescent="0.25">
      <c r="A1406" s="2" t="s">
        <v>1948</v>
      </c>
      <c r="B1406" s="2" t="s">
        <v>6495</v>
      </c>
      <c r="C1406" s="2" t="s">
        <v>4755</v>
      </c>
      <c r="D1406" s="2" t="s">
        <v>7156</v>
      </c>
      <c r="E1406" s="2"/>
      <c r="F1406" s="2">
        <v>1</v>
      </c>
      <c r="G1406" s="2" t="s">
        <v>7158</v>
      </c>
      <c r="H1406" s="2">
        <v>26</v>
      </c>
      <c r="I1406" s="2">
        <v>26</v>
      </c>
    </row>
    <row r="1407" spans="1:9" ht="45" customHeight="1" x14ac:dyDescent="0.25">
      <c r="A1407" s="3" t="s">
        <v>1948</v>
      </c>
      <c r="B1407" s="3" t="s">
        <v>6495</v>
      </c>
      <c r="C1407" s="3" t="s">
        <v>4755</v>
      </c>
      <c r="D1407" s="3" t="s">
        <v>7159</v>
      </c>
      <c r="E1407" s="3"/>
      <c r="F1407" s="3">
        <v>20</v>
      </c>
      <c r="G1407" s="3" t="s">
        <v>7155</v>
      </c>
      <c r="H1407" s="3">
        <v>1.8319999999999999E-2</v>
      </c>
      <c r="I1407" s="3">
        <v>0.3664</v>
      </c>
    </row>
    <row r="1408" spans="1:9" ht="45" customHeight="1" x14ac:dyDescent="0.25">
      <c r="A1408" s="2" t="s">
        <v>1948</v>
      </c>
      <c r="B1408" s="2" t="s">
        <v>6495</v>
      </c>
      <c r="C1408" s="2" t="s">
        <v>4755</v>
      </c>
      <c r="D1408" s="2" t="s">
        <v>7161</v>
      </c>
      <c r="E1408" s="2"/>
      <c r="F1408" s="2">
        <v>0.186</v>
      </c>
      <c r="G1408" s="2" t="s">
        <v>7163</v>
      </c>
      <c r="H1408" s="2">
        <v>0</v>
      </c>
      <c r="I1408" s="2">
        <v>0</v>
      </c>
    </row>
    <row r="1409" spans="1:9" ht="45" customHeight="1" x14ac:dyDescent="0.25">
      <c r="A1409" s="3" t="s">
        <v>1948</v>
      </c>
      <c r="B1409" s="3" t="s">
        <v>6495</v>
      </c>
      <c r="C1409" s="3" t="s">
        <v>4755</v>
      </c>
      <c r="D1409" s="3" t="s">
        <v>7207</v>
      </c>
      <c r="E1409" s="3"/>
      <c r="F1409" s="3">
        <v>2.2450000000000001</v>
      </c>
      <c r="G1409" s="3" t="s">
        <v>7163</v>
      </c>
      <c r="H1409" s="3">
        <v>0</v>
      </c>
      <c r="I1409" s="3">
        <v>0</v>
      </c>
    </row>
    <row r="1410" spans="1:9" ht="45" customHeight="1" x14ac:dyDescent="0.25">
      <c r="A1410" s="2" t="s">
        <v>1948</v>
      </c>
      <c r="B1410" s="2" t="s">
        <v>6495</v>
      </c>
      <c r="C1410" s="2" t="s">
        <v>4755</v>
      </c>
      <c r="D1410" s="2" t="s">
        <v>7167</v>
      </c>
      <c r="E1410" s="2"/>
      <c r="F1410" s="2">
        <v>5</v>
      </c>
      <c r="G1410" s="2" t="s">
        <v>7158</v>
      </c>
      <c r="H1410" s="2">
        <v>0.2</v>
      </c>
      <c r="I1410" s="2">
        <v>1</v>
      </c>
    </row>
    <row r="1411" spans="1:9" ht="45" customHeight="1" x14ac:dyDescent="0.25">
      <c r="A1411" s="3" t="s">
        <v>1948</v>
      </c>
      <c r="B1411" s="3" t="s">
        <v>6495</v>
      </c>
      <c r="C1411" s="3" t="s">
        <v>4755</v>
      </c>
      <c r="D1411" s="3" t="s">
        <v>7202</v>
      </c>
      <c r="E1411" s="3"/>
      <c r="F1411" s="3">
        <v>68</v>
      </c>
      <c r="G1411" s="3" t="s">
        <v>7158</v>
      </c>
      <c r="H1411" s="3">
        <v>1.08E-3</v>
      </c>
      <c r="I1411" s="3">
        <v>7.3440000000000005E-2</v>
      </c>
    </row>
    <row r="1412" spans="1:9" ht="45" customHeight="1" x14ac:dyDescent="0.25">
      <c r="A1412" s="2" t="s">
        <v>1948</v>
      </c>
      <c r="B1412" s="2" t="s">
        <v>6495</v>
      </c>
      <c r="C1412" s="2" t="s">
        <v>4755</v>
      </c>
      <c r="D1412" s="2" t="s">
        <v>7179</v>
      </c>
      <c r="E1412" s="2"/>
      <c r="F1412" s="2">
        <v>68</v>
      </c>
      <c r="G1412" s="2" t="s">
        <v>7158</v>
      </c>
      <c r="H1412" s="2">
        <v>1.08E-3</v>
      </c>
      <c r="I1412" s="2">
        <v>7.3440000000000005E-2</v>
      </c>
    </row>
    <row r="1413" spans="1:9" x14ac:dyDescent="0.25">
      <c r="A1413" s="3" t="s">
        <v>570</v>
      </c>
      <c r="B1413" s="3" t="s">
        <v>6502</v>
      </c>
      <c r="C1413" s="3" t="s">
        <v>4755</v>
      </c>
      <c r="D1413" s="3" t="s">
        <v>7156</v>
      </c>
      <c r="E1413" s="3"/>
      <c r="F1413" s="3">
        <v>1</v>
      </c>
      <c r="G1413" s="3" t="s">
        <v>7158</v>
      </c>
      <c r="H1413" s="3">
        <v>26</v>
      </c>
      <c r="I1413" s="3">
        <v>26</v>
      </c>
    </row>
    <row r="1414" spans="1:9" x14ac:dyDescent="0.25">
      <c r="A1414" s="2" t="s">
        <v>570</v>
      </c>
      <c r="B1414" s="2" t="s">
        <v>6502</v>
      </c>
      <c r="C1414" s="2" t="s">
        <v>4755</v>
      </c>
      <c r="D1414" s="2" t="s">
        <v>7159</v>
      </c>
      <c r="E1414" s="2"/>
      <c r="F1414" s="2">
        <v>20</v>
      </c>
      <c r="G1414" s="2" t="s">
        <v>7155</v>
      </c>
      <c r="H1414" s="2">
        <v>1.8319999999999999E-2</v>
      </c>
      <c r="I1414" s="2">
        <v>0.3664</v>
      </c>
    </row>
    <row r="1415" spans="1:9" x14ac:dyDescent="0.25">
      <c r="A1415" s="3" t="s">
        <v>570</v>
      </c>
      <c r="B1415" s="3" t="s">
        <v>6502</v>
      </c>
      <c r="C1415" s="3" t="s">
        <v>4755</v>
      </c>
      <c r="D1415" s="3" t="s">
        <v>7161</v>
      </c>
      <c r="E1415" s="3"/>
      <c r="F1415" s="3">
        <v>0.186</v>
      </c>
      <c r="G1415" s="3" t="s">
        <v>7163</v>
      </c>
      <c r="H1415" s="3">
        <v>0</v>
      </c>
      <c r="I1415" s="3">
        <v>0</v>
      </c>
    </row>
    <row r="1416" spans="1:9" x14ac:dyDescent="0.25">
      <c r="A1416" s="2" t="s">
        <v>570</v>
      </c>
      <c r="B1416" s="2" t="s">
        <v>6502</v>
      </c>
      <c r="C1416" s="2" t="s">
        <v>4755</v>
      </c>
      <c r="D1416" s="2" t="s">
        <v>7207</v>
      </c>
      <c r="E1416" s="2"/>
      <c r="F1416" s="2">
        <v>2.2450000000000001</v>
      </c>
      <c r="G1416" s="2" t="s">
        <v>7163</v>
      </c>
      <c r="H1416" s="2">
        <v>0</v>
      </c>
      <c r="I1416" s="2">
        <v>0</v>
      </c>
    </row>
    <row r="1417" spans="1:9" x14ac:dyDescent="0.25">
      <c r="A1417" s="3" t="s">
        <v>570</v>
      </c>
      <c r="B1417" s="3" t="s">
        <v>6502</v>
      </c>
      <c r="C1417" s="3" t="s">
        <v>4755</v>
      </c>
      <c r="D1417" s="3" t="s">
        <v>7167</v>
      </c>
      <c r="E1417" s="3"/>
      <c r="F1417" s="3">
        <v>5</v>
      </c>
      <c r="G1417" s="3" t="s">
        <v>7158</v>
      </c>
      <c r="H1417" s="3">
        <v>0.2</v>
      </c>
      <c r="I1417" s="3">
        <v>1</v>
      </c>
    </row>
    <row r="1418" spans="1:9" x14ac:dyDescent="0.25">
      <c r="A1418" s="2" t="s">
        <v>570</v>
      </c>
      <c r="B1418" s="2" t="s">
        <v>6502</v>
      </c>
      <c r="C1418" s="2" t="s">
        <v>4755</v>
      </c>
      <c r="D1418" s="2" t="s">
        <v>7231</v>
      </c>
      <c r="E1418" s="2"/>
      <c r="F1418" s="2">
        <v>68</v>
      </c>
      <c r="G1418" s="2" t="s">
        <v>7158</v>
      </c>
      <c r="H1418" s="2">
        <v>8.0000000000000002E-3</v>
      </c>
      <c r="I1418" s="2">
        <v>0.54400000000000004</v>
      </c>
    </row>
    <row r="1419" spans="1:9" x14ac:dyDescent="0.25">
      <c r="A1419" s="3" t="s">
        <v>570</v>
      </c>
      <c r="B1419" s="3" t="s">
        <v>6502</v>
      </c>
      <c r="C1419" s="3" t="s">
        <v>4755</v>
      </c>
      <c r="D1419" s="3" t="s">
        <v>7232</v>
      </c>
      <c r="E1419" s="3"/>
      <c r="F1419" s="3">
        <v>68</v>
      </c>
      <c r="G1419" s="3" t="s">
        <v>7158</v>
      </c>
      <c r="H1419" s="3">
        <v>8.0000000000000002E-3</v>
      </c>
      <c r="I1419" s="3">
        <v>0.54400000000000004</v>
      </c>
    </row>
    <row r="1420" spans="1:9" ht="22.5" customHeight="1" x14ac:dyDescent="0.25">
      <c r="A1420" s="2" t="s">
        <v>1952</v>
      </c>
      <c r="B1420" s="2" t="s">
        <v>6508</v>
      </c>
      <c r="C1420" s="2" t="s">
        <v>4755</v>
      </c>
      <c r="D1420" s="2" t="s">
        <v>7156</v>
      </c>
      <c r="E1420" s="2"/>
      <c r="F1420" s="2">
        <v>1</v>
      </c>
      <c r="G1420" s="2" t="s">
        <v>7158</v>
      </c>
      <c r="H1420" s="2">
        <v>26</v>
      </c>
      <c r="I1420" s="2">
        <v>26</v>
      </c>
    </row>
    <row r="1421" spans="1:9" ht="22.5" customHeight="1" x14ac:dyDescent="0.25">
      <c r="A1421" s="3" t="s">
        <v>1952</v>
      </c>
      <c r="B1421" s="3" t="s">
        <v>6508</v>
      </c>
      <c r="C1421" s="3" t="s">
        <v>4755</v>
      </c>
      <c r="D1421" s="3" t="s">
        <v>7159</v>
      </c>
      <c r="E1421" s="3"/>
      <c r="F1421" s="3">
        <v>20</v>
      </c>
      <c r="G1421" s="3" t="s">
        <v>7155</v>
      </c>
      <c r="H1421" s="3">
        <v>1.8319999999999999E-2</v>
      </c>
      <c r="I1421" s="3">
        <v>0.3664</v>
      </c>
    </row>
    <row r="1422" spans="1:9" ht="22.5" customHeight="1" x14ac:dyDescent="0.25">
      <c r="A1422" s="2" t="s">
        <v>1952</v>
      </c>
      <c r="B1422" s="2" t="s">
        <v>6508</v>
      </c>
      <c r="C1422" s="2" t="s">
        <v>4755</v>
      </c>
      <c r="D1422" s="2" t="s">
        <v>7161</v>
      </c>
      <c r="E1422" s="2"/>
      <c r="F1422" s="2">
        <v>0.186</v>
      </c>
      <c r="G1422" s="2" t="s">
        <v>7163</v>
      </c>
      <c r="H1422" s="2">
        <v>0</v>
      </c>
      <c r="I1422" s="2">
        <v>0</v>
      </c>
    </row>
    <row r="1423" spans="1:9" ht="22.5" customHeight="1" x14ac:dyDescent="0.25">
      <c r="A1423" s="3" t="s">
        <v>1952</v>
      </c>
      <c r="B1423" s="3" t="s">
        <v>6508</v>
      </c>
      <c r="C1423" s="3" t="s">
        <v>4755</v>
      </c>
      <c r="D1423" s="3" t="s">
        <v>7207</v>
      </c>
      <c r="E1423" s="3"/>
      <c r="F1423" s="3">
        <v>2.2450000000000001</v>
      </c>
      <c r="G1423" s="3" t="s">
        <v>7163</v>
      </c>
      <c r="H1423" s="3">
        <v>0</v>
      </c>
      <c r="I1423" s="3">
        <v>0</v>
      </c>
    </row>
    <row r="1424" spans="1:9" ht="22.5" customHeight="1" x14ac:dyDescent="0.25">
      <c r="A1424" s="2" t="s">
        <v>1952</v>
      </c>
      <c r="B1424" s="2" t="s">
        <v>6508</v>
      </c>
      <c r="C1424" s="2" t="s">
        <v>4755</v>
      </c>
      <c r="D1424" s="2" t="s">
        <v>7167</v>
      </c>
      <c r="E1424" s="2"/>
      <c r="F1424" s="2">
        <v>5</v>
      </c>
      <c r="G1424" s="2" t="s">
        <v>7158</v>
      </c>
      <c r="H1424" s="2">
        <v>0.2</v>
      </c>
      <c r="I1424" s="2">
        <v>1</v>
      </c>
    </row>
    <row r="1425" spans="1:9" ht="22.5" customHeight="1" x14ac:dyDescent="0.25">
      <c r="A1425" s="3" t="s">
        <v>1952</v>
      </c>
      <c r="B1425" s="3" t="s">
        <v>6508</v>
      </c>
      <c r="C1425" s="3" t="s">
        <v>4755</v>
      </c>
      <c r="D1425" s="3" t="s">
        <v>7260</v>
      </c>
      <c r="E1425" s="3"/>
      <c r="F1425" s="3">
        <v>68</v>
      </c>
      <c r="G1425" s="3" t="s">
        <v>7158</v>
      </c>
      <c r="H1425" s="3">
        <v>8.0000000000000002E-3</v>
      </c>
      <c r="I1425" s="3">
        <v>0.54400000000000004</v>
      </c>
    </row>
    <row r="1426" spans="1:9" ht="22.5" customHeight="1" x14ac:dyDescent="0.25">
      <c r="A1426" s="2" t="s">
        <v>1952</v>
      </c>
      <c r="B1426" s="2" t="s">
        <v>6508</v>
      </c>
      <c r="C1426" s="2" t="s">
        <v>4755</v>
      </c>
      <c r="D1426" s="2" t="s">
        <v>7261</v>
      </c>
      <c r="E1426" s="2"/>
      <c r="F1426" s="2">
        <v>68</v>
      </c>
      <c r="G1426" s="2" t="s">
        <v>7158</v>
      </c>
      <c r="H1426" s="2">
        <v>8.0000000000000002E-3</v>
      </c>
      <c r="I1426" s="2">
        <v>0.54400000000000004</v>
      </c>
    </row>
    <row r="1427" spans="1:9" ht="22.5" customHeight="1" x14ac:dyDescent="0.25">
      <c r="A1427" s="3" t="s">
        <v>1737</v>
      </c>
      <c r="B1427" s="3" t="s">
        <v>6514</v>
      </c>
      <c r="C1427" s="3" t="s">
        <v>4848</v>
      </c>
      <c r="D1427" s="3" t="s">
        <v>7153</v>
      </c>
      <c r="E1427" s="3" t="s">
        <v>7154</v>
      </c>
      <c r="F1427" s="3">
        <v>7</v>
      </c>
      <c r="G1427" s="3" t="s">
        <v>7155</v>
      </c>
      <c r="H1427" s="3">
        <v>1.24E-2</v>
      </c>
      <c r="I1427" s="3">
        <v>8.6800000000000002E-2</v>
      </c>
    </row>
    <row r="1428" spans="1:9" ht="22.5" customHeight="1" x14ac:dyDescent="0.25">
      <c r="A1428" s="2" t="s">
        <v>1737</v>
      </c>
      <c r="B1428" s="2" t="s">
        <v>6514</v>
      </c>
      <c r="C1428" s="2" t="s">
        <v>4848</v>
      </c>
      <c r="D1428" s="2" t="s">
        <v>7156</v>
      </c>
      <c r="E1428" s="2" t="s">
        <v>7157</v>
      </c>
      <c r="F1428" s="2">
        <v>1</v>
      </c>
      <c r="G1428" s="2" t="s">
        <v>7158</v>
      </c>
      <c r="H1428" s="2">
        <v>26</v>
      </c>
      <c r="I1428" s="2">
        <v>26</v>
      </c>
    </row>
    <row r="1429" spans="1:9" ht="22.5" customHeight="1" x14ac:dyDescent="0.25">
      <c r="A1429" s="3" t="s">
        <v>1737</v>
      </c>
      <c r="B1429" s="3" t="s">
        <v>6514</v>
      </c>
      <c r="C1429" s="3" t="s">
        <v>4848</v>
      </c>
      <c r="D1429" s="3" t="s">
        <v>7159</v>
      </c>
      <c r="E1429" s="3" t="s">
        <v>7160</v>
      </c>
      <c r="F1429" s="3">
        <v>20</v>
      </c>
      <c r="G1429" s="3" t="s">
        <v>7155</v>
      </c>
      <c r="H1429" s="3">
        <v>1.8319999999999999E-2</v>
      </c>
      <c r="I1429" s="3">
        <v>0.3664</v>
      </c>
    </row>
    <row r="1430" spans="1:9" ht="22.5" customHeight="1" x14ac:dyDescent="0.25">
      <c r="A1430" s="2" t="s">
        <v>1737</v>
      </c>
      <c r="B1430" s="2" t="s">
        <v>6514</v>
      </c>
      <c r="C1430" s="2" t="s">
        <v>4848</v>
      </c>
      <c r="D1430" s="2" t="s">
        <v>7161</v>
      </c>
      <c r="E1430" s="2" t="s">
        <v>7162</v>
      </c>
      <c r="F1430" s="2">
        <v>0.186</v>
      </c>
      <c r="G1430" s="2" t="s">
        <v>7163</v>
      </c>
      <c r="H1430" s="2" t="s">
        <v>7164</v>
      </c>
      <c r="I1430" s="2">
        <v>0.186</v>
      </c>
    </row>
    <row r="1431" spans="1:9" ht="22.5" customHeight="1" x14ac:dyDescent="0.25">
      <c r="A1431" s="3" t="s">
        <v>1737</v>
      </c>
      <c r="B1431" s="3" t="s">
        <v>6514</v>
      </c>
      <c r="C1431" s="3" t="s">
        <v>4848</v>
      </c>
      <c r="D1431" s="3" t="s">
        <v>7259</v>
      </c>
      <c r="E1431" s="3" t="s">
        <v>7308</v>
      </c>
      <c r="F1431" s="3">
        <v>1.9450000000000001</v>
      </c>
      <c r="G1431" s="3" t="s">
        <v>7163</v>
      </c>
      <c r="H1431" s="3" t="s">
        <v>7164</v>
      </c>
      <c r="I1431" s="3">
        <v>1.9450000000000001</v>
      </c>
    </row>
    <row r="1432" spans="1:9" ht="33.75" customHeight="1" x14ac:dyDescent="0.25">
      <c r="A1432" s="2" t="s">
        <v>1737</v>
      </c>
      <c r="B1432" s="2" t="s">
        <v>6514</v>
      </c>
      <c r="C1432" s="2" t="s">
        <v>4848</v>
      </c>
      <c r="D1432" s="2" t="s">
        <v>7212</v>
      </c>
      <c r="E1432" s="2" t="s">
        <v>7213</v>
      </c>
      <c r="F1432" s="2">
        <v>2</v>
      </c>
      <c r="G1432" s="2" t="s">
        <v>7158</v>
      </c>
      <c r="H1432" s="2">
        <v>0.21</v>
      </c>
      <c r="I1432" s="2">
        <v>0.42</v>
      </c>
    </row>
    <row r="1433" spans="1:9" ht="33.75" customHeight="1" x14ac:dyDescent="0.25">
      <c r="A1433" s="3" t="s">
        <v>1737</v>
      </c>
      <c r="B1433" s="3" t="s">
        <v>6514</v>
      </c>
      <c r="C1433" s="3" t="s">
        <v>4848</v>
      </c>
      <c r="D1433" s="3" t="s">
        <v>7167</v>
      </c>
      <c r="E1433" s="3" t="s">
        <v>7168</v>
      </c>
      <c r="F1433" s="3">
        <v>4</v>
      </c>
      <c r="G1433" s="3" t="s">
        <v>7158</v>
      </c>
      <c r="H1433" s="3">
        <v>0.2</v>
      </c>
      <c r="I1433" s="3">
        <v>0.8</v>
      </c>
    </row>
    <row r="1434" spans="1:9" ht="22.5" customHeight="1" x14ac:dyDescent="0.25">
      <c r="A1434" s="2" t="s">
        <v>1841</v>
      </c>
      <c r="B1434" s="2" t="s">
        <v>1840</v>
      </c>
      <c r="C1434" s="2" t="s">
        <v>4865</v>
      </c>
      <c r="D1434" s="2" t="s">
        <v>7153</v>
      </c>
      <c r="E1434" s="2" t="s">
        <v>7154</v>
      </c>
      <c r="F1434" s="2">
        <v>7</v>
      </c>
      <c r="G1434" s="2" t="s">
        <v>7155</v>
      </c>
      <c r="H1434" s="2">
        <v>1.24E-2</v>
      </c>
      <c r="I1434" s="2">
        <v>8.6800000000000002E-2</v>
      </c>
    </row>
    <row r="1435" spans="1:9" ht="22.5" customHeight="1" x14ac:dyDescent="0.25">
      <c r="A1435" s="3" t="s">
        <v>1841</v>
      </c>
      <c r="B1435" s="3" t="s">
        <v>1840</v>
      </c>
      <c r="C1435" s="3" t="s">
        <v>4865</v>
      </c>
      <c r="D1435" s="3" t="s">
        <v>7156</v>
      </c>
      <c r="E1435" s="3" t="s">
        <v>7157</v>
      </c>
      <c r="F1435" s="3">
        <v>1</v>
      </c>
      <c r="G1435" s="3" t="s">
        <v>7158</v>
      </c>
      <c r="H1435" s="3">
        <v>26</v>
      </c>
      <c r="I1435" s="3">
        <v>26</v>
      </c>
    </row>
    <row r="1436" spans="1:9" ht="22.5" customHeight="1" x14ac:dyDescent="0.25">
      <c r="A1436" s="2" t="s">
        <v>1841</v>
      </c>
      <c r="B1436" s="2" t="s">
        <v>1840</v>
      </c>
      <c r="C1436" s="2" t="s">
        <v>4865</v>
      </c>
      <c r="D1436" s="2" t="s">
        <v>7159</v>
      </c>
      <c r="E1436" s="2" t="s">
        <v>7160</v>
      </c>
      <c r="F1436" s="2">
        <v>20</v>
      </c>
      <c r="G1436" s="2" t="s">
        <v>7155</v>
      </c>
      <c r="H1436" s="2">
        <v>1.8319999999999999E-2</v>
      </c>
      <c r="I1436" s="2">
        <v>0.3664</v>
      </c>
    </row>
    <row r="1437" spans="1:9" ht="22.5" customHeight="1" x14ac:dyDescent="0.25">
      <c r="A1437" s="3" t="s">
        <v>1841</v>
      </c>
      <c r="B1437" s="3" t="s">
        <v>1840</v>
      </c>
      <c r="C1437" s="3" t="s">
        <v>4865</v>
      </c>
      <c r="D1437" s="3" t="s">
        <v>7161</v>
      </c>
      <c r="E1437" s="3" t="s">
        <v>7162</v>
      </c>
      <c r="F1437" s="3">
        <v>0.186</v>
      </c>
      <c r="G1437" s="3" t="s">
        <v>7163</v>
      </c>
      <c r="H1437" s="3" t="s">
        <v>7164</v>
      </c>
      <c r="I1437" s="3">
        <v>0.186</v>
      </c>
    </row>
    <row r="1438" spans="1:9" ht="22.5" customHeight="1" x14ac:dyDescent="0.25">
      <c r="A1438" s="2" t="s">
        <v>1841</v>
      </c>
      <c r="B1438" s="2" t="s">
        <v>1840</v>
      </c>
      <c r="C1438" s="2" t="s">
        <v>4865</v>
      </c>
      <c r="D1438" s="2" t="s">
        <v>7259</v>
      </c>
      <c r="E1438" s="2" t="s">
        <v>7308</v>
      </c>
      <c r="F1438" s="2">
        <v>2.375</v>
      </c>
      <c r="G1438" s="2" t="s">
        <v>7163</v>
      </c>
      <c r="H1438" s="2" t="s">
        <v>7164</v>
      </c>
      <c r="I1438" s="2">
        <v>2.375</v>
      </c>
    </row>
    <row r="1439" spans="1:9" ht="33.75" customHeight="1" x14ac:dyDescent="0.25">
      <c r="A1439" s="3" t="s">
        <v>1841</v>
      </c>
      <c r="B1439" s="3" t="s">
        <v>1840</v>
      </c>
      <c r="C1439" s="3" t="s">
        <v>4865</v>
      </c>
      <c r="D1439" s="3" t="s">
        <v>7212</v>
      </c>
      <c r="E1439" s="3" t="s">
        <v>7213</v>
      </c>
      <c r="F1439" s="3">
        <v>2</v>
      </c>
      <c r="G1439" s="3" t="s">
        <v>7158</v>
      </c>
      <c r="H1439" s="3">
        <v>0.21</v>
      </c>
      <c r="I1439" s="3">
        <v>0.42</v>
      </c>
    </row>
    <row r="1440" spans="1:9" ht="33.75" customHeight="1" x14ac:dyDescent="0.25">
      <c r="A1440" s="2" t="s">
        <v>1841</v>
      </c>
      <c r="B1440" s="2" t="s">
        <v>1840</v>
      </c>
      <c r="C1440" s="2" t="s">
        <v>4865</v>
      </c>
      <c r="D1440" s="2" t="s">
        <v>7167</v>
      </c>
      <c r="E1440" s="2" t="s">
        <v>7168</v>
      </c>
      <c r="F1440" s="2">
        <v>4</v>
      </c>
      <c r="G1440" s="2" t="s">
        <v>7158</v>
      </c>
      <c r="H1440" s="2">
        <v>0.2</v>
      </c>
      <c r="I1440" s="2">
        <v>0.8</v>
      </c>
    </row>
    <row r="1441" spans="1:9" ht="45" customHeight="1" x14ac:dyDescent="0.25">
      <c r="A1441" s="3" t="s">
        <v>1888</v>
      </c>
      <c r="B1441" s="3" t="s">
        <v>6529</v>
      </c>
      <c r="C1441" s="3" t="s">
        <v>4872</v>
      </c>
      <c r="D1441" s="3" t="s">
        <v>7153</v>
      </c>
      <c r="E1441" s="3" t="s">
        <v>7154</v>
      </c>
      <c r="F1441" s="3">
        <v>7</v>
      </c>
      <c r="G1441" s="3" t="s">
        <v>7155</v>
      </c>
      <c r="H1441" s="3">
        <v>1.24E-2</v>
      </c>
      <c r="I1441" s="3">
        <v>8.6800000000000002E-2</v>
      </c>
    </row>
    <row r="1442" spans="1:9" ht="45" customHeight="1" x14ac:dyDescent="0.25">
      <c r="A1442" s="2" t="s">
        <v>1888</v>
      </c>
      <c r="B1442" s="2" t="s">
        <v>6529</v>
      </c>
      <c r="C1442" s="2" t="s">
        <v>4872</v>
      </c>
      <c r="D1442" s="2" t="s">
        <v>7156</v>
      </c>
      <c r="E1442" s="2" t="s">
        <v>7157</v>
      </c>
      <c r="F1442" s="2">
        <v>1</v>
      </c>
      <c r="G1442" s="2" t="s">
        <v>7158</v>
      </c>
      <c r="H1442" s="2">
        <v>26</v>
      </c>
      <c r="I1442" s="2">
        <v>26</v>
      </c>
    </row>
    <row r="1443" spans="1:9" ht="45" customHeight="1" x14ac:dyDescent="0.25">
      <c r="A1443" s="3" t="s">
        <v>1888</v>
      </c>
      <c r="B1443" s="3" t="s">
        <v>6529</v>
      </c>
      <c r="C1443" s="3" t="s">
        <v>4872</v>
      </c>
      <c r="D1443" s="3" t="s">
        <v>7159</v>
      </c>
      <c r="E1443" s="3" t="s">
        <v>7160</v>
      </c>
      <c r="F1443" s="3">
        <v>20</v>
      </c>
      <c r="G1443" s="3" t="s">
        <v>7155</v>
      </c>
      <c r="H1443" s="3">
        <v>1.8319999999999999E-2</v>
      </c>
      <c r="I1443" s="3">
        <v>0.3664</v>
      </c>
    </row>
    <row r="1444" spans="1:9" ht="45" customHeight="1" x14ac:dyDescent="0.25">
      <c r="A1444" s="2" t="s">
        <v>1888</v>
      </c>
      <c r="B1444" s="2" t="s">
        <v>6529</v>
      </c>
      <c r="C1444" s="2" t="s">
        <v>4872</v>
      </c>
      <c r="D1444" s="2" t="s">
        <v>7161</v>
      </c>
      <c r="E1444" s="2" t="s">
        <v>7162</v>
      </c>
      <c r="F1444" s="2">
        <v>0.186</v>
      </c>
      <c r="G1444" s="2" t="s">
        <v>7163</v>
      </c>
      <c r="H1444" s="2" t="s">
        <v>7164</v>
      </c>
      <c r="I1444" s="2">
        <v>0.186</v>
      </c>
    </row>
    <row r="1445" spans="1:9" ht="45" customHeight="1" x14ac:dyDescent="0.25">
      <c r="A1445" s="3" t="s">
        <v>1888</v>
      </c>
      <c r="B1445" s="3" t="s">
        <v>6529</v>
      </c>
      <c r="C1445" s="3" t="s">
        <v>4872</v>
      </c>
      <c r="D1445" s="3" t="s">
        <v>7212</v>
      </c>
      <c r="E1445" s="3" t="s">
        <v>7213</v>
      </c>
      <c r="F1445" s="3">
        <v>2</v>
      </c>
      <c r="G1445" s="3" t="s">
        <v>7158</v>
      </c>
      <c r="H1445" s="3">
        <v>0.21</v>
      </c>
      <c r="I1445" s="3">
        <v>0.42</v>
      </c>
    </row>
    <row r="1446" spans="1:9" ht="45" customHeight="1" x14ac:dyDescent="0.25">
      <c r="A1446" s="2" t="s">
        <v>1888</v>
      </c>
      <c r="B1446" s="2" t="s">
        <v>6529</v>
      </c>
      <c r="C1446" s="2" t="s">
        <v>4872</v>
      </c>
      <c r="D1446" s="2" t="s">
        <v>7167</v>
      </c>
      <c r="E1446" s="2" t="s">
        <v>7168</v>
      </c>
      <c r="F1446" s="2">
        <v>4</v>
      </c>
      <c r="G1446" s="2" t="s">
        <v>7158</v>
      </c>
      <c r="H1446" s="2">
        <v>0.2</v>
      </c>
      <c r="I1446" s="2">
        <v>0.8</v>
      </c>
    </row>
    <row r="1447" spans="1:9" ht="123.75" customHeight="1" x14ac:dyDescent="0.25">
      <c r="A1447" s="3" t="s">
        <v>826</v>
      </c>
      <c r="B1447" s="3" t="s">
        <v>6537</v>
      </c>
      <c r="C1447" s="3" t="s">
        <v>4796</v>
      </c>
      <c r="D1447" s="3" t="s">
        <v>7153</v>
      </c>
      <c r="E1447" s="3" t="s">
        <v>7154</v>
      </c>
      <c r="F1447" s="3">
        <v>14</v>
      </c>
      <c r="G1447" s="3" t="s">
        <v>7155</v>
      </c>
      <c r="H1447" s="3">
        <v>1.24E-2</v>
      </c>
      <c r="I1447" s="3">
        <v>0.1736</v>
      </c>
    </row>
    <row r="1448" spans="1:9" ht="123.75" customHeight="1" x14ac:dyDescent="0.25">
      <c r="A1448" s="2" t="s">
        <v>826</v>
      </c>
      <c r="B1448" s="2" t="s">
        <v>6537</v>
      </c>
      <c r="C1448" s="2" t="s">
        <v>4796</v>
      </c>
      <c r="D1448" s="2" t="s">
        <v>7156</v>
      </c>
      <c r="E1448" s="2" t="s">
        <v>7157</v>
      </c>
      <c r="F1448" s="2">
        <v>1</v>
      </c>
      <c r="G1448" s="2" t="s">
        <v>7158</v>
      </c>
      <c r="H1448" s="2">
        <v>26</v>
      </c>
      <c r="I1448" s="2">
        <v>26</v>
      </c>
    </row>
    <row r="1449" spans="1:9" ht="123.75" customHeight="1" x14ac:dyDescent="0.25">
      <c r="A1449" s="3" t="s">
        <v>826</v>
      </c>
      <c r="B1449" s="3" t="s">
        <v>6537</v>
      </c>
      <c r="C1449" s="3" t="s">
        <v>4796</v>
      </c>
      <c r="D1449" s="3" t="s">
        <v>7159</v>
      </c>
      <c r="E1449" s="3" t="s">
        <v>7160</v>
      </c>
      <c r="F1449" s="3">
        <v>20</v>
      </c>
      <c r="G1449" s="3" t="s">
        <v>7155</v>
      </c>
      <c r="H1449" s="3">
        <v>1.8319999999999999E-2</v>
      </c>
      <c r="I1449" s="3">
        <v>0.3664</v>
      </c>
    </row>
    <row r="1450" spans="1:9" ht="123.75" customHeight="1" x14ac:dyDescent="0.25">
      <c r="A1450" s="2" t="s">
        <v>826</v>
      </c>
      <c r="B1450" s="2" t="s">
        <v>6537</v>
      </c>
      <c r="C1450" s="2" t="s">
        <v>4796</v>
      </c>
      <c r="D1450" s="2" t="s">
        <v>7161</v>
      </c>
      <c r="E1450" s="2" t="s">
        <v>7162</v>
      </c>
      <c r="F1450" s="2">
        <v>0.186</v>
      </c>
      <c r="G1450" s="2" t="s">
        <v>7163</v>
      </c>
      <c r="H1450" s="2" t="s">
        <v>7164</v>
      </c>
      <c r="I1450" s="2">
        <v>0.186</v>
      </c>
    </row>
    <row r="1451" spans="1:9" ht="123.75" customHeight="1" x14ac:dyDescent="0.25">
      <c r="A1451" s="3" t="s">
        <v>826</v>
      </c>
      <c r="B1451" s="3" t="s">
        <v>6537</v>
      </c>
      <c r="C1451" s="3" t="s">
        <v>4796</v>
      </c>
      <c r="D1451" s="3" t="s">
        <v>7212</v>
      </c>
      <c r="E1451" s="3" t="s">
        <v>7213</v>
      </c>
      <c r="F1451" s="3">
        <v>4</v>
      </c>
      <c r="G1451" s="3" t="s">
        <v>7158</v>
      </c>
      <c r="H1451" s="3">
        <v>0.21</v>
      </c>
      <c r="I1451" s="3">
        <v>0.84</v>
      </c>
    </row>
    <row r="1452" spans="1:9" ht="123.75" customHeight="1" x14ac:dyDescent="0.25">
      <c r="A1452" s="2" t="s">
        <v>826</v>
      </c>
      <c r="B1452" s="2" t="s">
        <v>6537</v>
      </c>
      <c r="C1452" s="2" t="s">
        <v>4796</v>
      </c>
      <c r="D1452" s="2" t="s">
        <v>7167</v>
      </c>
      <c r="E1452" s="2" t="s">
        <v>7168</v>
      </c>
      <c r="F1452" s="2">
        <v>4</v>
      </c>
      <c r="G1452" s="2" t="s">
        <v>7158</v>
      </c>
      <c r="H1452" s="2">
        <v>0.2</v>
      </c>
      <c r="I1452" s="2">
        <v>0.8</v>
      </c>
    </row>
    <row r="1453" spans="1:9" ht="67.5" customHeight="1" x14ac:dyDescent="0.25">
      <c r="A1453" s="3" t="s">
        <v>1638</v>
      </c>
      <c r="B1453" s="3" t="s">
        <v>6545</v>
      </c>
      <c r="C1453" s="3" t="s">
        <v>4842</v>
      </c>
      <c r="D1453" s="3" t="s">
        <v>7153</v>
      </c>
      <c r="E1453" s="3" t="s">
        <v>7154</v>
      </c>
      <c r="F1453" s="3">
        <v>14</v>
      </c>
      <c r="G1453" s="3" t="s">
        <v>7155</v>
      </c>
      <c r="H1453" s="3">
        <v>1.24E-2</v>
      </c>
      <c r="I1453" s="3">
        <v>0.1736</v>
      </c>
    </row>
    <row r="1454" spans="1:9" ht="67.5" customHeight="1" x14ac:dyDescent="0.25">
      <c r="A1454" s="2" t="s">
        <v>1638</v>
      </c>
      <c r="B1454" s="2" t="s">
        <v>6545</v>
      </c>
      <c r="C1454" s="2" t="s">
        <v>4842</v>
      </c>
      <c r="D1454" s="2" t="s">
        <v>7258</v>
      </c>
      <c r="E1454" s="2" t="s">
        <v>7309</v>
      </c>
      <c r="F1454" s="2">
        <v>72</v>
      </c>
      <c r="G1454" s="2" t="s">
        <v>7158</v>
      </c>
      <c r="H1454" s="2">
        <v>4.6700000000000012E-2</v>
      </c>
      <c r="I1454" s="2">
        <v>3.3624000000000001</v>
      </c>
    </row>
    <row r="1455" spans="1:9" ht="67.5" customHeight="1" x14ac:dyDescent="0.25">
      <c r="A1455" s="3" t="s">
        <v>1638</v>
      </c>
      <c r="B1455" s="3" t="s">
        <v>6545</v>
      </c>
      <c r="C1455" s="3" t="s">
        <v>4842</v>
      </c>
      <c r="D1455" s="3" t="s">
        <v>7156</v>
      </c>
      <c r="E1455" s="3" t="s">
        <v>7157</v>
      </c>
      <c r="F1455" s="3">
        <v>1</v>
      </c>
      <c r="G1455" s="3" t="s">
        <v>7158</v>
      </c>
      <c r="H1455" s="3">
        <v>26</v>
      </c>
      <c r="I1455" s="3">
        <v>26</v>
      </c>
    </row>
    <row r="1456" spans="1:9" ht="67.5" customHeight="1" x14ac:dyDescent="0.25">
      <c r="A1456" s="2" t="s">
        <v>1638</v>
      </c>
      <c r="B1456" s="2" t="s">
        <v>6545</v>
      </c>
      <c r="C1456" s="2" t="s">
        <v>4842</v>
      </c>
      <c r="D1456" s="2" t="s">
        <v>7159</v>
      </c>
      <c r="E1456" s="2" t="s">
        <v>7160</v>
      </c>
      <c r="F1456" s="2">
        <v>20</v>
      </c>
      <c r="G1456" s="2" t="s">
        <v>7155</v>
      </c>
      <c r="H1456" s="2">
        <v>1.8319999999999999E-2</v>
      </c>
      <c r="I1456" s="2">
        <v>0.3664</v>
      </c>
    </row>
    <row r="1457" spans="1:9" ht="67.5" customHeight="1" x14ac:dyDescent="0.25">
      <c r="A1457" s="3" t="s">
        <v>1638</v>
      </c>
      <c r="B1457" s="3" t="s">
        <v>6545</v>
      </c>
      <c r="C1457" s="3" t="s">
        <v>4842</v>
      </c>
      <c r="D1457" s="3" t="s">
        <v>7161</v>
      </c>
      <c r="E1457" s="3" t="s">
        <v>7162</v>
      </c>
      <c r="F1457" s="3">
        <v>0.186</v>
      </c>
      <c r="G1457" s="3" t="s">
        <v>7163</v>
      </c>
      <c r="H1457" s="3" t="s">
        <v>7164</v>
      </c>
      <c r="I1457" s="3">
        <v>0.186</v>
      </c>
    </row>
    <row r="1458" spans="1:9" ht="67.5" customHeight="1" x14ac:dyDescent="0.25">
      <c r="A1458" s="2" t="s">
        <v>1638</v>
      </c>
      <c r="B1458" s="2" t="s">
        <v>6545</v>
      </c>
      <c r="C1458" s="2" t="s">
        <v>4842</v>
      </c>
      <c r="D1458" s="2" t="s">
        <v>7259</v>
      </c>
      <c r="E1458" s="2" t="s">
        <v>7308</v>
      </c>
      <c r="F1458" s="2">
        <v>1.9710000000000001</v>
      </c>
      <c r="G1458" s="2" t="s">
        <v>7163</v>
      </c>
      <c r="H1458" s="2" t="s">
        <v>7164</v>
      </c>
      <c r="I1458" s="2">
        <v>1.9710000000000001</v>
      </c>
    </row>
    <row r="1459" spans="1:9" ht="67.5" customHeight="1" x14ac:dyDescent="0.25">
      <c r="A1459" s="3" t="s">
        <v>1638</v>
      </c>
      <c r="B1459" s="3" t="s">
        <v>6545</v>
      </c>
      <c r="C1459" s="3" t="s">
        <v>4842</v>
      </c>
      <c r="D1459" s="3" t="s">
        <v>7165</v>
      </c>
      <c r="E1459" s="3" t="s">
        <v>7166</v>
      </c>
      <c r="F1459" s="3">
        <v>4</v>
      </c>
      <c r="G1459" s="3" t="s">
        <v>7158</v>
      </c>
      <c r="H1459" s="3">
        <v>0.1</v>
      </c>
      <c r="I1459" s="3">
        <v>0.4</v>
      </c>
    </row>
    <row r="1460" spans="1:9" ht="67.5" customHeight="1" x14ac:dyDescent="0.25">
      <c r="A1460" s="2" t="s">
        <v>1638</v>
      </c>
      <c r="B1460" s="2" t="s">
        <v>6545</v>
      </c>
      <c r="C1460" s="2" t="s">
        <v>4842</v>
      </c>
      <c r="D1460" s="2" t="s">
        <v>7167</v>
      </c>
      <c r="E1460" s="2" t="s">
        <v>7168</v>
      </c>
      <c r="F1460" s="2">
        <v>4</v>
      </c>
      <c r="G1460" s="2" t="s">
        <v>7158</v>
      </c>
      <c r="H1460" s="2">
        <v>0.2</v>
      </c>
      <c r="I1460" s="2">
        <v>0.8</v>
      </c>
    </row>
    <row r="1461" spans="1:9" ht="22.5" customHeight="1" x14ac:dyDescent="0.25">
      <c r="A1461" s="3" t="s">
        <v>334</v>
      </c>
      <c r="B1461" s="3" t="s">
        <v>6553</v>
      </c>
      <c r="C1461" s="3" t="s">
        <v>4707</v>
      </c>
      <c r="D1461" s="3" t="s">
        <v>7153</v>
      </c>
      <c r="E1461" s="3" t="s">
        <v>7154</v>
      </c>
      <c r="F1461" s="3">
        <v>14</v>
      </c>
      <c r="G1461" s="3" t="s">
        <v>7155</v>
      </c>
      <c r="H1461" s="3">
        <v>1.24E-2</v>
      </c>
      <c r="I1461" s="3">
        <v>0.1736</v>
      </c>
    </row>
    <row r="1462" spans="1:9" ht="22.5" customHeight="1" x14ac:dyDescent="0.25">
      <c r="A1462" s="2" t="s">
        <v>334</v>
      </c>
      <c r="B1462" s="2" t="s">
        <v>6553</v>
      </c>
      <c r="C1462" s="2" t="s">
        <v>4707</v>
      </c>
      <c r="D1462" s="2" t="s">
        <v>7156</v>
      </c>
      <c r="E1462" s="2" t="s">
        <v>7157</v>
      </c>
      <c r="F1462" s="2">
        <v>1</v>
      </c>
      <c r="G1462" s="2" t="s">
        <v>7158</v>
      </c>
      <c r="H1462" s="2">
        <v>26</v>
      </c>
      <c r="I1462" s="2">
        <v>26</v>
      </c>
    </row>
    <row r="1463" spans="1:9" ht="22.5" customHeight="1" x14ac:dyDescent="0.25">
      <c r="A1463" s="3" t="s">
        <v>334</v>
      </c>
      <c r="B1463" s="3" t="s">
        <v>6553</v>
      </c>
      <c r="C1463" s="3" t="s">
        <v>4707</v>
      </c>
      <c r="D1463" s="3" t="s">
        <v>7159</v>
      </c>
      <c r="E1463" s="3" t="s">
        <v>7160</v>
      </c>
      <c r="F1463" s="3">
        <v>20</v>
      </c>
      <c r="G1463" s="3" t="s">
        <v>7155</v>
      </c>
      <c r="H1463" s="3">
        <v>1.8319999999999999E-2</v>
      </c>
      <c r="I1463" s="3">
        <v>0.3664</v>
      </c>
    </row>
    <row r="1464" spans="1:9" ht="22.5" customHeight="1" x14ac:dyDescent="0.25">
      <c r="A1464" s="2" t="s">
        <v>334</v>
      </c>
      <c r="B1464" s="2" t="s">
        <v>6553</v>
      </c>
      <c r="C1464" s="2" t="s">
        <v>4707</v>
      </c>
      <c r="D1464" s="2" t="s">
        <v>7161</v>
      </c>
      <c r="E1464" s="2" t="s">
        <v>7162</v>
      </c>
      <c r="F1464" s="2">
        <v>0.186</v>
      </c>
      <c r="G1464" s="2" t="s">
        <v>7163</v>
      </c>
      <c r="H1464" s="2" t="s">
        <v>7164</v>
      </c>
      <c r="I1464" s="2">
        <v>0.186</v>
      </c>
    </row>
    <row r="1465" spans="1:9" ht="33.75" customHeight="1" x14ac:dyDescent="0.25">
      <c r="A1465" s="3" t="s">
        <v>334</v>
      </c>
      <c r="B1465" s="3" t="s">
        <v>6553</v>
      </c>
      <c r="C1465" s="3" t="s">
        <v>4707</v>
      </c>
      <c r="D1465" s="3" t="s">
        <v>7165</v>
      </c>
      <c r="E1465" s="3" t="s">
        <v>7166</v>
      </c>
      <c r="F1465" s="3">
        <v>4</v>
      </c>
      <c r="G1465" s="3" t="s">
        <v>7158</v>
      </c>
      <c r="H1465" s="3">
        <v>0.1</v>
      </c>
      <c r="I1465" s="3">
        <v>0.4</v>
      </c>
    </row>
    <row r="1466" spans="1:9" ht="33.75" customHeight="1" x14ac:dyDescent="0.25">
      <c r="A1466" s="2" t="s">
        <v>334</v>
      </c>
      <c r="B1466" s="2" t="s">
        <v>6553</v>
      </c>
      <c r="C1466" s="2" t="s">
        <v>4707</v>
      </c>
      <c r="D1466" s="2" t="s">
        <v>7167</v>
      </c>
      <c r="E1466" s="2" t="s">
        <v>7168</v>
      </c>
      <c r="F1466" s="2">
        <v>4</v>
      </c>
      <c r="G1466" s="2" t="s">
        <v>7158</v>
      </c>
      <c r="H1466" s="2">
        <v>0.2</v>
      </c>
      <c r="I1466" s="2">
        <v>0.8</v>
      </c>
    </row>
    <row r="1467" spans="1:9" ht="22.5" customHeight="1" x14ac:dyDescent="0.25">
      <c r="A1467" s="3" t="s">
        <v>1258</v>
      </c>
      <c r="B1467" s="3" t="s">
        <v>6561</v>
      </c>
      <c r="C1467" s="3" t="s">
        <v>4817</v>
      </c>
      <c r="D1467" s="3" t="s">
        <v>7153</v>
      </c>
      <c r="E1467" s="3" t="s">
        <v>7154</v>
      </c>
      <c r="F1467" s="3">
        <v>14</v>
      </c>
      <c r="G1467" s="3" t="s">
        <v>7155</v>
      </c>
      <c r="H1467" s="3">
        <v>1.24E-2</v>
      </c>
      <c r="I1467" s="3">
        <v>0.1736</v>
      </c>
    </row>
    <row r="1468" spans="1:9" ht="33.75" customHeight="1" x14ac:dyDescent="0.25">
      <c r="A1468" s="2" t="s">
        <v>1258</v>
      </c>
      <c r="B1468" s="2" t="s">
        <v>6561</v>
      </c>
      <c r="C1468" s="2" t="s">
        <v>4817</v>
      </c>
      <c r="D1468" s="2" t="s">
        <v>7186</v>
      </c>
      <c r="E1468" s="2" t="s">
        <v>7187</v>
      </c>
      <c r="F1468" s="2">
        <v>1</v>
      </c>
      <c r="G1468" s="2" t="s">
        <v>7158</v>
      </c>
      <c r="H1468" s="2">
        <v>26</v>
      </c>
      <c r="I1468" s="2">
        <v>26</v>
      </c>
    </row>
    <row r="1469" spans="1:9" ht="22.5" customHeight="1" x14ac:dyDescent="0.25">
      <c r="A1469" s="3" t="s">
        <v>1258</v>
      </c>
      <c r="B1469" s="3" t="s">
        <v>6561</v>
      </c>
      <c r="C1469" s="3" t="s">
        <v>4817</v>
      </c>
      <c r="D1469" s="3" t="s">
        <v>7159</v>
      </c>
      <c r="E1469" s="3" t="s">
        <v>7160</v>
      </c>
      <c r="F1469" s="3">
        <v>20</v>
      </c>
      <c r="G1469" s="3" t="s">
        <v>7155</v>
      </c>
      <c r="H1469" s="3">
        <v>1.8319999999999999E-2</v>
      </c>
      <c r="I1469" s="3">
        <v>0.3664</v>
      </c>
    </row>
    <row r="1470" spans="1:9" ht="22.5" customHeight="1" x14ac:dyDescent="0.25">
      <c r="A1470" s="2" t="s">
        <v>1258</v>
      </c>
      <c r="B1470" s="2" t="s">
        <v>6561</v>
      </c>
      <c r="C1470" s="2" t="s">
        <v>4817</v>
      </c>
      <c r="D1470" s="2" t="s">
        <v>7161</v>
      </c>
      <c r="E1470" s="2" t="s">
        <v>7162</v>
      </c>
      <c r="F1470" s="2">
        <v>0.186</v>
      </c>
      <c r="G1470" s="2" t="s">
        <v>7163</v>
      </c>
      <c r="H1470" s="2" t="s">
        <v>7164</v>
      </c>
      <c r="I1470" s="2">
        <v>0.186</v>
      </c>
    </row>
    <row r="1471" spans="1:9" ht="33.75" customHeight="1" x14ac:dyDescent="0.25">
      <c r="A1471" s="3" t="s">
        <v>1258</v>
      </c>
      <c r="B1471" s="3" t="s">
        <v>6561</v>
      </c>
      <c r="C1471" s="3" t="s">
        <v>4817</v>
      </c>
      <c r="D1471" s="3" t="s">
        <v>7212</v>
      </c>
      <c r="E1471" s="3" t="s">
        <v>7213</v>
      </c>
      <c r="F1471" s="3">
        <v>6</v>
      </c>
      <c r="G1471" s="3" t="s">
        <v>7158</v>
      </c>
      <c r="H1471" s="3">
        <v>0.21</v>
      </c>
      <c r="I1471" s="3">
        <v>1.26</v>
      </c>
    </row>
    <row r="1472" spans="1:9" ht="33.75" customHeight="1" x14ac:dyDescent="0.25">
      <c r="A1472" s="2" t="s">
        <v>1258</v>
      </c>
      <c r="B1472" s="2" t="s">
        <v>6561</v>
      </c>
      <c r="C1472" s="2" t="s">
        <v>4817</v>
      </c>
      <c r="D1472" s="2" t="s">
        <v>7188</v>
      </c>
      <c r="E1472" s="2" t="s">
        <v>7189</v>
      </c>
      <c r="F1472" s="2">
        <v>5</v>
      </c>
      <c r="G1472" s="2" t="s">
        <v>7158</v>
      </c>
      <c r="H1472" s="2">
        <v>0.27</v>
      </c>
      <c r="I1472" s="2">
        <v>1.35</v>
      </c>
    </row>
    <row r="1473" spans="1:9" ht="22.5" customHeight="1" x14ac:dyDescent="0.25">
      <c r="A1473" s="3" t="s">
        <v>1258</v>
      </c>
      <c r="B1473" s="3" t="s">
        <v>6561</v>
      </c>
      <c r="C1473" s="3" t="s">
        <v>4817</v>
      </c>
      <c r="D1473" s="3" t="s">
        <v>7310</v>
      </c>
      <c r="E1473" s="3" t="s">
        <v>7311</v>
      </c>
      <c r="F1473" s="3">
        <v>72</v>
      </c>
      <c r="G1473" s="3" t="s">
        <v>7158</v>
      </c>
      <c r="H1473" s="3">
        <v>0.25</v>
      </c>
      <c r="I1473" s="3">
        <v>18</v>
      </c>
    </row>
    <row r="1474" spans="1:9" ht="22.5" customHeight="1" x14ac:dyDescent="0.25">
      <c r="A1474" s="2" t="s">
        <v>724</v>
      </c>
      <c r="B1474" s="2" t="s">
        <v>723</v>
      </c>
      <c r="C1474" s="2" t="s">
        <v>4786</v>
      </c>
      <c r="D1474" s="2" t="s">
        <v>7153</v>
      </c>
      <c r="E1474" s="2" t="s">
        <v>7154</v>
      </c>
      <c r="F1474" s="2">
        <v>14</v>
      </c>
      <c r="G1474" s="2" t="s">
        <v>7155</v>
      </c>
      <c r="H1474" s="2">
        <v>1.24E-2</v>
      </c>
      <c r="I1474" s="2">
        <v>0.1736</v>
      </c>
    </row>
    <row r="1475" spans="1:9" ht="33.75" customHeight="1" x14ac:dyDescent="0.25">
      <c r="A1475" s="3" t="s">
        <v>724</v>
      </c>
      <c r="B1475" s="3" t="s">
        <v>723</v>
      </c>
      <c r="C1475" s="3" t="s">
        <v>4786</v>
      </c>
      <c r="D1475" s="3" t="s">
        <v>7186</v>
      </c>
      <c r="E1475" s="3" t="s">
        <v>7187</v>
      </c>
      <c r="F1475" s="3">
        <v>1</v>
      </c>
      <c r="G1475" s="3" t="s">
        <v>7158</v>
      </c>
      <c r="H1475" s="3">
        <v>26</v>
      </c>
      <c r="I1475" s="3">
        <v>26</v>
      </c>
    </row>
    <row r="1476" spans="1:9" ht="22.5" customHeight="1" x14ac:dyDescent="0.25">
      <c r="A1476" s="2" t="s">
        <v>724</v>
      </c>
      <c r="B1476" s="2" t="s">
        <v>723</v>
      </c>
      <c r="C1476" s="2" t="s">
        <v>4786</v>
      </c>
      <c r="D1476" s="2" t="s">
        <v>7159</v>
      </c>
      <c r="E1476" s="2" t="s">
        <v>7160</v>
      </c>
      <c r="F1476" s="2">
        <v>20</v>
      </c>
      <c r="G1476" s="2" t="s">
        <v>7155</v>
      </c>
      <c r="H1476" s="2">
        <v>1.8319999999999999E-2</v>
      </c>
      <c r="I1476" s="2">
        <v>0.3664</v>
      </c>
    </row>
    <row r="1477" spans="1:9" ht="22.5" customHeight="1" x14ac:dyDescent="0.25">
      <c r="A1477" s="3" t="s">
        <v>724</v>
      </c>
      <c r="B1477" s="3" t="s">
        <v>723</v>
      </c>
      <c r="C1477" s="3" t="s">
        <v>4786</v>
      </c>
      <c r="D1477" s="3" t="s">
        <v>7161</v>
      </c>
      <c r="E1477" s="3" t="s">
        <v>7162</v>
      </c>
      <c r="F1477" s="3">
        <v>0.186</v>
      </c>
      <c r="G1477" s="3" t="s">
        <v>7163</v>
      </c>
      <c r="H1477" s="3" t="s">
        <v>7164</v>
      </c>
      <c r="I1477" s="3">
        <v>0.186</v>
      </c>
    </row>
    <row r="1478" spans="1:9" ht="33.75" customHeight="1" x14ac:dyDescent="0.25">
      <c r="A1478" s="2" t="s">
        <v>724</v>
      </c>
      <c r="B1478" s="2" t="s">
        <v>723</v>
      </c>
      <c r="C1478" s="2" t="s">
        <v>4786</v>
      </c>
      <c r="D1478" s="2" t="s">
        <v>7212</v>
      </c>
      <c r="E1478" s="2" t="s">
        <v>7213</v>
      </c>
      <c r="F1478" s="2">
        <v>6</v>
      </c>
      <c r="G1478" s="2" t="s">
        <v>7158</v>
      </c>
      <c r="H1478" s="2">
        <v>0.21</v>
      </c>
      <c r="I1478" s="2">
        <v>1.26</v>
      </c>
    </row>
    <row r="1479" spans="1:9" ht="33.75" customHeight="1" x14ac:dyDescent="0.25">
      <c r="A1479" s="3" t="s">
        <v>724</v>
      </c>
      <c r="B1479" s="3" t="s">
        <v>723</v>
      </c>
      <c r="C1479" s="3" t="s">
        <v>4786</v>
      </c>
      <c r="D1479" s="3" t="s">
        <v>7188</v>
      </c>
      <c r="E1479" s="3" t="s">
        <v>7189</v>
      </c>
      <c r="F1479" s="3">
        <v>5</v>
      </c>
      <c r="G1479" s="3" t="s">
        <v>7158</v>
      </c>
      <c r="H1479" s="3">
        <v>0.27</v>
      </c>
      <c r="I1479" s="3">
        <v>1.35</v>
      </c>
    </row>
    <row r="1480" spans="1:9" ht="22.5" customHeight="1" x14ac:dyDescent="0.25">
      <c r="A1480" s="2" t="s">
        <v>724</v>
      </c>
      <c r="B1480" s="2" t="s">
        <v>723</v>
      </c>
      <c r="C1480" s="2" t="s">
        <v>4786</v>
      </c>
      <c r="D1480" s="2" t="s">
        <v>7312</v>
      </c>
      <c r="E1480" s="2" t="s">
        <v>7313</v>
      </c>
      <c r="F1480" s="2">
        <v>72</v>
      </c>
      <c r="G1480" s="2" t="s">
        <v>7158</v>
      </c>
      <c r="H1480" s="2">
        <v>0.3</v>
      </c>
      <c r="I1480" s="2">
        <v>21.6</v>
      </c>
    </row>
    <row r="1481" spans="1:9" ht="22.5" customHeight="1" x14ac:dyDescent="0.25">
      <c r="A1481" s="3" t="s">
        <v>728</v>
      </c>
      <c r="B1481" s="3" t="s">
        <v>727</v>
      </c>
      <c r="C1481" s="3" t="s">
        <v>4787</v>
      </c>
      <c r="D1481" s="3" t="s">
        <v>7153</v>
      </c>
      <c r="E1481" s="3" t="s">
        <v>7154</v>
      </c>
      <c r="F1481" s="3">
        <v>14</v>
      </c>
      <c r="G1481" s="3" t="s">
        <v>7155</v>
      </c>
      <c r="H1481" s="3">
        <v>1.24E-2</v>
      </c>
      <c r="I1481" s="3">
        <v>0.1736</v>
      </c>
    </row>
    <row r="1482" spans="1:9" ht="33.75" customHeight="1" x14ac:dyDescent="0.25">
      <c r="A1482" s="2" t="s">
        <v>728</v>
      </c>
      <c r="B1482" s="2" t="s">
        <v>727</v>
      </c>
      <c r="C1482" s="2" t="s">
        <v>4787</v>
      </c>
      <c r="D1482" s="2" t="s">
        <v>7186</v>
      </c>
      <c r="E1482" s="2" t="s">
        <v>7187</v>
      </c>
      <c r="F1482" s="2">
        <v>1</v>
      </c>
      <c r="G1482" s="2" t="s">
        <v>7158</v>
      </c>
      <c r="H1482" s="2">
        <v>26</v>
      </c>
      <c r="I1482" s="2">
        <v>26</v>
      </c>
    </row>
    <row r="1483" spans="1:9" ht="22.5" customHeight="1" x14ac:dyDescent="0.25">
      <c r="A1483" s="3" t="s">
        <v>728</v>
      </c>
      <c r="B1483" s="3" t="s">
        <v>727</v>
      </c>
      <c r="C1483" s="3" t="s">
        <v>4787</v>
      </c>
      <c r="D1483" s="3" t="s">
        <v>7159</v>
      </c>
      <c r="E1483" s="3" t="s">
        <v>7160</v>
      </c>
      <c r="F1483" s="3">
        <v>20</v>
      </c>
      <c r="G1483" s="3" t="s">
        <v>7155</v>
      </c>
      <c r="H1483" s="3">
        <v>1.8319999999999999E-2</v>
      </c>
      <c r="I1483" s="3">
        <v>0.3664</v>
      </c>
    </row>
    <row r="1484" spans="1:9" ht="22.5" customHeight="1" x14ac:dyDescent="0.25">
      <c r="A1484" s="2" t="s">
        <v>728</v>
      </c>
      <c r="B1484" s="2" t="s">
        <v>727</v>
      </c>
      <c r="C1484" s="2" t="s">
        <v>4787</v>
      </c>
      <c r="D1484" s="2" t="s">
        <v>7161</v>
      </c>
      <c r="E1484" s="2" t="s">
        <v>7162</v>
      </c>
      <c r="F1484" s="2">
        <v>0.186</v>
      </c>
      <c r="G1484" s="2" t="s">
        <v>7163</v>
      </c>
      <c r="H1484" s="2" t="s">
        <v>7164</v>
      </c>
      <c r="I1484" s="2">
        <v>0.186</v>
      </c>
    </row>
    <row r="1485" spans="1:9" ht="33.75" customHeight="1" x14ac:dyDescent="0.25">
      <c r="A1485" s="3" t="s">
        <v>728</v>
      </c>
      <c r="B1485" s="3" t="s">
        <v>727</v>
      </c>
      <c r="C1485" s="3" t="s">
        <v>4787</v>
      </c>
      <c r="D1485" s="3" t="s">
        <v>7212</v>
      </c>
      <c r="E1485" s="3" t="s">
        <v>7213</v>
      </c>
      <c r="F1485" s="3">
        <v>6</v>
      </c>
      <c r="G1485" s="3" t="s">
        <v>7158</v>
      </c>
      <c r="H1485" s="3">
        <v>0.21</v>
      </c>
      <c r="I1485" s="3">
        <v>1.26</v>
      </c>
    </row>
    <row r="1486" spans="1:9" ht="33.75" customHeight="1" x14ac:dyDescent="0.25">
      <c r="A1486" s="2" t="s">
        <v>728</v>
      </c>
      <c r="B1486" s="2" t="s">
        <v>727</v>
      </c>
      <c r="C1486" s="2" t="s">
        <v>4787</v>
      </c>
      <c r="D1486" s="2" t="s">
        <v>7188</v>
      </c>
      <c r="E1486" s="2" t="s">
        <v>7189</v>
      </c>
      <c r="F1486" s="2">
        <v>5</v>
      </c>
      <c r="G1486" s="2" t="s">
        <v>7158</v>
      </c>
      <c r="H1486" s="2">
        <v>0.27</v>
      </c>
      <c r="I1486" s="2">
        <v>1.35</v>
      </c>
    </row>
    <row r="1487" spans="1:9" ht="22.5" customHeight="1" x14ac:dyDescent="0.25">
      <c r="A1487" s="3" t="s">
        <v>728</v>
      </c>
      <c r="B1487" s="3" t="s">
        <v>727</v>
      </c>
      <c r="C1487" s="3" t="s">
        <v>4787</v>
      </c>
      <c r="D1487" s="3" t="s">
        <v>7314</v>
      </c>
      <c r="E1487" s="3" t="s">
        <v>7315</v>
      </c>
      <c r="F1487" s="3">
        <v>72</v>
      </c>
      <c r="G1487" s="3" t="s">
        <v>7158</v>
      </c>
      <c r="H1487" s="3">
        <v>0.25</v>
      </c>
      <c r="I1487" s="3">
        <v>18</v>
      </c>
    </row>
    <row r="1488" spans="1:9" ht="22.5" customHeight="1" x14ac:dyDescent="0.25">
      <c r="A1488" s="2" t="s">
        <v>3753</v>
      </c>
      <c r="B1488" s="2" t="s">
        <v>3752</v>
      </c>
      <c r="C1488" s="2" t="s">
        <v>4999</v>
      </c>
      <c r="D1488" s="2" t="s">
        <v>7153</v>
      </c>
      <c r="E1488" s="2" t="s">
        <v>7154</v>
      </c>
      <c r="F1488" s="2">
        <v>14</v>
      </c>
      <c r="G1488" s="2" t="s">
        <v>7155</v>
      </c>
      <c r="H1488" s="2">
        <v>1.24E-2</v>
      </c>
      <c r="I1488" s="2">
        <v>0.1736</v>
      </c>
    </row>
    <row r="1489" spans="1:9" ht="33.75" customHeight="1" x14ac:dyDescent="0.25">
      <c r="A1489" s="3" t="s">
        <v>3753</v>
      </c>
      <c r="B1489" s="3" t="s">
        <v>3752</v>
      </c>
      <c r="C1489" s="3" t="s">
        <v>4999</v>
      </c>
      <c r="D1489" s="3" t="s">
        <v>7186</v>
      </c>
      <c r="E1489" s="3" t="s">
        <v>7187</v>
      </c>
      <c r="F1489" s="3">
        <v>1</v>
      </c>
      <c r="G1489" s="3" t="s">
        <v>7158</v>
      </c>
      <c r="H1489" s="3">
        <v>26</v>
      </c>
      <c r="I1489" s="3">
        <v>26</v>
      </c>
    </row>
    <row r="1490" spans="1:9" ht="22.5" customHeight="1" x14ac:dyDescent="0.25">
      <c r="A1490" s="2" t="s">
        <v>3753</v>
      </c>
      <c r="B1490" s="2" t="s">
        <v>3752</v>
      </c>
      <c r="C1490" s="2" t="s">
        <v>4999</v>
      </c>
      <c r="D1490" s="2" t="s">
        <v>7159</v>
      </c>
      <c r="E1490" s="2" t="s">
        <v>7160</v>
      </c>
      <c r="F1490" s="2">
        <v>20</v>
      </c>
      <c r="G1490" s="2" t="s">
        <v>7155</v>
      </c>
      <c r="H1490" s="2">
        <v>1.8319999999999999E-2</v>
      </c>
      <c r="I1490" s="2">
        <v>0.3664</v>
      </c>
    </row>
    <row r="1491" spans="1:9" ht="22.5" customHeight="1" x14ac:dyDescent="0.25">
      <c r="A1491" s="3" t="s">
        <v>3753</v>
      </c>
      <c r="B1491" s="3" t="s">
        <v>3752</v>
      </c>
      <c r="C1491" s="3" t="s">
        <v>4999</v>
      </c>
      <c r="D1491" s="3" t="s">
        <v>7161</v>
      </c>
      <c r="E1491" s="3" t="s">
        <v>7162</v>
      </c>
      <c r="F1491" s="3">
        <v>0.186</v>
      </c>
      <c r="G1491" s="3" t="s">
        <v>7163</v>
      </c>
      <c r="H1491" s="3" t="s">
        <v>7164</v>
      </c>
      <c r="I1491" s="3">
        <v>0.186</v>
      </c>
    </row>
    <row r="1492" spans="1:9" ht="33.75" customHeight="1" x14ac:dyDescent="0.25">
      <c r="A1492" s="2" t="s">
        <v>3753</v>
      </c>
      <c r="B1492" s="2" t="s">
        <v>3752</v>
      </c>
      <c r="C1492" s="2" t="s">
        <v>4999</v>
      </c>
      <c r="D1492" s="2" t="s">
        <v>7212</v>
      </c>
      <c r="E1492" s="2" t="s">
        <v>7213</v>
      </c>
      <c r="F1492" s="2">
        <v>6</v>
      </c>
      <c r="G1492" s="2" t="s">
        <v>7158</v>
      </c>
      <c r="H1492" s="2">
        <v>0.21</v>
      </c>
      <c r="I1492" s="2">
        <v>1.26</v>
      </c>
    </row>
    <row r="1493" spans="1:9" ht="33.75" customHeight="1" x14ac:dyDescent="0.25">
      <c r="A1493" s="3" t="s">
        <v>3753</v>
      </c>
      <c r="B1493" s="3" t="s">
        <v>3752</v>
      </c>
      <c r="C1493" s="3" t="s">
        <v>4999</v>
      </c>
      <c r="D1493" s="3" t="s">
        <v>7188</v>
      </c>
      <c r="E1493" s="3" t="s">
        <v>7189</v>
      </c>
      <c r="F1493" s="3">
        <v>5</v>
      </c>
      <c r="G1493" s="3" t="s">
        <v>7158</v>
      </c>
      <c r="H1493" s="3">
        <v>0.27</v>
      </c>
      <c r="I1493" s="3">
        <v>1.35</v>
      </c>
    </row>
    <row r="1494" spans="1:9" ht="22.5" customHeight="1" x14ac:dyDescent="0.25">
      <c r="A1494" s="2" t="s">
        <v>3753</v>
      </c>
      <c r="B1494" s="2" t="s">
        <v>3752</v>
      </c>
      <c r="C1494" s="2" t="s">
        <v>4999</v>
      </c>
      <c r="D1494" s="2" t="s">
        <v>7316</v>
      </c>
      <c r="E1494" s="2" t="s">
        <v>7317</v>
      </c>
      <c r="F1494" s="2">
        <v>72</v>
      </c>
      <c r="G1494" s="2" t="s">
        <v>7158</v>
      </c>
      <c r="H1494" s="2">
        <v>0.25</v>
      </c>
      <c r="I1494" s="2">
        <v>18</v>
      </c>
    </row>
    <row r="1495" spans="1:9" ht="22.5" customHeight="1" x14ac:dyDescent="0.25">
      <c r="A1495" s="3" t="s">
        <v>3172</v>
      </c>
      <c r="B1495" s="3" t="s">
        <v>3171</v>
      </c>
      <c r="C1495" s="3" t="s">
        <v>4964</v>
      </c>
      <c r="D1495" s="3" t="s">
        <v>7153</v>
      </c>
      <c r="E1495" s="3" t="s">
        <v>7154</v>
      </c>
      <c r="F1495" s="3">
        <v>14</v>
      </c>
      <c r="G1495" s="3" t="s">
        <v>7155</v>
      </c>
      <c r="H1495" s="3">
        <v>1.24E-2</v>
      </c>
      <c r="I1495" s="3">
        <v>0.1736</v>
      </c>
    </row>
    <row r="1496" spans="1:9" ht="33.75" customHeight="1" x14ac:dyDescent="0.25">
      <c r="A1496" s="2" t="s">
        <v>3172</v>
      </c>
      <c r="B1496" s="2" t="s">
        <v>3171</v>
      </c>
      <c r="C1496" s="2" t="s">
        <v>4964</v>
      </c>
      <c r="D1496" s="2" t="s">
        <v>7186</v>
      </c>
      <c r="E1496" s="2" t="s">
        <v>7187</v>
      </c>
      <c r="F1496" s="2">
        <v>1</v>
      </c>
      <c r="G1496" s="2" t="s">
        <v>7158</v>
      </c>
      <c r="H1496" s="2">
        <v>26</v>
      </c>
      <c r="I1496" s="2">
        <v>26</v>
      </c>
    </row>
    <row r="1497" spans="1:9" ht="22.5" customHeight="1" x14ac:dyDescent="0.25">
      <c r="A1497" s="3" t="s">
        <v>3172</v>
      </c>
      <c r="B1497" s="3" t="s">
        <v>3171</v>
      </c>
      <c r="C1497" s="3" t="s">
        <v>4964</v>
      </c>
      <c r="D1497" s="3" t="s">
        <v>7159</v>
      </c>
      <c r="E1497" s="3" t="s">
        <v>7160</v>
      </c>
      <c r="F1497" s="3">
        <v>20</v>
      </c>
      <c r="G1497" s="3" t="s">
        <v>7155</v>
      </c>
      <c r="H1497" s="3">
        <v>1.8319999999999999E-2</v>
      </c>
      <c r="I1497" s="3">
        <v>0.3664</v>
      </c>
    </row>
    <row r="1498" spans="1:9" ht="22.5" customHeight="1" x14ac:dyDescent="0.25">
      <c r="A1498" s="2" t="s">
        <v>3172</v>
      </c>
      <c r="B1498" s="2" t="s">
        <v>3171</v>
      </c>
      <c r="C1498" s="2" t="s">
        <v>4964</v>
      </c>
      <c r="D1498" s="2" t="s">
        <v>7161</v>
      </c>
      <c r="E1498" s="2" t="s">
        <v>7162</v>
      </c>
      <c r="F1498" s="2">
        <v>0.186</v>
      </c>
      <c r="G1498" s="2" t="s">
        <v>7163</v>
      </c>
      <c r="H1498" s="2" t="s">
        <v>7164</v>
      </c>
      <c r="I1498" s="2">
        <v>0.186</v>
      </c>
    </row>
    <row r="1499" spans="1:9" ht="33.75" customHeight="1" x14ac:dyDescent="0.25">
      <c r="A1499" s="3" t="s">
        <v>3172</v>
      </c>
      <c r="B1499" s="3" t="s">
        <v>3171</v>
      </c>
      <c r="C1499" s="3" t="s">
        <v>4964</v>
      </c>
      <c r="D1499" s="3" t="s">
        <v>7212</v>
      </c>
      <c r="E1499" s="3" t="s">
        <v>7213</v>
      </c>
      <c r="F1499" s="3">
        <v>8</v>
      </c>
      <c r="G1499" s="3" t="s">
        <v>7158</v>
      </c>
      <c r="H1499" s="3">
        <v>0.21</v>
      </c>
      <c r="I1499" s="3">
        <v>1.68</v>
      </c>
    </row>
    <row r="1500" spans="1:9" ht="33.75" customHeight="1" x14ac:dyDescent="0.25">
      <c r="A1500" s="2" t="s">
        <v>3172</v>
      </c>
      <c r="B1500" s="2" t="s">
        <v>3171</v>
      </c>
      <c r="C1500" s="2" t="s">
        <v>4964</v>
      </c>
      <c r="D1500" s="2" t="s">
        <v>7188</v>
      </c>
      <c r="E1500" s="2" t="s">
        <v>7189</v>
      </c>
      <c r="F1500" s="2">
        <v>4</v>
      </c>
      <c r="G1500" s="2" t="s">
        <v>7158</v>
      </c>
      <c r="H1500" s="2">
        <v>0.27</v>
      </c>
      <c r="I1500" s="2">
        <v>1.08</v>
      </c>
    </row>
    <row r="1501" spans="1:9" ht="33.75" customHeight="1" x14ac:dyDescent="0.25">
      <c r="A1501" s="3" t="s">
        <v>3172</v>
      </c>
      <c r="B1501" s="3" t="s">
        <v>3171</v>
      </c>
      <c r="C1501" s="3" t="s">
        <v>4964</v>
      </c>
      <c r="D1501" s="3" t="s">
        <v>7318</v>
      </c>
      <c r="E1501" s="3" t="s">
        <v>7319</v>
      </c>
      <c r="F1501" s="3">
        <v>72</v>
      </c>
      <c r="G1501" s="3" t="s">
        <v>7158</v>
      </c>
      <c r="H1501" s="3">
        <v>0.24</v>
      </c>
      <c r="I1501" s="3">
        <v>17.28</v>
      </c>
    </row>
    <row r="1502" spans="1:9" ht="22.5" customHeight="1" x14ac:dyDescent="0.25">
      <c r="A1502" s="2" t="s">
        <v>3521</v>
      </c>
      <c r="B1502" s="2" t="s">
        <v>3520</v>
      </c>
      <c r="C1502" s="2" t="s">
        <v>4984</v>
      </c>
      <c r="D1502" s="2" t="s">
        <v>7153</v>
      </c>
      <c r="E1502" s="2" t="s">
        <v>7154</v>
      </c>
      <c r="F1502" s="2">
        <v>14</v>
      </c>
      <c r="G1502" s="2" t="s">
        <v>7155</v>
      </c>
      <c r="H1502" s="2">
        <v>1.24E-2</v>
      </c>
      <c r="I1502" s="2">
        <v>0.1736</v>
      </c>
    </row>
    <row r="1503" spans="1:9" ht="33.75" customHeight="1" x14ac:dyDescent="0.25">
      <c r="A1503" s="3" t="s">
        <v>3521</v>
      </c>
      <c r="B1503" s="3" t="s">
        <v>3520</v>
      </c>
      <c r="C1503" s="3" t="s">
        <v>4984</v>
      </c>
      <c r="D1503" s="3" t="s">
        <v>7186</v>
      </c>
      <c r="E1503" s="3" t="s">
        <v>7187</v>
      </c>
      <c r="F1503" s="3">
        <v>1</v>
      </c>
      <c r="G1503" s="3" t="s">
        <v>7158</v>
      </c>
      <c r="H1503" s="3">
        <v>26</v>
      </c>
      <c r="I1503" s="3">
        <v>26</v>
      </c>
    </row>
    <row r="1504" spans="1:9" ht="22.5" customHeight="1" x14ac:dyDescent="0.25">
      <c r="A1504" s="2" t="s">
        <v>3521</v>
      </c>
      <c r="B1504" s="2" t="s">
        <v>3520</v>
      </c>
      <c r="C1504" s="2" t="s">
        <v>4984</v>
      </c>
      <c r="D1504" s="2" t="s">
        <v>7159</v>
      </c>
      <c r="E1504" s="2" t="s">
        <v>7160</v>
      </c>
      <c r="F1504" s="2">
        <v>20</v>
      </c>
      <c r="G1504" s="2" t="s">
        <v>7155</v>
      </c>
      <c r="H1504" s="2">
        <v>1.8319999999999999E-2</v>
      </c>
      <c r="I1504" s="2">
        <v>0.3664</v>
      </c>
    </row>
    <row r="1505" spans="1:9" ht="22.5" customHeight="1" x14ac:dyDescent="0.25">
      <c r="A1505" s="3" t="s">
        <v>3521</v>
      </c>
      <c r="B1505" s="3" t="s">
        <v>3520</v>
      </c>
      <c r="C1505" s="3" t="s">
        <v>4984</v>
      </c>
      <c r="D1505" s="3" t="s">
        <v>7161</v>
      </c>
      <c r="E1505" s="3" t="s">
        <v>7162</v>
      </c>
      <c r="F1505" s="3">
        <v>0.186</v>
      </c>
      <c r="G1505" s="3" t="s">
        <v>7163</v>
      </c>
      <c r="H1505" s="3" t="s">
        <v>7164</v>
      </c>
      <c r="I1505" s="3">
        <v>0.186</v>
      </c>
    </row>
    <row r="1506" spans="1:9" ht="33.75" customHeight="1" x14ac:dyDescent="0.25">
      <c r="A1506" s="2" t="s">
        <v>3521</v>
      </c>
      <c r="B1506" s="2" t="s">
        <v>3520</v>
      </c>
      <c r="C1506" s="2" t="s">
        <v>4984</v>
      </c>
      <c r="D1506" s="2" t="s">
        <v>7212</v>
      </c>
      <c r="E1506" s="2" t="s">
        <v>7213</v>
      </c>
      <c r="F1506" s="2">
        <v>8</v>
      </c>
      <c r="G1506" s="2" t="s">
        <v>7158</v>
      </c>
      <c r="H1506" s="2">
        <v>0.21</v>
      </c>
      <c r="I1506" s="2">
        <v>1.68</v>
      </c>
    </row>
    <row r="1507" spans="1:9" ht="33.75" customHeight="1" x14ac:dyDescent="0.25">
      <c r="A1507" s="3" t="s">
        <v>3521</v>
      </c>
      <c r="B1507" s="3" t="s">
        <v>3520</v>
      </c>
      <c r="C1507" s="3" t="s">
        <v>4984</v>
      </c>
      <c r="D1507" s="3" t="s">
        <v>7188</v>
      </c>
      <c r="E1507" s="3" t="s">
        <v>7189</v>
      </c>
      <c r="F1507" s="3">
        <v>5</v>
      </c>
      <c r="G1507" s="3" t="s">
        <v>7158</v>
      </c>
      <c r="H1507" s="3">
        <v>0.27</v>
      </c>
      <c r="I1507" s="3">
        <v>1.35</v>
      </c>
    </row>
    <row r="1508" spans="1:9" ht="22.5" customHeight="1" x14ac:dyDescent="0.25">
      <c r="A1508" s="2" t="s">
        <v>3521</v>
      </c>
      <c r="B1508" s="2" t="s">
        <v>3520</v>
      </c>
      <c r="C1508" s="2" t="s">
        <v>4984</v>
      </c>
      <c r="D1508" s="2" t="s">
        <v>7320</v>
      </c>
      <c r="E1508" s="2" t="s">
        <v>7321</v>
      </c>
      <c r="F1508" s="2">
        <v>72</v>
      </c>
      <c r="G1508" s="2" t="s">
        <v>7158</v>
      </c>
      <c r="H1508" s="2">
        <v>0.25</v>
      </c>
      <c r="I1508" s="2">
        <v>18</v>
      </c>
    </row>
    <row r="1509" spans="1:9" ht="22.5" customHeight="1" x14ac:dyDescent="0.25">
      <c r="A1509" s="3" t="s">
        <v>2727</v>
      </c>
      <c r="B1509" s="3" t="s">
        <v>2726</v>
      </c>
      <c r="C1509" s="3" t="s">
        <v>4936</v>
      </c>
      <c r="D1509" s="3" t="s">
        <v>7153</v>
      </c>
      <c r="E1509" s="3" t="s">
        <v>7154</v>
      </c>
      <c r="F1509" s="3">
        <v>14</v>
      </c>
      <c r="G1509" s="3" t="s">
        <v>7155</v>
      </c>
      <c r="H1509" s="3">
        <v>1.24E-2</v>
      </c>
      <c r="I1509" s="3">
        <v>0.1736</v>
      </c>
    </row>
    <row r="1510" spans="1:9" ht="33.75" customHeight="1" x14ac:dyDescent="0.25">
      <c r="A1510" s="2" t="s">
        <v>2727</v>
      </c>
      <c r="B1510" s="2" t="s">
        <v>2726</v>
      </c>
      <c r="C1510" s="2" t="s">
        <v>4936</v>
      </c>
      <c r="D1510" s="2" t="s">
        <v>7186</v>
      </c>
      <c r="E1510" s="2" t="s">
        <v>7187</v>
      </c>
      <c r="F1510" s="2">
        <v>1</v>
      </c>
      <c r="G1510" s="2" t="s">
        <v>7158</v>
      </c>
      <c r="H1510" s="2">
        <v>26</v>
      </c>
      <c r="I1510" s="2">
        <v>26</v>
      </c>
    </row>
    <row r="1511" spans="1:9" ht="22.5" customHeight="1" x14ac:dyDescent="0.25">
      <c r="A1511" s="3" t="s">
        <v>2727</v>
      </c>
      <c r="B1511" s="3" t="s">
        <v>2726</v>
      </c>
      <c r="C1511" s="3" t="s">
        <v>4936</v>
      </c>
      <c r="D1511" s="3" t="s">
        <v>7159</v>
      </c>
      <c r="E1511" s="3" t="s">
        <v>7160</v>
      </c>
      <c r="F1511" s="3">
        <v>20</v>
      </c>
      <c r="G1511" s="3" t="s">
        <v>7155</v>
      </c>
      <c r="H1511" s="3">
        <v>1.8319999999999999E-2</v>
      </c>
      <c r="I1511" s="3">
        <v>0.3664</v>
      </c>
    </row>
    <row r="1512" spans="1:9" ht="22.5" customHeight="1" x14ac:dyDescent="0.25">
      <c r="A1512" s="2" t="s">
        <v>2727</v>
      </c>
      <c r="B1512" s="2" t="s">
        <v>2726</v>
      </c>
      <c r="C1512" s="2" t="s">
        <v>4936</v>
      </c>
      <c r="D1512" s="2" t="s">
        <v>7161</v>
      </c>
      <c r="E1512" s="2" t="s">
        <v>7162</v>
      </c>
      <c r="F1512" s="2">
        <v>0.186</v>
      </c>
      <c r="G1512" s="2" t="s">
        <v>7163</v>
      </c>
      <c r="H1512" s="2" t="s">
        <v>7164</v>
      </c>
      <c r="I1512" s="2">
        <v>0.186</v>
      </c>
    </row>
    <row r="1513" spans="1:9" ht="33.75" customHeight="1" x14ac:dyDescent="0.25">
      <c r="A1513" s="3" t="s">
        <v>2727</v>
      </c>
      <c r="B1513" s="3" t="s">
        <v>2726</v>
      </c>
      <c r="C1513" s="3" t="s">
        <v>4936</v>
      </c>
      <c r="D1513" s="3" t="s">
        <v>7212</v>
      </c>
      <c r="E1513" s="3" t="s">
        <v>7213</v>
      </c>
      <c r="F1513" s="3">
        <v>8</v>
      </c>
      <c r="G1513" s="3" t="s">
        <v>7158</v>
      </c>
      <c r="H1513" s="3">
        <v>0.21</v>
      </c>
      <c r="I1513" s="3">
        <v>1.68</v>
      </c>
    </row>
    <row r="1514" spans="1:9" ht="33.75" customHeight="1" x14ac:dyDescent="0.25">
      <c r="A1514" s="2" t="s">
        <v>2727</v>
      </c>
      <c r="B1514" s="2" t="s">
        <v>2726</v>
      </c>
      <c r="C1514" s="2" t="s">
        <v>4936</v>
      </c>
      <c r="D1514" s="2" t="s">
        <v>7188</v>
      </c>
      <c r="E1514" s="2" t="s">
        <v>7189</v>
      </c>
      <c r="F1514" s="2">
        <v>5</v>
      </c>
      <c r="G1514" s="2" t="s">
        <v>7158</v>
      </c>
      <c r="H1514" s="2">
        <v>0.27</v>
      </c>
      <c r="I1514" s="2">
        <v>1.35</v>
      </c>
    </row>
    <row r="1515" spans="1:9" ht="22.5" customHeight="1" x14ac:dyDescent="0.25">
      <c r="A1515" s="3" t="s">
        <v>2727</v>
      </c>
      <c r="B1515" s="3" t="s">
        <v>2726</v>
      </c>
      <c r="C1515" s="3" t="s">
        <v>4936</v>
      </c>
      <c r="D1515" s="3" t="s">
        <v>7322</v>
      </c>
      <c r="E1515" s="3" t="s">
        <v>7323</v>
      </c>
      <c r="F1515" s="3">
        <v>72</v>
      </c>
      <c r="G1515" s="3" t="s">
        <v>7158</v>
      </c>
      <c r="H1515" s="3">
        <v>0.28999999999999998</v>
      </c>
      <c r="I1515" s="3">
        <v>20.88</v>
      </c>
    </row>
    <row r="1516" spans="1:9" ht="22.5" customHeight="1" x14ac:dyDescent="0.25">
      <c r="A1516" s="2" t="s">
        <v>4538</v>
      </c>
      <c r="B1516" s="2" t="s">
        <v>4537</v>
      </c>
      <c r="C1516" s="2" t="s">
        <v>5039</v>
      </c>
      <c r="D1516" s="2" t="s">
        <v>7249</v>
      </c>
      <c r="E1516" s="2" t="s">
        <v>7250</v>
      </c>
      <c r="F1516" s="2">
        <v>3</v>
      </c>
      <c r="G1516" s="2" t="s">
        <v>7158</v>
      </c>
      <c r="H1516" s="2">
        <v>0.104</v>
      </c>
      <c r="I1516" s="2">
        <v>0.312</v>
      </c>
    </row>
    <row r="1517" spans="1:9" ht="22.5" customHeight="1" x14ac:dyDescent="0.25">
      <c r="A1517" s="3" t="s">
        <v>4538</v>
      </c>
      <c r="B1517" s="3" t="s">
        <v>4537</v>
      </c>
      <c r="C1517" s="3" t="s">
        <v>5039</v>
      </c>
      <c r="D1517" s="3" t="s">
        <v>7153</v>
      </c>
      <c r="E1517" s="3" t="s">
        <v>7154</v>
      </c>
      <c r="F1517" s="3">
        <v>14</v>
      </c>
      <c r="G1517" s="3" t="s">
        <v>7155</v>
      </c>
      <c r="H1517" s="3">
        <v>1.24E-2</v>
      </c>
      <c r="I1517" s="3">
        <v>0.1736</v>
      </c>
    </row>
    <row r="1518" spans="1:9" ht="33.75" customHeight="1" x14ac:dyDescent="0.25">
      <c r="A1518" s="2" t="s">
        <v>4538</v>
      </c>
      <c r="B1518" s="2" t="s">
        <v>4537</v>
      </c>
      <c r="C1518" s="2" t="s">
        <v>5039</v>
      </c>
      <c r="D1518" s="2" t="s">
        <v>7186</v>
      </c>
      <c r="E1518" s="2" t="s">
        <v>7187</v>
      </c>
      <c r="F1518" s="2">
        <v>1</v>
      </c>
      <c r="G1518" s="2" t="s">
        <v>7158</v>
      </c>
      <c r="H1518" s="2">
        <v>26</v>
      </c>
      <c r="I1518" s="2">
        <v>26</v>
      </c>
    </row>
    <row r="1519" spans="1:9" ht="22.5" customHeight="1" x14ac:dyDescent="0.25">
      <c r="A1519" s="3" t="s">
        <v>4538</v>
      </c>
      <c r="B1519" s="3" t="s">
        <v>4537</v>
      </c>
      <c r="C1519" s="3" t="s">
        <v>5039</v>
      </c>
      <c r="D1519" s="3" t="s">
        <v>7159</v>
      </c>
      <c r="E1519" s="3" t="s">
        <v>7160</v>
      </c>
      <c r="F1519" s="3">
        <v>20</v>
      </c>
      <c r="G1519" s="3" t="s">
        <v>7155</v>
      </c>
      <c r="H1519" s="3">
        <v>1.8319999999999999E-2</v>
      </c>
      <c r="I1519" s="3">
        <v>0.3664</v>
      </c>
    </row>
    <row r="1520" spans="1:9" ht="22.5" customHeight="1" x14ac:dyDescent="0.25">
      <c r="A1520" s="2" t="s">
        <v>4538</v>
      </c>
      <c r="B1520" s="2" t="s">
        <v>4537</v>
      </c>
      <c r="C1520" s="2" t="s">
        <v>5039</v>
      </c>
      <c r="D1520" s="2" t="s">
        <v>7161</v>
      </c>
      <c r="E1520" s="2" t="s">
        <v>7162</v>
      </c>
      <c r="F1520" s="2">
        <v>0.186</v>
      </c>
      <c r="G1520" s="2" t="s">
        <v>7163</v>
      </c>
      <c r="H1520" s="2" t="s">
        <v>7164</v>
      </c>
      <c r="I1520" s="2">
        <v>0.186</v>
      </c>
    </row>
    <row r="1521" spans="1:9" ht="33.75" customHeight="1" x14ac:dyDescent="0.25">
      <c r="A1521" s="3" t="s">
        <v>4538</v>
      </c>
      <c r="B1521" s="3" t="s">
        <v>4537</v>
      </c>
      <c r="C1521" s="3" t="s">
        <v>5039</v>
      </c>
      <c r="D1521" s="3" t="s">
        <v>7188</v>
      </c>
      <c r="E1521" s="3" t="s">
        <v>7189</v>
      </c>
      <c r="F1521" s="3">
        <v>1</v>
      </c>
      <c r="G1521" s="3" t="s">
        <v>7158</v>
      </c>
      <c r="H1521" s="3">
        <v>0.27</v>
      </c>
      <c r="I1521" s="3">
        <v>0.27</v>
      </c>
    </row>
    <row r="1522" spans="1:9" ht="33.75" customHeight="1" x14ac:dyDescent="0.25">
      <c r="A1522" s="2" t="s">
        <v>4538</v>
      </c>
      <c r="B1522" s="2" t="s">
        <v>4537</v>
      </c>
      <c r="C1522" s="2" t="s">
        <v>5039</v>
      </c>
      <c r="D1522" s="2" t="s">
        <v>7165</v>
      </c>
      <c r="E1522" s="2" t="s">
        <v>7166</v>
      </c>
      <c r="F1522" s="2">
        <v>4</v>
      </c>
      <c r="G1522" s="2" t="s">
        <v>7158</v>
      </c>
      <c r="H1522" s="2">
        <v>0.1</v>
      </c>
      <c r="I1522" s="2">
        <v>0.4</v>
      </c>
    </row>
    <row r="1523" spans="1:9" ht="22.5" customHeight="1" x14ac:dyDescent="0.25">
      <c r="A1523" s="3" t="s">
        <v>3252</v>
      </c>
      <c r="B1523" s="3" t="s">
        <v>3251</v>
      </c>
      <c r="C1523" s="3" t="s">
        <v>4968</v>
      </c>
      <c r="D1523" s="3" t="s">
        <v>7153</v>
      </c>
      <c r="E1523" s="3" t="s">
        <v>7154</v>
      </c>
      <c r="F1523" s="3">
        <v>14</v>
      </c>
      <c r="G1523" s="3" t="s">
        <v>7155</v>
      </c>
      <c r="H1523" s="3">
        <v>1.24E-2</v>
      </c>
      <c r="I1523" s="3">
        <v>0.1736</v>
      </c>
    </row>
    <row r="1524" spans="1:9" ht="33.75" customHeight="1" x14ac:dyDescent="0.25">
      <c r="A1524" s="2" t="s">
        <v>3252</v>
      </c>
      <c r="B1524" s="2" t="s">
        <v>3251</v>
      </c>
      <c r="C1524" s="2" t="s">
        <v>4968</v>
      </c>
      <c r="D1524" s="2" t="s">
        <v>7186</v>
      </c>
      <c r="E1524" s="2" t="s">
        <v>7187</v>
      </c>
      <c r="F1524" s="2">
        <v>1</v>
      </c>
      <c r="G1524" s="2" t="s">
        <v>7158</v>
      </c>
      <c r="H1524" s="2">
        <v>26</v>
      </c>
      <c r="I1524" s="2">
        <v>26</v>
      </c>
    </row>
    <row r="1525" spans="1:9" ht="22.5" customHeight="1" x14ac:dyDescent="0.25">
      <c r="A1525" s="3" t="s">
        <v>3252</v>
      </c>
      <c r="B1525" s="3" t="s">
        <v>3251</v>
      </c>
      <c r="C1525" s="3" t="s">
        <v>4968</v>
      </c>
      <c r="D1525" s="3" t="s">
        <v>7159</v>
      </c>
      <c r="E1525" s="3" t="s">
        <v>7160</v>
      </c>
      <c r="F1525" s="3">
        <v>20</v>
      </c>
      <c r="G1525" s="3" t="s">
        <v>7155</v>
      </c>
      <c r="H1525" s="3">
        <v>1.8319999999999999E-2</v>
      </c>
      <c r="I1525" s="3">
        <v>0.3664</v>
      </c>
    </row>
    <row r="1526" spans="1:9" ht="22.5" customHeight="1" x14ac:dyDescent="0.25">
      <c r="A1526" s="2" t="s">
        <v>3252</v>
      </c>
      <c r="B1526" s="2" t="s">
        <v>3251</v>
      </c>
      <c r="C1526" s="2" t="s">
        <v>4968</v>
      </c>
      <c r="D1526" s="2" t="s">
        <v>7161</v>
      </c>
      <c r="E1526" s="2" t="s">
        <v>7162</v>
      </c>
      <c r="F1526" s="2">
        <v>0.186</v>
      </c>
      <c r="G1526" s="2" t="s">
        <v>7163</v>
      </c>
      <c r="H1526" s="2" t="s">
        <v>7164</v>
      </c>
      <c r="I1526" s="2">
        <v>0.186</v>
      </c>
    </row>
    <row r="1527" spans="1:9" ht="22.5" customHeight="1" x14ac:dyDescent="0.25">
      <c r="A1527" s="3" t="s">
        <v>3252</v>
      </c>
      <c r="B1527" s="3" t="s">
        <v>3251</v>
      </c>
      <c r="C1527" s="3" t="s">
        <v>4968</v>
      </c>
      <c r="D1527" s="3" t="s">
        <v>7207</v>
      </c>
      <c r="E1527" s="3" t="s">
        <v>7208</v>
      </c>
      <c r="F1527" s="3">
        <v>2.7360000000000002</v>
      </c>
      <c r="G1527" s="3" t="s">
        <v>7163</v>
      </c>
      <c r="H1527" s="3" t="s">
        <v>7164</v>
      </c>
      <c r="I1527" s="3">
        <v>2.7360000000000002</v>
      </c>
    </row>
    <row r="1528" spans="1:9" ht="33.75" customHeight="1" x14ac:dyDescent="0.25">
      <c r="A1528" s="2" t="s">
        <v>3252</v>
      </c>
      <c r="B1528" s="2" t="s">
        <v>3251</v>
      </c>
      <c r="C1528" s="2" t="s">
        <v>4968</v>
      </c>
      <c r="D1528" s="2" t="s">
        <v>7188</v>
      </c>
      <c r="E1528" s="2" t="s">
        <v>7189</v>
      </c>
      <c r="F1528" s="2">
        <v>4</v>
      </c>
      <c r="G1528" s="2" t="s">
        <v>7158</v>
      </c>
      <c r="H1528" s="2">
        <v>0.27</v>
      </c>
      <c r="I1528" s="2">
        <v>1.08</v>
      </c>
    </row>
    <row r="1529" spans="1:9" ht="33.75" customHeight="1" x14ac:dyDescent="0.25">
      <c r="A1529" s="3" t="s">
        <v>3252</v>
      </c>
      <c r="B1529" s="3" t="s">
        <v>3251</v>
      </c>
      <c r="C1529" s="3" t="s">
        <v>4968</v>
      </c>
      <c r="D1529" s="3" t="s">
        <v>7165</v>
      </c>
      <c r="E1529" s="3" t="s">
        <v>7166</v>
      </c>
      <c r="F1529" s="3">
        <v>4</v>
      </c>
      <c r="G1529" s="3" t="s">
        <v>7158</v>
      </c>
      <c r="H1529" s="3">
        <v>0.1</v>
      </c>
      <c r="I1529" s="3">
        <v>0.4</v>
      </c>
    </row>
    <row r="1530" spans="1:9" ht="247.5" customHeight="1" x14ac:dyDescent="0.25">
      <c r="A1530" s="2" t="s">
        <v>400</v>
      </c>
      <c r="B1530" s="2" t="s">
        <v>6625</v>
      </c>
      <c r="C1530" s="2" t="s">
        <v>4730</v>
      </c>
      <c r="D1530" s="2" t="s">
        <v>7153</v>
      </c>
      <c r="E1530" s="2" t="s">
        <v>7154</v>
      </c>
      <c r="F1530" s="2">
        <v>7</v>
      </c>
      <c r="G1530" s="2" t="s">
        <v>7155</v>
      </c>
      <c r="H1530" s="2">
        <v>1.24E-2</v>
      </c>
      <c r="I1530" s="2">
        <v>8.6800000000000002E-2</v>
      </c>
    </row>
    <row r="1531" spans="1:9" ht="247.5" customHeight="1" x14ac:dyDescent="0.25">
      <c r="A1531" s="3" t="s">
        <v>400</v>
      </c>
      <c r="B1531" s="3" t="s">
        <v>6625</v>
      </c>
      <c r="C1531" s="3" t="s">
        <v>4730</v>
      </c>
      <c r="D1531" s="3" t="s">
        <v>7284</v>
      </c>
      <c r="E1531" s="3" t="s">
        <v>7285</v>
      </c>
      <c r="F1531" s="3">
        <v>72</v>
      </c>
      <c r="G1531" s="3" t="s">
        <v>7158</v>
      </c>
      <c r="H1531" s="3">
        <v>5.1069999999999997E-2</v>
      </c>
      <c r="I1531" s="3">
        <v>3.6770399999999999</v>
      </c>
    </row>
    <row r="1532" spans="1:9" ht="247.5" customHeight="1" x14ac:dyDescent="0.25">
      <c r="A1532" s="2" t="s">
        <v>400</v>
      </c>
      <c r="B1532" s="2" t="s">
        <v>6625</v>
      </c>
      <c r="C1532" s="2" t="s">
        <v>4730</v>
      </c>
      <c r="D1532" s="2" t="s">
        <v>7186</v>
      </c>
      <c r="E1532" s="2" t="s">
        <v>7187</v>
      </c>
      <c r="F1532" s="2">
        <v>1</v>
      </c>
      <c r="G1532" s="2" t="s">
        <v>7158</v>
      </c>
      <c r="H1532" s="2">
        <v>26</v>
      </c>
      <c r="I1532" s="2">
        <v>26</v>
      </c>
    </row>
    <row r="1533" spans="1:9" ht="247.5" customHeight="1" x14ac:dyDescent="0.25">
      <c r="A1533" s="3" t="s">
        <v>400</v>
      </c>
      <c r="B1533" s="3" t="s">
        <v>6625</v>
      </c>
      <c r="C1533" s="3" t="s">
        <v>4730</v>
      </c>
      <c r="D1533" s="3" t="s">
        <v>7159</v>
      </c>
      <c r="E1533" s="3" t="s">
        <v>7160</v>
      </c>
      <c r="F1533" s="3">
        <v>20</v>
      </c>
      <c r="G1533" s="3" t="s">
        <v>7155</v>
      </c>
      <c r="H1533" s="3">
        <v>1.8319999999999999E-2</v>
      </c>
      <c r="I1533" s="3">
        <v>0.3664</v>
      </c>
    </row>
    <row r="1534" spans="1:9" ht="247.5" customHeight="1" x14ac:dyDescent="0.25">
      <c r="A1534" s="2" t="s">
        <v>400</v>
      </c>
      <c r="B1534" s="2" t="s">
        <v>6625</v>
      </c>
      <c r="C1534" s="2" t="s">
        <v>4730</v>
      </c>
      <c r="D1534" s="2" t="s">
        <v>7161</v>
      </c>
      <c r="E1534" s="2" t="s">
        <v>7162</v>
      </c>
      <c r="F1534" s="2">
        <v>0.186</v>
      </c>
      <c r="G1534" s="2" t="s">
        <v>7163</v>
      </c>
      <c r="H1534" s="2" t="s">
        <v>7164</v>
      </c>
      <c r="I1534" s="2">
        <v>0.186</v>
      </c>
    </row>
    <row r="1535" spans="1:9" ht="247.5" customHeight="1" x14ac:dyDescent="0.25">
      <c r="A1535" s="3" t="s">
        <v>400</v>
      </c>
      <c r="B1535" s="3" t="s">
        <v>6625</v>
      </c>
      <c r="C1535" s="3" t="s">
        <v>4730</v>
      </c>
      <c r="D1535" s="3" t="s">
        <v>7207</v>
      </c>
      <c r="E1535" s="3" t="s">
        <v>7208</v>
      </c>
      <c r="F1535" s="3">
        <v>2.7360000000000002</v>
      </c>
      <c r="G1535" s="3" t="s">
        <v>7163</v>
      </c>
      <c r="H1535" s="3" t="s">
        <v>7164</v>
      </c>
      <c r="I1535" s="3">
        <v>2.7360000000000002</v>
      </c>
    </row>
    <row r="1536" spans="1:9" ht="247.5" customHeight="1" x14ac:dyDescent="0.25">
      <c r="A1536" s="2" t="s">
        <v>400</v>
      </c>
      <c r="B1536" s="2" t="s">
        <v>6625</v>
      </c>
      <c r="C1536" s="2" t="s">
        <v>4730</v>
      </c>
      <c r="D1536" s="2" t="s">
        <v>7188</v>
      </c>
      <c r="E1536" s="2" t="s">
        <v>7189</v>
      </c>
      <c r="F1536" s="2">
        <v>4</v>
      </c>
      <c r="G1536" s="2" t="s">
        <v>7158</v>
      </c>
      <c r="H1536" s="2">
        <v>0.27</v>
      </c>
      <c r="I1536" s="2">
        <v>1.08</v>
      </c>
    </row>
    <row r="1537" spans="1:9" ht="247.5" customHeight="1" x14ac:dyDescent="0.25">
      <c r="A1537" s="3" t="s">
        <v>400</v>
      </c>
      <c r="B1537" s="3" t="s">
        <v>6625</v>
      </c>
      <c r="C1537" s="3" t="s">
        <v>4730</v>
      </c>
      <c r="D1537" s="3" t="s">
        <v>7165</v>
      </c>
      <c r="E1537" s="3" t="s">
        <v>7166</v>
      </c>
      <c r="F1537" s="3">
        <v>2</v>
      </c>
      <c r="G1537" s="3" t="s">
        <v>7158</v>
      </c>
      <c r="H1537" s="3">
        <v>0.1</v>
      </c>
      <c r="I1537" s="3">
        <v>0.2</v>
      </c>
    </row>
    <row r="1538" spans="1:9" ht="22.5" customHeight="1" x14ac:dyDescent="0.25">
      <c r="A1538" s="2" t="s">
        <v>519</v>
      </c>
      <c r="B1538" s="2" t="s">
        <v>6633</v>
      </c>
      <c r="C1538" s="2" t="s">
        <v>4750</v>
      </c>
      <c r="D1538" s="2" t="s">
        <v>7153</v>
      </c>
      <c r="E1538" s="2" t="s">
        <v>7154</v>
      </c>
      <c r="F1538" s="2">
        <v>7</v>
      </c>
      <c r="G1538" s="2" t="s">
        <v>7155</v>
      </c>
      <c r="H1538" s="2">
        <v>1.24E-2</v>
      </c>
      <c r="I1538" s="2">
        <v>8.6800000000000002E-2</v>
      </c>
    </row>
    <row r="1539" spans="1:9" ht="22.5" customHeight="1" x14ac:dyDescent="0.25">
      <c r="A1539" s="3" t="s">
        <v>519</v>
      </c>
      <c r="B1539" s="3" t="s">
        <v>6633</v>
      </c>
      <c r="C1539" s="3" t="s">
        <v>4750</v>
      </c>
      <c r="D1539" s="3" t="s">
        <v>7324</v>
      </c>
      <c r="E1539" s="3" t="s">
        <v>7325</v>
      </c>
      <c r="F1539" s="3">
        <v>72</v>
      </c>
      <c r="G1539" s="3" t="s">
        <v>7158</v>
      </c>
      <c r="H1539" s="3">
        <v>6.0999999999999997E-4</v>
      </c>
      <c r="I1539" s="3">
        <v>4.3920000000000001E-2</v>
      </c>
    </row>
    <row r="1540" spans="1:9" ht="33.75" customHeight="1" x14ac:dyDescent="0.25">
      <c r="A1540" s="2" t="s">
        <v>519</v>
      </c>
      <c r="B1540" s="2" t="s">
        <v>6633</v>
      </c>
      <c r="C1540" s="2" t="s">
        <v>4750</v>
      </c>
      <c r="D1540" s="2" t="s">
        <v>7186</v>
      </c>
      <c r="E1540" s="2" t="s">
        <v>7187</v>
      </c>
      <c r="F1540" s="2">
        <v>1</v>
      </c>
      <c r="G1540" s="2" t="s">
        <v>7158</v>
      </c>
      <c r="H1540" s="2">
        <v>26</v>
      </c>
      <c r="I1540" s="2">
        <v>26</v>
      </c>
    </row>
    <row r="1541" spans="1:9" ht="22.5" customHeight="1" x14ac:dyDescent="0.25">
      <c r="A1541" s="3" t="s">
        <v>519</v>
      </c>
      <c r="B1541" s="3" t="s">
        <v>6633</v>
      </c>
      <c r="C1541" s="3" t="s">
        <v>4750</v>
      </c>
      <c r="D1541" s="3" t="s">
        <v>7159</v>
      </c>
      <c r="E1541" s="3" t="s">
        <v>7160</v>
      </c>
      <c r="F1541" s="3">
        <v>20</v>
      </c>
      <c r="G1541" s="3" t="s">
        <v>7155</v>
      </c>
      <c r="H1541" s="3">
        <v>1.8319999999999999E-2</v>
      </c>
      <c r="I1541" s="3">
        <v>0.3664</v>
      </c>
    </row>
    <row r="1542" spans="1:9" ht="22.5" customHeight="1" x14ac:dyDescent="0.25">
      <c r="A1542" s="2" t="s">
        <v>519</v>
      </c>
      <c r="B1542" s="2" t="s">
        <v>6633</v>
      </c>
      <c r="C1542" s="2" t="s">
        <v>4750</v>
      </c>
      <c r="D1542" s="2" t="s">
        <v>7161</v>
      </c>
      <c r="E1542" s="2" t="s">
        <v>7162</v>
      </c>
      <c r="F1542" s="2">
        <v>0.186</v>
      </c>
      <c r="G1542" s="2" t="s">
        <v>7163</v>
      </c>
      <c r="H1542" s="2" t="s">
        <v>7164</v>
      </c>
      <c r="I1542" s="2">
        <v>0.186</v>
      </c>
    </row>
    <row r="1543" spans="1:9" ht="22.5" customHeight="1" x14ac:dyDescent="0.25">
      <c r="A1543" s="3" t="s">
        <v>519</v>
      </c>
      <c r="B1543" s="3" t="s">
        <v>6633</v>
      </c>
      <c r="C1543" s="3" t="s">
        <v>4750</v>
      </c>
      <c r="D1543" s="3" t="s">
        <v>7259</v>
      </c>
      <c r="E1543" s="3" t="s">
        <v>7308</v>
      </c>
      <c r="F1543" s="3">
        <v>2.3759999999999999</v>
      </c>
      <c r="G1543" s="3" t="s">
        <v>7163</v>
      </c>
      <c r="H1543" s="3" t="s">
        <v>7164</v>
      </c>
      <c r="I1543" s="3">
        <v>2.3759999999999999</v>
      </c>
    </row>
    <row r="1544" spans="1:9" ht="33.75" customHeight="1" x14ac:dyDescent="0.25">
      <c r="A1544" s="2" t="s">
        <v>519</v>
      </c>
      <c r="B1544" s="2" t="s">
        <v>6633</v>
      </c>
      <c r="C1544" s="2" t="s">
        <v>4750</v>
      </c>
      <c r="D1544" s="2" t="s">
        <v>7188</v>
      </c>
      <c r="E1544" s="2" t="s">
        <v>7189</v>
      </c>
      <c r="F1544" s="2">
        <v>4</v>
      </c>
      <c r="G1544" s="2" t="s">
        <v>7158</v>
      </c>
      <c r="H1544" s="2">
        <v>0.27</v>
      </c>
      <c r="I1544" s="2">
        <v>1.08</v>
      </c>
    </row>
    <row r="1545" spans="1:9" ht="33.75" customHeight="1" x14ac:dyDescent="0.25">
      <c r="A1545" s="3" t="s">
        <v>519</v>
      </c>
      <c r="B1545" s="3" t="s">
        <v>6633</v>
      </c>
      <c r="C1545" s="3" t="s">
        <v>4750</v>
      </c>
      <c r="D1545" s="3" t="s">
        <v>7165</v>
      </c>
      <c r="E1545" s="3" t="s">
        <v>7166</v>
      </c>
      <c r="F1545" s="3">
        <v>2</v>
      </c>
      <c r="G1545" s="3" t="s">
        <v>7158</v>
      </c>
      <c r="H1545" s="3">
        <v>0.1</v>
      </c>
      <c r="I1545" s="3">
        <v>0.2</v>
      </c>
    </row>
    <row r="1546" spans="1:9" ht="22.5" customHeight="1" x14ac:dyDescent="0.25">
      <c r="A1546" s="2" t="s">
        <v>2556</v>
      </c>
      <c r="B1546" s="2" t="s">
        <v>6641</v>
      </c>
      <c r="C1546" s="2" t="s">
        <v>4927</v>
      </c>
      <c r="D1546" s="2" t="s">
        <v>7153</v>
      </c>
      <c r="E1546" s="2" t="s">
        <v>7154</v>
      </c>
      <c r="F1546" s="2">
        <v>7</v>
      </c>
      <c r="G1546" s="2" t="s">
        <v>7155</v>
      </c>
      <c r="H1546" s="2">
        <v>1.24E-2</v>
      </c>
      <c r="I1546" s="2">
        <v>8.6800000000000002E-2</v>
      </c>
    </row>
    <row r="1547" spans="1:9" ht="33.75" customHeight="1" x14ac:dyDescent="0.25">
      <c r="A1547" s="3" t="s">
        <v>2556</v>
      </c>
      <c r="B1547" s="3" t="s">
        <v>6641</v>
      </c>
      <c r="C1547" s="3" t="s">
        <v>4927</v>
      </c>
      <c r="D1547" s="3" t="s">
        <v>7186</v>
      </c>
      <c r="E1547" s="3" t="s">
        <v>7187</v>
      </c>
      <c r="F1547" s="3">
        <v>1</v>
      </c>
      <c r="G1547" s="3" t="s">
        <v>7158</v>
      </c>
      <c r="H1547" s="3">
        <v>26</v>
      </c>
      <c r="I1547" s="3">
        <v>26</v>
      </c>
    </row>
    <row r="1548" spans="1:9" ht="22.5" customHeight="1" x14ac:dyDescent="0.25">
      <c r="A1548" s="2" t="s">
        <v>2556</v>
      </c>
      <c r="B1548" s="2" t="s">
        <v>6641</v>
      </c>
      <c r="C1548" s="2" t="s">
        <v>4927</v>
      </c>
      <c r="D1548" s="2" t="s">
        <v>7159</v>
      </c>
      <c r="E1548" s="2" t="s">
        <v>7160</v>
      </c>
      <c r="F1548" s="2">
        <v>20</v>
      </c>
      <c r="G1548" s="2" t="s">
        <v>7155</v>
      </c>
      <c r="H1548" s="2">
        <v>1.8319999999999999E-2</v>
      </c>
      <c r="I1548" s="2">
        <v>0.3664</v>
      </c>
    </row>
    <row r="1549" spans="1:9" ht="22.5" customHeight="1" x14ac:dyDescent="0.25">
      <c r="A1549" s="3" t="s">
        <v>2556</v>
      </c>
      <c r="B1549" s="3" t="s">
        <v>6641</v>
      </c>
      <c r="C1549" s="3" t="s">
        <v>4927</v>
      </c>
      <c r="D1549" s="3" t="s">
        <v>7161</v>
      </c>
      <c r="E1549" s="3" t="s">
        <v>7162</v>
      </c>
      <c r="F1549" s="3">
        <v>0.186</v>
      </c>
      <c r="G1549" s="3" t="s">
        <v>7163</v>
      </c>
      <c r="H1549" s="3" t="s">
        <v>7164</v>
      </c>
      <c r="I1549" s="3">
        <v>0.186</v>
      </c>
    </row>
    <row r="1550" spans="1:9" ht="22.5" customHeight="1" x14ac:dyDescent="0.25">
      <c r="A1550" s="2" t="s">
        <v>2556</v>
      </c>
      <c r="B1550" s="2" t="s">
        <v>6641</v>
      </c>
      <c r="C1550" s="2" t="s">
        <v>4927</v>
      </c>
      <c r="D1550" s="2" t="s">
        <v>7226</v>
      </c>
      <c r="E1550" s="2" t="s">
        <v>7227</v>
      </c>
      <c r="F1550" s="2">
        <v>2.448</v>
      </c>
      <c r="G1550" s="2" t="s">
        <v>7163</v>
      </c>
      <c r="H1550" s="2" t="s">
        <v>7164</v>
      </c>
      <c r="I1550" s="2">
        <v>2.448</v>
      </c>
    </row>
    <row r="1551" spans="1:9" ht="33.75" customHeight="1" x14ac:dyDescent="0.25">
      <c r="A1551" s="3" t="s">
        <v>2556</v>
      </c>
      <c r="B1551" s="3" t="s">
        <v>6641</v>
      </c>
      <c r="C1551" s="3" t="s">
        <v>4927</v>
      </c>
      <c r="D1551" s="3" t="s">
        <v>7188</v>
      </c>
      <c r="E1551" s="3" t="s">
        <v>7189</v>
      </c>
      <c r="F1551" s="3">
        <v>4</v>
      </c>
      <c r="G1551" s="3" t="s">
        <v>7158</v>
      </c>
      <c r="H1551" s="3">
        <v>0.27</v>
      </c>
      <c r="I1551" s="3">
        <v>1.08</v>
      </c>
    </row>
    <row r="1552" spans="1:9" ht="33.75" customHeight="1" x14ac:dyDescent="0.25">
      <c r="A1552" s="2" t="s">
        <v>2556</v>
      </c>
      <c r="B1552" s="2" t="s">
        <v>6641</v>
      </c>
      <c r="C1552" s="2" t="s">
        <v>4927</v>
      </c>
      <c r="D1552" s="2" t="s">
        <v>7165</v>
      </c>
      <c r="E1552" s="2" t="s">
        <v>7166</v>
      </c>
      <c r="F1552" s="2">
        <v>2</v>
      </c>
      <c r="G1552" s="2" t="s">
        <v>7158</v>
      </c>
      <c r="H1552" s="2">
        <v>0.1</v>
      </c>
      <c r="I1552" s="2">
        <v>0.2</v>
      </c>
    </row>
    <row r="1553" spans="1:9" ht="409.5" customHeight="1" x14ac:dyDescent="0.25">
      <c r="A1553" s="3" t="s">
        <v>418</v>
      </c>
      <c r="B1553" s="3" t="s">
        <v>6649</v>
      </c>
      <c r="C1553" s="3" t="s">
        <v>4734</v>
      </c>
      <c r="D1553" s="3" t="s">
        <v>7153</v>
      </c>
      <c r="E1553" s="3" t="s">
        <v>7154</v>
      </c>
      <c r="F1553" s="3">
        <v>7</v>
      </c>
      <c r="G1553" s="3" t="s">
        <v>7155</v>
      </c>
      <c r="H1553" s="3">
        <v>1.24E-2</v>
      </c>
      <c r="I1553" s="3">
        <v>8.6800000000000002E-2</v>
      </c>
    </row>
    <row r="1554" spans="1:9" ht="409.5" customHeight="1" x14ac:dyDescent="0.25">
      <c r="A1554" s="2" t="s">
        <v>418</v>
      </c>
      <c r="B1554" s="2" t="s">
        <v>6649</v>
      </c>
      <c r="C1554" s="2" t="s">
        <v>4734</v>
      </c>
      <c r="D1554" s="2" t="s">
        <v>7186</v>
      </c>
      <c r="E1554" s="2" t="s">
        <v>7187</v>
      </c>
      <c r="F1554" s="2">
        <v>1</v>
      </c>
      <c r="G1554" s="2" t="s">
        <v>7158</v>
      </c>
      <c r="H1554" s="2">
        <v>26</v>
      </c>
      <c r="I1554" s="2">
        <v>26</v>
      </c>
    </row>
    <row r="1555" spans="1:9" ht="409.5" customHeight="1" x14ac:dyDescent="0.25">
      <c r="A1555" s="3" t="s">
        <v>418</v>
      </c>
      <c r="B1555" s="3" t="s">
        <v>6649</v>
      </c>
      <c r="C1555" s="3" t="s">
        <v>4734</v>
      </c>
      <c r="D1555" s="3" t="s">
        <v>7159</v>
      </c>
      <c r="E1555" s="3" t="s">
        <v>7160</v>
      </c>
      <c r="F1555" s="3">
        <v>20</v>
      </c>
      <c r="G1555" s="3" t="s">
        <v>7155</v>
      </c>
      <c r="H1555" s="3">
        <v>1.8319999999999999E-2</v>
      </c>
      <c r="I1555" s="3">
        <v>0.3664</v>
      </c>
    </row>
    <row r="1556" spans="1:9" ht="409.5" customHeight="1" x14ac:dyDescent="0.25">
      <c r="A1556" s="2" t="s">
        <v>418</v>
      </c>
      <c r="B1556" s="2" t="s">
        <v>6649</v>
      </c>
      <c r="C1556" s="2" t="s">
        <v>4734</v>
      </c>
      <c r="D1556" s="2" t="s">
        <v>7161</v>
      </c>
      <c r="E1556" s="2" t="s">
        <v>7162</v>
      </c>
      <c r="F1556" s="2">
        <v>0.186</v>
      </c>
      <c r="G1556" s="2" t="s">
        <v>7163</v>
      </c>
      <c r="H1556" s="2" t="s">
        <v>7164</v>
      </c>
      <c r="I1556" s="2">
        <v>0.186</v>
      </c>
    </row>
    <row r="1557" spans="1:9" ht="409.5" customHeight="1" x14ac:dyDescent="0.25">
      <c r="A1557" s="3" t="s">
        <v>418</v>
      </c>
      <c r="B1557" s="3" t="s">
        <v>6649</v>
      </c>
      <c r="C1557" s="3" t="s">
        <v>4734</v>
      </c>
      <c r="D1557" s="3" t="s">
        <v>7207</v>
      </c>
      <c r="E1557" s="3" t="s">
        <v>7208</v>
      </c>
      <c r="F1557" s="3">
        <v>2.7360000000000002</v>
      </c>
      <c r="G1557" s="3" t="s">
        <v>7163</v>
      </c>
      <c r="H1557" s="3" t="s">
        <v>7164</v>
      </c>
      <c r="I1557" s="3">
        <v>2.7360000000000002</v>
      </c>
    </row>
    <row r="1558" spans="1:9" ht="409.5" customHeight="1" x14ac:dyDescent="0.25">
      <c r="A1558" s="2" t="s">
        <v>418</v>
      </c>
      <c r="B1558" s="2" t="s">
        <v>6649</v>
      </c>
      <c r="C1558" s="2" t="s">
        <v>4734</v>
      </c>
      <c r="D1558" s="2" t="s">
        <v>7188</v>
      </c>
      <c r="E1558" s="2" t="s">
        <v>7189</v>
      </c>
      <c r="F1558" s="2">
        <v>4</v>
      </c>
      <c r="G1558" s="2" t="s">
        <v>7158</v>
      </c>
      <c r="H1558" s="2">
        <v>0.27</v>
      </c>
      <c r="I1558" s="2">
        <v>1.08</v>
      </c>
    </row>
    <row r="1559" spans="1:9" ht="409.5" customHeight="1" x14ac:dyDescent="0.25">
      <c r="A1559" s="3" t="s">
        <v>418</v>
      </c>
      <c r="B1559" s="3" t="s">
        <v>6649</v>
      </c>
      <c r="C1559" s="3" t="s">
        <v>4734</v>
      </c>
      <c r="D1559" s="3" t="s">
        <v>7165</v>
      </c>
      <c r="E1559" s="3" t="s">
        <v>7166</v>
      </c>
      <c r="F1559" s="3">
        <v>2</v>
      </c>
      <c r="G1559" s="3" t="s">
        <v>7158</v>
      </c>
      <c r="H1559" s="3">
        <v>0.1</v>
      </c>
      <c r="I1559" s="3">
        <v>0.2</v>
      </c>
    </row>
    <row r="1560" spans="1:9" ht="22.5" customHeight="1" x14ac:dyDescent="0.25">
      <c r="A1560" s="2" t="s">
        <v>3309</v>
      </c>
      <c r="B1560" s="2" t="s">
        <v>6657</v>
      </c>
      <c r="C1560" s="2" t="s">
        <v>4977</v>
      </c>
      <c r="D1560" s="2" t="s">
        <v>7153</v>
      </c>
      <c r="E1560" s="2" t="s">
        <v>7154</v>
      </c>
      <c r="F1560" s="2">
        <v>7</v>
      </c>
      <c r="G1560" s="2" t="s">
        <v>7155</v>
      </c>
      <c r="H1560" s="2">
        <v>1.24E-2</v>
      </c>
      <c r="I1560" s="2">
        <v>8.6800000000000002E-2</v>
      </c>
    </row>
    <row r="1561" spans="1:9" ht="33.75" customHeight="1" x14ac:dyDescent="0.25">
      <c r="A1561" s="3" t="s">
        <v>3309</v>
      </c>
      <c r="B1561" s="3" t="s">
        <v>6657</v>
      </c>
      <c r="C1561" s="3" t="s">
        <v>4977</v>
      </c>
      <c r="D1561" s="3" t="s">
        <v>7186</v>
      </c>
      <c r="E1561" s="3" t="s">
        <v>7187</v>
      </c>
      <c r="F1561" s="3">
        <v>1</v>
      </c>
      <c r="G1561" s="3" t="s">
        <v>7158</v>
      </c>
      <c r="H1561" s="3">
        <v>26</v>
      </c>
      <c r="I1561" s="3">
        <v>26</v>
      </c>
    </row>
    <row r="1562" spans="1:9" ht="22.5" customHeight="1" x14ac:dyDescent="0.25">
      <c r="A1562" s="2" t="s">
        <v>3309</v>
      </c>
      <c r="B1562" s="2" t="s">
        <v>6657</v>
      </c>
      <c r="C1562" s="2" t="s">
        <v>4977</v>
      </c>
      <c r="D1562" s="2" t="s">
        <v>7159</v>
      </c>
      <c r="E1562" s="2" t="s">
        <v>7160</v>
      </c>
      <c r="F1562" s="2">
        <v>20</v>
      </c>
      <c r="G1562" s="2" t="s">
        <v>7155</v>
      </c>
      <c r="H1562" s="2">
        <v>1.8319999999999999E-2</v>
      </c>
      <c r="I1562" s="2">
        <v>0.3664</v>
      </c>
    </row>
    <row r="1563" spans="1:9" ht="22.5" customHeight="1" x14ac:dyDescent="0.25">
      <c r="A1563" s="3" t="s">
        <v>3309</v>
      </c>
      <c r="B1563" s="3" t="s">
        <v>6657</v>
      </c>
      <c r="C1563" s="3" t="s">
        <v>4977</v>
      </c>
      <c r="D1563" s="3" t="s">
        <v>7161</v>
      </c>
      <c r="E1563" s="3" t="s">
        <v>7162</v>
      </c>
      <c r="F1563" s="3">
        <v>0.186</v>
      </c>
      <c r="G1563" s="3" t="s">
        <v>7163</v>
      </c>
      <c r="H1563" s="3" t="s">
        <v>7164</v>
      </c>
      <c r="I1563" s="3">
        <v>0.186</v>
      </c>
    </row>
    <row r="1564" spans="1:9" ht="33.75" customHeight="1" x14ac:dyDescent="0.25">
      <c r="A1564" s="2" t="s">
        <v>3309</v>
      </c>
      <c r="B1564" s="2" t="s">
        <v>6657</v>
      </c>
      <c r="C1564" s="2" t="s">
        <v>4977</v>
      </c>
      <c r="D1564" s="2" t="s">
        <v>7188</v>
      </c>
      <c r="E1564" s="2" t="s">
        <v>7189</v>
      </c>
      <c r="F1564" s="2">
        <v>4</v>
      </c>
      <c r="G1564" s="2" t="s">
        <v>7158</v>
      </c>
      <c r="H1564" s="2">
        <v>0.27</v>
      </c>
      <c r="I1564" s="2">
        <v>1.08</v>
      </c>
    </row>
    <row r="1565" spans="1:9" ht="33.75" customHeight="1" x14ac:dyDescent="0.25">
      <c r="A1565" s="3" t="s">
        <v>3309</v>
      </c>
      <c r="B1565" s="3" t="s">
        <v>6657</v>
      </c>
      <c r="C1565" s="3" t="s">
        <v>4977</v>
      </c>
      <c r="D1565" s="3" t="s">
        <v>7165</v>
      </c>
      <c r="E1565" s="3" t="s">
        <v>7166</v>
      </c>
      <c r="F1565" s="3">
        <v>2</v>
      </c>
      <c r="G1565" s="3" t="s">
        <v>7158</v>
      </c>
      <c r="H1565" s="3">
        <v>0.1</v>
      </c>
      <c r="I1565" s="3">
        <v>0.2</v>
      </c>
    </row>
    <row r="1566" spans="1:9" ht="33.75" customHeight="1" x14ac:dyDescent="0.25">
      <c r="A1566" s="2" t="s">
        <v>687</v>
      </c>
      <c r="B1566" s="2" t="s">
        <v>6665</v>
      </c>
      <c r="C1566" s="2" t="s">
        <v>4782</v>
      </c>
      <c r="D1566" s="2" t="s">
        <v>7284</v>
      </c>
      <c r="E1566" s="2" t="s">
        <v>7285</v>
      </c>
      <c r="F1566" s="2">
        <v>72</v>
      </c>
      <c r="G1566" s="2" t="s">
        <v>7158</v>
      </c>
      <c r="H1566" s="2">
        <v>5.1069999999999997E-2</v>
      </c>
      <c r="I1566" s="2">
        <v>3.6770399999999999</v>
      </c>
    </row>
    <row r="1567" spans="1:9" ht="33.75" customHeight="1" x14ac:dyDescent="0.25">
      <c r="A1567" s="3" t="s">
        <v>687</v>
      </c>
      <c r="B1567" s="3" t="s">
        <v>6665</v>
      </c>
      <c r="C1567" s="3" t="s">
        <v>4782</v>
      </c>
      <c r="D1567" s="3" t="s">
        <v>7186</v>
      </c>
      <c r="E1567" s="3" t="s">
        <v>7187</v>
      </c>
      <c r="F1567" s="3">
        <v>1</v>
      </c>
      <c r="G1567" s="3" t="s">
        <v>7158</v>
      </c>
      <c r="H1567" s="3">
        <v>26</v>
      </c>
      <c r="I1567" s="3">
        <v>26</v>
      </c>
    </row>
    <row r="1568" spans="1:9" ht="33.75" customHeight="1" x14ac:dyDescent="0.25">
      <c r="A1568" s="2" t="s">
        <v>687</v>
      </c>
      <c r="B1568" s="2" t="s">
        <v>6665</v>
      </c>
      <c r="C1568" s="2" t="s">
        <v>4782</v>
      </c>
      <c r="D1568" s="2" t="s">
        <v>7159</v>
      </c>
      <c r="E1568" s="2" t="s">
        <v>7160</v>
      </c>
      <c r="F1568" s="2">
        <v>20</v>
      </c>
      <c r="G1568" s="2" t="s">
        <v>7155</v>
      </c>
      <c r="H1568" s="2">
        <v>1.8319999999999999E-2</v>
      </c>
      <c r="I1568" s="2">
        <v>0.3664</v>
      </c>
    </row>
    <row r="1569" spans="1:9" ht="33.75" customHeight="1" x14ac:dyDescent="0.25">
      <c r="A1569" s="3" t="s">
        <v>687</v>
      </c>
      <c r="B1569" s="3" t="s">
        <v>6665</v>
      </c>
      <c r="C1569" s="3" t="s">
        <v>4782</v>
      </c>
      <c r="D1569" s="3" t="s">
        <v>7161</v>
      </c>
      <c r="E1569" s="3" t="s">
        <v>7162</v>
      </c>
      <c r="F1569" s="3">
        <v>0.186</v>
      </c>
      <c r="G1569" s="3" t="s">
        <v>7163</v>
      </c>
      <c r="H1569" s="3" t="s">
        <v>7164</v>
      </c>
      <c r="I1569" s="3">
        <v>0.186</v>
      </c>
    </row>
    <row r="1570" spans="1:9" ht="33.75" customHeight="1" x14ac:dyDescent="0.25">
      <c r="A1570" s="2" t="s">
        <v>687</v>
      </c>
      <c r="B1570" s="2" t="s">
        <v>6665</v>
      </c>
      <c r="C1570" s="2" t="s">
        <v>4782</v>
      </c>
      <c r="D1570" s="2" t="s">
        <v>7207</v>
      </c>
      <c r="E1570" s="2" t="s">
        <v>7208</v>
      </c>
      <c r="F1570" s="2">
        <v>2.7360000000000002</v>
      </c>
      <c r="G1570" s="2" t="s">
        <v>7163</v>
      </c>
      <c r="H1570" s="2" t="s">
        <v>7164</v>
      </c>
      <c r="I1570" s="2">
        <v>2.7360000000000002</v>
      </c>
    </row>
    <row r="1571" spans="1:9" ht="33.75" customHeight="1" x14ac:dyDescent="0.25">
      <c r="A1571" s="3" t="s">
        <v>687</v>
      </c>
      <c r="B1571" s="3" t="s">
        <v>6665</v>
      </c>
      <c r="C1571" s="3" t="s">
        <v>4782</v>
      </c>
      <c r="D1571" s="3" t="s">
        <v>7188</v>
      </c>
      <c r="E1571" s="3" t="s">
        <v>7189</v>
      </c>
      <c r="F1571" s="3">
        <v>4</v>
      </c>
      <c r="G1571" s="3" t="s">
        <v>7158</v>
      </c>
      <c r="H1571" s="3">
        <v>0.27</v>
      </c>
      <c r="I1571" s="3">
        <v>1.08</v>
      </c>
    </row>
    <row r="1572" spans="1:9" ht="33.75" customHeight="1" x14ac:dyDescent="0.25">
      <c r="A1572" s="2" t="s">
        <v>470</v>
      </c>
      <c r="B1572" s="2" t="s">
        <v>6673</v>
      </c>
      <c r="C1572" s="2" t="s">
        <v>4743</v>
      </c>
      <c r="D1572" s="2" t="s">
        <v>7324</v>
      </c>
      <c r="E1572" s="2" t="s">
        <v>7325</v>
      </c>
      <c r="F1572" s="2">
        <v>72</v>
      </c>
      <c r="G1572" s="2" t="s">
        <v>7158</v>
      </c>
      <c r="H1572" s="2">
        <v>6.0999999999999997E-4</v>
      </c>
      <c r="I1572" s="2">
        <v>4.3920000000000001E-2</v>
      </c>
    </row>
    <row r="1573" spans="1:9" ht="33.75" customHeight="1" x14ac:dyDescent="0.25">
      <c r="A1573" s="3" t="s">
        <v>470</v>
      </c>
      <c r="B1573" s="3" t="s">
        <v>6673</v>
      </c>
      <c r="C1573" s="3" t="s">
        <v>4743</v>
      </c>
      <c r="D1573" s="3" t="s">
        <v>7186</v>
      </c>
      <c r="E1573" s="3" t="s">
        <v>7187</v>
      </c>
      <c r="F1573" s="3">
        <v>1</v>
      </c>
      <c r="G1573" s="3" t="s">
        <v>7158</v>
      </c>
      <c r="H1573" s="3">
        <v>26</v>
      </c>
      <c r="I1573" s="3">
        <v>26</v>
      </c>
    </row>
    <row r="1574" spans="1:9" ht="33.75" customHeight="1" x14ac:dyDescent="0.25">
      <c r="A1574" s="2" t="s">
        <v>470</v>
      </c>
      <c r="B1574" s="2" t="s">
        <v>6673</v>
      </c>
      <c r="C1574" s="2" t="s">
        <v>4743</v>
      </c>
      <c r="D1574" s="2" t="s">
        <v>7159</v>
      </c>
      <c r="E1574" s="2" t="s">
        <v>7160</v>
      </c>
      <c r="F1574" s="2">
        <v>20</v>
      </c>
      <c r="G1574" s="2" t="s">
        <v>7155</v>
      </c>
      <c r="H1574" s="2">
        <v>1.8319999999999999E-2</v>
      </c>
      <c r="I1574" s="2">
        <v>0.3664</v>
      </c>
    </row>
    <row r="1575" spans="1:9" ht="33.75" customHeight="1" x14ac:dyDescent="0.25">
      <c r="A1575" s="3" t="s">
        <v>470</v>
      </c>
      <c r="B1575" s="3" t="s">
        <v>6673</v>
      </c>
      <c r="C1575" s="3" t="s">
        <v>4743</v>
      </c>
      <c r="D1575" s="3" t="s">
        <v>7161</v>
      </c>
      <c r="E1575" s="3" t="s">
        <v>7162</v>
      </c>
      <c r="F1575" s="3">
        <v>0.186</v>
      </c>
      <c r="G1575" s="3" t="s">
        <v>7163</v>
      </c>
      <c r="H1575" s="3" t="s">
        <v>7164</v>
      </c>
      <c r="I1575" s="3">
        <v>0.186</v>
      </c>
    </row>
    <row r="1576" spans="1:9" ht="33.75" customHeight="1" x14ac:dyDescent="0.25">
      <c r="A1576" s="2" t="s">
        <v>470</v>
      </c>
      <c r="B1576" s="2" t="s">
        <v>6673</v>
      </c>
      <c r="C1576" s="2" t="s">
        <v>4743</v>
      </c>
      <c r="D1576" s="2" t="s">
        <v>7259</v>
      </c>
      <c r="E1576" s="2" t="s">
        <v>7308</v>
      </c>
      <c r="F1576" s="2">
        <v>2.3759999999999999</v>
      </c>
      <c r="G1576" s="2" t="s">
        <v>7163</v>
      </c>
      <c r="H1576" s="2" t="s">
        <v>7164</v>
      </c>
      <c r="I1576" s="2">
        <v>2.3759999999999999</v>
      </c>
    </row>
    <row r="1577" spans="1:9" ht="33.75" customHeight="1" x14ac:dyDescent="0.25">
      <c r="A1577" s="3" t="s">
        <v>470</v>
      </c>
      <c r="B1577" s="3" t="s">
        <v>6673</v>
      </c>
      <c r="C1577" s="3" t="s">
        <v>4743</v>
      </c>
      <c r="D1577" s="3" t="s">
        <v>7188</v>
      </c>
      <c r="E1577" s="3" t="s">
        <v>7189</v>
      </c>
      <c r="F1577" s="3">
        <v>4</v>
      </c>
      <c r="G1577" s="3" t="s">
        <v>7158</v>
      </c>
      <c r="H1577" s="3">
        <v>0.27</v>
      </c>
      <c r="I1577" s="3">
        <v>1.08</v>
      </c>
    </row>
    <row r="1578" spans="1:9" ht="33.75" customHeight="1" x14ac:dyDescent="0.25">
      <c r="A1578" s="2" t="s">
        <v>1368</v>
      </c>
      <c r="B1578" s="2" t="s">
        <v>1367</v>
      </c>
      <c r="C1578" s="2" t="s">
        <v>4824</v>
      </c>
      <c r="D1578" s="2" t="s">
        <v>7186</v>
      </c>
      <c r="E1578" s="2" t="s">
        <v>7187</v>
      </c>
      <c r="F1578" s="2">
        <v>1</v>
      </c>
      <c r="G1578" s="2" t="s">
        <v>7158</v>
      </c>
      <c r="H1578" s="2">
        <v>26</v>
      </c>
      <c r="I1578" s="2">
        <v>26</v>
      </c>
    </row>
    <row r="1579" spans="1:9" ht="22.5" customHeight="1" x14ac:dyDescent="0.25">
      <c r="A1579" s="3" t="s">
        <v>1368</v>
      </c>
      <c r="B1579" s="3" t="s">
        <v>1367</v>
      </c>
      <c r="C1579" s="3" t="s">
        <v>4824</v>
      </c>
      <c r="D1579" s="3" t="s">
        <v>7159</v>
      </c>
      <c r="E1579" s="3" t="s">
        <v>7160</v>
      </c>
      <c r="F1579" s="3">
        <v>20</v>
      </c>
      <c r="G1579" s="3" t="s">
        <v>7155</v>
      </c>
      <c r="H1579" s="3">
        <v>1.8319999999999999E-2</v>
      </c>
      <c r="I1579" s="3">
        <v>0.3664</v>
      </c>
    </row>
    <row r="1580" spans="1:9" ht="22.5" customHeight="1" x14ac:dyDescent="0.25">
      <c r="A1580" s="2" t="s">
        <v>1368</v>
      </c>
      <c r="B1580" s="2" t="s">
        <v>1367</v>
      </c>
      <c r="C1580" s="2" t="s">
        <v>4824</v>
      </c>
      <c r="D1580" s="2" t="s">
        <v>7161</v>
      </c>
      <c r="E1580" s="2" t="s">
        <v>7162</v>
      </c>
      <c r="F1580" s="2">
        <v>0.186</v>
      </c>
      <c r="G1580" s="2" t="s">
        <v>7163</v>
      </c>
      <c r="H1580" s="2" t="s">
        <v>7164</v>
      </c>
      <c r="I1580" s="2">
        <v>0.186</v>
      </c>
    </row>
    <row r="1581" spans="1:9" ht="22.5" customHeight="1" x14ac:dyDescent="0.25">
      <c r="A1581" s="3" t="s">
        <v>1368</v>
      </c>
      <c r="B1581" s="3" t="s">
        <v>1367</v>
      </c>
      <c r="C1581" s="3" t="s">
        <v>4824</v>
      </c>
      <c r="D1581" s="3" t="s">
        <v>7207</v>
      </c>
      <c r="E1581" s="3" t="s">
        <v>7208</v>
      </c>
      <c r="F1581" s="3">
        <v>2.3759999999999999</v>
      </c>
      <c r="G1581" s="3" t="s">
        <v>7163</v>
      </c>
      <c r="H1581" s="3" t="s">
        <v>7164</v>
      </c>
      <c r="I1581" s="3">
        <v>2.3759999999999999</v>
      </c>
    </row>
    <row r="1582" spans="1:9" ht="33.75" customHeight="1" x14ac:dyDescent="0.25">
      <c r="A1582" s="2" t="s">
        <v>1368</v>
      </c>
      <c r="B1582" s="2" t="s">
        <v>1367</v>
      </c>
      <c r="C1582" s="2" t="s">
        <v>4824</v>
      </c>
      <c r="D1582" s="2" t="s">
        <v>7188</v>
      </c>
      <c r="E1582" s="2" t="s">
        <v>7189</v>
      </c>
      <c r="F1582" s="2">
        <v>4</v>
      </c>
      <c r="G1582" s="2" t="s">
        <v>7158</v>
      </c>
      <c r="H1582" s="2">
        <v>0.27</v>
      </c>
      <c r="I1582" s="2">
        <v>1.08</v>
      </c>
    </row>
    <row r="1583" spans="1:9" ht="101.25" customHeight="1" x14ac:dyDescent="0.25">
      <c r="A1583" s="3" t="s">
        <v>656</v>
      </c>
      <c r="B1583" s="3" t="s">
        <v>6688</v>
      </c>
      <c r="C1583" s="3" t="s">
        <v>4776</v>
      </c>
      <c r="D1583" s="3" t="s">
        <v>7186</v>
      </c>
      <c r="E1583" s="3" t="s">
        <v>7187</v>
      </c>
      <c r="F1583" s="3">
        <v>1</v>
      </c>
      <c r="G1583" s="3" t="s">
        <v>7158</v>
      </c>
      <c r="H1583" s="3">
        <v>26</v>
      </c>
      <c r="I1583" s="3">
        <v>26</v>
      </c>
    </row>
    <row r="1584" spans="1:9" ht="101.25" customHeight="1" x14ac:dyDescent="0.25">
      <c r="A1584" s="2" t="s">
        <v>656</v>
      </c>
      <c r="B1584" s="2" t="s">
        <v>6688</v>
      </c>
      <c r="C1584" s="2" t="s">
        <v>4776</v>
      </c>
      <c r="D1584" s="2" t="s">
        <v>7159</v>
      </c>
      <c r="E1584" s="2" t="s">
        <v>7160</v>
      </c>
      <c r="F1584" s="2">
        <v>20</v>
      </c>
      <c r="G1584" s="2" t="s">
        <v>7155</v>
      </c>
      <c r="H1584" s="2">
        <v>1.8319999999999999E-2</v>
      </c>
      <c r="I1584" s="2">
        <v>0.3664</v>
      </c>
    </row>
    <row r="1585" spans="1:9" ht="101.25" customHeight="1" x14ac:dyDescent="0.25">
      <c r="A1585" s="3" t="s">
        <v>656</v>
      </c>
      <c r="B1585" s="3" t="s">
        <v>6688</v>
      </c>
      <c r="C1585" s="3" t="s">
        <v>4776</v>
      </c>
      <c r="D1585" s="3" t="s">
        <v>7161</v>
      </c>
      <c r="E1585" s="3" t="s">
        <v>7162</v>
      </c>
      <c r="F1585" s="3">
        <v>0.186</v>
      </c>
      <c r="G1585" s="3" t="s">
        <v>7163</v>
      </c>
      <c r="H1585" s="3" t="s">
        <v>7164</v>
      </c>
      <c r="I1585" s="3">
        <v>0.186</v>
      </c>
    </row>
    <row r="1586" spans="1:9" ht="101.25" customHeight="1" x14ac:dyDescent="0.25">
      <c r="A1586" s="2" t="s">
        <v>656</v>
      </c>
      <c r="B1586" s="2" t="s">
        <v>6688</v>
      </c>
      <c r="C1586" s="2" t="s">
        <v>4776</v>
      </c>
      <c r="D1586" s="2" t="s">
        <v>7207</v>
      </c>
      <c r="E1586" s="2" t="s">
        <v>7208</v>
      </c>
      <c r="F1586" s="2">
        <v>2.7360000000000002</v>
      </c>
      <c r="G1586" s="2" t="s">
        <v>7163</v>
      </c>
      <c r="H1586" s="2" t="s">
        <v>7164</v>
      </c>
      <c r="I1586" s="2">
        <v>2.7360000000000002</v>
      </c>
    </row>
    <row r="1587" spans="1:9" ht="101.25" customHeight="1" x14ac:dyDescent="0.25">
      <c r="A1587" s="3" t="s">
        <v>656</v>
      </c>
      <c r="B1587" s="3" t="s">
        <v>6688</v>
      </c>
      <c r="C1587" s="3" t="s">
        <v>4776</v>
      </c>
      <c r="D1587" s="3" t="s">
        <v>7188</v>
      </c>
      <c r="E1587" s="3" t="s">
        <v>7189</v>
      </c>
      <c r="F1587" s="3">
        <v>4</v>
      </c>
      <c r="G1587" s="3" t="s">
        <v>7158</v>
      </c>
      <c r="H1587" s="3">
        <v>0.27</v>
      </c>
      <c r="I1587" s="3">
        <v>1.08</v>
      </c>
    </row>
    <row r="1588" spans="1:9" ht="22.5" customHeight="1" x14ac:dyDescent="0.25">
      <c r="A1588" s="2" t="s">
        <v>1437</v>
      </c>
      <c r="B1588" s="2" t="s">
        <v>6696</v>
      </c>
      <c r="C1588" s="2" t="s">
        <v>4828</v>
      </c>
      <c r="D1588" s="2" t="s">
        <v>7249</v>
      </c>
      <c r="E1588" s="2" t="s">
        <v>7250</v>
      </c>
      <c r="F1588" s="2">
        <v>3</v>
      </c>
      <c r="G1588" s="2" t="s">
        <v>7158</v>
      </c>
      <c r="H1588" s="2">
        <v>0.104</v>
      </c>
      <c r="I1588" s="2">
        <v>0.312</v>
      </c>
    </row>
    <row r="1589" spans="1:9" ht="22.5" customHeight="1" x14ac:dyDescent="0.25">
      <c r="A1589" s="3" t="s">
        <v>1437</v>
      </c>
      <c r="B1589" s="3" t="s">
        <v>6696</v>
      </c>
      <c r="C1589" s="3" t="s">
        <v>4828</v>
      </c>
      <c r="D1589" s="3" t="s">
        <v>7153</v>
      </c>
      <c r="E1589" s="3" t="s">
        <v>7154</v>
      </c>
      <c r="F1589" s="3">
        <v>14</v>
      </c>
      <c r="G1589" s="3" t="s">
        <v>7155</v>
      </c>
      <c r="H1589" s="3">
        <v>1.24E-2</v>
      </c>
      <c r="I1589" s="3">
        <v>0.1736</v>
      </c>
    </row>
    <row r="1590" spans="1:9" ht="33.75" customHeight="1" x14ac:dyDescent="0.25">
      <c r="A1590" s="2" t="s">
        <v>1437</v>
      </c>
      <c r="B1590" s="2" t="s">
        <v>6696</v>
      </c>
      <c r="C1590" s="2" t="s">
        <v>4828</v>
      </c>
      <c r="D1590" s="2" t="s">
        <v>7186</v>
      </c>
      <c r="E1590" s="2" t="s">
        <v>7187</v>
      </c>
      <c r="F1590" s="2">
        <v>1</v>
      </c>
      <c r="G1590" s="2" t="s">
        <v>7158</v>
      </c>
      <c r="H1590" s="2">
        <v>26</v>
      </c>
      <c r="I1590" s="2">
        <v>26</v>
      </c>
    </row>
    <row r="1591" spans="1:9" ht="22.5" customHeight="1" x14ac:dyDescent="0.25">
      <c r="A1591" s="3" t="s">
        <v>1437</v>
      </c>
      <c r="B1591" s="3" t="s">
        <v>6696</v>
      </c>
      <c r="C1591" s="3" t="s">
        <v>4828</v>
      </c>
      <c r="D1591" s="3" t="s">
        <v>7159</v>
      </c>
      <c r="E1591" s="3" t="s">
        <v>7160</v>
      </c>
      <c r="F1591" s="3">
        <v>20</v>
      </c>
      <c r="G1591" s="3" t="s">
        <v>7155</v>
      </c>
      <c r="H1591" s="3">
        <v>1.8319999999999999E-2</v>
      </c>
      <c r="I1591" s="3">
        <v>0.3664</v>
      </c>
    </row>
    <row r="1592" spans="1:9" ht="22.5" customHeight="1" x14ac:dyDescent="0.25">
      <c r="A1592" s="2" t="s">
        <v>1437</v>
      </c>
      <c r="B1592" s="2" t="s">
        <v>6696</v>
      </c>
      <c r="C1592" s="2" t="s">
        <v>4828</v>
      </c>
      <c r="D1592" s="2" t="s">
        <v>7190</v>
      </c>
      <c r="E1592" s="2" t="s">
        <v>7191</v>
      </c>
      <c r="F1592" s="2">
        <v>0.59699999999999998</v>
      </c>
      <c r="G1592" s="2" t="s">
        <v>7163</v>
      </c>
      <c r="H1592" s="2" t="s">
        <v>7164</v>
      </c>
      <c r="I1592" s="2">
        <v>0.59699999999999998</v>
      </c>
    </row>
    <row r="1593" spans="1:9" ht="33.75" customHeight="1" x14ac:dyDescent="0.25">
      <c r="A1593" s="3" t="s">
        <v>1437</v>
      </c>
      <c r="B1593" s="3" t="s">
        <v>6696</v>
      </c>
      <c r="C1593" s="3" t="s">
        <v>4828</v>
      </c>
      <c r="D1593" s="3" t="s">
        <v>7188</v>
      </c>
      <c r="E1593" s="3" t="s">
        <v>7189</v>
      </c>
      <c r="F1593" s="3">
        <v>4</v>
      </c>
      <c r="G1593" s="3" t="s">
        <v>7158</v>
      </c>
      <c r="H1593" s="3">
        <v>0.27</v>
      </c>
      <c r="I1593" s="3">
        <v>1.08</v>
      </c>
    </row>
    <row r="1594" spans="1:9" ht="33.75" customHeight="1" x14ac:dyDescent="0.25">
      <c r="A1594" s="2" t="s">
        <v>1437</v>
      </c>
      <c r="B1594" s="2" t="s">
        <v>6696</v>
      </c>
      <c r="C1594" s="2" t="s">
        <v>4828</v>
      </c>
      <c r="D1594" s="2" t="s">
        <v>7192</v>
      </c>
      <c r="E1594" s="2" t="s">
        <v>7193</v>
      </c>
      <c r="F1594" s="2">
        <v>4</v>
      </c>
      <c r="G1594" s="2" t="s">
        <v>7158</v>
      </c>
      <c r="H1594" s="2">
        <v>0.03</v>
      </c>
      <c r="I1594" s="2">
        <v>0.12</v>
      </c>
    </row>
    <row r="1595" spans="1:9" ht="22.5" customHeight="1" x14ac:dyDescent="0.25">
      <c r="A1595" s="3" t="s">
        <v>2751</v>
      </c>
      <c r="B1595" s="3" t="s">
        <v>2750</v>
      </c>
      <c r="C1595" s="3" t="s">
        <v>4939</v>
      </c>
      <c r="D1595" s="3" t="s">
        <v>7153</v>
      </c>
      <c r="E1595" s="3" t="s">
        <v>7154</v>
      </c>
      <c r="F1595" s="3">
        <v>14</v>
      </c>
      <c r="G1595" s="3" t="s">
        <v>7155</v>
      </c>
      <c r="H1595" s="3">
        <v>1.24E-2</v>
      </c>
      <c r="I1595" s="3">
        <v>0.1736</v>
      </c>
    </row>
    <row r="1596" spans="1:9" ht="33.75" customHeight="1" x14ac:dyDescent="0.25">
      <c r="A1596" s="2" t="s">
        <v>2751</v>
      </c>
      <c r="B1596" s="2" t="s">
        <v>2750</v>
      </c>
      <c r="C1596" s="2" t="s">
        <v>4939</v>
      </c>
      <c r="D1596" s="2" t="s">
        <v>7186</v>
      </c>
      <c r="E1596" s="2" t="s">
        <v>7187</v>
      </c>
      <c r="F1596" s="2">
        <v>1</v>
      </c>
      <c r="G1596" s="2" t="s">
        <v>7158</v>
      </c>
      <c r="H1596" s="2">
        <v>26</v>
      </c>
      <c r="I1596" s="2">
        <v>26</v>
      </c>
    </row>
    <row r="1597" spans="1:9" ht="22.5" customHeight="1" x14ac:dyDescent="0.25">
      <c r="A1597" s="3" t="s">
        <v>2751</v>
      </c>
      <c r="B1597" s="3" t="s">
        <v>2750</v>
      </c>
      <c r="C1597" s="3" t="s">
        <v>4939</v>
      </c>
      <c r="D1597" s="3" t="s">
        <v>7159</v>
      </c>
      <c r="E1597" s="3" t="s">
        <v>7160</v>
      </c>
      <c r="F1597" s="3">
        <v>20</v>
      </c>
      <c r="G1597" s="3" t="s">
        <v>7155</v>
      </c>
      <c r="H1597" s="3">
        <v>1.8319999999999999E-2</v>
      </c>
      <c r="I1597" s="3">
        <v>0.3664</v>
      </c>
    </row>
    <row r="1598" spans="1:9" ht="22.5" customHeight="1" x14ac:dyDescent="0.25">
      <c r="A1598" s="2" t="s">
        <v>2751</v>
      </c>
      <c r="B1598" s="2" t="s">
        <v>2750</v>
      </c>
      <c r="C1598" s="2" t="s">
        <v>4939</v>
      </c>
      <c r="D1598" s="2" t="s">
        <v>7190</v>
      </c>
      <c r="E1598" s="2" t="s">
        <v>7191</v>
      </c>
      <c r="F1598" s="2">
        <v>0.59699999999999998</v>
      </c>
      <c r="G1598" s="2" t="s">
        <v>7163</v>
      </c>
      <c r="H1598" s="2" t="s">
        <v>7164</v>
      </c>
      <c r="I1598" s="2">
        <v>0.59699999999999998</v>
      </c>
    </row>
    <row r="1599" spans="1:9" ht="33.75" customHeight="1" x14ac:dyDescent="0.25">
      <c r="A1599" s="3" t="s">
        <v>2751</v>
      </c>
      <c r="B1599" s="3" t="s">
        <v>2750</v>
      </c>
      <c r="C1599" s="3" t="s">
        <v>4939</v>
      </c>
      <c r="D1599" s="3" t="s">
        <v>7188</v>
      </c>
      <c r="E1599" s="3" t="s">
        <v>7189</v>
      </c>
      <c r="F1599" s="3">
        <v>4</v>
      </c>
      <c r="G1599" s="3" t="s">
        <v>7158</v>
      </c>
      <c r="H1599" s="3">
        <v>0.27</v>
      </c>
      <c r="I1599" s="3">
        <v>1.08</v>
      </c>
    </row>
    <row r="1600" spans="1:9" ht="33.75" customHeight="1" x14ac:dyDescent="0.25">
      <c r="A1600" s="2" t="s">
        <v>2751</v>
      </c>
      <c r="B1600" s="2" t="s">
        <v>2750</v>
      </c>
      <c r="C1600" s="2" t="s">
        <v>4939</v>
      </c>
      <c r="D1600" s="2" t="s">
        <v>7165</v>
      </c>
      <c r="E1600" s="2" t="s">
        <v>7166</v>
      </c>
      <c r="F1600" s="2">
        <v>2</v>
      </c>
      <c r="G1600" s="2" t="s">
        <v>7158</v>
      </c>
      <c r="H1600" s="2">
        <v>0.1</v>
      </c>
      <c r="I1600" s="2">
        <v>0.2</v>
      </c>
    </row>
    <row r="1601" spans="1:9" ht="56.25" customHeight="1" x14ac:dyDescent="0.25">
      <c r="A1601" s="3" t="s">
        <v>1510</v>
      </c>
      <c r="B1601" s="3" t="s">
        <v>6711</v>
      </c>
      <c r="C1601" s="3" t="s">
        <v>4833</v>
      </c>
      <c r="D1601" s="3" t="s">
        <v>7153</v>
      </c>
      <c r="E1601" s="3" t="s">
        <v>7154</v>
      </c>
      <c r="F1601" s="3">
        <v>14</v>
      </c>
      <c r="G1601" s="3" t="s">
        <v>7155</v>
      </c>
      <c r="H1601" s="3">
        <v>1.24E-2</v>
      </c>
      <c r="I1601" s="3">
        <v>0.1736</v>
      </c>
    </row>
    <row r="1602" spans="1:9" ht="56.25" customHeight="1" x14ac:dyDescent="0.25">
      <c r="A1602" s="2" t="s">
        <v>1510</v>
      </c>
      <c r="B1602" s="2" t="s">
        <v>6711</v>
      </c>
      <c r="C1602" s="2" t="s">
        <v>4833</v>
      </c>
      <c r="D1602" s="2" t="s">
        <v>7186</v>
      </c>
      <c r="E1602" s="2" t="s">
        <v>7187</v>
      </c>
      <c r="F1602" s="2">
        <v>1</v>
      </c>
      <c r="G1602" s="2" t="s">
        <v>7158</v>
      </c>
      <c r="H1602" s="2">
        <v>26</v>
      </c>
      <c r="I1602" s="2">
        <v>26</v>
      </c>
    </row>
    <row r="1603" spans="1:9" ht="56.25" customHeight="1" x14ac:dyDescent="0.25">
      <c r="A1603" s="3" t="s">
        <v>1510</v>
      </c>
      <c r="B1603" s="3" t="s">
        <v>6711</v>
      </c>
      <c r="C1603" s="3" t="s">
        <v>4833</v>
      </c>
      <c r="D1603" s="3" t="s">
        <v>7159</v>
      </c>
      <c r="E1603" s="3" t="s">
        <v>7160</v>
      </c>
      <c r="F1603" s="3">
        <v>20</v>
      </c>
      <c r="G1603" s="3" t="s">
        <v>7155</v>
      </c>
      <c r="H1603" s="3">
        <v>1.8319999999999999E-2</v>
      </c>
      <c r="I1603" s="3">
        <v>0.3664</v>
      </c>
    </row>
    <row r="1604" spans="1:9" ht="56.25" customHeight="1" x14ac:dyDescent="0.25">
      <c r="A1604" s="2" t="s">
        <v>1510</v>
      </c>
      <c r="B1604" s="2" t="s">
        <v>6711</v>
      </c>
      <c r="C1604" s="2" t="s">
        <v>4833</v>
      </c>
      <c r="D1604" s="2" t="s">
        <v>7190</v>
      </c>
      <c r="E1604" s="2" t="s">
        <v>7191</v>
      </c>
      <c r="F1604" s="2">
        <v>0.59699999999999998</v>
      </c>
      <c r="G1604" s="2" t="s">
        <v>7163</v>
      </c>
      <c r="H1604" s="2" t="s">
        <v>7164</v>
      </c>
      <c r="I1604" s="2">
        <v>0.59699999999999998</v>
      </c>
    </row>
    <row r="1605" spans="1:9" ht="56.25" customHeight="1" x14ac:dyDescent="0.25">
      <c r="A1605" s="3" t="s">
        <v>1510</v>
      </c>
      <c r="B1605" s="3" t="s">
        <v>6711</v>
      </c>
      <c r="C1605" s="3" t="s">
        <v>4833</v>
      </c>
      <c r="D1605" s="3" t="s">
        <v>7188</v>
      </c>
      <c r="E1605" s="3" t="s">
        <v>7189</v>
      </c>
      <c r="F1605" s="3">
        <v>4</v>
      </c>
      <c r="G1605" s="3" t="s">
        <v>7158</v>
      </c>
      <c r="H1605" s="3">
        <v>0.27</v>
      </c>
      <c r="I1605" s="3">
        <v>1.08</v>
      </c>
    </row>
    <row r="1606" spans="1:9" ht="56.25" customHeight="1" x14ac:dyDescent="0.25">
      <c r="A1606" s="2" t="s">
        <v>1510</v>
      </c>
      <c r="B1606" s="2" t="s">
        <v>6711</v>
      </c>
      <c r="C1606" s="2" t="s">
        <v>4833</v>
      </c>
      <c r="D1606" s="2" t="s">
        <v>7165</v>
      </c>
      <c r="E1606" s="2" t="s">
        <v>7166</v>
      </c>
      <c r="F1606" s="2">
        <v>4</v>
      </c>
      <c r="G1606" s="2" t="s">
        <v>7158</v>
      </c>
      <c r="H1606" s="2">
        <v>0.1</v>
      </c>
      <c r="I1606" s="2">
        <v>0.4</v>
      </c>
    </row>
    <row r="1607" spans="1:9" ht="123.75" customHeight="1" x14ac:dyDescent="0.25">
      <c r="A1607" s="3" t="s">
        <v>1151</v>
      </c>
      <c r="B1607" s="3" t="s">
        <v>6719</v>
      </c>
      <c r="C1607" s="3" t="s">
        <v>4812</v>
      </c>
      <c r="D1607" s="3" t="s">
        <v>7153</v>
      </c>
      <c r="E1607" s="3" t="s">
        <v>7154</v>
      </c>
      <c r="F1607" s="3">
        <v>7</v>
      </c>
      <c r="G1607" s="3" t="s">
        <v>7155</v>
      </c>
      <c r="H1607" s="3">
        <v>1.24E-2</v>
      </c>
      <c r="I1607" s="3">
        <v>8.6800000000000002E-2</v>
      </c>
    </row>
    <row r="1608" spans="1:9" ht="123.75" customHeight="1" x14ac:dyDescent="0.25">
      <c r="A1608" s="2" t="s">
        <v>1151</v>
      </c>
      <c r="B1608" s="2" t="s">
        <v>6719</v>
      </c>
      <c r="C1608" s="2" t="s">
        <v>4812</v>
      </c>
      <c r="D1608" s="2" t="s">
        <v>7186</v>
      </c>
      <c r="E1608" s="2" t="s">
        <v>7187</v>
      </c>
      <c r="F1608" s="2">
        <v>1</v>
      </c>
      <c r="G1608" s="2" t="s">
        <v>7158</v>
      </c>
      <c r="H1608" s="2">
        <v>26</v>
      </c>
      <c r="I1608" s="2">
        <v>26</v>
      </c>
    </row>
    <row r="1609" spans="1:9" ht="123.75" customHeight="1" x14ac:dyDescent="0.25">
      <c r="A1609" s="3" t="s">
        <v>1151</v>
      </c>
      <c r="B1609" s="3" t="s">
        <v>6719</v>
      </c>
      <c r="C1609" s="3" t="s">
        <v>4812</v>
      </c>
      <c r="D1609" s="3" t="s">
        <v>7159</v>
      </c>
      <c r="E1609" s="3" t="s">
        <v>7160</v>
      </c>
      <c r="F1609" s="3">
        <v>20</v>
      </c>
      <c r="G1609" s="3" t="s">
        <v>7155</v>
      </c>
      <c r="H1609" s="3">
        <v>1.8319999999999999E-2</v>
      </c>
      <c r="I1609" s="3">
        <v>0.3664</v>
      </c>
    </row>
    <row r="1610" spans="1:9" ht="123.75" customHeight="1" x14ac:dyDescent="0.25">
      <c r="A1610" s="2" t="s">
        <v>1151</v>
      </c>
      <c r="B1610" s="2" t="s">
        <v>6719</v>
      </c>
      <c r="C1610" s="2" t="s">
        <v>4812</v>
      </c>
      <c r="D1610" s="2" t="s">
        <v>7161</v>
      </c>
      <c r="E1610" s="2" t="s">
        <v>7162</v>
      </c>
      <c r="F1610" s="2">
        <v>0.186</v>
      </c>
      <c r="G1610" s="2" t="s">
        <v>7163</v>
      </c>
      <c r="H1610" s="2" t="s">
        <v>7164</v>
      </c>
      <c r="I1610" s="2">
        <v>0.186</v>
      </c>
    </row>
    <row r="1611" spans="1:9" ht="123.75" customHeight="1" x14ac:dyDescent="0.25">
      <c r="A1611" s="3" t="s">
        <v>1151</v>
      </c>
      <c r="B1611" s="3" t="s">
        <v>6719</v>
      </c>
      <c r="C1611" s="3" t="s">
        <v>4812</v>
      </c>
      <c r="D1611" s="3" t="s">
        <v>7226</v>
      </c>
      <c r="E1611" s="3" t="s">
        <v>7227</v>
      </c>
      <c r="F1611" s="3">
        <v>2.448</v>
      </c>
      <c r="G1611" s="3" t="s">
        <v>7163</v>
      </c>
      <c r="H1611" s="3" t="s">
        <v>7164</v>
      </c>
      <c r="I1611" s="3">
        <v>2.448</v>
      </c>
    </row>
    <row r="1612" spans="1:9" ht="123.75" customHeight="1" x14ac:dyDescent="0.25">
      <c r="A1612" s="2" t="s">
        <v>1151</v>
      </c>
      <c r="B1612" s="2" t="s">
        <v>6719</v>
      </c>
      <c r="C1612" s="2" t="s">
        <v>4812</v>
      </c>
      <c r="D1612" s="2" t="s">
        <v>7188</v>
      </c>
      <c r="E1612" s="2" t="s">
        <v>7189</v>
      </c>
      <c r="F1612" s="2">
        <v>5</v>
      </c>
      <c r="G1612" s="2" t="s">
        <v>7158</v>
      </c>
      <c r="H1612" s="2">
        <v>0.27</v>
      </c>
      <c r="I1612" s="2">
        <v>1.35</v>
      </c>
    </row>
    <row r="1613" spans="1:9" ht="123.75" customHeight="1" x14ac:dyDescent="0.25">
      <c r="A1613" s="3" t="s">
        <v>1151</v>
      </c>
      <c r="B1613" s="3" t="s">
        <v>6719</v>
      </c>
      <c r="C1613" s="3" t="s">
        <v>4812</v>
      </c>
      <c r="D1613" s="3" t="s">
        <v>7165</v>
      </c>
      <c r="E1613" s="3" t="s">
        <v>7166</v>
      </c>
      <c r="F1613" s="3">
        <v>2</v>
      </c>
      <c r="G1613" s="3" t="s">
        <v>7158</v>
      </c>
      <c r="H1613" s="3">
        <v>0.1</v>
      </c>
      <c r="I1613" s="3">
        <v>0.2</v>
      </c>
    </row>
    <row r="1614" spans="1:9" ht="22.5" customHeight="1" x14ac:dyDescent="0.25">
      <c r="A1614" s="2" t="s">
        <v>1528</v>
      </c>
      <c r="B1614" s="2" t="s">
        <v>1527</v>
      </c>
      <c r="C1614" s="2" t="s">
        <v>4835</v>
      </c>
      <c r="D1614" s="2" t="s">
        <v>7153</v>
      </c>
      <c r="E1614" s="2" t="s">
        <v>7154</v>
      </c>
      <c r="F1614" s="2">
        <v>7</v>
      </c>
      <c r="G1614" s="2" t="s">
        <v>7155</v>
      </c>
      <c r="H1614" s="2">
        <v>1.24E-2</v>
      </c>
      <c r="I1614" s="2">
        <v>8.6800000000000002E-2</v>
      </c>
    </row>
    <row r="1615" spans="1:9" ht="33.75" customHeight="1" x14ac:dyDescent="0.25">
      <c r="A1615" s="3" t="s">
        <v>1528</v>
      </c>
      <c r="B1615" s="3" t="s">
        <v>1527</v>
      </c>
      <c r="C1615" s="3" t="s">
        <v>4835</v>
      </c>
      <c r="D1615" s="3" t="s">
        <v>7186</v>
      </c>
      <c r="E1615" s="3" t="s">
        <v>7187</v>
      </c>
      <c r="F1615" s="3">
        <v>1</v>
      </c>
      <c r="G1615" s="3" t="s">
        <v>7158</v>
      </c>
      <c r="H1615" s="3">
        <v>26</v>
      </c>
      <c r="I1615" s="3">
        <v>26</v>
      </c>
    </row>
    <row r="1616" spans="1:9" ht="22.5" customHeight="1" x14ac:dyDescent="0.25">
      <c r="A1616" s="2" t="s">
        <v>1528</v>
      </c>
      <c r="B1616" s="2" t="s">
        <v>1527</v>
      </c>
      <c r="C1616" s="2" t="s">
        <v>4835</v>
      </c>
      <c r="D1616" s="2" t="s">
        <v>7159</v>
      </c>
      <c r="E1616" s="2" t="s">
        <v>7160</v>
      </c>
      <c r="F1616" s="2">
        <v>20</v>
      </c>
      <c r="G1616" s="2" t="s">
        <v>7155</v>
      </c>
      <c r="H1616" s="2">
        <v>1.8319999999999999E-2</v>
      </c>
      <c r="I1616" s="2">
        <v>0.3664</v>
      </c>
    </row>
    <row r="1617" spans="1:9" ht="22.5" customHeight="1" x14ac:dyDescent="0.25">
      <c r="A1617" s="3" t="s">
        <v>1528</v>
      </c>
      <c r="B1617" s="3" t="s">
        <v>1527</v>
      </c>
      <c r="C1617" s="3" t="s">
        <v>4835</v>
      </c>
      <c r="D1617" s="3" t="s">
        <v>7161</v>
      </c>
      <c r="E1617" s="3" t="s">
        <v>7162</v>
      </c>
      <c r="F1617" s="3">
        <v>0.186</v>
      </c>
      <c r="G1617" s="3" t="s">
        <v>7163</v>
      </c>
      <c r="H1617" s="3" t="s">
        <v>7164</v>
      </c>
      <c r="I1617" s="3">
        <v>0.186</v>
      </c>
    </row>
    <row r="1618" spans="1:9" ht="33.75" customHeight="1" x14ac:dyDescent="0.25">
      <c r="A1618" s="2" t="s">
        <v>1528</v>
      </c>
      <c r="B1618" s="2" t="s">
        <v>1527</v>
      </c>
      <c r="C1618" s="2" t="s">
        <v>4835</v>
      </c>
      <c r="D1618" s="2" t="s">
        <v>7188</v>
      </c>
      <c r="E1618" s="2" t="s">
        <v>7189</v>
      </c>
      <c r="F1618" s="2">
        <v>5</v>
      </c>
      <c r="G1618" s="2" t="s">
        <v>7158</v>
      </c>
      <c r="H1618" s="2">
        <v>0.27</v>
      </c>
      <c r="I1618" s="2">
        <v>1.35</v>
      </c>
    </row>
    <row r="1619" spans="1:9" ht="33.75" customHeight="1" x14ac:dyDescent="0.25">
      <c r="A1619" s="3" t="s">
        <v>1528</v>
      </c>
      <c r="B1619" s="3" t="s">
        <v>1527</v>
      </c>
      <c r="C1619" s="3" t="s">
        <v>4835</v>
      </c>
      <c r="D1619" s="3" t="s">
        <v>7165</v>
      </c>
      <c r="E1619" s="3" t="s">
        <v>7166</v>
      </c>
      <c r="F1619" s="3">
        <v>2</v>
      </c>
      <c r="G1619" s="3" t="s">
        <v>7158</v>
      </c>
      <c r="H1619" s="3">
        <v>0.1</v>
      </c>
      <c r="I1619" s="3">
        <v>0.2</v>
      </c>
    </row>
    <row r="1620" spans="1:9" ht="45" customHeight="1" x14ac:dyDescent="0.25">
      <c r="A1620" s="2" t="s">
        <v>677</v>
      </c>
      <c r="B1620" s="2" t="s">
        <v>6732</v>
      </c>
      <c r="C1620" s="2" t="s">
        <v>4780</v>
      </c>
      <c r="D1620" s="2" t="s">
        <v>7186</v>
      </c>
      <c r="E1620" s="2" t="s">
        <v>7187</v>
      </c>
      <c r="F1620" s="2">
        <v>1</v>
      </c>
      <c r="G1620" s="2" t="s">
        <v>7158</v>
      </c>
      <c r="H1620" s="2">
        <v>26</v>
      </c>
      <c r="I1620" s="2">
        <v>26</v>
      </c>
    </row>
    <row r="1621" spans="1:9" ht="45" customHeight="1" x14ac:dyDescent="0.25">
      <c r="A1621" s="3" t="s">
        <v>677</v>
      </c>
      <c r="B1621" s="3" t="s">
        <v>6732</v>
      </c>
      <c r="C1621" s="3" t="s">
        <v>4780</v>
      </c>
      <c r="D1621" s="3" t="s">
        <v>7159</v>
      </c>
      <c r="E1621" s="3" t="s">
        <v>7160</v>
      </c>
      <c r="F1621" s="3">
        <v>20</v>
      </c>
      <c r="G1621" s="3" t="s">
        <v>7155</v>
      </c>
      <c r="H1621" s="3">
        <v>1.8319999999999999E-2</v>
      </c>
      <c r="I1621" s="3">
        <v>0.3664</v>
      </c>
    </row>
    <row r="1622" spans="1:9" ht="45" customHeight="1" x14ac:dyDescent="0.25">
      <c r="A1622" s="2" t="s">
        <v>677</v>
      </c>
      <c r="B1622" s="2" t="s">
        <v>6732</v>
      </c>
      <c r="C1622" s="2" t="s">
        <v>4780</v>
      </c>
      <c r="D1622" s="2" t="s">
        <v>7161</v>
      </c>
      <c r="E1622" s="2" t="s">
        <v>7162</v>
      </c>
      <c r="F1622" s="2">
        <v>0.186</v>
      </c>
      <c r="G1622" s="2" t="s">
        <v>7163</v>
      </c>
      <c r="H1622" s="2" t="s">
        <v>7164</v>
      </c>
      <c r="I1622" s="2">
        <v>0.186</v>
      </c>
    </row>
    <row r="1623" spans="1:9" ht="45" customHeight="1" x14ac:dyDescent="0.25">
      <c r="A1623" s="3" t="s">
        <v>677</v>
      </c>
      <c r="B1623" s="3" t="s">
        <v>6732</v>
      </c>
      <c r="C1623" s="3" t="s">
        <v>4780</v>
      </c>
      <c r="D1623" s="3" t="s">
        <v>7226</v>
      </c>
      <c r="E1623" s="3" t="s">
        <v>7227</v>
      </c>
      <c r="F1623" s="3">
        <v>2.448</v>
      </c>
      <c r="G1623" s="3" t="s">
        <v>7163</v>
      </c>
      <c r="H1623" s="3" t="s">
        <v>7164</v>
      </c>
      <c r="I1623" s="3">
        <v>2.448</v>
      </c>
    </row>
    <row r="1624" spans="1:9" ht="45" customHeight="1" x14ac:dyDescent="0.25">
      <c r="A1624" s="2" t="s">
        <v>677</v>
      </c>
      <c r="B1624" s="2" t="s">
        <v>6732</v>
      </c>
      <c r="C1624" s="2" t="s">
        <v>4780</v>
      </c>
      <c r="D1624" s="2" t="s">
        <v>7188</v>
      </c>
      <c r="E1624" s="2" t="s">
        <v>7189</v>
      </c>
      <c r="F1624" s="2">
        <v>5</v>
      </c>
      <c r="G1624" s="2" t="s">
        <v>7158</v>
      </c>
      <c r="H1624" s="2">
        <v>0.27</v>
      </c>
      <c r="I1624" s="2">
        <v>1.35</v>
      </c>
    </row>
    <row r="1625" spans="1:9" ht="22.5" customHeight="1" x14ac:dyDescent="0.25">
      <c r="A1625" s="3" t="s">
        <v>1494</v>
      </c>
      <c r="B1625" s="3" t="s">
        <v>1493</v>
      </c>
      <c r="C1625" s="3" t="s">
        <v>4831</v>
      </c>
      <c r="D1625" s="3" t="s">
        <v>7153</v>
      </c>
      <c r="E1625" s="3" t="s">
        <v>7154</v>
      </c>
      <c r="F1625" s="3">
        <v>14</v>
      </c>
      <c r="G1625" s="3" t="s">
        <v>7155</v>
      </c>
      <c r="H1625" s="3">
        <v>1.24E-2</v>
      </c>
      <c r="I1625" s="3">
        <v>0.1736</v>
      </c>
    </row>
    <row r="1626" spans="1:9" ht="33.75" customHeight="1" x14ac:dyDescent="0.25">
      <c r="A1626" s="2" t="s">
        <v>1494</v>
      </c>
      <c r="B1626" s="2" t="s">
        <v>1493</v>
      </c>
      <c r="C1626" s="2" t="s">
        <v>4831</v>
      </c>
      <c r="D1626" s="2" t="s">
        <v>7186</v>
      </c>
      <c r="E1626" s="2" t="s">
        <v>7187</v>
      </c>
      <c r="F1626" s="2">
        <v>1</v>
      </c>
      <c r="G1626" s="2" t="s">
        <v>7158</v>
      </c>
      <c r="H1626" s="2">
        <v>26</v>
      </c>
      <c r="I1626" s="2">
        <v>26</v>
      </c>
    </row>
    <row r="1627" spans="1:9" ht="22.5" customHeight="1" x14ac:dyDescent="0.25">
      <c r="A1627" s="3" t="s">
        <v>1494</v>
      </c>
      <c r="B1627" s="3" t="s">
        <v>1493</v>
      </c>
      <c r="C1627" s="3" t="s">
        <v>4831</v>
      </c>
      <c r="D1627" s="3" t="s">
        <v>7159</v>
      </c>
      <c r="E1627" s="3" t="s">
        <v>7160</v>
      </c>
      <c r="F1627" s="3">
        <v>20</v>
      </c>
      <c r="G1627" s="3" t="s">
        <v>7155</v>
      </c>
      <c r="H1627" s="3">
        <v>1.8319999999999999E-2</v>
      </c>
      <c r="I1627" s="3">
        <v>0.3664</v>
      </c>
    </row>
    <row r="1628" spans="1:9" ht="22.5" customHeight="1" x14ac:dyDescent="0.25">
      <c r="A1628" s="2" t="s">
        <v>1494</v>
      </c>
      <c r="B1628" s="2" t="s">
        <v>1493</v>
      </c>
      <c r="C1628" s="2" t="s">
        <v>4831</v>
      </c>
      <c r="D1628" s="2" t="s">
        <v>7190</v>
      </c>
      <c r="E1628" s="2" t="s">
        <v>7191</v>
      </c>
      <c r="F1628" s="2">
        <v>0.59699999999999998</v>
      </c>
      <c r="G1628" s="2" t="s">
        <v>7163</v>
      </c>
      <c r="H1628" s="2" t="s">
        <v>7164</v>
      </c>
      <c r="I1628" s="2">
        <v>0.59699999999999998</v>
      </c>
    </row>
    <row r="1629" spans="1:9" ht="33.75" customHeight="1" x14ac:dyDescent="0.25">
      <c r="A1629" s="3" t="s">
        <v>1494</v>
      </c>
      <c r="B1629" s="3" t="s">
        <v>1493</v>
      </c>
      <c r="C1629" s="3" t="s">
        <v>4831</v>
      </c>
      <c r="D1629" s="3" t="s">
        <v>7188</v>
      </c>
      <c r="E1629" s="3" t="s">
        <v>7189</v>
      </c>
      <c r="F1629" s="3">
        <v>5</v>
      </c>
      <c r="G1629" s="3" t="s">
        <v>7158</v>
      </c>
      <c r="H1629" s="3">
        <v>0.27</v>
      </c>
      <c r="I1629" s="3">
        <v>1.35</v>
      </c>
    </row>
    <row r="1630" spans="1:9" ht="33.75" customHeight="1" x14ac:dyDescent="0.25">
      <c r="A1630" s="2" t="s">
        <v>1494</v>
      </c>
      <c r="B1630" s="2" t="s">
        <v>1493</v>
      </c>
      <c r="C1630" s="2" t="s">
        <v>4831</v>
      </c>
      <c r="D1630" s="2" t="s">
        <v>7165</v>
      </c>
      <c r="E1630" s="2" t="s">
        <v>7166</v>
      </c>
      <c r="F1630" s="2">
        <v>4</v>
      </c>
      <c r="G1630" s="2" t="s">
        <v>7158</v>
      </c>
      <c r="H1630" s="2">
        <v>0.1</v>
      </c>
      <c r="I1630" s="2">
        <v>0.4</v>
      </c>
    </row>
    <row r="1631" spans="1:9" x14ac:dyDescent="0.25">
      <c r="A1631" s="3" t="s">
        <v>1795</v>
      </c>
      <c r="B1631" s="3" t="s">
        <v>1794</v>
      </c>
      <c r="C1631" s="3" t="s">
        <v>4860</v>
      </c>
      <c r="D1631" s="3" t="s">
        <v>7153</v>
      </c>
      <c r="E1631" s="3"/>
      <c r="F1631" s="3">
        <v>14</v>
      </c>
      <c r="G1631" s="3" t="s">
        <v>7155</v>
      </c>
      <c r="H1631" s="3">
        <v>1.24E-2</v>
      </c>
      <c r="I1631" s="3">
        <v>0.1736</v>
      </c>
    </row>
    <row r="1632" spans="1:9" x14ac:dyDescent="0.25">
      <c r="A1632" s="2" t="s">
        <v>1795</v>
      </c>
      <c r="B1632" s="2" t="s">
        <v>1794</v>
      </c>
      <c r="C1632" s="2" t="s">
        <v>4860</v>
      </c>
      <c r="D1632" s="2" t="s">
        <v>7156</v>
      </c>
      <c r="E1632" s="2"/>
      <c r="F1632" s="2">
        <v>1</v>
      </c>
      <c r="G1632" s="2" t="s">
        <v>7158</v>
      </c>
      <c r="H1632" s="2">
        <v>26</v>
      </c>
      <c r="I1632" s="2">
        <v>26</v>
      </c>
    </row>
    <row r="1633" spans="1:9" x14ac:dyDescent="0.25">
      <c r="A1633" s="3" t="s">
        <v>1795</v>
      </c>
      <c r="B1633" s="3" t="s">
        <v>1794</v>
      </c>
      <c r="C1633" s="3" t="s">
        <v>4860</v>
      </c>
      <c r="D1633" s="3" t="s">
        <v>7159</v>
      </c>
      <c r="E1633" s="3"/>
      <c r="F1633" s="3">
        <v>20</v>
      </c>
      <c r="G1633" s="3" t="s">
        <v>7155</v>
      </c>
      <c r="H1633" s="3">
        <v>1.8319999999999999E-2</v>
      </c>
      <c r="I1633" s="3">
        <v>0.3664</v>
      </c>
    </row>
    <row r="1634" spans="1:9" x14ac:dyDescent="0.25">
      <c r="A1634" s="2" t="s">
        <v>1795</v>
      </c>
      <c r="B1634" s="2" t="s">
        <v>1794</v>
      </c>
      <c r="C1634" s="2" t="s">
        <v>4860</v>
      </c>
      <c r="D1634" s="2" t="s">
        <v>7161</v>
      </c>
      <c r="E1634" s="2"/>
      <c r="F1634" s="2">
        <v>0.186</v>
      </c>
      <c r="G1634" s="2" t="s">
        <v>7163</v>
      </c>
      <c r="H1634" s="2">
        <v>0</v>
      </c>
      <c r="I1634" s="2">
        <v>0</v>
      </c>
    </row>
    <row r="1635" spans="1:9" x14ac:dyDescent="0.25">
      <c r="A1635" s="3" t="s">
        <v>1795</v>
      </c>
      <c r="B1635" s="3" t="s">
        <v>1794</v>
      </c>
      <c r="C1635" s="3" t="s">
        <v>4860</v>
      </c>
      <c r="D1635" s="3" t="s">
        <v>7259</v>
      </c>
      <c r="E1635" s="3"/>
      <c r="F1635" s="3">
        <v>1.9450000000000001</v>
      </c>
      <c r="G1635" s="3" t="s">
        <v>7163</v>
      </c>
      <c r="H1635" s="3">
        <v>0</v>
      </c>
      <c r="I1635" s="3">
        <v>0</v>
      </c>
    </row>
    <row r="1636" spans="1:9" x14ac:dyDescent="0.25">
      <c r="A1636" s="2" t="s">
        <v>1795</v>
      </c>
      <c r="B1636" s="2" t="s">
        <v>1794</v>
      </c>
      <c r="C1636" s="2" t="s">
        <v>4860</v>
      </c>
      <c r="D1636" s="2" t="s">
        <v>7212</v>
      </c>
      <c r="E1636" s="2"/>
      <c r="F1636" s="2">
        <v>4</v>
      </c>
      <c r="G1636" s="2" t="s">
        <v>7158</v>
      </c>
      <c r="H1636" s="2">
        <v>0.21</v>
      </c>
      <c r="I1636" s="2">
        <v>0.84</v>
      </c>
    </row>
    <row r="1637" spans="1:9" x14ac:dyDescent="0.25">
      <c r="A1637" s="3" t="s">
        <v>1795</v>
      </c>
      <c r="B1637" s="3" t="s">
        <v>1794</v>
      </c>
      <c r="C1637" s="3" t="s">
        <v>4860</v>
      </c>
      <c r="D1637" s="3" t="s">
        <v>7167</v>
      </c>
      <c r="E1637" s="3"/>
      <c r="F1637" s="3">
        <v>4</v>
      </c>
      <c r="G1637" s="3" t="s">
        <v>7158</v>
      </c>
      <c r="H1637" s="3">
        <v>0.2</v>
      </c>
      <c r="I1637" s="3">
        <v>0.8</v>
      </c>
    </row>
    <row r="1638" spans="1:9" x14ac:dyDescent="0.25">
      <c r="A1638" s="2" t="s">
        <v>1795</v>
      </c>
      <c r="B1638" s="2" t="s">
        <v>1794</v>
      </c>
      <c r="C1638" s="2" t="s">
        <v>4860</v>
      </c>
      <c r="D1638" s="2" t="s">
        <v>7179</v>
      </c>
      <c r="E1638" s="2"/>
      <c r="F1638" s="2">
        <v>72</v>
      </c>
      <c r="G1638" s="2" t="s">
        <v>7158</v>
      </c>
      <c r="H1638" s="2">
        <v>1.08E-3</v>
      </c>
      <c r="I1638" s="2">
        <v>7.7759999999999996E-2</v>
      </c>
    </row>
    <row r="1639" spans="1:9" ht="22.5" customHeight="1" x14ac:dyDescent="0.25">
      <c r="A1639" s="3" t="s">
        <v>4135</v>
      </c>
      <c r="B1639" s="3" t="s">
        <v>6749</v>
      </c>
      <c r="C1639" s="3" t="s">
        <v>5020</v>
      </c>
      <c r="D1639" s="3" t="s">
        <v>7153</v>
      </c>
      <c r="E1639" s="3"/>
      <c r="F1639" s="3">
        <v>14</v>
      </c>
      <c r="G1639" s="3" t="s">
        <v>7155</v>
      </c>
      <c r="H1639" s="3">
        <v>1.24E-2</v>
      </c>
      <c r="I1639" s="3">
        <v>0.1736</v>
      </c>
    </row>
    <row r="1640" spans="1:9" ht="22.5" customHeight="1" x14ac:dyDescent="0.25">
      <c r="A1640" s="2" t="s">
        <v>4135</v>
      </c>
      <c r="B1640" s="2" t="s">
        <v>6749</v>
      </c>
      <c r="C1640" s="2" t="s">
        <v>5020</v>
      </c>
      <c r="D1640" s="2" t="s">
        <v>7156</v>
      </c>
      <c r="E1640" s="2"/>
      <c r="F1640" s="2">
        <v>1</v>
      </c>
      <c r="G1640" s="2" t="s">
        <v>7158</v>
      </c>
      <c r="H1640" s="2">
        <v>26</v>
      </c>
      <c r="I1640" s="2">
        <v>26</v>
      </c>
    </row>
    <row r="1641" spans="1:9" ht="22.5" customHeight="1" x14ac:dyDescent="0.25">
      <c r="A1641" s="3" t="s">
        <v>4135</v>
      </c>
      <c r="B1641" s="3" t="s">
        <v>6749</v>
      </c>
      <c r="C1641" s="3" t="s">
        <v>5020</v>
      </c>
      <c r="D1641" s="3" t="s">
        <v>7159</v>
      </c>
      <c r="E1641" s="3"/>
      <c r="F1641" s="3">
        <v>20</v>
      </c>
      <c r="G1641" s="3" t="s">
        <v>7155</v>
      </c>
      <c r="H1641" s="3">
        <v>1.8319999999999999E-2</v>
      </c>
      <c r="I1641" s="3">
        <v>0.3664</v>
      </c>
    </row>
    <row r="1642" spans="1:9" ht="22.5" customHeight="1" x14ac:dyDescent="0.25">
      <c r="A1642" s="2" t="s">
        <v>4135</v>
      </c>
      <c r="B1642" s="2" t="s">
        <v>6749</v>
      </c>
      <c r="C1642" s="2" t="s">
        <v>5020</v>
      </c>
      <c r="D1642" s="2" t="s">
        <v>7161</v>
      </c>
      <c r="E1642" s="2"/>
      <c r="F1642" s="2">
        <v>0.186</v>
      </c>
      <c r="G1642" s="2" t="s">
        <v>7163</v>
      </c>
      <c r="H1642" s="2">
        <v>0</v>
      </c>
      <c r="I1642" s="2">
        <v>0</v>
      </c>
    </row>
    <row r="1643" spans="1:9" ht="22.5" customHeight="1" x14ac:dyDescent="0.25">
      <c r="A1643" s="3" t="s">
        <v>4135</v>
      </c>
      <c r="B1643" s="3" t="s">
        <v>6749</v>
      </c>
      <c r="C1643" s="3" t="s">
        <v>5020</v>
      </c>
      <c r="D1643" s="3" t="s">
        <v>7259</v>
      </c>
      <c r="E1643" s="3"/>
      <c r="F1643" s="3">
        <v>2.375</v>
      </c>
      <c r="G1643" s="3" t="s">
        <v>7163</v>
      </c>
      <c r="H1643" s="3">
        <v>0</v>
      </c>
      <c r="I1643" s="3">
        <v>0</v>
      </c>
    </row>
    <row r="1644" spans="1:9" ht="22.5" customHeight="1" x14ac:dyDescent="0.25">
      <c r="A1644" s="2" t="s">
        <v>4135</v>
      </c>
      <c r="B1644" s="2" t="s">
        <v>6749</v>
      </c>
      <c r="C1644" s="2" t="s">
        <v>5020</v>
      </c>
      <c r="D1644" s="2" t="s">
        <v>7212</v>
      </c>
      <c r="E1644" s="2"/>
      <c r="F1644" s="2">
        <v>4</v>
      </c>
      <c r="G1644" s="2" t="s">
        <v>7158</v>
      </c>
      <c r="H1644" s="2">
        <v>0.21</v>
      </c>
      <c r="I1644" s="2">
        <v>0.84</v>
      </c>
    </row>
    <row r="1645" spans="1:9" ht="22.5" customHeight="1" x14ac:dyDescent="0.25">
      <c r="A1645" s="3" t="s">
        <v>4135</v>
      </c>
      <c r="B1645" s="3" t="s">
        <v>6749</v>
      </c>
      <c r="C1645" s="3" t="s">
        <v>5020</v>
      </c>
      <c r="D1645" s="3" t="s">
        <v>7167</v>
      </c>
      <c r="E1645" s="3"/>
      <c r="F1645" s="3">
        <v>4</v>
      </c>
      <c r="G1645" s="3" t="s">
        <v>7158</v>
      </c>
      <c r="H1645" s="3">
        <v>0.2</v>
      </c>
      <c r="I1645" s="3">
        <v>0.8</v>
      </c>
    </row>
    <row r="1646" spans="1:9" ht="22.5" customHeight="1" x14ac:dyDescent="0.25">
      <c r="A1646" s="2" t="s">
        <v>4135</v>
      </c>
      <c r="B1646" s="2" t="s">
        <v>6749</v>
      </c>
      <c r="C1646" s="2" t="s">
        <v>5020</v>
      </c>
      <c r="D1646" s="2" t="s">
        <v>7179</v>
      </c>
      <c r="E1646" s="2"/>
      <c r="F1646" s="2">
        <v>72</v>
      </c>
      <c r="G1646" s="2" t="s">
        <v>7158</v>
      </c>
      <c r="H1646" s="2">
        <v>1.08E-3</v>
      </c>
      <c r="I1646" s="2">
        <v>7.7759999999999996E-2</v>
      </c>
    </row>
    <row r="1647" spans="1:9" x14ac:dyDescent="0.25">
      <c r="A1647" s="3" t="s">
        <v>1967</v>
      </c>
      <c r="B1647" s="3" t="s">
        <v>6756</v>
      </c>
      <c r="C1647" s="3" t="s">
        <v>4879</v>
      </c>
      <c r="D1647" s="3" t="s">
        <v>7258</v>
      </c>
      <c r="E1647" s="3"/>
      <c r="F1647" s="3">
        <v>72</v>
      </c>
      <c r="G1647" s="3" t="s">
        <v>7158</v>
      </c>
      <c r="H1647" s="3">
        <v>4.6700000000000012E-2</v>
      </c>
      <c r="I1647" s="3">
        <v>3.3624000000000001</v>
      </c>
    </row>
    <row r="1648" spans="1:9" x14ac:dyDescent="0.25">
      <c r="A1648" s="2" t="s">
        <v>1967</v>
      </c>
      <c r="B1648" s="2" t="s">
        <v>6756</v>
      </c>
      <c r="C1648" s="2" t="s">
        <v>4879</v>
      </c>
      <c r="D1648" s="2" t="s">
        <v>7156</v>
      </c>
      <c r="E1648" s="2"/>
      <c r="F1648" s="2">
        <v>1</v>
      </c>
      <c r="G1648" s="2" t="s">
        <v>7158</v>
      </c>
      <c r="H1648" s="2">
        <v>26</v>
      </c>
      <c r="I1648" s="2">
        <v>26</v>
      </c>
    </row>
    <row r="1649" spans="1:9" x14ac:dyDescent="0.25">
      <c r="A1649" s="3" t="s">
        <v>1967</v>
      </c>
      <c r="B1649" s="3" t="s">
        <v>6756</v>
      </c>
      <c r="C1649" s="3" t="s">
        <v>4879</v>
      </c>
      <c r="D1649" s="3" t="s">
        <v>7159</v>
      </c>
      <c r="E1649" s="3"/>
      <c r="F1649" s="3">
        <v>20</v>
      </c>
      <c r="G1649" s="3" t="s">
        <v>7155</v>
      </c>
      <c r="H1649" s="3">
        <v>1.8319999999999999E-2</v>
      </c>
      <c r="I1649" s="3">
        <v>0.3664</v>
      </c>
    </row>
    <row r="1650" spans="1:9" x14ac:dyDescent="0.25">
      <c r="A1650" s="2" t="s">
        <v>1967</v>
      </c>
      <c r="B1650" s="2" t="s">
        <v>6756</v>
      </c>
      <c r="C1650" s="2" t="s">
        <v>4879</v>
      </c>
      <c r="D1650" s="2" t="s">
        <v>7161</v>
      </c>
      <c r="E1650" s="2"/>
      <c r="F1650" s="2">
        <v>0.186</v>
      </c>
      <c r="G1650" s="2" t="s">
        <v>7163</v>
      </c>
      <c r="H1650" s="2">
        <v>0</v>
      </c>
      <c r="I1650" s="2">
        <v>0</v>
      </c>
    </row>
    <row r="1651" spans="1:9" x14ac:dyDescent="0.25">
      <c r="A1651" s="3" t="s">
        <v>1967</v>
      </c>
      <c r="B1651" s="3" t="s">
        <v>6756</v>
      </c>
      <c r="C1651" s="3" t="s">
        <v>4879</v>
      </c>
      <c r="D1651" s="3" t="s">
        <v>7259</v>
      </c>
      <c r="E1651" s="3"/>
      <c r="F1651" s="3">
        <v>1.9710000000000001</v>
      </c>
      <c r="G1651" s="3" t="s">
        <v>7163</v>
      </c>
      <c r="H1651" s="3">
        <v>0</v>
      </c>
      <c r="I1651" s="3">
        <v>0</v>
      </c>
    </row>
    <row r="1652" spans="1:9" x14ac:dyDescent="0.25">
      <c r="A1652" s="2" t="s">
        <v>1967</v>
      </c>
      <c r="B1652" s="2" t="s">
        <v>6756</v>
      </c>
      <c r="C1652" s="2" t="s">
        <v>4879</v>
      </c>
      <c r="D1652" s="2" t="s">
        <v>7167</v>
      </c>
      <c r="E1652" s="2"/>
      <c r="F1652" s="2">
        <v>4</v>
      </c>
      <c r="G1652" s="2" t="s">
        <v>7158</v>
      </c>
      <c r="H1652" s="2">
        <v>0.2</v>
      </c>
      <c r="I1652" s="2">
        <v>0.8</v>
      </c>
    </row>
    <row r="1653" spans="1:9" x14ac:dyDescent="0.25">
      <c r="A1653" s="3" t="s">
        <v>1967</v>
      </c>
      <c r="B1653" s="3" t="s">
        <v>6756</v>
      </c>
      <c r="C1653" s="3" t="s">
        <v>4879</v>
      </c>
      <c r="D1653" s="3" t="s">
        <v>7202</v>
      </c>
      <c r="E1653" s="3"/>
      <c r="F1653" s="3">
        <v>72</v>
      </c>
      <c r="G1653" s="3" t="s">
        <v>7158</v>
      </c>
      <c r="H1653" s="3">
        <v>1.08E-3</v>
      </c>
      <c r="I1653" s="3">
        <v>7.7759999999999996E-2</v>
      </c>
    </row>
    <row r="1654" spans="1:9" x14ac:dyDescent="0.25">
      <c r="A1654" s="2" t="s">
        <v>1967</v>
      </c>
      <c r="B1654" s="2" t="s">
        <v>6756</v>
      </c>
      <c r="C1654" s="2" t="s">
        <v>4879</v>
      </c>
      <c r="D1654" s="2" t="s">
        <v>7179</v>
      </c>
      <c r="E1654" s="2"/>
      <c r="F1654" s="2">
        <v>72</v>
      </c>
      <c r="G1654" s="2" t="s">
        <v>7158</v>
      </c>
      <c r="H1654" s="2">
        <v>1.08E-3</v>
      </c>
      <c r="I1654" s="2">
        <v>7.7759999999999996E-2</v>
      </c>
    </row>
    <row r="1655" spans="1:9" ht="22.5" customHeight="1" x14ac:dyDescent="0.25">
      <c r="A1655" s="3" t="s">
        <v>1560</v>
      </c>
      <c r="B1655" s="3" t="s">
        <v>1559</v>
      </c>
      <c r="C1655" s="3" t="s">
        <v>4836</v>
      </c>
      <c r="D1655" s="3" t="s">
        <v>7153</v>
      </c>
      <c r="E1655" s="3" t="s">
        <v>7154</v>
      </c>
      <c r="F1655" s="3">
        <v>14</v>
      </c>
      <c r="G1655" s="3" t="s">
        <v>7155</v>
      </c>
      <c r="H1655" s="3">
        <v>1.24E-2</v>
      </c>
      <c r="I1655" s="3">
        <v>0.1736</v>
      </c>
    </row>
    <row r="1656" spans="1:9" ht="22.5" customHeight="1" x14ac:dyDescent="0.25">
      <c r="A1656" s="2" t="s">
        <v>1560</v>
      </c>
      <c r="B1656" s="2" t="s">
        <v>1559</v>
      </c>
      <c r="C1656" s="2" t="s">
        <v>4836</v>
      </c>
      <c r="D1656" s="2" t="s">
        <v>7156</v>
      </c>
      <c r="E1656" s="2" t="s">
        <v>7157</v>
      </c>
      <c r="F1656" s="2">
        <v>1</v>
      </c>
      <c r="G1656" s="2" t="s">
        <v>7158</v>
      </c>
      <c r="H1656" s="2">
        <v>26</v>
      </c>
      <c r="I1656" s="2">
        <v>26</v>
      </c>
    </row>
    <row r="1657" spans="1:9" ht="22.5" customHeight="1" x14ac:dyDescent="0.25">
      <c r="A1657" s="3" t="s">
        <v>1560</v>
      </c>
      <c r="B1657" s="3" t="s">
        <v>1559</v>
      </c>
      <c r="C1657" s="3" t="s">
        <v>4836</v>
      </c>
      <c r="D1657" s="3" t="s">
        <v>7159</v>
      </c>
      <c r="E1657" s="3" t="s">
        <v>7160</v>
      </c>
      <c r="F1657" s="3">
        <v>20</v>
      </c>
      <c r="G1657" s="3" t="s">
        <v>7155</v>
      </c>
      <c r="H1657" s="3">
        <v>1.8319999999999999E-2</v>
      </c>
      <c r="I1657" s="3">
        <v>0.3664</v>
      </c>
    </row>
    <row r="1658" spans="1:9" ht="22.5" customHeight="1" x14ac:dyDescent="0.25">
      <c r="A1658" s="2" t="s">
        <v>1560</v>
      </c>
      <c r="B1658" s="2" t="s">
        <v>1559</v>
      </c>
      <c r="C1658" s="2" t="s">
        <v>4836</v>
      </c>
      <c r="D1658" s="2" t="s">
        <v>7161</v>
      </c>
      <c r="E1658" s="2" t="s">
        <v>7162</v>
      </c>
      <c r="F1658" s="2">
        <v>0.186</v>
      </c>
      <c r="G1658" s="2" t="s">
        <v>7163</v>
      </c>
      <c r="H1658" s="2" t="s">
        <v>7164</v>
      </c>
      <c r="I1658" s="2">
        <v>0.186</v>
      </c>
    </row>
    <row r="1659" spans="1:9" ht="33.75" customHeight="1" x14ac:dyDescent="0.25">
      <c r="A1659" s="3" t="s">
        <v>1560</v>
      </c>
      <c r="B1659" s="3" t="s">
        <v>1559</v>
      </c>
      <c r="C1659" s="3" t="s">
        <v>4836</v>
      </c>
      <c r="D1659" s="3" t="s">
        <v>7212</v>
      </c>
      <c r="E1659" s="3" t="s">
        <v>7213</v>
      </c>
      <c r="F1659" s="3">
        <v>6</v>
      </c>
      <c r="G1659" s="3" t="s">
        <v>7158</v>
      </c>
      <c r="H1659" s="3">
        <v>0.21</v>
      </c>
      <c r="I1659" s="3">
        <v>1.26</v>
      </c>
    </row>
    <row r="1660" spans="1:9" ht="33.75" customHeight="1" x14ac:dyDescent="0.25">
      <c r="A1660" s="2" t="s">
        <v>1560</v>
      </c>
      <c r="B1660" s="2" t="s">
        <v>1559</v>
      </c>
      <c r="C1660" s="2" t="s">
        <v>4836</v>
      </c>
      <c r="D1660" s="2" t="s">
        <v>7167</v>
      </c>
      <c r="E1660" s="2" t="s">
        <v>7168</v>
      </c>
      <c r="F1660" s="2">
        <v>5</v>
      </c>
      <c r="G1660" s="2" t="s">
        <v>7158</v>
      </c>
      <c r="H1660" s="2">
        <v>0.2</v>
      </c>
      <c r="I1660" s="2">
        <v>1</v>
      </c>
    </row>
    <row r="1661" spans="1:9" ht="33.75" customHeight="1" x14ac:dyDescent="0.25">
      <c r="A1661" s="3" t="s">
        <v>1560</v>
      </c>
      <c r="B1661" s="3" t="s">
        <v>1559</v>
      </c>
      <c r="C1661" s="3" t="s">
        <v>4836</v>
      </c>
      <c r="D1661" s="3" t="s">
        <v>7296</v>
      </c>
      <c r="E1661" s="3" t="s">
        <v>7297</v>
      </c>
      <c r="F1661" s="3">
        <v>76</v>
      </c>
      <c r="G1661" s="3" t="s">
        <v>7158</v>
      </c>
      <c r="H1661" s="3">
        <v>0.24</v>
      </c>
      <c r="I1661" s="3">
        <v>18.239999999999998</v>
      </c>
    </row>
    <row r="1662" spans="1:9" ht="56.25" customHeight="1" x14ac:dyDescent="0.25">
      <c r="A1662" s="2" t="s">
        <v>2458</v>
      </c>
      <c r="B1662" s="2" t="s">
        <v>6770</v>
      </c>
      <c r="C1662" s="2" t="s">
        <v>4918</v>
      </c>
      <c r="D1662" s="2" t="s">
        <v>7153</v>
      </c>
      <c r="E1662" s="2" t="s">
        <v>7154</v>
      </c>
      <c r="F1662" s="2">
        <v>14</v>
      </c>
      <c r="G1662" s="2" t="s">
        <v>7155</v>
      </c>
      <c r="H1662" s="2">
        <v>1.24E-2</v>
      </c>
      <c r="I1662" s="2">
        <v>0.1736</v>
      </c>
    </row>
    <row r="1663" spans="1:9" ht="56.25" customHeight="1" x14ac:dyDescent="0.25">
      <c r="A1663" s="3" t="s">
        <v>2458</v>
      </c>
      <c r="B1663" s="3" t="s">
        <v>6770</v>
      </c>
      <c r="C1663" s="3" t="s">
        <v>4918</v>
      </c>
      <c r="D1663" s="3" t="s">
        <v>7156</v>
      </c>
      <c r="E1663" s="3" t="s">
        <v>7157</v>
      </c>
      <c r="F1663" s="3">
        <v>1</v>
      </c>
      <c r="G1663" s="3" t="s">
        <v>7158</v>
      </c>
      <c r="H1663" s="3">
        <v>26</v>
      </c>
      <c r="I1663" s="3">
        <v>26</v>
      </c>
    </row>
    <row r="1664" spans="1:9" ht="56.25" customHeight="1" x14ac:dyDescent="0.25">
      <c r="A1664" s="2" t="s">
        <v>2458</v>
      </c>
      <c r="B1664" s="2" t="s">
        <v>6770</v>
      </c>
      <c r="C1664" s="2" t="s">
        <v>4918</v>
      </c>
      <c r="D1664" s="2" t="s">
        <v>7159</v>
      </c>
      <c r="E1664" s="2" t="s">
        <v>7160</v>
      </c>
      <c r="F1664" s="2">
        <v>20</v>
      </c>
      <c r="G1664" s="2" t="s">
        <v>7155</v>
      </c>
      <c r="H1664" s="2">
        <v>1.8319999999999999E-2</v>
      </c>
      <c r="I1664" s="2">
        <v>0.3664</v>
      </c>
    </row>
    <row r="1665" spans="1:9" ht="56.25" customHeight="1" x14ac:dyDescent="0.25">
      <c r="A1665" s="3" t="s">
        <v>2458</v>
      </c>
      <c r="B1665" s="3" t="s">
        <v>6770</v>
      </c>
      <c r="C1665" s="3" t="s">
        <v>4918</v>
      </c>
      <c r="D1665" s="3" t="s">
        <v>7161</v>
      </c>
      <c r="E1665" s="3" t="s">
        <v>7162</v>
      </c>
      <c r="F1665" s="3">
        <v>0.186</v>
      </c>
      <c r="G1665" s="3" t="s">
        <v>7163</v>
      </c>
      <c r="H1665" s="3" t="s">
        <v>7164</v>
      </c>
      <c r="I1665" s="3">
        <v>0.186</v>
      </c>
    </row>
    <row r="1666" spans="1:9" ht="56.25" customHeight="1" x14ac:dyDescent="0.25">
      <c r="A1666" s="2" t="s">
        <v>2458</v>
      </c>
      <c r="B1666" s="2" t="s">
        <v>6770</v>
      </c>
      <c r="C1666" s="2" t="s">
        <v>4918</v>
      </c>
      <c r="D1666" s="2" t="s">
        <v>7165</v>
      </c>
      <c r="E1666" s="2" t="s">
        <v>7166</v>
      </c>
      <c r="F1666" s="2">
        <v>4</v>
      </c>
      <c r="G1666" s="2" t="s">
        <v>7158</v>
      </c>
      <c r="H1666" s="2">
        <v>0.1</v>
      </c>
      <c r="I1666" s="2">
        <v>0.4</v>
      </c>
    </row>
    <row r="1667" spans="1:9" ht="56.25" customHeight="1" x14ac:dyDescent="0.25">
      <c r="A1667" s="3" t="s">
        <v>2458</v>
      </c>
      <c r="B1667" s="3" t="s">
        <v>6770</v>
      </c>
      <c r="C1667" s="3" t="s">
        <v>4918</v>
      </c>
      <c r="D1667" s="3" t="s">
        <v>7167</v>
      </c>
      <c r="E1667" s="3" t="s">
        <v>7168</v>
      </c>
      <c r="F1667" s="3">
        <v>5</v>
      </c>
      <c r="G1667" s="3" t="s">
        <v>7158</v>
      </c>
      <c r="H1667" s="3">
        <v>0.2</v>
      </c>
      <c r="I1667" s="3">
        <v>1</v>
      </c>
    </row>
    <row r="1668" spans="1:9" ht="202.5" customHeight="1" x14ac:dyDescent="0.25">
      <c r="A1668" s="2" t="s">
        <v>422</v>
      </c>
      <c r="B1668" s="2" t="s">
        <v>6776</v>
      </c>
      <c r="C1668" s="2" t="s">
        <v>4736</v>
      </c>
      <c r="D1668" s="2" t="s">
        <v>7153</v>
      </c>
      <c r="E1668" s="2" t="s">
        <v>7154</v>
      </c>
      <c r="F1668" s="2">
        <v>7</v>
      </c>
      <c r="G1668" s="2" t="s">
        <v>7155</v>
      </c>
      <c r="H1668" s="2">
        <v>1.24E-2</v>
      </c>
      <c r="I1668" s="2">
        <v>8.6800000000000002E-2</v>
      </c>
    </row>
    <row r="1669" spans="1:9" ht="202.5" customHeight="1" x14ac:dyDescent="0.25">
      <c r="A1669" s="3" t="s">
        <v>422</v>
      </c>
      <c r="B1669" s="3" t="s">
        <v>6776</v>
      </c>
      <c r="C1669" s="3" t="s">
        <v>4736</v>
      </c>
      <c r="D1669" s="3" t="s">
        <v>7156</v>
      </c>
      <c r="E1669" s="3" t="s">
        <v>7157</v>
      </c>
      <c r="F1669" s="3">
        <v>1</v>
      </c>
      <c r="G1669" s="3" t="s">
        <v>7158</v>
      </c>
      <c r="H1669" s="3">
        <v>26</v>
      </c>
      <c r="I1669" s="3">
        <v>26</v>
      </c>
    </row>
    <row r="1670" spans="1:9" ht="202.5" customHeight="1" x14ac:dyDescent="0.25">
      <c r="A1670" s="2" t="s">
        <v>422</v>
      </c>
      <c r="B1670" s="2" t="s">
        <v>6776</v>
      </c>
      <c r="C1670" s="2" t="s">
        <v>4736</v>
      </c>
      <c r="D1670" s="2" t="s">
        <v>7159</v>
      </c>
      <c r="E1670" s="2" t="s">
        <v>7160</v>
      </c>
      <c r="F1670" s="2">
        <v>20</v>
      </c>
      <c r="G1670" s="2" t="s">
        <v>7155</v>
      </c>
      <c r="H1670" s="2">
        <v>1.8319999999999999E-2</v>
      </c>
      <c r="I1670" s="2">
        <v>0.3664</v>
      </c>
    </row>
    <row r="1671" spans="1:9" ht="202.5" customHeight="1" x14ac:dyDescent="0.25">
      <c r="A1671" s="3" t="s">
        <v>422</v>
      </c>
      <c r="B1671" s="3" t="s">
        <v>6776</v>
      </c>
      <c r="C1671" s="3" t="s">
        <v>4736</v>
      </c>
      <c r="D1671" s="3" t="s">
        <v>7161</v>
      </c>
      <c r="E1671" s="3" t="s">
        <v>7162</v>
      </c>
      <c r="F1671" s="3">
        <v>0.186</v>
      </c>
      <c r="G1671" s="3" t="s">
        <v>7163</v>
      </c>
      <c r="H1671" s="3" t="s">
        <v>7164</v>
      </c>
      <c r="I1671" s="3">
        <v>0.186</v>
      </c>
    </row>
    <row r="1672" spans="1:9" ht="202.5" customHeight="1" x14ac:dyDescent="0.25">
      <c r="A1672" s="2" t="s">
        <v>422</v>
      </c>
      <c r="B1672" s="2" t="s">
        <v>6776</v>
      </c>
      <c r="C1672" s="2" t="s">
        <v>4736</v>
      </c>
      <c r="D1672" s="2" t="s">
        <v>7207</v>
      </c>
      <c r="E1672" s="2" t="s">
        <v>7208</v>
      </c>
      <c r="F1672" s="2">
        <v>2.8879999999999999</v>
      </c>
      <c r="G1672" s="2" t="s">
        <v>7163</v>
      </c>
      <c r="H1672" s="2" t="s">
        <v>7164</v>
      </c>
      <c r="I1672" s="2">
        <v>2.8879999999999999</v>
      </c>
    </row>
    <row r="1673" spans="1:9" ht="202.5" customHeight="1" x14ac:dyDescent="0.25">
      <c r="A1673" s="3" t="s">
        <v>422</v>
      </c>
      <c r="B1673" s="3" t="s">
        <v>6776</v>
      </c>
      <c r="C1673" s="3" t="s">
        <v>4736</v>
      </c>
      <c r="D1673" s="3" t="s">
        <v>7165</v>
      </c>
      <c r="E1673" s="3" t="s">
        <v>7166</v>
      </c>
      <c r="F1673" s="3">
        <v>2</v>
      </c>
      <c r="G1673" s="3" t="s">
        <v>7158</v>
      </c>
      <c r="H1673" s="3">
        <v>0.1</v>
      </c>
      <c r="I1673" s="3">
        <v>0.2</v>
      </c>
    </row>
    <row r="1674" spans="1:9" ht="202.5" customHeight="1" x14ac:dyDescent="0.25">
      <c r="A1674" s="2" t="s">
        <v>422</v>
      </c>
      <c r="B1674" s="2" t="s">
        <v>6776</v>
      </c>
      <c r="C1674" s="2" t="s">
        <v>4736</v>
      </c>
      <c r="D1674" s="2" t="s">
        <v>7167</v>
      </c>
      <c r="E1674" s="2" t="s">
        <v>7168</v>
      </c>
      <c r="F1674" s="2">
        <v>5</v>
      </c>
      <c r="G1674" s="2" t="s">
        <v>7158</v>
      </c>
      <c r="H1674" s="2">
        <v>0.2</v>
      </c>
      <c r="I1674" s="2">
        <v>1</v>
      </c>
    </row>
    <row r="1675" spans="1:9" ht="33.75" customHeight="1" x14ac:dyDescent="0.25">
      <c r="A1675" s="3" t="s">
        <v>214</v>
      </c>
      <c r="B1675" s="3" t="s">
        <v>6784</v>
      </c>
      <c r="C1675" s="3" t="s">
        <v>4681</v>
      </c>
      <c r="D1675" s="3" t="s">
        <v>7153</v>
      </c>
      <c r="E1675" s="3" t="s">
        <v>7154</v>
      </c>
      <c r="F1675" s="3">
        <v>7</v>
      </c>
      <c r="G1675" s="3" t="s">
        <v>7155</v>
      </c>
      <c r="H1675" s="3">
        <v>1.24E-2</v>
      </c>
      <c r="I1675" s="3">
        <v>8.6800000000000002E-2</v>
      </c>
    </row>
    <row r="1676" spans="1:9" ht="33.75" customHeight="1" x14ac:dyDescent="0.25">
      <c r="A1676" s="2" t="s">
        <v>214</v>
      </c>
      <c r="B1676" s="2" t="s">
        <v>6784</v>
      </c>
      <c r="C1676" s="2" t="s">
        <v>4681</v>
      </c>
      <c r="D1676" s="2" t="s">
        <v>7156</v>
      </c>
      <c r="E1676" s="2" t="s">
        <v>7157</v>
      </c>
      <c r="F1676" s="2">
        <v>1</v>
      </c>
      <c r="G1676" s="2" t="s">
        <v>7158</v>
      </c>
      <c r="H1676" s="2">
        <v>26</v>
      </c>
      <c r="I1676" s="2">
        <v>26</v>
      </c>
    </row>
    <row r="1677" spans="1:9" ht="33.75" customHeight="1" x14ac:dyDescent="0.25">
      <c r="A1677" s="3" t="s">
        <v>214</v>
      </c>
      <c r="B1677" s="3" t="s">
        <v>6784</v>
      </c>
      <c r="C1677" s="3" t="s">
        <v>4681</v>
      </c>
      <c r="D1677" s="3" t="s">
        <v>7159</v>
      </c>
      <c r="E1677" s="3" t="s">
        <v>7160</v>
      </c>
      <c r="F1677" s="3">
        <v>20</v>
      </c>
      <c r="G1677" s="3" t="s">
        <v>7155</v>
      </c>
      <c r="H1677" s="3">
        <v>1.8319999999999999E-2</v>
      </c>
      <c r="I1677" s="3">
        <v>0.3664</v>
      </c>
    </row>
    <row r="1678" spans="1:9" ht="33.75" customHeight="1" x14ac:dyDescent="0.25">
      <c r="A1678" s="2" t="s">
        <v>214</v>
      </c>
      <c r="B1678" s="2" t="s">
        <v>6784</v>
      </c>
      <c r="C1678" s="2" t="s">
        <v>4681</v>
      </c>
      <c r="D1678" s="2" t="s">
        <v>7161</v>
      </c>
      <c r="E1678" s="2" t="s">
        <v>7162</v>
      </c>
      <c r="F1678" s="2">
        <v>0.186</v>
      </c>
      <c r="G1678" s="2" t="s">
        <v>7163</v>
      </c>
      <c r="H1678" s="2" t="s">
        <v>7164</v>
      </c>
      <c r="I1678" s="2">
        <v>0.186</v>
      </c>
    </row>
    <row r="1679" spans="1:9" ht="33.75" customHeight="1" x14ac:dyDescent="0.25">
      <c r="A1679" s="3" t="s">
        <v>214</v>
      </c>
      <c r="B1679" s="3" t="s">
        <v>6784</v>
      </c>
      <c r="C1679" s="3" t="s">
        <v>4681</v>
      </c>
      <c r="D1679" s="3" t="s">
        <v>7165</v>
      </c>
      <c r="E1679" s="3" t="s">
        <v>7166</v>
      </c>
      <c r="F1679" s="3">
        <v>2</v>
      </c>
      <c r="G1679" s="3" t="s">
        <v>7158</v>
      </c>
      <c r="H1679" s="3">
        <v>0.1</v>
      </c>
      <c r="I1679" s="3">
        <v>0.2</v>
      </c>
    </row>
    <row r="1680" spans="1:9" ht="33.75" customHeight="1" x14ac:dyDescent="0.25">
      <c r="A1680" s="2" t="s">
        <v>214</v>
      </c>
      <c r="B1680" s="2" t="s">
        <v>6784</v>
      </c>
      <c r="C1680" s="2" t="s">
        <v>4681</v>
      </c>
      <c r="D1680" s="2" t="s">
        <v>7167</v>
      </c>
      <c r="E1680" s="2" t="s">
        <v>7168</v>
      </c>
      <c r="F1680" s="2">
        <v>5</v>
      </c>
      <c r="G1680" s="2" t="s">
        <v>7158</v>
      </c>
      <c r="H1680" s="2">
        <v>0.2</v>
      </c>
      <c r="I1680" s="2">
        <v>1</v>
      </c>
    </row>
    <row r="1681" spans="1:9" ht="33.75" customHeight="1" x14ac:dyDescent="0.25">
      <c r="A1681" s="3" t="s">
        <v>1928</v>
      </c>
      <c r="B1681" s="3" t="s">
        <v>6792</v>
      </c>
      <c r="C1681" s="3" t="s">
        <v>4874</v>
      </c>
      <c r="D1681" s="3" t="s">
        <v>7156</v>
      </c>
      <c r="E1681" s="3"/>
      <c r="F1681" s="3">
        <v>1</v>
      </c>
      <c r="G1681" s="3" t="s">
        <v>7158</v>
      </c>
      <c r="H1681" s="3">
        <v>26</v>
      </c>
      <c r="I1681" s="3">
        <v>26</v>
      </c>
    </row>
    <row r="1682" spans="1:9" ht="33.75" customHeight="1" x14ac:dyDescent="0.25">
      <c r="A1682" s="2" t="s">
        <v>1928</v>
      </c>
      <c r="B1682" s="2" t="s">
        <v>6792</v>
      </c>
      <c r="C1682" s="2" t="s">
        <v>4874</v>
      </c>
      <c r="D1682" s="2" t="s">
        <v>7159</v>
      </c>
      <c r="E1682" s="2"/>
      <c r="F1682" s="2">
        <v>20</v>
      </c>
      <c r="G1682" s="2" t="s">
        <v>7155</v>
      </c>
      <c r="H1682" s="2">
        <v>1.8319999999999999E-2</v>
      </c>
      <c r="I1682" s="2">
        <v>0.3664</v>
      </c>
    </row>
    <row r="1683" spans="1:9" ht="33.75" customHeight="1" x14ac:dyDescent="0.25">
      <c r="A1683" s="3" t="s">
        <v>1928</v>
      </c>
      <c r="B1683" s="3" t="s">
        <v>6792</v>
      </c>
      <c r="C1683" s="3" t="s">
        <v>4874</v>
      </c>
      <c r="D1683" s="3" t="s">
        <v>7161</v>
      </c>
      <c r="E1683" s="3"/>
      <c r="F1683" s="3">
        <v>0.186</v>
      </c>
      <c r="G1683" s="3" t="s">
        <v>7163</v>
      </c>
      <c r="H1683" s="3">
        <v>0</v>
      </c>
      <c r="I1683" s="3">
        <v>0</v>
      </c>
    </row>
    <row r="1684" spans="1:9" ht="33.75" customHeight="1" x14ac:dyDescent="0.25">
      <c r="A1684" s="2" t="s">
        <v>1928</v>
      </c>
      <c r="B1684" s="2" t="s">
        <v>6792</v>
      </c>
      <c r="C1684" s="2" t="s">
        <v>4874</v>
      </c>
      <c r="D1684" s="2" t="s">
        <v>7207</v>
      </c>
      <c r="E1684" s="2"/>
      <c r="F1684" s="2">
        <v>2.8879999999999999</v>
      </c>
      <c r="G1684" s="2" t="s">
        <v>7163</v>
      </c>
      <c r="H1684" s="2">
        <v>0</v>
      </c>
      <c r="I1684" s="2">
        <v>0</v>
      </c>
    </row>
    <row r="1685" spans="1:9" ht="33.75" customHeight="1" x14ac:dyDescent="0.25">
      <c r="A1685" s="3" t="s">
        <v>1928</v>
      </c>
      <c r="B1685" s="3" t="s">
        <v>6792</v>
      </c>
      <c r="C1685" s="3" t="s">
        <v>4874</v>
      </c>
      <c r="D1685" s="3" t="s">
        <v>7167</v>
      </c>
      <c r="E1685" s="3"/>
      <c r="F1685" s="3">
        <v>5</v>
      </c>
      <c r="G1685" s="3" t="s">
        <v>7158</v>
      </c>
      <c r="H1685" s="3">
        <v>0.2</v>
      </c>
      <c r="I1685" s="3">
        <v>1</v>
      </c>
    </row>
    <row r="1686" spans="1:9" ht="33.75" customHeight="1" x14ac:dyDescent="0.25">
      <c r="A1686" s="2" t="s">
        <v>1928</v>
      </c>
      <c r="B1686" s="2" t="s">
        <v>6792</v>
      </c>
      <c r="C1686" s="2" t="s">
        <v>4874</v>
      </c>
      <c r="D1686" s="2" t="s">
        <v>7202</v>
      </c>
      <c r="E1686" s="2"/>
      <c r="F1686" s="2">
        <v>76</v>
      </c>
      <c r="G1686" s="2" t="s">
        <v>7158</v>
      </c>
      <c r="H1686" s="2">
        <v>1.08E-3</v>
      </c>
      <c r="I1686" s="2">
        <v>8.208E-2</v>
      </c>
    </row>
    <row r="1687" spans="1:9" ht="33.75" customHeight="1" x14ac:dyDescent="0.25">
      <c r="A1687" s="3" t="s">
        <v>1928</v>
      </c>
      <c r="B1687" s="3" t="s">
        <v>6792</v>
      </c>
      <c r="C1687" s="3" t="s">
        <v>4874</v>
      </c>
      <c r="D1687" s="3" t="s">
        <v>7179</v>
      </c>
      <c r="E1687" s="3"/>
      <c r="F1687" s="3">
        <v>76</v>
      </c>
      <c r="G1687" s="3" t="s">
        <v>7158</v>
      </c>
      <c r="H1687" s="3">
        <v>1.08E-3</v>
      </c>
      <c r="I1687" s="3">
        <v>8.208E-2</v>
      </c>
    </row>
    <row r="1688" spans="1:9" x14ac:dyDescent="0.25">
      <c r="A1688" s="2" t="s">
        <v>2288</v>
      </c>
      <c r="B1688" s="2" t="s">
        <v>2287</v>
      </c>
      <c r="C1688" s="2" t="s">
        <v>4874</v>
      </c>
      <c r="D1688" s="2" t="s">
        <v>7156</v>
      </c>
      <c r="E1688" s="2"/>
      <c r="F1688" s="2">
        <v>1</v>
      </c>
      <c r="G1688" s="2" t="s">
        <v>7158</v>
      </c>
      <c r="H1688" s="2">
        <v>26</v>
      </c>
      <c r="I1688" s="2">
        <v>26</v>
      </c>
    </row>
    <row r="1689" spans="1:9" x14ac:dyDescent="0.25">
      <c r="A1689" s="3" t="s">
        <v>2288</v>
      </c>
      <c r="B1689" s="3" t="s">
        <v>2287</v>
      </c>
      <c r="C1689" s="3" t="s">
        <v>4874</v>
      </c>
      <c r="D1689" s="3" t="s">
        <v>7159</v>
      </c>
      <c r="E1689" s="3"/>
      <c r="F1689" s="3">
        <v>20</v>
      </c>
      <c r="G1689" s="3" t="s">
        <v>7155</v>
      </c>
      <c r="H1689" s="3">
        <v>1.8319999999999999E-2</v>
      </c>
      <c r="I1689" s="3">
        <v>0.3664</v>
      </c>
    </row>
    <row r="1690" spans="1:9" x14ac:dyDescent="0.25">
      <c r="A1690" s="2" t="s">
        <v>2288</v>
      </c>
      <c r="B1690" s="2" t="s">
        <v>2287</v>
      </c>
      <c r="C1690" s="2" t="s">
        <v>4874</v>
      </c>
      <c r="D1690" s="2" t="s">
        <v>7161</v>
      </c>
      <c r="E1690" s="2"/>
      <c r="F1690" s="2">
        <v>0.186</v>
      </c>
      <c r="G1690" s="2" t="s">
        <v>7163</v>
      </c>
      <c r="H1690" s="2">
        <v>0</v>
      </c>
      <c r="I1690" s="2">
        <v>0</v>
      </c>
    </row>
    <row r="1691" spans="1:9" x14ac:dyDescent="0.25">
      <c r="A1691" s="3" t="s">
        <v>2288</v>
      </c>
      <c r="B1691" s="3" t="s">
        <v>2287</v>
      </c>
      <c r="C1691" s="3" t="s">
        <v>4874</v>
      </c>
      <c r="D1691" s="3" t="s">
        <v>7207</v>
      </c>
      <c r="E1691" s="3"/>
      <c r="F1691" s="3">
        <v>2.8879999999999999</v>
      </c>
      <c r="G1691" s="3" t="s">
        <v>7163</v>
      </c>
      <c r="H1691" s="3">
        <v>0</v>
      </c>
      <c r="I1691" s="3">
        <v>0</v>
      </c>
    </row>
    <row r="1692" spans="1:9" x14ac:dyDescent="0.25">
      <c r="A1692" s="2" t="s">
        <v>2288</v>
      </c>
      <c r="B1692" s="2" t="s">
        <v>2287</v>
      </c>
      <c r="C1692" s="2" t="s">
        <v>4874</v>
      </c>
      <c r="D1692" s="2" t="s">
        <v>7167</v>
      </c>
      <c r="E1692" s="2"/>
      <c r="F1692" s="2">
        <v>5</v>
      </c>
      <c r="G1692" s="2" t="s">
        <v>7158</v>
      </c>
      <c r="H1692" s="2">
        <v>0.2</v>
      </c>
      <c r="I1692" s="2">
        <v>1</v>
      </c>
    </row>
    <row r="1693" spans="1:9" x14ac:dyDescent="0.25">
      <c r="A1693" s="3" t="s">
        <v>2288</v>
      </c>
      <c r="B1693" s="3" t="s">
        <v>2287</v>
      </c>
      <c r="C1693" s="3" t="s">
        <v>4874</v>
      </c>
      <c r="D1693" s="3" t="s">
        <v>7231</v>
      </c>
      <c r="E1693" s="3"/>
      <c r="F1693" s="3">
        <v>76</v>
      </c>
      <c r="G1693" s="3" t="s">
        <v>7158</v>
      </c>
      <c r="H1693" s="3">
        <v>8.0000000000000002E-3</v>
      </c>
      <c r="I1693" s="3">
        <v>0.60799999999999998</v>
      </c>
    </row>
    <row r="1694" spans="1:9" x14ac:dyDescent="0.25">
      <c r="A1694" s="2" t="s">
        <v>2288</v>
      </c>
      <c r="B1694" s="2" t="s">
        <v>2287</v>
      </c>
      <c r="C1694" s="2" t="s">
        <v>4874</v>
      </c>
      <c r="D1694" s="2" t="s">
        <v>7232</v>
      </c>
      <c r="E1694" s="2"/>
      <c r="F1694" s="2">
        <v>76</v>
      </c>
      <c r="G1694" s="2" t="s">
        <v>7158</v>
      </c>
      <c r="H1694" s="2">
        <v>8.0000000000000002E-3</v>
      </c>
      <c r="I1694" s="2">
        <v>0.60799999999999998</v>
      </c>
    </row>
    <row r="1695" spans="1:9" x14ac:dyDescent="0.25">
      <c r="A1695" s="3" t="s">
        <v>1944</v>
      </c>
      <c r="B1695" s="3" t="s">
        <v>6804</v>
      </c>
      <c r="C1695" s="3" t="s">
        <v>4874</v>
      </c>
      <c r="D1695" s="3" t="s">
        <v>7156</v>
      </c>
      <c r="E1695" s="3"/>
      <c r="F1695" s="3">
        <v>1</v>
      </c>
      <c r="G1695" s="3" t="s">
        <v>7158</v>
      </c>
      <c r="H1695" s="3">
        <v>26</v>
      </c>
      <c r="I1695" s="3">
        <v>26</v>
      </c>
    </row>
    <row r="1696" spans="1:9" x14ac:dyDescent="0.25">
      <c r="A1696" s="2" t="s">
        <v>1944</v>
      </c>
      <c r="B1696" s="2" t="s">
        <v>6804</v>
      </c>
      <c r="C1696" s="2" t="s">
        <v>4874</v>
      </c>
      <c r="D1696" s="2" t="s">
        <v>7159</v>
      </c>
      <c r="E1696" s="2"/>
      <c r="F1696" s="2">
        <v>20</v>
      </c>
      <c r="G1696" s="2" t="s">
        <v>7155</v>
      </c>
      <c r="H1696" s="2">
        <v>1.8319999999999999E-2</v>
      </c>
      <c r="I1696" s="2">
        <v>0.3664</v>
      </c>
    </row>
    <row r="1697" spans="1:9" x14ac:dyDescent="0.25">
      <c r="A1697" s="3" t="s">
        <v>1944</v>
      </c>
      <c r="B1697" s="3" t="s">
        <v>6804</v>
      </c>
      <c r="C1697" s="3" t="s">
        <v>4874</v>
      </c>
      <c r="D1697" s="3" t="s">
        <v>7161</v>
      </c>
      <c r="E1697" s="3"/>
      <c r="F1697" s="3">
        <v>0.186</v>
      </c>
      <c r="G1697" s="3" t="s">
        <v>7163</v>
      </c>
      <c r="H1697" s="3">
        <v>0</v>
      </c>
      <c r="I1697" s="3">
        <v>0</v>
      </c>
    </row>
    <row r="1698" spans="1:9" x14ac:dyDescent="0.25">
      <c r="A1698" s="2" t="s">
        <v>1944</v>
      </c>
      <c r="B1698" s="2" t="s">
        <v>6804</v>
      </c>
      <c r="C1698" s="2" t="s">
        <v>4874</v>
      </c>
      <c r="D1698" s="2" t="s">
        <v>7207</v>
      </c>
      <c r="E1698" s="2"/>
      <c r="F1698" s="2">
        <v>2.8879999999999999</v>
      </c>
      <c r="G1698" s="2" t="s">
        <v>7163</v>
      </c>
      <c r="H1698" s="2">
        <v>0</v>
      </c>
      <c r="I1698" s="2">
        <v>0</v>
      </c>
    </row>
    <row r="1699" spans="1:9" x14ac:dyDescent="0.25">
      <c r="A1699" s="3" t="s">
        <v>1944</v>
      </c>
      <c r="B1699" s="3" t="s">
        <v>6804</v>
      </c>
      <c r="C1699" s="3" t="s">
        <v>4874</v>
      </c>
      <c r="D1699" s="3" t="s">
        <v>7167</v>
      </c>
      <c r="E1699" s="3"/>
      <c r="F1699" s="3">
        <v>5</v>
      </c>
      <c r="G1699" s="3" t="s">
        <v>7158</v>
      </c>
      <c r="H1699" s="3">
        <v>0.2</v>
      </c>
      <c r="I1699" s="3">
        <v>1</v>
      </c>
    </row>
    <row r="1700" spans="1:9" x14ac:dyDescent="0.25">
      <c r="A1700" s="2" t="s">
        <v>1944</v>
      </c>
      <c r="B1700" s="2" t="s">
        <v>6804</v>
      </c>
      <c r="C1700" s="2" t="s">
        <v>4874</v>
      </c>
      <c r="D1700" s="2" t="s">
        <v>7260</v>
      </c>
      <c r="E1700" s="2"/>
      <c r="F1700" s="2">
        <v>76</v>
      </c>
      <c r="G1700" s="2" t="s">
        <v>7158</v>
      </c>
      <c r="H1700" s="2">
        <v>8.0000000000000002E-3</v>
      </c>
      <c r="I1700" s="2">
        <v>0.60799999999999998</v>
      </c>
    </row>
    <row r="1701" spans="1:9" x14ac:dyDescent="0.25">
      <c r="A1701" s="3" t="s">
        <v>1944</v>
      </c>
      <c r="B1701" s="3" t="s">
        <v>6804</v>
      </c>
      <c r="C1701" s="3" t="s">
        <v>4874</v>
      </c>
      <c r="D1701" s="3" t="s">
        <v>7261</v>
      </c>
      <c r="E1701" s="3"/>
      <c r="F1701" s="3">
        <v>76</v>
      </c>
      <c r="G1701" s="3" t="s">
        <v>7158</v>
      </c>
      <c r="H1701" s="3">
        <v>8.0000000000000002E-3</v>
      </c>
      <c r="I1701" s="3">
        <v>0.60799999999999998</v>
      </c>
    </row>
    <row r="1702" spans="1:9" x14ac:dyDescent="0.25">
      <c r="A1702" s="2" t="s">
        <v>2300</v>
      </c>
      <c r="B1702" s="2" t="s">
        <v>2299</v>
      </c>
      <c r="C1702" s="2" t="s">
        <v>4874</v>
      </c>
      <c r="D1702" s="2" t="s">
        <v>7156</v>
      </c>
      <c r="E1702" s="2"/>
      <c r="F1702" s="2">
        <v>1</v>
      </c>
      <c r="G1702" s="2" t="s">
        <v>7158</v>
      </c>
      <c r="H1702" s="2">
        <v>26</v>
      </c>
      <c r="I1702" s="2">
        <v>26</v>
      </c>
    </row>
    <row r="1703" spans="1:9" x14ac:dyDescent="0.25">
      <c r="A1703" s="3" t="s">
        <v>2300</v>
      </c>
      <c r="B1703" s="3" t="s">
        <v>2299</v>
      </c>
      <c r="C1703" s="3" t="s">
        <v>4874</v>
      </c>
      <c r="D1703" s="3" t="s">
        <v>7159</v>
      </c>
      <c r="E1703" s="3"/>
      <c r="F1703" s="3">
        <v>20</v>
      </c>
      <c r="G1703" s="3" t="s">
        <v>7155</v>
      </c>
      <c r="H1703" s="3">
        <v>1.8319999999999999E-2</v>
      </c>
      <c r="I1703" s="3">
        <v>0.3664</v>
      </c>
    </row>
    <row r="1704" spans="1:9" x14ac:dyDescent="0.25">
      <c r="A1704" s="2" t="s">
        <v>2300</v>
      </c>
      <c r="B1704" s="2" t="s">
        <v>2299</v>
      </c>
      <c r="C1704" s="2" t="s">
        <v>4874</v>
      </c>
      <c r="D1704" s="2" t="s">
        <v>7161</v>
      </c>
      <c r="E1704" s="2"/>
      <c r="F1704" s="2">
        <v>0.186</v>
      </c>
      <c r="G1704" s="2" t="s">
        <v>7163</v>
      </c>
      <c r="H1704" s="2">
        <v>0</v>
      </c>
      <c r="I1704" s="2">
        <v>0</v>
      </c>
    </row>
    <row r="1705" spans="1:9" x14ac:dyDescent="0.25">
      <c r="A1705" s="3" t="s">
        <v>2300</v>
      </c>
      <c r="B1705" s="3" t="s">
        <v>2299</v>
      </c>
      <c r="C1705" s="3" t="s">
        <v>4874</v>
      </c>
      <c r="D1705" s="3" t="s">
        <v>7207</v>
      </c>
      <c r="E1705" s="3"/>
      <c r="F1705" s="3">
        <v>2.8879999999999999</v>
      </c>
      <c r="G1705" s="3" t="s">
        <v>7163</v>
      </c>
      <c r="H1705" s="3">
        <v>0</v>
      </c>
      <c r="I1705" s="3">
        <v>0</v>
      </c>
    </row>
    <row r="1706" spans="1:9" x14ac:dyDescent="0.25">
      <c r="A1706" s="2" t="s">
        <v>2300</v>
      </c>
      <c r="B1706" s="2" t="s">
        <v>2299</v>
      </c>
      <c r="C1706" s="2" t="s">
        <v>4874</v>
      </c>
      <c r="D1706" s="2" t="s">
        <v>7167</v>
      </c>
      <c r="E1706" s="2"/>
      <c r="F1706" s="2">
        <v>5</v>
      </c>
      <c r="G1706" s="2" t="s">
        <v>7158</v>
      </c>
      <c r="H1706" s="2">
        <v>0.2</v>
      </c>
      <c r="I1706" s="2">
        <v>1</v>
      </c>
    </row>
    <row r="1707" spans="1:9" x14ac:dyDescent="0.25">
      <c r="A1707" s="3" t="s">
        <v>2300</v>
      </c>
      <c r="B1707" s="3" t="s">
        <v>2299</v>
      </c>
      <c r="C1707" s="3" t="s">
        <v>4874</v>
      </c>
      <c r="D1707" s="3" t="s">
        <v>7326</v>
      </c>
      <c r="E1707" s="3"/>
      <c r="F1707" s="3">
        <v>76</v>
      </c>
      <c r="G1707" s="3" t="s">
        <v>7158</v>
      </c>
      <c r="H1707" s="3">
        <v>8.0000000000000002E-3</v>
      </c>
      <c r="I1707" s="3">
        <v>0.60799999999999998</v>
      </c>
    </row>
    <row r="1708" spans="1:9" x14ac:dyDescent="0.25">
      <c r="A1708" s="2" t="s">
        <v>2300</v>
      </c>
      <c r="B1708" s="2" t="s">
        <v>2299</v>
      </c>
      <c r="C1708" s="2" t="s">
        <v>4874</v>
      </c>
      <c r="D1708" s="2" t="s">
        <v>7327</v>
      </c>
      <c r="E1708" s="2"/>
      <c r="F1708" s="2">
        <v>76</v>
      </c>
      <c r="G1708" s="2" t="s">
        <v>7158</v>
      </c>
      <c r="H1708" s="2">
        <v>8.0000000000000002E-3</v>
      </c>
      <c r="I1708" s="2">
        <v>0.60799999999999998</v>
      </c>
    </row>
    <row r="1709" spans="1:9" ht="22.5" customHeight="1" x14ac:dyDescent="0.25">
      <c r="A1709" s="3" t="s">
        <v>3168</v>
      </c>
      <c r="B1709" s="3" t="s">
        <v>3167</v>
      </c>
      <c r="C1709" s="3" t="s">
        <v>4963</v>
      </c>
      <c r="D1709" s="3" t="s">
        <v>7153</v>
      </c>
      <c r="E1709" s="3" t="s">
        <v>7154</v>
      </c>
      <c r="F1709" s="3">
        <v>14</v>
      </c>
      <c r="G1709" s="3" t="s">
        <v>7155</v>
      </c>
      <c r="H1709" s="3">
        <v>1.24E-2</v>
      </c>
      <c r="I1709" s="3">
        <v>0.1736</v>
      </c>
    </row>
    <row r="1710" spans="1:9" ht="22.5" customHeight="1" x14ac:dyDescent="0.25">
      <c r="A1710" s="2" t="s">
        <v>3168</v>
      </c>
      <c r="B1710" s="2" t="s">
        <v>3167</v>
      </c>
      <c r="C1710" s="2" t="s">
        <v>4963</v>
      </c>
      <c r="D1710" s="2" t="s">
        <v>7156</v>
      </c>
      <c r="E1710" s="2" t="s">
        <v>7157</v>
      </c>
      <c r="F1710" s="2">
        <v>1</v>
      </c>
      <c r="G1710" s="2" t="s">
        <v>7158</v>
      </c>
      <c r="H1710" s="2">
        <v>26</v>
      </c>
      <c r="I1710" s="2">
        <v>26</v>
      </c>
    </row>
    <row r="1711" spans="1:9" ht="22.5" customHeight="1" x14ac:dyDescent="0.25">
      <c r="A1711" s="3" t="s">
        <v>3168</v>
      </c>
      <c r="B1711" s="3" t="s">
        <v>3167</v>
      </c>
      <c r="C1711" s="3" t="s">
        <v>4963</v>
      </c>
      <c r="D1711" s="3" t="s">
        <v>7159</v>
      </c>
      <c r="E1711" s="3" t="s">
        <v>7160</v>
      </c>
      <c r="F1711" s="3">
        <v>20</v>
      </c>
      <c r="G1711" s="3" t="s">
        <v>7155</v>
      </c>
      <c r="H1711" s="3">
        <v>1.8319999999999999E-2</v>
      </c>
      <c r="I1711" s="3">
        <v>0.3664</v>
      </c>
    </row>
    <row r="1712" spans="1:9" ht="22.5" customHeight="1" x14ac:dyDescent="0.25">
      <c r="A1712" s="2" t="s">
        <v>3168</v>
      </c>
      <c r="B1712" s="2" t="s">
        <v>3167</v>
      </c>
      <c r="C1712" s="2" t="s">
        <v>4963</v>
      </c>
      <c r="D1712" s="2" t="s">
        <v>7161</v>
      </c>
      <c r="E1712" s="2" t="s">
        <v>7162</v>
      </c>
      <c r="F1712" s="2">
        <v>0.186</v>
      </c>
      <c r="G1712" s="2" t="s">
        <v>7163</v>
      </c>
      <c r="H1712" s="2" t="s">
        <v>7164</v>
      </c>
      <c r="I1712" s="2">
        <v>0.186</v>
      </c>
    </row>
    <row r="1713" spans="1:9" ht="33.75" customHeight="1" x14ac:dyDescent="0.25">
      <c r="A1713" s="3" t="s">
        <v>3168</v>
      </c>
      <c r="B1713" s="3" t="s">
        <v>3167</v>
      </c>
      <c r="C1713" s="3" t="s">
        <v>4963</v>
      </c>
      <c r="D1713" s="3" t="s">
        <v>7212</v>
      </c>
      <c r="E1713" s="3" t="s">
        <v>7213</v>
      </c>
      <c r="F1713" s="3">
        <v>8</v>
      </c>
      <c r="G1713" s="3" t="s">
        <v>7158</v>
      </c>
      <c r="H1713" s="3">
        <v>0.21</v>
      </c>
      <c r="I1713" s="3">
        <v>1.68</v>
      </c>
    </row>
    <row r="1714" spans="1:9" ht="33.75" customHeight="1" x14ac:dyDescent="0.25">
      <c r="A1714" s="2" t="s">
        <v>3168</v>
      </c>
      <c r="B1714" s="2" t="s">
        <v>3167</v>
      </c>
      <c r="C1714" s="2" t="s">
        <v>4963</v>
      </c>
      <c r="D1714" s="2" t="s">
        <v>7167</v>
      </c>
      <c r="E1714" s="2" t="s">
        <v>7168</v>
      </c>
      <c r="F1714" s="2">
        <v>5</v>
      </c>
      <c r="G1714" s="2" t="s">
        <v>7158</v>
      </c>
      <c r="H1714" s="2">
        <v>0.2</v>
      </c>
      <c r="I1714" s="2">
        <v>1</v>
      </c>
    </row>
    <row r="1715" spans="1:9" ht="33.75" customHeight="1" x14ac:dyDescent="0.25">
      <c r="A1715" s="3" t="s">
        <v>3168</v>
      </c>
      <c r="B1715" s="3" t="s">
        <v>3167</v>
      </c>
      <c r="C1715" s="3" t="s">
        <v>4963</v>
      </c>
      <c r="D1715" s="3" t="s">
        <v>7328</v>
      </c>
      <c r="E1715" s="3" t="s">
        <v>7329</v>
      </c>
      <c r="F1715" s="3">
        <v>80</v>
      </c>
      <c r="G1715" s="3" t="s">
        <v>7158</v>
      </c>
      <c r="H1715" s="3">
        <v>0.24</v>
      </c>
      <c r="I1715" s="3">
        <v>19.2</v>
      </c>
    </row>
    <row r="1716" spans="1:9" ht="22.5" customHeight="1" x14ac:dyDescent="0.25">
      <c r="A1716" s="2" t="s">
        <v>2282</v>
      </c>
      <c r="B1716" s="2" t="s">
        <v>2281</v>
      </c>
      <c r="C1716" s="2" t="s">
        <v>4900</v>
      </c>
      <c r="D1716" s="2" t="s">
        <v>7153</v>
      </c>
      <c r="E1716" s="2" t="s">
        <v>7154</v>
      </c>
      <c r="F1716" s="2">
        <v>14</v>
      </c>
      <c r="G1716" s="2" t="s">
        <v>7155</v>
      </c>
      <c r="H1716" s="2">
        <v>1.24E-2</v>
      </c>
      <c r="I1716" s="2">
        <v>0.1736</v>
      </c>
    </row>
    <row r="1717" spans="1:9" ht="22.5" customHeight="1" x14ac:dyDescent="0.25">
      <c r="A1717" s="3" t="s">
        <v>2282</v>
      </c>
      <c r="B1717" s="3" t="s">
        <v>2281</v>
      </c>
      <c r="C1717" s="3" t="s">
        <v>4900</v>
      </c>
      <c r="D1717" s="3" t="s">
        <v>7156</v>
      </c>
      <c r="E1717" s="3" t="s">
        <v>7157</v>
      </c>
      <c r="F1717" s="3">
        <v>1</v>
      </c>
      <c r="G1717" s="3" t="s">
        <v>7158</v>
      </c>
      <c r="H1717" s="3">
        <v>26</v>
      </c>
      <c r="I1717" s="3">
        <v>26</v>
      </c>
    </row>
    <row r="1718" spans="1:9" ht="22.5" customHeight="1" x14ac:dyDescent="0.25">
      <c r="A1718" s="2" t="s">
        <v>2282</v>
      </c>
      <c r="B1718" s="2" t="s">
        <v>2281</v>
      </c>
      <c r="C1718" s="2" t="s">
        <v>4900</v>
      </c>
      <c r="D1718" s="2" t="s">
        <v>7159</v>
      </c>
      <c r="E1718" s="2" t="s">
        <v>7160</v>
      </c>
      <c r="F1718" s="2">
        <v>20</v>
      </c>
      <c r="G1718" s="2" t="s">
        <v>7155</v>
      </c>
      <c r="H1718" s="2">
        <v>1.8319999999999999E-2</v>
      </c>
      <c r="I1718" s="2">
        <v>0.3664</v>
      </c>
    </row>
    <row r="1719" spans="1:9" ht="22.5" customHeight="1" x14ac:dyDescent="0.25">
      <c r="A1719" s="3" t="s">
        <v>2282</v>
      </c>
      <c r="B1719" s="3" t="s">
        <v>2281</v>
      </c>
      <c r="C1719" s="3" t="s">
        <v>4900</v>
      </c>
      <c r="D1719" s="3" t="s">
        <v>7161</v>
      </c>
      <c r="E1719" s="3" t="s">
        <v>7162</v>
      </c>
      <c r="F1719" s="3">
        <v>0.186</v>
      </c>
      <c r="G1719" s="3" t="s">
        <v>7163</v>
      </c>
      <c r="H1719" s="3" t="s">
        <v>7164</v>
      </c>
      <c r="I1719" s="3">
        <v>0.186</v>
      </c>
    </row>
    <row r="1720" spans="1:9" ht="33.75" customHeight="1" x14ac:dyDescent="0.25">
      <c r="A1720" s="2" t="s">
        <v>2282</v>
      </c>
      <c r="B1720" s="2" t="s">
        <v>2281</v>
      </c>
      <c r="C1720" s="2" t="s">
        <v>4900</v>
      </c>
      <c r="D1720" s="2" t="s">
        <v>7165</v>
      </c>
      <c r="E1720" s="2" t="s">
        <v>7166</v>
      </c>
      <c r="F1720" s="2">
        <v>4</v>
      </c>
      <c r="G1720" s="2" t="s">
        <v>7158</v>
      </c>
      <c r="H1720" s="2">
        <v>0.1</v>
      </c>
      <c r="I1720" s="2">
        <v>0.4</v>
      </c>
    </row>
    <row r="1721" spans="1:9" ht="33.75" customHeight="1" x14ac:dyDescent="0.25">
      <c r="A1721" s="3" t="s">
        <v>2282</v>
      </c>
      <c r="B1721" s="3" t="s">
        <v>2281</v>
      </c>
      <c r="C1721" s="3" t="s">
        <v>4900</v>
      </c>
      <c r="D1721" s="3" t="s">
        <v>7167</v>
      </c>
      <c r="E1721" s="3" t="s">
        <v>7168</v>
      </c>
      <c r="F1721" s="3">
        <v>1</v>
      </c>
      <c r="G1721" s="3" t="s">
        <v>7158</v>
      </c>
      <c r="H1721" s="3">
        <v>0.2</v>
      </c>
      <c r="I1721" s="3">
        <v>0.2</v>
      </c>
    </row>
    <row r="1722" spans="1:9" ht="22.5" customHeight="1" x14ac:dyDescent="0.25">
      <c r="A1722" s="2" t="s">
        <v>2282</v>
      </c>
      <c r="B1722" s="2" t="s">
        <v>2281</v>
      </c>
      <c r="C1722" s="2" t="s">
        <v>4900</v>
      </c>
      <c r="D1722" s="2" t="s">
        <v>7169</v>
      </c>
      <c r="E1722" s="2" t="s">
        <v>7170</v>
      </c>
      <c r="F1722" s="2">
        <v>3</v>
      </c>
      <c r="G1722" s="2" t="s">
        <v>7158</v>
      </c>
      <c r="H1722" s="2">
        <v>1</v>
      </c>
      <c r="I1722" s="2">
        <v>3</v>
      </c>
    </row>
    <row r="1723" spans="1:9" x14ac:dyDescent="0.25">
      <c r="A1723" s="3" t="s">
        <v>4129</v>
      </c>
      <c r="B1723" s="3" t="s">
        <v>6829</v>
      </c>
      <c r="C1723" s="3" t="s">
        <v>5019</v>
      </c>
      <c r="D1723" s="3" t="s">
        <v>7153</v>
      </c>
      <c r="E1723" s="3"/>
      <c r="F1723" s="3">
        <v>14</v>
      </c>
      <c r="G1723" s="3" t="s">
        <v>7155</v>
      </c>
      <c r="H1723" s="3">
        <v>1.24E-2</v>
      </c>
      <c r="I1723" s="3">
        <v>0.1736</v>
      </c>
    </row>
    <row r="1724" spans="1:9" x14ac:dyDescent="0.25">
      <c r="A1724" s="2" t="s">
        <v>4129</v>
      </c>
      <c r="B1724" s="2" t="s">
        <v>6829</v>
      </c>
      <c r="C1724" s="2" t="s">
        <v>5019</v>
      </c>
      <c r="D1724" s="2" t="s">
        <v>7228</v>
      </c>
      <c r="E1724" s="2"/>
      <c r="F1724" s="2">
        <v>3</v>
      </c>
      <c r="G1724" s="2" t="s">
        <v>7158</v>
      </c>
      <c r="H1724" s="2">
        <v>0.06</v>
      </c>
      <c r="I1724" s="2">
        <v>0.18</v>
      </c>
    </row>
    <row r="1725" spans="1:9" x14ac:dyDescent="0.25">
      <c r="A1725" s="3" t="s">
        <v>4129</v>
      </c>
      <c r="B1725" s="3" t="s">
        <v>6829</v>
      </c>
      <c r="C1725" s="3" t="s">
        <v>5019</v>
      </c>
      <c r="D1725" s="3" t="s">
        <v>7156</v>
      </c>
      <c r="E1725" s="3"/>
      <c r="F1725" s="3">
        <v>1</v>
      </c>
      <c r="G1725" s="3" t="s">
        <v>7158</v>
      </c>
      <c r="H1725" s="3">
        <v>26</v>
      </c>
      <c r="I1725" s="3">
        <v>26</v>
      </c>
    </row>
    <row r="1726" spans="1:9" x14ac:dyDescent="0.25">
      <c r="A1726" s="2" t="s">
        <v>4129</v>
      </c>
      <c r="B1726" s="2" t="s">
        <v>6829</v>
      </c>
      <c r="C1726" s="2" t="s">
        <v>5019</v>
      </c>
      <c r="D1726" s="2" t="s">
        <v>7159</v>
      </c>
      <c r="E1726" s="2"/>
      <c r="F1726" s="2">
        <v>20</v>
      </c>
      <c r="G1726" s="2" t="s">
        <v>7155</v>
      </c>
      <c r="H1726" s="2">
        <v>1.8319999999999999E-2</v>
      </c>
      <c r="I1726" s="2">
        <v>0.3664</v>
      </c>
    </row>
    <row r="1727" spans="1:9" x14ac:dyDescent="0.25">
      <c r="A1727" s="3" t="s">
        <v>4129</v>
      </c>
      <c r="B1727" s="3" t="s">
        <v>6829</v>
      </c>
      <c r="C1727" s="3" t="s">
        <v>5019</v>
      </c>
      <c r="D1727" s="3" t="s">
        <v>7161</v>
      </c>
      <c r="E1727" s="3"/>
      <c r="F1727" s="3">
        <v>0.186</v>
      </c>
      <c r="G1727" s="3" t="s">
        <v>7163</v>
      </c>
      <c r="H1727" s="3">
        <v>0</v>
      </c>
      <c r="I1727" s="3">
        <v>0</v>
      </c>
    </row>
    <row r="1728" spans="1:9" x14ac:dyDescent="0.25">
      <c r="A1728" s="2" t="s">
        <v>4129</v>
      </c>
      <c r="B1728" s="2" t="s">
        <v>6829</v>
      </c>
      <c r="C1728" s="2" t="s">
        <v>5019</v>
      </c>
      <c r="D1728" s="2" t="s">
        <v>7259</v>
      </c>
      <c r="E1728" s="2"/>
      <c r="F1728" s="2">
        <v>2.2170000000000001</v>
      </c>
      <c r="G1728" s="2" t="s">
        <v>7163</v>
      </c>
      <c r="H1728" s="2">
        <v>0</v>
      </c>
      <c r="I1728" s="2">
        <v>0</v>
      </c>
    </row>
    <row r="1729" spans="1:9" x14ac:dyDescent="0.25">
      <c r="A1729" s="3" t="s">
        <v>4129</v>
      </c>
      <c r="B1729" s="3" t="s">
        <v>6829</v>
      </c>
      <c r="C1729" s="3" t="s">
        <v>5019</v>
      </c>
      <c r="D1729" s="3" t="s">
        <v>7165</v>
      </c>
      <c r="E1729" s="3"/>
      <c r="F1729" s="3">
        <v>4</v>
      </c>
      <c r="G1729" s="3" t="s">
        <v>7158</v>
      </c>
      <c r="H1729" s="3">
        <v>0.1</v>
      </c>
      <c r="I1729" s="3">
        <v>0.4</v>
      </c>
    </row>
    <row r="1730" spans="1:9" x14ac:dyDescent="0.25">
      <c r="A1730" s="2" t="s">
        <v>4129</v>
      </c>
      <c r="B1730" s="2" t="s">
        <v>6829</v>
      </c>
      <c r="C1730" s="2" t="s">
        <v>5019</v>
      </c>
      <c r="D1730" s="2" t="s">
        <v>7167</v>
      </c>
      <c r="E1730" s="2"/>
      <c r="F1730" s="2">
        <v>4</v>
      </c>
      <c r="G1730" s="2" t="s">
        <v>7158</v>
      </c>
      <c r="H1730" s="2">
        <v>0.2</v>
      </c>
      <c r="I1730" s="2">
        <v>0.8</v>
      </c>
    </row>
    <row r="1731" spans="1:9" x14ac:dyDescent="0.25">
      <c r="A1731" s="3" t="s">
        <v>4129</v>
      </c>
      <c r="B1731" s="3" t="s">
        <v>6829</v>
      </c>
      <c r="C1731" s="3" t="s">
        <v>5019</v>
      </c>
      <c r="D1731" s="3" t="s">
        <v>7179</v>
      </c>
      <c r="E1731" s="3"/>
      <c r="F1731" s="3">
        <v>81</v>
      </c>
      <c r="G1731" s="3" t="s">
        <v>7158</v>
      </c>
      <c r="H1731" s="3">
        <v>1.08E-3</v>
      </c>
      <c r="I1731" s="3">
        <v>8.7480000000000002E-2</v>
      </c>
    </row>
    <row r="1732" spans="1:9" ht="22.5" customHeight="1" x14ac:dyDescent="0.25">
      <c r="A1732" s="2" t="s">
        <v>1644</v>
      </c>
      <c r="B1732" s="2" t="s">
        <v>6836</v>
      </c>
      <c r="C1732" s="2" t="s">
        <v>4843</v>
      </c>
      <c r="D1732" s="2" t="s">
        <v>7153</v>
      </c>
      <c r="E1732" s="2" t="s">
        <v>7154</v>
      </c>
      <c r="F1732" s="2">
        <v>14</v>
      </c>
      <c r="G1732" s="2" t="s">
        <v>7155</v>
      </c>
      <c r="H1732" s="2">
        <v>1.24E-2</v>
      </c>
      <c r="I1732" s="2">
        <v>0.1736</v>
      </c>
    </row>
    <row r="1733" spans="1:9" ht="22.5" customHeight="1" x14ac:dyDescent="0.25">
      <c r="A1733" s="3" t="s">
        <v>1644</v>
      </c>
      <c r="B1733" s="3" t="s">
        <v>6836</v>
      </c>
      <c r="C1733" s="3" t="s">
        <v>4843</v>
      </c>
      <c r="D1733" s="3" t="s">
        <v>7330</v>
      </c>
      <c r="E1733" s="3" t="s">
        <v>7331</v>
      </c>
      <c r="F1733" s="3">
        <v>87</v>
      </c>
      <c r="G1733" s="3" t="s">
        <v>7158</v>
      </c>
      <c r="H1733" s="3">
        <v>3.6729999999999999E-2</v>
      </c>
      <c r="I1733" s="3">
        <v>3.1955100000000001</v>
      </c>
    </row>
    <row r="1734" spans="1:9" ht="22.5" customHeight="1" x14ac:dyDescent="0.25">
      <c r="A1734" s="2" t="s">
        <v>1644</v>
      </c>
      <c r="B1734" s="2" t="s">
        <v>6836</v>
      </c>
      <c r="C1734" s="2" t="s">
        <v>4843</v>
      </c>
      <c r="D1734" s="2" t="s">
        <v>7156</v>
      </c>
      <c r="E1734" s="2" t="s">
        <v>7157</v>
      </c>
      <c r="F1734" s="2">
        <v>1</v>
      </c>
      <c r="G1734" s="2" t="s">
        <v>7158</v>
      </c>
      <c r="H1734" s="2">
        <v>26</v>
      </c>
      <c r="I1734" s="2">
        <v>26</v>
      </c>
    </row>
    <row r="1735" spans="1:9" ht="22.5" customHeight="1" x14ac:dyDescent="0.25">
      <c r="A1735" s="3" t="s">
        <v>1644</v>
      </c>
      <c r="B1735" s="3" t="s">
        <v>6836</v>
      </c>
      <c r="C1735" s="3" t="s">
        <v>4843</v>
      </c>
      <c r="D1735" s="3" t="s">
        <v>7159</v>
      </c>
      <c r="E1735" s="3" t="s">
        <v>7160</v>
      </c>
      <c r="F1735" s="3">
        <v>20</v>
      </c>
      <c r="G1735" s="3" t="s">
        <v>7155</v>
      </c>
      <c r="H1735" s="3">
        <v>1.8319999999999999E-2</v>
      </c>
      <c r="I1735" s="3">
        <v>0.3664</v>
      </c>
    </row>
    <row r="1736" spans="1:9" ht="22.5" customHeight="1" x14ac:dyDescent="0.25">
      <c r="A1736" s="2" t="s">
        <v>1644</v>
      </c>
      <c r="B1736" s="2" t="s">
        <v>6836</v>
      </c>
      <c r="C1736" s="2" t="s">
        <v>4843</v>
      </c>
      <c r="D1736" s="2" t="s">
        <v>7161</v>
      </c>
      <c r="E1736" s="2" t="s">
        <v>7162</v>
      </c>
      <c r="F1736" s="2">
        <v>0.186</v>
      </c>
      <c r="G1736" s="2" t="s">
        <v>7163</v>
      </c>
      <c r="H1736" s="2" t="s">
        <v>7164</v>
      </c>
      <c r="I1736" s="2">
        <v>0.186</v>
      </c>
    </row>
    <row r="1737" spans="1:9" ht="22.5" customHeight="1" x14ac:dyDescent="0.25">
      <c r="A1737" s="3" t="s">
        <v>1644</v>
      </c>
      <c r="B1737" s="3" t="s">
        <v>6836</v>
      </c>
      <c r="C1737" s="3" t="s">
        <v>4843</v>
      </c>
      <c r="D1737" s="3" t="s">
        <v>7332</v>
      </c>
      <c r="E1737" s="3" t="s">
        <v>7333</v>
      </c>
      <c r="F1737" s="3">
        <v>1.9970000000000001</v>
      </c>
      <c r="G1737" s="3" t="s">
        <v>7163</v>
      </c>
      <c r="H1737" s="3" t="s">
        <v>7164</v>
      </c>
      <c r="I1737" s="3">
        <v>1.9970000000000001</v>
      </c>
    </row>
    <row r="1738" spans="1:9" ht="33.75" customHeight="1" x14ac:dyDescent="0.25">
      <c r="A1738" s="2" t="s">
        <v>1644</v>
      </c>
      <c r="B1738" s="2" t="s">
        <v>6836</v>
      </c>
      <c r="C1738" s="2" t="s">
        <v>4843</v>
      </c>
      <c r="D1738" s="2" t="s">
        <v>7165</v>
      </c>
      <c r="E1738" s="2" t="s">
        <v>7166</v>
      </c>
      <c r="F1738" s="2">
        <v>4</v>
      </c>
      <c r="G1738" s="2" t="s">
        <v>7158</v>
      </c>
      <c r="H1738" s="2">
        <v>0.1</v>
      </c>
      <c r="I1738" s="2">
        <v>0.4</v>
      </c>
    </row>
    <row r="1739" spans="1:9" ht="33.75" customHeight="1" x14ac:dyDescent="0.25">
      <c r="A1739" s="3" t="s">
        <v>1644</v>
      </c>
      <c r="B1739" s="3" t="s">
        <v>6836</v>
      </c>
      <c r="C1739" s="3" t="s">
        <v>4843</v>
      </c>
      <c r="D1739" s="3" t="s">
        <v>7167</v>
      </c>
      <c r="E1739" s="3" t="s">
        <v>7168</v>
      </c>
      <c r="F1739" s="3">
        <v>4</v>
      </c>
      <c r="G1739" s="3" t="s">
        <v>7158</v>
      </c>
      <c r="H1739" s="3">
        <v>0.2</v>
      </c>
      <c r="I1739" s="3">
        <v>0.8</v>
      </c>
    </row>
    <row r="1740" spans="1:9" ht="22.5" customHeight="1" x14ac:dyDescent="0.25">
      <c r="A1740" s="2" t="s">
        <v>3305</v>
      </c>
      <c r="B1740" s="2" t="s">
        <v>6844</v>
      </c>
      <c r="C1740" s="2" t="s">
        <v>4976</v>
      </c>
      <c r="D1740" s="2" t="s">
        <v>7153</v>
      </c>
      <c r="E1740" s="2" t="s">
        <v>7154</v>
      </c>
      <c r="F1740" s="2">
        <v>7</v>
      </c>
      <c r="G1740" s="2" t="s">
        <v>7155</v>
      </c>
      <c r="H1740" s="2">
        <v>1.24E-2</v>
      </c>
      <c r="I1740" s="2">
        <v>8.6800000000000002E-2</v>
      </c>
    </row>
    <row r="1741" spans="1:9" ht="33.75" customHeight="1" x14ac:dyDescent="0.25">
      <c r="A1741" s="3" t="s">
        <v>3305</v>
      </c>
      <c r="B1741" s="3" t="s">
        <v>6844</v>
      </c>
      <c r="C1741" s="3" t="s">
        <v>4976</v>
      </c>
      <c r="D1741" s="3" t="s">
        <v>7186</v>
      </c>
      <c r="E1741" s="3" t="s">
        <v>7187</v>
      </c>
      <c r="F1741" s="3">
        <v>1</v>
      </c>
      <c r="G1741" s="3" t="s">
        <v>7158</v>
      </c>
      <c r="H1741" s="3">
        <v>26</v>
      </c>
      <c r="I1741" s="3">
        <v>26</v>
      </c>
    </row>
    <row r="1742" spans="1:9" ht="22.5" customHeight="1" x14ac:dyDescent="0.25">
      <c r="A1742" s="2" t="s">
        <v>3305</v>
      </c>
      <c r="B1742" s="2" t="s">
        <v>6844</v>
      </c>
      <c r="C1742" s="2" t="s">
        <v>4976</v>
      </c>
      <c r="D1742" s="2" t="s">
        <v>7159</v>
      </c>
      <c r="E1742" s="2" t="s">
        <v>7160</v>
      </c>
      <c r="F1742" s="2">
        <v>20</v>
      </c>
      <c r="G1742" s="2" t="s">
        <v>7155</v>
      </c>
      <c r="H1742" s="2">
        <v>1.8319999999999999E-2</v>
      </c>
      <c r="I1742" s="2">
        <v>0.3664</v>
      </c>
    </row>
    <row r="1743" spans="1:9" ht="22.5" customHeight="1" x14ac:dyDescent="0.25">
      <c r="A1743" s="3" t="s">
        <v>3305</v>
      </c>
      <c r="B1743" s="3" t="s">
        <v>6844</v>
      </c>
      <c r="C1743" s="3" t="s">
        <v>4976</v>
      </c>
      <c r="D1743" s="3" t="s">
        <v>7161</v>
      </c>
      <c r="E1743" s="3" t="s">
        <v>7162</v>
      </c>
      <c r="F1743" s="3">
        <v>0.186</v>
      </c>
      <c r="G1743" s="3" t="s">
        <v>7163</v>
      </c>
      <c r="H1743" s="3" t="s">
        <v>7164</v>
      </c>
      <c r="I1743" s="3">
        <v>0.186</v>
      </c>
    </row>
    <row r="1744" spans="1:9" ht="33.75" customHeight="1" x14ac:dyDescent="0.25">
      <c r="A1744" s="2" t="s">
        <v>3305</v>
      </c>
      <c r="B1744" s="2" t="s">
        <v>6844</v>
      </c>
      <c r="C1744" s="2" t="s">
        <v>4976</v>
      </c>
      <c r="D1744" s="2" t="s">
        <v>7212</v>
      </c>
      <c r="E1744" s="2" t="s">
        <v>7213</v>
      </c>
      <c r="F1744" s="2">
        <v>2</v>
      </c>
      <c r="G1744" s="2" t="s">
        <v>7158</v>
      </c>
      <c r="H1744" s="2">
        <v>0.21</v>
      </c>
      <c r="I1744" s="2">
        <v>0.42</v>
      </c>
    </row>
    <row r="1745" spans="1:9" ht="33.75" customHeight="1" x14ac:dyDescent="0.25">
      <c r="A1745" s="3" t="s">
        <v>3305</v>
      </c>
      <c r="B1745" s="3" t="s">
        <v>6844</v>
      </c>
      <c r="C1745" s="3" t="s">
        <v>4976</v>
      </c>
      <c r="D1745" s="3" t="s">
        <v>7188</v>
      </c>
      <c r="E1745" s="3" t="s">
        <v>7189</v>
      </c>
      <c r="F1745" s="3">
        <v>4</v>
      </c>
      <c r="G1745" s="3" t="s">
        <v>7158</v>
      </c>
      <c r="H1745" s="3">
        <v>0.27</v>
      </c>
      <c r="I1745" s="3">
        <v>1.08</v>
      </c>
    </row>
    <row r="1746" spans="1:9" ht="67.5" customHeight="1" x14ac:dyDescent="0.25">
      <c r="A1746" s="2" t="s">
        <v>1008</v>
      </c>
      <c r="B1746" s="2" t="s">
        <v>6852</v>
      </c>
      <c r="C1746" s="2" t="s">
        <v>4807</v>
      </c>
      <c r="D1746" s="2" t="s">
        <v>7153</v>
      </c>
      <c r="E1746" s="2" t="s">
        <v>7154</v>
      </c>
      <c r="F1746" s="2">
        <v>7</v>
      </c>
      <c r="G1746" s="2" t="s">
        <v>7155</v>
      </c>
      <c r="H1746" s="2">
        <v>1.24E-2</v>
      </c>
      <c r="I1746" s="2">
        <v>8.6800000000000002E-2</v>
      </c>
    </row>
    <row r="1747" spans="1:9" ht="67.5" customHeight="1" x14ac:dyDescent="0.25">
      <c r="A1747" s="3" t="s">
        <v>1008</v>
      </c>
      <c r="B1747" s="3" t="s">
        <v>6852</v>
      </c>
      <c r="C1747" s="3" t="s">
        <v>4807</v>
      </c>
      <c r="D1747" s="3" t="s">
        <v>7186</v>
      </c>
      <c r="E1747" s="3" t="s">
        <v>7187</v>
      </c>
      <c r="F1747" s="3">
        <v>1</v>
      </c>
      <c r="G1747" s="3" t="s">
        <v>7158</v>
      </c>
      <c r="H1747" s="3">
        <v>26</v>
      </c>
      <c r="I1747" s="3">
        <v>26</v>
      </c>
    </row>
    <row r="1748" spans="1:9" ht="67.5" customHeight="1" x14ac:dyDescent="0.25">
      <c r="A1748" s="2" t="s">
        <v>1008</v>
      </c>
      <c r="B1748" s="2" t="s">
        <v>6852</v>
      </c>
      <c r="C1748" s="2" t="s">
        <v>4807</v>
      </c>
      <c r="D1748" s="2" t="s">
        <v>7159</v>
      </c>
      <c r="E1748" s="2" t="s">
        <v>7160</v>
      </c>
      <c r="F1748" s="2">
        <v>20</v>
      </c>
      <c r="G1748" s="2" t="s">
        <v>7155</v>
      </c>
      <c r="H1748" s="2">
        <v>1.8319999999999999E-2</v>
      </c>
      <c r="I1748" s="2">
        <v>0.3664</v>
      </c>
    </row>
    <row r="1749" spans="1:9" ht="67.5" customHeight="1" x14ac:dyDescent="0.25">
      <c r="A1749" s="3" t="s">
        <v>1008</v>
      </c>
      <c r="B1749" s="3" t="s">
        <v>6852</v>
      </c>
      <c r="C1749" s="3" t="s">
        <v>4807</v>
      </c>
      <c r="D1749" s="3" t="s">
        <v>7161</v>
      </c>
      <c r="E1749" s="3" t="s">
        <v>7162</v>
      </c>
      <c r="F1749" s="3">
        <v>0.186</v>
      </c>
      <c r="G1749" s="3" t="s">
        <v>7163</v>
      </c>
      <c r="H1749" s="3" t="s">
        <v>7164</v>
      </c>
      <c r="I1749" s="3">
        <v>0.186</v>
      </c>
    </row>
    <row r="1750" spans="1:9" ht="67.5" customHeight="1" x14ac:dyDescent="0.25">
      <c r="A1750" s="2" t="s">
        <v>1008</v>
      </c>
      <c r="B1750" s="2" t="s">
        <v>6852</v>
      </c>
      <c r="C1750" s="2" t="s">
        <v>4807</v>
      </c>
      <c r="D1750" s="2" t="s">
        <v>7259</v>
      </c>
      <c r="E1750" s="2" t="s">
        <v>7308</v>
      </c>
      <c r="F1750" s="2">
        <v>2.35</v>
      </c>
      <c r="G1750" s="2" t="s">
        <v>7163</v>
      </c>
      <c r="H1750" s="2" t="s">
        <v>7164</v>
      </c>
      <c r="I1750" s="2">
        <v>2.35</v>
      </c>
    </row>
    <row r="1751" spans="1:9" ht="67.5" customHeight="1" x14ac:dyDescent="0.25">
      <c r="A1751" s="3" t="s">
        <v>1008</v>
      </c>
      <c r="B1751" s="3" t="s">
        <v>6852</v>
      </c>
      <c r="C1751" s="3" t="s">
        <v>4807</v>
      </c>
      <c r="D1751" s="3" t="s">
        <v>7212</v>
      </c>
      <c r="E1751" s="3" t="s">
        <v>7213</v>
      </c>
      <c r="F1751" s="3">
        <v>2</v>
      </c>
      <c r="G1751" s="3" t="s">
        <v>7158</v>
      </c>
      <c r="H1751" s="3">
        <v>0.21</v>
      </c>
      <c r="I1751" s="3">
        <v>0.42</v>
      </c>
    </row>
    <row r="1752" spans="1:9" ht="67.5" customHeight="1" x14ac:dyDescent="0.25">
      <c r="A1752" s="2" t="s">
        <v>1008</v>
      </c>
      <c r="B1752" s="2" t="s">
        <v>6852</v>
      </c>
      <c r="C1752" s="2" t="s">
        <v>4807</v>
      </c>
      <c r="D1752" s="2" t="s">
        <v>7188</v>
      </c>
      <c r="E1752" s="2" t="s">
        <v>7189</v>
      </c>
      <c r="F1752" s="2">
        <v>4</v>
      </c>
      <c r="G1752" s="2" t="s">
        <v>7158</v>
      </c>
      <c r="H1752" s="2">
        <v>0.27</v>
      </c>
      <c r="I1752" s="2">
        <v>1.08</v>
      </c>
    </row>
    <row r="1753" spans="1:9" ht="157.5" customHeight="1" x14ac:dyDescent="0.25">
      <c r="A1753" s="3" t="s">
        <v>414</v>
      </c>
      <c r="B1753" s="3" t="s">
        <v>6860</v>
      </c>
      <c r="C1753" s="3" t="s">
        <v>4732</v>
      </c>
      <c r="D1753" s="3" t="s">
        <v>7153</v>
      </c>
      <c r="E1753" s="3" t="s">
        <v>7154</v>
      </c>
      <c r="F1753" s="3">
        <v>7</v>
      </c>
      <c r="G1753" s="3" t="s">
        <v>7155</v>
      </c>
      <c r="H1753" s="3">
        <v>1.24E-2</v>
      </c>
      <c r="I1753" s="3">
        <v>8.6800000000000002E-2</v>
      </c>
    </row>
    <row r="1754" spans="1:9" ht="157.5" customHeight="1" x14ac:dyDescent="0.25">
      <c r="A1754" s="2" t="s">
        <v>414</v>
      </c>
      <c r="B1754" s="2" t="s">
        <v>6860</v>
      </c>
      <c r="C1754" s="2" t="s">
        <v>4732</v>
      </c>
      <c r="D1754" s="2" t="s">
        <v>7186</v>
      </c>
      <c r="E1754" s="2" t="s">
        <v>7187</v>
      </c>
      <c r="F1754" s="2">
        <v>1</v>
      </c>
      <c r="G1754" s="2" t="s">
        <v>7158</v>
      </c>
      <c r="H1754" s="2">
        <v>26</v>
      </c>
      <c r="I1754" s="2">
        <v>26</v>
      </c>
    </row>
    <row r="1755" spans="1:9" ht="157.5" customHeight="1" x14ac:dyDescent="0.25">
      <c r="A1755" s="3" t="s">
        <v>414</v>
      </c>
      <c r="B1755" s="3" t="s">
        <v>6860</v>
      </c>
      <c r="C1755" s="3" t="s">
        <v>4732</v>
      </c>
      <c r="D1755" s="3" t="s">
        <v>7159</v>
      </c>
      <c r="E1755" s="3" t="s">
        <v>7160</v>
      </c>
      <c r="F1755" s="3">
        <v>20</v>
      </c>
      <c r="G1755" s="3" t="s">
        <v>7155</v>
      </c>
      <c r="H1755" s="3">
        <v>1.8319999999999999E-2</v>
      </c>
      <c r="I1755" s="3">
        <v>0.3664</v>
      </c>
    </row>
    <row r="1756" spans="1:9" ht="157.5" customHeight="1" x14ac:dyDescent="0.25">
      <c r="A1756" s="2" t="s">
        <v>414</v>
      </c>
      <c r="B1756" s="2" t="s">
        <v>6860</v>
      </c>
      <c r="C1756" s="2" t="s">
        <v>4732</v>
      </c>
      <c r="D1756" s="2" t="s">
        <v>7161</v>
      </c>
      <c r="E1756" s="2" t="s">
        <v>7162</v>
      </c>
      <c r="F1756" s="2">
        <v>0.186</v>
      </c>
      <c r="G1756" s="2" t="s">
        <v>7163</v>
      </c>
      <c r="H1756" s="2" t="s">
        <v>7164</v>
      </c>
      <c r="I1756" s="2">
        <v>0.186</v>
      </c>
    </row>
    <row r="1757" spans="1:9" ht="157.5" customHeight="1" x14ac:dyDescent="0.25">
      <c r="A1757" s="3" t="s">
        <v>414</v>
      </c>
      <c r="B1757" s="3" t="s">
        <v>6860</v>
      </c>
      <c r="C1757" s="3" t="s">
        <v>4732</v>
      </c>
      <c r="D1757" s="3" t="s">
        <v>7259</v>
      </c>
      <c r="E1757" s="3" t="s">
        <v>7308</v>
      </c>
      <c r="F1757" s="3">
        <v>2.87</v>
      </c>
      <c r="G1757" s="3" t="s">
        <v>7163</v>
      </c>
      <c r="H1757" s="3" t="s">
        <v>7164</v>
      </c>
      <c r="I1757" s="3">
        <v>2.87</v>
      </c>
    </row>
    <row r="1758" spans="1:9" ht="157.5" customHeight="1" x14ac:dyDescent="0.25">
      <c r="A1758" s="2" t="s">
        <v>414</v>
      </c>
      <c r="B1758" s="2" t="s">
        <v>6860</v>
      </c>
      <c r="C1758" s="2" t="s">
        <v>4732</v>
      </c>
      <c r="D1758" s="2" t="s">
        <v>7212</v>
      </c>
      <c r="E1758" s="2" t="s">
        <v>7213</v>
      </c>
      <c r="F1758" s="2">
        <v>2</v>
      </c>
      <c r="G1758" s="2" t="s">
        <v>7158</v>
      </c>
      <c r="H1758" s="2">
        <v>0.21</v>
      </c>
      <c r="I1758" s="2">
        <v>0.42</v>
      </c>
    </row>
    <row r="1759" spans="1:9" ht="157.5" customHeight="1" x14ac:dyDescent="0.25">
      <c r="A1759" s="3" t="s">
        <v>414</v>
      </c>
      <c r="B1759" s="3" t="s">
        <v>6860</v>
      </c>
      <c r="C1759" s="3" t="s">
        <v>4732</v>
      </c>
      <c r="D1759" s="3" t="s">
        <v>7188</v>
      </c>
      <c r="E1759" s="3" t="s">
        <v>7189</v>
      </c>
      <c r="F1759" s="3">
        <v>4</v>
      </c>
      <c r="G1759" s="3" t="s">
        <v>7158</v>
      </c>
      <c r="H1759" s="3">
        <v>0.27</v>
      </c>
      <c r="I1759" s="3">
        <v>1.08</v>
      </c>
    </row>
    <row r="1760" spans="1:9" ht="33.75" customHeight="1" x14ac:dyDescent="0.25">
      <c r="A1760" s="2" t="s">
        <v>1453</v>
      </c>
      <c r="B1760" s="2" t="s">
        <v>6868</v>
      </c>
      <c r="C1760" s="2" t="s">
        <v>4829</v>
      </c>
      <c r="D1760" s="2" t="s">
        <v>7153</v>
      </c>
      <c r="E1760" s="2" t="s">
        <v>7154</v>
      </c>
      <c r="F1760" s="2">
        <v>14</v>
      </c>
      <c r="G1760" s="2" t="s">
        <v>7155</v>
      </c>
      <c r="H1760" s="2">
        <v>1.24E-2</v>
      </c>
      <c r="I1760" s="2">
        <v>0.1736</v>
      </c>
    </row>
    <row r="1761" spans="1:9" ht="33.75" customHeight="1" x14ac:dyDescent="0.25">
      <c r="A1761" s="3" t="s">
        <v>1453</v>
      </c>
      <c r="B1761" s="3" t="s">
        <v>6868</v>
      </c>
      <c r="C1761" s="3" t="s">
        <v>4829</v>
      </c>
      <c r="D1761" s="3" t="s">
        <v>7186</v>
      </c>
      <c r="E1761" s="3" t="s">
        <v>7187</v>
      </c>
      <c r="F1761" s="3">
        <v>1</v>
      </c>
      <c r="G1761" s="3" t="s">
        <v>7158</v>
      </c>
      <c r="H1761" s="3">
        <v>26</v>
      </c>
      <c r="I1761" s="3">
        <v>26</v>
      </c>
    </row>
    <row r="1762" spans="1:9" ht="33.75" customHeight="1" x14ac:dyDescent="0.25">
      <c r="A1762" s="2" t="s">
        <v>1453</v>
      </c>
      <c r="B1762" s="2" t="s">
        <v>6868</v>
      </c>
      <c r="C1762" s="2" t="s">
        <v>4829</v>
      </c>
      <c r="D1762" s="2" t="s">
        <v>7159</v>
      </c>
      <c r="E1762" s="2" t="s">
        <v>7160</v>
      </c>
      <c r="F1762" s="2">
        <v>20</v>
      </c>
      <c r="G1762" s="2" t="s">
        <v>7155</v>
      </c>
      <c r="H1762" s="2">
        <v>1.8319999999999999E-2</v>
      </c>
      <c r="I1762" s="2">
        <v>0.3664</v>
      </c>
    </row>
    <row r="1763" spans="1:9" ht="33.75" customHeight="1" x14ac:dyDescent="0.25">
      <c r="A1763" s="3" t="s">
        <v>1453</v>
      </c>
      <c r="B1763" s="3" t="s">
        <v>6868</v>
      </c>
      <c r="C1763" s="3" t="s">
        <v>4829</v>
      </c>
      <c r="D1763" s="3" t="s">
        <v>7190</v>
      </c>
      <c r="E1763" s="3" t="s">
        <v>7191</v>
      </c>
      <c r="F1763" s="3">
        <v>0.59699999999999998</v>
      </c>
      <c r="G1763" s="3" t="s">
        <v>7163</v>
      </c>
      <c r="H1763" s="3" t="s">
        <v>7164</v>
      </c>
      <c r="I1763" s="3">
        <v>0.59699999999999998</v>
      </c>
    </row>
    <row r="1764" spans="1:9" ht="33.75" customHeight="1" x14ac:dyDescent="0.25">
      <c r="A1764" s="2" t="s">
        <v>1453</v>
      </c>
      <c r="B1764" s="2" t="s">
        <v>6868</v>
      </c>
      <c r="C1764" s="2" t="s">
        <v>4829</v>
      </c>
      <c r="D1764" s="2" t="s">
        <v>7212</v>
      </c>
      <c r="E1764" s="2" t="s">
        <v>7213</v>
      </c>
      <c r="F1764" s="2">
        <v>4</v>
      </c>
      <c r="G1764" s="2" t="s">
        <v>7158</v>
      </c>
      <c r="H1764" s="2">
        <v>0.21</v>
      </c>
      <c r="I1764" s="2">
        <v>0.84</v>
      </c>
    </row>
    <row r="1765" spans="1:9" ht="33.75" customHeight="1" x14ac:dyDescent="0.25">
      <c r="A1765" s="3" t="s">
        <v>1453</v>
      </c>
      <c r="B1765" s="3" t="s">
        <v>6868</v>
      </c>
      <c r="C1765" s="3" t="s">
        <v>4829</v>
      </c>
      <c r="D1765" s="3" t="s">
        <v>7188</v>
      </c>
      <c r="E1765" s="3" t="s">
        <v>7189</v>
      </c>
      <c r="F1765" s="3">
        <v>4</v>
      </c>
      <c r="G1765" s="3" t="s">
        <v>7158</v>
      </c>
      <c r="H1765" s="3">
        <v>0.27</v>
      </c>
      <c r="I1765" s="3">
        <v>1.08</v>
      </c>
    </row>
    <row r="1766" spans="1:9" ht="22.5" customHeight="1" x14ac:dyDescent="0.25">
      <c r="A1766" s="2" t="s">
        <v>948</v>
      </c>
      <c r="B1766" s="2" t="s">
        <v>947</v>
      </c>
      <c r="C1766" s="2" t="s">
        <v>4804</v>
      </c>
      <c r="D1766" s="2" t="s">
        <v>7153</v>
      </c>
      <c r="E1766" s="2" t="s">
        <v>7154</v>
      </c>
      <c r="F1766" s="2">
        <v>14</v>
      </c>
      <c r="G1766" s="2" t="s">
        <v>7155</v>
      </c>
      <c r="H1766" s="2">
        <v>1.24E-2</v>
      </c>
      <c r="I1766" s="2">
        <v>0.1736</v>
      </c>
    </row>
    <row r="1767" spans="1:9" ht="22.5" customHeight="1" x14ac:dyDescent="0.25">
      <c r="A1767" s="3" t="s">
        <v>948</v>
      </c>
      <c r="B1767" s="3" t="s">
        <v>947</v>
      </c>
      <c r="C1767" s="3" t="s">
        <v>4804</v>
      </c>
      <c r="D1767" s="3" t="s">
        <v>7334</v>
      </c>
      <c r="E1767" s="3" t="s">
        <v>7335</v>
      </c>
      <c r="F1767" s="3">
        <v>87</v>
      </c>
      <c r="G1767" s="3" t="s">
        <v>7158</v>
      </c>
      <c r="H1767" s="3">
        <v>4.6700000000000012E-2</v>
      </c>
      <c r="I1767" s="3">
        <v>4.0629</v>
      </c>
    </row>
    <row r="1768" spans="1:9" ht="33.75" customHeight="1" x14ac:dyDescent="0.25">
      <c r="A1768" s="2" t="s">
        <v>948</v>
      </c>
      <c r="B1768" s="2" t="s">
        <v>947</v>
      </c>
      <c r="C1768" s="2" t="s">
        <v>4804</v>
      </c>
      <c r="D1768" s="2" t="s">
        <v>7186</v>
      </c>
      <c r="E1768" s="2" t="s">
        <v>7187</v>
      </c>
      <c r="F1768" s="2">
        <v>1</v>
      </c>
      <c r="G1768" s="2" t="s">
        <v>7158</v>
      </c>
      <c r="H1768" s="2">
        <v>26</v>
      </c>
      <c r="I1768" s="2">
        <v>26</v>
      </c>
    </row>
    <row r="1769" spans="1:9" ht="22.5" customHeight="1" x14ac:dyDescent="0.25">
      <c r="A1769" s="3" t="s">
        <v>948</v>
      </c>
      <c r="B1769" s="3" t="s">
        <v>947</v>
      </c>
      <c r="C1769" s="3" t="s">
        <v>4804</v>
      </c>
      <c r="D1769" s="3" t="s">
        <v>7159</v>
      </c>
      <c r="E1769" s="3" t="s">
        <v>7160</v>
      </c>
      <c r="F1769" s="3">
        <v>20</v>
      </c>
      <c r="G1769" s="3" t="s">
        <v>7155</v>
      </c>
      <c r="H1769" s="3">
        <v>1.8319999999999999E-2</v>
      </c>
      <c r="I1769" s="3">
        <v>0.3664</v>
      </c>
    </row>
    <row r="1770" spans="1:9" ht="22.5" customHeight="1" x14ac:dyDescent="0.25">
      <c r="A1770" s="2" t="s">
        <v>948</v>
      </c>
      <c r="B1770" s="2" t="s">
        <v>947</v>
      </c>
      <c r="C1770" s="2" t="s">
        <v>4804</v>
      </c>
      <c r="D1770" s="2" t="s">
        <v>7161</v>
      </c>
      <c r="E1770" s="2" t="s">
        <v>7162</v>
      </c>
      <c r="F1770" s="2">
        <v>0.186</v>
      </c>
      <c r="G1770" s="2" t="s">
        <v>7163</v>
      </c>
      <c r="H1770" s="2" t="s">
        <v>7164</v>
      </c>
      <c r="I1770" s="2">
        <v>0.186</v>
      </c>
    </row>
    <row r="1771" spans="1:9" ht="33.75" customHeight="1" x14ac:dyDescent="0.25">
      <c r="A1771" s="3" t="s">
        <v>948</v>
      </c>
      <c r="B1771" s="3" t="s">
        <v>947</v>
      </c>
      <c r="C1771" s="3" t="s">
        <v>4804</v>
      </c>
      <c r="D1771" s="3" t="s">
        <v>7212</v>
      </c>
      <c r="E1771" s="3" t="s">
        <v>7213</v>
      </c>
      <c r="F1771" s="3">
        <v>6</v>
      </c>
      <c r="G1771" s="3" t="s">
        <v>7158</v>
      </c>
      <c r="H1771" s="3">
        <v>0.21</v>
      </c>
      <c r="I1771" s="3">
        <v>1.26</v>
      </c>
    </row>
    <row r="1772" spans="1:9" ht="33.75" customHeight="1" x14ac:dyDescent="0.25">
      <c r="A1772" s="2" t="s">
        <v>948</v>
      </c>
      <c r="B1772" s="2" t="s">
        <v>947</v>
      </c>
      <c r="C1772" s="2" t="s">
        <v>4804</v>
      </c>
      <c r="D1772" s="2" t="s">
        <v>7188</v>
      </c>
      <c r="E1772" s="2" t="s">
        <v>7189</v>
      </c>
      <c r="F1772" s="2">
        <v>4</v>
      </c>
      <c r="G1772" s="2" t="s">
        <v>7158</v>
      </c>
      <c r="H1772" s="2">
        <v>0.27</v>
      </c>
      <c r="I1772" s="2">
        <v>1.08</v>
      </c>
    </row>
    <row r="1773" spans="1:9" ht="22.5" customHeight="1" x14ac:dyDescent="0.25">
      <c r="A1773" s="3" t="s">
        <v>948</v>
      </c>
      <c r="B1773" s="3" t="s">
        <v>947</v>
      </c>
      <c r="C1773" s="3" t="s">
        <v>4804</v>
      </c>
      <c r="D1773" s="3" t="s">
        <v>7336</v>
      </c>
      <c r="E1773" s="3" t="s">
        <v>7337</v>
      </c>
      <c r="F1773" s="3">
        <v>87</v>
      </c>
      <c r="G1773" s="3" t="s">
        <v>7158</v>
      </c>
      <c r="H1773" s="3">
        <v>0.19</v>
      </c>
      <c r="I1773" s="3">
        <v>16.53</v>
      </c>
    </row>
    <row r="1774" spans="1:9" ht="33.75" customHeight="1" x14ac:dyDescent="0.25">
      <c r="A1774" s="2" t="s">
        <v>669</v>
      </c>
      <c r="B1774" s="2" t="s">
        <v>6883</v>
      </c>
      <c r="C1774" s="2" t="s">
        <v>4778</v>
      </c>
      <c r="D1774" s="2" t="s">
        <v>7186</v>
      </c>
      <c r="E1774" s="2" t="s">
        <v>7187</v>
      </c>
      <c r="F1774" s="2">
        <v>1</v>
      </c>
      <c r="G1774" s="2" t="s">
        <v>7158</v>
      </c>
      <c r="H1774" s="2">
        <v>26</v>
      </c>
      <c r="I1774" s="2">
        <v>26</v>
      </c>
    </row>
    <row r="1775" spans="1:9" ht="22.5" customHeight="1" x14ac:dyDescent="0.25">
      <c r="A1775" s="3" t="s">
        <v>669</v>
      </c>
      <c r="B1775" s="3" t="s">
        <v>6883</v>
      </c>
      <c r="C1775" s="3" t="s">
        <v>4778</v>
      </c>
      <c r="D1775" s="3" t="s">
        <v>7159</v>
      </c>
      <c r="E1775" s="3" t="s">
        <v>7160</v>
      </c>
      <c r="F1775" s="3">
        <v>20</v>
      </c>
      <c r="G1775" s="3" t="s">
        <v>7155</v>
      </c>
      <c r="H1775" s="3">
        <v>1.8319999999999999E-2</v>
      </c>
      <c r="I1775" s="3">
        <v>0.3664</v>
      </c>
    </row>
    <row r="1776" spans="1:9" ht="22.5" customHeight="1" x14ac:dyDescent="0.25">
      <c r="A1776" s="2" t="s">
        <v>669</v>
      </c>
      <c r="B1776" s="2" t="s">
        <v>6883</v>
      </c>
      <c r="C1776" s="2" t="s">
        <v>4778</v>
      </c>
      <c r="D1776" s="2" t="s">
        <v>7161</v>
      </c>
      <c r="E1776" s="2" t="s">
        <v>7162</v>
      </c>
      <c r="F1776" s="2">
        <v>0.186</v>
      </c>
      <c r="G1776" s="2" t="s">
        <v>7163</v>
      </c>
      <c r="H1776" s="2" t="s">
        <v>7164</v>
      </c>
      <c r="I1776" s="2">
        <v>0.186</v>
      </c>
    </row>
    <row r="1777" spans="1:9" ht="22.5" customHeight="1" x14ac:dyDescent="0.25">
      <c r="A1777" s="3" t="s">
        <v>669</v>
      </c>
      <c r="B1777" s="3" t="s">
        <v>6883</v>
      </c>
      <c r="C1777" s="3" t="s">
        <v>4778</v>
      </c>
      <c r="D1777" s="3" t="s">
        <v>7259</v>
      </c>
      <c r="E1777" s="3" t="s">
        <v>7308</v>
      </c>
      <c r="F1777" s="3">
        <v>2.35</v>
      </c>
      <c r="G1777" s="3" t="s">
        <v>7163</v>
      </c>
      <c r="H1777" s="3" t="s">
        <v>7164</v>
      </c>
      <c r="I1777" s="3">
        <v>2.35</v>
      </c>
    </row>
    <row r="1778" spans="1:9" ht="33.75" customHeight="1" x14ac:dyDescent="0.25">
      <c r="A1778" s="2" t="s">
        <v>669</v>
      </c>
      <c r="B1778" s="2" t="s">
        <v>6883</v>
      </c>
      <c r="C1778" s="2" t="s">
        <v>4778</v>
      </c>
      <c r="D1778" s="2" t="s">
        <v>7188</v>
      </c>
      <c r="E1778" s="2" t="s">
        <v>7189</v>
      </c>
      <c r="F1778" s="2">
        <v>4</v>
      </c>
      <c r="G1778" s="2" t="s">
        <v>7158</v>
      </c>
      <c r="H1778" s="2">
        <v>0.27</v>
      </c>
      <c r="I1778" s="2">
        <v>1.08</v>
      </c>
    </row>
    <row r="1779" spans="1:9" ht="33.75" customHeight="1" x14ac:dyDescent="0.25">
      <c r="A1779" s="3" t="s">
        <v>695</v>
      </c>
      <c r="B1779" s="3" t="s">
        <v>6891</v>
      </c>
      <c r="C1779" s="3" t="s">
        <v>4783</v>
      </c>
      <c r="D1779" s="3" t="s">
        <v>7186</v>
      </c>
      <c r="E1779" s="3" t="s">
        <v>7187</v>
      </c>
      <c r="F1779" s="3">
        <v>1</v>
      </c>
      <c r="G1779" s="3" t="s">
        <v>7158</v>
      </c>
      <c r="H1779" s="3">
        <v>26</v>
      </c>
      <c r="I1779" s="3">
        <v>26</v>
      </c>
    </row>
    <row r="1780" spans="1:9" ht="22.5" customHeight="1" x14ac:dyDescent="0.25">
      <c r="A1780" s="2" t="s">
        <v>695</v>
      </c>
      <c r="B1780" s="2" t="s">
        <v>6891</v>
      </c>
      <c r="C1780" s="2" t="s">
        <v>4783</v>
      </c>
      <c r="D1780" s="2" t="s">
        <v>7159</v>
      </c>
      <c r="E1780" s="2" t="s">
        <v>7160</v>
      </c>
      <c r="F1780" s="2">
        <v>20</v>
      </c>
      <c r="G1780" s="2" t="s">
        <v>7155</v>
      </c>
      <c r="H1780" s="2">
        <v>1.8319999999999999E-2</v>
      </c>
      <c r="I1780" s="2">
        <v>0.3664</v>
      </c>
    </row>
    <row r="1781" spans="1:9" ht="22.5" customHeight="1" x14ac:dyDescent="0.25">
      <c r="A1781" s="3" t="s">
        <v>695</v>
      </c>
      <c r="B1781" s="3" t="s">
        <v>6891</v>
      </c>
      <c r="C1781" s="3" t="s">
        <v>4783</v>
      </c>
      <c r="D1781" s="3" t="s">
        <v>7161</v>
      </c>
      <c r="E1781" s="3" t="s">
        <v>7162</v>
      </c>
      <c r="F1781" s="3">
        <v>0.186</v>
      </c>
      <c r="G1781" s="3" t="s">
        <v>7163</v>
      </c>
      <c r="H1781" s="3" t="s">
        <v>7164</v>
      </c>
      <c r="I1781" s="3">
        <v>0.186</v>
      </c>
    </row>
    <row r="1782" spans="1:9" ht="22.5" customHeight="1" x14ac:dyDescent="0.25">
      <c r="A1782" s="2" t="s">
        <v>695</v>
      </c>
      <c r="B1782" s="2" t="s">
        <v>6891</v>
      </c>
      <c r="C1782" s="2" t="s">
        <v>4783</v>
      </c>
      <c r="D1782" s="2" t="s">
        <v>7259</v>
      </c>
      <c r="E1782" s="2" t="s">
        <v>7308</v>
      </c>
      <c r="F1782" s="2">
        <v>2.87</v>
      </c>
      <c r="G1782" s="2" t="s">
        <v>7163</v>
      </c>
      <c r="H1782" s="2" t="s">
        <v>7164</v>
      </c>
      <c r="I1782" s="2">
        <v>2.87</v>
      </c>
    </row>
    <row r="1783" spans="1:9" ht="33.75" customHeight="1" x14ac:dyDescent="0.25">
      <c r="A1783" s="3" t="s">
        <v>695</v>
      </c>
      <c r="B1783" s="3" t="s">
        <v>6891</v>
      </c>
      <c r="C1783" s="3" t="s">
        <v>4783</v>
      </c>
      <c r="D1783" s="3" t="s">
        <v>7188</v>
      </c>
      <c r="E1783" s="3" t="s">
        <v>7189</v>
      </c>
      <c r="F1783" s="3">
        <v>4</v>
      </c>
      <c r="G1783" s="3" t="s">
        <v>7158</v>
      </c>
      <c r="H1783" s="3">
        <v>0.27</v>
      </c>
      <c r="I1783" s="3">
        <v>1.08</v>
      </c>
    </row>
    <row r="1784" spans="1:9" ht="22.5" customHeight="1" x14ac:dyDescent="0.25">
      <c r="A1784" s="2" t="s">
        <v>1236</v>
      </c>
      <c r="B1784" s="2" t="s">
        <v>6899</v>
      </c>
      <c r="C1784" s="2" t="s">
        <v>4816</v>
      </c>
      <c r="D1784" s="2" t="s">
        <v>7153</v>
      </c>
      <c r="E1784" s="2" t="s">
        <v>7154</v>
      </c>
      <c r="F1784" s="2">
        <v>14</v>
      </c>
      <c r="G1784" s="2" t="s">
        <v>7155</v>
      </c>
      <c r="H1784" s="2">
        <v>1.24E-2</v>
      </c>
      <c r="I1784" s="2">
        <v>0.1736</v>
      </c>
    </row>
    <row r="1785" spans="1:9" ht="33.75" customHeight="1" x14ac:dyDescent="0.25">
      <c r="A1785" s="3" t="s">
        <v>1236</v>
      </c>
      <c r="B1785" s="3" t="s">
        <v>6899</v>
      </c>
      <c r="C1785" s="3" t="s">
        <v>4816</v>
      </c>
      <c r="D1785" s="3" t="s">
        <v>7186</v>
      </c>
      <c r="E1785" s="3" t="s">
        <v>7187</v>
      </c>
      <c r="F1785" s="3">
        <v>1</v>
      </c>
      <c r="G1785" s="3" t="s">
        <v>7158</v>
      </c>
      <c r="H1785" s="3">
        <v>26</v>
      </c>
      <c r="I1785" s="3">
        <v>26</v>
      </c>
    </row>
    <row r="1786" spans="1:9" ht="22.5" customHeight="1" x14ac:dyDescent="0.25">
      <c r="A1786" s="2" t="s">
        <v>1236</v>
      </c>
      <c r="B1786" s="2" t="s">
        <v>6899</v>
      </c>
      <c r="C1786" s="2" t="s">
        <v>4816</v>
      </c>
      <c r="D1786" s="2" t="s">
        <v>7159</v>
      </c>
      <c r="E1786" s="2" t="s">
        <v>7160</v>
      </c>
      <c r="F1786" s="2">
        <v>20</v>
      </c>
      <c r="G1786" s="2" t="s">
        <v>7155</v>
      </c>
      <c r="H1786" s="2">
        <v>1.8319999999999999E-2</v>
      </c>
      <c r="I1786" s="2">
        <v>0.3664</v>
      </c>
    </row>
    <row r="1787" spans="1:9" ht="22.5" customHeight="1" x14ac:dyDescent="0.25">
      <c r="A1787" s="3" t="s">
        <v>1236</v>
      </c>
      <c r="B1787" s="3" t="s">
        <v>6899</v>
      </c>
      <c r="C1787" s="3" t="s">
        <v>4816</v>
      </c>
      <c r="D1787" s="3" t="s">
        <v>7161</v>
      </c>
      <c r="E1787" s="3" t="s">
        <v>7162</v>
      </c>
      <c r="F1787" s="3">
        <v>0.186</v>
      </c>
      <c r="G1787" s="3" t="s">
        <v>7163</v>
      </c>
      <c r="H1787" s="3" t="s">
        <v>7164</v>
      </c>
      <c r="I1787" s="3">
        <v>0.186</v>
      </c>
    </row>
    <row r="1788" spans="1:9" ht="33.75" customHeight="1" x14ac:dyDescent="0.25">
      <c r="A1788" s="2" t="s">
        <v>1236</v>
      </c>
      <c r="B1788" s="2" t="s">
        <v>6899</v>
      </c>
      <c r="C1788" s="2" t="s">
        <v>4816</v>
      </c>
      <c r="D1788" s="2" t="s">
        <v>7212</v>
      </c>
      <c r="E1788" s="2" t="s">
        <v>7213</v>
      </c>
      <c r="F1788" s="2">
        <v>6</v>
      </c>
      <c r="G1788" s="2" t="s">
        <v>7158</v>
      </c>
      <c r="H1788" s="2">
        <v>0.21</v>
      </c>
      <c r="I1788" s="2">
        <v>1.26</v>
      </c>
    </row>
    <row r="1789" spans="1:9" ht="33.75" customHeight="1" x14ac:dyDescent="0.25">
      <c r="A1789" s="3" t="s">
        <v>1236</v>
      </c>
      <c r="B1789" s="3" t="s">
        <v>6899</v>
      </c>
      <c r="C1789" s="3" t="s">
        <v>4816</v>
      </c>
      <c r="D1789" s="3" t="s">
        <v>7188</v>
      </c>
      <c r="E1789" s="3" t="s">
        <v>7189</v>
      </c>
      <c r="F1789" s="3">
        <v>5</v>
      </c>
      <c r="G1789" s="3" t="s">
        <v>7158</v>
      </c>
      <c r="H1789" s="3">
        <v>0.27</v>
      </c>
      <c r="I1789" s="3">
        <v>1.35</v>
      </c>
    </row>
    <row r="1790" spans="1:9" ht="22.5" customHeight="1" x14ac:dyDescent="0.25">
      <c r="A1790" s="2" t="s">
        <v>1236</v>
      </c>
      <c r="B1790" s="2" t="s">
        <v>6899</v>
      </c>
      <c r="C1790" s="2" t="s">
        <v>4816</v>
      </c>
      <c r="D1790" s="2" t="s">
        <v>7338</v>
      </c>
      <c r="E1790" s="2" t="s">
        <v>7339</v>
      </c>
      <c r="F1790" s="2">
        <v>88</v>
      </c>
      <c r="G1790" s="2" t="s">
        <v>7158</v>
      </c>
      <c r="H1790" s="2">
        <v>0.24</v>
      </c>
      <c r="I1790" s="2">
        <v>21.12</v>
      </c>
    </row>
    <row r="1791" spans="1:9" ht="22.5" customHeight="1" x14ac:dyDescent="0.25">
      <c r="A1791" s="3" t="s">
        <v>3234</v>
      </c>
      <c r="B1791" s="3" t="s">
        <v>6907</v>
      </c>
      <c r="C1791" s="3" t="s">
        <v>4966</v>
      </c>
      <c r="D1791" s="3" t="s">
        <v>7153</v>
      </c>
      <c r="E1791" s="3" t="s">
        <v>7154</v>
      </c>
      <c r="F1791" s="3">
        <v>14</v>
      </c>
      <c r="G1791" s="3" t="s">
        <v>7155</v>
      </c>
      <c r="H1791" s="3">
        <v>1.24E-2</v>
      </c>
      <c r="I1791" s="3">
        <v>0.1736</v>
      </c>
    </row>
    <row r="1792" spans="1:9" ht="33.75" customHeight="1" x14ac:dyDescent="0.25">
      <c r="A1792" s="2" t="s">
        <v>3234</v>
      </c>
      <c r="B1792" s="2" t="s">
        <v>6907</v>
      </c>
      <c r="C1792" s="2" t="s">
        <v>4966</v>
      </c>
      <c r="D1792" s="2" t="s">
        <v>7186</v>
      </c>
      <c r="E1792" s="2" t="s">
        <v>7187</v>
      </c>
      <c r="F1792" s="2">
        <v>1</v>
      </c>
      <c r="G1792" s="2" t="s">
        <v>7158</v>
      </c>
      <c r="H1792" s="2">
        <v>26</v>
      </c>
      <c r="I1792" s="2">
        <v>26</v>
      </c>
    </row>
    <row r="1793" spans="1:9" ht="22.5" customHeight="1" x14ac:dyDescent="0.25">
      <c r="A1793" s="3" t="s">
        <v>3234</v>
      </c>
      <c r="B1793" s="3" t="s">
        <v>6907</v>
      </c>
      <c r="C1793" s="3" t="s">
        <v>4966</v>
      </c>
      <c r="D1793" s="3" t="s">
        <v>7159</v>
      </c>
      <c r="E1793" s="3" t="s">
        <v>7160</v>
      </c>
      <c r="F1793" s="3">
        <v>20</v>
      </c>
      <c r="G1793" s="3" t="s">
        <v>7155</v>
      </c>
      <c r="H1793" s="3">
        <v>1.8319999999999999E-2</v>
      </c>
      <c r="I1793" s="3">
        <v>0.3664</v>
      </c>
    </row>
    <row r="1794" spans="1:9" ht="22.5" customHeight="1" x14ac:dyDescent="0.25">
      <c r="A1794" s="2" t="s">
        <v>3234</v>
      </c>
      <c r="B1794" s="2" t="s">
        <v>6907</v>
      </c>
      <c r="C1794" s="2" t="s">
        <v>4966</v>
      </c>
      <c r="D1794" s="2" t="s">
        <v>7161</v>
      </c>
      <c r="E1794" s="2" t="s">
        <v>7162</v>
      </c>
      <c r="F1794" s="2">
        <v>0.186</v>
      </c>
      <c r="G1794" s="2" t="s">
        <v>7163</v>
      </c>
      <c r="H1794" s="2" t="s">
        <v>7164</v>
      </c>
      <c r="I1794" s="2">
        <v>0.186</v>
      </c>
    </row>
    <row r="1795" spans="1:9" ht="33.75" customHeight="1" x14ac:dyDescent="0.25">
      <c r="A1795" s="3" t="s">
        <v>3234</v>
      </c>
      <c r="B1795" s="3" t="s">
        <v>6907</v>
      </c>
      <c r="C1795" s="3" t="s">
        <v>4966</v>
      </c>
      <c r="D1795" s="3" t="s">
        <v>7212</v>
      </c>
      <c r="E1795" s="3" t="s">
        <v>7213</v>
      </c>
      <c r="F1795" s="3">
        <v>6</v>
      </c>
      <c r="G1795" s="3" t="s">
        <v>7158</v>
      </c>
      <c r="H1795" s="3">
        <v>0.21</v>
      </c>
      <c r="I1795" s="3">
        <v>1.26</v>
      </c>
    </row>
    <row r="1796" spans="1:9" ht="33.75" customHeight="1" x14ac:dyDescent="0.25">
      <c r="A1796" s="2" t="s">
        <v>3234</v>
      </c>
      <c r="B1796" s="2" t="s">
        <v>6907</v>
      </c>
      <c r="C1796" s="2" t="s">
        <v>4966</v>
      </c>
      <c r="D1796" s="2" t="s">
        <v>7188</v>
      </c>
      <c r="E1796" s="2" t="s">
        <v>7189</v>
      </c>
      <c r="F1796" s="2">
        <v>5</v>
      </c>
      <c r="G1796" s="2" t="s">
        <v>7158</v>
      </c>
      <c r="H1796" s="2">
        <v>0.27</v>
      </c>
      <c r="I1796" s="2">
        <v>1.35</v>
      </c>
    </row>
    <row r="1797" spans="1:9" ht="22.5" customHeight="1" x14ac:dyDescent="0.25">
      <c r="A1797" s="3" t="s">
        <v>3234</v>
      </c>
      <c r="B1797" s="3" t="s">
        <v>6907</v>
      </c>
      <c r="C1797" s="3" t="s">
        <v>4966</v>
      </c>
      <c r="D1797" s="3" t="s">
        <v>7241</v>
      </c>
      <c r="E1797" s="3" t="s">
        <v>7242</v>
      </c>
      <c r="F1797" s="3">
        <v>88</v>
      </c>
      <c r="G1797" s="3" t="s">
        <v>7158</v>
      </c>
      <c r="H1797" s="3">
        <v>0.24</v>
      </c>
      <c r="I1797" s="3">
        <v>21.12</v>
      </c>
    </row>
    <row r="1798" spans="1:9" ht="22.5" customHeight="1" x14ac:dyDescent="0.25">
      <c r="A1798" s="2" t="s">
        <v>608</v>
      </c>
      <c r="B1798" s="2" t="s">
        <v>607</v>
      </c>
      <c r="C1798" s="2" t="s">
        <v>4764</v>
      </c>
      <c r="D1798" s="2" t="s">
        <v>7153</v>
      </c>
      <c r="E1798" s="2" t="s">
        <v>7154</v>
      </c>
      <c r="F1798" s="2">
        <v>14</v>
      </c>
      <c r="G1798" s="2" t="s">
        <v>7155</v>
      </c>
      <c r="H1798" s="2">
        <v>1.24E-2</v>
      </c>
      <c r="I1798" s="2">
        <v>0.1736</v>
      </c>
    </row>
    <row r="1799" spans="1:9" ht="33.75" customHeight="1" x14ac:dyDescent="0.25">
      <c r="A1799" s="3" t="s">
        <v>608</v>
      </c>
      <c r="B1799" s="3" t="s">
        <v>607</v>
      </c>
      <c r="C1799" s="3" t="s">
        <v>4764</v>
      </c>
      <c r="D1799" s="3" t="s">
        <v>7186</v>
      </c>
      <c r="E1799" s="3" t="s">
        <v>7187</v>
      </c>
      <c r="F1799" s="3">
        <v>1</v>
      </c>
      <c r="G1799" s="3" t="s">
        <v>7158</v>
      </c>
      <c r="H1799" s="3">
        <v>26</v>
      </c>
      <c r="I1799" s="3">
        <v>26</v>
      </c>
    </row>
    <row r="1800" spans="1:9" ht="22.5" customHeight="1" x14ac:dyDescent="0.25">
      <c r="A1800" s="2" t="s">
        <v>608</v>
      </c>
      <c r="B1800" s="2" t="s">
        <v>607</v>
      </c>
      <c r="C1800" s="2" t="s">
        <v>4764</v>
      </c>
      <c r="D1800" s="2" t="s">
        <v>7159</v>
      </c>
      <c r="E1800" s="2" t="s">
        <v>7160</v>
      </c>
      <c r="F1800" s="2">
        <v>20</v>
      </c>
      <c r="G1800" s="2" t="s">
        <v>7155</v>
      </c>
      <c r="H1800" s="2">
        <v>1.8319999999999999E-2</v>
      </c>
      <c r="I1800" s="2">
        <v>0.3664</v>
      </c>
    </row>
    <row r="1801" spans="1:9" ht="22.5" customHeight="1" x14ac:dyDescent="0.25">
      <c r="A1801" s="3" t="s">
        <v>608</v>
      </c>
      <c r="B1801" s="3" t="s">
        <v>607</v>
      </c>
      <c r="C1801" s="3" t="s">
        <v>4764</v>
      </c>
      <c r="D1801" s="3" t="s">
        <v>7161</v>
      </c>
      <c r="E1801" s="3" t="s">
        <v>7162</v>
      </c>
      <c r="F1801" s="3">
        <v>0.186</v>
      </c>
      <c r="G1801" s="3" t="s">
        <v>7163</v>
      </c>
      <c r="H1801" s="3" t="s">
        <v>7164</v>
      </c>
      <c r="I1801" s="3">
        <v>0.186</v>
      </c>
    </row>
    <row r="1802" spans="1:9" ht="33.75" customHeight="1" x14ac:dyDescent="0.25">
      <c r="A1802" s="2" t="s">
        <v>608</v>
      </c>
      <c r="B1802" s="2" t="s">
        <v>607</v>
      </c>
      <c r="C1802" s="2" t="s">
        <v>4764</v>
      </c>
      <c r="D1802" s="2" t="s">
        <v>7212</v>
      </c>
      <c r="E1802" s="2" t="s">
        <v>7213</v>
      </c>
      <c r="F1802" s="2">
        <v>6</v>
      </c>
      <c r="G1802" s="2" t="s">
        <v>7158</v>
      </c>
      <c r="H1802" s="2">
        <v>0.21</v>
      </c>
      <c r="I1802" s="2">
        <v>1.26</v>
      </c>
    </row>
    <row r="1803" spans="1:9" ht="33.75" customHeight="1" x14ac:dyDescent="0.25">
      <c r="A1803" s="3" t="s">
        <v>608</v>
      </c>
      <c r="B1803" s="3" t="s">
        <v>607</v>
      </c>
      <c r="C1803" s="3" t="s">
        <v>4764</v>
      </c>
      <c r="D1803" s="3" t="s">
        <v>7188</v>
      </c>
      <c r="E1803" s="3" t="s">
        <v>7189</v>
      </c>
      <c r="F1803" s="3">
        <v>5</v>
      </c>
      <c r="G1803" s="3" t="s">
        <v>7158</v>
      </c>
      <c r="H1803" s="3">
        <v>0.27</v>
      </c>
      <c r="I1803" s="3">
        <v>1.35</v>
      </c>
    </row>
    <row r="1804" spans="1:9" ht="22.5" customHeight="1" x14ac:dyDescent="0.25">
      <c r="A1804" s="2" t="s">
        <v>608</v>
      </c>
      <c r="B1804" s="2" t="s">
        <v>607</v>
      </c>
      <c r="C1804" s="2" t="s">
        <v>4764</v>
      </c>
      <c r="D1804" s="2" t="s">
        <v>7340</v>
      </c>
      <c r="E1804" s="2" t="s">
        <v>7341</v>
      </c>
      <c r="F1804" s="2">
        <v>88</v>
      </c>
      <c r="G1804" s="2" t="s">
        <v>7158</v>
      </c>
      <c r="H1804" s="2">
        <v>0.24</v>
      </c>
      <c r="I1804" s="2">
        <v>21.12</v>
      </c>
    </row>
    <row r="1805" spans="1:9" ht="22.5" customHeight="1" x14ac:dyDescent="0.25">
      <c r="A1805" s="3" t="s">
        <v>720</v>
      </c>
      <c r="B1805" s="3" t="s">
        <v>719</v>
      </c>
      <c r="C1805" s="3" t="s">
        <v>4785</v>
      </c>
      <c r="D1805" s="3" t="s">
        <v>7153</v>
      </c>
      <c r="E1805" s="3" t="s">
        <v>7154</v>
      </c>
      <c r="F1805" s="3">
        <v>14</v>
      </c>
      <c r="G1805" s="3" t="s">
        <v>7155</v>
      </c>
      <c r="H1805" s="3">
        <v>1.24E-2</v>
      </c>
      <c r="I1805" s="3">
        <v>0.1736</v>
      </c>
    </row>
    <row r="1806" spans="1:9" ht="33.75" customHeight="1" x14ac:dyDescent="0.25">
      <c r="A1806" s="2" t="s">
        <v>720</v>
      </c>
      <c r="B1806" s="2" t="s">
        <v>719</v>
      </c>
      <c r="C1806" s="2" t="s">
        <v>4785</v>
      </c>
      <c r="D1806" s="2" t="s">
        <v>7186</v>
      </c>
      <c r="E1806" s="2" t="s">
        <v>7187</v>
      </c>
      <c r="F1806" s="2">
        <v>1</v>
      </c>
      <c r="G1806" s="2" t="s">
        <v>7158</v>
      </c>
      <c r="H1806" s="2">
        <v>26</v>
      </c>
      <c r="I1806" s="2">
        <v>26</v>
      </c>
    </row>
    <row r="1807" spans="1:9" ht="22.5" customHeight="1" x14ac:dyDescent="0.25">
      <c r="A1807" s="3" t="s">
        <v>720</v>
      </c>
      <c r="B1807" s="3" t="s">
        <v>719</v>
      </c>
      <c r="C1807" s="3" t="s">
        <v>4785</v>
      </c>
      <c r="D1807" s="3" t="s">
        <v>7159</v>
      </c>
      <c r="E1807" s="3" t="s">
        <v>7160</v>
      </c>
      <c r="F1807" s="3">
        <v>20</v>
      </c>
      <c r="G1807" s="3" t="s">
        <v>7155</v>
      </c>
      <c r="H1807" s="3">
        <v>1.8319999999999999E-2</v>
      </c>
      <c r="I1807" s="3">
        <v>0.3664</v>
      </c>
    </row>
    <row r="1808" spans="1:9" ht="22.5" customHeight="1" x14ac:dyDescent="0.25">
      <c r="A1808" s="2" t="s">
        <v>720</v>
      </c>
      <c r="B1808" s="2" t="s">
        <v>719</v>
      </c>
      <c r="C1808" s="2" t="s">
        <v>4785</v>
      </c>
      <c r="D1808" s="2" t="s">
        <v>7161</v>
      </c>
      <c r="E1808" s="2" t="s">
        <v>7162</v>
      </c>
      <c r="F1808" s="2">
        <v>0.186</v>
      </c>
      <c r="G1808" s="2" t="s">
        <v>7163</v>
      </c>
      <c r="H1808" s="2" t="s">
        <v>7164</v>
      </c>
      <c r="I1808" s="2">
        <v>0.186</v>
      </c>
    </row>
    <row r="1809" spans="1:9" ht="33.75" customHeight="1" x14ac:dyDescent="0.25">
      <c r="A1809" s="3" t="s">
        <v>720</v>
      </c>
      <c r="B1809" s="3" t="s">
        <v>719</v>
      </c>
      <c r="C1809" s="3" t="s">
        <v>4785</v>
      </c>
      <c r="D1809" s="3" t="s">
        <v>7212</v>
      </c>
      <c r="E1809" s="3" t="s">
        <v>7213</v>
      </c>
      <c r="F1809" s="3">
        <v>6</v>
      </c>
      <c r="G1809" s="3" t="s">
        <v>7158</v>
      </c>
      <c r="H1809" s="3">
        <v>0.21</v>
      </c>
      <c r="I1809" s="3">
        <v>1.26</v>
      </c>
    </row>
    <row r="1810" spans="1:9" ht="33.75" customHeight="1" x14ac:dyDescent="0.25">
      <c r="A1810" s="2" t="s">
        <v>720</v>
      </c>
      <c r="B1810" s="2" t="s">
        <v>719</v>
      </c>
      <c r="C1810" s="2" t="s">
        <v>4785</v>
      </c>
      <c r="D1810" s="2" t="s">
        <v>7188</v>
      </c>
      <c r="E1810" s="2" t="s">
        <v>7189</v>
      </c>
      <c r="F1810" s="2">
        <v>5</v>
      </c>
      <c r="G1810" s="2" t="s">
        <v>7158</v>
      </c>
      <c r="H1810" s="2">
        <v>0.27</v>
      </c>
      <c r="I1810" s="2">
        <v>1.35</v>
      </c>
    </row>
    <row r="1811" spans="1:9" ht="22.5" customHeight="1" x14ac:dyDescent="0.25">
      <c r="A1811" s="3" t="s">
        <v>720</v>
      </c>
      <c r="B1811" s="3" t="s">
        <v>719</v>
      </c>
      <c r="C1811" s="3" t="s">
        <v>4785</v>
      </c>
      <c r="D1811" s="3" t="s">
        <v>7342</v>
      </c>
      <c r="E1811" s="3" t="s">
        <v>7343</v>
      </c>
      <c r="F1811" s="3">
        <v>88</v>
      </c>
      <c r="G1811" s="3" t="s">
        <v>7158</v>
      </c>
      <c r="H1811" s="3">
        <v>0.24</v>
      </c>
      <c r="I1811" s="3">
        <v>21.12</v>
      </c>
    </row>
    <row r="1812" spans="1:9" ht="22.5" customHeight="1" x14ac:dyDescent="0.25">
      <c r="A1812" s="2" t="s">
        <v>3749</v>
      </c>
      <c r="B1812" s="2" t="s">
        <v>3748</v>
      </c>
      <c r="C1812" s="2" t="s">
        <v>4998</v>
      </c>
      <c r="D1812" s="2" t="s">
        <v>7153</v>
      </c>
      <c r="E1812" s="2" t="s">
        <v>7154</v>
      </c>
      <c r="F1812" s="2">
        <v>14</v>
      </c>
      <c r="G1812" s="2" t="s">
        <v>7155</v>
      </c>
      <c r="H1812" s="2">
        <v>1.24E-2</v>
      </c>
      <c r="I1812" s="2">
        <v>0.1736</v>
      </c>
    </row>
    <row r="1813" spans="1:9" ht="33.75" customHeight="1" x14ac:dyDescent="0.25">
      <c r="A1813" s="3" t="s">
        <v>3749</v>
      </c>
      <c r="B1813" s="3" t="s">
        <v>3748</v>
      </c>
      <c r="C1813" s="3" t="s">
        <v>4998</v>
      </c>
      <c r="D1813" s="3" t="s">
        <v>7186</v>
      </c>
      <c r="E1813" s="3" t="s">
        <v>7187</v>
      </c>
      <c r="F1813" s="3">
        <v>1</v>
      </c>
      <c r="G1813" s="3" t="s">
        <v>7158</v>
      </c>
      <c r="H1813" s="3">
        <v>26</v>
      </c>
      <c r="I1813" s="3">
        <v>26</v>
      </c>
    </row>
    <row r="1814" spans="1:9" ht="22.5" customHeight="1" x14ac:dyDescent="0.25">
      <c r="A1814" s="2" t="s">
        <v>3749</v>
      </c>
      <c r="B1814" s="2" t="s">
        <v>3748</v>
      </c>
      <c r="C1814" s="2" t="s">
        <v>4998</v>
      </c>
      <c r="D1814" s="2" t="s">
        <v>7159</v>
      </c>
      <c r="E1814" s="2" t="s">
        <v>7160</v>
      </c>
      <c r="F1814" s="2">
        <v>20</v>
      </c>
      <c r="G1814" s="2" t="s">
        <v>7155</v>
      </c>
      <c r="H1814" s="2">
        <v>1.8319999999999999E-2</v>
      </c>
      <c r="I1814" s="2">
        <v>0.3664</v>
      </c>
    </row>
    <row r="1815" spans="1:9" ht="22.5" customHeight="1" x14ac:dyDescent="0.25">
      <c r="A1815" s="3" t="s">
        <v>3749</v>
      </c>
      <c r="B1815" s="3" t="s">
        <v>3748</v>
      </c>
      <c r="C1815" s="3" t="s">
        <v>4998</v>
      </c>
      <c r="D1815" s="3" t="s">
        <v>7161</v>
      </c>
      <c r="E1815" s="3" t="s">
        <v>7162</v>
      </c>
      <c r="F1815" s="3">
        <v>0.186</v>
      </c>
      <c r="G1815" s="3" t="s">
        <v>7163</v>
      </c>
      <c r="H1815" s="3" t="s">
        <v>7164</v>
      </c>
      <c r="I1815" s="3">
        <v>0.186</v>
      </c>
    </row>
    <row r="1816" spans="1:9" ht="33.75" customHeight="1" x14ac:dyDescent="0.25">
      <c r="A1816" s="2" t="s">
        <v>3749</v>
      </c>
      <c r="B1816" s="2" t="s">
        <v>3748</v>
      </c>
      <c r="C1816" s="2" t="s">
        <v>4998</v>
      </c>
      <c r="D1816" s="2" t="s">
        <v>7212</v>
      </c>
      <c r="E1816" s="2" t="s">
        <v>7213</v>
      </c>
      <c r="F1816" s="2">
        <v>6</v>
      </c>
      <c r="G1816" s="2" t="s">
        <v>7158</v>
      </c>
      <c r="H1816" s="2">
        <v>0.21</v>
      </c>
      <c r="I1816" s="2">
        <v>1.26</v>
      </c>
    </row>
    <row r="1817" spans="1:9" ht="33.75" customHeight="1" x14ac:dyDescent="0.25">
      <c r="A1817" s="3" t="s">
        <v>3749</v>
      </c>
      <c r="B1817" s="3" t="s">
        <v>3748</v>
      </c>
      <c r="C1817" s="3" t="s">
        <v>4998</v>
      </c>
      <c r="D1817" s="3" t="s">
        <v>7188</v>
      </c>
      <c r="E1817" s="3" t="s">
        <v>7189</v>
      </c>
      <c r="F1817" s="3">
        <v>5</v>
      </c>
      <c r="G1817" s="3" t="s">
        <v>7158</v>
      </c>
      <c r="H1817" s="3">
        <v>0.27</v>
      </c>
      <c r="I1817" s="3">
        <v>1.35</v>
      </c>
    </row>
    <row r="1818" spans="1:9" ht="22.5" customHeight="1" x14ac:dyDescent="0.25">
      <c r="A1818" s="2" t="s">
        <v>3749</v>
      </c>
      <c r="B1818" s="2" t="s">
        <v>3748</v>
      </c>
      <c r="C1818" s="2" t="s">
        <v>4998</v>
      </c>
      <c r="D1818" s="2" t="s">
        <v>7344</v>
      </c>
      <c r="E1818" s="2" t="s">
        <v>7345</v>
      </c>
      <c r="F1818" s="2">
        <v>88</v>
      </c>
      <c r="G1818" s="2" t="s">
        <v>7158</v>
      </c>
      <c r="H1818" s="2">
        <v>0.24</v>
      </c>
      <c r="I1818" s="2">
        <v>21.12</v>
      </c>
    </row>
    <row r="1819" spans="1:9" ht="22.5" customHeight="1" x14ac:dyDescent="0.25">
      <c r="A1819" s="3" t="s">
        <v>1222</v>
      </c>
      <c r="B1819" s="3" t="s">
        <v>6936</v>
      </c>
      <c r="C1819" s="3" t="s">
        <v>4815</v>
      </c>
      <c r="D1819" s="3" t="s">
        <v>7153</v>
      </c>
      <c r="E1819" s="3" t="s">
        <v>7154</v>
      </c>
      <c r="F1819" s="3">
        <v>14</v>
      </c>
      <c r="G1819" s="3" t="s">
        <v>7155</v>
      </c>
      <c r="H1819" s="3">
        <v>1.24E-2</v>
      </c>
      <c r="I1819" s="3">
        <v>0.1736</v>
      </c>
    </row>
    <row r="1820" spans="1:9" ht="33.75" customHeight="1" x14ac:dyDescent="0.25">
      <c r="A1820" s="2" t="s">
        <v>1222</v>
      </c>
      <c r="B1820" s="2" t="s">
        <v>6936</v>
      </c>
      <c r="C1820" s="2" t="s">
        <v>4815</v>
      </c>
      <c r="D1820" s="2" t="s">
        <v>7186</v>
      </c>
      <c r="E1820" s="2" t="s">
        <v>7187</v>
      </c>
      <c r="F1820" s="2">
        <v>1</v>
      </c>
      <c r="G1820" s="2" t="s">
        <v>7158</v>
      </c>
      <c r="H1820" s="2">
        <v>26</v>
      </c>
      <c r="I1820" s="2">
        <v>26</v>
      </c>
    </row>
    <row r="1821" spans="1:9" ht="22.5" customHeight="1" x14ac:dyDescent="0.25">
      <c r="A1821" s="3" t="s">
        <v>1222</v>
      </c>
      <c r="B1821" s="3" t="s">
        <v>6936</v>
      </c>
      <c r="C1821" s="3" t="s">
        <v>4815</v>
      </c>
      <c r="D1821" s="3" t="s">
        <v>7159</v>
      </c>
      <c r="E1821" s="3" t="s">
        <v>7160</v>
      </c>
      <c r="F1821" s="3">
        <v>20</v>
      </c>
      <c r="G1821" s="3" t="s">
        <v>7155</v>
      </c>
      <c r="H1821" s="3">
        <v>1.8319999999999999E-2</v>
      </c>
      <c r="I1821" s="3">
        <v>0.3664</v>
      </c>
    </row>
    <row r="1822" spans="1:9" ht="22.5" customHeight="1" x14ac:dyDescent="0.25">
      <c r="A1822" s="2" t="s">
        <v>1222</v>
      </c>
      <c r="B1822" s="2" t="s">
        <v>6936</v>
      </c>
      <c r="C1822" s="2" t="s">
        <v>4815</v>
      </c>
      <c r="D1822" s="2" t="s">
        <v>7161</v>
      </c>
      <c r="E1822" s="2" t="s">
        <v>7162</v>
      </c>
      <c r="F1822" s="2">
        <v>0.186</v>
      </c>
      <c r="G1822" s="2" t="s">
        <v>7163</v>
      </c>
      <c r="H1822" s="2" t="s">
        <v>7164</v>
      </c>
      <c r="I1822" s="2">
        <v>0.186</v>
      </c>
    </row>
    <row r="1823" spans="1:9" ht="33.75" customHeight="1" x14ac:dyDescent="0.25">
      <c r="A1823" s="3" t="s">
        <v>1222</v>
      </c>
      <c r="B1823" s="3" t="s">
        <v>6936</v>
      </c>
      <c r="C1823" s="3" t="s">
        <v>4815</v>
      </c>
      <c r="D1823" s="3" t="s">
        <v>7212</v>
      </c>
      <c r="E1823" s="3" t="s">
        <v>7213</v>
      </c>
      <c r="F1823" s="3">
        <v>8</v>
      </c>
      <c r="G1823" s="3" t="s">
        <v>7158</v>
      </c>
      <c r="H1823" s="3">
        <v>0.21</v>
      </c>
      <c r="I1823" s="3">
        <v>1.68</v>
      </c>
    </row>
    <row r="1824" spans="1:9" ht="33.75" customHeight="1" x14ac:dyDescent="0.25">
      <c r="A1824" s="2" t="s">
        <v>1222</v>
      </c>
      <c r="B1824" s="2" t="s">
        <v>6936</v>
      </c>
      <c r="C1824" s="2" t="s">
        <v>4815</v>
      </c>
      <c r="D1824" s="2" t="s">
        <v>7188</v>
      </c>
      <c r="E1824" s="2" t="s">
        <v>7189</v>
      </c>
      <c r="F1824" s="2">
        <v>4</v>
      </c>
      <c r="G1824" s="2" t="s">
        <v>7158</v>
      </c>
      <c r="H1824" s="2">
        <v>0.27</v>
      </c>
      <c r="I1824" s="2">
        <v>1.08</v>
      </c>
    </row>
    <row r="1825" spans="1:9" ht="22.5" customHeight="1" x14ac:dyDescent="0.25">
      <c r="A1825" s="3" t="s">
        <v>1222</v>
      </c>
      <c r="B1825" s="3" t="s">
        <v>6936</v>
      </c>
      <c r="C1825" s="3" t="s">
        <v>4815</v>
      </c>
      <c r="D1825" s="3" t="s">
        <v>7346</v>
      </c>
      <c r="E1825" s="3" t="s">
        <v>7347</v>
      </c>
      <c r="F1825" s="3">
        <v>88</v>
      </c>
      <c r="G1825" s="3" t="s">
        <v>7158</v>
      </c>
      <c r="H1825" s="3">
        <v>0.24</v>
      </c>
      <c r="I1825" s="3">
        <v>21.12</v>
      </c>
    </row>
    <row r="1826" spans="1:9" ht="22.5" customHeight="1" x14ac:dyDescent="0.25">
      <c r="A1826" s="2" t="s">
        <v>2214</v>
      </c>
      <c r="B1826" s="2" t="s">
        <v>2213</v>
      </c>
      <c r="C1826" s="2" t="s">
        <v>4895</v>
      </c>
      <c r="D1826" s="2" t="s">
        <v>7153</v>
      </c>
      <c r="E1826" s="2" t="s">
        <v>7154</v>
      </c>
      <c r="F1826" s="2">
        <v>14</v>
      </c>
      <c r="G1826" s="2" t="s">
        <v>7155</v>
      </c>
      <c r="H1826" s="2">
        <v>1.24E-2</v>
      </c>
      <c r="I1826" s="2">
        <v>0.1736</v>
      </c>
    </row>
    <row r="1827" spans="1:9" ht="33.75" customHeight="1" x14ac:dyDescent="0.25">
      <c r="A1827" s="3" t="s">
        <v>2214</v>
      </c>
      <c r="B1827" s="3" t="s">
        <v>2213</v>
      </c>
      <c r="C1827" s="3" t="s">
        <v>4895</v>
      </c>
      <c r="D1827" s="3" t="s">
        <v>7186</v>
      </c>
      <c r="E1827" s="3" t="s">
        <v>7187</v>
      </c>
      <c r="F1827" s="3">
        <v>1</v>
      </c>
      <c r="G1827" s="3" t="s">
        <v>7158</v>
      </c>
      <c r="H1827" s="3">
        <v>26</v>
      </c>
      <c r="I1827" s="3">
        <v>26</v>
      </c>
    </row>
    <row r="1828" spans="1:9" ht="22.5" customHeight="1" x14ac:dyDescent="0.25">
      <c r="A1828" s="2" t="s">
        <v>2214</v>
      </c>
      <c r="B1828" s="2" t="s">
        <v>2213</v>
      </c>
      <c r="C1828" s="2" t="s">
        <v>4895</v>
      </c>
      <c r="D1828" s="2" t="s">
        <v>7159</v>
      </c>
      <c r="E1828" s="2" t="s">
        <v>7160</v>
      </c>
      <c r="F1828" s="2">
        <v>20</v>
      </c>
      <c r="G1828" s="2" t="s">
        <v>7155</v>
      </c>
      <c r="H1828" s="2">
        <v>1.8319999999999999E-2</v>
      </c>
      <c r="I1828" s="2">
        <v>0.3664</v>
      </c>
    </row>
    <row r="1829" spans="1:9" ht="22.5" customHeight="1" x14ac:dyDescent="0.25">
      <c r="A1829" s="3" t="s">
        <v>2214</v>
      </c>
      <c r="B1829" s="3" t="s">
        <v>2213</v>
      </c>
      <c r="C1829" s="3" t="s">
        <v>4895</v>
      </c>
      <c r="D1829" s="3" t="s">
        <v>7161</v>
      </c>
      <c r="E1829" s="3" t="s">
        <v>7162</v>
      </c>
      <c r="F1829" s="3">
        <v>0.186</v>
      </c>
      <c r="G1829" s="3" t="s">
        <v>7163</v>
      </c>
      <c r="H1829" s="3" t="s">
        <v>7164</v>
      </c>
      <c r="I1829" s="3">
        <v>0.186</v>
      </c>
    </row>
    <row r="1830" spans="1:9" ht="33.75" customHeight="1" x14ac:dyDescent="0.25">
      <c r="A1830" s="2" t="s">
        <v>2214</v>
      </c>
      <c r="B1830" s="2" t="s">
        <v>2213</v>
      </c>
      <c r="C1830" s="2" t="s">
        <v>4895</v>
      </c>
      <c r="D1830" s="2" t="s">
        <v>7212</v>
      </c>
      <c r="E1830" s="2" t="s">
        <v>7213</v>
      </c>
      <c r="F1830" s="2">
        <v>8</v>
      </c>
      <c r="G1830" s="2" t="s">
        <v>7158</v>
      </c>
      <c r="H1830" s="2">
        <v>0.21</v>
      </c>
      <c r="I1830" s="2">
        <v>1.68</v>
      </c>
    </row>
    <row r="1831" spans="1:9" ht="33.75" customHeight="1" x14ac:dyDescent="0.25">
      <c r="A1831" s="3" t="s">
        <v>2214</v>
      </c>
      <c r="B1831" s="3" t="s">
        <v>2213</v>
      </c>
      <c r="C1831" s="3" t="s">
        <v>4895</v>
      </c>
      <c r="D1831" s="3" t="s">
        <v>7188</v>
      </c>
      <c r="E1831" s="3" t="s">
        <v>7189</v>
      </c>
      <c r="F1831" s="3">
        <v>5</v>
      </c>
      <c r="G1831" s="3" t="s">
        <v>7158</v>
      </c>
      <c r="H1831" s="3">
        <v>0.27</v>
      </c>
      <c r="I1831" s="3">
        <v>1.35</v>
      </c>
    </row>
    <row r="1832" spans="1:9" ht="22.5" customHeight="1" x14ac:dyDescent="0.25">
      <c r="A1832" s="2" t="s">
        <v>2214</v>
      </c>
      <c r="B1832" s="2" t="s">
        <v>2213</v>
      </c>
      <c r="C1832" s="2" t="s">
        <v>4895</v>
      </c>
      <c r="D1832" s="2" t="s">
        <v>7348</v>
      </c>
      <c r="E1832" s="2" t="s">
        <v>7349</v>
      </c>
      <c r="F1832" s="2">
        <v>88</v>
      </c>
      <c r="G1832" s="2" t="s">
        <v>7158</v>
      </c>
      <c r="H1832" s="2">
        <v>0.22</v>
      </c>
      <c r="I1832" s="2">
        <v>19.36</v>
      </c>
    </row>
    <row r="1833" spans="1:9" ht="22.5" customHeight="1" x14ac:dyDescent="0.25">
      <c r="A1833" s="3" t="s">
        <v>1189</v>
      </c>
      <c r="B1833" s="3" t="s">
        <v>6951</v>
      </c>
      <c r="C1833" s="3" t="s">
        <v>4813</v>
      </c>
      <c r="D1833" s="3" t="s">
        <v>7153</v>
      </c>
      <c r="E1833" s="3" t="s">
        <v>7154</v>
      </c>
      <c r="F1833" s="3">
        <v>14</v>
      </c>
      <c r="G1833" s="3" t="s">
        <v>7155</v>
      </c>
      <c r="H1833" s="3">
        <v>1.24E-2</v>
      </c>
      <c r="I1833" s="3">
        <v>0.1736</v>
      </c>
    </row>
    <row r="1834" spans="1:9" ht="33.75" customHeight="1" x14ac:dyDescent="0.25">
      <c r="A1834" s="2" t="s">
        <v>1189</v>
      </c>
      <c r="B1834" s="2" t="s">
        <v>6951</v>
      </c>
      <c r="C1834" s="2" t="s">
        <v>4813</v>
      </c>
      <c r="D1834" s="2" t="s">
        <v>7186</v>
      </c>
      <c r="E1834" s="2" t="s">
        <v>7187</v>
      </c>
      <c r="F1834" s="2">
        <v>1</v>
      </c>
      <c r="G1834" s="2" t="s">
        <v>7158</v>
      </c>
      <c r="H1834" s="2">
        <v>26</v>
      </c>
      <c r="I1834" s="2">
        <v>26</v>
      </c>
    </row>
    <row r="1835" spans="1:9" ht="22.5" customHeight="1" x14ac:dyDescent="0.25">
      <c r="A1835" s="3" t="s">
        <v>1189</v>
      </c>
      <c r="B1835" s="3" t="s">
        <v>6951</v>
      </c>
      <c r="C1835" s="3" t="s">
        <v>4813</v>
      </c>
      <c r="D1835" s="3" t="s">
        <v>7159</v>
      </c>
      <c r="E1835" s="3" t="s">
        <v>7160</v>
      </c>
      <c r="F1835" s="3">
        <v>20</v>
      </c>
      <c r="G1835" s="3" t="s">
        <v>7155</v>
      </c>
      <c r="H1835" s="3">
        <v>1.8319999999999999E-2</v>
      </c>
      <c r="I1835" s="3">
        <v>0.3664</v>
      </c>
    </row>
    <row r="1836" spans="1:9" ht="22.5" customHeight="1" x14ac:dyDescent="0.25">
      <c r="A1836" s="2" t="s">
        <v>1189</v>
      </c>
      <c r="B1836" s="2" t="s">
        <v>6951</v>
      </c>
      <c r="C1836" s="2" t="s">
        <v>4813</v>
      </c>
      <c r="D1836" s="2" t="s">
        <v>7161</v>
      </c>
      <c r="E1836" s="2" t="s">
        <v>7162</v>
      </c>
      <c r="F1836" s="2">
        <v>0.186</v>
      </c>
      <c r="G1836" s="2" t="s">
        <v>7163</v>
      </c>
      <c r="H1836" s="2" t="s">
        <v>7164</v>
      </c>
      <c r="I1836" s="2">
        <v>0.186</v>
      </c>
    </row>
    <row r="1837" spans="1:9" ht="33.75" customHeight="1" x14ac:dyDescent="0.25">
      <c r="A1837" s="3" t="s">
        <v>1189</v>
      </c>
      <c r="B1837" s="3" t="s">
        <v>6951</v>
      </c>
      <c r="C1837" s="3" t="s">
        <v>4813</v>
      </c>
      <c r="D1837" s="3" t="s">
        <v>7212</v>
      </c>
      <c r="E1837" s="3" t="s">
        <v>7213</v>
      </c>
      <c r="F1837" s="3">
        <v>8</v>
      </c>
      <c r="G1837" s="3" t="s">
        <v>7158</v>
      </c>
      <c r="H1837" s="3">
        <v>0.21</v>
      </c>
      <c r="I1837" s="3">
        <v>1.68</v>
      </c>
    </row>
    <row r="1838" spans="1:9" ht="33.75" customHeight="1" x14ac:dyDescent="0.25">
      <c r="A1838" s="2" t="s">
        <v>1189</v>
      </c>
      <c r="B1838" s="2" t="s">
        <v>6951</v>
      </c>
      <c r="C1838" s="2" t="s">
        <v>4813</v>
      </c>
      <c r="D1838" s="2" t="s">
        <v>7188</v>
      </c>
      <c r="E1838" s="2" t="s">
        <v>7189</v>
      </c>
      <c r="F1838" s="2">
        <v>5</v>
      </c>
      <c r="G1838" s="2" t="s">
        <v>7158</v>
      </c>
      <c r="H1838" s="2">
        <v>0.27</v>
      </c>
      <c r="I1838" s="2">
        <v>1.35</v>
      </c>
    </row>
    <row r="1839" spans="1:9" ht="22.5" customHeight="1" x14ac:dyDescent="0.25">
      <c r="A1839" s="3" t="s">
        <v>1189</v>
      </c>
      <c r="B1839" s="3" t="s">
        <v>6951</v>
      </c>
      <c r="C1839" s="3" t="s">
        <v>4813</v>
      </c>
      <c r="D1839" s="3" t="s">
        <v>7350</v>
      </c>
      <c r="E1839" s="3" t="s">
        <v>7351</v>
      </c>
      <c r="F1839" s="3">
        <v>88</v>
      </c>
      <c r="G1839" s="3" t="s">
        <v>7158</v>
      </c>
      <c r="H1839" s="3">
        <v>0.24</v>
      </c>
      <c r="I1839" s="3">
        <v>21.12</v>
      </c>
    </row>
    <row r="1840" spans="1:9" ht="22.5" customHeight="1" x14ac:dyDescent="0.25">
      <c r="A1840" s="2" t="s">
        <v>2634</v>
      </c>
      <c r="B1840" s="2" t="s">
        <v>6959</v>
      </c>
      <c r="C1840" s="2" t="s">
        <v>4932</v>
      </c>
      <c r="D1840" s="2" t="s">
        <v>7153</v>
      </c>
      <c r="E1840" s="2" t="s">
        <v>7154</v>
      </c>
      <c r="F1840" s="2">
        <v>7</v>
      </c>
      <c r="G1840" s="2" t="s">
        <v>7155</v>
      </c>
      <c r="H1840" s="2">
        <v>1.24E-2</v>
      </c>
      <c r="I1840" s="2">
        <v>8.6800000000000002E-2</v>
      </c>
    </row>
    <row r="1841" spans="1:9" ht="33.75" customHeight="1" x14ac:dyDescent="0.25">
      <c r="A1841" s="3" t="s">
        <v>2634</v>
      </c>
      <c r="B1841" s="3" t="s">
        <v>6959</v>
      </c>
      <c r="C1841" s="3" t="s">
        <v>4932</v>
      </c>
      <c r="D1841" s="3" t="s">
        <v>7186</v>
      </c>
      <c r="E1841" s="3" t="s">
        <v>7187</v>
      </c>
      <c r="F1841" s="3">
        <v>1</v>
      </c>
      <c r="G1841" s="3" t="s">
        <v>7158</v>
      </c>
      <c r="H1841" s="3">
        <v>26</v>
      </c>
      <c r="I1841" s="3">
        <v>26</v>
      </c>
    </row>
    <row r="1842" spans="1:9" ht="22.5" customHeight="1" x14ac:dyDescent="0.25">
      <c r="A1842" s="2" t="s">
        <v>2634</v>
      </c>
      <c r="B1842" s="2" t="s">
        <v>6959</v>
      </c>
      <c r="C1842" s="2" t="s">
        <v>4932</v>
      </c>
      <c r="D1842" s="2" t="s">
        <v>7159</v>
      </c>
      <c r="E1842" s="2" t="s">
        <v>7160</v>
      </c>
      <c r="F1842" s="2">
        <v>20</v>
      </c>
      <c r="G1842" s="2" t="s">
        <v>7155</v>
      </c>
      <c r="H1842" s="2">
        <v>1.8319999999999999E-2</v>
      </c>
      <c r="I1842" s="2">
        <v>0.3664</v>
      </c>
    </row>
    <row r="1843" spans="1:9" ht="22.5" customHeight="1" x14ac:dyDescent="0.25">
      <c r="A1843" s="3" t="s">
        <v>2634</v>
      </c>
      <c r="B1843" s="3" t="s">
        <v>6959</v>
      </c>
      <c r="C1843" s="3" t="s">
        <v>4932</v>
      </c>
      <c r="D1843" s="3" t="s">
        <v>7161</v>
      </c>
      <c r="E1843" s="3" t="s">
        <v>7162</v>
      </c>
      <c r="F1843" s="3">
        <v>0.186</v>
      </c>
      <c r="G1843" s="3" t="s">
        <v>7163</v>
      </c>
      <c r="H1843" s="3" t="s">
        <v>7164</v>
      </c>
      <c r="I1843" s="3">
        <v>0.186</v>
      </c>
    </row>
    <row r="1844" spans="1:9" ht="22.5" customHeight="1" x14ac:dyDescent="0.25">
      <c r="A1844" s="2" t="s">
        <v>2634</v>
      </c>
      <c r="B1844" s="2" t="s">
        <v>6959</v>
      </c>
      <c r="C1844" s="2" t="s">
        <v>4932</v>
      </c>
      <c r="D1844" s="2" t="s">
        <v>7332</v>
      </c>
      <c r="E1844" s="2" t="s">
        <v>7333</v>
      </c>
      <c r="F1844" s="2">
        <v>2.1659999999999999</v>
      </c>
      <c r="G1844" s="2" t="s">
        <v>7163</v>
      </c>
      <c r="H1844" s="2" t="s">
        <v>7164</v>
      </c>
      <c r="I1844" s="2">
        <v>2.1659999999999999</v>
      </c>
    </row>
    <row r="1845" spans="1:9" ht="33.75" customHeight="1" x14ac:dyDescent="0.25">
      <c r="A1845" s="3" t="s">
        <v>2634</v>
      </c>
      <c r="B1845" s="3" t="s">
        <v>6959</v>
      </c>
      <c r="C1845" s="3" t="s">
        <v>4932</v>
      </c>
      <c r="D1845" s="3" t="s">
        <v>7188</v>
      </c>
      <c r="E1845" s="3" t="s">
        <v>7189</v>
      </c>
      <c r="F1845" s="3">
        <v>4</v>
      </c>
      <c r="G1845" s="3" t="s">
        <v>7158</v>
      </c>
      <c r="H1845" s="3">
        <v>0.27</v>
      </c>
      <c r="I1845" s="3">
        <v>1.08</v>
      </c>
    </row>
    <row r="1846" spans="1:9" ht="33.75" customHeight="1" x14ac:dyDescent="0.25">
      <c r="A1846" s="2" t="s">
        <v>2634</v>
      </c>
      <c r="B1846" s="2" t="s">
        <v>6959</v>
      </c>
      <c r="C1846" s="2" t="s">
        <v>4932</v>
      </c>
      <c r="D1846" s="2" t="s">
        <v>7165</v>
      </c>
      <c r="E1846" s="2" t="s">
        <v>7166</v>
      </c>
      <c r="F1846" s="2">
        <v>2</v>
      </c>
      <c r="G1846" s="2" t="s">
        <v>7158</v>
      </c>
      <c r="H1846" s="2">
        <v>0.1</v>
      </c>
      <c r="I1846" s="2">
        <v>0.2</v>
      </c>
    </row>
    <row r="1847" spans="1:9" ht="22.5" customHeight="1" x14ac:dyDescent="0.25">
      <c r="A1847" s="3" t="s">
        <v>2373</v>
      </c>
      <c r="B1847" s="3" t="s">
        <v>6967</v>
      </c>
      <c r="C1847" s="3" t="s">
        <v>4909</v>
      </c>
      <c r="D1847" s="3" t="s">
        <v>7249</v>
      </c>
      <c r="E1847" s="3" t="s">
        <v>7250</v>
      </c>
      <c r="F1847" s="3">
        <v>3</v>
      </c>
      <c r="G1847" s="3" t="s">
        <v>7158</v>
      </c>
      <c r="H1847" s="3">
        <v>0.104</v>
      </c>
      <c r="I1847" s="3">
        <v>0.312</v>
      </c>
    </row>
    <row r="1848" spans="1:9" ht="22.5" customHeight="1" x14ac:dyDescent="0.25">
      <c r="A1848" s="2" t="s">
        <v>2373</v>
      </c>
      <c r="B1848" s="2" t="s">
        <v>6967</v>
      </c>
      <c r="C1848" s="2" t="s">
        <v>4909</v>
      </c>
      <c r="D1848" s="2" t="s">
        <v>7153</v>
      </c>
      <c r="E1848" s="2" t="s">
        <v>7154</v>
      </c>
      <c r="F1848" s="2">
        <v>14</v>
      </c>
      <c r="G1848" s="2" t="s">
        <v>7155</v>
      </c>
      <c r="H1848" s="2">
        <v>1.24E-2</v>
      </c>
      <c r="I1848" s="2">
        <v>0.1736</v>
      </c>
    </row>
    <row r="1849" spans="1:9" ht="33.75" customHeight="1" x14ac:dyDescent="0.25">
      <c r="A1849" s="3" t="s">
        <v>2373</v>
      </c>
      <c r="B1849" s="3" t="s">
        <v>6967</v>
      </c>
      <c r="C1849" s="3" t="s">
        <v>4909</v>
      </c>
      <c r="D1849" s="3" t="s">
        <v>7186</v>
      </c>
      <c r="E1849" s="3" t="s">
        <v>7187</v>
      </c>
      <c r="F1849" s="3">
        <v>1</v>
      </c>
      <c r="G1849" s="3" t="s">
        <v>7158</v>
      </c>
      <c r="H1849" s="3">
        <v>26</v>
      </c>
      <c r="I1849" s="3">
        <v>26</v>
      </c>
    </row>
    <row r="1850" spans="1:9" ht="22.5" customHeight="1" x14ac:dyDescent="0.25">
      <c r="A1850" s="2" t="s">
        <v>2373</v>
      </c>
      <c r="B1850" s="2" t="s">
        <v>6967</v>
      </c>
      <c r="C1850" s="2" t="s">
        <v>4909</v>
      </c>
      <c r="D1850" s="2" t="s">
        <v>7159</v>
      </c>
      <c r="E1850" s="2" t="s">
        <v>7160</v>
      </c>
      <c r="F1850" s="2">
        <v>20</v>
      </c>
      <c r="G1850" s="2" t="s">
        <v>7155</v>
      </c>
      <c r="H1850" s="2">
        <v>1.8319999999999999E-2</v>
      </c>
      <c r="I1850" s="2">
        <v>0.3664</v>
      </c>
    </row>
    <row r="1851" spans="1:9" ht="22.5" customHeight="1" x14ac:dyDescent="0.25">
      <c r="A1851" s="3" t="s">
        <v>2373</v>
      </c>
      <c r="B1851" s="3" t="s">
        <v>6967</v>
      </c>
      <c r="C1851" s="3" t="s">
        <v>4909</v>
      </c>
      <c r="D1851" s="3" t="s">
        <v>7190</v>
      </c>
      <c r="E1851" s="3" t="s">
        <v>7191</v>
      </c>
      <c r="F1851" s="3">
        <v>0.59699999999999998</v>
      </c>
      <c r="G1851" s="3" t="s">
        <v>7163</v>
      </c>
      <c r="H1851" s="3" t="s">
        <v>7164</v>
      </c>
      <c r="I1851" s="3">
        <v>0.59699999999999998</v>
      </c>
    </row>
    <row r="1852" spans="1:9" ht="33.75" customHeight="1" x14ac:dyDescent="0.25">
      <c r="A1852" s="2" t="s">
        <v>2373</v>
      </c>
      <c r="B1852" s="2" t="s">
        <v>6967</v>
      </c>
      <c r="C1852" s="2" t="s">
        <v>4909</v>
      </c>
      <c r="D1852" s="2" t="s">
        <v>7188</v>
      </c>
      <c r="E1852" s="2" t="s">
        <v>7189</v>
      </c>
      <c r="F1852" s="2">
        <v>4</v>
      </c>
      <c r="G1852" s="2" t="s">
        <v>7158</v>
      </c>
      <c r="H1852" s="2">
        <v>0.27</v>
      </c>
      <c r="I1852" s="2">
        <v>1.08</v>
      </c>
    </row>
    <row r="1853" spans="1:9" ht="33.75" customHeight="1" x14ac:dyDescent="0.25">
      <c r="A1853" s="3" t="s">
        <v>2373</v>
      </c>
      <c r="B1853" s="3" t="s">
        <v>6967</v>
      </c>
      <c r="C1853" s="3" t="s">
        <v>4909</v>
      </c>
      <c r="D1853" s="3" t="s">
        <v>7192</v>
      </c>
      <c r="E1853" s="3" t="s">
        <v>7193</v>
      </c>
      <c r="F1853" s="3">
        <v>4</v>
      </c>
      <c r="G1853" s="3" t="s">
        <v>7158</v>
      </c>
      <c r="H1853" s="3">
        <v>0.03</v>
      </c>
      <c r="I1853" s="3">
        <v>0.12</v>
      </c>
    </row>
    <row r="1854" spans="1:9" ht="33.75" customHeight="1" x14ac:dyDescent="0.25">
      <c r="A1854" s="2" t="s">
        <v>864</v>
      </c>
      <c r="B1854" s="2" t="s">
        <v>6975</v>
      </c>
      <c r="C1854" s="2" t="s">
        <v>4801</v>
      </c>
      <c r="D1854" s="2" t="s">
        <v>7153</v>
      </c>
      <c r="E1854" s="2" t="s">
        <v>7154</v>
      </c>
      <c r="F1854" s="2">
        <v>7</v>
      </c>
      <c r="G1854" s="2" t="s">
        <v>7155</v>
      </c>
      <c r="H1854" s="2">
        <v>1.24E-2</v>
      </c>
      <c r="I1854" s="2">
        <v>8.6800000000000002E-2</v>
      </c>
    </row>
    <row r="1855" spans="1:9" ht="33.75" customHeight="1" x14ac:dyDescent="0.25">
      <c r="A1855" s="3" t="s">
        <v>864</v>
      </c>
      <c r="B1855" s="3" t="s">
        <v>6975</v>
      </c>
      <c r="C1855" s="3" t="s">
        <v>4801</v>
      </c>
      <c r="D1855" s="3" t="s">
        <v>7156</v>
      </c>
      <c r="E1855" s="3" t="s">
        <v>7157</v>
      </c>
      <c r="F1855" s="3">
        <v>1</v>
      </c>
      <c r="G1855" s="3" t="s">
        <v>7158</v>
      </c>
      <c r="H1855" s="3">
        <v>26</v>
      </c>
      <c r="I1855" s="3">
        <v>26</v>
      </c>
    </row>
    <row r="1856" spans="1:9" ht="33.75" customHeight="1" x14ac:dyDescent="0.25">
      <c r="A1856" s="2" t="s">
        <v>864</v>
      </c>
      <c r="B1856" s="2" t="s">
        <v>6975</v>
      </c>
      <c r="C1856" s="2" t="s">
        <v>4801</v>
      </c>
      <c r="D1856" s="2" t="s">
        <v>7159</v>
      </c>
      <c r="E1856" s="2" t="s">
        <v>7160</v>
      </c>
      <c r="F1856" s="2">
        <v>20</v>
      </c>
      <c r="G1856" s="2" t="s">
        <v>7155</v>
      </c>
      <c r="H1856" s="2">
        <v>1.8319999999999999E-2</v>
      </c>
      <c r="I1856" s="2">
        <v>0.3664</v>
      </c>
    </row>
    <row r="1857" spans="1:9" ht="33.75" customHeight="1" x14ac:dyDescent="0.25">
      <c r="A1857" s="3" t="s">
        <v>864</v>
      </c>
      <c r="B1857" s="3" t="s">
        <v>6975</v>
      </c>
      <c r="C1857" s="3" t="s">
        <v>4801</v>
      </c>
      <c r="D1857" s="3" t="s">
        <v>7161</v>
      </c>
      <c r="E1857" s="3" t="s">
        <v>7162</v>
      </c>
      <c r="F1857" s="3">
        <v>0.186</v>
      </c>
      <c r="G1857" s="3" t="s">
        <v>7163</v>
      </c>
      <c r="H1857" s="3" t="s">
        <v>7164</v>
      </c>
      <c r="I1857" s="3">
        <v>0.186</v>
      </c>
    </row>
    <row r="1858" spans="1:9" ht="33.75" customHeight="1" x14ac:dyDescent="0.25">
      <c r="A1858" s="2" t="s">
        <v>864</v>
      </c>
      <c r="B1858" s="2" t="s">
        <v>6975</v>
      </c>
      <c r="C1858" s="2" t="s">
        <v>4801</v>
      </c>
      <c r="D1858" s="2" t="s">
        <v>7259</v>
      </c>
      <c r="E1858" s="2" t="s">
        <v>7308</v>
      </c>
      <c r="F1858" s="2">
        <v>2.5939999999999999</v>
      </c>
      <c r="G1858" s="2" t="s">
        <v>7163</v>
      </c>
      <c r="H1858" s="2" t="s">
        <v>7164</v>
      </c>
      <c r="I1858" s="2">
        <v>2.5939999999999999</v>
      </c>
    </row>
    <row r="1859" spans="1:9" ht="33.75" customHeight="1" x14ac:dyDescent="0.25">
      <c r="A1859" s="3" t="s">
        <v>864</v>
      </c>
      <c r="B1859" s="3" t="s">
        <v>6975</v>
      </c>
      <c r="C1859" s="3" t="s">
        <v>4801</v>
      </c>
      <c r="D1859" s="3" t="s">
        <v>7212</v>
      </c>
      <c r="E1859" s="3" t="s">
        <v>7213</v>
      </c>
      <c r="F1859" s="3">
        <v>2</v>
      </c>
      <c r="G1859" s="3" t="s">
        <v>7158</v>
      </c>
      <c r="H1859" s="3">
        <v>0.21</v>
      </c>
      <c r="I1859" s="3">
        <v>0.42</v>
      </c>
    </row>
    <row r="1860" spans="1:9" ht="33.75" customHeight="1" x14ac:dyDescent="0.25">
      <c r="A1860" s="2" t="s">
        <v>864</v>
      </c>
      <c r="B1860" s="2" t="s">
        <v>6975</v>
      </c>
      <c r="C1860" s="2" t="s">
        <v>4801</v>
      </c>
      <c r="D1860" s="2" t="s">
        <v>7167</v>
      </c>
      <c r="E1860" s="2" t="s">
        <v>7168</v>
      </c>
      <c r="F1860" s="2">
        <v>5</v>
      </c>
      <c r="G1860" s="2" t="s">
        <v>7158</v>
      </c>
      <c r="H1860" s="2">
        <v>0.2</v>
      </c>
      <c r="I1860" s="2">
        <v>1</v>
      </c>
    </row>
    <row r="1861" spans="1:9" ht="22.5" customHeight="1" x14ac:dyDescent="0.25">
      <c r="A1861" s="3" t="s">
        <v>1741</v>
      </c>
      <c r="B1861" s="3" t="s">
        <v>1740</v>
      </c>
      <c r="C1861" s="3" t="s">
        <v>4849</v>
      </c>
      <c r="D1861" s="3" t="s">
        <v>7153</v>
      </c>
      <c r="E1861" s="3" t="s">
        <v>7154</v>
      </c>
      <c r="F1861" s="3">
        <v>7</v>
      </c>
      <c r="G1861" s="3" t="s">
        <v>7155</v>
      </c>
      <c r="H1861" s="3">
        <v>1.24E-2</v>
      </c>
      <c r="I1861" s="3">
        <v>8.6800000000000002E-2</v>
      </c>
    </row>
    <row r="1862" spans="1:9" ht="22.5" customHeight="1" x14ac:dyDescent="0.25">
      <c r="A1862" s="2" t="s">
        <v>1741</v>
      </c>
      <c r="B1862" s="2" t="s">
        <v>1740</v>
      </c>
      <c r="C1862" s="2" t="s">
        <v>4849</v>
      </c>
      <c r="D1862" s="2" t="s">
        <v>7156</v>
      </c>
      <c r="E1862" s="2" t="s">
        <v>7157</v>
      </c>
      <c r="F1862" s="2">
        <v>1</v>
      </c>
      <c r="G1862" s="2" t="s">
        <v>7158</v>
      </c>
      <c r="H1862" s="2">
        <v>26</v>
      </c>
      <c r="I1862" s="2">
        <v>26</v>
      </c>
    </row>
    <row r="1863" spans="1:9" ht="22.5" customHeight="1" x14ac:dyDescent="0.25">
      <c r="A1863" s="3" t="s">
        <v>1741</v>
      </c>
      <c r="B1863" s="3" t="s">
        <v>1740</v>
      </c>
      <c r="C1863" s="3" t="s">
        <v>4849</v>
      </c>
      <c r="D1863" s="3" t="s">
        <v>7159</v>
      </c>
      <c r="E1863" s="3" t="s">
        <v>7160</v>
      </c>
      <c r="F1863" s="3">
        <v>20</v>
      </c>
      <c r="G1863" s="3" t="s">
        <v>7155</v>
      </c>
      <c r="H1863" s="3">
        <v>1.8319999999999999E-2</v>
      </c>
      <c r="I1863" s="3">
        <v>0.3664</v>
      </c>
    </row>
    <row r="1864" spans="1:9" ht="22.5" customHeight="1" x14ac:dyDescent="0.25">
      <c r="A1864" s="2" t="s">
        <v>1741</v>
      </c>
      <c r="B1864" s="2" t="s">
        <v>1740</v>
      </c>
      <c r="C1864" s="2" t="s">
        <v>4849</v>
      </c>
      <c r="D1864" s="2" t="s">
        <v>7161</v>
      </c>
      <c r="E1864" s="2" t="s">
        <v>7162</v>
      </c>
      <c r="F1864" s="2">
        <v>0.186</v>
      </c>
      <c r="G1864" s="2" t="s">
        <v>7163</v>
      </c>
      <c r="H1864" s="2" t="s">
        <v>7164</v>
      </c>
      <c r="I1864" s="2">
        <v>0.186</v>
      </c>
    </row>
    <row r="1865" spans="1:9" ht="22.5" customHeight="1" x14ac:dyDescent="0.25">
      <c r="A1865" s="3" t="s">
        <v>1741</v>
      </c>
      <c r="B1865" s="3" t="s">
        <v>1740</v>
      </c>
      <c r="C1865" s="3" t="s">
        <v>4849</v>
      </c>
      <c r="D1865" s="3" t="s">
        <v>7259</v>
      </c>
      <c r="E1865" s="3" t="s">
        <v>7308</v>
      </c>
      <c r="F1865" s="3">
        <v>3.1669999999999998</v>
      </c>
      <c r="G1865" s="3" t="s">
        <v>7163</v>
      </c>
      <c r="H1865" s="3" t="s">
        <v>7164</v>
      </c>
      <c r="I1865" s="3">
        <v>3.1669999999999998</v>
      </c>
    </row>
    <row r="1866" spans="1:9" ht="33.75" customHeight="1" x14ac:dyDescent="0.25">
      <c r="A1866" s="2" t="s">
        <v>1741</v>
      </c>
      <c r="B1866" s="2" t="s">
        <v>1740</v>
      </c>
      <c r="C1866" s="2" t="s">
        <v>4849</v>
      </c>
      <c r="D1866" s="2" t="s">
        <v>7212</v>
      </c>
      <c r="E1866" s="2" t="s">
        <v>7213</v>
      </c>
      <c r="F1866" s="2">
        <v>2</v>
      </c>
      <c r="G1866" s="2" t="s">
        <v>7158</v>
      </c>
      <c r="H1866" s="2">
        <v>0.21</v>
      </c>
      <c r="I1866" s="2">
        <v>0.42</v>
      </c>
    </row>
    <row r="1867" spans="1:9" ht="33.75" customHeight="1" x14ac:dyDescent="0.25">
      <c r="A1867" s="3" t="s">
        <v>1741</v>
      </c>
      <c r="B1867" s="3" t="s">
        <v>1740</v>
      </c>
      <c r="C1867" s="3" t="s">
        <v>4849</v>
      </c>
      <c r="D1867" s="3" t="s">
        <v>7167</v>
      </c>
      <c r="E1867" s="3" t="s">
        <v>7168</v>
      </c>
      <c r="F1867" s="3">
        <v>4</v>
      </c>
      <c r="G1867" s="3" t="s">
        <v>7158</v>
      </c>
      <c r="H1867" s="3">
        <v>0.2</v>
      </c>
      <c r="I1867" s="3">
        <v>0.8</v>
      </c>
    </row>
    <row r="1868" spans="1:9" ht="56.25" customHeight="1" x14ac:dyDescent="0.25">
      <c r="A1868" s="2" t="s">
        <v>2037</v>
      </c>
      <c r="B1868" s="2" t="s">
        <v>6990</v>
      </c>
      <c r="C1868" s="2" t="s">
        <v>4884</v>
      </c>
      <c r="D1868" s="2" t="s">
        <v>7153</v>
      </c>
      <c r="E1868" s="2" t="s">
        <v>7154</v>
      </c>
      <c r="F1868" s="2">
        <v>7</v>
      </c>
      <c r="G1868" s="2" t="s">
        <v>7155</v>
      </c>
      <c r="H1868" s="2">
        <v>1.24E-2</v>
      </c>
      <c r="I1868" s="2">
        <v>8.6800000000000002E-2</v>
      </c>
    </row>
    <row r="1869" spans="1:9" ht="56.25" customHeight="1" x14ac:dyDescent="0.25">
      <c r="A1869" s="3" t="s">
        <v>2037</v>
      </c>
      <c r="B1869" s="3" t="s">
        <v>6990</v>
      </c>
      <c r="C1869" s="3" t="s">
        <v>4884</v>
      </c>
      <c r="D1869" s="3" t="s">
        <v>7156</v>
      </c>
      <c r="E1869" s="3" t="s">
        <v>7157</v>
      </c>
      <c r="F1869" s="3">
        <v>1</v>
      </c>
      <c r="G1869" s="3" t="s">
        <v>7158</v>
      </c>
      <c r="H1869" s="3">
        <v>26</v>
      </c>
      <c r="I1869" s="3">
        <v>26</v>
      </c>
    </row>
    <row r="1870" spans="1:9" ht="56.25" customHeight="1" x14ac:dyDescent="0.25">
      <c r="A1870" s="2" t="s">
        <v>2037</v>
      </c>
      <c r="B1870" s="2" t="s">
        <v>6990</v>
      </c>
      <c r="C1870" s="2" t="s">
        <v>4884</v>
      </c>
      <c r="D1870" s="2" t="s">
        <v>7159</v>
      </c>
      <c r="E1870" s="2" t="s">
        <v>7160</v>
      </c>
      <c r="F1870" s="2">
        <v>20</v>
      </c>
      <c r="G1870" s="2" t="s">
        <v>7155</v>
      </c>
      <c r="H1870" s="2">
        <v>1.8319999999999999E-2</v>
      </c>
      <c r="I1870" s="2">
        <v>0.3664</v>
      </c>
    </row>
    <row r="1871" spans="1:9" ht="56.25" customHeight="1" x14ac:dyDescent="0.25">
      <c r="A1871" s="3" t="s">
        <v>2037</v>
      </c>
      <c r="B1871" s="3" t="s">
        <v>6990</v>
      </c>
      <c r="C1871" s="3" t="s">
        <v>4884</v>
      </c>
      <c r="D1871" s="3" t="s">
        <v>7161</v>
      </c>
      <c r="E1871" s="3" t="s">
        <v>7162</v>
      </c>
      <c r="F1871" s="3">
        <v>0.186</v>
      </c>
      <c r="G1871" s="3" t="s">
        <v>7163</v>
      </c>
      <c r="H1871" s="3" t="s">
        <v>7164</v>
      </c>
      <c r="I1871" s="3">
        <v>0.186</v>
      </c>
    </row>
    <row r="1872" spans="1:9" ht="56.25" customHeight="1" x14ac:dyDescent="0.25">
      <c r="A1872" s="2" t="s">
        <v>2037</v>
      </c>
      <c r="B1872" s="2" t="s">
        <v>6990</v>
      </c>
      <c r="C1872" s="2" t="s">
        <v>4884</v>
      </c>
      <c r="D1872" s="2" t="s">
        <v>7259</v>
      </c>
      <c r="E1872" s="2" t="s">
        <v>7308</v>
      </c>
      <c r="F1872" s="2">
        <v>3.1669999999999998</v>
      </c>
      <c r="G1872" s="2" t="s">
        <v>7163</v>
      </c>
      <c r="H1872" s="2" t="s">
        <v>7164</v>
      </c>
      <c r="I1872" s="2">
        <v>3.1669999999999998</v>
      </c>
    </row>
    <row r="1873" spans="1:9" ht="56.25" customHeight="1" x14ac:dyDescent="0.25">
      <c r="A1873" s="3" t="s">
        <v>2037</v>
      </c>
      <c r="B1873" s="3" t="s">
        <v>6990</v>
      </c>
      <c r="C1873" s="3" t="s">
        <v>4884</v>
      </c>
      <c r="D1873" s="3" t="s">
        <v>7212</v>
      </c>
      <c r="E1873" s="3" t="s">
        <v>7213</v>
      </c>
      <c r="F1873" s="3">
        <v>2</v>
      </c>
      <c r="G1873" s="3" t="s">
        <v>7158</v>
      </c>
      <c r="H1873" s="3">
        <v>0.21</v>
      </c>
      <c r="I1873" s="3">
        <v>0.42</v>
      </c>
    </row>
    <row r="1874" spans="1:9" ht="56.25" customHeight="1" x14ac:dyDescent="0.25">
      <c r="A1874" s="2" t="s">
        <v>2037</v>
      </c>
      <c r="B1874" s="2" t="s">
        <v>6990</v>
      </c>
      <c r="C1874" s="2" t="s">
        <v>4884</v>
      </c>
      <c r="D1874" s="2" t="s">
        <v>7167</v>
      </c>
      <c r="E1874" s="2" t="s">
        <v>7168</v>
      </c>
      <c r="F1874" s="2">
        <v>5</v>
      </c>
      <c r="G1874" s="2" t="s">
        <v>7158</v>
      </c>
      <c r="H1874" s="2">
        <v>0.2</v>
      </c>
      <c r="I1874" s="2">
        <v>1</v>
      </c>
    </row>
    <row r="1875" spans="1:9" ht="22.5" customHeight="1" x14ac:dyDescent="0.25">
      <c r="A1875" s="3" t="s">
        <v>3349</v>
      </c>
      <c r="B1875" s="3" t="s">
        <v>3348</v>
      </c>
      <c r="C1875" s="3" t="s">
        <v>4981</v>
      </c>
      <c r="D1875" s="3" t="s">
        <v>7153</v>
      </c>
      <c r="E1875" s="3" t="s">
        <v>7154</v>
      </c>
      <c r="F1875" s="3">
        <v>7</v>
      </c>
      <c r="G1875" s="3" t="s">
        <v>7155</v>
      </c>
      <c r="H1875" s="3">
        <v>1.24E-2</v>
      </c>
      <c r="I1875" s="3">
        <v>8.6800000000000002E-2</v>
      </c>
    </row>
    <row r="1876" spans="1:9" ht="22.5" customHeight="1" x14ac:dyDescent="0.25">
      <c r="A1876" s="2" t="s">
        <v>3349</v>
      </c>
      <c r="B1876" s="2" t="s">
        <v>3348</v>
      </c>
      <c r="C1876" s="2" t="s">
        <v>4981</v>
      </c>
      <c r="D1876" s="2" t="s">
        <v>7156</v>
      </c>
      <c r="E1876" s="2" t="s">
        <v>7157</v>
      </c>
      <c r="F1876" s="2">
        <v>1</v>
      </c>
      <c r="G1876" s="2" t="s">
        <v>7158</v>
      </c>
      <c r="H1876" s="2">
        <v>26</v>
      </c>
      <c r="I1876" s="2">
        <v>26</v>
      </c>
    </row>
    <row r="1877" spans="1:9" ht="22.5" customHeight="1" x14ac:dyDescent="0.25">
      <c r="A1877" s="3" t="s">
        <v>3349</v>
      </c>
      <c r="B1877" s="3" t="s">
        <v>3348</v>
      </c>
      <c r="C1877" s="3" t="s">
        <v>4981</v>
      </c>
      <c r="D1877" s="3" t="s">
        <v>7159</v>
      </c>
      <c r="E1877" s="3" t="s">
        <v>7160</v>
      </c>
      <c r="F1877" s="3">
        <v>20</v>
      </c>
      <c r="G1877" s="3" t="s">
        <v>7155</v>
      </c>
      <c r="H1877" s="3">
        <v>1.8319999999999999E-2</v>
      </c>
      <c r="I1877" s="3">
        <v>0.3664</v>
      </c>
    </row>
    <row r="1878" spans="1:9" ht="22.5" customHeight="1" x14ac:dyDescent="0.25">
      <c r="A1878" s="2" t="s">
        <v>3349</v>
      </c>
      <c r="B1878" s="2" t="s">
        <v>3348</v>
      </c>
      <c r="C1878" s="2" t="s">
        <v>4981</v>
      </c>
      <c r="D1878" s="2" t="s">
        <v>7161</v>
      </c>
      <c r="E1878" s="2" t="s">
        <v>7162</v>
      </c>
      <c r="F1878" s="2">
        <v>0.186</v>
      </c>
      <c r="G1878" s="2" t="s">
        <v>7163</v>
      </c>
      <c r="H1878" s="2" t="s">
        <v>7164</v>
      </c>
      <c r="I1878" s="2">
        <v>0.186</v>
      </c>
    </row>
    <row r="1879" spans="1:9" ht="33.75" customHeight="1" x14ac:dyDescent="0.25">
      <c r="A1879" s="3" t="s">
        <v>3349</v>
      </c>
      <c r="B1879" s="3" t="s">
        <v>3348</v>
      </c>
      <c r="C1879" s="3" t="s">
        <v>4981</v>
      </c>
      <c r="D1879" s="3" t="s">
        <v>7212</v>
      </c>
      <c r="E1879" s="3" t="s">
        <v>7213</v>
      </c>
      <c r="F1879" s="3">
        <v>2</v>
      </c>
      <c r="G1879" s="3" t="s">
        <v>7158</v>
      </c>
      <c r="H1879" s="3">
        <v>0.21</v>
      </c>
      <c r="I1879" s="3">
        <v>0.42</v>
      </c>
    </row>
    <row r="1880" spans="1:9" ht="33.75" customHeight="1" x14ac:dyDescent="0.25">
      <c r="A1880" s="2" t="s">
        <v>3349</v>
      </c>
      <c r="B1880" s="2" t="s">
        <v>3348</v>
      </c>
      <c r="C1880" s="2" t="s">
        <v>4981</v>
      </c>
      <c r="D1880" s="2" t="s">
        <v>7167</v>
      </c>
      <c r="E1880" s="2" t="s">
        <v>7168</v>
      </c>
      <c r="F1880" s="2">
        <v>4</v>
      </c>
      <c r="G1880" s="2" t="s">
        <v>7158</v>
      </c>
      <c r="H1880" s="2">
        <v>0.2</v>
      </c>
      <c r="I1880" s="2">
        <v>0.8</v>
      </c>
    </row>
    <row r="1881" spans="1:9" ht="22.5" customHeight="1" x14ac:dyDescent="0.25">
      <c r="A1881" s="3" t="s">
        <v>340</v>
      </c>
      <c r="B1881" s="3" t="s">
        <v>339</v>
      </c>
      <c r="C1881" s="3" t="s">
        <v>4709</v>
      </c>
      <c r="D1881" s="3" t="s">
        <v>7153</v>
      </c>
      <c r="E1881" s="3" t="s">
        <v>7154</v>
      </c>
      <c r="F1881" s="3">
        <v>7</v>
      </c>
      <c r="G1881" s="3" t="s">
        <v>7155</v>
      </c>
      <c r="H1881" s="3">
        <v>1.24E-2</v>
      </c>
      <c r="I1881" s="3">
        <v>8.6800000000000002E-2</v>
      </c>
    </row>
    <row r="1882" spans="1:9" ht="22.5" customHeight="1" x14ac:dyDescent="0.25">
      <c r="A1882" s="2" t="s">
        <v>340</v>
      </c>
      <c r="B1882" s="2" t="s">
        <v>339</v>
      </c>
      <c r="C1882" s="2" t="s">
        <v>4709</v>
      </c>
      <c r="D1882" s="2" t="s">
        <v>7156</v>
      </c>
      <c r="E1882" s="2" t="s">
        <v>7157</v>
      </c>
      <c r="F1882" s="2">
        <v>1</v>
      </c>
      <c r="G1882" s="2" t="s">
        <v>7158</v>
      </c>
      <c r="H1882" s="2">
        <v>26</v>
      </c>
      <c r="I1882" s="2">
        <v>26</v>
      </c>
    </row>
    <row r="1883" spans="1:9" ht="22.5" customHeight="1" x14ac:dyDescent="0.25">
      <c r="A1883" s="3" t="s">
        <v>340</v>
      </c>
      <c r="B1883" s="3" t="s">
        <v>339</v>
      </c>
      <c r="C1883" s="3" t="s">
        <v>4709</v>
      </c>
      <c r="D1883" s="3" t="s">
        <v>7159</v>
      </c>
      <c r="E1883" s="3" t="s">
        <v>7160</v>
      </c>
      <c r="F1883" s="3">
        <v>20</v>
      </c>
      <c r="G1883" s="3" t="s">
        <v>7155</v>
      </c>
      <c r="H1883" s="3">
        <v>1.8319999999999999E-2</v>
      </c>
      <c r="I1883" s="3">
        <v>0.3664</v>
      </c>
    </row>
    <row r="1884" spans="1:9" ht="22.5" customHeight="1" x14ac:dyDescent="0.25">
      <c r="A1884" s="2" t="s">
        <v>340</v>
      </c>
      <c r="B1884" s="2" t="s">
        <v>339</v>
      </c>
      <c r="C1884" s="2" t="s">
        <v>4709</v>
      </c>
      <c r="D1884" s="2" t="s">
        <v>7161</v>
      </c>
      <c r="E1884" s="2" t="s">
        <v>7162</v>
      </c>
      <c r="F1884" s="2">
        <v>0.186</v>
      </c>
      <c r="G1884" s="2" t="s">
        <v>7163</v>
      </c>
      <c r="H1884" s="2" t="s">
        <v>7164</v>
      </c>
      <c r="I1884" s="2">
        <v>0.186</v>
      </c>
    </row>
    <row r="1885" spans="1:9" ht="33.75" customHeight="1" x14ac:dyDescent="0.25">
      <c r="A1885" s="3" t="s">
        <v>340</v>
      </c>
      <c r="B1885" s="3" t="s">
        <v>339</v>
      </c>
      <c r="C1885" s="3" t="s">
        <v>4709</v>
      </c>
      <c r="D1885" s="3" t="s">
        <v>7212</v>
      </c>
      <c r="E1885" s="3" t="s">
        <v>7213</v>
      </c>
      <c r="F1885" s="3">
        <v>2</v>
      </c>
      <c r="G1885" s="3" t="s">
        <v>7158</v>
      </c>
      <c r="H1885" s="3">
        <v>0.21</v>
      </c>
      <c r="I1885" s="3">
        <v>0.42</v>
      </c>
    </row>
    <row r="1886" spans="1:9" ht="33.75" customHeight="1" x14ac:dyDescent="0.25">
      <c r="A1886" s="2" t="s">
        <v>340</v>
      </c>
      <c r="B1886" s="2" t="s">
        <v>339</v>
      </c>
      <c r="C1886" s="2" t="s">
        <v>4709</v>
      </c>
      <c r="D1886" s="2" t="s">
        <v>7167</v>
      </c>
      <c r="E1886" s="2" t="s">
        <v>7168</v>
      </c>
      <c r="F1886" s="2">
        <v>5</v>
      </c>
      <c r="G1886" s="2" t="s">
        <v>7158</v>
      </c>
      <c r="H1886" s="2">
        <v>0.2</v>
      </c>
      <c r="I1886" s="2">
        <v>1</v>
      </c>
    </row>
    <row r="1887" spans="1:9" ht="22.5" customHeight="1" x14ac:dyDescent="0.25">
      <c r="A1887" s="3" t="s">
        <v>2454</v>
      </c>
      <c r="B1887" s="3" t="s">
        <v>7012</v>
      </c>
      <c r="C1887" s="3" t="s">
        <v>4917</v>
      </c>
      <c r="D1887" s="3" t="s">
        <v>7153</v>
      </c>
      <c r="E1887" s="3" t="s">
        <v>7154</v>
      </c>
      <c r="F1887" s="3">
        <v>14</v>
      </c>
      <c r="G1887" s="3" t="s">
        <v>7155</v>
      </c>
      <c r="H1887" s="3">
        <v>1.24E-2</v>
      </c>
      <c r="I1887" s="3">
        <v>0.1736</v>
      </c>
    </row>
    <row r="1888" spans="1:9" ht="22.5" customHeight="1" x14ac:dyDescent="0.25">
      <c r="A1888" s="2" t="s">
        <v>2454</v>
      </c>
      <c r="B1888" s="2" t="s">
        <v>7012</v>
      </c>
      <c r="C1888" s="2" t="s">
        <v>4917</v>
      </c>
      <c r="D1888" s="2" t="s">
        <v>7156</v>
      </c>
      <c r="E1888" s="2" t="s">
        <v>7157</v>
      </c>
      <c r="F1888" s="2">
        <v>1</v>
      </c>
      <c r="G1888" s="2" t="s">
        <v>7158</v>
      </c>
      <c r="H1888" s="2">
        <v>26</v>
      </c>
      <c r="I1888" s="2">
        <v>26</v>
      </c>
    </row>
    <row r="1889" spans="1:9" ht="22.5" customHeight="1" x14ac:dyDescent="0.25">
      <c r="A1889" s="3" t="s">
        <v>2454</v>
      </c>
      <c r="B1889" s="3" t="s">
        <v>7012</v>
      </c>
      <c r="C1889" s="3" t="s">
        <v>4917</v>
      </c>
      <c r="D1889" s="3" t="s">
        <v>7159</v>
      </c>
      <c r="E1889" s="3" t="s">
        <v>7160</v>
      </c>
      <c r="F1889" s="3">
        <v>20</v>
      </c>
      <c r="G1889" s="3" t="s">
        <v>7155</v>
      </c>
      <c r="H1889" s="3">
        <v>1.8319999999999999E-2</v>
      </c>
      <c r="I1889" s="3">
        <v>0.3664</v>
      </c>
    </row>
    <row r="1890" spans="1:9" ht="22.5" customHeight="1" x14ac:dyDescent="0.25">
      <c r="A1890" s="2" t="s">
        <v>2454</v>
      </c>
      <c r="B1890" s="2" t="s">
        <v>7012</v>
      </c>
      <c r="C1890" s="2" t="s">
        <v>4917</v>
      </c>
      <c r="D1890" s="2" t="s">
        <v>7161</v>
      </c>
      <c r="E1890" s="2" t="s">
        <v>7162</v>
      </c>
      <c r="F1890" s="2">
        <v>0.186</v>
      </c>
      <c r="G1890" s="2" t="s">
        <v>7163</v>
      </c>
      <c r="H1890" s="2" t="s">
        <v>7164</v>
      </c>
      <c r="I1890" s="2">
        <v>0.186</v>
      </c>
    </row>
    <row r="1891" spans="1:9" ht="33.75" customHeight="1" x14ac:dyDescent="0.25">
      <c r="A1891" s="3" t="s">
        <v>2454</v>
      </c>
      <c r="B1891" s="3" t="s">
        <v>7012</v>
      </c>
      <c r="C1891" s="3" t="s">
        <v>4917</v>
      </c>
      <c r="D1891" s="3" t="s">
        <v>7212</v>
      </c>
      <c r="E1891" s="3" t="s">
        <v>7213</v>
      </c>
      <c r="F1891" s="3">
        <v>4</v>
      </c>
      <c r="G1891" s="3" t="s">
        <v>7158</v>
      </c>
      <c r="H1891" s="3">
        <v>0.21</v>
      </c>
      <c r="I1891" s="3">
        <v>0.84</v>
      </c>
    </row>
    <row r="1892" spans="1:9" ht="33.75" customHeight="1" x14ac:dyDescent="0.25">
      <c r="A1892" s="2" t="s">
        <v>2454</v>
      </c>
      <c r="B1892" s="2" t="s">
        <v>7012</v>
      </c>
      <c r="C1892" s="2" t="s">
        <v>4917</v>
      </c>
      <c r="D1892" s="2" t="s">
        <v>7167</v>
      </c>
      <c r="E1892" s="2" t="s">
        <v>7168</v>
      </c>
      <c r="F1892" s="2">
        <v>5</v>
      </c>
      <c r="G1892" s="2" t="s">
        <v>7158</v>
      </c>
      <c r="H1892" s="2">
        <v>0.2</v>
      </c>
      <c r="I1892" s="2">
        <v>1</v>
      </c>
    </row>
    <row r="1893" spans="1:9" ht="22.5" customHeight="1" x14ac:dyDescent="0.25">
      <c r="A1893" s="3" t="s">
        <v>2450</v>
      </c>
      <c r="B1893" s="3" t="s">
        <v>7018</v>
      </c>
      <c r="C1893" s="3" t="s">
        <v>4916</v>
      </c>
      <c r="D1893" s="3" t="s">
        <v>7153</v>
      </c>
      <c r="E1893" s="3" t="s">
        <v>7154</v>
      </c>
      <c r="F1893" s="3">
        <v>14</v>
      </c>
      <c r="G1893" s="3" t="s">
        <v>7155</v>
      </c>
      <c r="H1893" s="3">
        <v>1.24E-2</v>
      </c>
      <c r="I1893" s="3">
        <v>0.1736</v>
      </c>
    </row>
    <row r="1894" spans="1:9" ht="22.5" customHeight="1" x14ac:dyDescent="0.25">
      <c r="A1894" s="2" t="s">
        <v>2450</v>
      </c>
      <c r="B1894" s="2" t="s">
        <v>7018</v>
      </c>
      <c r="C1894" s="2" t="s">
        <v>4916</v>
      </c>
      <c r="D1894" s="2" t="s">
        <v>7156</v>
      </c>
      <c r="E1894" s="2" t="s">
        <v>7157</v>
      </c>
      <c r="F1894" s="2">
        <v>1</v>
      </c>
      <c r="G1894" s="2" t="s">
        <v>7158</v>
      </c>
      <c r="H1894" s="2">
        <v>26</v>
      </c>
      <c r="I1894" s="2">
        <v>26</v>
      </c>
    </row>
    <row r="1895" spans="1:9" ht="22.5" customHeight="1" x14ac:dyDescent="0.25">
      <c r="A1895" s="3" t="s">
        <v>2450</v>
      </c>
      <c r="B1895" s="3" t="s">
        <v>7018</v>
      </c>
      <c r="C1895" s="3" t="s">
        <v>4916</v>
      </c>
      <c r="D1895" s="3" t="s">
        <v>7159</v>
      </c>
      <c r="E1895" s="3" t="s">
        <v>7160</v>
      </c>
      <c r="F1895" s="3">
        <v>20</v>
      </c>
      <c r="G1895" s="3" t="s">
        <v>7155</v>
      </c>
      <c r="H1895" s="3">
        <v>1.8319999999999999E-2</v>
      </c>
      <c r="I1895" s="3">
        <v>0.3664</v>
      </c>
    </row>
    <row r="1896" spans="1:9" ht="22.5" customHeight="1" x14ac:dyDescent="0.25">
      <c r="A1896" s="2" t="s">
        <v>2450</v>
      </c>
      <c r="B1896" s="2" t="s">
        <v>7018</v>
      </c>
      <c r="C1896" s="2" t="s">
        <v>4916</v>
      </c>
      <c r="D1896" s="2" t="s">
        <v>7161</v>
      </c>
      <c r="E1896" s="2" t="s">
        <v>7162</v>
      </c>
      <c r="F1896" s="2">
        <v>0.186</v>
      </c>
      <c r="G1896" s="2" t="s">
        <v>7163</v>
      </c>
      <c r="H1896" s="2" t="s">
        <v>7164</v>
      </c>
      <c r="I1896" s="2">
        <v>0.186</v>
      </c>
    </row>
    <row r="1897" spans="1:9" ht="33.75" customHeight="1" x14ac:dyDescent="0.25">
      <c r="A1897" s="3" t="s">
        <v>2450</v>
      </c>
      <c r="B1897" s="3" t="s">
        <v>7018</v>
      </c>
      <c r="C1897" s="3" t="s">
        <v>4916</v>
      </c>
      <c r="D1897" s="3" t="s">
        <v>7165</v>
      </c>
      <c r="E1897" s="3" t="s">
        <v>7166</v>
      </c>
      <c r="F1897" s="3">
        <v>4</v>
      </c>
      <c r="G1897" s="3" t="s">
        <v>7158</v>
      </c>
      <c r="H1897" s="3">
        <v>0.1</v>
      </c>
      <c r="I1897" s="3">
        <v>0.4</v>
      </c>
    </row>
    <row r="1898" spans="1:9" ht="33.75" customHeight="1" x14ac:dyDescent="0.25">
      <c r="A1898" s="2" t="s">
        <v>2450</v>
      </c>
      <c r="B1898" s="2" t="s">
        <v>7018</v>
      </c>
      <c r="C1898" s="2" t="s">
        <v>4916</v>
      </c>
      <c r="D1898" s="2" t="s">
        <v>7167</v>
      </c>
      <c r="E1898" s="2" t="s">
        <v>7168</v>
      </c>
      <c r="F1898" s="2">
        <v>5</v>
      </c>
      <c r="G1898" s="2" t="s">
        <v>7158</v>
      </c>
      <c r="H1898" s="2">
        <v>0.2</v>
      </c>
      <c r="I1898" s="2">
        <v>1</v>
      </c>
    </row>
    <row r="1899" spans="1:9" ht="22.5" customHeight="1" x14ac:dyDescent="0.25">
      <c r="A1899" s="3" t="s">
        <v>2401</v>
      </c>
      <c r="B1899" s="3" t="s">
        <v>7024</v>
      </c>
      <c r="C1899" s="3" t="s">
        <v>4913</v>
      </c>
      <c r="D1899" s="3" t="s">
        <v>7153</v>
      </c>
      <c r="E1899" s="3" t="s">
        <v>7154</v>
      </c>
      <c r="F1899" s="3">
        <v>7</v>
      </c>
      <c r="G1899" s="3" t="s">
        <v>7155</v>
      </c>
      <c r="H1899" s="3">
        <v>1.24E-2</v>
      </c>
      <c r="I1899" s="3">
        <v>8.6800000000000002E-2</v>
      </c>
    </row>
    <row r="1900" spans="1:9" ht="22.5" customHeight="1" x14ac:dyDescent="0.25">
      <c r="A1900" s="2" t="s">
        <v>2401</v>
      </c>
      <c r="B1900" s="2" t="s">
        <v>7024</v>
      </c>
      <c r="C1900" s="2" t="s">
        <v>4913</v>
      </c>
      <c r="D1900" s="2" t="s">
        <v>7156</v>
      </c>
      <c r="E1900" s="2" t="s">
        <v>7157</v>
      </c>
      <c r="F1900" s="2">
        <v>1</v>
      </c>
      <c r="G1900" s="2" t="s">
        <v>7158</v>
      </c>
      <c r="H1900" s="2">
        <v>26</v>
      </c>
      <c r="I1900" s="2">
        <v>26</v>
      </c>
    </row>
    <row r="1901" spans="1:9" ht="22.5" customHeight="1" x14ac:dyDescent="0.25">
      <c r="A1901" s="3" t="s">
        <v>2401</v>
      </c>
      <c r="B1901" s="3" t="s">
        <v>7024</v>
      </c>
      <c r="C1901" s="3" t="s">
        <v>4913</v>
      </c>
      <c r="D1901" s="3" t="s">
        <v>7159</v>
      </c>
      <c r="E1901" s="3" t="s">
        <v>7160</v>
      </c>
      <c r="F1901" s="3">
        <v>20</v>
      </c>
      <c r="G1901" s="3" t="s">
        <v>7155</v>
      </c>
      <c r="H1901" s="3">
        <v>1.8319999999999999E-2</v>
      </c>
      <c r="I1901" s="3">
        <v>0.3664</v>
      </c>
    </row>
    <row r="1902" spans="1:9" ht="22.5" customHeight="1" x14ac:dyDescent="0.25">
      <c r="A1902" s="2" t="s">
        <v>2401</v>
      </c>
      <c r="B1902" s="2" t="s">
        <v>7024</v>
      </c>
      <c r="C1902" s="2" t="s">
        <v>4913</v>
      </c>
      <c r="D1902" s="2" t="s">
        <v>7161</v>
      </c>
      <c r="E1902" s="2" t="s">
        <v>7162</v>
      </c>
      <c r="F1902" s="2">
        <v>0.186</v>
      </c>
      <c r="G1902" s="2" t="s">
        <v>7163</v>
      </c>
      <c r="H1902" s="2" t="s">
        <v>7164</v>
      </c>
      <c r="I1902" s="2">
        <v>0.186</v>
      </c>
    </row>
    <row r="1903" spans="1:9" ht="22.5" customHeight="1" x14ac:dyDescent="0.25">
      <c r="A1903" s="3" t="s">
        <v>2401</v>
      </c>
      <c r="B1903" s="3" t="s">
        <v>7024</v>
      </c>
      <c r="C1903" s="3" t="s">
        <v>4913</v>
      </c>
      <c r="D1903" s="3" t="s">
        <v>7332</v>
      </c>
      <c r="E1903" s="3" t="s">
        <v>7333</v>
      </c>
      <c r="F1903" s="3">
        <v>2.31</v>
      </c>
      <c r="G1903" s="3" t="s">
        <v>7163</v>
      </c>
      <c r="H1903" s="3" t="s">
        <v>7164</v>
      </c>
      <c r="I1903" s="3">
        <v>2.31</v>
      </c>
    </row>
    <row r="1904" spans="1:9" ht="33.75" customHeight="1" x14ac:dyDescent="0.25">
      <c r="A1904" s="2" t="s">
        <v>2401</v>
      </c>
      <c r="B1904" s="2" t="s">
        <v>7024</v>
      </c>
      <c r="C1904" s="2" t="s">
        <v>4913</v>
      </c>
      <c r="D1904" s="2" t="s">
        <v>7165</v>
      </c>
      <c r="E1904" s="2" t="s">
        <v>7166</v>
      </c>
      <c r="F1904" s="2">
        <v>2</v>
      </c>
      <c r="G1904" s="2" t="s">
        <v>7158</v>
      </c>
      <c r="H1904" s="2">
        <v>0.1</v>
      </c>
      <c r="I1904" s="2">
        <v>0.2</v>
      </c>
    </row>
    <row r="1905" spans="1:9" ht="33.75" customHeight="1" x14ac:dyDescent="0.25">
      <c r="A1905" s="3" t="s">
        <v>2401</v>
      </c>
      <c r="B1905" s="3" t="s">
        <v>7024</v>
      </c>
      <c r="C1905" s="3" t="s">
        <v>4913</v>
      </c>
      <c r="D1905" s="3" t="s">
        <v>7167</v>
      </c>
      <c r="E1905" s="3" t="s">
        <v>7168</v>
      </c>
      <c r="F1905" s="3">
        <v>4</v>
      </c>
      <c r="G1905" s="3" t="s">
        <v>7158</v>
      </c>
      <c r="H1905" s="3">
        <v>0.2</v>
      </c>
      <c r="I1905" s="3">
        <v>0.8</v>
      </c>
    </row>
    <row r="1906" spans="1:9" ht="22.5" customHeight="1" x14ac:dyDescent="0.25">
      <c r="A1906" s="2" t="s">
        <v>2033</v>
      </c>
      <c r="B1906" s="2" t="s">
        <v>2032</v>
      </c>
      <c r="C1906" s="2" t="s">
        <v>4883</v>
      </c>
      <c r="D1906" s="2" t="s">
        <v>7153</v>
      </c>
      <c r="E1906" s="2" t="s">
        <v>7154</v>
      </c>
      <c r="F1906" s="2">
        <v>7</v>
      </c>
      <c r="G1906" s="2" t="s">
        <v>7155</v>
      </c>
      <c r="H1906" s="2">
        <v>1.24E-2</v>
      </c>
      <c r="I1906" s="2">
        <v>8.6800000000000002E-2</v>
      </c>
    </row>
    <row r="1907" spans="1:9" ht="22.5" customHeight="1" x14ac:dyDescent="0.25">
      <c r="A1907" s="3" t="s">
        <v>2033</v>
      </c>
      <c r="B1907" s="3" t="s">
        <v>2032</v>
      </c>
      <c r="C1907" s="3" t="s">
        <v>4883</v>
      </c>
      <c r="D1907" s="3" t="s">
        <v>7156</v>
      </c>
      <c r="E1907" s="3" t="s">
        <v>7157</v>
      </c>
      <c r="F1907" s="3">
        <v>1</v>
      </c>
      <c r="G1907" s="3" t="s">
        <v>7158</v>
      </c>
      <c r="H1907" s="3">
        <v>26</v>
      </c>
      <c r="I1907" s="3">
        <v>26</v>
      </c>
    </row>
    <row r="1908" spans="1:9" ht="22.5" customHeight="1" x14ac:dyDescent="0.25">
      <c r="A1908" s="2" t="s">
        <v>2033</v>
      </c>
      <c r="B1908" s="2" t="s">
        <v>2032</v>
      </c>
      <c r="C1908" s="2" t="s">
        <v>4883</v>
      </c>
      <c r="D1908" s="2" t="s">
        <v>7159</v>
      </c>
      <c r="E1908" s="2" t="s">
        <v>7160</v>
      </c>
      <c r="F1908" s="2">
        <v>20</v>
      </c>
      <c r="G1908" s="2" t="s">
        <v>7155</v>
      </c>
      <c r="H1908" s="2">
        <v>1.8319999999999999E-2</v>
      </c>
      <c r="I1908" s="2">
        <v>0.3664</v>
      </c>
    </row>
    <row r="1909" spans="1:9" ht="22.5" customHeight="1" x14ac:dyDescent="0.25">
      <c r="A1909" s="3" t="s">
        <v>2033</v>
      </c>
      <c r="B1909" s="3" t="s">
        <v>2032</v>
      </c>
      <c r="C1909" s="3" t="s">
        <v>4883</v>
      </c>
      <c r="D1909" s="3" t="s">
        <v>7161</v>
      </c>
      <c r="E1909" s="3" t="s">
        <v>7162</v>
      </c>
      <c r="F1909" s="3">
        <v>0.186</v>
      </c>
      <c r="G1909" s="3" t="s">
        <v>7163</v>
      </c>
      <c r="H1909" s="3" t="s">
        <v>7164</v>
      </c>
      <c r="I1909" s="3">
        <v>0.186</v>
      </c>
    </row>
    <row r="1910" spans="1:9" ht="22.5" customHeight="1" x14ac:dyDescent="0.25">
      <c r="A1910" s="2" t="s">
        <v>2033</v>
      </c>
      <c r="B1910" s="2" t="s">
        <v>2032</v>
      </c>
      <c r="C1910" s="2" t="s">
        <v>4883</v>
      </c>
      <c r="D1910" s="2" t="s">
        <v>7332</v>
      </c>
      <c r="E1910" s="2" t="s">
        <v>7333</v>
      </c>
      <c r="F1910" s="2">
        <v>2.31</v>
      </c>
      <c r="G1910" s="2" t="s">
        <v>7163</v>
      </c>
      <c r="H1910" s="2" t="s">
        <v>7164</v>
      </c>
      <c r="I1910" s="2">
        <v>2.31</v>
      </c>
    </row>
    <row r="1911" spans="1:9" ht="33.75" customHeight="1" x14ac:dyDescent="0.25">
      <c r="A1911" s="3" t="s">
        <v>2033</v>
      </c>
      <c r="B1911" s="3" t="s">
        <v>2032</v>
      </c>
      <c r="C1911" s="3" t="s">
        <v>4883</v>
      </c>
      <c r="D1911" s="3" t="s">
        <v>7165</v>
      </c>
      <c r="E1911" s="3" t="s">
        <v>7166</v>
      </c>
      <c r="F1911" s="3">
        <v>2</v>
      </c>
      <c r="G1911" s="3" t="s">
        <v>7158</v>
      </c>
      <c r="H1911" s="3">
        <v>0.1</v>
      </c>
      <c r="I1911" s="3">
        <v>0.2</v>
      </c>
    </row>
    <row r="1912" spans="1:9" ht="33.75" customHeight="1" x14ac:dyDescent="0.25">
      <c r="A1912" s="2" t="s">
        <v>2033</v>
      </c>
      <c r="B1912" s="2" t="s">
        <v>2032</v>
      </c>
      <c r="C1912" s="2" t="s">
        <v>4883</v>
      </c>
      <c r="D1912" s="2" t="s">
        <v>7167</v>
      </c>
      <c r="E1912" s="2" t="s">
        <v>7168</v>
      </c>
      <c r="F1912" s="2">
        <v>5</v>
      </c>
      <c r="G1912" s="2" t="s">
        <v>7158</v>
      </c>
      <c r="H1912" s="2">
        <v>0.2</v>
      </c>
      <c r="I1912" s="2">
        <v>1</v>
      </c>
    </row>
    <row r="1913" spans="1:9" ht="22.5" customHeight="1" x14ac:dyDescent="0.25">
      <c r="A1913" s="3" t="s">
        <v>3765</v>
      </c>
      <c r="B1913" s="3" t="s">
        <v>3764</v>
      </c>
      <c r="C1913" s="3" t="s">
        <v>5001</v>
      </c>
      <c r="D1913" s="3" t="s">
        <v>7153</v>
      </c>
      <c r="E1913" s="3" t="s">
        <v>7154</v>
      </c>
      <c r="F1913" s="3">
        <v>7</v>
      </c>
      <c r="G1913" s="3" t="s">
        <v>7155</v>
      </c>
      <c r="H1913" s="3">
        <v>1.24E-2</v>
      </c>
      <c r="I1913" s="3">
        <v>8.6800000000000002E-2</v>
      </c>
    </row>
    <row r="1914" spans="1:9" ht="22.5" customHeight="1" x14ac:dyDescent="0.25">
      <c r="A1914" s="2" t="s">
        <v>3765</v>
      </c>
      <c r="B1914" s="2" t="s">
        <v>3764</v>
      </c>
      <c r="C1914" s="2" t="s">
        <v>5001</v>
      </c>
      <c r="D1914" s="2" t="s">
        <v>7156</v>
      </c>
      <c r="E1914" s="2" t="s">
        <v>7157</v>
      </c>
      <c r="F1914" s="2">
        <v>1</v>
      </c>
      <c r="G1914" s="2" t="s">
        <v>7158</v>
      </c>
      <c r="H1914" s="2">
        <v>26</v>
      </c>
      <c r="I1914" s="2">
        <v>26</v>
      </c>
    </row>
    <row r="1915" spans="1:9" ht="22.5" customHeight="1" x14ac:dyDescent="0.25">
      <c r="A1915" s="3" t="s">
        <v>3765</v>
      </c>
      <c r="B1915" s="3" t="s">
        <v>3764</v>
      </c>
      <c r="C1915" s="3" t="s">
        <v>5001</v>
      </c>
      <c r="D1915" s="3" t="s">
        <v>7159</v>
      </c>
      <c r="E1915" s="3" t="s">
        <v>7160</v>
      </c>
      <c r="F1915" s="3">
        <v>20</v>
      </c>
      <c r="G1915" s="3" t="s">
        <v>7155</v>
      </c>
      <c r="H1915" s="3">
        <v>1.8319999999999999E-2</v>
      </c>
      <c r="I1915" s="3">
        <v>0.3664</v>
      </c>
    </row>
    <row r="1916" spans="1:9" ht="22.5" customHeight="1" x14ac:dyDescent="0.25">
      <c r="A1916" s="2" t="s">
        <v>3765</v>
      </c>
      <c r="B1916" s="2" t="s">
        <v>3764</v>
      </c>
      <c r="C1916" s="2" t="s">
        <v>5001</v>
      </c>
      <c r="D1916" s="2" t="s">
        <v>7161</v>
      </c>
      <c r="E1916" s="2" t="s">
        <v>7162</v>
      </c>
      <c r="F1916" s="2">
        <v>0.186</v>
      </c>
      <c r="G1916" s="2" t="s">
        <v>7163</v>
      </c>
      <c r="H1916" s="2" t="s">
        <v>7164</v>
      </c>
      <c r="I1916" s="2">
        <v>0.186</v>
      </c>
    </row>
    <row r="1917" spans="1:9" ht="33.75" customHeight="1" x14ac:dyDescent="0.25">
      <c r="A1917" s="3" t="s">
        <v>3765</v>
      </c>
      <c r="B1917" s="3" t="s">
        <v>3764</v>
      </c>
      <c r="C1917" s="3" t="s">
        <v>5001</v>
      </c>
      <c r="D1917" s="3" t="s">
        <v>7165</v>
      </c>
      <c r="E1917" s="3" t="s">
        <v>7166</v>
      </c>
      <c r="F1917" s="3">
        <v>2</v>
      </c>
      <c r="G1917" s="3" t="s">
        <v>7158</v>
      </c>
      <c r="H1917" s="3">
        <v>0.1</v>
      </c>
      <c r="I1917" s="3">
        <v>0.2</v>
      </c>
    </row>
    <row r="1918" spans="1:9" ht="33.75" customHeight="1" x14ac:dyDescent="0.25">
      <c r="A1918" s="2" t="s">
        <v>3765</v>
      </c>
      <c r="B1918" s="2" t="s">
        <v>3764</v>
      </c>
      <c r="C1918" s="2" t="s">
        <v>5001</v>
      </c>
      <c r="D1918" s="2" t="s">
        <v>7167</v>
      </c>
      <c r="E1918" s="2" t="s">
        <v>7168</v>
      </c>
      <c r="F1918" s="2">
        <v>5</v>
      </c>
      <c r="G1918" s="2" t="s">
        <v>7158</v>
      </c>
      <c r="H1918" s="2">
        <v>0.2</v>
      </c>
      <c r="I1918" s="2">
        <v>1</v>
      </c>
    </row>
    <row r="1919" spans="1:9" ht="22.5" customHeight="1" x14ac:dyDescent="0.25">
      <c r="A1919" s="3" t="s">
        <v>1360</v>
      </c>
      <c r="B1919" s="3" t="s">
        <v>1359</v>
      </c>
      <c r="C1919" s="3" t="s">
        <v>4823</v>
      </c>
      <c r="D1919" s="3" t="s">
        <v>7153</v>
      </c>
      <c r="E1919" s="3" t="s">
        <v>7154</v>
      </c>
      <c r="F1919" s="3">
        <v>14</v>
      </c>
      <c r="G1919" s="3" t="s">
        <v>7155</v>
      </c>
      <c r="H1919" s="3">
        <v>1.24E-2</v>
      </c>
      <c r="I1919" s="3">
        <v>0.1736</v>
      </c>
    </row>
    <row r="1920" spans="1:9" ht="33.75" customHeight="1" x14ac:dyDescent="0.25">
      <c r="A1920" s="2" t="s">
        <v>1360</v>
      </c>
      <c r="B1920" s="2" t="s">
        <v>1359</v>
      </c>
      <c r="C1920" s="2" t="s">
        <v>4823</v>
      </c>
      <c r="D1920" s="2" t="s">
        <v>7186</v>
      </c>
      <c r="E1920" s="2" t="s">
        <v>7187</v>
      </c>
      <c r="F1920" s="2">
        <v>1</v>
      </c>
      <c r="G1920" s="2" t="s">
        <v>7158</v>
      </c>
      <c r="H1920" s="2">
        <v>26</v>
      </c>
      <c r="I1920" s="2">
        <v>26</v>
      </c>
    </row>
    <row r="1921" spans="1:9" ht="22.5" customHeight="1" x14ac:dyDescent="0.25">
      <c r="A1921" s="3" t="s">
        <v>1360</v>
      </c>
      <c r="B1921" s="3" t="s">
        <v>1359</v>
      </c>
      <c r="C1921" s="3" t="s">
        <v>4823</v>
      </c>
      <c r="D1921" s="3" t="s">
        <v>7159</v>
      </c>
      <c r="E1921" s="3" t="s">
        <v>7160</v>
      </c>
      <c r="F1921" s="3">
        <v>20</v>
      </c>
      <c r="G1921" s="3" t="s">
        <v>7155</v>
      </c>
      <c r="H1921" s="3">
        <v>1.8319999999999999E-2</v>
      </c>
      <c r="I1921" s="3">
        <v>0.3664</v>
      </c>
    </row>
    <row r="1922" spans="1:9" ht="22.5" customHeight="1" x14ac:dyDescent="0.25">
      <c r="A1922" s="2" t="s">
        <v>1360</v>
      </c>
      <c r="B1922" s="2" t="s">
        <v>1359</v>
      </c>
      <c r="C1922" s="2" t="s">
        <v>4823</v>
      </c>
      <c r="D1922" s="2" t="s">
        <v>7161</v>
      </c>
      <c r="E1922" s="2" t="s">
        <v>7162</v>
      </c>
      <c r="F1922" s="2">
        <v>0.186</v>
      </c>
      <c r="G1922" s="2" t="s">
        <v>7163</v>
      </c>
      <c r="H1922" s="2" t="s">
        <v>7164</v>
      </c>
      <c r="I1922" s="2">
        <v>0.186</v>
      </c>
    </row>
    <row r="1923" spans="1:9" ht="33.75" customHeight="1" x14ac:dyDescent="0.25">
      <c r="A1923" s="3" t="s">
        <v>1360</v>
      </c>
      <c r="B1923" s="3" t="s">
        <v>1359</v>
      </c>
      <c r="C1923" s="3" t="s">
        <v>4823</v>
      </c>
      <c r="D1923" s="3" t="s">
        <v>7212</v>
      </c>
      <c r="E1923" s="3" t="s">
        <v>7213</v>
      </c>
      <c r="F1923" s="3">
        <v>6</v>
      </c>
      <c r="G1923" s="3" t="s">
        <v>7158</v>
      </c>
      <c r="H1923" s="3">
        <v>0.21</v>
      </c>
      <c r="I1923" s="3">
        <v>1.26</v>
      </c>
    </row>
    <row r="1924" spans="1:9" ht="33.75" customHeight="1" x14ac:dyDescent="0.25">
      <c r="A1924" s="2" t="s">
        <v>1360</v>
      </c>
      <c r="B1924" s="2" t="s">
        <v>1359</v>
      </c>
      <c r="C1924" s="2" t="s">
        <v>4823</v>
      </c>
      <c r="D1924" s="2" t="s">
        <v>7188</v>
      </c>
      <c r="E1924" s="2" t="s">
        <v>7189</v>
      </c>
      <c r="F1924" s="2">
        <v>5</v>
      </c>
      <c r="G1924" s="2" t="s">
        <v>7158</v>
      </c>
      <c r="H1924" s="2">
        <v>0.27</v>
      </c>
      <c r="I1924" s="2">
        <v>1.35</v>
      </c>
    </row>
    <row r="1925" spans="1:9" ht="22.5" customHeight="1" x14ac:dyDescent="0.25">
      <c r="A1925" s="3" t="s">
        <v>1360</v>
      </c>
      <c r="B1925" s="3" t="s">
        <v>1359</v>
      </c>
      <c r="C1925" s="3" t="s">
        <v>4823</v>
      </c>
      <c r="D1925" s="3" t="s">
        <v>7352</v>
      </c>
      <c r="E1925" s="3" t="s">
        <v>7353</v>
      </c>
      <c r="F1925" s="3">
        <v>96</v>
      </c>
      <c r="G1925" s="3" t="s">
        <v>7158</v>
      </c>
      <c r="H1925" s="3">
        <v>0.25</v>
      </c>
      <c r="I1925" s="3">
        <v>24</v>
      </c>
    </row>
    <row r="1926" spans="1:9" ht="22.5" customHeight="1" x14ac:dyDescent="0.25">
      <c r="A1926" s="2" t="s">
        <v>2210</v>
      </c>
      <c r="B1926" s="2" t="s">
        <v>2209</v>
      </c>
      <c r="C1926" s="2" t="s">
        <v>4894</v>
      </c>
      <c r="D1926" s="2" t="s">
        <v>7153</v>
      </c>
      <c r="E1926" s="2" t="s">
        <v>7154</v>
      </c>
      <c r="F1926" s="2">
        <v>14</v>
      </c>
      <c r="G1926" s="2" t="s">
        <v>7155</v>
      </c>
      <c r="H1926" s="2">
        <v>1.24E-2</v>
      </c>
      <c r="I1926" s="2">
        <v>0.1736</v>
      </c>
    </row>
    <row r="1927" spans="1:9" ht="33.75" customHeight="1" x14ac:dyDescent="0.25">
      <c r="A1927" s="3" t="s">
        <v>2210</v>
      </c>
      <c r="B1927" s="3" t="s">
        <v>2209</v>
      </c>
      <c r="C1927" s="3" t="s">
        <v>4894</v>
      </c>
      <c r="D1927" s="3" t="s">
        <v>7186</v>
      </c>
      <c r="E1927" s="3" t="s">
        <v>7187</v>
      </c>
      <c r="F1927" s="3">
        <v>1</v>
      </c>
      <c r="G1927" s="3" t="s">
        <v>7158</v>
      </c>
      <c r="H1927" s="3">
        <v>26</v>
      </c>
      <c r="I1927" s="3">
        <v>26</v>
      </c>
    </row>
    <row r="1928" spans="1:9" ht="22.5" customHeight="1" x14ac:dyDescent="0.25">
      <c r="A1928" s="2" t="s">
        <v>2210</v>
      </c>
      <c r="B1928" s="2" t="s">
        <v>2209</v>
      </c>
      <c r="C1928" s="2" t="s">
        <v>4894</v>
      </c>
      <c r="D1928" s="2" t="s">
        <v>7159</v>
      </c>
      <c r="E1928" s="2" t="s">
        <v>7160</v>
      </c>
      <c r="F1928" s="2">
        <v>20</v>
      </c>
      <c r="G1928" s="2" t="s">
        <v>7155</v>
      </c>
      <c r="H1928" s="2">
        <v>1.8319999999999999E-2</v>
      </c>
      <c r="I1928" s="2">
        <v>0.3664</v>
      </c>
    </row>
    <row r="1929" spans="1:9" ht="22.5" customHeight="1" x14ac:dyDescent="0.25">
      <c r="A1929" s="3" t="s">
        <v>2210</v>
      </c>
      <c r="B1929" s="3" t="s">
        <v>2209</v>
      </c>
      <c r="C1929" s="3" t="s">
        <v>4894</v>
      </c>
      <c r="D1929" s="3" t="s">
        <v>7161</v>
      </c>
      <c r="E1929" s="3" t="s">
        <v>7162</v>
      </c>
      <c r="F1929" s="3">
        <v>0.186</v>
      </c>
      <c r="G1929" s="3" t="s">
        <v>7163</v>
      </c>
      <c r="H1929" s="3" t="s">
        <v>7164</v>
      </c>
      <c r="I1929" s="3">
        <v>0.186</v>
      </c>
    </row>
    <row r="1930" spans="1:9" ht="33.75" customHeight="1" x14ac:dyDescent="0.25">
      <c r="A1930" s="2" t="s">
        <v>2210</v>
      </c>
      <c r="B1930" s="2" t="s">
        <v>2209</v>
      </c>
      <c r="C1930" s="2" t="s">
        <v>4894</v>
      </c>
      <c r="D1930" s="2" t="s">
        <v>7212</v>
      </c>
      <c r="E1930" s="2" t="s">
        <v>7213</v>
      </c>
      <c r="F1930" s="2">
        <v>8</v>
      </c>
      <c r="G1930" s="2" t="s">
        <v>7158</v>
      </c>
      <c r="H1930" s="2">
        <v>0.21</v>
      </c>
      <c r="I1930" s="2">
        <v>1.68</v>
      </c>
    </row>
    <row r="1931" spans="1:9" ht="33.75" customHeight="1" x14ac:dyDescent="0.25">
      <c r="A1931" s="3" t="s">
        <v>2210</v>
      </c>
      <c r="B1931" s="3" t="s">
        <v>2209</v>
      </c>
      <c r="C1931" s="3" t="s">
        <v>4894</v>
      </c>
      <c r="D1931" s="3" t="s">
        <v>7188</v>
      </c>
      <c r="E1931" s="3" t="s">
        <v>7189</v>
      </c>
      <c r="F1931" s="3">
        <v>5</v>
      </c>
      <c r="G1931" s="3" t="s">
        <v>7158</v>
      </c>
      <c r="H1931" s="3">
        <v>0.27</v>
      </c>
      <c r="I1931" s="3">
        <v>1.35</v>
      </c>
    </row>
    <row r="1932" spans="1:9" ht="22.5" customHeight="1" x14ac:dyDescent="0.25">
      <c r="A1932" s="2" t="s">
        <v>2210</v>
      </c>
      <c r="B1932" s="2" t="s">
        <v>2209</v>
      </c>
      <c r="C1932" s="2" t="s">
        <v>4894</v>
      </c>
      <c r="D1932" s="2" t="s">
        <v>7354</v>
      </c>
      <c r="E1932" s="2" t="s">
        <v>7355</v>
      </c>
      <c r="F1932" s="2">
        <v>96</v>
      </c>
      <c r="G1932" s="2" t="s">
        <v>7158</v>
      </c>
      <c r="H1932" s="2">
        <v>0.19</v>
      </c>
      <c r="I1932" s="2">
        <v>18.239999999999998</v>
      </c>
    </row>
    <row r="1933" spans="1:9" ht="213.75" customHeight="1" x14ac:dyDescent="0.25">
      <c r="A1933" s="3" t="s">
        <v>382</v>
      </c>
      <c r="B1933" s="3" t="s">
        <v>7060</v>
      </c>
      <c r="C1933" s="3" t="s">
        <v>4725</v>
      </c>
      <c r="D1933" s="3" t="s">
        <v>7153</v>
      </c>
      <c r="E1933" s="3" t="s">
        <v>7154</v>
      </c>
      <c r="F1933" s="3">
        <v>14</v>
      </c>
      <c r="G1933" s="3" t="s">
        <v>7155</v>
      </c>
      <c r="H1933" s="3">
        <v>1.24E-2</v>
      </c>
      <c r="I1933" s="3">
        <v>0.1736</v>
      </c>
    </row>
    <row r="1934" spans="1:9" ht="213.75" customHeight="1" x14ac:dyDescent="0.25">
      <c r="A1934" s="2" t="s">
        <v>382</v>
      </c>
      <c r="B1934" s="2" t="s">
        <v>7060</v>
      </c>
      <c r="C1934" s="2" t="s">
        <v>4725</v>
      </c>
      <c r="D1934" s="2" t="s">
        <v>7258</v>
      </c>
      <c r="E1934" s="2" t="s">
        <v>7309</v>
      </c>
      <c r="F1934" s="2">
        <v>96</v>
      </c>
      <c r="G1934" s="2" t="s">
        <v>7158</v>
      </c>
      <c r="H1934" s="2">
        <v>4.6700000000000012E-2</v>
      </c>
      <c r="I1934" s="2">
        <v>4.4832000000000001</v>
      </c>
    </row>
    <row r="1935" spans="1:9" ht="213.75" customHeight="1" x14ac:dyDescent="0.25">
      <c r="A1935" s="3" t="s">
        <v>382</v>
      </c>
      <c r="B1935" s="3" t="s">
        <v>7060</v>
      </c>
      <c r="C1935" s="3" t="s">
        <v>4725</v>
      </c>
      <c r="D1935" s="3" t="s">
        <v>7186</v>
      </c>
      <c r="E1935" s="3" t="s">
        <v>7187</v>
      </c>
      <c r="F1935" s="3">
        <v>1</v>
      </c>
      <c r="G1935" s="3" t="s">
        <v>7158</v>
      </c>
      <c r="H1935" s="3">
        <v>26</v>
      </c>
      <c r="I1935" s="3">
        <v>26</v>
      </c>
    </row>
    <row r="1936" spans="1:9" ht="213.75" customHeight="1" x14ac:dyDescent="0.25">
      <c r="A1936" s="2" t="s">
        <v>382</v>
      </c>
      <c r="B1936" s="2" t="s">
        <v>7060</v>
      </c>
      <c r="C1936" s="2" t="s">
        <v>4725</v>
      </c>
      <c r="D1936" s="2" t="s">
        <v>7159</v>
      </c>
      <c r="E1936" s="2" t="s">
        <v>7160</v>
      </c>
      <c r="F1936" s="2">
        <v>20</v>
      </c>
      <c r="G1936" s="2" t="s">
        <v>7155</v>
      </c>
      <c r="H1936" s="2">
        <v>1.8319999999999999E-2</v>
      </c>
      <c r="I1936" s="2">
        <v>0.3664</v>
      </c>
    </row>
    <row r="1937" spans="1:9" ht="213.75" customHeight="1" x14ac:dyDescent="0.25">
      <c r="A1937" s="3" t="s">
        <v>382</v>
      </c>
      <c r="B1937" s="3" t="s">
        <v>7060</v>
      </c>
      <c r="C1937" s="3" t="s">
        <v>4725</v>
      </c>
      <c r="D1937" s="3" t="s">
        <v>7161</v>
      </c>
      <c r="E1937" s="3" t="s">
        <v>7162</v>
      </c>
      <c r="F1937" s="3">
        <v>0.186</v>
      </c>
      <c r="G1937" s="3" t="s">
        <v>7163</v>
      </c>
      <c r="H1937" s="3" t="s">
        <v>7164</v>
      </c>
      <c r="I1937" s="3">
        <v>0.186</v>
      </c>
    </row>
    <row r="1938" spans="1:9" ht="213.75" customHeight="1" x14ac:dyDescent="0.25">
      <c r="A1938" s="2" t="s">
        <v>382</v>
      </c>
      <c r="B1938" s="2" t="s">
        <v>7060</v>
      </c>
      <c r="C1938" s="2" t="s">
        <v>4725</v>
      </c>
      <c r="D1938" s="2" t="s">
        <v>7259</v>
      </c>
      <c r="E1938" s="2" t="s">
        <v>7308</v>
      </c>
      <c r="F1938" s="2">
        <v>2.6280000000000001</v>
      </c>
      <c r="G1938" s="2" t="s">
        <v>7163</v>
      </c>
      <c r="H1938" s="2" t="s">
        <v>7164</v>
      </c>
      <c r="I1938" s="2">
        <v>2.6280000000000001</v>
      </c>
    </row>
    <row r="1939" spans="1:9" ht="213.75" customHeight="1" x14ac:dyDescent="0.25">
      <c r="A1939" s="3" t="s">
        <v>382</v>
      </c>
      <c r="B1939" s="3" t="s">
        <v>7060</v>
      </c>
      <c r="C1939" s="3" t="s">
        <v>4725</v>
      </c>
      <c r="D1939" s="3" t="s">
        <v>7188</v>
      </c>
      <c r="E1939" s="3" t="s">
        <v>7189</v>
      </c>
      <c r="F1939" s="3">
        <v>4</v>
      </c>
      <c r="G1939" s="3" t="s">
        <v>7158</v>
      </c>
      <c r="H1939" s="3">
        <v>0.27</v>
      </c>
      <c r="I1939" s="3">
        <v>1.08</v>
      </c>
    </row>
    <row r="1940" spans="1:9" ht="213.75" customHeight="1" x14ac:dyDescent="0.25">
      <c r="A1940" s="2" t="s">
        <v>382</v>
      </c>
      <c r="B1940" s="2" t="s">
        <v>7060</v>
      </c>
      <c r="C1940" s="2" t="s">
        <v>4725</v>
      </c>
      <c r="D1940" s="2" t="s">
        <v>7165</v>
      </c>
      <c r="E1940" s="2" t="s">
        <v>7166</v>
      </c>
      <c r="F1940" s="2">
        <v>4</v>
      </c>
      <c r="G1940" s="2" t="s">
        <v>7158</v>
      </c>
      <c r="H1940" s="2">
        <v>0.1</v>
      </c>
      <c r="I1940" s="2">
        <v>0.4</v>
      </c>
    </row>
    <row r="1941" spans="1:9" ht="45" customHeight="1" x14ac:dyDescent="0.25">
      <c r="A1941" s="3" t="s">
        <v>681</v>
      </c>
      <c r="B1941" s="3" t="s">
        <v>7068</v>
      </c>
      <c r="C1941" s="3" t="s">
        <v>4781</v>
      </c>
      <c r="D1941" s="3" t="s">
        <v>7258</v>
      </c>
      <c r="E1941" s="3" t="s">
        <v>7309</v>
      </c>
      <c r="F1941" s="3">
        <v>96</v>
      </c>
      <c r="G1941" s="3" t="s">
        <v>7158</v>
      </c>
      <c r="H1941" s="3">
        <v>4.6700000000000012E-2</v>
      </c>
      <c r="I1941" s="3">
        <v>4.4832000000000001</v>
      </c>
    </row>
    <row r="1942" spans="1:9" ht="45" customHeight="1" x14ac:dyDescent="0.25">
      <c r="A1942" s="2" t="s">
        <v>681</v>
      </c>
      <c r="B1942" s="2" t="s">
        <v>7068</v>
      </c>
      <c r="C1942" s="2" t="s">
        <v>4781</v>
      </c>
      <c r="D1942" s="2" t="s">
        <v>7186</v>
      </c>
      <c r="E1942" s="2" t="s">
        <v>7187</v>
      </c>
      <c r="F1942" s="2">
        <v>1</v>
      </c>
      <c r="G1942" s="2" t="s">
        <v>7158</v>
      </c>
      <c r="H1942" s="2">
        <v>26</v>
      </c>
      <c r="I1942" s="2">
        <v>26</v>
      </c>
    </row>
    <row r="1943" spans="1:9" ht="45" customHeight="1" x14ac:dyDescent="0.25">
      <c r="A1943" s="3" t="s">
        <v>681</v>
      </c>
      <c r="B1943" s="3" t="s">
        <v>7068</v>
      </c>
      <c r="C1943" s="3" t="s">
        <v>4781</v>
      </c>
      <c r="D1943" s="3" t="s">
        <v>7159</v>
      </c>
      <c r="E1943" s="3" t="s">
        <v>7160</v>
      </c>
      <c r="F1943" s="3">
        <v>20</v>
      </c>
      <c r="G1943" s="3" t="s">
        <v>7155</v>
      </c>
      <c r="H1943" s="3">
        <v>1.8319999999999999E-2</v>
      </c>
      <c r="I1943" s="3">
        <v>0.3664</v>
      </c>
    </row>
    <row r="1944" spans="1:9" ht="45" customHeight="1" x14ac:dyDescent="0.25">
      <c r="A1944" s="2" t="s">
        <v>681</v>
      </c>
      <c r="B1944" s="2" t="s">
        <v>7068</v>
      </c>
      <c r="C1944" s="2" t="s">
        <v>4781</v>
      </c>
      <c r="D1944" s="2" t="s">
        <v>7161</v>
      </c>
      <c r="E1944" s="2" t="s">
        <v>7162</v>
      </c>
      <c r="F1944" s="2">
        <v>0.186</v>
      </c>
      <c r="G1944" s="2" t="s">
        <v>7163</v>
      </c>
      <c r="H1944" s="2" t="s">
        <v>7164</v>
      </c>
      <c r="I1944" s="2">
        <v>0.186</v>
      </c>
    </row>
    <row r="1945" spans="1:9" ht="45" customHeight="1" x14ac:dyDescent="0.25">
      <c r="A1945" s="3" t="s">
        <v>681</v>
      </c>
      <c r="B1945" s="3" t="s">
        <v>7068</v>
      </c>
      <c r="C1945" s="3" t="s">
        <v>4781</v>
      </c>
      <c r="D1945" s="3" t="s">
        <v>7259</v>
      </c>
      <c r="E1945" s="3" t="s">
        <v>7308</v>
      </c>
      <c r="F1945" s="3">
        <v>2.6280000000000001</v>
      </c>
      <c r="G1945" s="3" t="s">
        <v>7163</v>
      </c>
      <c r="H1945" s="3" t="s">
        <v>7164</v>
      </c>
      <c r="I1945" s="3">
        <v>2.6280000000000001</v>
      </c>
    </row>
    <row r="1946" spans="1:9" ht="45" customHeight="1" x14ac:dyDescent="0.25">
      <c r="A1946" s="2" t="s">
        <v>681</v>
      </c>
      <c r="B1946" s="2" t="s">
        <v>7068</v>
      </c>
      <c r="C1946" s="2" t="s">
        <v>4781</v>
      </c>
      <c r="D1946" s="2" t="s">
        <v>7188</v>
      </c>
      <c r="E1946" s="2" t="s">
        <v>7189</v>
      </c>
      <c r="F1946" s="2">
        <v>4</v>
      </c>
      <c r="G1946" s="2" t="s">
        <v>7158</v>
      </c>
      <c r="H1946" s="2">
        <v>0.27</v>
      </c>
      <c r="I1946" s="2">
        <v>1.08</v>
      </c>
    </row>
    <row r="1947" spans="1:9" ht="33.75" customHeight="1" x14ac:dyDescent="0.25">
      <c r="A1947" s="3" t="s">
        <v>1572</v>
      </c>
      <c r="B1947" s="3" t="s">
        <v>7076</v>
      </c>
      <c r="C1947" s="3" t="s">
        <v>4838</v>
      </c>
      <c r="D1947" s="3" t="s">
        <v>7249</v>
      </c>
      <c r="E1947" s="3" t="s">
        <v>7250</v>
      </c>
      <c r="F1947" s="3">
        <v>3</v>
      </c>
      <c r="G1947" s="3" t="s">
        <v>7158</v>
      </c>
      <c r="H1947" s="3">
        <v>0.104</v>
      </c>
      <c r="I1947" s="3">
        <v>0.312</v>
      </c>
    </row>
    <row r="1948" spans="1:9" ht="33.75" customHeight="1" x14ac:dyDescent="0.25">
      <c r="A1948" s="2" t="s">
        <v>1572</v>
      </c>
      <c r="B1948" s="2" t="s">
        <v>7076</v>
      </c>
      <c r="C1948" s="2" t="s">
        <v>4838</v>
      </c>
      <c r="D1948" s="2" t="s">
        <v>7153</v>
      </c>
      <c r="E1948" s="2" t="s">
        <v>7154</v>
      </c>
      <c r="F1948" s="2">
        <v>14</v>
      </c>
      <c r="G1948" s="2" t="s">
        <v>7155</v>
      </c>
      <c r="H1948" s="2">
        <v>1.24E-2</v>
      </c>
      <c r="I1948" s="2">
        <v>0.1736</v>
      </c>
    </row>
    <row r="1949" spans="1:9" ht="33.75" customHeight="1" x14ac:dyDescent="0.25">
      <c r="A1949" s="3" t="s">
        <v>1572</v>
      </c>
      <c r="B1949" s="3" t="s">
        <v>7076</v>
      </c>
      <c r="C1949" s="3" t="s">
        <v>4838</v>
      </c>
      <c r="D1949" s="3" t="s">
        <v>7186</v>
      </c>
      <c r="E1949" s="3" t="s">
        <v>7187</v>
      </c>
      <c r="F1949" s="3">
        <v>1</v>
      </c>
      <c r="G1949" s="3" t="s">
        <v>7158</v>
      </c>
      <c r="H1949" s="3">
        <v>26</v>
      </c>
      <c r="I1949" s="3">
        <v>26</v>
      </c>
    </row>
    <row r="1950" spans="1:9" ht="33.75" customHeight="1" x14ac:dyDescent="0.25">
      <c r="A1950" s="2" t="s">
        <v>1572</v>
      </c>
      <c r="B1950" s="2" t="s">
        <v>7076</v>
      </c>
      <c r="C1950" s="2" t="s">
        <v>4838</v>
      </c>
      <c r="D1950" s="2" t="s">
        <v>7159</v>
      </c>
      <c r="E1950" s="2" t="s">
        <v>7160</v>
      </c>
      <c r="F1950" s="2">
        <v>20</v>
      </c>
      <c r="G1950" s="2" t="s">
        <v>7155</v>
      </c>
      <c r="H1950" s="2">
        <v>1.8319999999999999E-2</v>
      </c>
      <c r="I1950" s="2">
        <v>0.3664</v>
      </c>
    </row>
    <row r="1951" spans="1:9" ht="33.75" customHeight="1" x14ac:dyDescent="0.25">
      <c r="A1951" s="3" t="s">
        <v>1572</v>
      </c>
      <c r="B1951" s="3" t="s">
        <v>7076</v>
      </c>
      <c r="C1951" s="3" t="s">
        <v>4838</v>
      </c>
      <c r="D1951" s="3" t="s">
        <v>7190</v>
      </c>
      <c r="E1951" s="3" t="s">
        <v>7191</v>
      </c>
      <c r="F1951" s="3">
        <v>0.59699999999999998</v>
      </c>
      <c r="G1951" s="3" t="s">
        <v>7163</v>
      </c>
      <c r="H1951" s="3" t="s">
        <v>7164</v>
      </c>
      <c r="I1951" s="3">
        <v>0.59699999999999998</v>
      </c>
    </row>
    <row r="1952" spans="1:9" ht="33.75" customHeight="1" x14ac:dyDescent="0.25">
      <c r="A1952" s="2" t="s">
        <v>1572</v>
      </c>
      <c r="B1952" s="2" t="s">
        <v>7076</v>
      </c>
      <c r="C1952" s="2" t="s">
        <v>4838</v>
      </c>
      <c r="D1952" s="2" t="s">
        <v>7188</v>
      </c>
      <c r="E1952" s="2" t="s">
        <v>7189</v>
      </c>
      <c r="F1952" s="2">
        <v>4</v>
      </c>
      <c r="G1952" s="2" t="s">
        <v>7158</v>
      </c>
      <c r="H1952" s="2">
        <v>0.27</v>
      </c>
      <c r="I1952" s="2">
        <v>1.08</v>
      </c>
    </row>
    <row r="1953" spans="1:9" ht="33.75" customHeight="1" x14ac:dyDescent="0.25">
      <c r="A1953" s="3" t="s">
        <v>1572</v>
      </c>
      <c r="B1953" s="3" t="s">
        <v>7076</v>
      </c>
      <c r="C1953" s="3" t="s">
        <v>4838</v>
      </c>
      <c r="D1953" s="3" t="s">
        <v>7192</v>
      </c>
      <c r="E1953" s="3" t="s">
        <v>7193</v>
      </c>
      <c r="F1953" s="3">
        <v>4</v>
      </c>
      <c r="G1953" s="3" t="s">
        <v>7158</v>
      </c>
      <c r="H1953" s="3">
        <v>0.03</v>
      </c>
      <c r="I1953" s="3">
        <v>0.12</v>
      </c>
    </row>
    <row r="1954" spans="1:9" x14ac:dyDescent="0.25">
      <c r="A1954" s="2" t="s">
        <v>3531</v>
      </c>
      <c r="B1954" s="2" t="s">
        <v>3530</v>
      </c>
      <c r="C1954" s="2" t="s">
        <v>4985</v>
      </c>
      <c r="D1954" s="2" t="s">
        <v>7156</v>
      </c>
      <c r="E1954" s="2"/>
      <c r="F1954" s="2">
        <v>1</v>
      </c>
      <c r="G1954" s="2" t="s">
        <v>7158</v>
      </c>
      <c r="H1954" s="2">
        <v>26</v>
      </c>
      <c r="I1954" s="2">
        <v>26</v>
      </c>
    </row>
    <row r="1955" spans="1:9" x14ac:dyDescent="0.25">
      <c r="A1955" s="3" t="s">
        <v>3531</v>
      </c>
      <c r="B1955" s="3" t="s">
        <v>3530</v>
      </c>
      <c r="C1955" s="3" t="s">
        <v>4985</v>
      </c>
      <c r="D1955" s="3" t="s">
        <v>7159</v>
      </c>
      <c r="E1955" s="3"/>
      <c r="F1955" s="3">
        <v>20</v>
      </c>
      <c r="G1955" s="3" t="s">
        <v>7155</v>
      </c>
      <c r="H1955" s="3">
        <v>1.8319999999999999E-2</v>
      </c>
      <c r="I1955" s="3">
        <v>0.3664</v>
      </c>
    </row>
    <row r="1956" spans="1:9" x14ac:dyDescent="0.25">
      <c r="A1956" s="2" t="s">
        <v>3531</v>
      </c>
      <c r="B1956" s="2" t="s">
        <v>3530</v>
      </c>
      <c r="C1956" s="2" t="s">
        <v>4985</v>
      </c>
      <c r="D1956" s="2" t="s">
        <v>7161</v>
      </c>
      <c r="E1956" s="2"/>
      <c r="F1956" s="2">
        <v>0.186</v>
      </c>
      <c r="G1956" s="2" t="s">
        <v>7163</v>
      </c>
      <c r="H1956" s="2">
        <v>0</v>
      </c>
      <c r="I1956" s="2">
        <v>0</v>
      </c>
    </row>
    <row r="1957" spans="1:9" x14ac:dyDescent="0.25">
      <c r="A1957" s="3" t="s">
        <v>3531</v>
      </c>
      <c r="B1957" s="3" t="s">
        <v>3530</v>
      </c>
      <c r="C1957" s="3" t="s">
        <v>4985</v>
      </c>
      <c r="D1957" s="3" t="s">
        <v>7332</v>
      </c>
      <c r="E1957" s="3"/>
      <c r="F1957" s="3">
        <v>2.31</v>
      </c>
      <c r="G1957" s="3" t="s">
        <v>7163</v>
      </c>
      <c r="H1957" s="3">
        <v>0</v>
      </c>
      <c r="I1957" s="3">
        <v>0</v>
      </c>
    </row>
    <row r="1958" spans="1:9" x14ac:dyDescent="0.25">
      <c r="A1958" s="2" t="s">
        <v>3531</v>
      </c>
      <c r="B1958" s="2" t="s">
        <v>3530</v>
      </c>
      <c r="C1958" s="2" t="s">
        <v>4985</v>
      </c>
      <c r="D1958" s="2" t="s">
        <v>7167</v>
      </c>
      <c r="E1958" s="2"/>
      <c r="F1958" s="2">
        <v>4</v>
      </c>
      <c r="G1958" s="2" t="s">
        <v>7158</v>
      </c>
      <c r="H1958" s="2">
        <v>0.2</v>
      </c>
      <c r="I1958" s="2">
        <v>0.8</v>
      </c>
    </row>
    <row r="1959" spans="1:9" x14ac:dyDescent="0.25">
      <c r="A1959" s="3" t="s">
        <v>3531</v>
      </c>
      <c r="B1959" s="3" t="s">
        <v>3530</v>
      </c>
      <c r="C1959" s="3" t="s">
        <v>4985</v>
      </c>
      <c r="D1959" s="3" t="s">
        <v>7202</v>
      </c>
      <c r="E1959" s="3"/>
      <c r="F1959" s="3">
        <v>96</v>
      </c>
      <c r="G1959" s="3" t="s">
        <v>7158</v>
      </c>
      <c r="H1959" s="3">
        <v>1.08E-3</v>
      </c>
      <c r="I1959" s="3">
        <v>0.10367999999999999</v>
      </c>
    </row>
    <row r="1960" spans="1:9" x14ac:dyDescent="0.25">
      <c r="A1960" s="2" t="s">
        <v>3531</v>
      </c>
      <c r="B1960" s="2" t="s">
        <v>3530</v>
      </c>
      <c r="C1960" s="2" t="s">
        <v>4985</v>
      </c>
      <c r="D1960" s="2" t="s">
        <v>7179</v>
      </c>
      <c r="E1960" s="2"/>
      <c r="F1960" s="2">
        <v>96</v>
      </c>
      <c r="G1960" s="2" t="s">
        <v>7158</v>
      </c>
      <c r="H1960" s="2">
        <v>1.08E-3</v>
      </c>
      <c r="I1960" s="2">
        <v>0.10367999999999999</v>
      </c>
    </row>
    <row r="1961" spans="1:9" x14ac:dyDescent="0.25">
      <c r="A1961" s="3" t="s">
        <v>1959</v>
      </c>
      <c r="B1961" s="3" t="s">
        <v>1958</v>
      </c>
      <c r="C1961" s="3" t="s">
        <v>4877</v>
      </c>
      <c r="D1961" s="3" t="s">
        <v>7156</v>
      </c>
      <c r="E1961" s="3"/>
      <c r="F1961" s="3">
        <v>1</v>
      </c>
      <c r="G1961" s="3" t="s">
        <v>7158</v>
      </c>
      <c r="H1961" s="3">
        <v>26</v>
      </c>
      <c r="I1961" s="3">
        <v>26</v>
      </c>
    </row>
    <row r="1962" spans="1:9" x14ac:dyDescent="0.25">
      <c r="A1962" s="2" t="s">
        <v>1959</v>
      </c>
      <c r="B1962" s="2" t="s">
        <v>1958</v>
      </c>
      <c r="C1962" s="2" t="s">
        <v>4877</v>
      </c>
      <c r="D1962" s="2" t="s">
        <v>7159</v>
      </c>
      <c r="E1962" s="2"/>
      <c r="F1962" s="2">
        <v>20</v>
      </c>
      <c r="G1962" s="2" t="s">
        <v>7155</v>
      </c>
      <c r="H1962" s="2">
        <v>1.8319999999999999E-2</v>
      </c>
      <c r="I1962" s="2">
        <v>0.3664</v>
      </c>
    </row>
    <row r="1963" spans="1:9" x14ac:dyDescent="0.25">
      <c r="A1963" s="3" t="s">
        <v>1959</v>
      </c>
      <c r="B1963" s="3" t="s">
        <v>1958</v>
      </c>
      <c r="C1963" s="3" t="s">
        <v>4877</v>
      </c>
      <c r="D1963" s="3" t="s">
        <v>7161</v>
      </c>
      <c r="E1963" s="3"/>
      <c r="F1963" s="3">
        <v>0.186</v>
      </c>
      <c r="G1963" s="3" t="s">
        <v>7163</v>
      </c>
      <c r="H1963" s="3">
        <v>0</v>
      </c>
      <c r="I1963" s="3">
        <v>0</v>
      </c>
    </row>
    <row r="1964" spans="1:9" x14ac:dyDescent="0.25">
      <c r="A1964" s="2" t="s">
        <v>1959</v>
      </c>
      <c r="B1964" s="2" t="s">
        <v>1958</v>
      </c>
      <c r="C1964" s="2" t="s">
        <v>4877</v>
      </c>
      <c r="D1964" s="2" t="s">
        <v>7259</v>
      </c>
      <c r="E1964" s="2"/>
      <c r="F1964" s="2">
        <v>2.5939999999999999</v>
      </c>
      <c r="G1964" s="2" t="s">
        <v>7163</v>
      </c>
      <c r="H1964" s="2">
        <v>0</v>
      </c>
      <c r="I1964" s="2">
        <v>0</v>
      </c>
    </row>
    <row r="1965" spans="1:9" x14ac:dyDescent="0.25">
      <c r="A1965" s="3" t="s">
        <v>1959</v>
      </c>
      <c r="B1965" s="3" t="s">
        <v>1958</v>
      </c>
      <c r="C1965" s="3" t="s">
        <v>4877</v>
      </c>
      <c r="D1965" s="3" t="s">
        <v>7167</v>
      </c>
      <c r="E1965" s="3"/>
      <c r="F1965" s="3">
        <v>5</v>
      </c>
      <c r="G1965" s="3" t="s">
        <v>7158</v>
      </c>
      <c r="H1965" s="3">
        <v>0.2</v>
      </c>
      <c r="I1965" s="3">
        <v>1</v>
      </c>
    </row>
    <row r="1966" spans="1:9" x14ac:dyDescent="0.25">
      <c r="A1966" s="2" t="s">
        <v>1959</v>
      </c>
      <c r="B1966" s="2" t="s">
        <v>1958</v>
      </c>
      <c r="C1966" s="2" t="s">
        <v>4877</v>
      </c>
      <c r="D1966" s="2" t="s">
        <v>7260</v>
      </c>
      <c r="E1966" s="2"/>
      <c r="F1966" s="2">
        <v>96</v>
      </c>
      <c r="G1966" s="2" t="s">
        <v>7158</v>
      </c>
      <c r="H1966" s="2">
        <v>8.0000000000000002E-3</v>
      </c>
      <c r="I1966" s="2">
        <v>0.76800000000000002</v>
      </c>
    </row>
    <row r="1967" spans="1:9" x14ac:dyDescent="0.25">
      <c r="A1967" s="3" t="s">
        <v>1959</v>
      </c>
      <c r="B1967" s="3" t="s">
        <v>1958</v>
      </c>
      <c r="C1967" s="3" t="s">
        <v>4877</v>
      </c>
      <c r="D1967" s="3" t="s">
        <v>7261</v>
      </c>
      <c r="E1967" s="3"/>
      <c r="F1967" s="3">
        <v>96</v>
      </c>
      <c r="G1967" s="3" t="s">
        <v>7158</v>
      </c>
      <c r="H1967" s="3">
        <v>8.0000000000000002E-3</v>
      </c>
      <c r="I1967" s="3">
        <v>0.76800000000000002</v>
      </c>
    </row>
    <row r="1968" spans="1:9" x14ac:dyDescent="0.25">
      <c r="A1968" s="2" t="s">
        <v>1963</v>
      </c>
      <c r="B1968" s="2" t="s">
        <v>1962</v>
      </c>
      <c r="C1968" s="2" t="s">
        <v>4878</v>
      </c>
      <c r="D1968" s="2" t="s">
        <v>7156</v>
      </c>
      <c r="E1968" s="2"/>
      <c r="F1968" s="2">
        <v>1</v>
      </c>
      <c r="G1968" s="2" t="s">
        <v>7158</v>
      </c>
      <c r="H1968" s="2">
        <v>26</v>
      </c>
      <c r="I1968" s="2">
        <v>26</v>
      </c>
    </row>
    <row r="1969" spans="1:9" x14ac:dyDescent="0.25">
      <c r="A1969" s="3" t="s">
        <v>1963</v>
      </c>
      <c r="B1969" s="3" t="s">
        <v>1962</v>
      </c>
      <c r="C1969" s="3" t="s">
        <v>4878</v>
      </c>
      <c r="D1969" s="3" t="s">
        <v>7159</v>
      </c>
      <c r="E1969" s="3"/>
      <c r="F1969" s="3">
        <v>20</v>
      </c>
      <c r="G1969" s="3" t="s">
        <v>7155</v>
      </c>
      <c r="H1969" s="3">
        <v>1.8319999999999999E-2</v>
      </c>
      <c r="I1969" s="3">
        <v>0.3664</v>
      </c>
    </row>
    <row r="1970" spans="1:9" x14ac:dyDescent="0.25">
      <c r="A1970" s="2" t="s">
        <v>1963</v>
      </c>
      <c r="B1970" s="2" t="s">
        <v>1962</v>
      </c>
      <c r="C1970" s="2" t="s">
        <v>4878</v>
      </c>
      <c r="D1970" s="2" t="s">
        <v>7161</v>
      </c>
      <c r="E1970" s="2"/>
      <c r="F1970" s="2">
        <v>0.186</v>
      </c>
      <c r="G1970" s="2" t="s">
        <v>7163</v>
      </c>
      <c r="H1970" s="2">
        <v>0</v>
      </c>
      <c r="I1970" s="2">
        <v>0</v>
      </c>
    </row>
    <row r="1971" spans="1:9" x14ac:dyDescent="0.25">
      <c r="A1971" s="3" t="s">
        <v>1963</v>
      </c>
      <c r="B1971" s="3" t="s">
        <v>1962</v>
      </c>
      <c r="C1971" s="3" t="s">
        <v>4878</v>
      </c>
      <c r="D1971" s="3" t="s">
        <v>7259</v>
      </c>
      <c r="E1971" s="3"/>
      <c r="F1971" s="3">
        <v>3.1669999999999998</v>
      </c>
      <c r="G1971" s="3" t="s">
        <v>7163</v>
      </c>
      <c r="H1971" s="3">
        <v>0</v>
      </c>
      <c r="I1971" s="3">
        <v>0</v>
      </c>
    </row>
    <row r="1972" spans="1:9" x14ac:dyDescent="0.25">
      <c r="A1972" s="2" t="s">
        <v>1963</v>
      </c>
      <c r="B1972" s="2" t="s">
        <v>1962</v>
      </c>
      <c r="C1972" s="2" t="s">
        <v>4878</v>
      </c>
      <c r="D1972" s="2" t="s">
        <v>7167</v>
      </c>
      <c r="E1972" s="2"/>
      <c r="F1972" s="2">
        <v>4</v>
      </c>
      <c r="G1972" s="2" t="s">
        <v>7158</v>
      </c>
      <c r="H1972" s="2">
        <v>0.2</v>
      </c>
      <c r="I1972" s="2">
        <v>0.8</v>
      </c>
    </row>
    <row r="1973" spans="1:9" x14ac:dyDescent="0.25">
      <c r="A1973" s="3" t="s">
        <v>1963</v>
      </c>
      <c r="B1973" s="3" t="s">
        <v>1962</v>
      </c>
      <c r="C1973" s="3" t="s">
        <v>4878</v>
      </c>
      <c r="D1973" s="3" t="s">
        <v>7202</v>
      </c>
      <c r="E1973" s="3"/>
      <c r="F1973" s="3">
        <v>96</v>
      </c>
      <c r="G1973" s="3" t="s">
        <v>7158</v>
      </c>
      <c r="H1973" s="3">
        <v>1.08E-3</v>
      </c>
      <c r="I1973" s="3">
        <v>0.10367999999999999</v>
      </c>
    </row>
    <row r="1974" spans="1:9" x14ac:dyDescent="0.25">
      <c r="A1974" s="2" t="s">
        <v>1963</v>
      </c>
      <c r="B1974" s="2" t="s">
        <v>1962</v>
      </c>
      <c r="C1974" s="2" t="s">
        <v>4878</v>
      </c>
      <c r="D1974" s="2" t="s">
        <v>7179</v>
      </c>
      <c r="E1974" s="2"/>
      <c r="F1974" s="2">
        <v>96</v>
      </c>
      <c r="G1974" s="2" t="s">
        <v>7158</v>
      </c>
      <c r="H1974" s="2">
        <v>1.08E-3</v>
      </c>
      <c r="I1974" s="2">
        <v>0.10367999999999999</v>
      </c>
    </row>
    <row r="1975" spans="1:9" ht="22.5" customHeight="1" x14ac:dyDescent="0.25">
      <c r="A1975" s="3" t="s">
        <v>966</v>
      </c>
      <c r="B1975" s="3" t="s">
        <v>965</v>
      </c>
      <c r="C1975" s="3" t="s">
        <v>4805</v>
      </c>
      <c r="D1975" s="3" t="s">
        <v>7153</v>
      </c>
      <c r="E1975" s="3" t="s">
        <v>7154</v>
      </c>
      <c r="F1975" s="3">
        <v>14</v>
      </c>
      <c r="G1975" s="3" t="s">
        <v>7155</v>
      </c>
      <c r="H1975" s="3">
        <v>1.24E-2</v>
      </c>
      <c r="I1975" s="3">
        <v>0.1736</v>
      </c>
    </row>
    <row r="1976" spans="1:9" ht="22.5" customHeight="1" x14ac:dyDescent="0.25">
      <c r="A1976" s="2" t="s">
        <v>966</v>
      </c>
      <c r="B1976" s="2" t="s">
        <v>965</v>
      </c>
      <c r="C1976" s="2" t="s">
        <v>4805</v>
      </c>
      <c r="D1976" s="2" t="s">
        <v>7356</v>
      </c>
      <c r="E1976" s="2" t="s">
        <v>7357</v>
      </c>
      <c r="F1976" s="2">
        <v>105</v>
      </c>
      <c r="G1976" s="2" t="s">
        <v>7158</v>
      </c>
      <c r="H1976" s="2">
        <v>3.6729999999999999E-2</v>
      </c>
      <c r="I1976" s="2">
        <v>3.8566500000000001</v>
      </c>
    </row>
    <row r="1977" spans="1:9" ht="33.75" customHeight="1" x14ac:dyDescent="0.25">
      <c r="A1977" s="3" t="s">
        <v>966</v>
      </c>
      <c r="B1977" s="3" t="s">
        <v>965</v>
      </c>
      <c r="C1977" s="3" t="s">
        <v>4805</v>
      </c>
      <c r="D1977" s="3" t="s">
        <v>7186</v>
      </c>
      <c r="E1977" s="3" t="s">
        <v>7187</v>
      </c>
      <c r="F1977" s="3">
        <v>1</v>
      </c>
      <c r="G1977" s="3" t="s">
        <v>7158</v>
      </c>
      <c r="H1977" s="3">
        <v>26</v>
      </c>
      <c r="I1977" s="3">
        <v>26</v>
      </c>
    </row>
    <row r="1978" spans="1:9" ht="22.5" customHeight="1" x14ac:dyDescent="0.25">
      <c r="A1978" s="2" t="s">
        <v>966</v>
      </c>
      <c r="B1978" s="2" t="s">
        <v>965</v>
      </c>
      <c r="C1978" s="2" t="s">
        <v>4805</v>
      </c>
      <c r="D1978" s="2" t="s">
        <v>7159</v>
      </c>
      <c r="E1978" s="2" t="s">
        <v>7160</v>
      </c>
      <c r="F1978" s="2">
        <v>20</v>
      </c>
      <c r="G1978" s="2" t="s">
        <v>7155</v>
      </c>
      <c r="H1978" s="2">
        <v>1.8319999999999999E-2</v>
      </c>
      <c r="I1978" s="2">
        <v>0.3664</v>
      </c>
    </row>
    <row r="1979" spans="1:9" ht="22.5" customHeight="1" x14ac:dyDescent="0.25">
      <c r="A1979" s="3" t="s">
        <v>966</v>
      </c>
      <c r="B1979" s="3" t="s">
        <v>965</v>
      </c>
      <c r="C1979" s="3" t="s">
        <v>4805</v>
      </c>
      <c r="D1979" s="3" t="s">
        <v>7161</v>
      </c>
      <c r="E1979" s="3" t="s">
        <v>7162</v>
      </c>
      <c r="F1979" s="3">
        <v>0.186</v>
      </c>
      <c r="G1979" s="3" t="s">
        <v>7163</v>
      </c>
      <c r="H1979" s="3" t="s">
        <v>7164</v>
      </c>
      <c r="I1979" s="3">
        <v>0.186</v>
      </c>
    </row>
    <row r="1980" spans="1:9" ht="33.75" customHeight="1" x14ac:dyDescent="0.25">
      <c r="A1980" s="2" t="s">
        <v>966</v>
      </c>
      <c r="B1980" s="2" t="s">
        <v>965</v>
      </c>
      <c r="C1980" s="2" t="s">
        <v>4805</v>
      </c>
      <c r="D1980" s="2" t="s">
        <v>7212</v>
      </c>
      <c r="E1980" s="2" t="s">
        <v>7213</v>
      </c>
      <c r="F1980" s="2">
        <v>6</v>
      </c>
      <c r="G1980" s="2" t="s">
        <v>7158</v>
      </c>
      <c r="H1980" s="2">
        <v>0.21</v>
      </c>
      <c r="I1980" s="2">
        <v>1.26</v>
      </c>
    </row>
    <row r="1981" spans="1:9" ht="33.75" customHeight="1" x14ac:dyDescent="0.25">
      <c r="A1981" s="3" t="s">
        <v>966</v>
      </c>
      <c r="B1981" s="3" t="s">
        <v>965</v>
      </c>
      <c r="C1981" s="3" t="s">
        <v>4805</v>
      </c>
      <c r="D1981" s="3" t="s">
        <v>7188</v>
      </c>
      <c r="E1981" s="3" t="s">
        <v>7189</v>
      </c>
      <c r="F1981" s="3">
        <v>4</v>
      </c>
      <c r="G1981" s="3" t="s">
        <v>7158</v>
      </c>
      <c r="H1981" s="3">
        <v>0.27</v>
      </c>
      <c r="I1981" s="3">
        <v>1.08</v>
      </c>
    </row>
    <row r="1982" spans="1:9" ht="22.5" customHeight="1" x14ac:dyDescent="0.25">
      <c r="A1982" s="2" t="s">
        <v>966</v>
      </c>
      <c r="B1982" s="2" t="s">
        <v>965</v>
      </c>
      <c r="C1982" s="2" t="s">
        <v>4805</v>
      </c>
      <c r="D1982" s="2" t="s">
        <v>7358</v>
      </c>
      <c r="E1982" s="2" t="s">
        <v>7359</v>
      </c>
      <c r="F1982" s="2">
        <v>105</v>
      </c>
      <c r="G1982" s="2" t="s">
        <v>7158</v>
      </c>
      <c r="H1982" s="2">
        <v>0.21</v>
      </c>
      <c r="I1982" s="2">
        <v>22.05</v>
      </c>
    </row>
    <row r="1983" spans="1:9" ht="22.5" customHeight="1" x14ac:dyDescent="0.25">
      <c r="A1983" s="3" t="s">
        <v>2222</v>
      </c>
      <c r="B1983" s="3" t="s">
        <v>2221</v>
      </c>
      <c r="C1983" s="3" t="s">
        <v>4897</v>
      </c>
      <c r="D1983" s="3" t="s">
        <v>7153</v>
      </c>
      <c r="E1983" s="3" t="s">
        <v>7154</v>
      </c>
      <c r="F1983" s="3">
        <v>14</v>
      </c>
      <c r="G1983" s="3" t="s">
        <v>7155</v>
      </c>
      <c r="H1983" s="3">
        <v>1.24E-2</v>
      </c>
      <c r="I1983" s="3">
        <v>0.1736</v>
      </c>
    </row>
    <row r="1984" spans="1:9" ht="22.5" customHeight="1" x14ac:dyDescent="0.25">
      <c r="A1984" s="2" t="s">
        <v>2222</v>
      </c>
      <c r="B1984" s="2" t="s">
        <v>2221</v>
      </c>
      <c r="C1984" s="2" t="s">
        <v>4897</v>
      </c>
      <c r="D1984" s="2" t="s">
        <v>7356</v>
      </c>
      <c r="E1984" s="2" t="s">
        <v>7357</v>
      </c>
      <c r="F1984" s="2">
        <v>105</v>
      </c>
      <c r="G1984" s="2" t="s">
        <v>7158</v>
      </c>
      <c r="H1984" s="2">
        <v>3.6729999999999999E-2</v>
      </c>
      <c r="I1984" s="2">
        <v>3.8566500000000001</v>
      </c>
    </row>
    <row r="1985" spans="1:9" ht="33.75" customHeight="1" x14ac:dyDescent="0.25">
      <c r="A1985" s="3" t="s">
        <v>2222</v>
      </c>
      <c r="B1985" s="3" t="s">
        <v>2221</v>
      </c>
      <c r="C1985" s="3" t="s">
        <v>4897</v>
      </c>
      <c r="D1985" s="3" t="s">
        <v>7186</v>
      </c>
      <c r="E1985" s="3" t="s">
        <v>7187</v>
      </c>
      <c r="F1985" s="3">
        <v>1</v>
      </c>
      <c r="G1985" s="3" t="s">
        <v>7158</v>
      </c>
      <c r="H1985" s="3">
        <v>26</v>
      </c>
      <c r="I1985" s="3">
        <v>26</v>
      </c>
    </row>
    <row r="1986" spans="1:9" ht="22.5" customHeight="1" x14ac:dyDescent="0.25">
      <c r="A1986" s="2" t="s">
        <v>2222</v>
      </c>
      <c r="B1986" s="2" t="s">
        <v>2221</v>
      </c>
      <c r="C1986" s="2" t="s">
        <v>4897</v>
      </c>
      <c r="D1986" s="2" t="s">
        <v>7159</v>
      </c>
      <c r="E1986" s="2" t="s">
        <v>7160</v>
      </c>
      <c r="F1986" s="2">
        <v>20</v>
      </c>
      <c r="G1986" s="2" t="s">
        <v>7155</v>
      </c>
      <c r="H1986" s="2">
        <v>1.8319999999999999E-2</v>
      </c>
      <c r="I1986" s="2">
        <v>0.3664</v>
      </c>
    </row>
    <row r="1987" spans="1:9" ht="22.5" customHeight="1" x14ac:dyDescent="0.25">
      <c r="A1987" s="3" t="s">
        <v>2222</v>
      </c>
      <c r="B1987" s="3" t="s">
        <v>2221</v>
      </c>
      <c r="C1987" s="3" t="s">
        <v>4897</v>
      </c>
      <c r="D1987" s="3" t="s">
        <v>7161</v>
      </c>
      <c r="E1987" s="3" t="s">
        <v>7162</v>
      </c>
      <c r="F1987" s="3">
        <v>0.186</v>
      </c>
      <c r="G1987" s="3" t="s">
        <v>7163</v>
      </c>
      <c r="H1987" s="3" t="s">
        <v>7164</v>
      </c>
      <c r="I1987" s="3">
        <v>0.186</v>
      </c>
    </row>
    <row r="1988" spans="1:9" ht="33.75" customHeight="1" x14ac:dyDescent="0.25">
      <c r="A1988" s="2" t="s">
        <v>2222</v>
      </c>
      <c r="B1988" s="2" t="s">
        <v>2221</v>
      </c>
      <c r="C1988" s="2" t="s">
        <v>4897</v>
      </c>
      <c r="D1988" s="2" t="s">
        <v>7212</v>
      </c>
      <c r="E1988" s="2" t="s">
        <v>7213</v>
      </c>
      <c r="F1988" s="2">
        <v>8</v>
      </c>
      <c r="G1988" s="2" t="s">
        <v>7158</v>
      </c>
      <c r="H1988" s="2">
        <v>0.21</v>
      </c>
      <c r="I1988" s="2">
        <v>1.68</v>
      </c>
    </row>
    <row r="1989" spans="1:9" ht="33.75" customHeight="1" x14ac:dyDescent="0.25">
      <c r="A1989" s="3" t="s">
        <v>2222</v>
      </c>
      <c r="B1989" s="3" t="s">
        <v>2221</v>
      </c>
      <c r="C1989" s="3" t="s">
        <v>4897</v>
      </c>
      <c r="D1989" s="3" t="s">
        <v>7188</v>
      </c>
      <c r="E1989" s="3" t="s">
        <v>7189</v>
      </c>
      <c r="F1989" s="3">
        <v>5</v>
      </c>
      <c r="G1989" s="3" t="s">
        <v>7158</v>
      </c>
      <c r="H1989" s="3">
        <v>0.27</v>
      </c>
      <c r="I1989" s="3">
        <v>1.35</v>
      </c>
    </row>
    <row r="1990" spans="1:9" ht="22.5" customHeight="1" x14ac:dyDescent="0.25">
      <c r="A1990" s="2" t="s">
        <v>2222</v>
      </c>
      <c r="B1990" s="2" t="s">
        <v>2221</v>
      </c>
      <c r="C1990" s="2" t="s">
        <v>4897</v>
      </c>
      <c r="D1990" s="2" t="s">
        <v>7360</v>
      </c>
      <c r="E1990" s="2" t="s">
        <v>7361</v>
      </c>
      <c r="F1990" s="2">
        <v>105</v>
      </c>
      <c r="G1990" s="2" t="s">
        <v>7158</v>
      </c>
      <c r="H1990" s="2">
        <v>0.21</v>
      </c>
      <c r="I1990" s="2">
        <v>22.05</v>
      </c>
    </row>
    <row r="1991" spans="1:9" ht="168.75" customHeight="1" x14ac:dyDescent="0.25">
      <c r="A1991" s="3" t="s">
        <v>390</v>
      </c>
      <c r="B1991" s="3" t="s">
        <v>7116</v>
      </c>
      <c r="C1991" s="3" t="s">
        <v>4728</v>
      </c>
      <c r="D1991" s="3" t="s">
        <v>7153</v>
      </c>
      <c r="E1991" s="3" t="s">
        <v>7154</v>
      </c>
      <c r="F1991" s="3">
        <v>14</v>
      </c>
      <c r="G1991" s="3" t="s">
        <v>7155</v>
      </c>
      <c r="H1991" s="3">
        <v>1.24E-2</v>
      </c>
      <c r="I1991" s="3">
        <v>0.1736</v>
      </c>
    </row>
    <row r="1992" spans="1:9" ht="168.75" customHeight="1" x14ac:dyDescent="0.25">
      <c r="A1992" s="2" t="s">
        <v>390</v>
      </c>
      <c r="B1992" s="2" t="s">
        <v>7116</v>
      </c>
      <c r="C1992" s="2" t="s">
        <v>4728</v>
      </c>
      <c r="D1992" s="2" t="s">
        <v>7330</v>
      </c>
      <c r="E1992" s="2" t="s">
        <v>7331</v>
      </c>
      <c r="F1992" s="2">
        <v>120</v>
      </c>
      <c r="G1992" s="2" t="s">
        <v>7158</v>
      </c>
      <c r="H1992" s="2">
        <v>3.6729999999999999E-2</v>
      </c>
      <c r="I1992" s="2">
        <v>4.4076000000000004</v>
      </c>
    </row>
    <row r="1993" spans="1:9" ht="168.75" customHeight="1" x14ac:dyDescent="0.25">
      <c r="A1993" s="3" t="s">
        <v>390</v>
      </c>
      <c r="B1993" s="3" t="s">
        <v>7116</v>
      </c>
      <c r="C1993" s="3" t="s">
        <v>4728</v>
      </c>
      <c r="D1993" s="3" t="s">
        <v>7186</v>
      </c>
      <c r="E1993" s="3" t="s">
        <v>7187</v>
      </c>
      <c r="F1993" s="3">
        <v>1</v>
      </c>
      <c r="G1993" s="3" t="s">
        <v>7158</v>
      </c>
      <c r="H1993" s="3">
        <v>26</v>
      </c>
      <c r="I1993" s="3">
        <v>26</v>
      </c>
    </row>
    <row r="1994" spans="1:9" ht="168.75" customHeight="1" x14ac:dyDescent="0.25">
      <c r="A1994" s="2" t="s">
        <v>390</v>
      </c>
      <c r="B1994" s="2" t="s">
        <v>7116</v>
      </c>
      <c r="C1994" s="2" t="s">
        <v>4728</v>
      </c>
      <c r="D1994" s="2" t="s">
        <v>7159</v>
      </c>
      <c r="E1994" s="2" t="s">
        <v>7160</v>
      </c>
      <c r="F1994" s="2">
        <v>20</v>
      </c>
      <c r="G1994" s="2" t="s">
        <v>7155</v>
      </c>
      <c r="H1994" s="2">
        <v>1.8319999999999999E-2</v>
      </c>
      <c r="I1994" s="2">
        <v>0.3664</v>
      </c>
    </row>
    <row r="1995" spans="1:9" ht="168.75" customHeight="1" x14ac:dyDescent="0.25">
      <c r="A1995" s="3" t="s">
        <v>390</v>
      </c>
      <c r="B1995" s="3" t="s">
        <v>7116</v>
      </c>
      <c r="C1995" s="3" t="s">
        <v>4728</v>
      </c>
      <c r="D1995" s="3" t="s">
        <v>7161</v>
      </c>
      <c r="E1995" s="3" t="s">
        <v>7162</v>
      </c>
      <c r="F1995" s="3">
        <v>0.186</v>
      </c>
      <c r="G1995" s="3" t="s">
        <v>7163</v>
      </c>
      <c r="H1995" s="3" t="s">
        <v>7164</v>
      </c>
      <c r="I1995" s="3">
        <v>0.186</v>
      </c>
    </row>
    <row r="1996" spans="1:9" ht="168.75" customHeight="1" x14ac:dyDescent="0.25">
      <c r="A1996" s="2" t="s">
        <v>390</v>
      </c>
      <c r="B1996" s="2" t="s">
        <v>7116</v>
      </c>
      <c r="C1996" s="2" t="s">
        <v>4728</v>
      </c>
      <c r="D1996" s="2" t="s">
        <v>7332</v>
      </c>
      <c r="E1996" s="2" t="s">
        <v>7333</v>
      </c>
      <c r="F1996" s="2">
        <v>2.754</v>
      </c>
      <c r="G1996" s="2" t="s">
        <v>7163</v>
      </c>
      <c r="H1996" s="2" t="s">
        <v>7164</v>
      </c>
      <c r="I1996" s="2">
        <v>2.754</v>
      </c>
    </row>
    <row r="1997" spans="1:9" ht="168.75" customHeight="1" x14ac:dyDescent="0.25">
      <c r="A1997" s="3" t="s">
        <v>390</v>
      </c>
      <c r="B1997" s="3" t="s">
        <v>7116</v>
      </c>
      <c r="C1997" s="3" t="s">
        <v>4728</v>
      </c>
      <c r="D1997" s="3" t="s">
        <v>7188</v>
      </c>
      <c r="E1997" s="3" t="s">
        <v>7189</v>
      </c>
      <c r="F1997" s="3">
        <v>4</v>
      </c>
      <c r="G1997" s="3" t="s">
        <v>7158</v>
      </c>
      <c r="H1997" s="3">
        <v>0.27</v>
      </c>
      <c r="I1997" s="3">
        <v>1.08</v>
      </c>
    </row>
    <row r="1998" spans="1:9" ht="168.75" customHeight="1" x14ac:dyDescent="0.25">
      <c r="A1998" s="2" t="s">
        <v>390</v>
      </c>
      <c r="B1998" s="2" t="s">
        <v>7116</v>
      </c>
      <c r="C1998" s="2" t="s">
        <v>4728</v>
      </c>
      <c r="D1998" s="2" t="s">
        <v>7165</v>
      </c>
      <c r="E1998" s="2" t="s">
        <v>7166</v>
      </c>
      <c r="F1998" s="2">
        <v>4</v>
      </c>
      <c r="G1998" s="2" t="s">
        <v>7158</v>
      </c>
      <c r="H1998" s="2">
        <v>0.1</v>
      </c>
      <c r="I1998" s="2">
        <v>0.4</v>
      </c>
    </row>
    <row r="1999" spans="1:9" ht="22.5" customHeight="1" x14ac:dyDescent="0.25">
      <c r="A1999" s="3" t="s">
        <v>714</v>
      </c>
      <c r="B1999" s="3" t="s">
        <v>7124</v>
      </c>
      <c r="C1999" s="3" t="s">
        <v>4784</v>
      </c>
      <c r="D1999" s="3" t="s">
        <v>7330</v>
      </c>
      <c r="E1999" s="3" t="s">
        <v>7331</v>
      </c>
      <c r="F1999" s="3">
        <v>120</v>
      </c>
      <c r="G1999" s="3" t="s">
        <v>7158</v>
      </c>
      <c r="H1999" s="3">
        <v>3.6729999999999999E-2</v>
      </c>
      <c r="I1999" s="3">
        <v>4.4076000000000004</v>
      </c>
    </row>
    <row r="2000" spans="1:9" ht="33.75" customHeight="1" x14ac:dyDescent="0.25">
      <c r="A2000" s="2" t="s">
        <v>714</v>
      </c>
      <c r="B2000" s="2" t="s">
        <v>7124</v>
      </c>
      <c r="C2000" s="2" t="s">
        <v>4784</v>
      </c>
      <c r="D2000" s="2" t="s">
        <v>7186</v>
      </c>
      <c r="E2000" s="2" t="s">
        <v>7187</v>
      </c>
      <c r="F2000" s="2">
        <v>1</v>
      </c>
      <c r="G2000" s="2" t="s">
        <v>7158</v>
      </c>
      <c r="H2000" s="2">
        <v>26</v>
      </c>
      <c r="I2000" s="2">
        <v>26</v>
      </c>
    </row>
    <row r="2001" spans="1:9" ht="22.5" customHeight="1" x14ac:dyDescent="0.25">
      <c r="A2001" s="3" t="s">
        <v>714</v>
      </c>
      <c r="B2001" s="3" t="s">
        <v>7124</v>
      </c>
      <c r="C2001" s="3" t="s">
        <v>4784</v>
      </c>
      <c r="D2001" s="3" t="s">
        <v>7159</v>
      </c>
      <c r="E2001" s="3" t="s">
        <v>7160</v>
      </c>
      <c r="F2001" s="3">
        <v>20</v>
      </c>
      <c r="G2001" s="3" t="s">
        <v>7155</v>
      </c>
      <c r="H2001" s="3">
        <v>1.8319999999999999E-2</v>
      </c>
      <c r="I2001" s="3">
        <v>0.3664</v>
      </c>
    </row>
    <row r="2002" spans="1:9" ht="22.5" customHeight="1" x14ac:dyDescent="0.25">
      <c r="A2002" s="2" t="s">
        <v>714</v>
      </c>
      <c r="B2002" s="2" t="s">
        <v>7124</v>
      </c>
      <c r="C2002" s="2" t="s">
        <v>4784</v>
      </c>
      <c r="D2002" s="2" t="s">
        <v>7161</v>
      </c>
      <c r="E2002" s="2" t="s">
        <v>7162</v>
      </c>
      <c r="F2002" s="2">
        <v>0.186</v>
      </c>
      <c r="G2002" s="2" t="s">
        <v>7163</v>
      </c>
      <c r="H2002" s="2" t="s">
        <v>7164</v>
      </c>
      <c r="I2002" s="2">
        <v>0.186</v>
      </c>
    </row>
    <row r="2003" spans="1:9" ht="22.5" customHeight="1" x14ac:dyDescent="0.25">
      <c r="A2003" s="3" t="s">
        <v>714</v>
      </c>
      <c r="B2003" s="3" t="s">
        <v>7124</v>
      </c>
      <c r="C2003" s="3" t="s">
        <v>4784</v>
      </c>
      <c r="D2003" s="3" t="s">
        <v>7332</v>
      </c>
      <c r="E2003" s="3" t="s">
        <v>7333</v>
      </c>
      <c r="F2003" s="3">
        <v>2.754</v>
      </c>
      <c r="G2003" s="3" t="s">
        <v>7163</v>
      </c>
      <c r="H2003" s="3" t="s">
        <v>7164</v>
      </c>
      <c r="I2003" s="3">
        <v>2.754</v>
      </c>
    </row>
    <row r="2004" spans="1:9" ht="33.75" customHeight="1" x14ac:dyDescent="0.25">
      <c r="A2004" s="2" t="s">
        <v>714</v>
      </c>
      <c r="B2004" s="2" t="s">
        <v>7124</v>
      </c>
      <c r="C2004" s="2" t="s">
        <v>4784</v>
      </c>
      <c r="D2004" s="2" t="s">
        <v>7188</v>
      </c>
      <c r="E2004" s="2" t="s">
        <v>7189</v>
      </c>
      <c r="F2004" s="2">
        <v>4</v>
      </c>
      <c r="G2004" s="2" t="s">
        <v>7158</v>
      </c>
      <c r="H2004" s="2">
        <v>0.27</v>
      </c>
      <c r="I2004" s="2">
        <v>1.08</v>
      </c>
    </row>
    <row r="2005" spans="1:9" ht="22.5" customHeight="1" x14ac:dyDescent="0.25">
      <c r="A2005" s="3" t="s">
        <v>1578</v>
      </c>
      <c r="B2005" s="3" t="s">
        <v>7132</v>
      </c>
      <c r="C2005" s="3" t="s">
        <v>4839</v>
      </c>
      <c r="D2005" s="3" t="s">
        <v>7249</v>
      </c>
      <c r="E2005" s="3" t="s">
        <v>7250</v>
      </c>
      <c r="F2005" s="3">
        <v>3</v>
      </c>
      <c r="G2005" s="3" t="s">
        <v>7158</v>
      </c>
      <c r="H2005" s="3">
        <v>0.104</v>
      </c>
      <c r="I2005" s="3">
        <v>0.312</v>
      </c>
    </row>
    <row r="2006" spans="1:9" ht="22.5" customHeight="1" x14ac:dyDescent="0.25">
      <c r="A2006" s="2" t="s">
        <v>1578</v>
      </c>
      <c r="B2006" s="2" t="s">
        <v>7132</v>
      </c>
      <c r="C2006" s="2" t="s">
        <v>4839</v>
      </c>
      <c r="D2006" s="2" t="s">
        <v>7153</v>
      </c>
      <c r="E2006" s="2" t="s">
        <v>7154</v>
      </c>
      <c r="F2006" s="2">
        <v>14</v>
      </c>
      <c r="G2006" s="2" t="s">
        <v>7155</v>
      </c>
      <c r="H2006" s="2">
        <v>1.24E-2</v>
      </c>
      <c r="I2006" s="2">
        <v>0.1736</v>
      </c>
    </row>
    <row r="2007" spans="1:9" ht="33.75" customHeight="1" x14ac:dyDescent="0.25">
      <c r="A2007" s="3" t="s">
        <v>1578</v>
      </c>
      <c r="B2007" s="3" t="s">
        <v>7132</v>
      </c>
      <c r="C2007" s="3" t="s">
        <v>4839</v>
      </c>
      <c r="D2007" s="3" t="s">
        <v>7186</v>
      </c>
      <c r="E2007" s="3" t="s">
        <v>7187</v>
      </c>
      <c r="F2007" s="3">
        <v>1</v>
      </c>
      <c r="G2007" s="3" t="s">
        <v>7158</v>
      </c>
      <c r="H2007" s="3">
        <v>26</v>
      </c>
      <c r="I2007" s="3">
        <v>26</v>
      </c>
    </row>
    <row r="2008" spans="1:9" ht="22.5" customHeight="1" x14ac:dyDescent="0.25">
      <c r="A2008" s="2" t="s">
        <v>1578</v>
      </c>
      <c r="B2008" s="2" t="s">
        <v>7132</v>
      </c>
      <c r="C2008" s="2" t="s">
        <v>4839</v>
      </c>
      <c r="D2008" s="2" t="s">
        <v>7159</v>
      </c>
      <c r="E2008" s="2" t="s">
        <v>7160</v>
      </c>
      <c r="F2008" s="2">
        <v>20</v>
      </c>
      <c r="G2008" s="2" t="s">
        <v>7155</v>
      </c>
      <c r="H2008" s="2">
        <v>1.8319999999999999E-2</v>
      </c>
      <c r="I2008" s="2">
        <v>0.3664</v>
      </c>
    </row>
    <row r="2009" spans="1:9" ht="22.5" customHeight="1" x14ac:dyDescent="0.25">
      <c r="A2009" s="3" t="s">
        <v>1578</v>
      </c>
      <c r="B2009" s="3" t="s">
        <v>7132</v>
      </c>
      <c r="C2009" s="3" t="s">
        <v>4839</v>
      </c>
      <c r="D2009" s="3" t="s">
        <v>7190</v>
      </c>
      <c r="E2009" s="3" t="s">
        <v>7191</v>
      </c>
      <c r="F2009" s="3">
        <v>0.59699999999999998</v>
      </c>
      <c r="G2009" s="3" t="s">
        <v>7163</v>
      </c>
      <c r="H2009" s="3" t="s">
        <v>7164</v>
      </c>
      <c r="I2009" s="3">
        <v>0.59699999999999998</v>
      </c>
    </row>
    <row r="2010" spans="1:9" ht="33.75" customHeight="1" x14ac:dyDescent="0.25">
      <c r="A2010" s="2" t="s">
        <v>1578</v>
      </c>
      <c r="B2010" s="2" t="s">
        <v>7132</v>
      </c>
      <c r="C2010" s="2" t="s">
        <v>4839</v>
      </c>
      <c r="D2010" s="2" t="s">
        <v>7188</v>
      </c>
      <c r="E2010" s="2" t="s">
        <v>7189</v>
      </c>
      <c r="F2010" s="2">
        <v>4</v>
      </c>
      <c r="G2010" s="2" t="s">
        <v>7158</v>
      </c>
      <c r="H2010" s="2">
        <v>0.27</v>
      </c>
      <c r="I2010" s="2">
        <v>1.08</v>
      </c>
    </row>
    <row r="2011" spans="1:9" ht="33.75" customHeight="1" x14ac:dyDescent="0.25">
      <c r="A2011" s="3" t="s">
        <v>1578</v>
      </c>
      <c r="B2011" s="3" t="s">
        <v>7132</v>
      </c>
      <c r="C2011" s="3" t="s">
        <v>4839</v>
      </c>
      <c r="D2011" s="3" t="s">
        <v>7192</v>
      </c>
      <c r="E2011" s="3" t="s">
        <v>7193</v>
      </c>
      <c r="F2011" s="3">
        <v>4</v>
      </c>
      <c r="G2011" s="3" t="s">
        <v>7158</v>
      </c>
      <c r="H2011" s="3">
        <v>0.03</v>
      </c>
      <c r="I2011" s="3">
        <v>0.12</v>
      </c>
    </row>
  </sheetData>
  <autoFilter ref="A1:I2011" xr:uid="{00000000-0009-0000-0000-000005000000}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3" customWidth="1"/>
    <col min="3" max="4" width="13" customWidth="1"/>
  </cols>
  <sheetData>
    <row r="1" spans="1:4" ht="22.5" customHeight="1" x14ac:dyDescent="0.25">
      <c r="A1" s="1" t="s">
        <v>7147</v>
      </c>
      <c r="B1" s="1" t="s">
        <v>7148</v>
      </c>
      <c r="C1" s="1" t="s">
        <v>7362</v>
      </c>
      <c r="D1" s="1" t="s">
        <v>7151</v>
      </c>
    </row>
    <row r="2" spans="1:4" x14ac:dyDescent="0.25">
      <c r="A2" s="2" t="s">
        <v>7202</v>
      </c>
      <c r="B2" s="2"/>
      <c r="C2" s="2" t="s">
        <v>7158</v>
      </c>
      <c r="D2" s="2">
        <v>1.08E-3</v>
      </c>
    </row>
    <row r="3" spans="1:4" x14ac:dyDescent="0.25">
      <c r="A3" s="3" t="s">
        <v>7229</v>
      </c>
      <c r="B3" s="3"/>
      <c r="C3" s="3" t="s">
        <v>7158</v>
      </c>
      <c r="D3" s="3">
        <v>8.0000000000000002E-3</v>
      </c>
    </row>
    <row r="4" spans="1:4" x14ac:dyDescent="0.25">
      <c r="A4" s="2" t="s">
        <v>7230</v>
      </c>
      <c r="B4" s="2"/>
      <c r="C4" s="2" t="s">
        <v>7158</v>
      </c>
      <c r="D4" s="2">
        <v>8.0000000000000002E-3</v>
      </c>
    </row>
    <row r="5" spans="1:4" x14ac:dyDescent="0.25">
      <c r="A5" s="3" t="s">
        <v>7231</v>
      </c>
      <c r="B5" s="3"/>
      <c r="C5" s="3" t="s">
        <v>7158</v>
      </c>
      <c r="D5" s="3">
        <v>8.0000000000000002E-3</v>
      </c>
    </row>
    <row r="6" spans="1:4" x14ac:dyDescent="0.25">
      <c r="A6" s="2" t="s">
        <v>7232</v>
      </c>
      <c r="B6" s="2"/>
      <c r="C6" s="2" t="s">
        <v>7158</v>
      </c>
      <c r="D6" s="2">
        <v>8.0000000000000002E-3</v>
      </c>
    </row>
    <row r="7" spans="1:4" x14ac:dyDescent="0.25">
      <c r="A7" s="3" t="s">
        <v>7181</v>
      </c>
      <c r="B7" s="3"/>
      <c r="C7" s="3" t="s">
        <v>7158</v>
      </c>
      <c r="D7" s="3">
        <v>1.08E-3</v>
      </c>
    </row>
    <row r="8" spans="1:4" x14ac:dyDescent="0.25">
      <c r="A8" s="2" t="s">
        <v>7179</v>
      </c>
      <c r="B8" s="2"/>
      <c r="C8" s="2" t="s">
        <v>7158</v>
      </c>
      <c r="D8" s="2">
        <v>1.08E-3</v>
      </c>
    </row>
    <row r="9" spans="1:4" x14ac:dyDescent="0.25">
      <c r="A9" s="3" t="s">
        <v>7233</v>
      </c>
      <c r="B9" s="3"/>
      <c r="C9" s="3" t="s">
        <v>7158</v>
      </c>
      <c r="D9" s="3">
        <v>8.0000000000000002E-3</v>
      </c>
    </row>
    <row r="10" spans="1:4" x14ac:dyDescent="0.25">
      <c r="A10" s="2" t="s">
        <v>7234</v>
      </c>
      <c r="B10" s="2"/>
      <c r="C10" s="2" t="s">
        <v>7158</v>
      </c>
      <c r="D10" s="2">
        <v>8.0000000000000002E-3</v>
      </c>
    </row>
    <row r="11" spans="1:4" x14ac:dyDescent="0.25">
      <c r="A11" s="3" t="s">
        <v>7260</v>
      </c>
      <c r="B11" s="3"/>
      <c r="C11" s="3" t="s">
        <v>7158</v>
      </c>
      <c r="D11" s="3">
        <v>8.0000000000000002E-3</v>
      </c>
    </row>
    <row r="12" spans="1:4" x14ac:dyDescent="0.25">
      <c r="A12" s="2" t="s">
        <v>7261</v>
      </c>
      <c r="B12" s="2"/>
      <c r="C12" s="2" t="s">
        <v>7158</v>
      </c>
      <c r="D12" s="2">
        <v>8.0000000000000002E-3</v>
      </c>
    </row>
    <row r="13" spans="1:4" x14ac:dyDescent="0.25">
      <c r="A13" s="3" t="s">
        <v>7326</v>
      </c>
      <c r="B13" s="3"/>
      <c r="C13" s="3" t="s">
        <v>7158</v>
      </c>
      <c r="D13" s="3">
        <v>8.0000000000000002E-3</v>
      </c>
    </row>
    <row r="14" spans="1:4" x14ac:dyDescent="0.25">
      <c r="A14" s="2" t="s">
        <v>7327</v>
      </c>
      <c r="B14" s="2"/>
      <c r="C14" s="2" t="s">
        <v>7158</v>
      </c>
      <c r="D14" s="2">
        <v>8.0000000000000002E-3</v>
      </c>
    </row>
    <row r="15" spans="1:4" ht="33.75" customHeight="1" x14ac:dyDescent="0.25">
      <c r="A15" s="3" t="s">
        <v>7212</v>
      </c>
      <c r="B15" s="3" t="s">
        <v>7213</v>
      </c>
      <c r="C15" s="3" t="s">
        <v>7158</v>
      </c>
      <c r="D15" s="3">
        <v>0.21</v>
      </c>
    </row>
    <row r="16" spans="1:4" ht="33.75" customHeight="1" x14ac:dyDescent="0.25">
      <c r="A16" s="2" t="s">
        <v>7186</v>
      </c>
      <c r="B16" s="2" t="s">
        <v>7187</v>
      </c>
      <c r="C16" s="2" t="s">
        <v>7158</v>
      </c>
      <c r="D16" s="2">
        <v>26</v>
      </c>
    </row>
    <row r="17" spans="1:4" ht="22.5" customHeight="1" x14ac:dyDescent="0.25">
      <c r="A17" s="3" t="s">
        <v>7156</v>
      </c>
      <c r="B17" s="3" t="s">
        <v>7157</v>
      </c>
      <c r="C17" s="3" t="s">
        <v>7158</v>
      </c>
      <c r="D17" s="3">
        <v>26</v>
      </c>
    </row>
    <row r="18" spans="1:4" ht="33.75" customHeight="1" x14ac:dyDescent="0.25">
      <c r="A18" s="2" t="s">
        <v>7188</v>
      </c>
      <c r="B18" s="2" t="s">
        <v>7189</v>
      </c>
      <c r="C18" s="2" t="s">
        <v>7158</v>
      </c>
      <c r="D18" s="2">
        <v>0.27</v>
      </c>
    </row>
    <row r="19" spans="1:4" ht="22.5" customHeight="1" x14ac:dyDescent="0.25">
      <c r="A19" s="3" t="s">
        <v>7159</v>
      </c>
      <c r="B19" s="3" t="s">
        <v>7160</v>
      </c>
      <c r="C19" s="3" t="s">
        <v>7155</v>
      </c>
      <c r="D19" s="3">
        <v>1.8319999999999999E-2</v>
      </c>
    </row>
    <row r="20" spans="1:4" ht="22.5" customHeight="1" x14ac:dyDescent="0.25">
      <c r="A20" s="2" t="s">
        <v>7161</v>
      </c>
      <c r="B20" s="2" t="s">
        <v>7162</v>
      </c>
      <c r="C20" s="2" t="s">
        <v>7163</v>
      </c>
      <c r="D20" s="2" t="s">
        <v>7164</v>
      </c>
    </row>
    <row r="21" spans="1:4" ht="22.5" customHeight="1" x14ac:dyDescent="0.25">
      <c r="A21" s="3" t="s">
        <v>7205</v>
      </c>
      <c r="B21" s="3" t="s">
        <v>7206</v>
      </c>
      <c r="C21" s="3" t="s">
        <v>7158</v>
      </c>
      <c r="D21" s="3">
        <v>20</v>
      </c>
    </row>
    <row r="22" spans="1:4" ht="22.5" customHeight="1" x14ac:dyDescent="0.25">
      <c r="A22" s="2" t="s">
        <v>7249</v>
      </c>
      <c r="B22" s="2" t="s">
        <v>7250</v>
      </c>
      <c r="C22" s="2" t="s">
        <v>7158</v>
      </c>
      <c r="D22" s="2">
        <v>0.104</v>
      </c>
    </row>
    <row r="23" spans="1:4" ht="22.5" customHeight="1" x14ac:dyDescent="0.25">
      <c r="A23" s="3" t="s">
        <v>7251</v>
      </c>
      <c r="B23" s="3" t="s">
        <v>7252</v>
      </c>
      <c r="C23" s="3" t="s">
        <v>7158</v>
      </c>
      <c r="D23" s="3">
        <v>6.4000000000000001E-2</v>
      </c>
    </row>
    <row r="24" spans="1:4" ht="22.5" customHeight="1" x14ac:dyDescent="0.25">
      <c r="A24" s="2" t="s">
        <v>7153</v>
      </c>
      <c r="B24" s="2" t="s">
        <v>7154</v>
      </c>
      <c r="C24" s="2" t="s">
        <v>7155</v>
      </c>
      <c r="D24" s="2">
        <v>1.24E-2</v>
      </c>
    </row>
    <row r="25" spans="1:4" ht="22.5" customHeight="1" x14ac:dyDescent="0.25">
      <c r="A25" s="3" t="s">
        <v>7284</v>
      </c>
      <c r="B25" s="3" t="s">
        <v>7285</v>
      </c>
      <c r="C25" s="3" t="s">
        <v>7158</v>
      </c>
      <c r="D25" s="3">
        <v>5.1069999999999997E-2</v>
      </c>
    </row>
    <row r="26" spans="1:4" ht="22.5" customHeight="1" x14ac:dyDescent="0.25">
      <c r="A26" s="2" t="s">
        <v>7324</v>
      </c>
      <c r="B26" s="2" t="s">
        <v>7325</v>
      </c>
      <c r="C26" s="2" t="s">
        <v>7158</v>
      </c>
      <c r="D26" s="2">
        <v>6.0999999999999997E-4</v>
      </c>
    </row>
    <row r="27" spans="1:4" x14ac:dyDescent="0.25">
      <c r="A27" s="3" t="s">
        <v>7195</v>
      </c>
      <c r="B27" s="3" t="s">
        <v>7196</v>
      </c>
      <c r="C27" s="3" t="s">
        <v>7158</v>
      </c>
      <c r="D27" s="3">
        <v>7</v>
      </c>
    </row>
    <row r="28" spans="1:4" x14ac:dyDescent="0.25">
      <c r="A28" s="2" t="s">
        <v>7194</v>
      </c>
      <c r="B28" s="2"/>
      <c r="C28" s="2" t="s">
        <v>7158</v>
      </c>
      <c r="D28" s="2">
        <v>0.19238</v>
      </c>
    </row>
    <row r="29" spans="1:4" ht="22.5" customHeight="1" x14ac:dyDescent="0.25">
      <c r="A29" s="3" t="s">
        <v>7203</v>
      </c>
      <c r="B29" s="3" t="s">
        <v>7204</v>
      </c>
      <c r="C29" s="3" t="s">
        <v>7158</v>
      </c>
      <c r="D29" s="3">
        <v>9.1879999999999989E-2</v>
      </c>
    </row>
    <row r="30" spans="1:4" ht="22.5" customHeight="1" x14ac:dyDescent="0.25">
      <c r="A30" s="2" t="s">
        <v>7222</v>
      </c>
      <c r="B30" s="2" t="s">
        <v>7223</v>
      </c>
      <c r="C30" s="2" t="s">
        <v>7158</v>
      </c>
      <c r="D30" s="2">
        <v>8.0680000000000002E-2</v>
      </c>
    </row>
    <row r="31" spans="1:4" ht="22.5" customHeight="1" x14ac:dyDescent="0.25">
      <c r="A31" s="3" t="s">
        <v>7226</v>
      </c>
      <c r="B31" s="3" t="s">
        <v>7227</v>
      </c>
      <c r="C31" s="3" t="s">
        <v>7163</v>
      </c>
      <c r="D31" s="3" t="s">
        <v>7164</v>
      </c>
    </row>
    <row r="32" spans="1:4" ht="22.5" customHeight="1" x14ac:dyDescent="0.25">
      <c r="A32" s="2" t="s">
        <v>7332</v>
      </c>
      <c r="B32" s="2" t="s">
        <v>7333</v>
      </c>
      <c r="C32" s="2" t="s">
        <v>7163</v>
      </c>
      <c r="D32" s="2" t="s">
        <v>7164</v>
      </c>
    </row>
    <row r="33" spans="1:4" x14ac:dyDescent="0.25">
      <c r="A33" s="3" t="s">
        <v>7259</v>
      </c>
      <c r="B33" s="3"/>
      <c r="C33" s="3" t="s">
        <v>7163</v>
      </c>
      <c r="D33" s="3">
        <v>0</v>
      </c>
    </row>
    <row r="34" spans="1:4" ht="22.5" customHeight="1" x14ac:dyDescent="0.25">
      <c r="A34" s="2" t="s">
        <v>7173</v>
      </c>
      <c r="B34" s="2" t="s">
        <v>7174</v>
      </c>
      <c r="C34" s="2" t="s">
        <v>7163</v>
      </c>
      <c r="D34" s="2" t="s">
        <v>7164</v>
      </c>
    </row>
    <row r="35" spans="1:4" ht="22.5" customHeight="1" x14ac:dyDescent="0.25">
      <c r="A35" s="3" t="s">
        <v>7207</v>
      </c>
      <c r="B35" s="3" t="s">
        <v>7208</v>
      </c>
      <c r="C35" s="3" t="s">
        <v>7163</v>
      </c>
      <c r="D35" s="3" t="s">
        <v>7164</v>
      </c>
    </row>
    <row r="36" spans="1:4" ht="22.5" customHeight="1" x14ac:dyDescent="0.25">
      <c r="A36" s="2" t="s">
        <v>7220</v>
      </c>
      <c r="B36" s="2" t="s">
        <v>7221</v>
      </c>
      <c r="C36" s="2" t="s">
        <v>7158</v>
      </c>
      <c r="D36" s="2">
        <v>5.1999999999999998E-2</v>
      </c>
    </row>
    <row r="37" spans="1:4" ht="33.75" customHeight="1" x14ac:dyDescent="0.25">
      <c r="A37" s="3" t="s">
        <v>7165</v>
      </c>
      <c r="B37" s="3" t="s">
        <v>7166</v>
      </c>
      <c r="C37" s="3" t="s">
        <v>7158</v>
      </c>
      <c r="D37" s="3">
        <v>0.1</v>
      </c>
    </row>
    <row r="38" spans="1:4" ht="22.5" customHeight="1" x14ac:dyDescent="0.25">
      <c r="A38" s="2" t="s">
        <v>7182</v>
      </c>
      <c r="B38" s="2" t="s">
        <v>7183</v>
      </c>
      <c r="C38" s="2" t="s">
        <v>7158</v>
      </c>
      <c r="D38" s="2">
        <v>0.10161000000000001</v>
      </c>
    </row>
    <row r="39" spans="1:4" ht="22.5" customHeight="1" x14ac:dyDescent="0.25">
      <c r="A39" s="3" t="s">
        <v>7330</v>
      </c>
      <c r="B39" s="3" t="s">
        <v>7331</v>
      </c>
      <c r="C39" s="3" t="s">
        <v>7158</v>
      </c>
      <c r="D39" s="3">
        <v>3.6729999999999999E-2</v>
      </c>
    </row>
    <row r="40" spans="1:4" x14ac:dyDescent="0.25">
      <c r="A40" s="2" t="s">
        <v>7258</v>
      </c>
      <c r="B40" s="2"/>
      <c r="C40" s="2" t="s">
        <v>7158</v>
      </c>
      <c r="D40" s="2">
        <v>4.6700000000000012E-2</v>
      </c>
    </row>
    <row r="41" spans="1:4" x14ac:dyDescent="0.25">
      <c r="A41" s="3" t="s">
        <v>7201</v>
      </c>
      <c r="B41" s="3"/>
      <c r="C41" s="3" t="s">
        <v>7163</v>
      </c>
      <c r="D41" s="3">
        <v>0</v>
      </c>
    </row>
    <row r="42" spans="1:4" ht="33.75" customHeight="1" x14ac:dyDescent="0.25">
      <c r="A42" s="2" t="s">
        <v>7167</v>
      </c>
      <c r="B42" s="2" t="s">
        <v>7168</v>
      </c>
      <c r="C42" s="2" t="s">
        <v>7158</v>
      </c>
      <c r="D42" s="2">
        <v>0.2</v>
      </c>
    </row>
    <row r="43" spans="1:4" ht="22.5" customHeight="1" x14ac:dyDescent="0.25">
      <c r="A43" s="3" t="s">
        <v>7356</v>
      </c>
      <c r="B43" s="3" t="s">
        <v>7357</v>
      </c>
      <c r="C43" s="3" t="s">
        <v>7158</v>
      </c>
      <c r="D43" s="3">
        <v>3.6729999999999999E-2</v>
      </c>
    </row>
    <row r="44" spans="1:4" ht="22.5" customHeight="1" x14ac:dyDescent="0.25">
      <c r="A44" s="2" t="s">
        <v>7334</v>
      </c>
      <c r="B44" s="2" t="s">
        <v>7335</v>
      </c>
      <c r="C44" s="2" t="s">
        <v>7158</v>
      </c>
      <c r="D44" s="2">
        <v>4.6700000000000012E-2</v>
      </c>
    </row>
    <row r="45" spans="1:4" ht="22.5" customHeight="1" x14ac:dyDescent="0.25">
      <c r="A45" s="3" t="s">
        <v>7358</v>
      </c>
      <c r="B45" s="3" t="s">
        <v>7359</v>
      </c>
      <c r="C45" s="3" t="s">
        <v>7158</v>
      </c>
      <c r="D45" s="3">
        <v>0.21</v>
      </c>
    </row>
    <row r="46" spans="1:4" ht="22.5" customHeight="1" x14ac:dyDescent="0.25">
      <c r="A46" s="2" t="s">
        <v>7336</v>
      </c>
      <c r="B46" s="2" t="s">
        <v>7337</v>
      </c>
      <c r="C46" s="2" t="s">
        <v>7158</v>
      </c>
      <c r="D46" s="2">
        <v>0.19</v>
      </c>
    </row>
    <row r="47" spans="1:4" ht="22.5" customHeight="1" x14ac:dyDescent="0.25">
      <c r="A47" s="3" t="s">
        <v>7338</v>
      </c>
      <c r="B47" s="3" t="s">
        <v>7339</v>
      </c>
      <c r="C47" s="3" t="s">
        <v>7158</v>
      </c>
      <c r="D47" s="3">
        <v>0.24</v>
      </c>
    </row>
    <row r="48" spans="1:4" ht="22.5" customHeight="1" x14ac:dyDescent="0.25">
      <c r="A48" s="2" t="s">
        <v>7352</v>
      </c>
      <c r="B48" s="2" t="s">
        <v>7353</v>
      </c>
      <c r="C48" s="2" t="s">
        <v>7158</v>
      </c>
      <c r="D48" s="2">
        <v>0.25</v>
      </c>
    </row>
    <row r="49" spans="1:4" ht="22.5" customHeight="1" x14ac:dyDescent="0.25">
      <c r="A49" s="3" t="s">
        <v>7310</v>
      </c>
      <c r="B49" s="3" t="s">
        <v>7311</v>
      </c>
      <c r="C49" s="3" t="s">
        <v>7158</v>
      </c>
      <c r="D49" s="3">
        <v>0.25</v>
      </c>
    </row>
    <row r="50" spans="1:4" ht="22.5" customHeight="1" x14ac:dyDescent="0.25">
      <c r="A50" s="2" t="s">
        <v>7197</v>
      </c>
      <c r="B50" s="2" t="s">
        <v>7198</v>
      </c>
      <c r="C50" s="2" t="s">
        <v>7158</v>
      </c>
      <c r="D50" s="2">
        <v>0.10161000000000001</v>
      </c>
    </row>
    <row r="51" spans="1:4" ht="22.5" customHeight="1" x14ac:dyDescent="0.25">
      <c r="A51" s="3" t="s">
        <v>7262</v>
      </c>
      <c r="B51" s="3" t="s">
        <v>7263</v>
      </c>
      <c r="C51" s="3" t="s">
        <v>7158</v>
      </c>
      <c r="D51" s="3">
        <v>0.28999999999999998</v>
      </c>
    </row>
    <row r="52" spans="1:4" ht="22.5" customHeight="1" x14ac:dyDescent="0.25">
      <c r="A52" s="2" t="s">
        <v>7320</v>
      </c>
      <c r="B52" s="2" t="s">
        <v>7321</v>
      </c>
      <c r="C52" s="2" t="s">
        <v>7158</v>
      </c>
      <c r="D52" s="2">
        <v>0.25</v>
      </c>
    </row>
    <row r="53" spans="1:4" ht="22.5" customHeight="1" x14ac:dyDescent="0.25">
      <c r="A53" s="3" t="s">
        <v>7286</v>
      </c>
      <c r="B53" s="3" t="s">
        <v>7287</v>
      </c>
      <c r="C53" s="3" t="s">
        <v>7158</v>
      </c>
      <c r="D53" s="3">
        <v>0.33</v>
      </c>
    </row>
    <row r="54" spans="1:4" ht="22.5" customHeight="1" x14ac:dyDescent="0.25">
      <c r="A54" s="2" t="s">
        <v>7276</v>
      </c>
      <c r="B54" s="2" t="s">
        <v>7277</v>
      </c>
      <c r="C54" s="2" t="s">
        <v>7158</v>
      </c>
      <c r="D54" s="2">
        <v>6.4000000000000001E-2</v>
      </c>
    </row>
    <row r="55" spans="1:4" ht="22.5" customHeight="1" x14ac:dyDescent="0.25">
      <c r="A55" s="3" t="s">
        <v>7241</v>
      </c>
      <c r="B55" s="3" t="s">
        <v>7242</v>
      </c>
      <c r="C55" s="3" t="s">
        <v>7158</v>
      </c>
      <c r="D55" s="3">
        <v>0.24</v>
      </c>
    </row>
    <row r="56" spans="1:4" ht="22.5" customHeight="1" x14ac:dyDescent="0.25">
      <c r="A56" s="2" t="s">
        <v>7224</v>
      </c>
      <c r="B56" s="2" t="s">
        <v>7225</v>
      </c>
      <c r="C56" s="2" t="s">
        <v>7158</v>
      </c>
      <c r="D56" s="2">
        <v>0.25</v>
      </c>
    </row>
    <row r="57" spans="1:4" ht="22.5" customHeight="1" x14ac:dyDescent="0.25">
      <c r="A57" s="3" t="s">
        <v>7300</v>
      </c>
      <c r="B57" s="3" t="s">
        <v>7301</v>
      </c>
      <c r="C57" s="3" t="s">
        <v>7158</v>
      </c>
      <c r="D57" s="3">
        <v>0.27</v>
      </c>
    </row>
    <row r="58" spans="1:4" ht="22.5" customHeight="1" x14ac:dyDescent="0.25">
      <c r="A58" s="2" t="s">
        <v>7243</v>
      </c>
      <c r="B58" s="2" t="s">
        <v>7244</v>
      </c>
      <c r="C58" s="2" t="s">
        <v>7158</v>
      </c>
      <c r="D58" s="2">
        <v>0.33</v>
      </c>
    </row>
    <row r="59" spans="1:4" ht="22.5" customHeight="1" x14ac:dyDescent="0.25">
      <c r="A59" s="3" t="s">
        <v>7237</v>
      </c>
      <c r="B59" s="3" t="s">
        <v>7238</v>
      </c>
      <c r="C59" s="3" t="s">
        <v>7158</v>
      </c>
      <c r="D59" s="3">
        <v>0.24</v>
      </c>
    </row>
    <row r="60" spans="1:4" ht="22.5" customHeight="1" x14ac:dyDescent="0.25">
      <c r="A60" s="2" t="s">
        <v>7214</v>
      </c>
      <c r="B60" s="2" t="s">
        <v>7215</v>
      </c>
      <c r="C60" s="2" t="s">
        <v>7158</v>
      </c>
      <c r="D60" s="2">
        <v>0.28999999999999998</v>
      </c>
    </row>
    <row r="61" spans="1:4" x14ac:dyDescent="0.25">
      <c r="A61" s="3" t="s">
        <v>7180</v>
      </c>
      <c r="B61" s="3"/>
      <c r="C61" s="3" t="s">
        <v>7158</v>
      </c>
      <c r="D61" s="3">
        <v>0.19238</v>
      </c>
    </row>
    <row r="62" spans="1:4" ht="33.75" customHeight="1" x14ac:dyDescent="0.25">
      <c r="A62" s="2" t="s">
        <v>7175</v>
      </c>
      <c r="B62" s="2" t="s">
        <v>7176</v>
      </c>
      <c r="C62" s="2" t="s">
        <v>7158</v>
      </c>
      <c r="D62" s="2">
        <v>0.03</v>
      </c>
    </row>
    <row r="63" spans="1:4" ht="33.75" customHeight="1" x14ac:dyDescent="0.25">
      <c r="A63" s="3" t="s">
        <v>7177</v>
      </c>
      <c r="B63" s="3" t="s">
        <v>7178</v>
      </c>
      <c r="C63" s="3" t="s">
        <v>7158</v>
      </c>
      <c r="D63" s="3">
        <v>0.36</v>
      </c>
    </row>
    <row r="64" spans="1:4" ht="22.5" customHeight="1" x14ac:dyDescent="0.25">
      <c r="A64" s="2" t="s">
        <v>7235</v>
      </c>
      <c r="B64" s="2" t="s">
        <v>7236</v>
      </c>
      <c r="C64" s="2" t="s">
        <v>7158</v>
      </c>
      <c r="D64" s="2">
        <v>5.1069999999999997E-2</v>
      </c>
    </row>
    <row r="65" spans="1:4" ht="33.75" customHeight="1" x14ac:dyDescent="0.25">
      <c r="A65" s="3" t="s">
        <v>7192</v>
      </c>
      <c r="B65" s="3" t="s">
        <v>7193</v>
      </c>
      <c r="C65" s="3" t="s">
        <v>7158</v>
      </c>
      <c r="D65" s="3">
        <v>0.03</v>
      </c>
    </row>
    <row r="66" spans="1:4" ht="22.5" customHeight="1" x14ac:dyDescent="0.25">
      <c r="A66" s="2" t="s">
        <v>7190</v>
      </c>
      <c r="B66" s="2" t="s">
        <v>7191</v>
      </c>
      <c r="C66" s="2" t="s">
        <v>7163</v>
      </c>
      <c r="D66" s="2" t="s">
        <v>7164</v>
      </c>
    </row>
    <row r="67" spans="1:4" ht="22.5" customHeight="1" x14ac:dyDescent="0.25">
      <c r="A67" s="3" t="s">
        <v>7169</v>
      </c>
      <c r="B67" s="3" t="s">
        <v>7170</v>
      </c>
      <c r="C67" s="3" t="s">
        <v>7158</v>
      </c>
      <c r="D67" s="3">
        <v>1</v>
      </c>
    </row>
    <row r="68" spans="1:4" ht="33.75" customHeight="1" x14ac:dyDescent="0.25">
      <c r="A68" s="2" t="s">
        <v>7245</v>
      </c>
      <c r="B68" s="2" t="s">
        <v>7246</v>
      </c>
      <c r="C68" s="2" t="s">
        <v>7158</v>
      </c>
      <c r="D68" s="2">
        <v>0.33</v>
      </c>
    </row>
    <row r="69" spans="1:4" ht="22.5" customHeight="1" x14ac:dyDescent="0.25">
      <c r="A69" s="3" t="s">
        <v>7354</v>
      </c>
      <c r="B69" s="3" t="s">
        <v>7355</v>
      </c>
      <c r="C69" s="3" t="s">
        <v>7158</v>
      </c>
      <c r="D69" s="3">
        <v>0.19</v>
      </c>
    </row>
    <row r="70" spans="1:4" ht="22.5" customHeight="1" x14ac:dyDescent="0.25">
      <c r="A70" s="2" t="s">
        <v>7348</v>
      </c>
      <c r="B70" s="2" t="s">
        <v>7349</v>
      </c>
      <c r="C70" s="2" t="s">
        <v>7158</v>
      </c>
      <c r="D70" s="2">
        <v>0.22</v>
      </c>
    </row>
    <row r="71" spans="1:4" ht="22.5" customHeight="1" x14ac:dyDescent="0.25">
      <c r="A71" s="3" t="s">
        <v>7322</v>
      </c>
      <c r="B71" s="3" t="s">
        <v>7323</v>
      </c>
      <c r="C71" s="3" t="s">
        <v>7158</v>
      </c>
      <c r="D71" s="3">
        <v>0.28999999999999998</v>
      </c>
    </row>
    <row r="72" spans="1:4" ht="22.5" customHeight="1" x14ac:dyDescent="0.25">
      <c r="A72" s="2" t="s">
        <v>7292</v>
      </c>
      <c r="B72" s="2" t="s">
        <v>7293</v>
      </c>
      <c r="C72" s="2" t="s">
        <v>7158</v>
      </c>
      <c r="D72" s="2">
        <v>0.33</v>
      </c>
    </row>
    <row r="73" spans="1:4" ht="22.5" customHeight="1" x14ac:dyDescent="0.25">
      <c r="A73" s="3" t="s">
        <v>7268</v>
      </c>
      <c r="B73" s="3" t="s">
        <v>7269</v>
      </c>
      <c r="C73" s="3" t="s">
        <v>7158</v>
      </c>
      <c r="D73" s="3">
        <v>0.28999999999999998</v>
      </c>
    </row>
    <row r="74" spans="1:4" ht="22.5" customHeight="1" x14ac:dyDescent="0.25">
      <c r="A74" s="2" t="s">
        <v>7360</v>
      </c>
      <c r="B74" s="2" t="s">
        <v>7361</v>
      </c>
      <c r="C74" s="2" t="s">
        <v>7158</v>
      </c>
      <c r="D74" s="2">
        <v>0.21</v>
      </c>
    </row>
    <row r="75" spans="1:4" ht="33.75" customHeight="1" x14ac:dyDescent="0.25">
      <c r="A75" s="3" t="s">
        <v>7270</v>
      </c>
      <c r="B75" s="3" t="s">
        <v>7271</v>
      </c>
      <c r="C75" s="3" t="s">
        <v>7158</v>
      </c>
      <c r="D75" s="3">
        <v>0.25</v>
      </c>
    </row>
    <row r="76" spans="1:4" x14ac:dyDescent="0.25">
      <c r="A76" s="2" t="s">
        <v>7228</v>
      </c>
      <c r="B76" s="2"/>
      <c r="C76" s="2" t="s">
        <v>7158</v>
      </c>
      <c r="D76" s="2">
        <v>0.06</v>
      </c>
    </row>
    <row r="77" spans="1:4" ht="33.75" customHeight="1" x14ac:dyDescent="0.25">
      <c r="A77" s="3" t="s">
        <v>7294</v>
      </c>
      <c r="B77" s="3" t="s">
        <v>7295</v>
      </c>
      <c r="C77" s="3" t="s">
        <v>7158</v>
      </c>
      <c r="D77" s="3">
        <v>0.24</v>
      </c>
    </row>
    <row r="78" spans="1:4" ht="22.5" customHeight="1" x14ac:dyDescent="0.25">
      <c r="A78" s="2" t="s">
        <v>7278</v>
      </c>
      <c r="B78" s="2" t="s">
        <v>7279</v>
      </c>
      <c r="C78" s="2" t="s">
        <v>7158</v>
      </c>
      <c r="D78" s="2">
        <v>0.32</v>
      </c>
    </row>
    <row r="79" spans="1:4" ht="22.5" customHeight="1" x14ac:dyDescent="0.25">
      <c r="A79" s="3" t="s">
        <v>7340</v>
      </c>
      <c r="B79" s="3" t="s">
        <v>7341</v>
      </c>
      <c r="C79" s="3" t="s">
        <v>7158</v>
      </c>
      <c r="D79" s="3">
        <v>0.24</v>
      </c>
    </row>
    <row r="80" spans="1:4" ht="22.5" customHeight="1" x14ac:dyDescent="0.25">
      <c r="A80" s="2" t="s">
        <v>7288</v>
      </c>
      <c r="B80" s="2" t="s">
        <v>7289</v>
      </c>
      <c r="C80" s="2" t="s">
        <v>7158</v>
      </c>
      <c r="D80" s="2">
        <v>0.33</v>
      </c>
    </row>
    <row r="81" spans="1:4" ht="22.5" customHeight="1" x14ac:dyDescent="0.25">
      <c r="A81" s="3" t="s">
        <v>7302</v>
      </c>
      <c r="B81" s="3" t="s">
        <v>7303</v>
      </c>
      <c r="C81" s="3" t="s">
        <v>7158</v>
      </c>
      <c r="D81" s="3">
        <v>0.27</v>
      </c>
    </row>
    <row r="82" spans="1:4" ht="22.5" customHeight="1" x14ac:dyDescent="0.25">
      <c r="A82" s="2" t="s">
        <v>7199</v>
      </c>
      <c r="B82" s="2" t="s">
        <v>7200</v>
      </c>
      <c r="C82" s="2" t="s">
        <v>7158</v>
      </c>
      <c r="D82" s="2">
        <v>7.0999999999999994E-2</v>
      </c>
    </row>
    <row r="83" spans="1:4" ht="22.5" customHeight="1" x14ac:dyDescent="0.25">
      <c r="A83" s="3" t="s">
        <v>7171</v>
      </c>
      <c r="B83" s="3" t="s">
        <v>7172</v>
      </c>
      <c r="C83" s="3" t="s">
        <v>7158</v>
      </c>
      <c r="D83" s="3">
        <v>0.126</v>
      </c>
    </row>
    <row r="84" spans="1:4" ht="22.5" customHeight="1" x14ac:dyDescent="0.25">
      <c r="A84" s="2" t="s">
        <v>7280</v>
      </c>
      <c r="B84" s="2" t="s">
        <v>7281</v>
      </c>
      <c r="C84" s="2" t="s">
        <v>7158</v>
      </c>
      <c r="D84" s="2">
        <v>0.32</v>
      </c>
    </row>
    <row r="85" spans="1:4" ht="22.5" customHeight="1" x14ac:dyDescent="0.25">
      <c r="A85" s="3" t="s">
        <v>7282</v>
      </c>
      <c r="B85" s="3" t="s">
        <v>7283</v>
      </c>
      <c r="C85" s="3" t="s">
        <v>7158</v>
      </c>
      <c r="D85" s="3">
        <v>0.32</v>
      </c>
    </row>
    <row r="86" spans="1:4" ht="22.5" customHeight="1" x14ac:dyDescent="0.25">
      <c r="A86" s="2" t="s">
        <v>7184</v>
      </c>
      <c r="B86" s="2" t="s">
        <v>7185</v>
      </c>
      <c r="C86" s="2" t="s">
        <v>7158</v>
      </c>
      <c r="D86" s="2">
        <v>9.4E-2</v>
      </c>
    </row>
    <row r="87" spans="1:4" ht="22.5" customHeight="1" x14ac:dyDescent="0.25">
      <c r="A87" s="3" t="s">
        <v>7254</v>
      </c>
      <c r="B87" s="3" t="s">
        <v>7255</v>
      </c>
      <c r="C87" s="3" t="s">
        <v>7158</v>
      </c>
      <c r="D87" s="3">
        <v>6.2399999999999997E-2</v>
      </c>
    </row>
    <row r="88" spans="1:4" ht="22.5" customHeight="1" x14ac:dyDescent="0.25">
      <c r="A88" s="2" t="s">
        <v>7210</v>
      </c>
      <c r="B88" s="2" t="s">
        <v>7211</v>
      </c>
      <c r="C88" s="2" t="s">
        <v>7158</v>
      </c>
      <c r="D88" s="2">
        <v>6.2399999999999997E-2</v>
      </c>
    </row>
    <row r="89" spans="1:4" ht="22.5" customHeight="1" x14ac:dyDescent="0.25">
      <c r="A89" s="3" t="s">
        <v>7256</v>
      </c>
      <c r="B89" s="3" t="s">
        <v>7257</v>
      </c>
      <c r="C89" s="3" t="s">
        <v>7158</v>
      </c>
      <c r="D89" s="3">
        <v>0.24</v>
      </c>
    </row>
    <row r="90" spans="1:4" ht="22.5" customHeight="1" x14ac:dyDescent="0.25">
      <c r="A90" s="2" t="s">
        <v>7216</v>
      </c>
      <c r="B90" s="2" t="s">
        <v>7217</v>
      </c>
      <c r="C90" s="2" t="s">
        <v>7158</v>
      </c>
      <c r="D90" s="2">
        <v>0.25</v>
      </c>
    </row>
    <row r="91" spans="1:4" ht="22.5" customHeight="1" x14ac:dyDescent="0.25">
      <c r="A91" s="3" t="s">
        <v>7312</v>
      </c>
      <c r="B91" s="3" t="s">
        <v>7313</v>
      </c>
      <c r="C91" s="3" t="s">
        <v>7158</v>
      </c>
      <c r="D91" s="3">
        <v>0.3</v>
      </c>
    </row>
    <row r="92" spans="1:4" ht="22.5" customHeight="1" x14ac:dyDescent="0.25">
      <c r="A92" s="2" t="s">
        <v>7314</v>
      </c>
      <c r="B92" s="2" t="s">
        <v>7315</v>
      </c>
      <c r="C92" s="2" t="s">
        <v>7158</v>
      </c>
      <c r="D92" s="2">
        <v>0.25</v>
      </c>
    </row>
    <row r="93" spans="1:4" ht="22.5" customHeight="1" x14ac:dyDescent="0.25">
      <c r="A93" s="3" t="s">
        <v>7304</v>
      </c>
      <c r="B93" s="3" t="s">
        <v>7305</v>
      </c>
      <c r="C93" s="3" t="s">
        <v>7158</v>
      </c>
      <c r="D93" s="3">
        <v>0.27</v>
      </c>
    </row>
    <row r="94" spans="1:4" ht="22.5" customHeight="1" x14ac:dyDescent="0.25">
      <c r="A94" s="2" t="s">
        <v>7342</v>
      </c>
      <c r="B94" s="2" t="s">
        <v>7343</v>
      </c>
      <c r="C94" s="2" t="s">
        <v>7158</v>
      </c>
      <c r="D94" s="2">
        <v>0.24</v>
      </c>
    </row>
    <row r="95" spans="1:4" ht="22.5" customHeight="1" x14ac:dyDescent="0.25">
      <c r="A95" s="3" t="s">
        <v>7306</v>
      </c>
      <c r="B95" s="3" t="s">
        <v>7307</v>
      </c>
      <c r="C95" s="3" t="s">
        <v>7158</v>
      </c>
      <c r="D95" s="3">
        <v>0.27</v>
      </c>
    </row>
    <row r="96" spans="1:4" ht="22.5" customHeight="1" x14ac:dyDescent="0.25">
      <c r="A96" s="2" t="s">
        <v>7290</v>
      </c>
      <c r="B96" s="2" t="s">
        <v>7291</v>
      </c>
      <c r="C96" s="2" t="s">
        <v>7158</v>
      </c>
      <c r="D96" s="2">
        <v>0.33</v>
      </c>
    </row>
    <row r="97" spans="1:4" ht="33.75" customHeight="1" x14ac:dyDescent="0.25">
      <c r="A97" s="3" t="s">
        <v>7296</v>
      </c>
      <c r="B97" s="3" t="s">
        <v>7297</v>
      </c>
      <c r="C97" s="3" t="s">
        <v>7158</v>
      </c>
      <c r="D97" s="3">
        <v>0.24</v>
      </c>
    </row>
    <row r="98" spans="1:4" ht="33.75" customHeight="1" x14ac:dyDescent="0.25">
      <c r="A98" s="2" t="s">
        <v>7274</v>
      </c>
      <c r="B98" s="2" t="s">
        <v>7275</v>
      </c>
      <c r="C98" s="2" t="s">
        <v>7158</v>
      </c>
      <c r="D98" s="2">
        <v>0.27</v>
      </c>
    </row>
    <row r="99" spans="1:4" ht="33.75" customHeight="1" x14ac:dyDescent="0.25">
      <c r="A99" s="3" t="s">
        <v>7218</v>
      </c>
      <c r="B99" s="3" t="s">
        <v>7219</v>
      </c>
      <c r="C99" s="3" t="s">
        <v>7158</v>
      </c>
      <c r="D99" s="3">
        <v>0.4</v>
      </c>
    </row>
    <row r="100" spans="1:4" ht="33.75" customHeight="1" x14ac:dyDescent="0.25">
      <c r="A100" s="2" t="s">
        <v>7328</v>
      </c>
      <c r="B100" s="2" t="s">
        <v>7329</v>
      </c>
      <c r="C100" s="2" t="s">
        <v>7158</v>
      </c>
      <c r="D100" s="2">
        <v>0.24</v>
      </c>
    </row>
    <row r="101" spans="1:4" ht="33.75" customHeight="1" x14ac:dyDescent="0.25">
      <c r="A101" s="3" t="s">
        <v>7318</v>
      </c>
      <c r="B101" s="3" t="s">
        <v>7319</v>
      </c>
      <c r="C101" s="3" t="s">
        <v>7158</v>
      </c>
      <c r="D101" s="3">
        <v>0.24</v>
      </c>
    </row>
    <row r="102" spans="1:4" ht="33.75" customHeight="1" x14ac:dyDescent="0.25">
      <c r="A102" s="2" t="s">
        <v>7298</v>
      </c>
      <c r="B102" s="2" t="s">
        <v>7299</v>
      </c>
      <c r="C102" s="2" t="s">
        <v>7158</v>
      </c>
      <c r="D102" s="2">
        <v>0.24</v>
      </c>
    </row>
    <row r="103" spans="1:4" ht="33.75" customHeight="1" x14ac:dyDescent="0.25">
      <c r="A103" s="3" t="s">
        <v>7272</v>
      </c>
      <c r="B103" s="3" t="s">
        <v>7273</v>
      </c>
      <c r="C103" s="3" t="s">
        <v>7158</v>
      </c>
      <c r="D103" s="3">
        <v>0.25</v>
      </c>
    </row>
    <row r="104" spans="1:4" ht="33.75" customHeight="1" x14ac:dyDescent="0.25">
      <c r="A104" s="2" t="s">
        <v>7266</v>
      </c>
      <c r="B104" s="2" t="s">
        <v>7267</v>
      </c>
      <c r="C104" s="2" t="s">
        <v>7158</v>
      </c>
      <c r="D104" s="2">
        <v>0.27</v>
      </c>
    </row>
    <row r="105" spans="1:4" ht="33.75" customHeight="1" x14ac:dyDescent="0.25">
      <c r="A105" s="3" t="s">
        <v>7247</v>
      </c>
      <c r="B105" s="3" t="s">
        <v>7248</v>
      </c>
      <c r="C105" s="3" t="s">
        <v>7158</v>
      </c>
      <c r="D105" s="3">
        <v>0.33</v>
      </c>
    </row>
    <row r="106" spans="1:4" ht="33.75" customHeight="1" x14ac:dyDescent="0.25">
      <c r="A106" s="2" t="s">
        <v>7239</v>
      </c>
      <c r="B106" s="2" t="s">
        <v>7240</v>
      </c>
      <c r="C106" s="2" t="s">
        <v>7158</v>
      </c>
      <c r="D106" s="2">
        <v>0.4</v>
      </c>
    </row>
    <row r="107" spans="1:4" ht="22.5" customHeight="1" x14ac:dyDescent="0.25">
      <c r="A107" s="3" t="s">
        <v>7344</v>
      </c>
      <c r="B107" s="3" t="s">
        <v>7345</v>
      </c>
      <c r="C107" s="3" t="s">
        <v>7158</v>
      </c>
      <c r="D107" s="3">
        <v>0.24</v>
      </c>
    </row>
    <row r="108" spans="1:4" ht="22.5" customHeight="1" x14ac:dyDescent="0.25">
      <c r="A108" s="2" t="s">
        <v>7316</v>
      </c>
      <c r="B108" s="2" t="s">
        <v>7317</v>
      </c>
      <c r="C108" s="2" t="s">
        <v>7158</v>
      </c>
      <c r="D108" s="2">
        <v>0.25</v>
      </c>
    </row>
    <row r="109" spans="1:4" ht="22.5" customHeight="1" x14ac:dyDescent="0.25">
      <c r="A109" s="3" t="s">
        <v>7350</v>
      </c>
      <c r="B109" s="3" t="s">
        <v>7351</v>
      </c>
      <c r="C109" s="3" t="s">
        <v>7158</v>
      </c>
      <c r="D109" s="3">
        <v>0.24</v>
      </c>
    </row>
    <row r="110" spans="1:4" ht="22.5" customHeight="1" x14ac:dyDescent="0.25">
      <c r="A110" s="2" t="s">
        <v>7264</v>
      </c>
      <c r="B110" s="2" t="s">
        <v>7265</v>
      </c>
      <c r="C110" s="2" t="s">
        <v>7158</v>
      </c>
      <c r="D110" s="2">
        <v>0.28999999999999998</v>
      </c>
    </row>
    <row r="111" spans="1:4" ht="22.5" customHeight="1" x14ac:dyDescent="0.25">
      <c r="A111" s="3" t="s">
        <v>7346</v>
      </c>
      <c r="B111" s="3" t="s">
        <v>7347</v>
      </c>
      <c r="C111" s="3" t="s">
        <v>7158</v>
      </c>
      <c r="D111" s="3">
        <v>0.24</v>
      </c>
    </row>
  </sheetData>
  <autoFilter ref="A1:D111" xr:uid="{00000000-0009-0000-0000-000006000000}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91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6" customWidth="1"/>
    <col min="2" max="2" width="16" customWidth="1"/>
    <col min="3" max="4" width="10" customWidth="1"/>
    <col min="5" max="5" width="30" customWidth="1"/>
    <col min="6" max="7" width="11" customWidth="1"/>
    <col min="8" max="8" width="30" customWidth="1"/>
    <col min="9" max="10" width="11" customWidth="1"/>
    <col min="11" max="11" width="30" customWidth="1"/>
    <col min="12" max="13" width="11" customWidth="1"/>
    <col min="14" max="14" width="30" customWidth="1"/>
    <col min="15" max="16" width="11" customWidth="1"/>
    <col min="18" max="18" width="14" customWidth="1"/>
  </cols>
  <sheetData>
    <row r="1" spans="1:16" ht="20.100000000000001" customHeight="1" x14ac:dyDescent="0.25">
      <c r="A1" s="50" t="s">
        <v>7363</v>
      </c>
      <c r="B1" s="26"/>
      <c r="C1" s="26"/>
      <c r="D1" s="26"/>
    </row>
    <row r="2" spans="1:16" x14ac:dyDescent="0.25">
      <c r="A2" s="55" t="s">
        <v>7364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ht="21.95" customHeight="1" x14ac:dyDescent="0.25">
      <c r="A3" s="51" t="s">
        <v>7365</v>
      </c>
      <c r="B3" s="52"/>
      <c r="C3" s="52"/>
      <c r="D3" s="53"/>
      <c r="E3" s="54" t="s">
        <v>50</v>
      </c>
      <c r="F3" s="52"/>
      <c r="G3" s="53"/>
      <c r="H3" s="51" t="s">
        <v>51</v>
      </c>
      <c r="I3" s="52"/>
      <c r="J3" s="53"/>
      <c r="K3" s="54" t="s">
        <v>52</v>
      </c>
      <c r="L3" s="52"/>
      <c r="M3" s="53"/>
      <c r="N3" s="51" t="s">
        <v>53</v>
      </c>
      <c r="O3" s="52"/>
      <c r="P3" s="53"/>
    </row>
    <row r="4" spans="1:16" ht="27.95" customHeight="1" x14ac:dyDescent="0.25">
      <c r="A4" s="16" t="s">
        <v>7366</v>
      </c>
      <c r="B4" s="16" t="s">
        <v>43</v>
      </c>
      <c r="C4" s="16" t="s">
        <v>47</v>
      </c>
      <c r="D4" s="16" t="s">
        <v>48</v>
      </c>
      <c r="E4" s="16" t="s">
        <v>5049</v>
      </c>
      <c r="F4" s="16" t="s">
        <v>7367</v>
      </c>
      <c r="G4" s="16" t="s">
        <v>7368</v>
      </c>
      <c r="H4" s="16" t="s">
        <v>5050</v>
      </c>
      <c r="I4" s="16" t="s">
        <v>7369</v>
      </c>
      <c r="J4" s="16" t="s">
        <v>7370</v>
      </c>
      <c r="K4" s="16" t="s">
        <v>5051</v>
      </c>
      <c r="L4" s="16" t="s">
        <v>7371</v>
      </c>
      <c r="M4" s="16" t="s">
        <v>7372</v>
      </c>
      <c r="N4" s="16" t="s">
        <v>5052</v>
      </c>
      <c r="O4" s="16" t="s">
        <v>7373</v>
      </c>
      <c r="P4" s="16" t="s">
        <v>7374</v>
      </c>
    </row>
    <row r="5" spans="1:16" x14ac:dyDescent="0.25">
      <c r="A5" s="17" t="s">
        <v>4373</v>
      </c>
      <c r="B5" s="17" t="s">
        <v>4374</v>
      </c>
      <c r="C5" s="17" t="s">
        <v>60</v>
      </c>
      <c r="D5" s="17" t="s">
        <v>7375</v>
      </c>
      <c r="E5" s="17" t="s">
        <v>5063</v>
      </c>
      <c r="F5" s="56" t="s">
        <v>7376</v>
      </c>
      <c r="G5" s="56" t="s">
        <v>7377</v>
      </c>
      <c r="H5" s="17" t="s">
        <v>5064</v>
      </c>
      <c r="I5" s="56" t="s">
        <v>7376</v>
      </c>
      <c r="J5" s="56" t="s">
        <v>7377</v>
      </c>
      <c r="K5" s="17" t="s">
        <v>5065</v>
      </c>
      <c r="L5" s="56" t="s">
        <v>7376</v>
      </c>
      <c r="M5" s="56" t="s">
        <v>7377</v>
      </c>
      <c r="N5" s="17" t="s">
        <v>5066</v>
      </c>
      <c r="O5" s="56" t="s">
        <v>7376</v>
      </c>
      <c r="P5" s="56" t="s">
        <v>7377</v>
      </c>
    </row>
    <row r="6" spans="1:16" x14ac:dyDescent="0.25">
      <c r="A6" s="18" t="s">
        <v>291</v>
      </c>
      <c r="B6" s="18" t="s">
        <v>292</v>
      </c>
      <c r="C6" s="18" t="s">
        <v>60</v>
      </c>
      <c r="D6" s="18" t="s">
        <v>7375</v>
      </c>
      <c r="E6" s="18" t="s">
        <v>5074</v>
      </c>
      <c r="F6" s="56" t="s">
        <v>7376</v>
      </c>
      <c r="G6" s="56" t="s">
        <v>7377</v>
      </c>
      <c r="H6" s="18" t="s">
        <v>5075</v>
      </c>
      <c r="I6" s="56" t="s">
        <v>7376</v>
      </c>
      <c r="J6" s="56" t="s">
        <v>7377</v>
      </c>
      <c r="K6" s="18" t="s">
        <v>5076</v>
      </c>
      <c r="L6" s="56" t="s">
        <v>7376</v>
      </c>
      <c r="M6" s="56" t="s">
        <v>7377</v>
      </c>
      <c r="N6" s="18" t="s">
        <v>5077</v>
      </c>
      <c r="O6" s="56" t="s">
        <v>7376</v>
      </c>
      <c r="P6" s="56" t="s">
        <v>7377</v>
      </c>
    </row>
    <row r="7" spans="1:16" x14ac:dyDescent="0.25">
      <c r="A7" s="17" t="s">
        <v>5078</v>
      </c>
      <c r="B7" s="17" t="s">
        <v>3878</v>
      </c>
      <c r="C7" s="17" t="s">
        <v>60</v>
      </c>
      <c r="D7" s="17" t="s">
        <v>7375</v>
      </c>
      <c r="E7" s="17" t="s">
        <v>5082</v>
      </c>
      <c r="F7" s="56" t="s">
        <v>7376</v>
      </c>
      <c r="G7" s="56" t="s">
        <v>7377</v>
      </c>
      <c r="H7" s="17" t="s">
        <v>5083</v>
      </c>
      <c r="I7" s="56" t="s">
        <v>7376</v>
      </c>
      <c r="J7" s="56" t="s">
        <v>7377</v>
      </c>
      <c r="K7" s="17" t="s">
        <v>5084</v>
      </c>
      <c r="L7" s="56" t="s">
        <v>7376</v>
      </c>
      <c r="M7" s="56" t="s">
        <v>7377</v>
      </c>
      <c r="N7" s="17" t="s">
        <v>5085</v>
      </c>
      <c r="O7" s="56" t="s">
        <v>7376</v>
      </c>
      <c r="P7" s="56" t="s">
        <v>7377</v>
      </c>
    </row>
    <row r="8" spans="1:16" x14ac:dyDescent="0.25">
      <c r="A8" s="18" t="s">
        <v>4258</v>
      </c>
      <c r="B8" s="18" t="s">
        <v>4259</v>
      </c>
      <c r="C8" s="18" t="s">
        <v>60</v>
      </c>
      <c r="D8" s="18" t="s">
        <v>7375</v>
      </c>
      <c r="E8" s="18" t="s">
        <v>5089</v>
      </c>
      <c r="F8" s="56" t="s">
        <v>7376</v>
      </c>
      <c r="G8" s="56" t="s">
        <v>7377</v>
      </c>
      <c r="H8" s="18" t="s">
        <v>5090</v>
      </c>
      <c r="I8" s="56" t="s">
        <v>7376</v>
      </c>
      <c r="J8" s="56" t="s">
        <v>7377</v>
      </c>
      <c r="K8" s="18" t="s">
        <v>5091</v>
      </c>
      <c r="L8" s="56" t="s">
        <v>7376</v>
      </c>
      <c r="M8" s="56" t="s">
        <v>7377</v>
      </c>
      <c r="N8" s="18" t="s">
        <v>5092</v>
      </c>
      <c r="O8" s="56" t="s">
        <v>7376</v>
      </c>
      <c r="P8" s="56" t="s">
        <v>7377</v>
      </c>
    </row>
    <row r="9" spans="1:16" x14ac:dyDescent="0.25">
      <c r="A9" s="17" t="s">
        <v>5093</v>
      </c>
      <c r="B9" s="17" t="s">
        <v>2536</v>
      </c>
      <c r="C9" s="17" t="s">
        <v>60</v>
      </c>
      <c r="D9" s="17" t="s">
        <v>7375</v>
      </c>
      <c r="E9" s="17" t="s">
        <v>5095</v>
      </c>
      <c r="F9" s="56" t="s">
        <v>7376</v>
      </c>
      <c r="G9" s="56" t="s">
        <v>7377</v>
      </c>
      <c r="H9" s="17" t="s">
        <v>5096</v>
      </c>
      <c r="I9" s="56" t="s">
        <v>7376</v>
      </c>
      <c r="J9" s="56" t="s">
        <v>7377</v>
      </c>
      <c r="K9" s="17" t="s">
        <v>5097</v>
      </c>
      <c r="L9" s="56" t="s">
        <v>7376</v>
      </c>
      <c r="M9" s="56" t="s">
        <v>7377</v>
      </c>
      <c r="N9" s="17" t="s">
        <v>5098</v>
      </c>
      <c r="O9" s="56" t="s">
        <v>7376</v>
      </c>
      <c r="P9" s="56" t="s">
        <v>7377</v>
      </c>
    </row>
    <row r="10" spans="1:16" ht="67.5" x14ac:dyDescent="0.25">
      <c r="A10" s="18" t="s">
        <v>5099</v>
      </c>
      <c r="B10" s="18" t="s">
        <v>156</v>
      </c>
      <c r="C10" s="18" t="s">
        <v>60</v>
      </c>
      <c r="D10" s="18" t="s">
        <v>7375</v>
      </c>
      <c r="E10" s="18" t="s">
        <v>5103</v>
      </c>
      <c r="F10" s="56" t="s">
        <v>7376</v>
      </c>
      <c r="G10" s="56" t="s">
        <v>7377</v>
      </c>
      <c r="H10" s="18" t="s">
        <v>5104</v>
      </c>
      <c r="I10" s="56" t="s">
        <v>7376</v>
      </c>
      <c r="J10" s="56" t="s">
        <v>7377</v>
      </c>
      <c r="K10" s="18" t="s">
        <v>5105</v>
      </c>
      <c r="L10" s="56" t="s">
        <v>7376</v>
      </c>
      <c r="M10" s="56" t="s">
        <v>7377</v>
      </c>
      <c r="N10" s="18" t="s">
        <v>5106</v>
      </c>
      <c r="O10" s="56" t="s">
        <v>7376</v>
      </c>
      <c r="P10" s="56" t="s">
        <v>7377</v>
      </c>
    </row>
    <row r="11" spans="1:16" ht="22.5" x14ac:dyDescent="0.25">
      <c r="A11" s="17" t="s">
        <v>5107</v>
      </c>
      <c r="B11" s="17" t="s">
        <v>3866</v>
      </c>
      <c r="C11" s="17" t="s">
        <v>60</v>
      </c>
      <c r="D11" s="17" t="s">
        <v>7375</v>
      </c>
      <c r="E11" s="17" t="s">
        <v>5111</v>
      </c>
      <c r="F11" s="56" t="s">
        <v>7376</v>
      </c>
      <c r="G11" s="56" t="s">
        <v>7377</v>
      </c>
      <c r="H11" s="17" t="s">
        <v>5112</v>
      </c>
      <c r="I11" s="56" t="s">
        <v>7376</v>
      </c>
      <c r="J11" s="56" t="s">
        <v>7377</v>
      </c>
      <c r="K11" s="17" t="s">
        <v>5113</v>
      </c>
      <c r="L11" s="56" t="s">
        <v>7376</v>
      </c>
      <c r="M11" s="56" t="s">
        <v>7377</v>
      </c>
      <c r="N11" s="17" t="s">
        <v>5114</v>
      </c>
      <c r="O11" s="56" t="s">
        <v>7376</v>
      </c>
      <c r="P11" s="56" t="s">
        <v>7377</v>
      </c>
    </row>
    <row r="12" spans="1:16" ht="22.5" x14ac:dyDescent="0.25">
      <c r="A12" s="18" t="s">
        <v>5115</v>
      </c>
      <c r="B12" s="18" t="s">
        <v>188</v>
      </c>
      <c r="C12" s="18" t="s">
        <v>60</v>
      </c>
      <c r="D12" s="18" t="s">
        <v>7375</v>
      </c>
      <c r="E12" s="18" t="s">
        <v>5119</v>
      </c>
      <c r="F12" s="56" t="s">
        <v>7376</v>
      </c>
      <c r="G12" s="56" t="s">
        <v>7377</v>
      </c>
      <c r="H12" s="18" t="s">
        <v>5120</v>
      </c>
      <c r="I12" s="56" t="s">
        <v>7376</v>
      </c>
      <c r="J12" s="56" t="s">
        <v>7377</v>
      </c>
      <c r="K12" s="18" t="s">
        <v>5121</v>
      </c>
      <c r="L12" s="56" t="s">
        <v>7376</v>
      </c>
      <c r="M12" s="56" t="s">
        <v>7377</v>
      </c>
      <c r="N12" s="18" t="s">
        <v>5122</v>
      </c>
      <c r="O12" s="56" t="s">
        <v>7376</v>
      </c>
      <c r="P12" s="56" t="s">
        <v>7377</v>
      </c>
    </row>
    <row r="13" spans="1:16" x14ac:dyDescent="0.25">
      <c r="A13" s="17" t="s">
        <v>4182</v>
      </c>
      <c r="B13" s="17" t="s">
        <v>4183</v>
      </c>
      <c r="C13" s="17" t="s">
        <v>60</v>
      </c>
      <c r="D13" s="17" t="s">
        <v>7375</v>
      </c>
      <c r="E13" s="17" t="s">
        <v>5126</v>
      </c>
      <c r="F13" s="56" t="s">
        <v>7376</v>
      </c>
      <c r="G13" s="56" t="s">
        <v>7377</v>
      </c>
      <c r="H13" s="17" t="s">
        <v>5127</v>
      </c>
      <c r="I13" s="56" t="s">
        <v>7376</v>
      </c>
      <c r="J13" s="56" t="s">
        <v>7377</v>
      </c>
      <c r="K13" s="17" t="s">
        <v>5128</v>
      </c>
      <c r="L13" s="56" t="s">
        <v>7376</v>
      </c>
      <c r="M13" s="56" t="s">
        <v>7377</v>
      </c>
      <c r="N13" s="17" t="s">
        <v>5129</v>
      </c>
      <c r="O13" s="56" t="s">
        <v>7376</v>
      </c>
      <c r="P13" s="56" t="s">
        <v>7377</v>
      </c>
    </row>
    <row r="14" spans="1:16" x14ac:dyDescent="0.25">
      <c r="A14" s="18" t="s">
        <v>565</v>
      </c>
      <c r="B14" s="18" t="s">
        <v>566</v>
      </c>
      <c r="C14" s="18" t="s">
        <v>60</v>
      </c>
      <c r="D14" s="18" t="s">
        <v>7375</v>
      </c>
      <c r="E14" s="18" t="s">
        <v>5131</v>
      </c>
      <c r="F14" s="56" t="s">
        <v>7376</v>
      </c>
      <c r="G14" s="56" t="s">
        <v>7377</v>
      </c>
      <c r="H14" s="18" t="s">
        <v>5132</v>
      </c>
      <c r="I14" s="56" t="s">
        <v>7376</v>
      </c>
      <c r="J14" s="56" t="s">
        <v>7377</v>
      </c>
      <c r="K14" s="18" t="s">
        <v>5133</v>
      </c>
      <c r="L14" s="56" t="s">
        <v>7376</v>
      </c>
      <c r="M14" s="56" t="s">
        <v>7377</v>
      </c>
      <c r="N14" s="18" t="s">
        <v>5134</v>
      </c>
      <c r="O14" s="56" t="s">
        <v>7376</v>
      </c>
      <c r="P14" s="56" t="s">
        <v>7377</v>
      </c>
    </row>
    <row r="15" spans="1:16" x14ac:dyDescent="0.25">
      <c r="A15" s="17" t="s">
        <v>577</v>
      </c>
      <c r="B15" s="17" t="s">
        <v>578</v>
      </c>
      <c r="C15" s="17" t="s">
        <v>60</v>
      </c>
      <c r="D15" s="17" t="s">
        <v>7375</v>
      </c>
      <c r="E15" s="17" t="s">
        <v>5138</v>
      </c>
      <c r="F15" s="56" t="s">
        <v>7376</v>
      </c>
      <c r="G15" s="56" t="s">
        <v>7377</v>
      </c>
      <c r="H15" s="17" t="s">
        <v>5139</v>
      </c>
      <c r="I15" s="56" t="s">
        <v>7376</v>
      </c>
      <c r="J15" s="56" t="s">
        <v>7377</v>
      </c>
      <c r="K15" s="17" t="s">
        <v>5140</v>
      </c>
      <c r="L15" s="56" t="s">
        <v>7376</v>
      </c>
      <c r="M15" s="56" t="s">
        <v>7377</v>
      </c>
      <c r="N15" s="17" t="s">
        <v>5141</v>
      </c>
      <c r="O15" s="56" t="s">
        <v>7376</v>
      </c>
      <c r="P15" s="56" t="s">
        <v>7377</v>
      </c>
    </row>
    <row r="16" spans="1:16" x14ac:dyDescent="0.25">
      <c r="A16" s="18" t="s">
        <v>5142</v>
      </c>
      <c r="B16" s="18" t="s">
        <v>2532</v>
      </c>
      <c r="C16" s="18" t="s">
        <v>60</v>
      </c>
      <c r="D16" s="18" t="s">
        <v>7375</v>
      </c>
      <c r="E16" s="18" t="s">
        <v>5146</v>
      </c>
      <c r="F16" s="56" t="s">
        <v>7376</v>
      </c>
      <c r="G16" s="56" t="s">
        <v>7377</v>
      </c>
      <c r="H16" s="18" t="s">
        <v>5147</v>
      </c>
      <c r="I16" s="56" t="s">
        <v>7376</v>
      </c>
      <c r="J16" s="56" t="s">
        <v>7377</v>
      </c>
      <c r="K16" s="18" t="s">
        <v>5148</v>
      </c>
      <c r="L16" s="56" t="s">
        <v>7376</v>
      </c>
      <c r="M16" s="56" t="s">
        <v>7377</v>
      </c>
      <c r="N16" s="18" t="s">
        <v>5149</v>
      </c>
      <c r="O16" s="56" t="s">
        <v>7376</v>
      </c>
      <c r="P16" s="56" t="s">
        <v>7377</v>
      </c>
    </row>
    <row r="17" spans="1:16" ht="67.5" x14ac:dyDescent="0.25">
      <c r="A17" s="17" t="s">
        <v>5150</v>
      </c>
      <c r="B17" s="17" t="s">
        <v>112</v>
      </c>
      <c r="C17" s="17" t="s">
        <v>60</v>
      </c>
      <c r="D17" s="17" t="s">
        <v>7375</v>
      </c>
      <c r="E17" s="17" t="s">
        <v>5154</v>
      </c>
      <c r="F17" s="56" t="s">
        <v>7376</v>
      </c>
      <c r="G17" s="56" t="s">
        <v>7377</v>
      </c>
      <c r="H17" s="17" t="s">
        <v>5155</v>
      </c>
      <c r="I17" s="56" t="s">
        <v>7376</v>
      </c>
      <c r="J17" s="56" t="s">
        <v>7377</v>
      </c>
      <c r="K17" s="17" t="s">
        <v>5156</v>
      </c>
      <c r="L17" s="56" t="s">
        <v>7376</v>
      </c>
      <c r="M17" s="56" t="s">
        <v>7377</v>
      </c>
      <c r="N17" s="17" t="s">
        <v>5157</v>
      </c>
      <c r="O17" s="56" t="s">
        <v>7376</v>
      </c>
      <c r="P17" s="56" t="s">
        <v>7377</v>
      </c>
    </row>
    <row r="18" spans="1:16" ht="45" x14ac:dyDescent="0.25">
      <c r="A18" s="18" t="s">
        <v>5158</v>
      </c>
      <c r="B18" s="18" t="s">
        <v>3860</v>
      </c>
      <c r="C18" s="18" t="s">
        <v>60</v>
      </c>
      <c r="D18" s="18" t="s">
        <v>7375</v>
      </c>
      <c r="E18" s="18" t="s">
        <v>5162</v>
      </c>
      <c r="F18" s="56" t="s">
        <v>7376</v>
      </c>
      <c r="G18" s="56" t="s">
        <v>7377</v>
      </c>
      <c r="H18" s="18" t="s">
        <v>5163</v>
      </c>
      <c r="I18" s="56" t="s">
        <v>7376</v>
      </c>
      <c r="J18" s="56" t="s">
        <v>7377</v>
      </c>
      <c r="K18" s="18" t="s">
        <v>5164</v>
      </c>
      <c r="L18" s="56" t="s">
        <v>7376</v>
      </c>
      <c r="M18" s="56" t="s">
        <v>7377</v>
      </c>
      <c r="N18" s="18" t="s">
        <v>5165</v>
      </c>
      <c r="O18" s="56" t="s">
        <v>7376</v>
      </c>
      <c r="P18" s="56" t="s">
        <v>7377</v>
      </c>
    </row>
    <row r="19" spans="1:16" x14ac:dyDescent="0.25">
      <c r="A19" s="17" t="s">
        <v>3716</v>
      </c>
      <c r="B19" s="17" t="s">
        <v>3717</v>
      </c>
      <c r="C19" s="17" t="s">
        <v>60</v>
      </c>
      <c r="D19" s="17" t="s">
        <v>7375</v>
      </c>
      <c r="E19" s="17" t="s">
        <v>5169</v>
      </c>
      <c r="F19" s="56" t="s">
        <v>7376</v>
      </c>
      <c r="G19" s="56" t="s">
        <v>7377</v>
      </c>
      <c r="H19" s="17" t="s">
        <v>5170</v>
      </c>
      <c r="I19" s="56" t="s">
        <v>7376</v>
      </c>
      <c r="J19" s="56" t="s">
        <v>7377</v>
      </c>
      <c r="K19" s="17" t="s">
        <v>5171</v>
      </c>
      <c r="L19" s="56" t="s">
        <v>7376</v>
      </c>
      <c r="M19" s="56" t="s">
        <v>7377</v>
      </c>
      <c r="N19" s="17" t="s">
        <v>5172</v>
      </c>
      <c r="O19" s="56" t="s">
        <v>7376</v>
      </c>
      <c r="P19" s="56" t="s">
        <v>7377</v>
      </c>
    </row>
    <row r="20" spans="1:16" x14ac:dyDescent="0.25">
      <c r="A20" s="18" t="s">
        <v>603</v>
      </c>
      <c r="B20" s="18" t="s">
        <v>604</v>
      </c>
      <c r="C20" s="18" t="s">
        <v>60</v>
      </c>
      <c r="D20" s="18" t="s">
        <v>7375</v>
      </c>
      <c r="E20" s="18" t="s">
        <v>5176</v>
      </c>
      <c r="F20" s="56" t="s">
        <v>7376</v>
      </c>
      <c r="G20" s="56" t="s">
        <v>7377</v>
      </c>
      <c r="H20" s="18" t="s">
        <v>5177</v>
      </c>
      <c r="I20" s="56" t="s">
        <v>7376</v>
      </c>
      <c r="J20" s="56" t="s">
        <v>7377</v>
      </c>
      <c r="K20" s="18" t="s">
        <v>5178</v>
      </c>
      <c r="L20" s="56" t="s">
        <v>7376</v>
      </c>
      <c r="M20" s="56" t="s">
        <v>7377</v>
      </c>
      <c r="N20" s="18" t="s">
        <v>5179</v>
      </c>
      <c r="O20" s="56" t="s">
        <v>7376</v>
      </c>
      <c r="P20" s="56" t="s">
        <v>7377</v>
      </c>
    </row>
    <row r="21" spans="1:16" x14ac:dyDescent="0.25">
      <c r="A21" s="17" t="s">
        <v>3728</v>
      </c>
      <c r="B21" s="17" t="s">
        <v>3729</v>
      </c>
      <c r="C21" s="17" t="s">
        <v>60</v>
      </c>
      <c r="D21" s="17" t="s">
        <v>7375</v>
      </c>
      <c r="E21" s="17" t="s">
        <v>5183</v>
      </c>
      <c r="F21" s="56" t="s">
        <v>7376</v>
      </c>
      <c r="G21" s="56" t="s">
        <v>7377</v>
      </c>
      <c r="H21" s="17" t="s">
        <v>5184</v>
      </c>
      <c r="I21" s="56" t="s">
        <v>7376</v>
      </c>
      <c r="J21" s="56" t="s">
        <v>7377</v>
      </c>
      <c r="K21" s="17" t="s">
        <v>5185</v>
      </c>
      <c r="L21" s="56" t="s">
        <v>7376</v>
      </c>
      <c r="M21" s="56" t="s">
        <v>7377</v>
      </c>
      <c r="N21" s="17" t="s">
        <v>5186</v>
      </c>
      <c r="O21" s="56" t="s">
        <v>7376</v>
      </c>
      <c r="P21" s="56" t="s">
        <v>7377</v>
      </c>
    </row>
    <row r="22" spans="1:16" ht="146.25" x14ac:dyDescent="0.25">
      <c r="A22" s="18" t="s">
        <v>5187</v>
      </c>
      <c r="B22" s="18" t="s">
        <v>57</v>
      </c>
      <c r="C22" s="18" t="s">
        <v>60</v>
      </c>
      <c r="D22" s="18" t="s">
        <v>7375</v>
      </c>
      <c r="E22" s="18" t="s">
        <v>5191</v>
      </c>
      <c r="F22" s="56" t="s">
        <v>7376</v>
      </c>
      <c r="G22" s="56" t="s">
        <v>7377</v>
      </c>
      <c r="H22" s="18" t="s">
        <v>5192</v>
      </c>
      <c r="I22" s="56" t="s">
        <v>7376</v>
      </c>
      <c r="J22" s="56" t="s">
        <v>7377</v>
      </c>
      <c r="K22" s="18" t="s">
        <v>5193</v>
      </c>
      <c r="L22" s="56" t="s">
        <v>7376</v>
      </c>
      <c r="M22" s="56" t="s">
        <v>7377</v>
      </c>
      <c r="N22" s="18" t="s">
        <v>5194</v>
      </c>
      <c r="O22" s="56" t="s">
        <v>7376</v>
      </c>
      <c r="P22" s="56" t="s">
        <v>7377</v>
      </c>
    </row>
    <row r="23" spans="1:16" ht="67.5" x14ac:dyDescent="0.25">
      <c r="A23" s="17" t="s">
        <v>5195</v>
      </c>
      <c r="B23" s="17" t="s">
        <v>73</v>
      </c>
      <c r="C23" s="17" t="s">
        <v>60</v>
      </c>
      <c r="D23" s="17" t="s">
        <v>7375</v>
      </c>
      <c r="E23" s="17" t="s">
        <v>5199</v>
      </c>
      <c r="F23" s="56" t="s">
        <v>7376</v>
      </c>
      <c r="G23" s="56" t="s">
        <v>7377</v>
      </c>
      <c r="H23" s="17" t="s">
        <v>5200</v>
      </c>
      <c r="I23" s="56" t="s">
        <v>7376</v>
      </c>
      <c r="J23" s="56" t="s">
        <v>7377</v>
      </c>
      <c r="K23" s="17" t="s">
        <v>5201</v>
      </c>
      <c r="L23" s="56" t="s">
        <v>7376</v>
      </c>
      <c r="M23" s="56" t="s">
        <v>7377</v>
      </c>
      <c r="N23" s="17" t="s">
        <v>5202</v>
      </c>
      <c r="O23" s="56" t="s">
        <v>7376</v>
      </c>
      <c r="P23" s="56" t="s">
        <v>7377</v>
      </c>
    </row>
    <row r="24" spans="1:16" x14ac:dyDescent="0.25">
      <c r="A24" s="18" t="s">
        <v>429</v>
      </c>
      <c r="B24" s="18" t="s">
        <v>430</v>
      </c>
      <c r="C24" s="18" t="s">
        <v>60</v>
      </c>
      <c r="D24" s="18" t="s">
        <v>7375</v>
      </c>
      <c r="E24" s="18" t="s">
        <v>5206</v>
      </c>
      <c r="F24" s="56" t="s">
        <v>7376</v>
      </c>
      <c r="G24" s="56" t="s">
        <v>7377</v>
      </c>
      <c r="H24" s="18" t="s">
        <v>5207</v>
      </c>
      <c r="I24" s="56" t="s">
        <v>7376</v>
      </c>
      <c r="J24" s="56" t="s">
        <v>7377</v>
      </c>
      <c r="K24" s="18" t="s">
        <v>5208</v>
      </c>
      <c r="L24" s="56" t="s">
        <v>7376</v>
      </c>
      <c r="M24" s="56" t="s">
        <v>7377</v>
      </c>
      <c r="N24" s="18" t="s">
        <v>5209</v>
      </c>
      <c r="O24" s="56" t="s">
        <v>7376</v>
      </c>
      <c r="P24" s="56" t="s">
        <v>7377</v>
      </c>
    </row>
    <row r="25" spans="1:16" x14ac:dyDescent="0.25">
      <c r="A25" s="17" t="s">
        <v>347</v>
      </c>
      <c r="B25" s="17" t="s">
        <v>348</v>
      </c>
      <c r="C25" s="17" t="s">
        <v>60</v>
      </c>
      <c r="D25" s="17" t="s">
        <v>7375</v>
      </c>
      <c r="E25" s="17" t="s">
        <v>5212</v>
      </c>
      <c r="F25" s="56" t="s">
        <v>7376</v>
      </c>
      <c r="G25" s="56" t="s">
        <v>7377</v>
      </c>
      <c r="H25" s="17" t="s">
        <v>5213</v>
      </c>
      <c r="I25" s="56" t="s">
        <v>7376</v>
      </c>
      <c r="J25" s="56" t="s">
        <v>7377</v>
      </c>
      <c r="K25" s="17" t="s">
        <v>5214</v>
      </c>
      <c r="L25" s="56" t="s">
        <v>7376</v>
      </c>
      <c r="M25" s="56" t="s">
        <v>7377</v>
      </c>
      <c r="N25" s="17" t="s">
        <v>5215</v>
      </c>
      <c r="O25" s="56" t="s">
        <v>7376</v>
      </c>
      <c r="P25" s="56" t="s">
        <v>7377</v>
      </c>
    </row>
    <row r="26" spans="1:16" x14ac:dyDescent="0.25">
      <c r="A26" s="18" t="s">
        <v>4178</v>
      </c>
      <c r="B26" s="18" t="s">
        <v>4179</v>
      </c>
      <c r="C26" s="18" t="s">
        <v>60</v>
      </c>
      <c r="D26" s="18" t="s">
        <v>7375</v>
      </c>
      <c r="E26" s="18" t="s">
        <v>5218</v>
      </c>
      <c r="F26" s="56" t="s">
        <v>7376</v>
      </c>
      <c r="G26" s="56" t="s">
        <v>7377</v>
      </c>
      <c r="H26" s="18" t="s">
        <v>5219</v>
      </c>
      <c r="I26" s="56" t="s">
        <v>7376</v>
      </c>
      <c r="J26" s="56" t="s">
        <v>7377</v>
      </c>
      <c r="K26" s="18" t="s">
        <v>5220</v>
      </c>
      <c r="L26" s="56" t="s">
        <v>7376</v>
      </c>
      <c r="M26" s="56" t="s">
        <v>7377</v>
      </c>
      <c r="N26" s="18" t="s">
        <v>5221</v>
      </c>
      <c r="O26" s="56" t="s">
        <v>7376</v>
      </c>
      <c r="P26" s="56" t="s">
        <v>7377</v>
      </c>
    </row>
    <row r="27" spans="1:16" ht="22.5" x14ac:dyDescent="0.25">
      <c r="A27" s="17" t="s">
        <v>5222</v>
      </c>
      <c r="B27" s="17" t="s">
        <v>182</v>
      </c>
      <c r="C27" s="17" t="s">
        <v>60</v>
      </c>
      <c r="D27" s="17" t="s">
        <v>7375</v>
      </c>
      <c r="E27" s="17" t="s">
        <v>5224</v>
      </c>
      <c r="F27" s="56" t="s">
        <v>7376</v>
      </c>
      <c r="G27" s="56" t="s">
        <v>7377</v>
      </c>
      <c r="H27" s="17" t="s">
        <v>5225</v>
      </c>
      <c r="I27" s="56" t="s">
        <v>7376</v>
      </c>
      <c r="J27" s="56" t="s">
        <v>7377</v>
      </c>
      <c r="K27" s="17" t="s">
        <v>5226</v>
      </c>
      <c r="L27" s="56" t="s">
        <v>7376</v>
      </c>
      <c r="M27" s="56" t="s">
        <v>7377</v>
      </c>
      <c r="N27" s="17" t="s">
        <v>5227</v>
      </c>
      <c r="O27" s="56" t="s">
        <v>7376</v>
      </c>
      <c r="P27" s="56" t="s">
        <v>7377</v>
      </c>
    </row>
    <row r="28" spans="1:16" x14ac:dyDescent="0.25">
      <c r="A28" s="18" t="s">
        <v>451</v>
      </c>
      <c r="B28" s="18" t="s">
        <v>452</v>
      </c>
      <c r="C28" s="18" t="s">
        <v>60</v>
      </c>
      <c r="D28" s="18" t="s">
        <v>7375</v>
      </c>
      <c r="E28" s="18" t="s">
        <v>5231</v>
      </c>
      <c r="F28" s="56" t="s">
        <v>7376</v>
      </c>
      <c r="G28" s="56" t="s">
        <v>7377</v>
      </c>
      <c r="H28" s="18" t="s">
        <v>5232</v>
      </c>
      <c r="I28" s="56" t="s">
        <v>7376</v>
      </c>
      <c r="J28" s="56" t="s">
        <v>7377</v>
      </c>
      <c r="K28" s="18" t="s">
        <v>5233</v>
      </c>
      <c r="L28" s="56" t="s">
        <v>7376</v>
      </c>
      <c r="M28" s="56" t="s">
        <v>7377</v>
      </c>
      <c r="N28" s="18" t="s">
        <v>5234</v>
      </c>
      <c r="O28" s="56" t="s">
        <v>7376</v>
      </c>
      <c r="P28" s="56" t="s">
        <v>7377</v>
      </c>
    </row>
    <row r="29" spans="1:16" x14ac:dyDescent="0.25">
      <c r="A29" s="17" t="s">
        <v>581</v>
      </c>
      <c r="B29" s="17" t="s">
        <v>582</v>
      </c>
      <c r="C29" s="17" t="s">
        <v>60</v>
      </c>
      <c r="D29" s="17" t="s">
        <v>7375</v>
      </c>
      <c r="E29" s="17" t="s">
        <v>5238</v>
      </c>
      <c r="F29" s="56" t="s">
        <v>7376</v>
      </c>
      <c r="G29" s="56" t="s">
        <v>7377</v>
      </c>
      <c r="H29" s="17" t="s">
        <v>5239</v>
      </c>
      <c r="I29" s="56" t="s">
        <v>7376</v>
      </c>
      <c r="J29" s="56" t="s">
        <v>7377</v>
      </c>
      <c r="K29" s="17" t="s">
        <v>5240</v>
      </c>
      <c r="L29" s="56" t="s">
        <v>7376</v>
      </c>
      <c r="M29" s="56" t="s">
        <v>7377</v>
      </c>
      <c r="N29" s="17" t="s">
        <v>5241</v>
      </c>
      <c r="O29" s="56" t="s">
        <v>7376</v>
      </c>
      <c r="P29" s="56" t="s">
        <v>7377</v>
      </c>
    </row>
    <row r="30" spans="1:16" x14ac:dyDescent="0.25">
      <c r="A30" s="18" t="s">
        <v>5242</v>
      </c>
      <c r="B30" s="18" t="s">
        <v>2654</v>
      </c>
      <c r="C30" s="18" t="s">
        <v>60</v>
      </c>
      <c r="D30" s="18" t="s">
        <v>7375</v>
      </c>
      <c r="E30" s="18" t="s">
        <v>5246</v>
      </c>
      <c r="F30" s="56" t="s">
        <v>7376</v>
      </c>
      <c r="G30" s="56" t="s">
        <v>7377</v>
      </c>
      <c r="H30" s="18" t="s">
        <v>5247</v>
      </c>
      <c r="I30" s="56" t="s">
        <v>7376</v>
      </c>
      <c r="J30" s="56" t="s">
        <v>7377</v>
      </c>
      <c r="K30" s="18" t="s">
        <v>5248</v>
      </c>
      <c r="L30" s="56" t="s">
        <v>7376</v>
      </c>
      <c r="M30" s="56" t="s">
        <v>7377</v>
      </c>
      <c r="N30" s="18" t="s">
        <v>5249</v>
      </c>
      <c r="O30" s="56" t="s">
        <v>7376</v>
      </c>
      <c r="P30" s="56" t="s">
        <v>7377</v>
      </c>
    </row>
    <row r="31" spans="1:16" ht="56.25" x14ac:dyDescent="0.25">
      <c r="A31" s="17" t="s">
        <v>5250</v>
      </c>
      <c r="B31" s="17" t="s">
        <v>226</v>
      </c>
      <c r="C31" s="17" t="s">
        <v>60</v>
      </c>
      <c r="D31" s="17" t="s">
        <v>7375</v>
      </c>
      <c r="E31" s="17" t="s">
        <v>5254</v>
      </c>
      <c r="F31" s="56" t="s">
        <v>7376</v>
      </c>
      <c r="G31" s="56" t="s">
        <v>7377</v>
      </c>
      <c r="H31" s="17" t="s">
        <v>5255</v>
      </c>
      <c r="I31" s="56" t="s">
        <v>7376</v>
      </c>
      <c r="J31" s="56" t="s">
        <v>7377</v>
      </c>
      <c r="K31" s="17" t="s">
        <v>5256</v>
      </c>
      <c r="L31" s="56" t="s">
        <v>7376</v>
      </c>
      <c r="M31" s="56" t="s">
        <v>7377</v>
      </c>
      <c r="N31" s="17" t="s">
        <v>5257</v>
      </c>
      <c r="O31" s="56" t="s">
        <v>7376</v>
      </c>
      <c r="P31" s="56" t="s">
        <v>7377</v>
      </c>
    </row>
    <row r="32" spans="1:16" x14ac:dyDescent="0.25">
      <c r="A32" s="18" t="s">
        <v>3643</v>
      </c>
      <c r="B32" s="18" t="s">
        <v>3644</v>
      </c>
      <c r="C32" s="18" t="s">
        <v>60</v>
      </c>
      <c r="D32" s="18" t="s">
        <v>7375</v>
      </c>
      <c r="E32" s="18" t="s">
        <v>5261</v>
      </c>
      <c r="F32" s="56" t="s">
        <v>7376</v>
      </c>
      <c r="G32" s="56" t="s">
        <v>7377</v>
      </c>
      <c r="H32" s="18" t="s">
        <v>5262</v>
      </c>
      <c r="I32" s="56" t="s">
        <v>7376</v>
      </c>
      <c r="J32" s="56" t="s">
        <v>7377</v>
      </c>
      <c r="K32" s="18" t="s">
        <v>5263</v>
      </c>
      <c r="L32" s="56" t="s">
        <v>7376</v>
      </c>
      <c r="M32" s="56" t="s">
        <v>7377</v>
      </c>
      <c r="N32" s="18" t="s">
        <v>5264</v>
      </c>
      <c r="O32" s="56" t="s">
        <v>7376</v>
      </c>
      <c r="P32" s="56" t="s">
        <v>7377</v>
      </c>
    </row>
    <row r="33" spans="1:16" x14ac:dyDescent="0.25">
      <c r="A33" s="17" t="s">
        <v>4174</v>
      </c>
      <c r="B33" s="17" t="s">
        <v>4175</v>
      </c>
      <c r="C33" s="17" t="s">
        <v>60</v>
      </c>
      <c r="D33" s="17" t="s">
        <v>7375</v>
      </c>
      <c r="E33" s="17" t="s">
        <v>5267</v>
      </c>
      <c r="F33" s="56" t="s">
        <v>7376</v>
      </c>
      <c r="G33" s="56" t="s">
        <v>7377</v>
      </c>
      <c r="H33" s="17" t="s">
        <v>5268</v>
      </c>
      <c r="I33" s="56" t="s">
        <v>7376</v>
      </c>
      <c r="J33" s="56" t="s">
        <v>7377</v>
      </c>
      <c r="K33" s="17" t="s">
        <v>5269</v>
      </c>
      <c r="L33" s="56" t="s">
        <v>7376</v>
      </c>
      <c r="M33" s="56" t="s">
        <v>7377</v>
      </c>
      <c r="N33" s="17" t="s">
        <v>5270</v>
      </c>
      <c r="O33" s="56" t="s">
        <v>7376</v>
      </c>
      <c r="P33" s="56" t="s">
        <v>7377</v>
      </c>
    </row>
    <row r="34" spans="1:16" x14ac:dyDescent="0.25">
      <c r="A34" s="18" t="s">
        <v>5271</v>
      </c>
      <c r="B34" s="18" t="s">
        <v>178</v>
      </c>
      <c r="C34" s="18" t="s">
        <v>60</v>
      </c>
      <c r="D34" s="18" t="s">
        <v>7375</v>
      </c>
      <c r="E34" s="18" t="s">
        <v>5273</v>
      </c>
      <c r="F34" s="56" t="s">
        <v>7376</v>
      </c>
      <c r="G34" s="56" t="s">
        <v>7377</v>
      </c>
      <c r="H34" s="18" t="s">
        <v>5274</v>
      </c>
      <c r="I34" s="56" t="s">
        <v>7376</v>
      </c>
      <c r="J34" s="56" t="s">
        <v>7377</v>
      </c>
      <c r="K34" s="18" t="s">
        <v>5275</v>
      </c>
      <c r="L34" s="56" t="s">
        <v>7376</v>
      </c>
      <c r="M34" s="56" t="s">
        <v>7377</v>
      </c>
      <c r="N34" s="18" t="s">
        <v>5276</v>
      </c>
      <c r="O34" s="56" t="s">
        <v>7376</v>
      </c>
      <c r="P34" s="56" t="s">
        <v>7377</v>
      </c>
    </row>
    <row r="35" spans="1:16" x14ac:dyDescent="0.25">
      <c r="A35" s="17" t="s">
        <v>258</v>
      </c>
      <c r="B35" s="17" t="s">
        <v>259</v>
      </c>
      <c r="C35" s="17" t="s">
        <v>60</v>
      </c>
      <c r="D35" s="17" t="s">
        <v>7375</v>
      </c>
      <c r="E35" s="17" t="s">
        <v>5279</v>
      </c>
      <c r="F35" s="56" t="s">
        <v>7376</v>
      </c>
      <c r="G35" s="56" t="s">
        <v>7377</v>
      </c>
      <c r="H35" s="17" t="s">
        <v>5280</v>
      </c>
      <c r="I35" s="56" t="s">
        <v>7376</v>
      </c>
      <c r="J35" s="56" t="s">
        <v>7377</v>
      </c>
      <c r="K35" s="17" t="s">
        <v>5281</v>
      </c>
      <c r="L35" s="56" t="s">
        <v>7376</v>
      </c>
      <c r="M35" s="56" t="s">
        <v>7377</v>
      </c>
      <c r="N35" s="17" t="s">
        <v>5282</v>
      </c>
      <c r="O35" s="56" t="s">
        <v>7376</v>
      </c>
      <c r="P35" s="56" t="s">
        <v>7377</v>
      </c>
    </row>
    <row r="36" spans="1:16" ht="22.5" x14ac:dyDescent="0.25">
      <c r="A36" s="18" t="s">
        <v>3768</v>
      </c>
      <c r="B36" s="18" t="s">
        <v>3769</v>
      </c>
      <c r="C36" s="18" t="s">
        <v>60</v>
      </c>
      <c r="D36" s="18" t="s">
        <v>7375</v>
      </c>
      <c r="E36" s="18" t="s">
        <v>5286</v>
      </c>
      <c r="F36" s="56" t="s">
        <v>7376</v>
      </c>
      <c r="G36" s="56" t="s">
        <v>7377</v>
      </c>
      <c r="H36" s="18" t="s">
        <v>5287</v>
      </c>
      <c r="I36" s="56" t="s">
        <v>7376</v>
      </c>
      <c r="J36" s="56" t="s">
        <v>7377</v>
      </c>
      <c r="K36" s="18" t="s">
        <v>5288</v>
      </c>
      <c r="L36" s="56" t="s">
        <v>7376</v>
      </c>
      <c r="M36" s="56" t="s">
        <v>7377</v>
      </c>
      <c r="N36" s="18" t="s">
        <v>5289</v>
      </c>
      <c r="O36" s="56" t="s">
        <v>7376</v>
      </c>
      <c r="P36" s="56" t="s">
        <v>7377</v>
      </c>
    </row>
    <row r="37" spans="1:16" ht="22.5" x14ac:dyDescent="0.25">
      <c r="A37" s="17" t="s">
        <v>477</v>
      </c>
      <c r="B37" s="17" t="s">
        <v>478</v>
      </c>
      <c r="C37" s="17" t="s">
        <v>60</v>
      </c>
      <c r="D37" s="17" t="s">
        <v>7375</v>
      </c>
      <c r="E37" s="17" t="s">
        <v>5293</v>
      </c>
      <c r="F37" s="56" t="s">
        <v>7376</v>
      </c>
      <c r="G37" s="56" t="s">
        <v>7377</v>
      </c>
      <c r="H37" s="17" t="s">
        <v>5294</v>
      </c>
      <c r="I37" s="56" t="s">
        <v>7376</v>
      </c>
      <c r="J37" s="56" t="s">
        <v>7377</v>
      </c>
      <c r="K37" s="17" t="s">
        <v>5295</v>
      </c>
      <c r="L37" s="56" t="s">
        <v>7376</v>
      </c>
      <c r="M37" s="56" t="s">
        <v>7377</v>
      </c>
      <c r="N37" s="17" t="s">
        <v>5296</v>
      </c>
      <c r="O37" s="56" t="s">
        <v>7376</v>
      </c>
      <c r="P37" s="56" t="s">
        <v>7377</v>
      </c>
    </row>
    <row r="38" spans="1:16" x14ac:dyDescent="0.25">
      <c r="A38" s="18" t="s">
        <v>3069</v>
      </c>
      <c r="B38" s="18" t="s">
        <v>3070</v>
      </c>
      <c r="C38" s="18" t="s">
        <v>60</v>
      </c>
      <c r="D38" s="18" t="s">
        <v>7375</v>
      </c>
      <c r="E38" s="18" t="s">
        <v>5300</v>
      </c>
      <c r="F38" s="56" t="s">
        <v>7376</v>
      </c>
      <c r="G38" s="56" t="s">
        <v>7377</v>
      </c>
      <c r="H38" s="18" t="s">
        <v>5301</v>
      </c>
      <c r="I38" s="56" t="s">
        <v>7376</v>
      </c>
      <c r="J38" s="56" t="s">
        <v>7377</v>
      </c>
      <c r="K38" s="18" t="s">
        <v>5302</v>
      </c>
      <c r="L38" s="56" t="s">
        <v>7376</v>
      </c>
      <c r="M38" s="56" t="s">
        <v>7377</v>
      </c>
      <c r="N38" s="18" t="s">
        <v>5303</v>
      </c>
      <c r="O38" s="56" t="s">
        <v>7376</v>
      </c>
      <c r="P38" s="56" t="s">
        <v>7377</v>
      </c>
    </row>
    <row r="39" spans="1:16" x14ac:dyDescent="0.25">
      <c r="A39" s="17" t="s">
        <v>3065</v>
      </c>
      <c r="B39" s="17" t="s">
        <v>3066</v>
      </c>
      <c r="C39" s="17" t="s">
        <v>60</v>
      </c>
      <c r="D39" s="17" t="s">
        <v>7375</v>
      </c>
      <c r="E39" s="17" t="s">
        <v>5307</v>
      </c>
      <c r="F39" s="56" t="s">
        <v>7376</v>
      </c>
      <c r="G39" s="56" t="s">
        <v>7377</v>
      </c>
      <c r="H39" s="17" t="s">
        <v>5308</v>
      </c>
      <c r="I39" s="56" t="s">
        <v>7376</v>
      </c>
      <c r="J39" s="56" t="s">
        <v>7377</v>
      </c>
      <c r="K39" s="17" t="s">
        <v>5309</v>
      </c>
      <c r="L39" s="56" t="s">
        <v>7376</v>
      </c>
      <c r="M39" s="56" t="s">
        <v>7377</v>
      </c>
      <c r="N39" s="17" t="s">
        <v>5310</v>
      </c>
      <c r="O39" s="56" t="s">
        <v>7376</v>
      </c>
      <c r="P39" s="56" t="s">
        <v>7377</v>
      </c>
    </row>
    <row r="40" spans="1:16" x14ac:dyDescent="0.25">
      <c r="A40" s="18" t="s">
        <v>5311</v>
      </c>
      <c r="B40" s="18" t="s">
        <v>3128</v>
      </c>
      <c r="C40" s="18" t="s">
        <v>60</v>
      </c>
      <c r="D40" s="18" t="s">
        <v>7375</v>
      </c>
      <c r="E40" s="18" t="s">
        <v>5315</v>
      </c>
      <c r="F40" s="56" t="s">
        <v>7376</v>
      </c>
      <c r="G40" s="56" t="s">
        <v>7377</v>
      </c>
      <c r="H40" s="18" t="s">
        <v>5316</v>
      </c>
      <c r="I40" s="56" t="s">
        <v>7376</v>
      </c>
      <c r="J40" s="56" t="s">
        <v>7377</v>
      </c>
      <c r="K40" s="18" t="s">
        <v>5317</v>
      </c>
      <c r="L40" s="56" t="s">
        <v>7376</v>
      </c>
      <c r="M40" s="56" t="s">
        <v>7377</v>
      </c>
      <c r="N40" s="18" t="s">
        <v>5318</v>
      </c>
      <c r="O40" s="56" t="s">
        <v>7376</v>
      </c>
      <c r="P40" s="56" t="s">
        <v>7377</v>
      </c>
    </row>
    <row r="41" spans="1:16" x14ac:dyDescent="0.25">
      <c r="A41" s="17" t="s">
        <v>5319</v>
      </c>
      <c r="B41" s="17" t="s">
        <v>3132</v>
      </c>
      <c r="C41" s="17" t="s">
        <v>60</v>
      </c>
      <c r="D41" s="17" t="s">
        <v>7375</v>
      </c>
      <c r="E41" s="17" t="s">
        <v>5323</v>
      </c>
      <c r="F41" s="56" t="s">
        <v>7376</v>
      </c>
      <c r="G41" s="56" t="s">
        <v>7377</v>
      </c>
      <c r="H41" s="17" t="s">
        <v>5324</v>
      </c>
      <c r="I41" s="56" t="s">
        <v>7376</v>
      </c>
      <c r="J41" s="56" t="s">
        <v>7377</v>
      </c>
      <c r="K41" s="17" t="s">
        <v>5325</v>
      </c>
      <c r="L41" s="56" t="s">
        <v>7376</v>
      </c>
      <c r="M41" s="56" t="s">
        <v>7377</v>
      </c>
      <c r="N41" s="17" t="s">
        <v>5326</v>
      </c>
      <c r="O41" s="56" t="s">
        <v>7376</v>
      </c>
      <c r="P41" s="56" t="s">
        <v>7377</v>
      </c>
    </row>
    <row r="42" spans="1:16" x14ac:dyDescent="0.25">
      <c r="A42" s="18" t="s">
        <v>5327</v>
      </c>
      <c r="B42" s="18" t="s">
        <v>3648</v>
      </c>
      <c r="C42" s="18" t="s">
        <v>60</v>
      </c>
      <c r="D42" s="18" t="s">
        <v>7375</v>
      </c>
      <c r="E42" s="18" t="s">
        <v>5331</v>
      </c>
      <c r="F42" s="56" t="s">
        <v>7376</v>
      </c>
      <c r="G42" s="56" t="s">
        <v>7377</v>
      </c>
      <c r="H42" s="18" t="s">
        <v>5332</v>
      </c>
      <c r="I42" s="56" t="s">
        <v>7376</v>
      </c>
      <c r="J42" s="56" t="s">
        <v>7377</v>
      </c>
      <c r="K42" s="18" t="s">
        <v>5333</v>
      </c>
      <c r="L42" s="56" t="s">
        <v>7376</v>
      </c>
      <c r="M42" s="56" t="s">
        <v>7377</v>
      </c>
      <c r="N42" s="18" t="s">
        <v>5334</v>
      </c>
      <c r="O42" s="56" t="s">
        <v>7376</v>
      </c>
      <c r="P42" s="56" t="s">
        <v>7377</v>
      </c>
    </row>
    <row r="43" spans="1:16" ht="101.25" x14ac:dyDescent="0.25">
      <c r="A43" s="17" t="s">
        <v>5335</v>
      </c>
      <c r="B43" s="17" t="s">
        <v>77</v>
      </c>
      <c r="C43" s="17" t="s">
        <v>60</v>
      </c>
      <c r="D43" s="17" t="s">
        <v>7375</v>
      </c>
      <c r="E43" s="17" t="s">
        <v>5339</v>
      </c>
      <c r="F43" s="56" t="s">
        <v>7376</v>
      </c>
      <c r="G43" s="56" t="s">
        <v>7377</v>
      </c>
      <c r="H43" s="17" t="s">
        <v>5340</v>
      </c>
      <c r="I43" s="56" t="s">
        <v>7376</v>
      </c>
      <c r="J43" s="56" t="s">
        <v>7377</v>
      </c>
      <c r="K43" s="17" t="s">
        <v>5341</v>
      </c>
      <c r="L43" s="56" t="s">
        <v>7376</v>
      </c>
      <c r="M43" s="56" t="s">
        <v>7377</v>
      </c>
      <c r="N43" s="17" t="s">
        <v>5342</v>
      </c>
      <c r="O43" s="56" t="s">
        <v>7376</v>
      </c>
      <c r="P43" s="56" t="s">
        <v>7377</v>
      </c>
    </row>
    <row r="44" spans="1:16" ht="168.75" x14ac:dyDescent="0.25">
      <c r="A44" s="18" t="s">
        <v>5343</v>
      </c>
      <c r="B44" s="18" t="s">
        <v>89</v>
      </c>
      <c r="C44" s="18" t="s">
        <v>60</v>
      </c>
      <c r="D44" s="18" t="s">
        <v>7375</v>
      </c>
      <c r="E44" s="18" t="s">
        <v>5347</v>
      </c>
      <c r="F44" s="56" t="s">
        <v>7376</v>
      </c>
      <c r="G44" s="56" t="s">
        <v>7377</v>
      </c>
      <c r="H44" s="18" t="s">
        <v>5348</v>
      </c>
      <c r="I44" s="56" t="s">
        <v>7376</v>
      </c>
      <c r="J44" s="56" t="s">
        <v>7377</v>
      </c>
      <c r="K44" s="18" t="s">
        <v>5349</v>
      </c>
      <c r="L44" s="56" t="s">
        <v>7376</v>
      </c>
      <c r="M44" s="56" t="s">
        <v>7377</v>
      </c>
      <c r="N44" s="18" t="s">
        <v>5350</v>
      </c>
      <c r="O44" s="56" t="s">
        <v>7376</v>
      </c>
      <c r="P44" s="56" t="s">
        <v>7377</v>
      </c>
    </row>
    <row r="45" spans="1:16" x14ac:dyDescent="0.25">
      <c r="A45" s="17" t="s">
        <v>4602</v>
      </c>
      <c r="B45" s="17" t="s">
        <v>4603</v>
      </c>
      <c r="C45" s="17" t="s">
        <v>60</v>
      </c>
      <c r="D45" s="17" t="s">
        <v>7375</v>
      </c>
      <c r="E45" s="17" t="s">
        <v>5354</v>
      </c>
      <c r="F45" s="56" t="s">
        <v>7376</v>
      </c>
      <c r="G45" s="56" t="s">
        <v>7377</v>
      </c>
      <c r="H45" s="17" t="s">
        <v>5355</v>
      </c>
      <c r="I45" s="56" t="s">
        <v>7376</v>
      </c>
      <c r="J45" s="56" t="s">
        <v>7377</v>
      </c>
      <c r="K45" s="17" t="s">
        <v>5356</v>
      </c>
      <c r="L45" s="56" t="s">
        <v>7376</v>
      </c>
      <c r="M45" s="56" t="s">
        <v>7377</v>
      </c>
      <c r="N45" s="17" t="s">
        <v>5357</v>
      </c>
      <c r="O45" s="56" t="s">
        <v>7376</v>
      </c>
      <c r="P45" s="56" t="s">
        <v>7377</v>
      </c>
    </row>
    <row r="46" spans="1:16" ht="45" x14ac:dyDescent="0.25">
      <c r="A46" s="18" t="s">
        <v>5358</v>
      </c>
      <c r="B46" s="18" t="s">
        <v>63</v>
      </c>
      <c r="C46" s="18" t="s">
        <v>60</v>
      </c>
      <c r="D46" s="18" t="s">
        <v>7375</v>
      </c>
      <c r="E46" s="18" t="s">
        <v>5362</v>
      </c>
      <c r="F46" s="56" t="s">
        <v>7376</v>
      </c>
      <c r="G46" s="56" t="s">
        <v>7377</v>
      </c>
      <c r="H46" s="18" t="s">
        <v>5363</v>
      </c>
      <c r="I46" s="56" t="s">
        <v>7376</v>
      </c>
      <c r="J46" s="56" t="s">
        <v>7377</v>
      </c>
      <c r="K46" s="18" t="s">
        <v>5364</v>
      </c>
      <c r="L46" s="56" t="s">
        <v>7376</v>
      </c>
      <c r="M46" s="56" t="s">
        <v>7377</v>
      </c>
      <c r="N46" s="18" t="s">
        <v>5365</v>
      </c>
      <c r="O46" s="56" t="s">
        <v>7376</v>
      </c>
      <c r="P46" s="56" t="s">
        <v>7377</v>
      </c>
    </row>
    <row r="47" spans="1:16" ht="56.25" x14ac:dyDescent="0.25">
      <c r="A47" s="17" t="s">
        <v>5366</v>
      </c>
      <c r="B47" s="17" t="s">
        <v>69</v>
      </c>
      <c r="C47" s="17" t="s">
        <v>60</v>
      </c>
      <c r="D47" s="17" t="s">
        <v>7375</v>
      </c>
      <c r="E47" s="17" t="s">
        <v>5370</v>
      </c>
      <c r="F47" s="56" t="s">
        <v>7376</v>
      </c>
      <c r="G47" s="56" t="s">
        <v>7377</v>
      </c>
      <c r="H47" s="17" t="s">
        <v>5371</v>
      </c>
      <c r="I47" s="56" t="s">
        <v>7376</v>
      </c>
      <c r="J47" s="56" t="s">
        <v>7377</v>
      </c>
      <c r="K47" s="17" t="s">
        <v>5372</v>
      </c>
      <c r="L47" s="56" t="s">
        <v>7376</v>
      </c>
      <c r="M47" s="56" t="s">
        <v>7377</v>
      </c>
      <c r="N47" s="17" t="s">
        <v>5373</v>
      </c>
      <c r="O47" s="56" t="s">
        <v>7376</v>
      </c>
      <c r="P47" s="56" t="s">
        <v>7377</v>
      </c>
    </row>
    <row r="48" spans="1:16" x14ac:dyDescent="0.25">
      <c r="A48" s="18" t="s">
        <v>5374</v>
      </c>
      <c r="B48" s="18" t="s">
        <v>436</v>
      </c>
      <c r="C48" s="18" t="s">
        <v>60</v>
      </c>
      <c r="D48" s="18" t="s">
        <v>7375</v>
      </c>
      <c r="E48" s="18" t="s">
        <v>5378</v>
      </c>
      <c r="F48" s="56" t="s">
        <v>7376</v>
      </c>
      <c r="G48" s="56" t="s">
        <v>7377</v>
      </c>
      <c r="H48" s="18" t="s">
        <v>5379</v>
      </c>
      <c r="I48" s="56" t="s">
        <v>7376</v>
      </c>
      <c r="J48" s="56" t="s">
        <v>7377</v>
      </c>
      <c r="K48" s="18" t="s">
        <v>5380</v>
      </c>
      <c r="L48" s="56" t="s">
        <v>7376</v>
      </c>
      <c r="M48" s="56" t="s">
        <v>7377</v>
      </c>
      <c r="N48" s="18" t="s">
        <v>5381</v>
      </c>
      <c r="O48" s="56" t="s">
        <v>7376</v>
      </c>
      <c r="P48" s="56" t="s">
        <v>7377</v>
      </c>
    </row>
    <row r="49" spans="1:16" x14ac:dyDescent="0.25">
      <c r="A49" s="17" t="s">
        <v>5382</v>
      </c>
      <c r="B49" s="17" t="s">
        <v>426</v>
      </c>
      <c r="C49" s="17" t="s">
        <v>60</v>
      </c>
      <c r="D49" s="17" t="s">
        <v>7375</v>
      </c>
      <c r="E49" s="17" t="s">
        <v>5386</v>
      </c>
      <c r="F49" s="56" t="s">
        <v>7376</v>
      </c>
      <c r="G49" s="56" t="s">
        <v>7377</v>
      </c>
      <c r="H49" s="17" t="s">
        <v>5387</v>
      </c>
      <c r="I49" s="56" t="s">
        <v>7376</v>
      </c>
      <c r="J49" s="56" t="s">
        <v>7377</v>
      </c>
      <c r="K49" s="17" t="s">
        <v>5388</v>
      </c>
      <c r="L49" s="56" t="s">
        <v>7376</v>
      </c>
      <c r="M49" s="56" t="s">
        <v>7377</v>
      </c>
      <c r="N49" s="17" t="s">
        <v>5389</v>
      </c>
      <c r="O49" s="56" t="s">
        <v>7376</v>
      </c>
      <c r="P49" s="56" t="s">
        <v>7377</v>
      </c>
    </row>
    <row r="50" spans="1:16" x14ac:dyDescent="0.25">
      <c r="A50" s="18" t="s">
        <v>343</v>
      </c>
      <c r="B50" s="18" t="s">
        <v>344</v>
      </c>
      <c r="C50" s="18" t="s">
        <v>60</v>
      </c>
      <c r="D50" s="18" t="s">
        <v>7375</v>
      </c>
      <c r="E50" s="18" t="s">
        <v>5392</v>
      </c>
      <c r="F50" s="56" t="s">
        <v>7376</v>
      </c>
      <c r="G50" s="56" t="s">
        <v>7377</v>
      </c>
      <c r="H50" s="18" t="s">
        <v>5393</v>
      </c>
      <c r="I50" s="56" t="s">
        <v>7376</v>
      </c>
      <c r="J50" s="56" t="s">
        <v>7377</v>
      </c>
      <c r="K50" s="18" t="s">
        <v>5394</v>
      </c>
      <c r="L50" s="56" t="s">
        <v>7376</v>
      </c>
      <c r="M50" s="56" t="s">
        <v>7377</v>
      </c>
      <c r="N50" s="18" t="s">
        <v>5395</v>
      </c>
      <c r="O50" s="56" t="s">
        <v>7376</v>
      </c>
      <c r="P50" s="56" t="s">
        <v>7377</v>
      </c>
    </row>
    <row r="51" spans="1:16" x14ac:dyDescent="0.25">
      <c r="A51" s="17" t="s">
        <v>5396</v>
      </c>
      <c r="B51" s="17" t="s">
        <v>2582</v>
      </c>
      <c r="C51" s="17" t="s">
        <v>60</v>
      </c>
      <c r="D51" s="17" t="s">
        <v>7375</v>
      </c>
      <c r="E51" s="17" t="s">
        <v>5398</v>
      </c>
      <c r="F51" s="56" t="s">
        <v>7376</v>
      </c>
      <c r="G51" s="56" t="s">
        <v>7377</v>
      </c>
      <c r="H51" s="17" t="s">
        <v>5399</v>
      </c>
      <c r="I51" s="56" t="s">
        <v>7376</v>
      </c>
      <c r="J51" s="56" t="s">
        <v>7377</v>
      </c>
      <c r="K51" s="17" t="s">
        <v>5400</v>
      </c>
      <c r="L51" s="56" t="s">
        <v>7376</v>
      </c>
      <c r="M51" s="56" t="s">
        <v>7377</v>
      </c>
      <c r="N51" s="17" t="s">
        <v>5401</v>
      </c>
      <c r="O51" s="56" t="s">
        <v>7376</v>
      </c>
      <c r="P51" s="56" t="s">
        <v>7377</v>
      </c>
    </row>
    <row r="52" spans="1:16" x14ac:dyDescent="0.25">
      <c r="A52" s="18" t="s">
        <v>5402</v>
      </c>
      <c r="B52" s="18" t="s">
        <v>1767</v>
      </c>
      <c r="C52" s="18" t="s">
        <v>60</v>
      </c>
      <c r="D52" s="18" t="s">
        <v>7375</v>
      </c>
      <c r="E52" s="18" t="s">
        <v>5406</v>
      </c>
      <c r="F52" s="56" t="s">
        <v>7376</v>
      </c>
      <c r="G52" s="56" t="s">
        <v>7377</v>
      </c>
      <c r="H52" s="18" t="s">
        <v>5407</v>
      </c>
      <c r="I52" s="56" t="s">
        <v>7376</v>
      </c>
      <c r="J52" s="56" t="s">
        <v>7377</v>
      </c>
      <c r="K52" s="18" t="s">
        <v>5408</v>
      </c>
      <c r="L52" s="56" t="s">
        <v>7376</v>
      </c>
      <c r="M52" s="56" t="s">
        <v>7377</v>
      </c>
      <c r="N52" s="18" t="s">
        <v>5409</v>
      </c>
      <c r="O52" s="56" t="s">
        <v>7376</v>
      </c>
      <c r="P52" s="56" t="s">
        <v>7377</v>
      </c>
    </row>
    <row r="53" spans="1:16" x14ac:dyDescent="0.25">
      <c r="A53" s="17" t="s">
        <v>1758</v>
      </c>
      <c r="B53" s="17" t="s">
        <v>1759</v>
      </c>
      <c r="C53" s="17" t="s">
        <v>60</v>
      </c>
      <c r="D53" s="17" t="s">
        <v>7375</v>
      </c>
      <c r="E53" s="17" t="s">
        <v>5413</v>
      </c>
      <c r="F53" s="56" t="s">
        <v>7376</v>
      </c>
      <c r="G53" s="56" t="s">
        <v>7377</v>
      </c>
      <c r="H53" s="17" t="s">
        <v>5414</v>
      </c>
      <c r="I53" s="56" t="s">
        <v>7376</v>
      </c>
      <c r="J53" s="56" t="s">
        <v>7377</v>
      </c>
      <c r="K53" s="17" t="s">
        <v>5415</v>
      </c>
      <c r="L53" s="56" t="s">
        <v>7376</v>
      </c>
      <c r="M53" s="56" t="s">
        <v>7377</v>
      </c>
      <c r="N53" s="17" t="s">
        <v>5416</v>
      </c>
      <c r="O53" s="56" t="s">
        <v>7376</v>
      </c>
      <c r="P53" s="56" t="s">
        <v>7377</v>
      </c>
    </row>
    <row r="54" spans="1:16" x14ac:dyDescent="0.25">
      <c r="A54" s="18" t="s">
        <v>1601</v>
      </c>
      <c r="B54" s="18" t="s">
        <v>1602</v>
      </c>
      <c r="C54" s="18" t="s">
        <v>60</v>
      </c>
      <c r="D54" s="18" t="s">
        <v>7375</v>
      </c>
      <c r="E54" s="18" t="s">
        <v>5420</v>
      </c>
      <c r="F54" s="56" t="s">
        <v>7376</v>
      </c>
      <c r="G54" s="56" t="s">
        <v>7377</v>
      </c>
      <c r="H54" s="18" t="s">
        <v>5421</v>
      </c>
      <c r="I54" s="56" t="s">
        <v>7376</v>
      </c>
      <c r="J54" s="56" t="s">
        <v>7377</v>
      </c>
      <c r="K54" s="18" t="s">
        <v>5422</v>
      </c>
      <c r="L54" s="56" t="s">
        <v>7376</v>
      </c>
      <c r="M54" s="56" t="s">
        <v>7377</v>
      </c>
      <c r="N54" s="18" t="s">
        <v>5423</v>
      </c>
      <c r="O54" s="56" t="s">
        <v>7376</v>
      </c>
      <c r="P54" s="56" t="s">
        <v>7377</v>
      </c>
    </row>
    <row r="55" spans="1:16" x14ac:dyDescent="0.25">
      <c r="A55" s="17" t="s">
        <v>1776</v>
      </c>
      <c r="B55" s="17" t="s">
        <v>1777</v>
      </c>
      <c r="C55" s="17" t="s">
        <v>60</v>
      </c>
      <c r="D55" s="17" t="s">
        <v>7375</v>
      </c>
      <c r="E55" s="17" t="s">
        <v>5427</v>
      </c>
      <c r="F55" s="56" t="s">
        <v>7376</v>
      </c>
      <c r="G55" s="56" t="s">
        <v>7377</v>
      </c>
      <c r="H55" s="17" t="s">
        <v>5428</v>
      </c>
      <c r="I55" s="56" t="s">
        <v>7376</v>
      </c>
      <c r="J55" s="56" t="s">
        <v>7377</v>
      </c>
      <c r="K55" s="17" t="s">
        <v>5429</v>
      </c>
      <c r="L55" s="56" t="s">
        <v>7376</v>
      </c>
      <c r="M55" s="56" t="s">
        <v>7377</v>
      </c>
      <c r="N55" s="17" t="s">
        <v>5430</v>
      </c>
      <c r="O55" s="56" t="s">
        <v>7376</v>
      </c>
      <c r="P55" s="56" t="s">
        <v>7377</v>
      </c>
    </row>
    <row r="56" spans="1:16" ht="22.5" x14ac:dyDescent="0.25">
      <c r="A56" s="18" t="s">
        <v>5431</v>
      </c>
      <c r="B56" s="18" t="s">
        <v>1817</v>
      </c>
      <c r="C56" s="18" t="s">
        <v>60</v>
      </c>
      <c r="D56" s="18" t="s">
        <v>7375</v>
      </c>
      <c r="E56" s="18" t="s">
        <v>5435</v>
      </c>
      <c r="F56" s="56" t="s">
        <v>7376</v>
      </c>
      <c r="G56" s="56" t="s">
        <v>7377</v>
      </c>
      <c r="H56" s="18" t="s">
        <v>5436</v>
      </c>
      <c r="I56" s="56" t="s">
        <v>7376</v>
      </c>
      <c r="J56" s="56" t="s">
        <v>7377</v>
      </c>
      <c r="K56" s="18" t="s">
        <v>5437</v>
      </c>
      <c r="L56" s="56" t="s">
        <v>7376</v>
      </c>
      <c r="M56" s="56" t="s">
        <v>7377</v>
      </c>
      <c r="N56" s="18" t="s">
        <v>5438</v>
      </c>
      <c r="O56" s="56" t="s">
        <v>7376</v>
      </c>
      <c r="P56" s="56" t="s">
        <v>7377</v>
      </c>
    </row>
    <row r="57" spans="1:16" ht="78.75" x14ac:dyDescent="0.25">
      <c r="A57" s="17" t="s">
        <v>5439</v>
      </c>
      <c r="B57" s="17" t="s">
        <v>2137</v>
      </c>
      <c r="C57" s="17" t="s">
        <v>60</v>
      </c>
      <c r="D57" s="17" t="s">
        <v>7375</v>
      </c>
      <c r="E57" s="17" t="s">
        <v>5443</v>
      </c>
      <c r="F57" s="56" t="s">
        <v>7376</v>
      </c>
      <c r="G57" s="56" t="s">
        <v>7377</v>
      </c>
      <c r="H57" s="17" t="s">
        <v>5444</v>
      </c>
      <c r="I57" s="56" t="s">
        <v>7376</v>
      </c>
      <c r="J57" s="56" t="s">
        <v>7377</v>
      </c>
      <c r="K57" s="17" t="s">
        <v>5445</v>
      </c>
      <c r="L57" s="56" t="s">
        <v>7376</v>
      </c>
      <c r="M57" s="56" t="s">
        <v>7377</v>
      </c>
      <c r="N57" s="17" t="s">
        <v>5446</v>
      </c>
      <c r="O57" s="56" t="s">
        <v>7376</v>
      </c>
      <c r="P57" s="56" t="s">
        <v>7377</v>
      </c>
    </row>
    <row r="58" spans="1:16" x14ac:dyDescent="0.25">
      <c r="A58" s="18" t="s">
        <v>5447</v>
      </c>
      <c r="B58" s="18" t="s">
        <v>2379</v>
      </c>
      <c r="C58" s="18" t="s">
        <v>60</v>
      </c>
      <c r="D58" s="18" t="s">
        <v>7375</v>
      </c>
      <c r="E58" s="18" t="s">
        <v>5451</v>
      </c>
      <c r="F58" s="56" t="s">
        <v>7376</v>
      </c>
      <c r="G58" s="56" t="s">
        <v>7377</v>
      </c>
      <c r="H58" s="18" t="s">
        <v>5452</v>
      </c>
      <c r="I58" s="56" t="s">
        <v>7376</v>
      </c>
      <c r="J58" s="56" t="s">
        <v>7377</v>
      </c>
      <c r="K58" s="18" t="s">
        <v>5453</v>
      </c>
      <c r="L58" s="56" t="s">
        <v>7376</v>
      </c>
      <c r="M58" s="56" t="s">
        <v>7377</v>
      </c>
      <c r="N58" s="18" t="s">
        <v>5454</v>
      </c>
      <c r="O58" s="56" t="s">
        <v>7376</v>
      </c>
      <c r="P58" s="56" t="s">
        <v>7377</v>
      </c>
    </row>
    <row r="59" spans="1:16" ht="33.75" x14ac:dyDescent="0.25">
      <c r="A59" s="17" t="s">
        <v>5455</v>
      </c>
      <c r="B59" s="17" t="s">
        <v>1727</v>
      </c>
      <c r="C59" s="17" t="s">
        <v>60</v>
      </c>
      <c r="D59" s="17" t="s">
        <v>7375</v>
      </c>
      <c r="E59" s="17" t="s">
        <v>5459</v>
      </c>
      <c r="F59" s="56" t="s">
        <v>7376</v>
      </c>
      <c r="G59" s="56" t="s">
        <v>7377</v>
      </c>
      <c r="H59" s="17" t="s">
        <v>5460</v>
      </c>
      <c r="I59" s="56" t="s">
        <v>7376</v>
      </c>
      <c r="J59" s="56" t="s">
        <v>7377</v>
      </c>
      <c r="K59" s="17" t="s">
        <v>5461</v>
      </c>
      <c r="L59" s="56" t="s">
        <v>7376</v>
      </c>
      <c r="M59" s="56" t="s">
        <v>7377</v>
      </c>
      <c r="N59" s="17" t="s">
        <v>5462</v>
      </c>
      <c r="O59" s="56" t="s">
        <v>7376</v>
      </c>
      <c r="P59" s="56" t="s">
        <v>7377</v>
      </c>
    </row>
    <row r="60" spans="1:16" ht="22.5" x14ac:dyDescent="0.25">
      <c r="A60" s="18" t="s">
        <v>5463</v>
      </c>
      <c r="B60" s="18" t="s">
        <v>2696</v>
      </c>
      <c r="C60" s="18" t="s">
        <v>60</v>
      </c>
      <c r="D60" s="18" t="s">
        <v>7375</v>
      </c>
      <c r="E60" s="18" t="s">
        <v>5467</v>
      </c>
      <c r="F60" s="56" t="s">
        <v>7376</v>
      </c>
      <c r="G60" s="56" t="s">
        <v>7377</v>
      </c>
      <c r="H60" s="18" t="s">
        <v>5468</v>
      </c>
      <c r="I60" s="56" t="s">
        <v>7376</v>
      </c>
      <c r="J60" s="56" t="s">
        <v>7377</v>
      </c>
      <c r="K60" s="18" t="s">
        <v>5469</v>
      </c>
      <c r="L60" s="56" t="s">
        <v>7376</v>
      </c>
      <c r="M60" s="56" t="s">
        <v>7377</v>
      </c>
      <c r="N60" s="18" t="s">
        <v>5470</v>
      </c>
      <c r="O60" s="56" t="s">
        <v>7376</v>
      </c>
      <c r="P60" s="56" t="s">
        <v>7377</v>
      </c>
    </row>
    <row r="61" spans="1:16" x14ac:dyDescent="0.25">
      <c r="A61" s="17" t="s">
        <v>3263</v>
      </c>
      <c r="B61" s="17" t="s">
        <v>3264</v>
      </c>
      <c r="C61" s="17" t="s">
        <v>60</v>
      </c>
      <c r="D61" s="17" t="s">
        <v>7375</v>
      </c>
      <c r="E61" s="17" t="s">
        <v>5474</v>
      </c>
      <c r="F61" s="56" t="s">
        <v>7376</v>
      </c>
      <c r="G61" s="56" t="s">
        <v>7377</v>
      </c>
      <c r="H61" s="17" t="s">
        <v>5475</v>
      </c>
      <c r="I61" s="56" t="s">
        <v>7376</v>
      </c>
      <c r="J61" s="56" t="s">
        <v>7377</v>
      </c>
      <c r="K61" s="17" t="s">
        <v>5476</v>
      </c>
      <c r="L61" s="56" t="s">
        <v>7376</v>
      </c>
      <c r="M61" s="56" t="s">
        <v>7377</v>
      </c>
      <c r="N61" s="17" t="s">
        <v>5477</v>
      </c>
      <c r="O61" s="56" t="s">
        <v>7376</v>
      </c>
      <c r="P61" s="56" t="s">
        <v>7377</v>
      </c>
    </row>
    <row r="62" spans="1:16" x14ac:dyDescent="0.25">
      <c r="A62" s="18" t="s">
        <v>3061</v>
      </c>
      <c r="B62" s="18" t="s">
        <v>3062</v>
      </c>
      <c r="C62" s="18" t="s">
        <v>60</v>
      </c>
      <c r="D62" s="18" t="s">
        <v>7375</v>
      </c>
      <c r="E62" s="18" t="s">
        <v>5481</v>
      </c>
      <c r="F62" s="56" t="s">
        <v>7376</v>
      </c>
      <c r="G62" s="56" t="s">
        <v>7377</v>
      </c>
      <c r="H62" s="18" t="s">
        <v>5482</v>
      </c>
      <c r="I62" s="56" t="s">
        <v>7376</v>
      </c>
      <c r="J62" s="56" t="s">
        <v>7377</v>
      </c>
      <c r="K62" s="18" t="s">
        <v>5483</v>
      </c>
      <c r="L62" s="56" t="s">
        <v>7376</v>
      </c>
      <c r="M62" s="56" t="s">
        <v>7377</v>
      </c>
      <c r="N62" s="18" t="s">
        <v>5484</v>
      </c>
      <c r="O62" s="56" t="s">
        <v>7376</v>
      </c>
      <c r="P62" s="56" t="s">
        <v>7377</v>
      </c>
    </row>
    <row r="63" spans="1:16" x14ac:dyDescent="0.25">
      <c r="A63" s="17" t="s">
        <v>3944</v>
      </c>
      <c r="B63" s="17" t="s">
        <v>3945</v>
      </c>
      <c r="C63" s="17" t="s">
        <v>60</v>
      </c>
      <c r="D63" s="17" t="s">
        <v>7375</v>
      </c>
      <c r="E63" s="17" t="s">
        <v>5488</v>
      </c>
      <c r="F63" s="56" t="s">
        <v>7376</v>
      </c>
      <c r="G63" s="56" t="s">
        <v>7377</v>
      </c>
      <c r="H63" s="17" t="s">
        <v>5489</v>
      </c>
      <c r="I63" s="56" t="s">
        <v>7376</v>
      </c>
      <c r="J63" s="56" t="s">
        <v>7377</v>
      </c>
      <c r="K63" s="17" t="s">
        <v>5490</v>
      </c>
      <c r="L63" s="56" t="s">
        <v>7376</v>
      </c>
      <c r="M63" s="56" t="s">
        <v>7377</v>
      </c>
      <c r="N63" s="17" t="s">
        <v>5491</v>
      </c>
      <c r="O63" s="56" t="s">
        <v>7376</v>
      </c>
      <c r="P63" s="56" t="s">
        <v>7377</v>
      </c>
    </row>
    <row r="64" spans="1:16" x14ac:dyDescent="0.25">
      <c r="A64" s="18" t="s">
        <v>4164</v>
      </c>
      <c r="B64" s="18" t="s">
        <v>4165</v>
      </c>
      <c r="C64" s="18" t="s">
        <v>60</v>
      </c>
      <c r="D64" s="18" t="s">
        <v>7375</v>
      </c>
      <c r="E64" s="18" t="s">
        <v>5494</v>
      </c>
      <c r="F64" s="56" t="s">
        <v>7376</v>
      </c>
      <c r="G64" s="56" t="s">
        <v>7377</v>
      </c>
      <c r="H64" s="18" t="s">
        <v>5495</v>
      </c>
      <c r="I64" s="56" t="s">
        <v>7376</v>
      </c>
      <c r="J64" s="56" t="s">
        <v>7377</v>
      </c>
      <c r="K64" s="18" t="s">
        <v>5496</v>
      </c>
      <c r="L64" s="56" t="s">
        <v>7376</v>
      </c>
      <c r="M64" s="56" t="s">
        <v>7377</v>
      </c>
      <c r="N64" s="18" t="s">
        <v>5497</v>
      </c>
      <c r="O64" s="56" t="s">
        <v>7376</v>
      </c>
      <c r="P64" s="56" t="s">
        <v>7377</v>
      </c>
    </row>
    <row r="65" spans="1:16" x14ac:dyDescent="0.25">
      <c r="A65" s="17" t="s">
        <v>4170</v>
      </c>
      <c r="B65" s="17" t="s">
        <v>4171</v>
      </c>
      <c r="C65" s="17" t="s">
        <v>60</v>
      </c>
      <c r="D65" s="17" t="s">
        <v>7375</v>
      </c>
      <c r="E65" s="17" t="s">
        <v>5500</v>
      </c>
      <c r="F65" s="56" t="s">
        <v>7376</v>
      </c>
      <c r="G65" s="56" t="s">
        <v>7377</v>
      </c>
      <c r="H65" s="17" t="s">
        <v>5501</v>
      </c>
      <c r="I65" s="56" t="s">
        <v>7376</v>
      </c>
      <c r="J65" s="56" t="s">
        <v>7377</v>
      </c>
      <c r="K65" s="17" t="s">
        <v>5502</v>
      </c>
      <c r="L65" s="56" t="s">
        <v>7376</v>
      </c>
      <c r="M65" s="56" t="s">
        <v>7377</v>
      </c>
      <c r="N65" s="17" t="s">
        <v>5503</v>
      </c>
      <c r="O65" s="56" t="s">
        <v>7376</v>
      </c>
      <c r="P65" s="56" t="s">
        <v>7377</v>
      </c>
    </row>
    <row r="66" spans="1:16" x14ac:dyDescent="0.25">
      <c r="A66" s="18" t="s">
        <v>159</v>
      </c>
      <c r="B66" s="18" t="s">
        <v>160</v>
      </c>
      <c r="C66" s="18" t="s">
        <v>60</v>
      </c>
      <c r="D66" s="18" t="s">
        <v>7375</v>
      </c>
      <c r="E66" s="18" t="s">
        <v>5505</v>
      </c>
      <c r="F66" s="56" t="s">
        <v>7376</v>
      </c>
      <c r="G66" s="56" t="s">
        <v>7377</v>
      </c>
      <c r="H66" s="18" t="s">
        <v>5506</v>
      </c>
      <c r="I66" s="56" t="s">
        <v>7376</v>
      </c>
      <c r="J66" s="56" t="s">
        <v>7377</v>
      </c>
      <c r="K66" s="18" t="s">
        <v>5507</v>
      </c>
      <c r="L66" s="56" t="s">
        <v>7376</v>
      </c>
      <c r="M66" s="56" t="s">
        <v>7377</v>
      </c>
      <c r="N66" s="18" t="s">
        <v>5508</v>
      </c>
      <c r="O66" s="56" t="s">
        <v>7376</v>
      </c>
      <c r="P66" s="56" t="s">
        <v>7377</v>
      </c>
    </row>
    <row r="67" spans="1:16" x14ac:dyDescent="0.25">
      <c r="A67" s="17" t="s">
        <v>2307</v>
      </c>
      <c r="B67" s="17" t="s">
        <v>2308</v>
      </c>
      <c r="C67" s="17" t="s">
        <v>60</v>
      </c>
      <c r="D67" s="17" t="s">
        <v>7375</v>
      </c>
      <c r="E67" s="17" t="s">
        <v>5511</v>
      </c>
      <c r="F67" s="56" t="s">
        <v>7376</v>
      </c>
      <c r="G67" s="56" t="s">
        <v>7377</v>
      </c>
      <c r="H67" s="17" t="s">
        <v>5512</v>
      </c>
      <c r="I67" s="56" t="s">
        <v>7376</v>
      </c>
      <c r="J67" s="56" t="s">
        <v>7377</v>
      </c>
      <c r="K67" s="17" t="s">
        <v>5513</v>
      </c>
      <c r="L67" s="56" t="s">
        <v>7376</v>
      </c>
      <c r="M67" s="56" t="s">
        <v>7377</v>
      </c>
      <c r="N67" s="17" t="s">
        <v>5514</v>
      </c>
      <c r="O67" s="56" t="s">
        <v>7376</v>
      </c>
      <c r="P67" s="56" t="s">
        <v>7377</v>
      </c>
    </row>
    <row r="68" spans="1:16" x14ac:dyDescent="0.25">
      <c r="A68" s="18" t="s">
        <v>4142</v>
      </c>
      <c r="B68" s="18" t="s">
        <v>4143</v>
      </c>
      <c r="C68" s="18" t="s">
        <v>60</v>
      </c>
      <c r="D68" s="18" t="s">
        <v>7375</v>
      </c>
      <c r="E68" s="18" t="s">
        <v>5516</v>
      </c>
      <c r="F68" s="56" t="s">
        <v>7376</v>
      </c>
      <c r="G68" s="56" t="s">
        <v>7377</v>
      </c>
      <c r="H68" s="18" t="s">
        <v>5517</v>
      </c>
      <c r="I68" s="56" t="s">
        <v>7376</v>
      </c>
      <c r="J68" s="56" t="s">
        <v>7377</v>
      </c>
      <c r="K68" s="18" t="s">
        <v>5518</v>
      </c>
      <c r="L68" s="56" t="s">
        <v>7376</v>
      </c>
      <c r="M68" s="56" t="s">
        <v>7377</v>
      </c>
      <c r="N68" s="18" t="s">
        <v>5519</v>
      </c>
      <c r="O68" s="56" t="s">
        <v>7376</v>
      </c>
      <c r="P68" s="56" t="s">
        <v>7377</v>
      </c>
    </row>
    <row r="69" spans="1:16" x14ac:dyDescent="0.25">
      <c r="A69" s="17" t="s">
        <v>4516</v>
      </c>
      <c r="B69" s="17" t="s">
        <v>4517</v>
      </c>
      <c r="C69" s="17" t="s">
        <v>60</v>
      </c>
      <c r="D69" s="17" t="s">
        <v>7375</v>
      </c>
      <c r="E69" s="17" t="s">
        <v>5521</v>
      </c>
      <c r="F69" s="56" t="s">
        <v>7376</v>
      </c>
      <c r="G69" s="56" t="s">
        <v>7377</v>
      </c>
      <c r="H69" s="17" t="s">
        <v>5522</v>
      </c>
      <c r="I69" s="56" t="s">
        <v>7376</v>
      </c>
      <c r="J69" s="56" t="s">
        <v>7377</v>
      </c>
      <c r="K69" s="17" t="s">
        <v>5523</v>
      </c>
      <c r="L69" s="56" t="s">
        <v>7376</v>
      </c>
      <c r="M69" s="56" t="s">
        <v>7377</v>
      </c>
      <c r="N69" s="17" t="s">
        <v>5524</v>
      </c>
      <c r="O69" s="56" t="s">
        <v>7376</v>
      </c>
      <c r="P69" s="56" t="s">
        <v>7377</v>
      </c>
    </row>
    <row r="70" spans="1:16" x14ac:dyDescent="0.25">
      <c r="A70" s="18" t="s">
        <v>1865</v>
      </c>
      <c r="B70" s="18" t="s">
        <v>1866</v>
      </c>
      <c r="C70" s="18" t="s">
        <v>60</v>
      </c>
      <c r="D70" s="18" t="s">
        <v>7375</v>
      </c>
      <c r="E70" s="18" t="s">
        <v>5526</v>
      </c>
      <c r="F70" s="56" t="s">
        <v>7376</v>
      </c>
      <c r="G70" s="56" t="s">
        <v>7377</v>
      </c>
      <c r="H70" s="18" t="s">
        <v>5527</v>
      </c>
      <c r="I70" s="56" t="s">
        <v>7376</v>
      </c>
      <c r="J70" s="56" t="s">
        <v>7377</v>
      </c>
      <c r="K70" s="18" t="s">
        <v>5528</v>
      </c>
      <c r="L70" s="56" t="s">
        <v>7376</v>
      </c>
      <c r="M70" s="56" t="s">
        <v>7377</v>
      </c>
      <c r="N70" s="18" t="s">
        <v>5529</v>
      </c>
      <c r="O70" s="56" t="s">
        <v>7376</v>
      </c>
      <c r="P70" s="56" t="s">
        <v>7377</v>
      </c>
    </row>
    <row r="71" spans="1:16" x14ac:dyDescent="0.25">
      <c r="A71" s="17" t="s">
        <v>3924</v>
      </c>
      <c r="B71" s="17" t="s">
        <v>3925</v>
      </c>
      <c r="C71" s="17" t="s">
        <v>60</v>
      </c>
      <c r="D71" s="17" t="s">
        <v>7375</v>
      </c>
      <c r="E71" s="17" t="s">
        <v>5533</v>
      </c>
      <c r="F71" s="56" t="s">
        <v>7376</v>
      </c>
      <c r="G71" s="56" t="s">
        <v>7377</v>
      </c>
      <c r="H71" s="17" t="s">
        <v>5534</v>
      </c>
      <c r="I71" s="56" t="s">
        <v>7376</v>
      </c>
      <c r="J71" s="56" t="s">
        <v>7377</v>
      </c>
      <c r="K71" s="17" t="s">
        <v>5535</v>
      </c>
      <c r="L71" s="56" t="s">
        <v>7376</v>
      </c>
      <c r="M71" s="56" t="s">
        <v>7377</v>
      </c>
      <c r="N71" s="17" t="s">
        <v>5536</v>
      </c>
      <c r="O71" s="56" t="s">
        <v>7376</v>
      </c>
      <c r="P71" s="56" t="s">
        <v>7377</v>
      </c>
    </row>
    <row r="72" spans="1:16" ht="90" x14ac:dyDescent="0.25">
      <c r="A72" s="18" t="s">
        <v>5537</v>
      </c>
      <c r="B72" s="18" t="s">
        <v>830</v>
      </c>
      <c r="C72" s="18" t="s">
        <v>60</v>
      </c>
      <c r="D72" s="18" t="s">
        <v>7375</v>
      </c>
      <c r="E72" s="18" t="s">
        <v>5541</v>
      </c>
      <c r="F72" s="56" t="s">
        <v>7376</v>
      </c>
      <c r="G72" s="56" t="s">
        <v>7377</v>
      </c>
      <c r="H72" s="18" t="s">
        <v>5542</v>
      </c>
      <c r="I72" s="56" t="s">
        <v>7376</v>
      </c>
      <c r="J72" s="56" t="s">
        <v>7377</v>
      </c>
      <c r="K72" s="18" t="s">
        <v>5543</v>
      </c>
      <c r="L72" s="56" t="s">
        <v>7376</v>
      </c>
      <c r="M72" s="56" t="s">
        <v>7377</v>
      </c>
      <c r="N72" s="18" t="s">
        <v>5544</v>
      </c>
      <c r="O72" s="56" t="s">
        <v>7376</v>
      </c>
      <c r="P72" s="56" t="s">
        <v>7377</v>
      </c>
    </row>
    <row r="73" spans="1:16" ht="22.5" x14ac:dyDescent="0.25">
      <c r="A73" s="17" t="s">
        <v>5545</v>
      </c>
      <c r="B73" s="17" t="s">
        <v>1723</v>
      </c>
      <c r="C73" s="17" t="s">
        <v>60</v>
      </c>
      <c r="D73" s="17" t="s">
        <v>7375</v>
      </c>
      <c r="E73" s="17" t="s">
        <v>5549</v>
      </c>
      <c r="F73" s="56" t="s">
        <v>7376</v>
      </c>
      <c r="G73" s="56" t="s">
        <v>7377</v>
      </c>
      <c r="H73" s="17" t="s">
        <v>5550</v>
      </c>
      <c r="I73" s="56" t="s">
        <v>7376</v>
      </c>
      <c r="J73" s="56" t="s">
        <v>7377</v>
      </c>
      <c r="K73" s="17" t="s">
        <v>5551</v>
      </c>
      <c r="L73" s="56" t="s">
        <v>7376</v>
      </c>
      <c r="M73" s="56" t="s">
        <v>7377</v>
      </c>
      <c r="N73" s="17" t="s">
        <v>5552</v>
      </c>
      <c r="O73" s="56" t="s">
        <v>7376</v>
      </c>
      <c r="P73" s="56" t="s">
        <v>7377</v>
      </c>
    </row>
    <row r="74" spans="1:16" ht="22.5" x14ac:dyDescent="0.25">
      <c r="A74" s="18" t="s">
        <v>5553</v>
      </c>
      <c r="B74" s="18" t="s">
        <v>1884</v>
      </c>
      <c r="C74" s="18" t="s">
        <v>60</v>
      </c>
      <c r="D74" s="18" t="s">
        <v>7375</v>
      </c>
      <c r="E74" s="18" t="s">
        <v>5557</v>
      </c>
      <c r="F74" s="56" t="s">
        <v>7376</v>
      </c>
      <c r="G74" s="56" t="s">
        <v>7377</v>
      </c>
      <c r="H74" s="18" t="s">
        <v>5558</v>
      </c>
      <c r="I74" s="56" t="s">
        <v>7376</v>
      </c>
      <c r="J74" s="56" t="s">
        <v>7377</v>
      </c>
      <c r="K74" s="18" t="s">
        <v>5559</v>
      </c>
      <c r="L74" s="56" t="s">
        <v>7376</v>
      </c>
      <c r="M74" s="56" t="s">
        <v>7377</v>
      </c>
      <c r="N74" s="18" t="s">
        <v>5560</v>
      </c>
      <c r="O74" s="56" t="s">
        <v>7376</v>
      </c>
      <c r="P74" s="56" t="s">
        <v>7377</v>
      </c>
    </row>
    <row r="75" spans="1:16" x14ac:dyDescent="0.25">
      <c r="A75" s="17" t="s">
        <v>1762</v>
      </c>
      <c r="B75" s="17" t="s">
        <v>1763</v>
      </c>
      <c r="C75" s="17" t="s">
        <v>60</v>
      </c>
      <c r="D75" s="17" t="s">
        <v>7375</v>
      </c>
      <c r="E75" s="17" t="s">
        <v>5564</v>
      </c>
      <c r="F75" s="56" t="s">
        <v>7376</v>
      </c>
      <c r="G75" s="56" t="s">
        <v>7377</v>
      </c>
      <c r="H75" s="17" t="s">
        <v>5565</v>
      </c>
      <c r="I75" s="56" t="s">
        <v>7376</v>
      </c>
      <c r="J75" s="56" t="s">
        <v>7377</v>
      </c>
      <c r="K75" s="17" t="s">
        <v>5566</v>
      </c>
      <c r="L75" s="56" t="s">
        <v>7376</v>
      </c>
      <c r="M75" s="56" t="s">
        <v>7377</v>
      </c>
      <c r="N75" s="17" t="s">
        <v>5567</v>
      </c>
      <c r="O75" s="56" t="s">
        <v>7376</v>
      </c>
      <c r="P75" s="56" t="s">
        <v>7377</v>
      </c>
    </row>
    <row r="76" spans="1:16" x14ac:dyDescent="0.25">
      <c r="A76" s="18" t="s">
        <v>2782</v>
      </c>
      <c r="B76" s="18" t="s">
        <v>2783</v>
      </c>
      <c r="C76" s="18" t="s">
        <v>60</v>
      </c>
      <c r="D76" s="18" t="s">
        <v>7375</v>
      </c>
      <c r="E76" s="18" t="s">
        <v>5571</v>
      </c>
      <c r="F76" s="56" t="s">
        <v>7376</v>
      </c>
      <c r="G76" s="56" t="s">
        <v>7377</v>
      </c>
      <c r="H76" s="18" t="s">
        <v>5572</v>
      </c>
      <c r="I76" s="56" t="s">
        <v>7376</v>
      </c>
      <c r="J76" s="56" t="s">
        <v>7377</v>
      </c>
      <c r="K76" s="18" t="s">
        <v>5573</v>
      </c>
      <c r="L76" s="56" t="s">
        <v>7376</v>
      </c>
      <c r="M76" s="56" t="s">
        <v>7377</v>
      </c>
      <c r="N76" s="18" t="s">
        <v>5574</v>
      </c>
      <c r="O76" s="56" t="s">
        <v>7376</v>
      </c>
      <c r="P76" s="56" t="s">
        <v>7377</v>
      </c>
    </row>
    <row r="77" spans="1:16" x14ac:dyDescent="0.25">
      <c r="A77" s="17" t="s">
        <v>3057</v>
      </c>
      <c r="B77" s="17" t="s">
        <v>3058</v>
      </c>
      <c r="C77" s="17" t="s">
        <v>60</v>
      </c>
      <c r="D77" s="17" t="s">
        <v>7375</v>
      </c>
      <c r="E77" s="17" t="s">
        <v>5578</v>
      </c>
      <c r="F77" s="56" t="s">
        <v>7376</v>
      </c>
      <c r="G77" s="56" t="s">
        <v>7377</v>
      </c>
      <c r="H77" s="17" t="s">
        <v>5579</v>
      </c>
      <c r="I77" s="56" t="s">
        <v>7376</v>
      </c>
      <c r="J77" s="56" t="s">
        <v>7377</v>
      </c>
      <c r="K77" s="17" t="s">
        <v>5580</v>
      </c>
      <c r="L77" s="56" t="s">
        <v>7376</v>
      </c>
      <c r="M77" s="56" t="s">
        <v>7377</v>
      </c>
      <c r="N77" s="17" t="s">
        <v>5581</v>
      </c>
      <c r="O77" s="56" t="s">
        <v>7376</v>
      </c>
      <c r="P77" s="56" t="s">
        <v>7377</v>
      </c>
    </row>
    <row r="78" spans="1:16" x14ac:dyDescent="0.25">
      <c r="A78" s="18" t="s">
        <v>3940</v>
      </c>
      <c r="B78" s="18" t="s">
        <v>3941</v>
      </c>
      <c r="C78" s="18" t="s">
        <v>60</v>
      </c>
      <c r="D78" s="18" t="s">
        <v>7375</v>
      </c>
      <c r="E78" s="18" t="s">
        <v>5585</v>
      </c>
      <c r="F78" s="56" t="s">
        <v>7376</v>
      </c>
      <c r="G78" s="56" t="s">
        <v>7377</v>
      </c>
      <c r="H78" s="18" t="s">
        <v>5586</v>
      </c>
      <c r="I78" s="56" t="s">
        <v>7376</v>
      </c>
      <c r="J78" s="56" t="s">
        <v>7377</v>
      </c>
      <c r="K78" s="18" t="s">
        <v>5587</v>
      </c>
      <c r="L78" s="56" t="s">
        <v>7376</v>
      </c>
      <c r="M78" s="56" t="s">
        <v>7377</v>
      </c>
      <c r="N78" s="18" t="s">
        <v>5588</v>
      </c>
      <c r="O78" s="56" t="s">
        <v>7376</v>
      </c>
      <c r="P78" s="56" t="s">
        <v>7377</v>
      </c>
    </row>
    <row r="79" spans="1:16" ht="33.75" x14ac:dyDescent="0.25">
      <c r="A79" s="17" t="s">
        <v>5589</v>
      </c>
      <c r="B79" s="17" t="s">
        <v>356</v>
      </c>
      <c r="C79" s="17" t="s">
        <v>60</v>
      </c>
      <c r="D79" s="17" t="s">
        <v>7375</v>
      </c>
      <c r="E79" s="17" t="s">
        <v>5593</v>
      </c>
      <c r="F79" s="56" t="s">
        <v>7376</v>
      </c>
      <c r="G79" s="56" t="s">
        <v>7377</v>
      </c>
      <c r="H79" s="17" t="s">
        <v>5594</v>
      </c>
      <c r="I79" s="56" t="s">
        <v>7376</v>
      </c>
      <c r="J79" s="56" t="s">
        <v>7377</v>
      </c>
      <c r="K79" s="17" t="s">
        <v>5595</v>
      </c>
      <c r="L79" s="56" t="s">
        <v>7376</v>
      </c>
      <c r="M79" s="56" t="s">
        <v>7377</v>
      </c>
      <c r="N79" s="17" t="s">
        <v>5596</v>
      </c>
      <c r="O79" s="56" t="s">
        <v>7376</v>
      </c>
      <c r="P79" s="56" t="s">
        <v>7377</v>
      </c>
    </row>
    <row r="80" spans="1:16" ht="22.5" x14ac:dyDescent="0.25">
      <c r="A80" s="18" t="s">
        <v>5597</v>
      </c>
      <c r="B80" s="18" t="s">
        <v>515</v>
      </c>
      <c r="C80" s="18" t="s">
        <v>60</v>
      </c>
      <c r="D80" s="18" t="s">
        <v>7375</v>
      </c>
      <c r="E80" s="18" t="s">
        <v>5601</v>
      </c>
      <c r="F80" s="56" t="s">
        <v>7376</v>
      </c>
      <c r="G80" s="56" t="s">
        <v>7377</v>
      </c>
      <c r="H80" s="18" t="s">
        <v>5602</v>
      </c>
      <c r="I80" s="56" t="s">
        <v>7376</v>
      </c>
      <c r="J80" s="56" t="s">
        <v>7377</v>
      </c>
      <c r="K80" s="18" t="s">
        <v>5603</v>
      </c>
      <c r="L80" s="56" t="s">
        <v>7376</v>
      </c>
      <c r="M80" s="56" t="s">
        <v>7377</v>
      </c>
      <c r="N80" s="18" t="s">
        <v>5604</v>
      </c>
      <c r="O80" s="56" t="s">
        <v>7376</v>
      </c>
      <c r="P80" s="56" t="s">
        <v>7377</v>
      </c>
    </row>
    <row r="81" spans="1:16" x14ac:dyDescent="0.25">
      <c r="A81" s="17" t="s">
        <v>1328</v>
      </c>
      <c r="B81" s="17" t="s">
        <v>1329</v>
      </c>
      <c r="C81" s="17" t="s">
        <v>60</v>
      </c>
      <c r="D81" s="17" t="s">
        <v>7375</v>
      </c>
      <c r="E81" s="17" t="s">
        <v>5608</v>
      </c>
      <c r="F81" s="56" t="s">
        <v>7376</v>
      </c>
      <c r="G81" s="56" t="s">
        <v>7377</v>
      </c>
      <c r="H81" s="17" t="s">
        <v>5609</v>
      </c>
      <c r="I81" s="56" t="s">
        <v>7376</v>
      </c>
      <c r="J81" s="56" t="s">
        <v>7377</v>
      </c>
      <c r="K81" s="17" t="s">
        <v>5610</v>
      </c>
      <c r="L81" s="56" t="s">
        <v>7376</v>
      </c>
      <c r="M81" s="56" t="s">
        <v>7377</v>
      </c>
      <c r="N81" s="17" t="s">
        <v>5611</v>
      </c>
      <c r="O81" s="56" t="s">
        <v>7376</v>
      </c>
      <c r="P81" s="56" t="s">
        <v>7377</v>
      </c>
    </row>
    <row r="82" spans="1:16" x14ac:dyDescent="0.25">
      <c r="A82" s="18" t="s">
        <v>2897</v>
      </c>
      <c r="B82" s="18" t="s">
        <v>2898</v>
      </c>
      <c r="C82" s="18" t="s">
        <v>60</v>
      </c>
      <c r="D82" s="18" t="s">
        <v>7375</v>
      </c>
      <c r="E82" s="18" t="s">
        <v>5615</v>
      </c>
      <c r="F82" s="56" t="s">
        <v>7376</v>
      </c>
      <c r="G82" s="56" t="s">
        <v>7377</v>
      </c>
      <c r="H82" s="18" t="s">
        <v>5616</v>
      </c>
      <c r="I82" s="56" t="s">
        <v>7376</v>
      </c>
      <c r="J82" s="56" t="s">
        <v>7377</v>
      </c>
      <c r="K82" s="18" t="s">
        <v>5617</v>
      </c>
      <c r="L82" s="56" t="s">
        <v>7376</v>
      </c>
      <c r="M82" s="56" t="s">
        <v>7377</v>
      </c>
      <c r="N82" s="18" t="s">
        <v>5618</v>
      </c>
      <c r="O82" s="56" t="s">
        <v>7376</v>
      </c>
      <c r="P82" s="56" t="s">
        <v>7377</v>
      </c>
    </row>
    <row r="83" spans="1:16" x14ac:dyDescent="0.25">
      <c r="A83" s="17" t="s">
        <v>5619</v>
      </c>
      <c r="B83" s="17" t="s">
        <v>1813</v>
      </c>
      <c r="C83" s="17" t="s">
        <v>60</v>
      </c>
      <c r="D83" s="17" t="s">
        <v>7375</v>
      </c>
      <c r="E83" s="17" t="s">
        <v>5622</v>
      </c>
      <c r="F83" s="56" t="s">
        <v>7376</v>
      </c>
      <c r="G83" s="56" t="s">
        <v>7377</v>
      </c>
      <c r="H83" s="17" t="s">
        <v>5623</v>
      </c>
      <c r="I83" s="56" t="s">
        <v>7376</v>
      </c>
      <c r="J83" s="56" t="s">
        <v>7377</v>
      </c>
      <c r="K83" s="17" t="s">
        <v>5624</v>
      </c>
      <c r="L83" s="56" t="s">
        <v>7376</v>
      </c>
      <c r="M83" s="56" t="s">
        <v>7377</v>
      </c>
      <c r="N83" s="17" t="s">
        <v>5625</v>
      </c>
      <c r="O83" s="56" t="s">
        <v>7376</v>
      </c>
      <c r="P83" s="56" t="s">
        <v>7377</v>
      </c>
    </row>
    <row r="84" spans="1:16" x14ac:dyDescent="0.25">
      <c r="A84" s="18" t="s">
        <v>3229</v>
      </c>
      <c r="B84" s="18" t="s">
        <v>3230</v>
      </c>
      <c r="C84" s="18" t="s">
        <v>60</v>
      </c>
      <c r="D84" s="18" t="s">
        <v>7375</v>
      </c>
      <c r="E84" s="18" t="s">
        <v>5629</v>
      </c>
      <c r="F84" s="56" t="s">
        <v>7376</v>
      </c>
      <c r="G84" s="56" t="s">
        <v>7377</v>
      </c>
      <c r="H84" s="18" t="s">
        <v>5630</v>
      </c>
      <c r="I84" s="56" t="s">
        <v>7376</v>
      </c>
      <c r="J84" s="56" t="s">
        <v>7377</v>
      </c>
      <c r="K84" s="18" t="s">
        <v>5631</v>
      </c>
      <c r="L84" s="56" t="s">
        <v>7376</v>
      </c>
      <c r="M84" s="56" t="s">
        <v>7377</v>
      </c>
      <c r="N84" s="18" t="s">
        <v>5632</v>
      </c>
      <c r="O84" s="56" t="s">
        <v>7376</v>
      </c>
      <c r="P84" s="56" t="s">
        <v>7377</v>
      </c>
    </row>
    <row r="85" spans="1:16" ht="22.5" x14ac:dyDescent="0.25">
      <c r="A85" s="17" t="s">
        <v>5633</v>
      </c>
      <c r="B85" s="17" t="s">
        <v>3019</v>
      </c>
      <c r="C85" s="17" t="s">
        <v>60</v>
      </c>
      <c r="D85" s="17" t="s">
        <v>7375</v>
      </c>
      <c r="E85" s="17" t="s">
        <v>5637</v>
      </c>
      <c r="F85" s="56" t="s">
        <v>7376</v>
      </c>
      <c r="G85" s="56" t="s">
        <v>7377</v>
      </c>
      <c r="H85" s="17" t="s">
        <v>5638</v>
      </c>
      <c r="I85" s="56" t="s">
        <v>7376</v>
      </c>
      <c r="J85" s="56" t="s">
        <v>7377</v>
      </c>
      <c r="K85" s="17" t="s">
        <v>5639</v>
      </c>
      <c r="L85" s="56" t="s">
        <v>7376</v>
      </c>
      <c r="M85" s="56" t="s">
        <v>7377</v>
      </c>
      <c r="N85" s="17" t="s">
        <v>5640</v>
      </c>
      <c r="O85" s="56" t="s">
        <v>7376</v>
      </c>
      <c r="P85" s="56" t="s">
        <v>7377</v>
      </c>
    </row>
    <row r="86" spans="1:16" x14ac:dyDescent="0.25">
      <c r="A86" s="18" t="s">
        <v>3290</v>
      </c>
      <c r="B86" s="18" t="s">
        <v>3291</v>
      </c>
      <c r="C86" s="18" t="s">
        <v>60</v>
      </c>
      <c r="D86" s="18" t="s">
        <v>7375</v>
      </c>
      <c r="E86" s="18" t="s">
        <v>5644</v>
      </c>
      <c r="F86" s="56" t="s">
        <v>7376</v>
      </c>
      <c r="G86" s="56" t="s">
        <v>7377</v>
      </c>
      <c r="H86" s="18" t="s">
        <v>5645</v>
      </c>
      <c r="I86" s="56" t="s">
        <v>7376</v>
      </c>
      <c r="J86" s="56" t="s">
        <v>7377</v>
      </c>
      <c r="K86" s="18" t="s">
        <v>5646</v>
      </c>
      <c r="L86" s="56" t="s">
        <v>7376</v>
      </c>
      <c r="M86" s="56" t="s">
        <v>7377</v>
      </c>
      <c r="N86" s="18" t="s">
        <v>5647</v>
      </c>
      <c r="O86" s="56" t="s">
        <v>7376</v>
      </c>
      <c r="P86" s="56" t="s">
        <v>7377</v>
      </c>
    </row>
    <row r="87" spans="1:16" x14ac:dyDescent="0.25">
      <c r="A87" s="17" t="s">
        <v>2356</v>
      </c>
      <c r="B87" s="17" t="s">
        <v>2357</v>
      </c>
      <c r="C87" s="17" t="s">
        <v>60</v>
      </c>
      <c r="D87" s="17" t="s">
        <v>7375</v>
      </c>
      <c r="E87" s="17" t="s">
        <v>5651</v>
      </c>
      <c r="F87" s="56" t="s">
        <v>7376</v>
      </c>
      <c r="G87" s="56" t="s">
        <v>7377</v>
      </c>
      <c r="H87" s="17" t="s">
        <v>5652</v>
      </c>
      <c r="I87" s="56" t="s">
        <v>7376</v>
      </c>
      <c r="J87" s="56" t="s">
        <v>7377</v>
      </c>
      <c r="K87" s="17" t="s">
        <v>5653</v>
      </c>
      <c r="L87" s="56" t="s">
        <v>7376</v>
      </c>
      <c r="M87" s="56" t="s">
        <v>7377</v>
      </c>
      <c r="N87" s="17" t="s">
        <v>5654</v>
      </c>
      <c r="O87" s="56" t="s">
        <v>7376</v>
      </c>
      <c r="P87" s="56" t="s">
        <v>7377</v>
      </c>
    </row>
    <row r="88" spans="1:16" x14ac:dyDescent="0.25">
      <c r="A88" s="18" t="s">
        <v>2778</v>
      </c>
      <c r="B88" s="18" t="s">
        <v>2779</v>
      </c>
      <c r="C88" s="18" t="s">
        <v>60</v>
      </c>
      <c r="D88" s="18" t="s">
        <v>7375</v>
      </c>
      <c r="E88" s="18" t="s">
        <v>5658</v>
      </c>
      <c r="F88" s="56" t="s">
        <v>7376</v>
      </c>
      <c r="G88" s="56" t="s">
        <v>7377</v>
      </c>
      <c r="H88" s="18" t="s">
        <v>5659</v>
      </c>
      <c r="I88" s="56" t="s">
        <v>7376</v>
      </c>
      <c r="J88" s="56" t="s">
        <v>7377</v>
      </c>
      <c r="K88" s="18" t="s">
        <v>5660</v>
      </c>
      <c r="L88" s="56" t="s">
        <v>7376</v>
      </c>
      <c r="M88" s="56" t="s">
        <v>7377</v>
      </c>
      <c r="N88" s="18" t="s">
        <v>5661</v>
      </c>
      <c r="O88" s="56" t="s">
        <v>7376</v>
      </c>
      <c r="P88" s="56" t="s">
        <v>7377</v>
      </c>
    </row>
    <row r="89" spans="1:16" x14ac:dyDescent="0.25">
      <c r="A89" s="17" t="s">
        <v>3732</v>
      </c>
      <c r="B89" s="17" t="s">
        <v>3733</v>
      </c>
      <c r="C89" s="17" t="s">
        <v>60</v>
      </c>
      <c r="D89" s="17" t="s">
        <v>7375</v>
      </c>
      <c r="E89" s="17" t="s">
        <v>5665</v>
      </c>
      <c r="F89" s="56" t="s">
        <v>7376</v>
      </c>
      <c r="G89" s="56" t="s">
        <v>7377</v>
      </c>
      <c r="H89" s="17" t="s">
        <v>5666</v>
      </c>
      <c r="I89" s="56" t="s">
        <v>7376</v>
      </c>
      <c r="J89" s="56" t="s">
        <v>7377</v>
      </c>
      <c r="K89" s="17" t="s">
        <v>5667</v>
      </c>
      <c r="L89" s="56" t="s">
        <v>7376</v>
      </c>
      <c r="M89" s="56" t="s">
        <v>7377</v>
      </c>
      <c r="N89" s="17" t="s">
        <v>5668</v>
      </c>
      <c r="O89" s="56" t="s">
        <v>7376</v>
      </c>
      <c r="P89" s="56" t="s">
        <v>7377</v>
      </c>
    </row>
    <row r="90" spans="1:16" ht="56.25" x14ac:dyDescent="0.25">
      <c r="A90" s="18" t="s">
        <v>5669</v>
      </c>
      <c r="B90" s="18" t="s">
        <v>120</v>
      </c>
      <c r="C90" s="18" t="s">
        <v>60</v>
      </c>
      <c r="D90" s="18" t="s">
        <v>7375</v>
      </c>
      <c r="E90" s="18" t="s">
        <v>5673</v>
      </c>
      <c r="F90" s="56" t="s">
        <v>7376</v>
      </c>
      <c r="G90" s="56" t="s">
        <v>7377</v>
      </c>
      <c r="H90" s="18" t="s">
        <v>5674</v>
      </c>
      <c r="I90" s="56" t="s">
        <v>7376</v>
      </c>
      <c r="J90" s="56" t="s">
        <v>7377</v>
      </c>
      <c r="K90" s="18" t="s">
        <v>5675</v>
      </c>
      <c r="L90" s="56" t="s">
        <v>7376</v>
      </c>
      <c r="M90" s="56" t="s">
        <v>7377</v>
      </c>
      <c r="N90" s="18" t="s">
        <v>5676</v>
      </c>
      <c r="O90" s="56" t="s">
        <v>7376</v>
      </c>
      <c r="P90" s="56" t="s">
        <v>7377</v>
      </c>
    </row>
    <row r="91" spans="1:16" x14ac:dyDescent="0.25">
      <c r="A91" s="17" t="s">
        <v>3639</v>
      </c>
      <c r="B91" s="17" t="s">
        <v>3640</v>
      </c>
      <c r="C91" s="17" t="s">
        <v>60</v>
      </c>
      <c r="D91" s="17" t="s">
        <v>7375</v>
      </c>
      <c r="E91" s="17" t="s">
        <v>5680</v>
      </c>
      <c r="F91" s="56" t="s">
        <v>7376</v>
      </c>
      <c r="G91" s="56" t="s">
        <v>7377</v>
      </c>
      <c r="H91" s="17" t="s">
        <v>5681</v>
      </c>
      <c r="I91" s="56" t="s">
        <v>7376</v>
      </c>
      <c r="J91" s="56" t="s">
        <v>7377</v>
      </c>
      <c r="K91" s="17" t="s">
        <v>5682</v>
      </c>
      <c r="L91" s="56" t="s">
        <v>7376</v>
      </c>
      <c r="M91" s="56" t="s">
        <v>7377</v>
      </c>
      <c r="N91" s="17" t="s">
        <v>5683</v>
      </c>
      <c r="O91" s="56" t="s">
        <v>7376</v>
      </c>
      <c r="P91" s="56" t="s">
        <v>7377</v>
      </c>
    </row>
    <row r="92" spans="1:16" x14ac:dyDescent="0.25">
      <c r="A92" s="18" t="s">
        <v>3790</v>
      </c>
      <c r="B92" s="18" t="s">
        <v>3791</v>
      </c>
      <c r="C92" s="18" t="s">
        <v>60</v>
      </c>
      <c r="D92" s="18" t="s">
        <v>7375</v>
      </c>
      <c r="E92" s="18" t="s">
        <v>5687</v>
      </c>
      <c r="F92" s="56" t="s">
        <v>7376</v>
      </c>
      <c r="G92" s="56" t="s">
        <v>7377</v>
      </c>
      <c r="H92" s="18" t="s">
        <v>5688</v>
      </c>
      <c r="I92" s="56" t="s">
        <v>7376</v>
      </c>
      <c r="J92" s="56" t="s">
        <v>7377</v>
      </c>
      <c r="K92" s="18" t="s">
        <v>5689</v>
      </c>
      <c r="L92" s="56" t="s">
        <v>7376</v>
      </c>
      <c r="M92" s="56" t="s">
        <v>7377</v>
      </c>
      <c r="N92" s="18" t="s">
        <v>5690</v>
      </c>
      <c r="O92" s="56" t="s">
        <v>7376</v>
      </c>
      <c r="P92" s="56" t="s">
        <v>7377</v>
      </c>
    </row>
    <row r="93" spans="1:16" ht="225" x14ac:dyDescent="0.25">
      <c r="A93" s="17" t="s">
        <v>5691</v>
      </c>
      <c r="B93" s="17" t="s">
        <v>324</v>
      </c>
      <c r="C93" s="17" t="s">
        <v>60</v>
      </c>
      <c r="D93" s="17" t="s">
        <v>7375</v>
      </c>
      <c r="E93" s="17" t="s">
        <v>5695</v>
      </c>
      <c r="F93" s="56" t="s">
        <v>7376</v>
      </c>
      <c r="G93" s="56" t="s">
        <v>7377</v>
      </c>
      <c r="H93" s="17" t="s">
        <v>5696</v>
      </c>
      <c r="I93" s="56" t="s">
        <v>7376</v>
      </c>
      <c r="J93" s="56" t="s">
        <v>7377</v>
      </c>
      <c r="K93" s="17" t="s">
        <v>5697</v>
      </c>
      <c r="L93" s="56" t="s">
        <v>7376</v>
      </c>
      <c r="M93" s="56" t="s">
        <v>7377</v>
      </c>
      <c r="N93" s="17" t="s">
        <v>5698</v>
      </c>
      <c r="O93" s="56" t="s">
        <v>7376</v>
      </c>
      <c r="P93" s="56" t="s">
        <v>7377</v>
      </c>
    </row>
    <row r="94" spans="1:16" ht="45" x14ac:dyDescent="0.25">
      <c r="A94" s="18" t="s">
        <v>5699</v>
      </c>
      <c r="B94" s="18" t="s">
        <v>83</v>
      </c>
      <c r="C94" s="18" t="s">
        <v>60</v>
      </c>
      <c r="D94" s="18" t="s">
        <v>7375</v>
      </c>
      <c r="E94" s="18" t="s">
        <v>5703</v>
      </c>
      <c r="F94" s="56" t="s">
        <v>7376</v>
      </c>
      <c r="G94" s="56" t="s">
        <v>7377</v>
      </c>
      <c r="H94" s="18" t="s">
        <v>5704</v>
      </c>
      <c r="I94" s="56" t="s">
        <v>7376</v>
      </c>
      <c r="J94" s="56" t="s">
        <v>7377</v>
      </c>
      <c r="K94" s="18" t="s">
        <v>5705</v>
      </c>
      <c r="L94" s="56" t="s">
        <v>7376</v>
      </c>
      <c r="M94" s="56" t="s">
        <v>7377</v>
      </c>
      <c r="N94" s="18" t="s">
        <v>5706</v>
      </c>
      <c r="O94" s="56" t="s">
        <v>7376</v>
      </c>
      <c r="P94" s="56" t="s">
        <v>7377</v>
      </c>
    </row>
    <row r="95" spans="1:16" ht="56.25" x14ac:dyDescent="0.25">
      <c r="A95" s="17" t="s">
        <v>5707</v>
      </c>
      <c r="B95" s="17" t="s">
        <v>665</v>
      </c>
      <c r="C95" s="17" t="s">
        <v>60</v>
      </c>
      <c r="D95" s="17" t="s">
        <v>7375</v>
      </c>
      <c r="E95" s="17" t="s">
        <v>5711</v>
      </c>
      <c r="F95" s="56" t="s">
        <v>7376</v>
      </c>
      <c r="G95" s="56" t="s">
        <v>7377</v>
      </c>
      <c r="H95" s="17" t="s">
        <v>5712</v>
      </c>
      <c r="I95" s="56" t="s">
        <v>7376</v>
      </c>
      <c r="J95" s="56" t="s">
        <v>7377</v>
      </c>
      <c r="K95" s="17" t="s">
        <v>5713</v>
      </c>
      <c r="L95" s="56" t="s">
        <v>7376</v>
      </c>
      <c r="M95" s="56" t="s">
        <v>7377</v>
      </c>
      <c r="N95" s="17" t="s">
        <v>5714</v>
      </c>
      <c r="O95" s="56" t="s">
        <v>7376</v>
      </c>
      <c r="P95" s="56" t="s">
        <v>7377</v>
      </c>
    </row>
    <row r="96" spans="1:16" x14ac:dyDescent="0.25">
      <c r="A96" s="18" t="s">
        <v>5715</v>
      </c>
      <c r="B96" s="18" t="s">
        <v>562</v>
      </c>
      <c r="C96" s="18" t="s">
        <v>60</v>
      </c>
      <c r="D96" s="18" t="s">
        <v>7375</v>
      </c>
      <c r="E96" s="18" t="s">
        <v>5719</v>
      </c>
      <c r="F96" s="56" t="s">
        <v>7376</v>
      </c>
      <c r="G96" s="56" t="s">
        <v>7377</v>
      </c>
      <c r="H96" s="18" t="s">
        <v>5720</v>
      </c>
      <c r="I96" s="56" t="s">
        <v>7376</v>
      </c>
      <c r="J96" s="56" t="s">
        <v>7377</v>
      </c>
      <c r="K96" s="18" t="s">
        <v>5721</v>
      </c>
      <c r="L96" s="56" t="s">
        <v>7376</v>
      </c>
      <c r="M96" s="56" t="s">
        <v>7377</v>
      </c>
      <c r="N96" s="18" t="s">
        <v>5722</v>
      </c>
      <c r="O96" s="56" t="s">
        <v>7376</v>
      </c>
      <c r="P96" s="56" t="s">
        <v>7377</v>
      </c>
    </row>
    <row r="97" spans="1:16" x14ac:dyDescent="0.25">
      <c r="A97" s="17" t="s">
        <v>2742</v>
      </c>
      <c r="B97" s="17" t="s">
        <v>2743</v>
      </c>
      <c r="C97" s="17" t="s">
        <v>60</v>
      </c>
      <c r="D97" s="17" t="s">
        <v>7375</v>
      </c>
      <c r="E97" s="17" t="s">
        <v>5726</v>
      </c>
      <c r="F97" s="56" t="s">
        <v>7376</v>
      </c>
      <c r="G97" s="56" t="s">
        <v>7377</v>
      </c>
      <c r="H97" s="17" t="s">
        <v>5727</v>
      </c>
      <c r="I97" s="56" t="s">
        <v>7376</v>
      </c>
      <c r="J97" s="56" t="s">
        <v>7377</v>
      </c>
      <c r="K97" s="17" t="s">
        <v>5728</v>
      </c>
      <c r="L97" s="56" t="s">
        <v>7376</v>
      </c>
      <c r="M97" s="56" t="s">
        <v>7377</v>
      </c>
      <c r="N97" s="17" t="s">
        <v>5729</v>
      </c>
      <c r="O97" s="56" t="s">
        <v>7376</v>
      </c>
      <c r="P97" s="56" t="s">
        <v>7377</v>
      </c>
    </row>
    <row r="98" spans="1:16" x14ac:dyDescent="0.25">
      <c r="A98" s="18" t="s">
        <v>5730</v>
      </c>
      <c r="B98" s="18" t="s">
        <v>1417</v>
      </c>
      <c r="C98" s="18" t="s">
        <v>60</v>
      </c>
      <c r="D98" s="18" t="s">
        <v>7375</v>
      </c>
      <c r="E98" s="18" t="s">
        <v>5734</v>
      </c>
      <c r="F98" s="56" t="s">
        <v>7376</v>
      </c>
      <c r="G98" s="56" t="s">
        <v>7377</v>
      </c>
      <c r="H98" s="18" t="s">
        <v>5735</v>
      </c>
      <c r="I98" s="56" t="s">
        <v>7376</v>
      </c>
      <c r="J98" s="56" t="s">
        <v>7377</v>
      </c>
      <c r="K98" s="18" t="s">
        <v>5736</v>
      </c>
      <c r="L98" s="56" t="s">
        <v>7376</v>
      </c>
      <c r="M98" s="56" t="s">
        <v>7377</v>
      </c>
      <c r="N98" s="18" t="s">
        <v>5737</v>
      </c>
      <c r="O98" s="56" t="s">
        <v>7376</v>
      </c>
      <c r="P98" s="56" t="s">
        <v>7377</v>
      </c>
    </row>
    <row r="99" spans="1:16" x14ac:dyDescent="0.25">
      <c r="A99" s="17" t="s">
        <v>3282</v>
      </c>
      <c r="B99" s="17" t="s">
        <v>3283</v>
      </c>
      <c r="C99" s="17" t="s">
        <v>60</v>
      </c>
      <c r="D99" s="17" t="s">
        <v>7375</v>
      </c>
      <c r="E99" s="17" t="s">
        <v>5741</v>
      </c>
      <c r="F99" s="56" t="s">
        <v>7376</v>
      </c>
      <c r="G99" s="56" t="s">
        <v>7377</v>
      </c>
      <c r="H99" s="17" t="s">
        <v>5742</v>
      </c>
      <c r="I99" s="56" t="s">
        <v>7376</v>
      </c>
      <c r="J99" s="56" t="s">
        <v>7377</v>
      </c>
      <c r="K99" s="17" t="s">
        <v>5743</v>
      </c>
      <c r="L99" s="56" t="s">
        <v>7376</v>
      </c>
      <c r="M99" s="56" t="s">
        <v>7377</v>
      </c>
      <c r="N99" s="17" t="s">
        <v>5744</v>
      </c>
      <c r="O99" s="56" t="s">
        <v>7376</v>
      </c>
      <c r="P99" s="56" t="s">
        <v>7377</v>
      </c>
    </row>
    <row r="100" spans="1:16" x14ac:dyDescent="0.25">
      <c r="A100" s="18" t="s">
        <v>489</v>
      </c>
      <c r="B100" s="18" t="s">
        <v>490</v>
      </c>
      <c r="C100" s="18" t="s">
        <v>60</v>
      </c>
      <c r="D100" s="18" t="s">
        <v>7375</v>
      </c>
      <c r="E100" s="18" t="s">
        <v>5748</v>
      </c>
      <c r="F100" s="56" t="s">
        <v>7376</v>
      </c>
      <c r="G100" s="56" t="s">
        <v>7377</v>
      </c>
      <c r="H100" s="18" t="s">
        <v>5749</v>
      </c>
      <c r="I100" s="56" t="s">
        <v>7376</v>
      </c>
      <c r="J100" s="56" t="s">
        <v>7377</v>
      </c>
      <c r="K100" s="18" t="s">
        <v>5750</v>
      </c>
      <c r="L100" s="56" t="s">
        <v>7376</v>
      </c>
      <c r="M100" s="56" t="s">
        <v>7377</v>
      </c>
      <c r="N100" s="18" t="s">
        <v>5751</v>
      </c>
      <c r="O100" s="56" t="s">
        <v>7376</v>
      </c>
      <c r="P100" s="56" t="s">
        <v>7377</v>
      </c>
    </row>
    <row r="101" spans="1:16" ht="33.75" x14ac:dyDescent="0.25">
      <c r="A101" s="17" t="s">
        <v>5752</v>
      </c>
      <c r="B101" s="17" t="s">
        <v>2391</v>
      </c>
      <c r="C101" s="17" t="s">
        <v>60</v>
      </c>
      <c r="D101" s="17" t="s">
        <v>7375</v>
      </c>
      <c r="E101" s="17" t="s">
        <v>5756</v>
      </c>
      <c r="F101" s="56" t="s">
        <v>7376</v>
      </c>
      <c r="G101" s="56" t="s">
        <v>7377</v>
      </c>
      <c r="H101" s="17" t="s">
        <v>5757</v>
      </c>
      <c r="I101" s="56" t="s">
        <v>7376</v>
      </c>
      <c r="J101" s="56" t="s">
        <v>7377</v>
      </c>
      <c r="K101" s="17" t="s">
        <v>5758</v>
      </c>
      <c r="L101" s="56" t="s">
        <v>7376</v>
      </c>
      <c r="M101" s="56" t="s">
        <v>7377</v>
      </c>
      <c r="N101" s="17" t="s">
        <v>5759</v>
      </c>
      <c r="O101" s="56" t="s">
        <v>7376</v>
      </c>
      <c r="P101" s="56" t="s">
        <v>7377</v>
      </c>
    </row>
    <row r="102" spans="1:16" x14ac:dyDescent="0.25">
      <c r="A102" s="18" t="s">
        <v>1772</v>
      </c>
      <c r="B102" s="18" t="s">
        <v>1773</v>
      </c>
      <c r="C102" s="18" t="s">
        <v>60</v>
      </c>
      <c r="D102" s="18" t="s">
        <v>7375</v>
      </c>
      <c r="E102" s="18" t="s">
        <v>5763</v>
      </c>
      <c r="F102" s="56" t="s">
        <v>7376</v>
      </c>
      <c r="G102" s="56" t="s">
        <v>7377</v>
      </c>
      <c r="H102" s="18" t="s">
        <v>5764</v>
      </c>
      <c r="I102" s="56" t="s">
        <v>7376</v>
      </c>
      <c r="J102" s="56" t="s">
        <v>7377</v>
      </c>
      <c r="K102" s="18" t="s">
        <v>5765</v>
      </c>
      <c r="L102" s="56" t="s">
        <v>7376</v>
      </c>
      <c r="M102" s="56" t="s">
        <v>7377</v>
      </c>
      <c r="N102" s="18" t="s">
        <v>5766</v>
      </c>
      <c r="O102" s="56" t="s">
        <v>7376</v>
      </c>
      <c r="P102" s="56" t="s">
        <v>7377</v>
      </c>
    </row>
    <row r="103" spans="1:16" x14ac:dyDescent="0.25">
      <c r="A103" s="17" t="s">
        <v>3928</v>
      </c>
      <c r="B103" s="17" t="s">
        <v>3929</v>
      </c>
      <c r="C103" s="17" t="s">
        <v>60</v>
      </c>
      <c r="D103" s="17" t="s">
        <v>7375</v>
      </c>
      <c r="E103" s="17" t="s">
        <v>5770</v>
      </c>
      <c r="F103" s="56" t="s">
        <v>7376</v>
      </c>
      <c r="G103" s="56" t="s">
        <v>7377</v>
      </c>
      <c r="H103" s="17" t="s">
        <v>5771</v>
      </c>
      <c r="I103" s="56" t="s">
        <v>7376</v>
      </c>
      <c r="J103" s="56" t="s">
        <v>7377</v>
      </c>
      <c r="K103" s="17" t="s">
        <v>5772</v>
      </c>
      <c r="L103" s="56" t="s">
        <v>7376</v>
      </c>
      <c r="M103" s="56" t="s">
        <v>7377</v>
      </c>
      <c r="N103" s="17" t="s">
        <v>5773</v>
      </c>
      <c r="O103" s="56" t="s">
        <v>7376</v>
      </c>
      <c r="P103" s="56" t="s">
        <v>7377</v>
      </c>
    </row>
    <row r="104" spans="1:16" ht="33.75" x14ac:dyDescent="0.25">
      <c r="A104" s="18" t="s">
        <v>5774</v>
      </c>
      <c r="B104" s="18" t="s">
        <v>2153</v>
      </c>
      <c r="C104" s="18" t="s">
        <v>60</v>
      </c>
      <c r="D104" s="18" t="s">
        <v>7375</v>
      </c>
      <c r="E104" s="18" t="s">
        <v>5778</v>
      </c>
      <c r="F104" s="56" t="s">
        <v>7376</v>
      </c>
      <c r="G104" s="56" t="s">
        <v>7377</v>
      </c>
      <c r="H104" s="18" t="s">
        <v>5779</v>
      </c>
      <c r="I104" s="56" t="s">
        <v>7376</v>
      </c>
      <c r="J104" s="56" t="s">
        <v>7377</v>
      </c>
      <c r="K104" s="18" t="s">
        <v>5780</v>
      </c>
      <c r="L104" s="56" t="s">
        <v>7376</v>
      </c>
      <c r="M104" s="56" t="s">
        <v>7377</v>
      </c>
      <c r="N104" s="18" t="s">
        <v>5781</v>
      </c>
      <c r="O104" s="56" t="s">
        <v>7376</v>
      </c>
      <c r="P104" s="56" t="s">
        <v>7377</v>
      </c>
    </row>
    <row r="105" spans="1:16" x14ac:dyDescent="0.25">
      <c r="A105" s="17" t="s">
        <v>5782</v>
      </c>
      <c r="B105" s="17" t="s">
        <v>2526</v>
      </c>
      <c r="C105" s="17" t="s">
        <v>60</v>
      </c>
      <c r="D105" s="17" t="s">
        <v>7375</v>
      </c>
      <c r="E105" s="17" t="s">
        <v>5786</v>
      </c>
      <c r="F105" s="56" t="s">
        <v>7376</v>
      </c>
      <c r="G105" s="56" t="s">
        <v>7377</v>
      </c>
      <c r="H105" s="17" t="s">
        <v>5787</v>
      </c>
      <c r="I105" s="56" t="s">
        <v>7376</v>
      </c>
      <c r="J105" s="56" t="s">
        <v>7377</v>
      </c>
      <c r="K105" s="17" t="s">
        <v>5788</v>
      </c>
      <c r="L105" s="56" t="s">
        <v>7376</v>
      </c>
      <c r="M105" s="56" t="s">
        <v>7377</v>
      </c>
      <c r="N105" s="17" t="s">
        <v>5789</v>
      </c>
      <c r="O105" s="56" t="s">
        <v>7376</v>
      </c>
      <c r="P105" s="56" t="s">
        <v>7377</v>
      </c>
    </row>
    <row r="106" spans="1:16" ht="45" x14ac:dyDescent="0.25">
      <c r="A106" s="18" t="s">
        <v>5790</v>
      </c>
      <c r="B106" s="18" t="s">
        <v>1781</v>
      </c>
      <c r="C106" s="18" t="s">
        <v>60</v>
      </c>
      <c r="D106" s="18" t="s">
        <v>7375</v>
      </c>
      <c r="E106" s="18" t="s">
        <v>5792</v>
      </c>
      <c r="F106" s="56" t="s">
        <v>7376</v>
      </c>
      <c r="G106" s="56" t="s">
        <v>7377</v>
      </c>
      <c r="H106" s="18" t="s">
        <v>5793</v>
      </c>
      <c r="I106" s="56" t="s">
        <v>7376</v>
      </c>
      <c r="J106" s="56" t="s">
        <v>7377</v>
      </c>
      <c r="K106" s="18" t="s">
        <v>5794</v>
      </c>
      <c r="L106" s="56" t="s">
        <v>7376</v>
      </c>
      <c r="M106" s="56" t="s">
        <v>7377</v>
      </c>
      <c r="N106" s="18" t="s">
        <v>5795</v>
      </c>
      <c r="O106" s="56" t="s">
        <v>7376</v>
      </c>
      <c r="P106" s="56" t="s">
        <v>7377</v>
      </c>
    </row>
    <row r="107" spans="1:16" ht="22.5" x14ac:dyDescent="0.25">
      <c r="A107" s="17" t="s">
        <v>5796</v>
      </c>
      <c r="B107" s="17" t="s">
        <v>3547</v>
      </c>
      <c r="C107" s="17" t="s">
        <v>60</v>
      </c>
      <c r="D107" s="17" t="s">
        <v>7375</v>
      </c>
      <c r="E107" s="17" t="s">
        <v>5800</v>
      </c>
      <c r="F107" s="56" t="s">
        <v>7376</v>
      </c>
      <c r="G107" s="56" t="s">
        <v>7377</v>
      </c>
      <c r="H107" s="17" t="s">
        <v>5801</v>
      </c>
      <c r="I107" s="56" t="s">
        <v>7376</v>
      </c>
      <c r="J107" s="56" t="s">
        <v>7377</v>
      </c>
      <c r="K107" s="17" t="s">
        <v>5802</v>
      </c>
      <c r="L107" s="56" t="s">
        <v>7376</v>
      </c>
      <c r="M107" s="56" t="s">
        <v>7377</v>
      </c>
      <c r="N107" s="17" t="s">
        <v>5803</v>
      </c>
      <c r="O107" s="56" t="s">
        <v>7376</v>
      </c>
      <c r="P107" s="56" t="s">
        <v>7377</v>
      </c>
    </row>
    <row r="108" spans="1:16" ht="67.5" x14ac:dyDescent="0.25">
      <c r="A108" s="18" t="s">
        <v>5804</v>
      </c>
      <c r="B108" s="18" t="s">
        <v>372</v>
      </c>
      <c r="C108" s="18" t="s">
        <v>60</v>
      </c>
      <c r="D108" s="18" t="s">
        <v>7375</v>
      </c>
      <c r="E108" s="18" t="s">
        <v>5808</v>
      </c>
      <c r="F108" s="56" t="s">
        <v>7376</v>
      </c>
      <c r="G108" s="56" t="s">
        <v>7377</v>
      </c>
      <c r="H108" s="18" t="s">
        <v>5809</v>
      </c>
      <c r="I108" s="56" t="s">
        <v>7376</v>
      </c>
      <c r="J108" s="56" t="s">
        <v>7377</v>
      </c>
      <c r="K108" s="18" t="s">
        <v>5810</v>
      </c>
      <c r="L108" s="56" t="s">
        <v>7376</v>
      </c>
      <c r="M108" s="56" t="s">
        <v>7377</v>
      </c>
      <c r="N108" s="18" t="s">
        <v>5811</v>
      </c>
      <c r="O108" s="56" t="s">
        <v>7376</v>
      </c>
      <c r="P108" s="56" t="s">
        <v>7377</v>
      </c>
    </row>
    <row r="109" spans="1:16" ht="78.75" x14ac:dyDescent="0.25">
      <c r="A109" s="17" t="s">
        <v>5812</v>
      </c>
      <c r="B109" s="17" t="s">
        <v>277</v>
      </c>
      <c r="C109" s="17" t="s">
        <v>60</v>
      </c>
      <c r="D109" s="17" t="s">
        <v>7375</v>
      </c>
      <c r="E109" s="17" t="s">
        <v>5816</v>
      </c>
      <c r="F109" s="56" t="s">
        <v>7376</v>
      </c>
      <c r="G109" s="56" t="s">
        <v>7377</v>
      </c>
      <c r="H109" s="17" t="s">
        <v>5817</v>
      </c>
      <c r="I109" s="56" t="s">
        <v>7376</v>
      </c>
      <c r="J109" s="56" t="s">
        <v>7377</v>
      </c>
      <c r="K109" s="17" t="s">
        <v>5818</v>
      </c>
      <c r="L109" s="56" t="s">
        <v>7376</v>
      </c>
      <c r="M109" s="56" t="s">
        <v>7377</v>
      </c>
      <c r="N109" s="17" t="s">
        <v>5819</v>
      </c>
      <c r="O109" s="56" t="s">
        <v>7376</v>
      </c>
      <c r="P109" s="56" t="s">
        <v>7377</v>
      </c>
    </row>
    <row r="110" spans="1:16" x14ac:dyDescent="0.25">
      <c r="A110" s="18" t="s">
        <v>3355</v>
      </c>
      <c r="B110" s="18" t="s">
        <v>3356</v>
      </c>
      <c r="C110" s="18" t="s">
        <v>60</v>
      </c>
      <c r="D110" s="18" t="s">
        <v>7375</v>
      </c>
      <c r="E110" s="18" t="s">
        <v>5823</v>
      </c>
      <c r="F110" s="56" t="s">
        <v>7376</v>
      </c>
      <c r="G110" s="56" t="s">
        <v>7377</v>
      </c>
      <c r="H110" s="18" t="s">
        <v>5824</v>
      </c>
      <c r="I110" s="56" t="s">
        <v>7376</v>
      </c>
      <c r="J110" s="56" t="s">
        <v>7377</v>
      </c>
      <c r="K110" s="18" t="s">
        <v>5825</v>
      </c>
      <c r="L110" s="56" t="s">
        <v>7376</v>
      </c>
      <c r="M110" s="56" t="s">
        <v>7377</v>
      </c>
      <c r="N110" s="18" t="s">
        <v>5826</v>
      </c>
      <c r="O110" s="56" t="s">
        <v>7376</v>
      </c>
      <c r="P110" s="56" t="s">
        <v>7377</v>
      </c>
    </row>
    <row r="111" spans="1:16" ht="22.5" x14ac:dyDescent="0.25">
      <c r="A111" s="17" t="s">
        <v>5827</v>
      </c>
      <c r="B111" s="17" t="s">
        <v>222</v>
      </c>
      <c r="C111" s="17" t="s">
        <v>60</v>
      </c>
      <c r="D111" s="17" t="s">
        <v>7375</v>
      </c>
      <c r="E111" s="17" t="s">
        <v>5831</v>
      </c>
      <c r="F111" s="56" t="s">
        <v>7376</v>
      </c>
      <c r="G111" s="56" t="s">
        <v>7377</v>
      </c>
      <c r="H111" s="17" t="s">
        <v>5832</v>
      </c>
      <c r="I111" s="56" t="s">
        <v>7376</v>
      </c>
      <c r="J111" s="56" t="s">
        <v>7377</v>
      </c>
      <c r="K111" s="17" t="s">
        <v>5833</v>
      </c>
      <c r="L111" s="56" t="s">
        <v>7376</v>
      </c>
      <c r="M111" s="56" t="s">
        <v>7377</v>
      </c>
      <c r="N111" s="17" t="s">
        <v>5834</v>
      </c>
      <c r="O111" s="56" t="s">
        <v>7376</v>
      </c>
      <c r="P111" s="56" t="s">
        <v>7377</v>
      </c>
    </row>
    <row r="112" spans="1:16" x14ac:dyDescent="0.25">
      <c r="A112" s="18" t="s">
        <v>1754</v>
      </c>
      <c r="B112" s="18" t="s">
        <v>1755</v>
      </c>
      <c r="C112" s="18" t="s">
        <v>60</v>
      </c>
      <c r="D112" s="18" t="s">
        <v>7375</v>
      </c>
      <c r="E112" s="18" t="s">
        <v>5838</v>
      </c>
      <c r="F112" s="56" t="s">
        <v>7376</v>
      </c>
      <c r="G112" s="56" t="s">
        <v>7377</v>
      </c>
      <c r="H112" s="18" t="s">
        <v>5839</v>
      </c>
      <c r="I112" s="56" t="s">
        <v>7376</v>
      </c>
      <c r="J112" s="56" t="s">
        <v>7377</v>
      </c>
      <c r="K112" s="18" t="s">
        <v>5840</v>
      </c>
      <c r="L112" s="56" t="s">
        <v>7376</v>
      </c>
      <c r="M112" s="56" t="s">
        <v>7377</v>
      </c>
      <c r="N112" s="18" t="s">
        <v>5841</v>
      </c>
      <c r="O112" s="56" t="s">
        <v>7376</v>
      </c>
      <c r="P112" s="56" t="s">
        <v>7377</v>
      </c>
    </row>
    <row r="113" spans="1:16" x14ac:dyDescent="0.25">
      <c r="A113" s="17" t="s">
        <v>3053</v>
      </c>
      <c r="B113" s="17" t="s">
        <v>3054</v>
      </c>
      <c r="C113" s="17" t="s">
        <v>60</v>
      </c>
      <c r="D113" s="17" t="s">
        <v>7375</v>
      </c>
      <c r="E113" s="17" t="s">
        <v>5845</v>
      </c>
      <c r="F113" s="56" t="s">
        <v>7376</v>
      </c>
      <c r="G113" s="56" t="s">
        <v>7377</v>
      </c>
      <c r="H113" s="17" t="s">
        <v>5846</v>
      </c>
      <c r="I113" s="56" t="s">
        <v>7376</v>
      </c>
      <c r="J113" s="56" t="s">
        <v>7377</v>
      </c>
      <c r="K113" s="17" t="s">
        <v>5847</v>
      </c>
      <c r="L113" s="56" t="s">
        <v>7376</v>
      </c>
      <c r="M113" s="56" t="s">
        <v>7377</v>
      </c>
      <c r="N113" s="17" t="s">
        <v>5848</v>
      </c>
      <c r="O113" s="56" t="s">
        <v>7376</v>
      </c>
      <c r="P113" s="56" t="s">
        <v>7377</v>
      </c>
    </row>
    <row r="114" spans="1:16" x14ac:dyDescent="0.25">
      <c r="A114" s="18" t="s">
        <v>4154</v>
      </c>
      <c r="B114" s="18" t="s">
        <v>4155</v>
      </c>
      <c r="C114" s="18" t="s">
        <v>60</v>
      </c>
      <c r="D114" s="18" t="s">
        <v>7375</v>
      </c>
      <c r="E114" s="18" t="s">
        <v>5851</v>
      </c>
      <c r="F114" s="56" t="s">
        <v>7376</v>
      </c>
      <c r="G114" s="56" t="s">
        <v>7377</v>
      </c>
      <c r="H114" s="18" t="s">
        <v>5852</v>
      </c>
      <c r="I114" s="56" t="s">
        <v>7376</v>
      </c>
      <c r="J114" s="56" t="s">
        <v>7377</v>
      </c>
      <c r="K114" s="18" t="s">
        <v>5853</v>
      </c>
      <c r="L114" s="56" t="s">
        <v>7376</v>
      </c>
      <c r="M114" s="56" t="s">
        <v>7377</v>
      </c>
      <c r="N114" s="18" t="s">
        <v>5854</v>
      </c>
      <c r="O114" s="56" t="s">
        <v>7376</v>
      </c>
      <c r="P114" s="56" t="s">
        <v>7377</v>
      </c>
    </row>
    <row r="115" spans="1:16" x14ac:dyDescent="0.25">
      <c r="A115" s="17" t="s">
        <v>1935</v>
      </c>
      <c r="B115" s="17" t="s">
        <v>1936</v>
      </c>
      <c r="C115" s="17" t="s">
        <v>60</v>
      </c>
      <c r="D115" s="17" t="s">
        <v>7375</v>
      </c>
      <c r="E115" s="17" t="s">
        <v>5856</v>
      </c>
      <c r="F115" s="56" t="s">
        <v>7376</v>
      </c>
      <c r="G115" s="56" t="s">
        <v>7377</v>
      </c>
      <c r="H115" s="17" t="s">
        <v>5857</v>
      </c>
      <c r="I115" s="56" t="s">
        <v>7376</v>
      </c>
      <c r="J115" s="56" t="s">
        <v>7377</v>
      </c>
      <c r="K115" s="17" t="s">
        <v>5858</v>
      </c>
      <c r="L115" s="56" t="s">
        <v>7376</v>
      </c>
      <c r="M115" s="56" t="s">
        <v>7377</v>
      </c>
      <c r="N115" s="17" t="s">
        <v>5859</v>
      </c>
      <c r="O115" s="56" t="s">
        <v>7376</v>
      </c>
      <c r="P115" s="56" t="s">
        <v>7377</v>
      </c>
    </row>
    <row r="116" spans="1:16" x14ac:dyDescent="0.25">
      <c r="A116" s="18" t="s">
        <v>5860</v>
      </c>
      <c r="B116" s="18" t="s">
        <v>1995</v>
      </c>
      <c r="C116" s="18" t="s">
        <v>60</v>
      </c>
      <c r="D116" s="18" t="s">
        <v>7375</v>
      </c>
      <c r="E116" s="18" t="s">
        <v>5862</v>
      </c>
      <c r="F116" s="56" t="s">
        <v>7376</v>
      </c>
      <c r="G116" s="56" t="s">
        <v>7377</v>
      </c>
      <c r="H116" s="18" t="s">
        <v>5863</v>
      </c>
      <c r="I116" s="56" t="s">
        <v>7376</v>
      </c>
      <c r="J116" s="56" t="s">
        <v>7377</v>
      </c>
      <c r="K116" s="18" t="s">
        <v>5864</v>
      </c>
      <c r="L116" s="56" t="s">
        <v>7376</v>
      </c>
      <c r="M116" s="56" t="s">
        <v>7377</v>
      </c>
      <c r="N116" s="18" t="s">
        <v>5865</v>
      </c>
      <c r="O116" s="56" t="s">
        <v>7376</v>
      </c>
      <c r="P116" s="56" t="s">
        <v>7377</v>
      </c>
    </row>
    <row r="117" spans="1:16" x14ac:dyDescent="0.25">
      <c r="A117" s="17" t="s">
        <v>1869</v>
      </c>
      <c r="B117" s="17" t="s">
        <v>1870</v>
      </c>
      <c r="C117" s="17" t="s">
        <v>60</v>
      </c>
      <c r="D117" s="17" t="s">
        <v>7375</v>
      </c>
      <c r="E117" s="17" t="s">
        <v>5868</v>
      </c>
      <c r="F117" s="56" t="s">
        <v>7376</v>
      </c>
      <c r="G117" s="56" t="s">
        <v>7377</v>
      </c>
      <c r="H117" s="17" t="s">
        <v>5869</v>
      </c>
      <c r="I117" s="56" t="s">
        <v>7376</v>
      </c>
      <c r="J117" s="56" t="s">
        <v>7377</v>
      </c>
      <c r="K117" s="17" t="s">
        <v>5870</v>
      </c>
      <c r="L117" s="56" t="s">
        <v>7376</v>
      </c>
      <c r="M117" s="56" t="s">
        <v>7377</v>
      </c>
      <c r="N117" s="17" t="s">
        <v>5871</v>
      </c>
      <c r="O117" s="56" t="s">
        <v>7376</v>
      </c>
      <c r="P117" s="56" t="s">
        <v>7377</v>
      </c>
    </row>
    <row r="118" spans="1:16" x14ac:dyDescent="0.25">
      <c r="A118" s="18" t="s">
        <v>1970</v>
      </c>
      <c r="B118" s="18" t="s">
        <v>1971</v>
      </c>
      <c r="C118" s="18" t="s">
        <v>60</v>
      </c>
      <c r="D118" s="18" t="s">
        <v>7375</v>
      </c>
      <c r="E118" s="18" t="s">
        <v>5874</v>
      </c>
      <c r="F118" s="56" t="s">
        <v>7376</v>
      </c>
      <c r="G118" s="56" t="s">
        <v>7377</v>
      </c>
      <c r="H118" s="18" t="s">
        <v>5875</v>
      </c>
      <c r="I118" s="56" t="s">
        <v>7376</v>
      </c>
      <c r="J118" s="56" t="s">
        <v>7377</v>
      </c>
      <c r="K118" s="18" t="s">
        <v>5876</v>
      </c>
      <c r="L118" s="56" t="s">
        <v>7376</v>
      </c>
      <c r="M118" s="56" t="s">
        <v>7377</v>
      </c>
      <c r="N118" s="18" t="s">
        <v>5877</v>
      </c>
      <c r="O118" s="56" t="s">
        <v>7376</v>
      </c>
      <c r="P118" s="56" t="s">
        <v>7377</v>
      </c>
    </row>
    <row r="119" spans="1:16" x14ac:dyDescent="0.25">
      <c r="A119" s="17" t="s">
        <v>5878</v>
      </c>
      <c r="B119" s="17" t="s">
        <v>574</v>
      </c>
      <c r="C119" s="17" t="s">
        <v>60</v>
      </c>
      <c r="D119" s="17" t="s">
        <v>7375</v>
      </c>
      <c r="E119" s="17" t="s">
        <v>5880</v>
      </c>
      <c r="F119" s="56" t="s">
        <v>7376</v>
      </c>
      <c r="G119" s="56" t="s">
        <v>7377</v>
      </c>
      <c r="H119" s="17" t="s">
        <v>5881</v>
      </c>
      <c r="I119" s="56" t="s">
        <v>7376</v>
      </c>
      <c r="J119" s="56" t="s">
        <v>7377</v>
      </c>
      <c r="K119" s="17" t="s">
        <v>5882</v>
      </c>
      <c r="L119" s="56" t="s">
        <v>7376</v>
      </c>
      <c r="M119" s="56" t="s">
        <v>7377</v>
      </c>
      <c r="N119" s="17" t="s">
        <v>5883</v>
      </c>
      <c r="O119" s="56" t="s">
        <v>7376</v>
      </c>
      <c r="P119" s="56" t="s">
        <v>7377</v>
      </c>
    </row>
    <row r="120" spans="1:16" x14ac:dyDescent="0.25">
      <c r="A120" s="18" t="s">
        <v>5884</v>
      </c>
      <c r="B120" s="18" t="s">
        <v>1940</v>
      </c>
      <c r="C120" s="18" t="s">
        <v>60</v>
      </c>
      <c r="D120" s="18" t="s">
        <v>7375</v>
      </c>
      <c r="E120" s="18" t="s">
        <v>5886</v>
      </c>
      <c r="F120" s="56" t="s">
        <v>7376</v>
      </c>
      <c r="G120" s="56" t="s">
        <v>7377</v>
      </c>
      <c r="H120" s="18" t="s">
        <v>5887</v>
      </c>
      <c r="I120" s="56" t="s">
        <v>7376</v>
      </c>
      <c r="J120" s="56" t="s">
        <v>7377</v>
      </c>
      <c r="K120" s="18" t="s">
        <v>5888</v>
      </c>
      <c r="L120" s="56" t="s">
        <v>7376</v>
      </c>
      <c r="M120" s="56" t="s">
        <v>7377</v>
      </c>
      <c r="N120" s="18" t="s">
        <v>5889</v>
      </c>
      <c r="O120" s="56" t="s">
        <v>7376</v>
      </c>
      <c r="P120" s="56" t="s">
        <v>7377</v>
      </c>
    </row>
    <row r="121" spans="1:16" ht="135" x14ac:dyDescent="0.25">
      <c r="A121" s="17" t="s">
        <v>5890</v>
      </c>
      <c r="B121" s="17" t="s">
        <v>878</v>
      </c>
      <c r="C121" s="17" t="s">
        <v>60</v>
      </c>
      <c r="D121" s="17" t="s">
        <v>7375</v>
      </c>
      <c r="E121" s="17" t="s">
        <v>5894</v>
      </c>
      <c r="F121" s="56" t="s">
        <v>7376</v>
      </c>
      <c r="G121" s="56" t="s">
        <v>7377</v>
      </c>
      <c r="H121" s="17" t="s">
        <v>5895</v>
      </c>
      <c r="I121" s="56" t="s">
        <v>7376</v>
      </c>
      <c r="J121" s="56" t="s">
        <v>7377</v>
      </c>
      <c r="K121" s="17" t="s">
        <v>5896</v>
      </c>
      <c r="L121" s="56" t="s">
        <v>7376</v>
      </c>
      <c r="M121" s="56" t="s">
        <v>7377</v>
      </c>
      <c r="N121" s="17" t="s">
        <v>5897</v>
      </c>
      <c r="O121" s="56" t="s">
        <v>7376</v>
      </c>
      <c r="P121" s="56" t="s">
        <v>7377</v>
      </c>
    </row>
    <row r="122" spans="1:16" x14ac:dyDescent="0.25">
      <c r="A122" s="18" t="s">
        <v>4042</v>
      </c>
      <c r="B122" s="18" t="s">
        <v>4043</v>
      </c>
      <c r="C122" s="18" t="s">
        <v>60</v>
      </c>
      <c r="D122" s="18" t="s">
        <v>7375</v>
      </c>
      <c r="E122" s="18" t="s">
        <v>5901</v>
      </c>
      <c r="F122" s="56" t="s">
        <v>7376</v>
      </c>
      <c r="G122" s="56" t="s">
        <v>7377</v>
      </c>
      <c r="H122" s="18" t="s">
        <v>5902</v>
      </c>
      <c r="I122" s="56" t="s">
        <v>7376</v>
      </c>
      <c r="J122" s="56" t="s">
        <v>7377</v>
      </c>
      <c r="K122" s="18" t="s">
        <v>5903</v>
      </c>
      <c r="L122" s="56" t="s">
        <v>7376</v>
      </c>
      <c r="M122" s="56" t="s">
        <v>7377</v>
      </c>
      <c r="N122" s="18" t="s">
        <v>5904</v>
      </c>
      <c r="O122" s="56" t="s">
        <v>7376</v>
      </c>
      <c r="P122" s="56" t="s">
        <v>7377</v>
      </c>
    </row>
    <row r="123" spans="1:16" ht="22.5" x14ac:dyDescent="0.25">
      <c r="A123" s="17" t="s">
        <v>5905</v>
      </c>
      <c r="B123" s="17" t="s">
        <v>1719</v>
      </c>
      <c r="C123" s="17" t="s">
        <v>60</v>
      </c>
      <c r="D123" s="17" t="s">
        <v>7375</v>
      </c>
      <c r="E123" s="17" t="s">
        <v>5909</v>
      </c>
      <c r="F123" s="56" t="s">
        <v>7376</v>
      </c>
      <c r="G123" s="56" t="s">
        <v>7377</v>
      </c>
      <c r="H123" s="17" t="s">
        <v>5910</v>
      </c>
      <c r="I123" s="56" t="s">
        <v>7376</v>
      </c>
      <c r="J123" s="56" t="s">
        <v>7377</v>
      </c>
      <c r="K123" s="17" t="s">
        <v>5911</v>
      </c>
      <c r="L123" s="56" t="s">
        <v>7376</v>
      </c>
      <c r="M123" s="56" t="s">
        <v>7377</v>
      </c>
      <c r="N123" s="17" t="s">
        <v>5912</v>
      </c>
      <c r="O123" s="56" t="s">
        <v>7376</v>
      </c>
      <c r="P123" s="56" t="s">
        <v>7377</v>
      </c>
    </row>
    <row r="124" spans="1:16" ht="33.75" x14ac:dyDescent="0.25">
      <c r="A124" s="18" t="s">
        <v>5913</v>
      </c>
      <c r="B124" s="18" t="s">
        <v>1878</v>
      </c>
      <c r="C124" s="18" t="s">
        <v>60</v>
      </c>
      <c r="D124" s="18" t="s">
        <v>7375</v>
      </c>
      <c r="E124" s="18" t="s">
        <v>5917</v>
      </c>
      <c r="F124" s="56" t="s">
        <v>7376</v>
      </c>
      <c r="G124" s="56" t="s">
        <v>7377</v>
      </c>
      <c r="H124" s="18" t="s">
        <v>5918</v>
      </c>
      <c r="I124" s="56" t="s">
        <v>7376</v>
      </c>
      <c r="J124" s="56" t="s">
        <v>7377</v>
      </c>
      <c r="K124" s="18" t="s">
        <v>5919</v>
      </c>
      <c r="L124" s="56" t="s">
        <v>7376</v>
      </c>
      <c r="M124" s="56" t="s">
        <v>7377</v>
      </c>
      <c r="N124" s="18" t="s">
        <v>5920</v>
      </c>
      <c r="O124" s="56" t="s">
        <v>7376</v>
      </c>
      <c r="P124" s="56" t="s">
        <v>7377</v>
      </c>
    </row>
    <row r="125" spans="1:16" x14ac:dyDescent="0.25">
      <c r="A125" s="17" t="s">
        <v>5921</v>
      </c>
      <c r="B125" s="17" t="s">
        <v>1096</v>
      </c>
      <c r="C125" s="17" t="s">
        <v>60</v>
      </c>
      <c r="D125" s="17" t="s">
        <v>7375</v>
      </c>
      <c r="E125" s="17" t="s">
        <v>5925</v>
      </c>
      <c r="F125" s="56" t="s">
        <v>7376</v>
      </c>
      <c r="G125" s="56" t="s">
        <v>7377</v>
      </c>
      <c r="H125" s="17" t="s">
        <v>5926</v>
      </c>
      <c r="I125" s="56" t="s">
        <v>7376</v>
      </c>
      <c r="J125" s="56" t="s">
        <v>7377</v>
      </c>
      <c r="K125" s="17" t="s">
        <v>5927</v>
      </c>
      <c r="L125" s="56" t="s">
        <v>7376</v>
      </c>
      <c r="M125" s="56" t="s">
        <v>7377</v>
      </c>
      <c r="N125" s="17" t="s">
        <v>5928</v>
      </c>
      <c r="O125" s="56" t="s">
        <v>7376</v>
      </c>
      <c r="P125" s="56" t="s">
        <v>7377</v>
      </c>
    </row>
    <row r="126" spans="1:16" x14ac:dyDescent="0.25">
      <c r="A126" s="18" t="s">
        <v>2627</v>
      </c>
      <c r="B126" s="18" t="s">
        <v>2628</v>
      </c>
      <c r="C126" s="18" t="s">
        <v>60</v>
      </c>
      <c r="D126" s="18" t="s">
        <v>7375</v>
      </c>
      <c r="E126" s="18" t="s">
        <v>5932</v>
      </c>
      <c r="F126" s="56" t="s">
        <v>7376</v>
      </c>
      <c r="G126" s="56" t="s">
        <v>7377</v>
      </c>
      <c r="H126" s="18" t="s">
        <v>5933</v>
      </c>
      <c r="I126" s="56" t="s">
        <v>7376</v>
      </c>
      <c r="J126" s="56" t="s">
        <v>7377</v>
      </c>
      <c r="K126" s="18" t="s">
        <v>5934</v>
      </c>
      <c r="L126" s="56" t="s">
        <v>7376</v>
      </c>
      <c r="M126" s="56" t="s">
        <v>7377</v>
      </c>
      <c r="N126" s="18" t="s">
        <v>5935</v>
      </c>
      <c r="O126" s="56" t="s">
        <v>7376</v>
      </c>
      <c r="P126" s="56" t="s">
        <v>7377</v>
      </c>
    </row>
    <row r="127" spans="1:16" x14ac:dyDescent="0.25">
      <c r="A127" s="17" t="s">
        <v>2345</v>
      </c>
      <c r="B127" s="17" t="s">
        <v>2346</v>
      </c>
      <c r="C127" s="17" t="s">
        <v>60</v>
      </c>
      <c r="D127" s="17" t="s">
        <v>7375</v>
      </c>
      <c r="E127" s="17" t="s">
        <v>5939</v>
      </c>
      <c r="F127" s="56" t="s">
        <v>7376</v>
      </c>
      <c r="G127" s="56" t="s">
        <v>7377</v>
      </c>
      <c r="H127" s="17" t="s">
        <v>5940</v>
      </c>
      <c r="I127" s="56" t="s">
        <v>7376</v>
      </c>
      <c r="J127" s="56" t="s">
        <v>7377</v>
      </c>
      <c r="K127" s="17" t="s">
        <v>5941</v>
      </c>
      <c r="L127" s="56" t="s">
        <v>7376</v>
      </c>
      <c r="M127" s="56" t="s">
        <v>7377</v>
      </c>
      <c r="N127" s="17" t="s">
        <v>5942</v>
      </c>
      <c r="O127" s="56" t="s">
        <v>7376</v>
      </c>
      <c r="P127" s="56" t="s">
        <v>7377</v>
      </c>
    </row>
    <row r="128" spans="1:16" x14ac:dyDescent="0.25">
      <c r="A128" s="18" t="s">
        <v>2959</v>
      </c>
      <c r="B128" s="18" t="s">
        <v>2960</v>
      </c>
      <c r="C128" s="18" t="s">
        <v>60</v>
      </c>
      <c r="D128" s="18" t="s">
        <v>7375</v>
      </c>
      <c r="E128" s="18" t="s">
        <v>5946</v>
      </c>
      <c r="F128" s="56" t="s">
        <v>7376</v>
      </c>
      <c r="G128" s="56" t="s">
        <v>7377</v>
      </c>
      <c r="H128" s="18" t="s">
        <v>5947</v>
      </c>
      <c r="I128" s="56" t="s">
        <v>7376</v>
      </c>
      <c r="J128" s="56" t="s">
        <v>7377</v>
      </c>
      <c r="K128" s="18" t="s">
        <v>5948</v>
      </c>
      <c r="L128" s="56" t="s">
        <v>7376</v>
      </c>
      <c r="M128" s="56" t="s">
        <v>7377</v>
      </c>
      <c r="N128" s="18" t="s">
        <v>5949</v>
      </c>
      <c r="O128" s="56" t="s">
        <v>7376</v>
      </c>
      <c r="P128" s="56" t="s">
        <v>7377</v>
      </c>
    </row>
    <row r="129" spans="1:16" ht="22.5" x14ac:dyDescent="0.25">
      <c r="A129" s="17" t="s">
        <v>5950</v>
      </c>
      <c r="B129" s="17" t="s">
        <v>1084</v>
      </c>
      <c r="C129" s="17" t="s">
        <v>60</v>
      </c>
      <c r="D129" s="17" t="s">
        <v>7375</v>
      </c>
      <c r="E129" s="17" t="s">
        <v>5954</v>
      </c>
      <c r="F129" s="56" t="s">
        <v>7376</v>
      </c>
      <c r="G129" s="56" t="s">
        <v>7377</v>
      </c>
      <c r="H129" s="17" t="s">
        <v>5955</v>
      </c>
      <c r="I129" s="56" t="s">
        <v>7376</v>
      </c>
      <c r="J129" s="56" t="s">
        <v>7377</v>
      </c>
      <c r="K129" s="17" t="s">
        <v>5956</v>
      </c>
      <c r="L129" s="56" t="s">
        <v>7376</v>
      </c>
      <c r="M129" s="56" t="s">
        <v>7377</v>
      </c>
      <c r="N129" s="17" t="s">
        <v>5957</v>
      </c>
      <c r="O129" s="56" t="s">
        <v>7376</v>
      </c>
      <c r="P129" s="56" t="s">
        <v>7377</v>
      </c>
    </row>
    <row r="130" spans="1:16" x14ac:dyDescent="0.25">
      <c r="A130" s="18" t="s">
        <v>2774</v>
      </c>
      <c r="B130" s="18" t="s">
        <v>2775</v>
      </c>
      <c r="C130" s="18" t="s">
        <v>60</v>
      </c>
      <c r="D130" s="18" t="s">
        <v>7375</v>
      </c>
      <c r="E130" s="18" t="s">
        <v>5961</v>
      </c>
      <c r="F130" s="56" t="s">
        <v>7376</v>
      </c>
      <c r="G130" s="56" t="s">
        <v>7377</v>
      </c>
      <c r="H130" s="18" t="s">
        <v>5962</v>
      </c>
      <c r="I130" s="56" t="s">
        <v>7376</v>
      </c>
      <c r="J130" s="56" t="s">
        <v>7377</v>
      </c>
      <c r="K130" s="18" t="s">
        <v>5963</v>
      </c>
      <c r="L130" s="56" t="s">
        <v>7376</v>
      </c>
      <c r="M130" s="56" t="s">
        <v>7377</v>
      </c>
      <c r="N130" s="18" t="s">
        <v>5964</v>
      </c>
      <c r="O130" s="56" t="s">
        <v>7376</v>
      </c>
      <c r="P130" s="56" t="s">
        <v>7377</v>
      </c>
    </row>
    <row r="131" spans="1:16" x14ac:dyDescent="0.25">
      <c r="A131" s="17" t="s">
        <v>5965</v>
      </c>
      <c r="B131" s="17" t="s">
        <v>1062</v>
      </c>
      <c r="C131" s="17" t="s">
        <v>60</v>
      </c>
      <c r="D131" s="17" t="s">
        <v>7375</v>
      </c>
      <c r="E131" s="17" t="s">
        <v>5969</v>
      </c>
      <c r="F131" s="56" t="s">
        <v>7376</v>
      </c>
      <c r="G131" s="56" t="s">
        <v>7377</v>
      </c>
      <c r="H131" s="17" t="s">
        <v>5970</v>
      </c>
      <c r="I131" s="56" t="s">
        <v>7376</v>
      </c>
      <c r="J131" s="56" t="s">
        <v>7377</v>
      </c>
      <c r="K131" s="17" t="s">
        <v>5971</v>
      </c>
      <c r="L131" s="56" t="s">
        <v>7376</v>
      </c>
      <c r="M131" s="56" t="s">
        <v>7377</v>
      </c>
      <c r="N131" s="17" t="s">
        <v>5972</v>
      </c>
      <c r="O131" s="56" t="s">
        <v>7376</v>
      </c>
      <c r="P131" s="56" t="s">
        <v>7377</v>
      </c>
    </row>
    <row r="132" spans="1:16" x14ac:dyDescent="0.25">
      <c r="A132" s="18" t="s">
        <v>3326</v>
      </c>
      <c r="B132" s="18" t="s">
        <v>3327</v>
      </c>
      <c r="C132" s="18" t="s">
        <v>60</v>
      </c>
      <c r="D132" s="18" t="s">
        <v>7375</v>
      </c>
      <c r="E132" s="18" t="s">
        <v>5976</v>
      </c>
      <c r="F132" s="56" t="s">
        <v>7376</v>
      </c>
      <c r="G132" s="56" t="s">
        <v>7377</v>
      </c>
      <c r="H132" s="18" t="s">
        <v>5977</v>
      </c>
      <c r="I132" s="56" t="s">
        <v>7376</v>
      </c>
      <c r="J132" s="56" t="s">
        <v>7377</v>
      </c>
      <c r="K132" s="18" t="s">
        <v>5978</v>
      </c>
      <c r="L132" s="56" t="s">
        <v>7376</v>
      </c>
      <c r="M132" s="56" t="s">
        <v>7377</v>
      </c>
      <c r="N132" s="18" t="s">
        <v>5979</v>
      </c>
      <c r="O132" s="56" t="s">
        <v>7376</v>
      </c>
      <c r="P132" s="56" t="s">
        <v>7377</v>
      </c>
    </row>
    <row r="133" spans="1:16" x14ac:dyDescent="0.25">
      <c r="A133" s="17" t="s">
        <v>5980</v>
      </c>
      <c r="B133" s="17" t="s">
        <v>1805</v>
      </c>
      <c r="C133" s="17" t="s">
        <v>60</v>
      </c>
      <c r="D133" s="17" t="s">
        <v>7375</v>
      </c>
      <c r="E133" s="17" t="s">
        <v>5983</v>
      </c>
      <c r="F133" s="56" t="s">
        <v>7376</v>
      </c>
      <c r="G133" s="56" t="s">
        <v>7377</v>
      </c>
      <c r="H133" s="17" t="s">
        <v>5984</v>
      </c>
      <c r="I133" s="56" t="s">
        <v>7376</v>
      </c>
      <c r="J133" s="56" t="s">
        <v>7377</v>
      </c>
      <c r="K133" s="17" t="s">
        <v>5985</v>
      </c>
      <c r="L133" s="56" t="s">
        <v>7376</v>
      </c>
      <c r="M133" s="56" t="s">
        <v>7377</v>
      </c>
      <c r="N133" s="17" t="s">
        <v>5986</v>
      </c>
      <c r="O133" s="56" t="s">
        <v>7376</v>
      </c>
      <c r="P133" s="56" t="s">
        <v>7377</v>
      </c>
    </row>
    <row r="134" spans="1:16" ht="22.5" x14ac:dyDescent="0.25">
      <c r="A134" s="18" t="s">
        <v>5987</v>
      </c>
      <c r="B134" s="18" t="s">
        <v>632</v>
      </c>
      <c r="C134" s="18" t="s">
        <v>60</v>
      </c>
      <c r="D134" s="18" t="s">
        <v>7375</v>
      </c>
      <c r="E134" s="18" t="s">
        <v>5990</v>
      </c>
      <c r="F134" s="56" t="s">
        <v>7376</v>
      </c>
      <c r="G134" s="56" t="s">
        <v>7377</v>
      </c>
      <c r="H134" s="18" t="s">
        <v>5991</v>
      </c>
      <c r="I134" s="56" t="s">
        <v>7376</v>
      </c>
      <c r="J134" s="56" t="s">
        <v>7377</v>
      </c>
      <c r="K134" s="18" t="s">
        <v>5992</v>
      </c>
      <c r="L134" s="56" t="s">
        <v>7376</v>
      </c>
      <c r="M134" s="56" t="s">
        <v>7377</v>
      </c>
      <c r="N134" s="18" t="s">
        <v>5993</v>
      </c>
      <c r="O134" s="56" t="s">
        <v>7376</v>
      </c>
      <c r="P134" s="56" t="s">
        <v>7377</v>
      </c>
    </row>
    <row r="135" spans="1:16" x14ac:dyDescent="0.25">
      <c r="A135" s="17" t="s">
        <v>1873</v>
      </c>
      <c r="B135" s="17" t="s">
        <v>1874</v>
      </c>
      <c r="C135" s="17" t="s">
        <v>60</v>
      </c>
      <c r="D135" s="17" t="s">
        <v>7375</v>
      </c>
      <c r="E135" s="17" t="s">
        <v>5995</v>
      </c>
      <c r="F135" s="56" t="s">
        <v>7376</v>
      </c>
      <c r="G135" s="56" t="s">
        <v>7377</v>
      </c>
      <c r="H135" s="17" t="s">
        <v>5996</v>
      </c>
      <c r="I135" s="56" t="s">
        <v>7376</v>
      </c>
      <c r="J135" s="56" t="s">
        <v>7377</v>
      </c>
      <c r="K135" s="17" t="s">
        <v>5997</v>
      </c>
      <c r="L135" s="56" t="s">
        <v>7376</v>
      </c>
      <c r="M135" s="56" t="s">
        <v>7377</v>
      </c>
      <c r="N135" s="17" t="s">
        <v>5998</v>
      </c>
      <c r="O135" s="56" t="s">
        <v>7376</v>
      </c>
      <c r="P135" s="56" t="s">
        <v>7377</v>
      </c>
    </row>
    <row r="136" spans="1:16" x14ac:dyDescent="0.25">
      <c r="A136" s="18" t="s">
        <v>5999</v>
      </c>
      <c r="B136" s="18" t="s">
        <v>2572</v>
      </c>
      <c r="C136" s="18" t="s">
        <v>60</v>
      </c>
      <c r="D136" s="18" t="s">
        <v>7375</v>
      </c>
      <c r="E136" s="18" t="s">
        <v>6003</v>
      </c>
      <c r="F136" s="56" t="s">
        <v>7376</v>
      </c>
      <c r="G136" s="56" t="s">
        <v>7377</v>
      </c>
      <c r="H136" s="18" t="s">
        <v>6004</v>
      </c>
      <c r="I136" s="56" t="s">
        <v>7376</v>
      </c>
      <c r="J136" s="56" t="s">
        <v>7377</v>
      </c>
      <c r="K136" s="18" t="s">
        <v>6005</v>
      </c>
      <c r="L136" s="56" t="s">
        <v>7376</v>
      </c>
      <c r="M136" s="56" t="s">
        <v>7377</v>
      </c>
      <c r="N136" s="18" t="s">
        <v>6006</v>
      </c>
      <c r="O136" s="56" t="s">
        <v>7376</v>
      </c>
      <c r="P136" s="56" t="s">
        <v>7377</v>
      </c>
    </row>
    <row r="137" spans="1:16" x14ac:dyDescent="0.25">
      <c r="A137" s="17" t="s">
        <v>3269</v>
      </c>
      <c r="B137" s="17" t="s">
        <v>3270</v>
      </c>
      <c r="C137" s="17" t="s">
        <v>60</v>
      </c>
      <c r="D137" s="17" t="s">
        <v>7375</v>
      </c>
      <c r="E137" s="17" t="s">
        <v>6010</v>
      </c>
      <c r="F137" s="56" t="s">
        <v>7376</v>
      </c>
      <c r="G137" s="56" t="s">
        <v>7377</v>
      </c>
      <c r="H137" s="17" t="s">
        <v>6011</v>
      </c>
      <c r="I137" s="56" t="s">
        <v>7376</v>
      </c>
      <c r="J137" s="56" t="s">
        <v>7377</v>
      </c>
      <c r="K137" s="17" t="s">
        <v>6012</v>
      </c>
      <c r="L137" s="56" t="s">
        <v>7376</v>
      </c>
      <c r="M137" s="56" t="s">
        <v>7377</v>
      </c>
      <c r="N137" s="17" t="s">
        <v>6013</v>
      </c>
      <c r="O137" s="56" t="s">
        <v>7376</v>
      </c>
      <c r="P137" s="56" t="s">
        <v>7377</v>
      </c>
    </row>
    <row r="138" spans="1:16" x14ac:dyDescent="0.25">
      <c r="A138" s="18" t="s">
        <v>2352</v>
      </c>
      <c r="B138" s="18" t="s">
        <v>2353</v>
      </c>
      <c r="C138" s="18" t="s">
        <v>60</v>
      </c>
      <c r="D138" s="18" t="s">
        <v>7375</v>
      </c>
      <c r="E138" s="18" t="s">
        <v>6017</v>
      </c>
      <c r="F138" s="56" t="s">
        <v>7376</v>
      </c>
      <c r="G138" s="56" t="s">
        <v>7377</v>
      </c>
      <c r="H138" s="18" t="s">
        <v>6018</v>
      </c>
      <c r="I138" s="56" t="s">
        <v>7376</v>
      </c>
      <c r="J138" s="56" t="s">
        <v>7377</v>
      </c>
      <c r="K138" s="18" t="s">
        <v>6019</v>
      </c>
      <c r="L138" s="56" t="s">
        <v>7376</v>
      </c>
      <c r="M138" s="56" t="s">
        <v>7377</v>
      </c>
      <c r="N138" s="18" t="s">
        <v>6020</v>
      </c>
      <c r="O138" s="56" t="s">
        <v>7376</v>
      </c>
      <c r="P138" s="56" t="s">
        <v>7377</v>
      </c>
    </row>
    <row r="139" spans="1:16" x14ac:dyDescent="0.25">
      <c r="A139" s="17" t="s">
        <v>2770</v>
      </c>
      <c r="B139" s="17" t="s">
        <v>2771</v>
      </c>
      <c r="C139" s="17" t="s">
        <v>60</v>
      </c>
      <c r="D139" s="17" t="s">
        <v>7375</v>
      </c>
      <c r="E139" s="17" t="s">
        <v>6024</v>
      </c>
      <c r="F139" s="56" t="s">
        <v>7376</v>
      </c>
      <c r="G139" s="56" t="s">
        <v>7377</v>
      </c>
      <c r="H139" s="17" t="s">
        <v>6025</v>
      </c>
      <c r="I139" s="56" t="s">
        <v>7376</v>
      </c>
      <c r="J139" s="56" t="s">
        <v>7377</v>
      </c>
      <c r="K139" s="17" t="s">
        <v>6026</v>
      </c>
      <c r="L139" s="56" t="s">
        <v>7376</v>
      </c>
      <c r="M139" s="56" t="s">
        <v>7377</v>
      </c>
      <c r="N139" s="17" t="s">
        <v>6027</v>
      </c>
      <c r="O139" s="56" t="s">
        <v>7376</v>
      </c>
      <c r="P139" s="56" t="s">
        <v>7377</v>
      </c>
    </row>
    <row r="140" spans="1:16" x14ac:dyDescent="0.25">
      <c r="A140" s="18" t="s">
        <v>2244</v>
      </c>
      <c r="B140" s="18" t="s">
        <v>2245</v>
      </c>
      <c r="C140" s="18" t="s">
        <v>60</v>
      </c>
      <c r="D140" s="18" t="s">
        <v>7375</v>
      </c>
      <c r="E140" s="18" t="s">
        <v>6031</v>
      </c>
      <c r="F140" s="56" t="s">
        <v>7376</v>
      </c>
      <c r="G140" s="56" t="s">
        <v>7377</v>
      </c>
      <c r="H140" s="18" t="s">
        <v>6032</v>
      </c>
      <c r="I140" s="56" t="s">
        <v>7376</v>
      </c>
      <c r="J140" s="56" t="s">
        <v>7377</v>
      </c>
      <c r="K140" s="18" t="s">
        <v>6033</v>
      </c>
      <c r="L140" s="56" t="s">
        <v>7376</v>
      </c>
      <c r="M140" s="56" t="s">
        <v>7377</v>
      </c>
      <c r="N140" s="18" t="s">
        <v>6034</v>
      </c>
      <c r="O140" s="56" t="s">
        <v>7376</v>
      </c>
      <c r="P140" s="56" t="s">
        <v>7377</v>
      </c>
    </row>
    <row r="141" spans="1:16" x14ac:dyDescent="0.25">
      <c r="A141" s="17" t="s">
        <v>6035</v>
      </c>
      <c r="B141" s="17" t="s">
        <v>3124</v>
      </c>
      <c r="C141" s="17" t="s">
        <v>60</v>
      </c>
      <c r="D141" s="17" t="s">
        <v>7375</v>
      </c>
      <c r="E141" s="17" t="s">
        <v>6039</v>
      </c>
      <c r="F141" s="56" t="s">
        <v>7376</v>
      </c>
      <c r="G141" s="56" t="s">
        <v>7377</v>
      </c>
      <c r="H141" s="17" t="s">
        <v>6040</v>
      </c>
      <c r="I141" s="56" t="s">
        <v>7376</v>
      </c>
      <c r="J141" s="56" t="s">
        <v>7377</v>
      </c>
      <c r="K141" s="17" t="s">
        <v>6041</v>
      </c>
      <c r="L141" s="56" t="s">
        <v>7376</v>
      </c>
      <c r="M141" s="56" t="s">
        <v>7377</v>
      </c>
      <c r="N141" s="17" t="s">
        <v>6042</v>
      </c>
      <c r="O141" s="56" t="s">
        <v>7376</v>
      </c>
      <c r="P141" s="56" t="s">
        <v>7377</v>
      </c>
    </row>
    <row r="142" spans="1:16" ht="67.5" x14ac:dyDescent="0.25">
      <c r="A142" s="18" t="s">
        <v>6043</v>
      </c>
      <c r="B142" s="18" t="s">
        <v>990</v>
      </c>
      <c r="C142" s="18" t="s">
        <v>60</v>
      </c>
      <c r="D142" s="18" t="s">
        <v>7375</v>
      </c>
      <c r="E142" s="18" t="s">
        <v>6047</v>
      </c>
      <c r="F142" s="56" t="s">
        <v>7376</v>
      </c>
      <c r="G142" s="56" t="s">
        <v>7377</v>
      </c>
      <c r="H142" s="18" t="s">
        <v>6048</v>
      </c>
      <c r="I142" s="56" t="s">
        <v>7376</v>
      </c>
      <c r="J142" s="56" t="s">
        <v>7377</v>
      </c>
      <c r="K142" s="18" t="s">
        <v>6049</v>
      </c>
      <c r="L142" s="56" t="s">
        <v>7376</v>
      </c>
      <c r="M142" s="56" t="s">
        <v>7377</v>
      </c>
      <c r="N142" s="18" t="s">
        <v>6050</v>
      </c>
      <c r="O142" s="56" t="s">
        <v>7376</v>
      </c>
      <c r="P142" s="56" t="s">
        <v>7377</v>
      </c>
    </row>
    <row r="143" spans="1:16" ht="202.5" x14ac:dyDescent="0.25">
      <c r="A143" s="17" t="s">
        <v>6051</v>
      </c>
      <c r="B143" s="17" t="s">
        <v>386</v>
      </c>
      <c r="C143" s="17" t="s">
        <v>60</v>
      </c>
      <c r="D143" s="17" t="s">
        <v>7375</v>
      </c>
      <c r="E143" s="17" t="s">
        <v>6055</v>
      </c>
      <c r="F143" s="56" t="s">
        <v>7376</v>
      </c>
      <c r="G143" s="56" t="s">
        <v>7377</v>
      </c>
      <c r="H143" s="17" t="s">
        <v>6056</v>
      </c>
      <c r="I143" s="56" t="s">
        <v>7376</v>
      </c>
      <c r="J143" s="56" t="s">
        <v>7377</v>
      </c>
      <c r="K143" s="17" t="s">
        <v>6057</v>
      </c>
      <c r="L143" s="56" t="s">
        <v>7376</v>
      </c>
      <c r="M143" s="56" t="s">
        <v>7377</v>
      </c>
      <c r="N143" s="17" t="s">
        <v>6058</v>
      </c>
      <c r="O143" s="56" t="s">
        <v>7376</v>
      </c>
      <c r="P143" s="56" t="s">
        <v>7377</v>
      </c>
    </row>
    <row r="144" spans="1:16" ht="22.5" x14ac:dyDescent="0.25">
      <c r="A144" s="18" t="s">
        <v>6059</v>
      </c>
      <c r="B144" s="18" t="s">
        <v>906</v>
      </c>
      <c r="C144" s="18" t="s">
        <v>60</v>
      </c>
      <c r="D144" s="18" t="s">
        <v>7375</v>
      </c>
      <c r="E144" s="18" t="s">
        <v>6063</v>
      </c>
      <c r="F144" s="56" t="s">
        <v>7376</v>
      </c>
      <c r="G144" s="56" t="s">
        <v>7377</v>
      </c>
      <c r="H144" s="18" t="s">
        <v>6064</v>
      </c>
      <c r="I144" s="56" t="s">
        <v>7376</v>
      </c>
      <c r="J144" s="56" t="s">
        <v>7377</v>
      </c>
      <c r="K144" s="18" t="s">
        <v>6065</v>
      </c>
      <c r="L144" s="56" t="s">
        <v>7376</v>
      </c>
      <c r="M144" s="56" t="s">
        <v>7377</v>
      </c>
      <c r="N144" s="18" t="s">
        <v>6066</v>
      </c>
      <c r="O144" s="56" t="s">
        <v>7376</v>
      </c>
      <c r="P144" s="56" t="s">
        <v>7377</v>
      </c>
    </row>
    <row r="145" spans="1:16" ht="56.25" x14ac:dyDescent="0.25">
      <c r="A145" s="17" t="s">
        <v>6067</v>
      </c>
      <c r="B145" s="17" t="s">
        <v>650</v>
      </c>
      <c r="C145" s="17" t="s">
        <v>60</v>
      </c>
      <c r="D145" s="17" t="s">
        <v>7375</v>
      </c>
      <c r="E145" s="17" t="s">
        <v>6071</v>
      </c>
      <c r="F145" s="56" t="s">
        <v>7376</v>
      </c>
      <c r="G145" s="56" t="s">
        <v>7377</v>
      </c>
      <c r="H145" s="17" t="s">
        <v>6072</v>
      </c>
      <c r="I145" s="56" t="s">
        <v>7376</v>
      </c>
      <c r="J145" s="56" t="s">
        <v>7377</v>
      </c>
      <c r="K145" s="17" t="s">
        <v>6073</v>
      </c>
      <c r="L145" s="56" t="s">
        <v>7376</v>
      </c>
      <c r="M145" s="56" t="s">
        <v>7377</v>
      </c>
      <c r="N145" s="17" t="s">
        <v>6074</v>
      </c>
      <c r="O145" s="56" t="s">
        <v>7376</v>
      </c>
      <c r="P145" s="56" t="s">
        <v>7377</v>
      </c>
    </row>
    <row r="146" spans="1:16" x14ac:dyDescent="0.25">
      <c r="A146" s="18" t="s">
        <v>6075</v>
      </c>
      <c r="B146" s="18" t="s">
        <v>1402</v>
      </c>
      <c r="C146" s="18" t="s">
        <v>60</v>
      </c>
      <c r="D146" s="18" t="s">
        <v>7375</v>
      </c>
      <c r="E146" s="18" t="s">
        <v>6079</v>
      </c>
      <c r="F146" s="56" t="s">
        <v>7376</v>
      </c>
      <c r="G146" s="56" t="s">
        <v>7377</v>
      </c>
      <c r="H146" s="18" t="s">
        <v>6080</v>
      </c>
      <c r="I146" s="56" t="s">
        <v>7376</v>
      </c>
      <c r="J146" s="56" t="s">
        <v>7377</v>
      </c>
      <c r="K146" s="18" t="s">
        <v>6081</v>
      </c>
      <c r="L146" s="56" t="s">
        <v>7376</v>
      </c>
      <c r="M146" s="56" t="s">
        <v>7377</v>
      </c>
      <c r="N146" s="18" t="s">
        <v>6082</v>
      </c>
      <c r="O146" s="56" t="s">
        <v>7376</v>
      </c>
      <c r="P146" s="56" t="s">
        <v>7377</v>
      </c>
    </row>
    <row r="147" spans="1:16" x14ac:dyDescent="0.25">
      <c r="A147" s="17" t="s">
        <v>2754</v>
      </c>
      <c r="B147" s="17" t="s">
        <v>2755</v>
      </c>
      <c r="C147" s="17" t="s">
        <v>60</v>
      </c>
      <c r="D147" s="17" t="s">
        <v>7375</v>
      </c>
      <c r="E147" s="17" t="s">
        <v>6086</v>
      </c>
      <c r="F147" s="56" t="s">
        <v>7376</v>
      </c>
      <c r="G147" s="56" t="s">
        <v>7377</v>
      </c>
      <c r="H147" s="17" t="s">
        <v>6087</v>
      </c>
      <c r="I147" s="56" t="s">
        <v>7376</v>
      </c>
      <c r="J147" s="56" t="s">
        <v>7377</v>
      </c>
      <c r="K147" s="17" t="s">
        <v>6088</v>
      </c>
      <c r="L147" s="56" t="s">
        <v>7376</v>
      </c>
      <c r="M147" s="56" t="s">
        <v>7377</v>
      </c>
      <c r="N147" s="17" t="s">
        <v>6089</v>
      </c>
      <c r="O147" s="56" t="s">
        <v>7376</v>
      </c>
      <c r="P147" s="56" t="s">
        <v>7377</v>
      </c>
    </row>
    <row r="148" spans="1:16" x14ac:dyDescent="0.25">
      <c r="A148" s="18" t="s">
        <v>1497</v>
      </c>
      <c r="B148" s="18" t="s">
        <v>1498</v>
      </c>
      <c r="C148" s="18" t="s">
        <v>60</v>
      </c>
      <c r="D148" s="18" t="s">
        <v>7375</v>
      </c>
      <c r="E148" s="18" t="s">
        <v>6093</v>
      </c>
      <c r="F148" s="56" t="s">
        <v>7376</v>
      </c>
      <c r="G148" s="56" t="s">
        <v>7377</v>
      </c>
      <c r="H148" s="18" t="s">
        <v>6094</v>
      </c>
      <c r="I148" s="56" t="s">
        <v>7376</v>
      </c>
      <c r="J148" s="56" t="s">
        <v>7377</v>
      </c>
      <c r="K148" s="18" t="s">
        <v>6095</v>
      </c>
      <c r="L148" s="56" t="s">
        <v>7376</v>
      </c>
      <c r="M148" s="56" t="s">
        <v>7377</v>
      </c>
      <c r="N148" s="18" t="s">
        <v>6096</v>
      </c>
      <c r="O148" s="56" t="s">
        <v>7376</v>
      </c>
      <c r="P148" s="56" t="s">
        <v>7377</v>
      </c>
    </row>
    <row r="149" spans="1:16" x14ac:dyDescent="0.25">
      <c r="A149" s="17" t="s">
        <v>1563</v>
      </c>
      <c r="B149" s="17" t="s">
        <v>1564</v>
      </c>
      <c r="C149" s="17" t="s">
        <v>60</v>
      </c>
      <c r="D149" s="17" t="s">
        <v>7375</v>
      </c>
      <c r="E149" s="17" t="s">
        <v>6100</v>
      </c>
      <c r="F149" s="56" t="s">
        <v>7376</v>
      </c>
      <c r="G149" s="56" t="s">
        <v>7377</v>
      </c>
      <c r="H149" s="17" t="s">
        <v>6101</v>
      </c>
      <c r="I149" s="56" t="s">
        <v>7376</v>
      </c>
      <c r="J149" s="56" t="s">
        <v>7377</v>
      </c>
      <c r="K149" s="17" t="s">
        <v>6102</v>
      </c>
      <c r="L149" s="56" t="s">
        <v>7376</v>
      </c>
      <c r="M149" s="56" t="s">
        <v>7377</v>
      </c>
      <c r="N149" s="17" t="s">
        <v>6103</v>
      </c>
      <c r="O149" s="56" t="s">
        <v>7376</v>
      </c>
      <c r="P149" s="56" t="s">
        <v>7377</v>
      </c>
    </row>
    <row r="150" spans="1:16" ht="22.5" x14ac:dyDescent="0.25">
      <c r="A150" s="18" t="s">
        <v>6104</v>
      </c>
      <c r="B150" s="18" t="s">
        <v>2700</v>
      </c>
      <c r="C150" s="18" t="s">
        <v>60</v>
      </c>
      <c r="D150" s="18" t="s">
        <v>7375</v>
      </c>
      <c r="E150" s="18" t="s">
        <v>6106</v>
      </c>
      <c r="F150" s="56" t="s">
        <v>7376</v>
      </c>
      <c r="G150" s="56" t="s">
        <v>7377</v>
      </c>
      <c r="H150" s="18" t="s">
        <v>6107</v>
      </c>
      <c r="I150" s="56" t="s">
        <v>7376</v>
      </c>
      <c r="J150" s="56" t="s">
        <v>7377</v>
      </c>
      <c r="K150" s="18" t="s">
        <v>6108</v>
      </c>
      <c r="L150" s="56" t="s">
        <v>7376</v>
      </c>
      <c r="M150" s="56" t="s">
        <v>7377</v>
      </c>
      <c r="N150" s="18" t="s">
        <v>6109</v>
      </c>
      <c r="O150" s="56" t="s">
        <v>7376</v>
      </c>
      <c r="P150" s="56" t="s">
        <v>7377</v>
      </c>
    </row>
    <row r="151" spans="1:16" ht="56.25" x14ac:dyDescent="0.25">
      <c r="A151" s="17" t="s">
        <v>6110</v>
      </c>
      <c r="B151" s="17" t="s">
        <v>378</v>
      </c>
      <c r="C151" s="17" t="s">
        <v>60</v>
      </c>
      <c r="D151" s="17" t="s">
        <v>7375</v>
      </c>
      <c r="E151" s="17" t="s">
        <v>6114</v>
      </c>
      <c r="F151" s="56" t="s">
        <v>7376</v>
      </c>
      <c r="G151" s="56" t="s">
        <v>7377</v>
      </c>
      <c r="H151" s="17" t="s">
        <v>6115</v>
      </c>
      <c r="I151" s="56" t="s">
        <v>7376</v>
      </c>
      <c r="J151" s="56" t="s">
        <v>7377</v>
      </c>
      <c r="K151" s="17" t="s">
        <v>6116</v>
      </c>
      <c r="L151" s="56" t="s">
        <v>7376</v>
      </c>
      <c r="M151" s="56" t="s">
        <v>7377</v>
      </c>
      <c r="N151" s="17" t="s">
        <v>6117</v>
      </c>
      <c r="O151" s="56" t="s">
        <v>7376</v>
      </c>
      <c r="P151" s="56" t="s">
        <v>7377</v>
      </c>
    </row>
    <row r="152" spans="1:16" ht="22.5" x14ac:dyDescent="0.25">
      <c r="A152" s="18" t="s">
        <v>6118</v>
      </c>
      <c r="B152" s="18" t="s">
        <v>265</v>
      </c>
      <c r="C152" s="18" t="s">
        <v>60</v>
      </c>
      <c r="D152" s="18" t="s">
        <v>7375</v>
      </c>
      <c r="E152" s="18" t="s">
        <v>6122</v>
      </c>
      <c r="F152" s="56" t="s">
        <v>7376</v>
      </c>
      <c r="G152" s="56" t="s">
        <v>7377</v>
      </c>
      <c r="H152" s="18" t="s">
        <v>6123</v>
      </c>
      <c r="I152" s="56" t="s">
        <v>7376</v>
      </c>
      <c r="J152" s="56" t="s">
        <v>7377</v>
      </c>
      <c r="K152" s="18" t="s">
        <v>6124</v>
      </c>
      <c r="L152" s="56" t="s">
        <v>7376</v>
      </c>
      <c r="M152" s="56" t="s">
        <v>7377</v>
      </c>
      <c r="N152" s="18" t="s">
        <v>6125</v>
      </c>
      <c r="O152" s="56" t="s">
        <v>7376</v>
      </c>
      <c r="P152" s="56" t="s">
        <v>7377</v>
      </c>
    </row>
    <row r="153" spans="1:16" x14ac:dyDescent="0.25">
      <c r="A153" s="17" t="s">
        <v>2293</v>
      </c>
      <c r="B153" s="17" t="s">
        <v>2294</v>
      </c>
      <c r="C153" s="17" t="s">
        <v>60</v>
      </c>
      <c r="D153" s="17" t="s">
        <v>7375</v>
      </c>
      <c r="E153" s="17" t="s">
        <v>6128</v>
      </c>
      <c r="F153" s="56" t="s">
        <v>7376</v>
      </c>
      <c r="G153" s="56" t="s">
        <v>7377</v>
      </c>
      <c r="H153" s="17" t="s">
        <v>6129</v>
      </c>
      <c r="I153" s="56" t="s">
        <v>7376</v>
      </c>
      <c r="J153" s="56" t="s">
        <v>7377</v>
      </c>
      <c r="K153" s="17" t="s">
        <v>6130</v>
      </c>
      <c r="L153" s="56" t="s">
        <v>7376</v>
      </c>
      <c r="M153" s="56" t="s">
        <v>7377</v>
      </c>
      <c r="N153" s="17" t="s">
        <v>6131</v>
      </c>
      <c r="O153" s="56" t="s">
        <v>7376</v>
      </c>
      <c r="P153" s="56" t="s">
        <v>7377</v>
      </c>
    </row>
    <row r="154" spans="1:16" x14ac:dyDescent="0.25">
      <c r="A154" s="18" t="s">
        <v>4425</v>
      </c>
      <c r="B154" s="18" t="s">
        <v>4426</v>
      </c>
      <c r="C154" s="18" t="s">
        <v>60</v>
      </c>
      <c r="D154" s="18" t="s">
        <v>7375</v>
      </c>
      <c r="E154" s="18" t="s">
        <v>6133</v>
      </c>
      <c r="F154" s="56" t="s">
        <v>7376</v>
      </c>
      <c r="G154" s="56" t="s">
        <v>7377</v>
      </c>
      <c r="H154" s="18" t="s">
        <v>6134</v>
      </c>
      <c r="I154" s="56" t="s">
        <v>7376</v>
      </c>
      <c r="J154" s="56" t="s">
        <v>7377</v>
      </c>
      <c r="K154" s="18" t="s">
        <v>6135</v>
      </c>
      <c r="L154" s="56" t="s">
        <v>7376</v>
      </c>
      <c r="M154" s="56" t="s">
        <v>7377</v>
      </c>
      <c r="N154" s="18" t="s">
        <v>6136</v>
      </c>
      <c r="O154" s="56" t="s">
        <v>7376</v>
      </c>
      <c r="P154" s="56" t="s">
        <v>7377</v>
      </c>
    </row>
    <row r="155" spans="1:16" ht="22.5" x14ac:dyDescent="0.25">
      <c r="A155" s="17" t="s">
        <v>6137</v>
      </c>
      <c r="B155" s="17" t="s">
        <v>2147</v>
      </c>
      <c r="C155" s="17" t="s">
        <v>60</v>
      </c>
      <c r="D155" s="17" t="s">
        <v>7375</v>
      </c>
      <c r="E155" s="17" t="s">
        <v>6141</v>
      </c>
      <c r="F155" s="56" t="s">
        <v>7376</v>
      </c>
      <c r="G155" s="56" t="s">
        <v>7377</v>
      </c>
      <c r="H155" s="17" t="s">
        <v>6142</v>
      </c>
      <c r="I155" s="56" t="s">
        <v>7376</v>
      </c>
      <c r="J155" s="56" t="s">
        <v>7377</v>
      </c>
      <c r="K155" s="17" t="s">
        <v>6143</v>
      </c>
      <c r="L155" s="56" t="s">
        <v>7376</v>
      </c>
      <c r="M155" s="56" t="s">
        <v>7377</v>
      </c>
      <c r="N155" s="17" t="s">
        <v>6144</v>
      </c>
      <c r="O155" s="56" t="s">
        <v>7376</v>
      </c>
      <c r="P155" s="56" t="s">
        <v>7377</v>
      </c>
    </row>
    <row r="156" spans="1:16" x14ac:dyDescent="0.25">
      <c r="A156" s="18" t="s">
        <v>6145</v>
      </c>
      <c r="B156" s="18" t="s">
        <v>3626</v>
      </c>
      <c r="C156" s="18" t="s">
        <v>60</v>
      </c>
      <c r="D156" s="18" t="s">
        <v>7375</v>
      </c>
      <c r="E156" s="18" t="s">
        <v>6149</v>
      </c>
      <c r="F156" s="56" t="s">
        <v>7376</v>
      </c>
      <c r="G156" s="56" t="s">
        <v>7377</v>
      </c>
      <c r="H156" s="18" t="s">
        <v>6150</v>
      </c>
      <c r="I156" s="56" t="s">
        <v>7376</v>
      </c>
      <c r="J156" s="56" t="s">
        <v>7377</v>
      </c>
      <c r="K156" s="18" t="s">
        <v>6151</v>
      </c>
      <c r="L156" s="56" t="s">
        <v>7376</v>
      </c>
      <c r="M156" s="56" t="s">
        <v>7377</v>
      </c>
      <c r="N156" s="18" t="s">
        <v>6152</v>
      </c>
      <c r="O156" s="56" t="s">
        <v>7376</v>
      </c>
      <c r="P156" s="56" t="s">
        <v>7377</v>
      </c>
    </row>
    <row r="157" spans="1:16" ht="112.5" x14ac:dyDescent="0.25">
      <c r="A157" s="17" t="s">
        <v>6153</v>
      </c>
      <c r="B157" s="17" t="s">
        <v>1294</v>
      </c>
      <c r="C157" s="17" t="s">
        <v>60</v>
      </c>
      <c r="D157" s="17" t="s">
        <v>7375</v>
      </c>
      <c r="E157" s="17" t="s">
        <v>6157</v>
      </c>
      <c r="F157" s="56" t="s">
        <v>7376</v>
      </c>
      <c r="G157" s="56" t="s">
        <v>7377</v>
      </c>
      <c r="H157" s="17" t="s">
        <v>6158</v>
      </c>
      <c r="I157" s="56" t="s">
        <v>7376</v>
      </c>
      <c r="J157" s="56" t="s">
        <v>7377</v>
      </c>
      <c r="K157" s="17" t="s">
        <v>6159</v>
      </c>
      <c r="L157" s="56" t="s">
        <v>7376</v>
      </c>
      <c r="M157" s="56" t="s">
        <v>7377</v>
      </c>
      <c r="N157" s="17" t="s">
        <v>6160</v>
      </c>
      <c r="O157" s="56" t="s">
        <v>7376</v>
      </c>
      <c r="P157" s="56" t="s">
        <v>7377</v>
      </c>
    </row>
    <row r="158" spans="1:16" ht="33.75" x14ac:dyDescent="0.25">
      <c r="A158" s="18" t="s">
        <v>6161</v>
      </c>
      <c r="B158" s="18" t="s">
        <v>1715</v>
      </c>
      <c r="C158" s="18" t="s">
        <v>60</v>
      </c>
      <c r="D158" s="18" t="s">
        <v>7375</v>
      </c>
      <c r="E158" s="18" t="s">
        <v>6165</v>
      </c>
      <c r="F158" s="56" t="s">
        <v>7376</v>
      </c>
      <c r="G158" s="56" t="s">
        <v>7377</v>
      </c>
      <c r="H158" s="18" t="s">
        <v>6166</v>
      </c>
      <c r="I158" s="56" t="s">
        <v>7376</v>
      </c>
      <c r="J158" s="56" t="s">
        <v>7377</v>
      </c>
      <c r="K158" s="18" t="s">
        <v>6167</v>
      </c>
      <c r="L158" s="56" t="s">
        <v>7376</v>
      </c>
      <c r="M158" s="56" t="s">
        <v>7377</v>
      </c>
      <c r="N158" s="18" t="s">
        <v>6168</v>
      </c>
      <c r="O158" s="56" t="s">
        <v>7376</v>
      </c>
      <c r="P158" s="56" t="s">
        <v>7377</v>
      </c>
    </row>
    <row r="159" spans="1:16" ht="33.75" x14ac:dyDescent="0.25">
      <c r="A159" s="17" t="s">
        <v>6169</v>
      </c>
      <c r="B159" s="17" t="s">
        <v>820</v>
      </c>
      <c r="C159" s="17" t="s">
        <v>60</v>
      </c>
      <c r="D159" s="17" t="s">
        <v>7375</v>
      </c>
      <c r="E159" s="17" t="s">
        <v>6173</v>
      </c>
      <c r="F159" s="56" t="s">
        <v>7376</v>
      </c>
      <c r="G159" s="56" t="s">
        <v>7377</v>
      </c>
      <c r="H159" s="17" t="s">
        <v>6174</v>
      </c>
      <c r="I159" s="56" t="s">
        <v>7376</v>
      </c>
      <c r="J159" s="56" t="s">
        <v>7377</v>
      </c>
      <c r="K159" s="17" t="s">
        <v>6175</v>
      </c>
      <c r="L159" s="56" t="s">
        <v>7376</v>
      </c>
      <c r="M159" s="56" t="s">
        <v>7377</v>
      </c>
      <c r="N159" s="17" t="s">
        <v>6176</v>
      </c>
      <c r="O159" s="56" t="s">
        <v>7376</v>
      </c>
      <c r="P159" s="56" t="s">
        <v>7377</v>
      </c>
    </row>
    <row r="160" spans="1:16" x14ac:dyDescent="0.25">
      <c r="A160" s="18" t="s">
        <v>627</v>
      </c>
      <c r="B160" s="18" t="s">
        <v>628</v>
      </c>
      <c r="C160" s="18" t="s">
        <v>60</v>
      </c>
      <c r="D160" s="18" t="s">
        <v>7375</v>
      </c>
      <c r="E160" s="18" t="s">
        <v>6180</v>
      </c>
      <c r="F160" s="56" t="s">
        <v>7376</v>
      </c>
      <c r="G160" s="56" t="s">
        <v>7377</v>
      </c>
      <c r="H160" s="18" t="s">
        <v>6181</v>
      </c>
      <c r="I160" s="56" t="s">
        <v>7376</v>
      </c>
      <c r="J160" s="56" t="s">
        <v>7377</v>
      </c>
      <c r="K160" s="18" t="s">
        <v>6182</v>
      </c>
      <c r="L160" s="56" t="s">
        <v>7376</v>
      </c>
      <c r="M160" s="56" t="s">
        <v>7377</v>
      </c>
      <c r="N160" s="18" t="s">
        <v>6183</v>
      </c>
      <c r="O160" s="56" t="s">
        <v>7376</v>
      </c>
      <c r="P160" s="56" t="s">
        <v>7377</v>
      </c>
    </row>
    <row r="161" spans="1:16" x14ac:dyDescent="0.25">
      <c r="A161" s="17" t="s">
        <v>1353</v>
      </c>
      <c r="B161" s="17" t="s">
        <v>1354</v>
      </c>
      <c r="C161" s="17" t="s">
        <v>60</v>
      </c>
      <c r="D161" s="17" t="s">
        <v>7375</v>
      </c>
      <c r="E161" s="17" t="s">
        <v>6187</v>
      </c>
      <c r="F161" s="56" t="s">
        <v>7376</v>
      </c>
      <c r="G161" s="56" t="s">
        <v>7377</v>
      </c>
      <c r="H161" s="17" t="s">
        <v>6188</v>
      </c>
      <c r="I161" s="56" t="s">
        <v>7376</v>
      </c>
      <c r="J161" s="56" t="s">
        <v>7377</v>
      </c>
      <c r="K161" s="17" t="s">
        <v>6189</v>
      </c>
      <c r="L161" s="56" t="s">
        <v>7376</v>
      </c>
      <c r="M161" s="56" t="s">
        <v>7377</v>
      </c>
      <c r="N161" s="17" t="s">
        <v>6190</v>
      </c>
      <c r="O161" s="56" t="s">
        <v>7376</v>
      </c>
      <c r="P161" s="56" t="s">
        <v>7377</v>
      </c>
    </row>
    <row r="162" spans="1:16" x14ac:dyDescent="0.25">
      <c r="A162" s="18" t="s">
        <v>6191</v>
      </c>
      <c r="B162" s="18" t="s">
        <v>2340</v>
      </c>
      <c r="C162" s="18" t="s">
        <v>60</v>
      </c>
      <c r="D162" s="18" t="s">
        <v>7375</v>
      </c>
      <c r="E162" s="18" t="s">
        <v>6195</v>
      </c>
      <c r="F162" s="56" t="s">
        <v>7376</v>
      </c>
      <c r="G162" s="56" t="s">
        <v>7377</v>
      </c>
      <c r="H162" s="18" t="s">
        <v>6196</v>
      </c>
      <c r="I162" s="56" t="s">
        <v>7376</v>
      </c>
      <c r="J162" s="56" t="s">
        <v>7377</v>
      </c>
      <c r="K162" s="18" t="s">
        <v>6197</v>
      </c>
      <c r="L162" s="56" t="s">
        <v>7376</v>
      </c>
      <c r="M162" s="56" t="s">
        <v>7377</v>
      </c>
      <c r="N162" s="18" t="s">
        <v>6198</v>
      </c>
      <c r="O162" s="56" t="s">
        <v>7376</v>
      </c>
      <c r="P162" s="56" t="s">
        <v>7377</v>
      </c>
    </row>
    <row r="163" spans="1:16" x14ac:dyDescent="0.25">
      <c r="A163" s="17" t="s">
        <v>4138</v>
      </c>
      <c r="B163" s="17" t="s">
        <v>4139</v>
      </c>
      <c r="C163" s="17" t="s">
        <v>60</v>
      </c>
      <c r="D163" s="17" t="s">
        <v>7375</v>
      </c>
      <c r="E163" s="17" t="s">
        <v>6201</v>
      </c>
      <c r="F163" s="56" t="s">
        <v>7376</v>
      </c>
      <c r="G163" s="56" t="s">
        <v>7377</v>
      </c>
      <c r="H163" s="17" t="s">
        <v>6202</v>
      </c>
      <c r="I163" s="56" t="s">
        <v>7376</v>
      </c>
      <c r="J163" s="56" t="s">
        <v>7377</v>
      </c>
      <c r="K163" s="17" t="s">
        <v>6203</v>
      </c>
      <c r="L163" s="56" t="s">
        <v>7376</v>
      </c>
      <c r="M163" s="56" t="s">
        <v>7377</v>
      </c>
      <c r="N163" s="17" t="s">
        <v>6204</v>
      </c>
      <c r="O163" s="56" t="s">
        <v>7376</v>
      </c>
      <c r="P163" s="56" t="s">
        <v>7377</v>
      </c>
    </row>
    <row r="164" spans="1:16" x14ac:dyDescent="0.25">
      <c r="A164" s="18" t="s">
        <v>6205</v>
      </c>
      <c r="B164" s="18" t="s">
        <v>1789</v>
      </c>
      <c r="C164" s="18" t="s">
        <v>60</v>
      </c>
      <c r="D164" s="18" t="s">
        <v>7375</v>
      </c>
      <c r="E164" s="18" t="s">
        <v>6208</v>
      </c>
      <c r="F164" s="56" t="s">
        <v>7376</v>
      </c>
      <c r="G164" s="56" t="s">
        <v>7377</v>
      </c>
      <c r="H164" s="18" t="s">
        <v>6209</v>
      </c>
      <c r="I164" s="56" t="s">
        <v>7376</v>
      </c>
      <c r="J164" s="56" t="s">
        <v>7377</v>
      </c>
      <c r="K164" s="18" t="s">
        <v>6210</v>
      </c>
      <c r="L164" s="56" t="s">
        <v>7376</v>
      </c>
      <c r="M164" s="56" t="s">
        <v>7377</v>
      </c>
      <c r="N164" s="18" t="s">
        <v>6211</v>
      </c>
      <c r="O164" s="56" t="s">
        <v>7376</v>
      </c>
      <c r="P164" s="56" t="s">
        <v>7377</v>
      </c>
    </row>
    <row r="165" spans="1:16" x14ac:dyDescent="0.25">
      <c r="A165" s="17" t="s">
        <v>3920</v>
      </c>
      <c r="B165" s="17" t="s">
        <v>3921</v>
      </c>
      <c r="C165" s="17" t="s">
        <v>60</v>
      </c>
      <c r="D165" s="17" t="s">
        <v>7375</v>
      </c>
      <c r="E165" s="17" t="s">
        <v>6215</v>
      </c>
      <c r="F165" s="56" t="s">
        <v>7376</v>
      </c>
      <c r="G165" s="56" t="s">
        <v>7377</v>
      </c>
      <c r="H165" s="17" t="s">
        <v>6216</v>
      </c>
      <c r="I165" s="56" t="s">
        <v>7376</v>
      </c>
      <c r="J165" s="56" t="s">
        <v>7377</v>
      </c>
      <c r="K165" s="17" t="s">
        <v>6217</v>
      </c>
      <c r="L165" s="56" t="s">
        <v>7376</v>
      </c>
      <c r="M165" s="56" t="s">
        <v>7377</v>
      </c>
      <c r="N165" s="17" t="s">
        <v>6218</v>
      </c>
      <c r="O165" s="56" t="s">
        <v>7376</v>
      </c>
      <c r="P165" s="56" t="s">
        <v>7377</v>
      </c>
    </row>
    <row r="166" spans="1:16" ht="45" x14ac:dyDescent="0.25">
      <c r="A166" s="18" t="s">
        <v>6219</v>
      </c>
      <c r="B166" s="18" t="s">
        <v>366</v>
      </c>
      <c r="C166" s="18" t="s">
        <v>60</v>
      </c>
      <c r="D166" s="18" t="s">
        <v>7375</v>
      </c>
      <c r="E166" s="18" t="s">
        <v>6223</v>
      </c>
      <c r="F166" s="56" t="s">
        <v>7376</v>
      </c>
      <c r="G166" s="56" t="s">
        <v>7377</v>
      </c>
      <c r="H166" s="18" t="s">
        <v>6224</v>
      </c>
      <c r="I166" s="56" t="s">
        <v>7376</v>
      </c>
      <c r="J166" s="56" t="s">
        <v>7377</v>
      </c>
      <c r="K166" s="18" t="s">
        <v>6225</v>
      </c>
      <c r="L166" s="56" t="s">
        <v>7376</v>
      </c>
      <c r="M166" s="56" t="s">
        <v>7377</v>
      </c>
      <c r="N166" s="18" t="s">
        <v>6226</v>
      </c>
      <c r="O166" s="56" t="s">
        <v>7376</v>
      </c>
      <c r="P166" s="56" t="s">
        <v>7377</v>
      </c>
    </row>
    <row r="167" spans="1:16" x14ac:dyDescent="0.25">
      <c r="A167" s="17" t="s">
        <v>6227</v>
      </c>
      <c r="B167" s="17" t="s">
        <v>1139</v>
      </c>
      <c r="C167" s="17" t="s">
        <v>60</v>
      </c>
      <c r="D167" s="17" t="s">
        <v>7375</v>
      </c>
      <c r="E167" s="17" t="s">
        <v>6231</v>
      </c>
      <c r="F167" s="56" t="s">
        <v>7376</v>
      </c>
      <c r="G167" s="56" t="s">
        <v>7377</v>
      </c>
      <c r="H167" s="17" t="s">
        <v>6232</v>
      </c>
      <c r="I167" s="56" t="s">
        <v>7376</v>
      </c>
      <c r="J167" s="56" t="s">
        <v>7377</v>
      </c>
      <c r="K167" s="17" t="s">
        <v>6233</v>
      </c>
      <c r="L167" s="56" t="s">
        <v>7376</v>
      </c>
      <c r="M167" s="56" t="s">
        <v>7377</v>
      </c>
      <c r="N167" s="17" t="s">
        <v>6234</v>
      </c>
      <c r="O167" s="56" t="s">
        <v>7376</v>
      </c>
      <c r="P167" s="56" t="s">
        <v>7377</v>
      </c>
    </row>
    <row r="168" spans="1:16" x14ac:dyDescent="0.25">
      <c r="A168" s="18" t="s">
        <v>6235</v>
      </c>
      <c r="B168" s="18" t="s">
        <v>3287</v>
      </c>
      <c r="C168" s="18" t="s">
        <v>60</v>
      </c>
      <c r="D168" s="18" t="s">
        <v>7375</v>
      </c>
      <c r="E168" s="18" t="s">
        <v>6239</v>
      </c>
      <c r="F168" s="56" t="s">
        <v>7376</v>
      </c>
      <c r="G168" s="56" t="s">
        <v>7377</v>
      </c>
      <c r="H168" s="18" t="s">
        <v>6240</v>
      </c>
      <c r="I168" s="56" t="s">
        <v>7376</v>
      </c>
      <c r="J168" s="56" t="s">
        <v>7377</v>
      </c>
      <c r="K168" s="18" t="s">
        <v>6241</v>
      </c>
      <c r="L168" s="56" t="s">
        <v>7376</v>
      </c>
      <c r="M168" s="56" t="s">
        <v>7377</v>
      </c>
      <c r="N168" s="18" t="s">
        <v>6242</v>
      </c>
      <c r="O168" s="56" t="s">
        <v>7376</v>
      </c>
      <c r="P168" s="56" t="s">
        <v>7377</v>
      </c>
    </row>
    <row r="169" spans="1:16" x14ac:dyDescent="0.25">
      <c r="A169" s="17" t="s">
        <v>615</v>
      </c>
      <c r="B169" s="17" t="s">
        <v>616</v>
      </c>
      <c r="C169" s="17" t="s">
        <v>60</v>
      </c>
      <c r="D169" s="17" t="s">
        <v>7375</v>
      </c>
      <c r="E169" s="17" t="s">
        <v>6246</v>
      </c>
      <c r="F169" s="56" t="s">
        <v>7376</v>
      </c>
      <c r="G169" s="56" t="s">
        <v>7377</v>
      </c>
      <c r="H169" s="17" t="s">
        <v>6247</v>
      </c>
      <c r="I169" s="56" t="s">
        <v>7376</v>
      </c>
      <c r="J169" s="56" t="s">
        <v>7377</v>
      </c>
      <c r="K169" s="17" t="s">
        <v>6248</v>
      </c>
      <c r="L169" s="56" t="s">
        <v>7376</v>
      </c>
      <c r="M169" s="56" t="s">
        <v>7377</v>
      </c>
      <c r="N169" s="17" t="s">
        <v>6249</v>
      </c>
      <c r="O169" s="56" t="s">
        <v>7376</v>
      </c>
      <c r="P169" s="56" t="s">
        <v>7377</v>
      </c>
    </row>
    <row r="170" spans="1:16" x14ac:dyDescent="0.25">
      <c r="A170" s="18" t="s">
        <v>739</v>
      </c>
      <c r="B170" s="18" t="s">
        <v>740</v>
      </c>
      <c r="C170" s="18" t="s">
        <v>60</v>
      </c>
      <c r="D170" s="18" t="s">
        <v>7375</v>
      </c>
      <c r="E170" s="18" t="s">
        <v>6253</v>
      </c>
      <c r="F170" s="56" t="s">
        <v>7376</v>
      </c>
      <c r="G170" s="56" t="s">
        <v>7377</v>
      </c>
      <c r="H170" s="18" t="s">
        <v>6254</v>
      </c>
      <c r="I170" s="56" t="s">
        <v>7376</v>
      </c>
      <c r="J170" s="56" t="s">
        <v>7377</v>
      </c>
      <c r="K170" s="18" t="s">
        <v>6255</v>
      </c>
      <c r="L170" s="56" t="s">
        <v>7376</v>
      </c>
      <c r="M170" s="56" t="s">
        <v>7377</v>
      </c>
      <c r="N170" s="18" t="s">
        <v>6256</v>
      </c>
      <c r="O170" s="56" t="s">
        <v>7376</v>
      </c>
      <c r="P170" s="56" t="s">
        <v>7377</v>
      </c>
    </row>
    <row r="171" spans="1:16" x14ac:dyDescent="0.25">
      <c r="A171" s="17" t="s">
        <v>2217</v>
      </c>
      <c r="B171" s="17" t="s">
        <v>2218</v>
      </c>
      <c r="C171" s="17" t="s">
        <v>60</v>
      </c>
      <c r="D171" s="17" t="s">
        <v>7375</v>
      </c>
      <c r="E171" s="17" t="s">
        <v>6260</v>
      </c>
      <c r="F171" s="56" t="s">
        <v>7376</v>
      </c>
      <c r="G171" s="56" t="s">
        <v>7377</v>
      </c>
      <c r="H171" s="17" t="s">
        <v>6261</v>
      </c>
      <c r="I171" s="56" t="s">
        <v>7376</v>
      </c>
      <c r="J171" s="56" t="s">
        <v>7377</v>
      </c>
      <c r="K171" s="17" t="s">
        <v>6262</v>
      </c>
      <c r="L171" s="56" t="s">
        <v>7376</v>
      </c>
      <c r="M171" s="56" t="s">
        <v>7377</v>
      </c>
      <c r="N171" s="17" t="s">
        <v>6263</v>
      </c>
      <c r="O171" s="56" t="s">
        <v>7376</v>
      </c>
      <c r="P171" s="56" t="s">
        <v>7377</v>
      </c>
    </row>
    <row r="172" spans="1:16" ht="22.5" x14ac:dyDescent="0.25">
      <c r="A172" s="18" t="s">
        <v>6264</v>
      </c>
      <c r="B172" s="18" t="s">
        <v>2141</v>
      </c>
      <c r="C172" s="18" t="s">
        <v>60</v>
      </c>
      <c r="D172" s="18" t="s">
        <v>7375</v>
      </c>
      <c r="E172" s="18" t="s">
        <v>6268</v>
      </c>
      <c r="F172" s="56" t="s">
        <v>7376</v>
      </c>
      <c r="G172" s="56" t="s">
        <v>7377</v>
      </c>
      <c r="H172" s="18" t="s">
        <v>6269</v>
      </c>
      <c r="I172" s="56" t="s">
        <v>7376</v>
      </c>
      <c r="J172" s="56" t="s">
        <v>7377</v>
      </c>
      <c r="K172" s="18" t="s">
        <v>6270</v>
      </c>
      <c r="L172" s="56" t="s">
        <v>7376</v>
      </c>
      <c r="M172" s="56" t="s">
        <v>7377</v>
      </c>
      <c r="N172" s="18" t="s">
        <v>6271</v>
      </c>
      <c r="O172" s="56" t="s">
        <v>7376</v>
      </c>
      <c r="P172" s="56" t="s">
        <v>7377</v>
      </c>
    </row>
    <row r="173" spans="1:16" x14ac:dyDescent="0.25">
      <c r="A173" s="17" t="s">
        <v>6272</v>
      </c>
      <c r="B173" s="17" t="s">
        <v>3630</v>
      </c>
      <c r="C173" s="17" t="s">
        <v>60</v>
      </c>
      <c r="D173" s="17" t="s">
        <v>7375</v>
      </c>
      <c r="E173" s="17" t="s">
        <v>6276</v>
      </c>
      <c r="F173" s="56" t="s">
        <v>7376</v>
      </c>
      <c r="G173" s="56" t="s">
        <v>7377</v>
      </c>
      <c r="H173" s="17" t="s">
        <v>6277</v>
      </c>
      <c r="I173" s="56" t="s">
        <v>7376</v>
      </c>
      <c r="J173" s="56" t="s">
        <v>7377</v>
      </c>
      <c r="K173" s="17" t="s">
        <v>6278</v>
      </c>
      <c r="L173" s="56" t="s">
        <v>7376</v>
      </c>
      <c r="M173" s="56" t="s">
        <v>7377</v>
      </c>
      <c r="N173" s="17" t="s">
        <v>6279</v>
      </c>
      <c r="O173" s="56" t="s">
        <v>7376</v>
      </c>
      <c r="P173" s="56" t="s">
        <v>7377</v>
      </c>
    </row>
    <row r="174" spans="1:16" x14ac:dyDescent="0.25">
      <c r="A174" s="18" t="s">
        <v>623</v>
      </c>
      <c r="B174" s="18" t="s">
        <v>624</v>
      </c>
      <c r="C174" s="18" t="s">
        <v>60</v>
      </c>
      <c r="D174" s="18" t="s">
        <v>7375</v>
      </c>
      <c r="E174" s="18" t="s">
        <v>6283</v>
      </c>
      <c r="F174" s="56" t="s">
        <v>7376</v>
      </c>
      <c r="G174" s="56" t="s">
        <v>7377</v>
      </c>
      <c r="H174" s="18" t="s">
        <v>6284</v>
      </c>
      <c r="I174" s="56" t="s">
        <v>7376</v>
      </c>
      <c r="J174" s="56" t="s">
        <v>7377</v>
      </c>
      <c r="K174" s="18" t="s">
        <v>6285</v>
      </c>
      <c r="L174" s="56" t="s">
        <v>7376</v>
      </c>
      <c r="M174" s="56" t="s">
        <v>7377</v>
      </c>
      <c r="N174" s="18" t="s">
        <v>6286</v>
      </c>
      <c r="O174" s="56" t="s">
        <v>7376</v>
      </c>
      <c r="P174" s="56" t="s">
        <v>7377</v>
      </c>
    </row>
    <row r="175" spans="1:16" x14ac:dyDescent="0.25">
      <c r="A175" s="17" t="s">
        <v>6287</v>
      </c>
      <c r="B175" s="17" t="s">
        <v>2367</v>
      </c>
      <c r="C175" s="17" t="s">
        <v>60</v>
      </c>
      <c r="D175" s="17" t="s">
        <v>7375</v>
      </c>
      <c r="E175" s="17" t="s">
        <v>6291</v>
      </c>
      <c r="F175" s="56" t="s">
        <v>7376</v>
      </c>
      <c r="G175" s="56" t="s">
        <v>7377</v>
      </c>
      <c r="H175" s="17" t="s">
        <v>6292</v>
      </c>
      <c r="I175" s="56" t="s">
        <v>7376</v>
      </c>
      <c r="J175" s="56" t="s">
        <v>7377</v>
      </c>
      <c r="K175" s="17" t="s">
        <v>6293</v>
      </c>
      <c r="L175" s="56" t="s">
        <v>7376</v>
      </c>
      <c r="M175" s="56" t="s">
        <v>7377</v>
      </c>
      <c r="N175" s="17" t="s">
        <v>6294</v>
      </c>
      <c r="O175" s="56" t="s">
        <v>7376</v>
      </c>
      <c r="P175" s="56" t="s">
        <v>7377</v>
      </c>
    </row>
    <row r="176" spans="1:16" x14ac:dyDescent="0.25">
      <c r="A176" s="18" t="s">
        <v>2475</v>
      </c>
      <c r="B176" s="18" t="s">
        <v>2476</v>
      </c>
      <c r="C176" s="18" t="s">
        <v>60</v>
      </c>
      <c r="D176" s="18" t="s">
        <v>7375</v>
      </c>
      <c r="E176" s="18" t="s">
        <v>6298</v>
      </c>
      <c r="F176" s="56" t="s">
        <v>7376</v>
      </c>
      <c r="G176" s="56" t="s">
        <v>7377</v>
      </c>
      <c r="H176" s="18" t="s">
        <v>6299</v>
      </c>
      <c r="I176" s="56" t="s">
        <v>7376</v>
      </c>
      <c r="J176" s="56" t="s">
        <v>7377</v>
      </c>
      <c r="K176" s="18" t="s">
        <v>6300</v>
      </c>
      <c r="L176" s="56" t="s">
        <v>7376</v>
      </c>
      <c r="M176" s="56" t="s">
        <v>7377</v>
      </c>
      <c r="N176" s="18" t="s">
        <v>6301</v>
      </c>
      <c r="O176" s="56" t="s">
        <v>7376</v>
      </c>
      <c r="P176" s="56" t="s">
        <v>7377</v>
      </c>
    </row>
    <row r="177" spans="1:16" ht="157.5" x14ac:dyDescent="0.25">
      <c r="A177" s="17" t="s">
        <v>6302</v>
      </c>
      <c r="B177" s="17" t="s">
        <v>794</v>
      </c>
      <c r="C177" s="17" t="s">
        <v>60</v>
      </c>
      <c r="D177" s="17" t="s">
        <v>7375</v>
      </c>
      <c r="E177" s="17" t="s">
        <v>6306</v>
      </c>
      <c r="F177" s="56" t="s">
        <v>7376</v>
      </c>
      <c r="G177" s="56" t="s">
        <v>7377</v>
      </c>
      <c r="H177" s="17" t="s">
        <v>6307</v>
      </c>
      <c r="I177" s="56" t="s">
        <v>7376</v>
      </c>
      <c r="J177" s="56" t="s">
        <v>7377</v>
      </c>
      <c r="K177" s="17" t="s">
        <v>6308</v>
      </c>
      <c r="L177" s="56" t="s">
        <v>7376</v>
      </c>
      <c r="M177" s="56" t="s">
        <v>7377</v>
      </c>
      <c r="N177" s="17" t="s">
        <v>6309</v>
      </c>
      <c r="O177" s="56" t="s">
        <v>7376</v>
      </c>
      <c r="P177" s="56" t="s">
        <v>7377</v>
      </c>
    </row>
    <row r="178" spans="1:16" ht="22.5" x14ac:dyDescent="0.25">
      <c r="A178" s="18" t="s">
        <v>6310</v>
      </c>
      <c r="B178" s="18" t="s">
        <v>644</v>
      </c>
      <c r="C178" s="18" t="s">
        <v>60</v>
      </c>
      <c r="D178" s="18" t="s">
        <v>7375</v>
      </c>
      <c r="E178" s="18" t="s">
        <v>6314</v>
      </c>
      <c r="F178" s="56" t="s">
        <v>7376</v>
      </c>
      <c r="G178" s="56" t="s">
        <v>7377</v>
      </c>
      <c r="H178" s="18" t="s">
        <v>6315</v>
      </c>
      <c r="I178" s="56" t="s">
        <v>7376</v>
      </c>
      <c r="J178" s="56" t="s">
        <v>7377</v>
      </c>
      <c r="K178" s="18" t="s">
        <v>6316</v>
      </c>
      <c r="L178" s="56" t="s">
        <v>7376</v>
      </c>
      <c r="M178" s="56" t="s">
        <v>7377</v>
      </c>
      <c r="N178" s="18" t="s">
        <v>6317</v>
      </c>
      <c r="O178" s="56" t="s">
        <v>7376</v>
      </c>
      <c r="P178" s="56" t="s">
        <v>7377</v>
      </c>
    </row>
    <row r="179" spans="1:16" x14ac:dyDescent="0.25">
      <c r="A179" s="17" t="s">
        <v>4533</v>
      </c>
      <c r="B179" s="17" t="s">
        <v>4534</v>
      </c>
      <c r="C179" s="17" t="s">
        <v>60</v>
      </c>
      <c r="D179" s="17" t="s">
        <v>7375</v>
      </c>
      <c r="E179" s="17" t="s">
        <v>6321</v>
      </c>
      <c r="F179" s="56" t="s">
        <v>7376</v>
      </c>
      <c r="G179" s="56" t="s">
        <v>7377</v>
      </c>
      <c r="H179" s="17" t="s">
        <v>6322</v>
      </c>
      <c r="I179" s="56" t="s">
        <v>7376</v>
      </c>
      <c r="J179" s="56" t="s">
        <v>7377</v>
      </c>
      <c r="K179" s="17" t="s">
        <v>6323</v>
      </c>
      <c r="L179" s="56" t="s">
        <v>7376</v>
      </c>
      <c r="M179" s="56" t="s">
        <v>7377</v>
      </c>
      <c r="N179" s="17" t="s">
        <v>6324</v>
      </c>
      <c r="O179" s="56" t="s">
        <v>7376</v>
      </c>
      <c r="P179" s="56" t="s">
        <v>7377</v>
      </c>
    </row>
    <row r="180" spans="1:16" ht="78.75" x14ac:dyDescent="0.25">
      <c r="A180" s="18" t="s">
        <v>6325</v>
      </c>
      <c r="B180" s="18" t="s">
        <v>588</v>
      </c>
      <c r="C180" s="18" t="s">
        <v>60</v>
      </c>
      <c r="D180" s="18" t="s">
        <v>7375</v>
      </c>
      <c r="E180" s="18" t="s">
        <v>6329</v>
      </c>
      <c r="F180" s="56" t="s">
        <v>7376</v>
      </c>
      <c r="G180" s="56" t="s">
        <v>7377</v>
      </c>
      <c r="H180" s="18" t="s">
        <v>6330</v>
      </c>
      <c r="I180" s="56" t="s">
        <v>7376</v>
      </c>
      <c r="J180" s="56" t="s">
        <v>7377</v>
      </c>
      <c r="K180" s="18" t="s">
        <v>6331</v>
      </c>
      <c r="L180" s="56" t="s">
        <v>7376</v>
      </c>
      <c r="M180" s="56" t="s">
        <v>7377</v>
      </c>
      <c r="N180" s="18" t="s">
        <v>6332</v>
      </c>
      <c r="O180" s="56" t="s">
        <v>7376</v>
      </c>
      <c r="P180" s="56" t="s">
        <v>7377</v>
      </c>
    </row>
    <row r="181" spans="1:16" ht="270" x14ac:dyDescent="0.25">
      <c r="A181" s="17" t="s">
        <v>6333</v>
      </c>
      <c r="B181" s="17" t="s">
        <v>404</v>
      </c>
      <c r="C181" s="17" t="s">
        <v>60</v>
      </c>
      <c r="D181" s="17" t="s">
        <v>7375</v>
      </c>
      <c r="E181" s="17" t="s">
        <v>6337</v>
      </c>
      <c r="F181" s="56" t="s">
        <v>7376</v>
      </c>
      <c r="G181" s="56" t="s">
        <v>7377</v>
      </c>
      <c r="H181" s="17" t="s">
        <v>6338</v>
      </c>
      <c r="I181" s="56" t="s">
        <v>7376</v>
      </c>
      <c r="J181" s="56" t="s">
        <v>7377</v>
      </c>
      <c r="K181" s="17" t="s">
        <v>6339</v>
      </c>
      <c r="L181" s="56" t="s">
        <v>7376</v>
      </c>
      <c r="M181" s="56" t="s">
        <v>7377</v>
      </c>
      <c r="N181" s="17" t="s">
        <v>6340</v>
      </c>
      <c r="O181" s="56" t="s">
        <v>7376</v>
      </c>
      <c r="P181" s="56" t="s">
        <v>7377</v>
      </c>
    </row>
    <row r="182" spans="1:16" x14ac:dyDescent="0.25">
      <c r="A182" s="18" t="s">
        <v>3312</v>
      </c>
      <c r="B182" s="18" t="s">
        <v>3313</v>
      </c>
      <c r="C182" s="18" t="s">
        <v>60</v>
      </c>
      <c r="D182" s="18" t="s">
        <v>7375</v>
      </c>
      <c r="E182" s="18" t="s">
        <v>6344</v>
      </c>
      <c r="F182" s="56" t="s">
        <v>7376</v>
      </c>
      <c r="G182" s="56" t="s">
        <v>7377</v>
      </c>
      <c r="H182" s="18" t="s">
        <v>6345</v>
      </c>
      <c r="I182" s="56" t="s">
        <v>7376</v>
      </c>
      <c r="J182" s="56" t="s">
        <v>7377</v>
      </c>
      <c r="K182" s="18" t="s">
        <v>6346</v>
      </c>
      <c r="L182" s="56" t="s">
        <v>7376</v>
      </c>
      <c r="M182" s="56" t="s">
        <v>7377</v>
      </c>
      <c r="N182" s="18" t="s">
        <v>6347</v>
      </c>
      <c r="O182" s="56" t="s">
        <v>7376</v>
      </c>
      <c r="P182" s="56" t="s">
        <v>7377</v>
      </c>
    </row>
    <row r="183" spans="1:16" ht="33.75" x14ac:dyDescent="0.25">
      <c r="A183" s="17" t="s">
        <v>6348</v>
      </c>
      <c r="B183" s="17" t="s">
        <v>673</v>
      </c>
      <c r="C183" s="17" t="s">
        <v>60</v>
      </c>
      <c r="D183" s="17" t="s">
        <v>7375</v>
      </c>
      <c r="E183" s="17" t="s">
        <v>6352</v>
      </c>
      <c r="F183" s="56" t="s">
        <v>7376</v>
      </c>
      <c r="G183" s="56" t="s">
        <v>7377</v>
      </c>
      <c r="H183" s="17" t="s">
        <v>6353</v>
      </c>
      <c r="I183" s="56" t="s">
        <v>7376</v>
      </c>
      <c r="J183" s="56" t="s">
        <v>7377</v>
      </c>
      <c r="K183" s="17" t="s">
        <v>6354</v>
      </c>
      <c r="L183" s="56" t="s">
        <v>7376</v>
      </c>
      <c r="M183" s="56" t="s">
        <v>7377</v>
      </c>
      <c r="N183" s="17" t="s">
        <v>6355</v>
      </c>
      <c r="O183" s="56" t="s">
        <v>7376</v>
      </c>
      <c r="P183" s="56" t="s">
        <v>7377</v>
      </c>
    </row>
    <row r="184" spans="1:16" ht="78.75" x14ac:dyDescent="0.25">
      <c r="A184" s="18" t="s">
        <v>6356</v>
      </c>
      <c r="B184" s="18" t="s">
        <v>612</v>
      </c>
      <c r="C184" s="18" t="s">
        <v>60</v>
      </c>
      <c r="D184" s="18" t="s">
        <v>7375</v>
      </c>
      <c r="E184" s="18" t="s">
        <v>6360</v>
      </c>
      <c r="F184" s="56" t="s">
        <v>7376</v>
      </c>
      <c r="G184" s="56" t="s">
        <v>7377</v>
      </c>
      <c r="H184" s="18" t="s">
        <v>6361</v>
      </c>
      <c r="I184" s="56" t="s">
        <v>7376</v>
      </c>
      <c r="J184" s="56" t="s">
        <v>7377</v>
      </c>
      <c r="K184" s="18" t="s">
        <v>6362</v>
      </c>
      <c r="L184" s="56" t="s">
        <v>7376</v>
      </c>
      <c r="M184" s="56" t="s">
        <v>7377</v>
      </c>
      <c r="N184" s="18" t="s">
        <v>6363</v>
      </c>
      <c r="O184" s="56" t="s">
        <v>7376</v>
      </c>
      <c r="P184" s="56" t="s">
        <v>7377</v>
      </c>
    </row>
    <row r="185" spans="1:16" ht="22.5" x14ac:dyDescent="0.25">
      <c r="A185" s="17" t="s">
        <v>6364</v>
      </c>
      <c r="B185" s="17" t="s">
        <v>1427</v>
      </c>
      <c r="C185" s="17" t="s">
        <v>60</v>
      </c>
      <c r="D185" s="17" t="s">
        <v>7375</v>
      </c>
      <c r="E185" s="17" t="s">
        <v>6368</v>
      </c>
      <c r="F185" s="56" t="s">
        <v>7376</v>
      </c>
      <c r="G185" s="56" t="s">
        <v>7377</v>
      </c>
      <c r="H185" s="17" t="s">
        <v>6369</v>
      </c>
      <c r="I185" s="56" t="s">
        <v>7376</v>
      </c>
      <c r="J185" s="56" t="s">
        <v>7377</v>
      </c>
      <c r="K185" s="17" t="s">
        <v>6370</v>
      </c>
      <c r="L185" s="56" t="s">
        <v>7376</v>
      </c>
      <c r="M185" s="56" t="s">
        <v>7377</v>
      </c>
      <c r="N185" s="17" t="s">
        <v>6371</v>
      </c>
      <c r="O185" s="56" t="s">
        <v>7376</v>
      </c>
      <c r="P185" s="56" t="s">
        <v>7377</v>
      </c>
    </row>
    <row r="186" spans="1:16" x14ac:dyDescent="0.25">
      <c r="A186" s="18" t="s">
        <v>2746</v>
      </c>
      <c r="B186" s="18" t="s">
        <v>2747</v>
      </c>
      <c r="C186" s="18" t="s">
        <v>60</v>
      </c>
      <c r="D186" s="18" t="s">
        <v>7375</v>
      </c>
      <c r="E186" s="18" t="s">
        <v>6375</v>
      </c>
      <c r="F186" s="56" t="s">
        <v>7376</v>
      </c>
      <c r="G186" s="56" t="s">
        <v>7377</v>
      </c>
      <c r="H186" s="18" t="s">
        <v>6376</v>
      </c>
      <c r="I186" s="56" t="s">
        <v>7376</v>
      </c>
      <c r="J186" s="56" t="s">
        <v>7377</v>
      </c>
      <c r="K186" s="18" t="s">
        <v>6377</v>
      </c>
      <c r="L186" s="56" t="s">
        <v>7376</v>
      </c>
      <c r="M186" s="56" t="s">
        <v>7377</v>
      </c>
      <c r="N186" s="18" t="s">
        <v>6378</v>
      </c>
      <c r="O186" s="56" t="s">
        <v>7376</v>
      </c>
      <c r="P186" s="56" t="s">
        <v>7377</v>
      </c>
    </row>
    <row r="187" spans="1:16" ht="22.5" x14ac:dyDescent="0.25">
      <c r="A187" s="17" t="s">
        <v>6379</v>
      </c>
      <c r="B187" s="17" t="s">
        <v>1479</v>
      </c>
      <c r="C187" s="17" t="s">
        <v>60</v>
      </c>
      <c r="D187" s="17" t="s">
        <v>7375</v>
      </c>
      <c r="E187" s="17" t="s">
        <v>6383</v>
      </c>
      <c r="F187" s="56" t="s">
        <v>7376</v>
      </c>
      <c r="G187" s="56" t="s">
        <v>7377</v>
      </c>
      <c r="H187" s="17" t="s">
        <v>6384</v>
      </c>
      <c r="I187" s="56" t="s">
        <v>7376</v>
      </c>
      <c r="J187" s="56" t="s">
        <v>7377</v>
      </c>
      <c r="K187" s="17" t="s">
        <v>6385</v>
      </c>
      <c r="L187" s="56" t="s">
        <v>7376</v>
      </c>
      <c r="M187" s="56" t="s">
        <v>7377</v>
      </c>
      <c r="N187" s="17" t="s">
        <v>6386</v>
      </c>
      <c r="O187" s="56" t="s">
        <v>7376</v>
      </c>
      <c r="P187" s="56" t="s">
        <v>7377</v>
      </c>
    </row>
    <row r="188" spans="1:16" x14ac:dyDescent="0.25">
      <c r="A188" s="18" t="s">
        <v>6387</v>
      </c>
      <c r="B188" s="18" t="s">
        <v>600</v>
      </c>
      <c r="C188" s="18" t="s">
        <v>60</v>
      </c>
      <c r="D188" s="18" t="s">
        <v>7375</v>
      </c>
      <c r="E188" s="18" t="s">
        <v>6391</v>
      </c>
      <c r="F188" s="56" t="s">
        <v>7376</v>
      </c>
      <c r="G188" s="56" t="s">
        <v>7377</v>
      </c>
      <c r="H188" s="18" t="s">
        <v>6392</v>
      </c>
      <c r="I188" s="56" t="s">
        <v>7376</v>
      </c>
      <c r="J188" s="56" t="s">
        <v>7377</v>
      </c>
      <c r="K188" s="18" t="s">
        <v>6393</v>
      </c>
      <c r="L188" s="56" t="s">
        <v>7376</v>
      </c>
      <c r="M188" s="56" t="s">
        <v>7377</v>
      </c>
      <c r="N188" s="18" t="s">
        <v>6394</v>
      </c>
      <c r="O188" s="56" t="s">
        <v>7376</v>
      </c>
      <c r="P188" s="56" t="s">
        <v>7377</v>
      </c>
    </row>
    <row r="189" spans="1:16" x14ac:dyDescent="0.25">
      <c r="A189" s="17" t="s">
        <v>4192</v>
      </c>
      <c r="B189" s="17" t="s">
        <v>4193</v>
      </c>
      <c r="C189" s="17" t="s">
        <v>60</v>
      </c>
      <c r="D189" s="17" t="s">
        <v>7375</v>
      </c>
      <c r="E189" s="17" t="s">
        <v>6397</v>
      </c>
      <c r="F189" s="56" t="s">
        <v>7376</v>
      </c>
      <c r="G189" s="56" t="s">
        <v>7377</v>
      </c>
      <c r="H189" s="17" t="s">
        <v>6398</v>
      </c>
      <c r="I189" s="56" t="s">
        <v>7376</v>
      </c>
      <c r="J189" s="56" t="s">
        <v>7377</v>
      </c>
      <c r="K189" s="17" t="s">
        <v>6399</v>
      </c>
      <c r="L189" s="56" t="s">
        <v>7376</v>
      </c>
      <c r="M189" s="56" t="s">
        <v>7377</v>
      </c>
      <c r="N189" s="17" t="s">
        <v>6400</v>
      </c>
      <c r="O189" s="56" t="s">
        <v>7376</v>
      </c>
      <c r="P189" s="56" t="s">
        <v>7377</v>
      </c>
    </row>
    <row r="190" spans="1:16" x14ac:dyDescent="0.25">
      <c r="A190" s="18" t="s">
        <v>485</v>
      </c>
      <c r="B190" s="18" t="s">
        <v>486</v>
      </c>
      <c r="C190" s="18" t="s">
        <v>60</v>
      </c>
      <c r="D190" s="18" t="s">
        <v>7375</v>
      </c>
      <c r="E190" s="18" t="s">
        <v>6404</v>
      </c>
      <c r="F190" s="56" t="s">
        <v>7376</v>
      </c>
      <c r="G190" s="56" t="s">
        <v>7377</v>
      </c>
      <c r="H190" s="18" t="s">
        <v>6405</v>
      </c>
      <c r="I190" s="56" t="s">
        <v>7376</v>
      </c>
      <c r="J190" s="56" t="s">
        <v>7377</v>
      </c>
      <c r="K190" s="18" t="s">
        <v>6406</v>
      </c>
      <c r="L190" s="56" t="s">
        <v>7376</v>
      </c>
      <c r="M190" s="56" t="s">
        <v>7377</v>
      </c>
      <c r="N190" s="18" t="s">
        <v>6407</v>
      </c>
      <c r="O190" s="56" t="s">
        <v>7376</v>
      </c>
      <c r="P190" s="56" t="s">
        <v>7377</v>
      </c>
    </row>
    <row r="191" spans="1:16" x14ac:dyDescent="0.25">
      <c r="A191" s="17" t="s">
        <v>3245</v>
      </c>
      <c r="B191" s="17" t="s">
        <v>3246</v>
      </c>
      <c r="C191" s="17" t="s">
        <v>60</v>
      </c>
      <c r="D191" s="17" t="s">
        <v>7375</v>
      </c>
      <c r="E191" s="17" t="s">
        <v>6411</v>
      </c>
      <c r="F191" s="56" t="s">
        <v>7376</v>
      </c>
      <c r="G191" s="56" t="s">
        <v>7377</v>
      </c>
      <c r="H191" s="17" t="s">
        <v>6412</v>
      </c>
      <c r="I191" s="56" t="s">
        <v>7376</v>
      </c>
      <c r="J191" s="56" t="s">
        <v>7377</v>
      </c>
      <c r="K191" s="17" t="s">
        <v>6413</v>
      </c>
      <c r="L191" s="56" t="s">
        <v>7376</v>
      </c>
      <c r="M191" s="56" t="s">
        <v>7377</v>
      </c>
      <c r="N191" s="17" t="s">
        <v>6414</v>
      </c>
      <c r="O191" s="56" t="s">
        <v>7376</v>
      </c>
      <c r="P191" s="56" t="s">
        <v>7377</v>
      </c>
    </row>
    <row r="192" spans="1:16" x14ac:dyDescent="0.25">
      <c r="A192" s="18" t="s">
        <v>2348</v>
      </c>
      <c r="B192" s="18" t="s">
        <v>2349</v>
      </c>
      <c r="C192" s="18" t="s">
        <v>60</v>
      </c>
      <c r="D192" s="18" t="s">
        <v>7375</v>
      </c>
      <c r="E192" s="18" t="s">
        <v>6418</v>
      </c>
      <c r="F192" s="56" t="s">
        <v>7376</v>
      </c>
      <c r="G192" s="56" t="s">
        <v>7377</v>
      </c>
      <c r="H192" s="18" t="s">
        <v>6419</v>
      </c>
      <c r="I192" s="56" t="s">
        <v>7376</v>
      </c>
      <c r="J192" s="56" t="s">
        <v>7377</v>
      </c>
      <c r="K192" s="18" t="s">
        <v>6420</v>
      </c>
      <c r="L192" s="56" t="s">
        <v>7376</v>
      </c>
      <c r="M192" s="56" t="s">
        <v>7377</v>
      </c>
      <c r="N192" s="18" t="s">
        <v>6421</v>
      </c>
      <c r="O192" s="56" t="s">
        <v>7376</v>
      </c>
      <c r="P192" s="56" t="s">
        <v>7377</v>
      </c>
    </row>
    <row r="193" spans="1:16" x14ac:dyDescent="0.25">
      <c r="A193" s="17" t="s">
        <v>2766</v>
      </c>
      <c r="B193" s="17" t="s">
        <v>2767</v>
      </c>
      <c r="C193" s="17" t="s">
        <v>60</v>
      </c>
      <c r="D193" s="17" t="s">
        <v>7375</v>
      </c>
      <c r="E193" s="17" t="s">
        <v>6425</v>
      </c>
      <c r="F193" s="56" t="s">
        <v>7376</v>
      </c>
      <c r="G193" s="56" t="s">
        <v>7377</v>
      </c>
      <c r="H193" s="17" t="s">
        <v>6426</v>
      </c>
      <c r="I193" s="56" t="s">
        <v>7376</v>
      </c>
      <c r="J193" s="56" t="s">
        <v>7377</v>
      </c>
      <c r="K193" s="17" t="s">
        <v>6427</v>
      </c>
      <c r="L193" s="56" t="s">
        <v>7376</v>
      </c>
      <c r="M193" s="56" t="s">
        <v>7377</v>
      </c>
      <c r="N193" s="17" t="s">
        <v>6428</v>
      </c>
      <c r="O193" s="56" t="s">
        <v>7376</v>
      </c>
      <c r="P193" s="56" t="s">
        <v>7377</v>
      </c>
    </row>
    <row r="194" spans="1:16" ht="33.75" x14ac:dyDescent="0.25">
      <c r="A194" s="18" t="s">
        <v>6429</v>
      </c>
      <c r="B194" s="18" t="s">
        <v>2462</v>
      </c>
      <c r="C194" s="18" t="s">
        <v>60</v>
      </c>
      <c r="D194" s="18" t="s">
        <v>7375</v>
      </c>
      <c r="E194" s="18" t="s">
        <v>6433</v>
      </c>
      <c r="F194" s="56" t="s">
        <v>7376</v>
      </c>
      <c r="G194" s="56" t="s">
        <v>7377</v>
      </c>
      <c r="H194" s="18" t="s">
        <v>6434</v>
      </c>
      <c r="I194" s="56" t="s">
        <v>7376</v>
      </c>
      <c r="J194" s="56" t="s">
        <v>7377</v>
      </c>
      <c r="K194" s="18" t="s">
        <v>6435</v>
      </c>
      <c r="L194" s="56" t="s">
        <v>7376</v>
      </c>
      <c r="M194" s="56" t="s">
        <v>7377</v>
      </c>
      <c r="N194" s="18" t="s">
        <v>6436</v>
      </c>
      <c r="O194" s="56" t="s">
        <v>7376</v>
      </c>
      <c r="P194" s="56" t="s">
        <v>7377</v>
      </c>
    </row>
    <row r="195" spans="1:16" ht="45" x14ac:dyDescent="0.25">
      <c r="A195" s="17" t="s">
        <v>6437</v>
      </c>
      <c r="B195" s="17" t="s">
        <v>846</v>
      </c>
      <c r="C195" s="17" t="s">
        <v>60</v>
      </c>
      <c r="D195" s="17" t="s">
        <v>7375</v>
      </c>
      <c r="E195" s="17" t="s">
        <v>6441</v>
      </c>
      <c r="F195" s="56" t="s">
        <v>7376</v>
      </c>
      <c r="G195" s="56" t="s">
        <v>7377</v>
      </c>
      <c r="H195" s="17" t="s">
        <v>6442</v>
      </c>
      <c r="I195" s="56" t="s">
        <v>7376</v>
      </c>
      <c r="J195" s="56" t="s">
        <v>7377</v>
      </c>
      <c r="K195" s="17" t="s">
        <v>6443</v>
      </c>
      <c r="L195" s="56" t="s">
        <v>7376</v>
      </c>
      <c r="M195" s="56" t="s">
        <v>7377</v>
      </c>
      <c r="N195" s="17" t="s">
        <v>6444</v>
      </c>
      <c r="O195" s="56" t="s">
        <v>7376</v>
      </c>
      <c r="P195" s="56" t="s">
        <v>7377</v>
      </c>
    </row>
    <row r="196" spans="1:16" ht="78.75" x14ac:dyDescent="0.25">
      <c r="A196" s="18" t="s">
        <v>6445</v>
      </c>
      <c r="B196" s="18" t="s">
        <v>273</v>
      </c>
      <c r="C196" s="18" t="s">
        <v>60</v>
      </c>
      <c r="D196" s="18" t="s">
        <v>7375</v>
      </c>
      <c r="E196" s="18" t="s">
        <v>6449</v>
      </c>
      <c r="F196" s="56" t="s">
        <v>7376</v>
      </c>
      <c r="G196" s="56" t="s">
        <v>7377</v>
      </c>
      <c r="H196" s="18" t="s">
        <v>6450</v>
      </c>
      <c r="I196" s="56" t="s">
        <v>7376</v>
      </c>
      <c r="J196" s="56" t="s">
        <v>7377</v>
      </c>
      <c r="K196" s="18" t="s">
        <v>6451</v>
      </c>
      <c r="L196" s="56" t="s">
        <v>7376</v>
      </c>
      <c r="M196" s="56" t="s">
        <v>7377</v>
      </c>
      <c r="N196" s="18" t="s">
        <v>6452</v>
      </c>
      <c r="O196" s="56" t="s">
        <v>7376</v>
      </c>
      <c r="P196" s="56" t="s">
        <v>7377</v>
      </c>
    </row>
    <row r="197" spans="1:16" ht="22.5" x14ac:dyDescent="0.25">
      <c r="A197" s="17" t="s">
        <v>6453</v>
      </c>
      <c r="B197" s="17" t="s">
        <v>218</v>
      </c>
      <c r="C197" s="17" t="s">
        <v>60</v>
      </c>
      <c r="D197" s="17" t="s">
        <v>7375</v>
      </c>
      <c r="E197" s="17" t="s">
        <v>6457</v>
      </c>
      <c r="F197" s="56" t="s">
        <v>7376</v>
      </c>
      <c r="G197" s="56" t="s">
        <v>7377</v>
      </c>
      <c r="H197" s="17" t="s">
        <v>6458</v>
      </c>
      <c r="I197" s="56" t="s">
        <v>7376</v>
      </c>
      <c r="J197" s="56" t="s">
        <v>7377</v>
      </c>
      <c r="K197" s="17" t="s">
        <v>6459</v>
      </c>
      <c r="L197" s="56" t="s">
        <v>7376</v>
      </c>
      <c r="M197" s="56" t="s">
        <v>7377</v>
      </c>
      <c r="N197" s="17" t="s">
        <v>6460</v>
      </c>
      <c r="O197" s="56" t="s">
        <v>7376</v>
      </c>
      <c r="P197" s="56" t="s">
        <v>7377</v>
      </c>
    </row>
    <row r="198" spans="1:16" x14ac:dyDescent="0.25">
      <c r="A198" s="18" t="s">
        <v>2623</v>
      </c>
      <c r="B198" s="18" t="s">
        <v>2624</v>
      </c>
      <c r="C198" s="18" t="s">
        <v>60</v>
      </c>
      <c r="D198" s="18" t="s">
        <v>7375</v>
      </c>
      <c r="E198" s="18" t="s">
        <v>6464</v>
      </c>
      <c r="F198" s="56" t="s">
        <v>7376</v>
      </c>
      <c r="G198" s="56" t="s">
        <v>7377</v>
      </c>
      <c r="H198" s="18" t="s">
        <v>6465</v>
      </c>
      <c r="I198" s="56" t="s">
        <v>7376</v>
      </c>
      <c r="J198" s="56" t="s">
        <v>7377</v>
      </c>
      <c r="K198" s="18" t="s">
        <v>6466</v>
      </c>
      <c r="L198" s="56" t="s">
        <v>7376</v>
      </c>
      <c r="M198" s="56" t="s">
        <v>7377</v>
      </c>
      <c r="N198" s="18" t="s">
        <v>6467</v>
      </c>
      <c r="O198" s="56" t="s">
        <v>7376</v>
      </c>
      <c r="P198" s="56" t="s">
        <v>7377</v>
      </c>
    </row>
    <row r="199" spans="1:16" x14ac:dyDescent="0.25">
      <c r="A199" s="17" t="s">
        <v>619</v>
      </c>
      <c r="B199" s="17" t="s">
        <v>620</v>
      </c>
      <c r="C199" s="17" t="s">
        <v>60</v>
      </c>
      <c r="D199" s="17" t="s">
        <v>7375</v>
      </c>
      <c r="E199" s="17" t="s">
        <v>6471</v>
      </c>
      <c r="F199" s="56" t="s">
        <v>7376</v>
      </c>
      <c r="G199" s="56" t="s">
        <v>7377</v>
      </c>
      <c r="H199" s="17" t="s">
        <v>6472</v>
      </c>
      <c r="I199" s="56" t="s">
        <v>7376</v>
      </c>
      <c r="J199" s="56" t="s">
        <v>7377</v>
      </c>
      <c r="K199" s="17" t="s">
        <v>6473</v>
      </c>
      <c r="L199" s="56" t="s">
        <v>7376</v>
      </c>
      <c r="M199" s="56" t="s">
        <v>7377</v>
      </c>
      <c r="N199" s="17" t="s">
        <v>6474</v>
      </c>
      <c r="O199" s="56" t="s">
        <v>7376</v>
      </c>
      <c r="P199" s="56" t="s">
        <v>7377</v>
      </c>
    </row>
    <row r="200" spans="1:16" x14ac:dyDescent="0.25">
      <c r="A200" s="18" t="s">
        <v>731</v>
      </c>
      <c r="B200" s="18" t="s">
        <v>732</v>
      </c>
      <c r="C200" s="18" t="s">
        <v>60</v>
      </c>
      <c r="D200" s="18" t="s">
        <v>7375</v>
      </c>
      <c r="E200" s="18" t="s">
        <v>6478</v>
      </c>
      <c r="F200" s="56" t="s">
        <v>7376</v>
      </c>
      <c r="G200" s="56" t="s">
        <v>7377</v>
      </c>
      <c r="H200" s="18" t="s">
        <v>6479</v>
      </c>
      <c r="I200" s="56" t="s">
        <v>7376</v>
      </c>
      <c r="J200" s="56" t="s">
        <v>7377</v>
      </c>
      <c r="K200" s="18" t="s">
        <v>6480</v>
      </c>
      <c r="L200" s="56" t="s">
        <v>7376</v>
      </c>
      <c r="M200" s="56" t="s">
        <v>7377</v>
      </c>
      <c r="N200" s="18" t="s">
        <v>6481</v>
      </c>
      <c r="O200" s="56" t="s">
        <v>7376</v>
      </c>
      <c r="P200" s="56" t="s">
        <v>7377</v>
      </c>
    </row>
    <row r="201" spans="1:16" x14ac:dyDescent="0.25">
      <c r="A201" s="17" t="s">
        <v>735</v>
      </c>
      <c r="B201" s="17" t="s">
        <v>736</v>
      </c>
      <c r="C201" s="17" t="s">
        <v>60</v>
      </c>
      <c r="D201" s="17" t="s">
        <v>7375</v>
      </c>
      <c r="E201" s="17" t="s">
        <v>6485</v>
      </c>
      <c r="F201" s="56" t="s">
        <v>7376</v>
      </c>
      <c r="G201" s="56" t="s">
        <v>7377</v>
      </c>
      <c r="H201" s="17" t="s">
        <v>6486</v>
      </c>
      <c r="I201" s="56" t="s">
        <v>7376</v>
      </c>
      <c r="J201" s="56" t="s">
        <v>7377</v>
      </c>
      <c r="K201" s="17" t="s">
        <v>6487</v>
      </c>
      <c r="L201" s="56" t="s">
        <v>7376</v>
      </c>
      <c r="M201" s="56" t="s">
        <v>7377</v>
      </c>
      <c r="N201" s="17" t="s">
        <v>6488</v>
      </c>
      <c r="O201" s="56" t="s">
        <v>7376</v>
      </c>
      <c r="P201" s="56" t="s">
        <v>7377</v>
      </c>
    </row>
    <row r="202" spans="1:16" x14ac:dyDescent="0.25">
      <c r="A202" s="18" t="s">
        <v>1986</v>
      </c>
      <c r="B202" s="18" t="s">
        <v>1987</v>
      </c>
      <c r="C202" s="18" t="s">
        <v>60</v>
      </c>
      <c r="D202" s="18" t="s">
        <v>7375</v>
      </c>
      <c r="E202" s="18" t="s">
        <v>6491</v>
      </c>
      <c r="F202" s="56" t="s">
        <v>7376</v>
      </c>
      <c r="G202" s="56" t="s">
        <v>7377</v>
      </c>
      <c r="H202" s="18" t="s">
        <v>6492</v>
      </c>
      <c r="I202" s="56" t="s">
        <v>7376</v>
      </c>
      <c r="J202" s="56" t="s">
        <v>7377</v>
      </c>
      <c r="K202" s="18" t="s">
        <v>6493</v>
      </c>
      <c r="L202" s="56" t="s">
        <v>7376</v>
      </c>
      <c r="M202" s="56" t="s">
        <v>7377</v>
      </c>
      <c r="N202" s="18" t="s">
        <v>6494</v>
      </c>
      <c r="O202" s="56" t="s">
        <v>7376</v>
      </c>
      <c r="P202" s="56" t="s">
        <v>7377</v>
      </c>
    </row>
    <row r="203" spans="1:16" ht="22.5" x14ac:dyDescent="0.25">
      <c r="A203" s="17" t="s">
        <v>6495</v>
      </c>
      <c r="B203" s="17" t="s">
        <v>1948</v>
      </c>
      <c r="C203" s="17" t="s">
        <v>60</v>
      </c>
      <c r="D203" s="17" t="s">
        <v>7375</v>
      </c>
      <c r="E203" s="17" t="s">
        <v>6498</v>
      </c>
      <c r="F203" s="56" t="s">
        <v>7376</v>
      </c>
      <c r="G203" s="56" t="s">
        <v>7377</v>
      </c>
      <c r="H203" s="17" t="s">
        <v>6499</v>
      </c>
      <c r="I203" s="56" t="s">
        <v>7376</v>
      </c>
      <c r="J203" s="56" t="s">
        <v>7377</v>
      </c>
      <c r="K203" s="17" t="s">
        <v>6500</v>
      </c>
      <c r="L203" s="56" t="s">
        <v>7376</v>
      </c>
      <c r="M203" s="56" t="s">
        <v>7377</v>
      </c>
      <c r="N203" s="17" t="s">
        <v>6501</v>
      </c>
      <c r="O203" s="56" t="s">
        <v>7376</v>
      </c>
      <c r="P203" s="56" t="s">
        <v>7377</v>
      </c>
    </row>
    <row r="204" spans="1:16" x14ac:dyDescent="0.25">
      <c r="A204" s="18" t="s">
        <v>6502</v>
      </c>
      <c r="B204" s="18" t="s">
        <v>570</v>
      </c>
      <c r="C204" s="18" t="s">
        <v>60</v>
      </c>
      <c r="D204" s="18" t="s">
        <v>7375</v>
      </c>
      <c r="E204" s="18" t="s">
        <v>6504</v>
      </c>
      <c r="F204" s="56" t="s">
        <v>7376</v>
      </c>
      <c r="G204" s="56" t="s">
        <v>7377</v>
      </c>
      <c r="H204" s="18" t="s">
        <v>6505</v>
      </c>
      <c r="I204" s="56" t="s">
        <v>7376</v>
      </c>
      <c r="J204" s="56" t="s">
        <v>7377</v>
      </c>
      <c r="K204" s="18" t="s">
        <v>6506</v>
      </c>
      <c r="L204" s="56" t="s">
        <v>7376</v>
      </c>
      <c r="M204" s="56" t="s">
        <v>7377</v>
      </c>
      <c r="N204" s="18" t="s">
        <v>6507</v>
      </c>
      <c r="O204" s="56" t="s">
        <v>7376</v>
      </c>
      <c r="P204" s="56" t="s">
        <v>7377</v>
      </c>
    </row>
    <row r="205" spans="1:16" x14ac:dyDescent="0.25">
      <c r="A205" s="17" t="s">
        <v>6508</v>
      </c>
      <c r="B205" s="17" t="s">
        <v>1952</v>
      </c>
      <c r="C205" s="17" t="s">
        <v>60</v>
      </c>
      <c r="D205" s="17" t="s">
        <v>7375</v>
      </c>
      <c r="E205" s="17" t="s">
        <v>6510</v>
      </c>
      <c r="F205" s="56" t="s">
        <v>7376</v>
      </c>
      <c r="G205" s="56" t="s">
        <v>7377</v>
      </c>
      <c r="H205" s="17" t="s">
        <v>6511</v>
      </c>
      <c r="I205" s="56" t="s">
        <v>7376</v>
      </c>
      <c r="J205" s="56" t="s">
        <v>7377</v>
      </c>
      <c r="K205" s="17" t="s">
        <v>6512</v>
      </c>
      <c r="L205" s="56" t="s">
        <v>7376</v>
      </c>
      <c r="M205" s="56" t="s">
        <v>7377</v>
      </c>
      <c r="N205" s="17" t="s">
        <v>6513</v>
      </c>
      <c r="O205" s="56" t="s">
        <v>7376</v>
      </c>
      <c r="P205" s="56" t="s">
        <v>7377</v>
      </c>
    </row>
    <row r="206" spans="1:16" x14ac:dyDescent="0.25">
      <c r="A206" s="18" t="s">
        <v>6514</v>
      </c>
      <c r="B206" s="18" t="s">
        <v>1737</v>
      </c>
      <c r="C206" s="18" t="s">
        <v>60</v>
      </c>
      <c r="D206" s="18" t="s">
        <v>7375</v>
      </c>
      <c r="E206" s="18" t="s">
        <v>6518</v>
      </c>
      <c r="F206" s="56" t="s">
        <v>7376</v>
      </c>
      <c r="G206" s="56" t="s">
        <v>7377</v>
      </c>
      <c r="H206" s="18" t="s">
        <v>6519</v>
      </c>
      <c r="I206" s="56" t="s">
        <v>7376</v>
      </c>
      <c r="J206" s="56" t="s">
        <v>7377</v>
      </c>
      <c r="K206" s="18" t="s">
        <v>6520</v>
      </c>
      <c r="L206" s="56" t="s">
        <v>7376</v>
      </c>
      <c r="M206" s="56" t="s">
        <v>7377</v>
      </c>
      <c r="N206" s="18" t="s">
        <v>6521</v>
      </c>
      <c r="O206" s="56" t="s">
        <v>7376</v>
      </c>
      <c r="P206" s="56" t="s">
        <v>7377</v>
      </c>
    </row>
    <row r="207" spans="1:16" x14ac:dyDescent="0.25">
      <c r="A207" s="17" t="s">
        <v>1840</v>
      </c>
      <c r="B207" s="17" t="s">
        <v>1841</v>
      </c>
      <c r="C207" s="17" t="s">
        <v>60</v>
      </c>
      <c r="D207" s="17" t="s">
        <v>7375</v>
      </c>
      <c r="E207" s="17" t="s">
        <v>6525</v>
      </c>
      <c r="F207" s="56" t="s">
        <v>7376</v>
      </c>
      <c r="G207" s="56" t="s">
        <v>7377</v>
      </c>
      <c r="H207" s="17" t="s">
        <v>6526</v>
      </c>
      <c r="I207" s="56" t="s">
        <v>7376</v>
      </c>
      <c r="J207" s="56" t="s">
        <v>7377</v>
      </c>
      <c r="K207" s="17" t="s">
        <v>6527</v>
      </c>
      <c r="L207" s="56" t="s">
        <v>7376</v>
      </c>
      <c r="M207" s="56" t="s">
        <v>7377</v>
      </c>
      <c r="N207" s="17" t="s">
        <v>6528</v>
      </c>
      <c r="O207" s="56" t="s">
        <v>7376</v>
      </c>
      <c r="P207" s="56" t="s">
        <v>7377</v>
      </c>
    </row>
    <row r="208" spans="1:16" ht="22.5" x14ac:dyDescent="0.25">
      <c r="A208" s="18" t="s">
        <v>6529</v>
      </c>
      <c r="B208" s="18" t="s">
        <v>1888</v>
      </c>
      <c r="C208" s="18" t="s">
        <v>60</v>
      </c>
      <c r="D208" s="18" t="s">
        <v>7375</v>
      </c>
      <c r="E208" s="18" t="s">
        <v>6533</v>
      </c>
      <c r="F208" s="56" t="s">
        <v>7376</v>
      </c>
      <c r="G208" s="56" t="s">
        <v>7377</v>
      </c>
      <c r="H208" s="18" t="s">
        <v>6534</v>
      </c>
      <c r="I208" s="56" t="s">
        <v>7376</v>
      </c>
      <c r="J208" s="56" t="s">
        <v>7377</v>
      </c>
      <c r="K208" s="18" t="s">
        <v>6535</v>
      </c>
      <c r="L208" s="56" t="s">
        <v>7376</v>
      </c>
      <c r="M208" s="56" t="s">
        <v>7377</v>
      </c>
      <c r="N208" s="18" t="s">
        <v>6536</v>
      </c>
      <c r="O208" s="56" t="s">
        <v>7376</v>
      </c>
      <c r="P208" s="56" t="s">
        <v>7377</v>
      </c>
    </row>
    <row r="209" spans="1:16" ht="67.5" x14ac:dyDescent="0.25">
      <c r="A209" s="17" t="s">
        <v>6537</v>
      </c>
      <c r="B209" s="17" t="s">
        <v>826</v>
      </c>
      <c r="C209" s="17" t="s">
        <v>60</v>
      </c>
      <c r="D209" s="17" t="s">
        <v>7375</v>
      </c>
      <c r="E209" s="17" t="s">
        <v>6541</v>
      </c>
      <c r="F209" s="56" t="s">
        <v>7376</v>
      </c>
      <c r="G209" s="56" t="s">
        <v>7377</v>
      </c>
      <c r="H209" s="17" t="s">
        <v>6542</v>
      </c>
      <c r="I209" s="56" t="s">
        <v>7376</v>
      </c>
      <c r="J209" s="56" t="s">
        <v>7377</v>
      </c>
      <c r="K209" s="17" t="s">
        <v>6543</v>
      </c>
      <c r="L209" s="56" t="s">
        <v>7376</v>
      </c>
      <c r="M209" s="56" t="s">
        <v>7377</v>
      </c>
      <c r="N209" s="17" t="s">
        <v>6544</v>
      </c>
      <c r="O209" s="56" t="s">
        <v>7376</v>
      </c>
      <c r="P209" s="56" t="s">
        <v>7377</v>
      </c>
    </row>
    <row r="210" spans="1:16" ht="33.75" x14ac:dyDescent="0.25">
      <c r="A210" s="18" t="s">
        <v>6545</v>
      </c>
      <c r="B210" s="18" t="s">
        <v>1638</v>
      </c>
      <c r="C210" s="18" t="s">
        <v>60</v>
      </c>
      <c r="D210" s="18" t="s">
        <v>7375</v>
      </c>
      <c r="E210" s="18" t="s">
        <v>6549</v>
      </c>
      <c r="F210" s="56" t="s">
        <v>7376</v>
      </c>
      <c r="G210" s="56" t="s">
        <v>7377</v>
      </c>
      <c r="H210" s="18" t="s">
        <v>6550</v>
      </c>
      <c r="I210" s="56" t="s">
        <v>7376</v>
      </c>
      <c r="J210" s="56" t="s">
        <v>7377</v>
      </c>
      <c r="K210" s="18" t="s">
        <v>6551</v>
      </c>
      <c r="L210" s="56" t="s">
        <v>7376</v>
      </c>
      <c r="M210" s="56" t="s">
        <v>7377</v>
      </c>
      <c r="N210" s="18" t="s">
        <v>6552</v>
      </c>
      <c r="O210" s="56" t="s">
        <v>7376</v>
      </c>
      <c r="P210" s="56" t="s">
        <v>7377</v>
      </c>
    </row>
    <row r="211" spans="1:16" x14ac:dyDescent="0.25">
      <c r="A211" s="17" t="s">
        <v>6553</v>
      </c>
      <c r="B211" s="17" t="s">
        <v>334</v>
      </c>
      <c r="C211" s="17" t="s">
        <v>60</v>
      </c>
      <c r="D211" s="17" t="s">
        <v>7375</v>
      </c>
      <c r="E211" s="17" t="s">
        <v>6557</v>
      </c>
      <c r="F211" s="56" t="s">
        <v>7376</v>
      </c>
      <c r="G211" s="56" t="s">
        <v>7377</v>
      </c>
      <c r="H211" s="17" t="s">
        <v>6558</v>
      </c>
      <c r="I211" s="56" t="s">
        <v>7376</v>
      </c>
      <c r="J211" s="56" t="s">
        <v>7377</v>
      </c>
      <c r="K211" s="17" t="s">
        <v>6559</v>
      </c>
      <c r="L211" s="56" t="s">
        <v>7376</v>
      </c>
      <c r="M211" s="56" t="s">
        <v>7377</v>
      </c>
      <c r="N211" s="17" t="s">
        <v>6560</v>
      </c>
      <c r="O211" s="56" t="s">
        <v>7376</v>
      </c>
      <c r="P211" s="56" t="s">
        <v>7377</v>
      </c>
    </row>
    <row r="212" spans="1:16" x14ac:dyDescent="0.25">
      <c r="A212" s="18" t="s">
        <v>6561</v>
      </c>
      <c r="B212" s="18" t="s">
        <v>1258</v>
      </c>
      <c r="C212" s="18" t="s">
        <v>60</v>
      </c>
      <c r="D212" s="18" t="s">
        <v>7375</v>
      </c>
      <c r="E212" s="18" t="s">
        <v>6565</v>
      </c>
      <c r="F212" s="56" t="s">
        <v>7376</v>
      </c>
      <c r="G212" s="56" t="s">
        <v>7377</v>
      </c>
      <c r="H212" s="18" t="s">
        <v>6566</v>
      </c>
      <c r="I212" s="56" t="s">
        <v>7376</v>
      </c>
      <c r="J212" s="56" t="s">
        <v>7377</v>
      </c>
      <c r="K212" s="18" t="s">
        <v>6567</v>
      </c>
      <c r="L212" s="56" t="s">
        <v>7376</v>
      </c>
      <c r="M212" s="56" t="s">
        <v>7377</v>
      </c>
      <c r="N212" s="18" t="s">
        <v>6568</v>
      </c>
      <c r="O212" s="56" t="s">
        <v>7376</v>
      </c>
      <c r="P212" s="56" t="s">
        <v>7377</v>
      </c>
    </row>
    <row r="213" spans="1:16" x14ac:dyDescent="0.25">
      <c r="A213" s="17" t="s">
        <v>723</v>
      </c>
      <c r="B213" s="17" t="s">
        <v>724</v>
      </c>
      <c r="C213" s="17" t="s">
        <v>60</v>
      </c>
      <c r="D213" s="17" t="s">
        <v>7375</v>
      </c>
      <c r="E213" s="17" t="s">
        <v>6572</v>
      </c>
      <c r="F213" s="56" t="s">
        <v>7376</v>
      </c>
      <c r="G213" s="56" t="s">
        <v>7377</v>
      </c>
      <c r="H213" s="17" t="s">
        <v>6573</v>
      </c>
      <c r="I213" s="56" t="s">
        <v>7376</v>
      </c>
      <c r="J213" s="56" t="s">
        <v>7377</v>
      </c>
      <c r="K213" s="17" t="s">
        <v>6574</v>
      </c>
      <c r="L213" s="56" t="s">
        <v>7376</v>
      </c>
      <c r="M213" s="56" t="s">
        <v>7377</v>
      </c>
      <c r="N213" s="17" t="s">
        <v>6575</v>
      </c>
      <c r="O213" s="56" t="s">
        <v>7376</v>
      </c>
      <c r="P213" s="56" t="s">
        <v>7377</v>
      </c>
    </row>
    <row r="214" spans="1:16" x14ac:dyDescent="0.25">
      <c r="A214" s="18" t="s">
        <v>727</v>
      </c>
      <c r="B214" s="18" t="s">
        <v>728</v>
      </c>
      <c r="C214" s="18" t="s">
        <v>60</v>
      </c>
      <c r="D214" s="18" t="s">
        <v>7375</v>
      </c>
      <c r="E214" s="18" t="s">
        <v>6579</v>
      </c>
      <c r="F214" s="56" t="s">
        <v>7376</v>
      </c>
      <c r="G214" s="56" t="s">
        <v>7377</v>
      </c>
      <c r="H214" s="18" t="s">
        <v>6580</v>
      </c>
      <c r="I214" s="56" t="s">
        <v>7376</v>
      </c>
      <c r="J214" s="56" t="s">
        <v>7377</v>
      </c>
      <c r="K214" s="18" t="s">
        <v>6581</v>
      </c>
      <c r="L214" s="56" t="s">
        <v>7376</v>
      </c>
      <c r="M214" s="56" t="s">
        <v>7377</v>
      </c>
      <c r="N214" s="18" t="s">
        <v>6582</v>
      </c>
      <c r="O214" s="56" t="s">
        <v>7376</v>
      </c>
      <c r="P214" s="56" t="s">
        <v>7377</v>
      </c>
    </row>
    <row r="215" spans="1:16" x14ac:dyDescent="0.25">
      <c r="A215" s="17" t="s">
        <v>3752</v>
      </c>
      <c r="B215" s="17" t="s">
        <v>3753</v>
      </c>
      <c r="C215" s="17" t="s">
        <v>60</v>
      </c>
      <c r="D215" s="17" t="s">
        <v>7375</v>
      </c>
      <c r="E215" s="17" t="s">
        <v>6586</v>
      </c>
      <c r="F215" s="56" t="s">
        <v>7376</v>
      </c>
      <c r="G215" s="56" t="s">
        <v>7377</v>
      </c>
      <c r="H215" s="17" t="s">
        <v>6587</v>
      </c>
      <c r="I215" s="56" t="s">
        <v>7376</v>
      </c>
      <c r="J215" s="56" t="s">
        <v>7377</v>
      </c>
      <c r="K215" s="17" t="s">
        <v>6588</v>
      </c>
      <c r="L215" s="56" t="s">
        <v>7376</v>
      </c>
      <c r="M215" s="56" t="s">
        <v>7377</v>
      </c>
      <c r="N215" s="17" t="s">
        <v>6589</v>
      </c>
      <c r="O215" s="56" t="s">
        <v>7376</v>
      </c>
      <c r="P215" s="56" t="s">
        <v>7377</v>
      </c>
    </row>
    <row r="216" spans="1:16" x14ac:dyDescent="0.25">
      <c r="A216" s="18" t="s">
        <v>3171</v>
      </c>
      <c r="B216" s="18" t="s">
        <v>3172</v>
      </c>
      <c r="C216" s="18" t="s">
        <v>60</v>
      </c>
      <c r="D216" s="18" t="s">
        <v>7375</v>
      </c>
      <c r="E216" s="18" t="s">
        <v>6593</v>
      </c>
      <c r="F216" s="56" t="s">
        <v>7376</v>
      </c>
      <c r="G216" s="56" t="s">
        <v>7377</v>
      </c>
      <c r="H216" s="18" t="s">
        <v>6594</v>
      </c>
      <c r="I216" s="56" t="s">
        <v>7376</v>
      </c>
      <c r="J216" s="56" t="s">
        <v>7377</v>
      </c>
      <c r="K216" s="18" t="s">
        <v>6595</v>
      </c>
      <c r="L216" s="56" t="s">
        <v>7376</v>
      </c>
      <c r="M216" s="56" t="s">
        <v>7377</v>
      </c>
      <c r="N216" s="18" t="s">
        <v>6596</v>
      </c>
      <c r="O216" s="56" t="s">
        <v>7376</v>
      </c>
      <c r="P216" s="56" t="s">
        <v>7377</v>
      </c>
    </row>
    <row r="217" spans="1:16" x14ac:dyDescent="0.25">
      <c r="A217" s="17" t="s">
        <v>3520</v>
      </c>
      <c r="B217" s="17" t="s">
        <v>3521</v>
      </c>
      <c r="C217" s="17" t="s">
        <v>60</v>
      </c>
      <c r="D217" s="17" t="s">
        <v>7375</v>
      </c>
      <c r="E217" s="17" t="s">
        <v>6600</v>
      </c>
      <c r="F217" s="56" t="s">
        <v>7376</v>
      </c>
      <c r="G217" s="56" t="s">
        <v>7377</v>
      </c>
      <c r="H217" s="17" t="s">
        <v>6601</v>
      </c>
      <c r="I217" s="56" t="s">
        <v>7376</v>
      </c>
      <c r="J217" s="56" t="s">
        <v>7377</v>
      </c>
      <c r="K217" s="17" t="s">
        <v>6602</v>
      </c>
      <c r="L217" s="56" t="s">
        <v>7376</v>
      </c>
      <c r="M217" s="56" t="s">
        <v>7377</v>
      </c>
      <c r="N217" s="17" t="s">
        <v>6603</v>
      </c>
      <c r="O217" s="56" t="s">
        <v>7376</v>
      </c>
      <c r="P217" s="56" t="s">
        <v>7377</v>
      </c>
    </row>
    <row r="218" spans="1:16" x14ac:dyDescent="0.25">
      <c r="A218" s="18" t="s">
        <v>2726</v>
      </c>
      <c r="B218" s="18" t="s">
        <v>2727</v>
      </c>
      <c r="C218" s="18" t="s">
        <v>60</v>
      </c>
      <c r="D218" s="18" t="s">
        <v>7375</v>
      </c>
      <c r="E218" s="18" t="s">
        <v>6607</v>
      </c>
      <c r="F218" s="56" t="s">
        <v>7376</v>
      </c>
      <c r="G218" s="56" t="s">
        <v>7377</v>
      </c>
      <c r="H218" s="18" t="s">
        <v>6608</v>
      </c>
      <c r="I218" s="56" t="s">
        <v>7376</v>
      </c>
      <c r="J218" s="56" t="s">
        <v>7377</v>
      </c>
      <c r="K218" s="18" t="s">
        <v>6609</v>
      </c>
      <c r="L218" s="56" t="s">
        <v>7376</v>
      </c>
      <c r="M218" s="56" t="s">
        <v>7377</v>
      </c>
      <c r="N218" s="18" t="s">
        <v>6610</v>
      </c>
      <c r="O218" s="56" t="s">
        <v>7376</v>
      </c>
      <c r="P218" s="56" t="s">
        <v>7377</v>
      </c>
    </row>
    <row r="219" spans="1:16" x14ac:dyDescent="0.25">
      <c r="A219" s="17" t="s">
        <v>4537</v>
      </c>
      <c r="B219" s="17" t="s">
        <v>4538</v>
      </c>
      <c r="C219" s="17" t="s">
        <v>60</v>
      </c>
      <c r="D219" s="17" t="s">
        <v>7375</v>
      </c>
      <c r="E219" s="17" t="s">
        <v>6614</v>
      </c>
      <c r="F219" s="56" t="s">
        <v>7376</v>
      </c>
      <c r="G219" s="56" t="s">
        <v>7377</v>
      </c>
      <c r="H219" s="17" t="s">
        <v>6615</v>
      </c>
      <c r="I219" s="56" t="s">
        <v>7376</v>
      </c>
      <c r="J219" s="56" t="s">
        <v>7377</v>
      </c>
      <c r="K219" s="17" t="s">
        <v>6616</v>
      </c>
      <c r="L219" s="56" t="s">
        <v>7376</v>
      </c>
      <c r="M219" s="56" t="s">
        <v>7377</v>
      </c>
      <c r="N219" s="17" t="s">
        <v>6617</v>
      </c>
      <c r="O219" s="56" t="s">
        <v>7376</v>
      </c>
      <c r="P219" s="56" t="s">
        <v>7377</v>
      </c>
    </row>
    <row r="220" spans="1:16" x14ac:dyDescent="0.25">
      <c r="A220" s="18" t="s">
        <v>3251</v>
      </c>
      <c r="B220" s="18" t="s">
        <v>3252</v>
      </c>
      <c r="C220" s="18" t="s">
        <v>60</v>
      </c>
      <c r="D220" s="18" t="s">
        <v>7375</v>
      </c>
      <c r="E220" s="18" t="s">
        <v>6621</v>
      </c>
      <c r="F220" s="56" t="s">
        <v>7376</v>
      </c>
      <c r="G220" s="56" t="s">
        <v>7377</v>
      </c>
      <c r="H220" s="18" t="s">
        <v>6622</v>
      </c>
      <c r="I220" s="56" t="s">
        <v>7376</v>
      </c>
      <c r="J220" s="56" t="s">
        <v>7377</v>
      </c>
      <c r="K220" s="18" t="s">
        <v>6623</v>
      </c>
      <c r="L220" s="56" t="s">
        <v>7376</v>
      </c>
      <c r="M220" s="56" t="s">
        <v>7377</v>
      </c>
      <c r="N220" s="18" t="s">
        <v>6624</v>
      </c>
      <c r="O220" s="56" t="s">
        <v>7376</v>
      </c>
      <c r="P220" s="56" t="s">
        <v>7377</v>
      </c>
    </row>
    <row r="221" spans="1:16" ht="123.75" x14ac:dyDescent="0.25">
      <c r="A221" s="17" t="s">
        <v>6625</v>
      </c>
      <c r="B221" s="17" t="s">
        <v>400</v>
      </c>
      <c r="C221" s="17" t="s">
        <v>60</v>
      </c>
      <c r="D221" s="17" t="s">
        <v>7375</v>
      </c>
      <c r="E221" s="17" t="s">
        <v>6629</v>
      </c>
      <c r="F221" s="56" t="s">
        <v>7376</v>
      </c>
      <c r="G221" s="56" t="s">
        <v>7377</v>
      </c>
      <c r="H221" s="17" t="s">
        <v>6630</v>
      </c>
      <c r="I221" s="56" t="s">
        <v>7376</v>
      </c>
      <c r="J221" s="56" t="s">
        <v>7377</v>
      </c>
      <c r="K221" s="17" t="s">
        <v>6631</v>
      </c>
      <c r="L221" s="56" t="s">
        <v>7376</v>
      </c>
      <c r="M221" s="56" t="s">
        <v>7377</v>
      </c>
      <c r="N221" s="17" t="s">
        <v>6632</v>
      </c>
      <c r="O221" s="56" t="s">
        <v>7376</v>
      </c>
      <c r="P221" s="56" t="s">
        <v>7377</v>
      </c>
    </row>
    <row r="222" spans="1:16" x14ac:dyDescent="0.25">
      <c r="A222" s="18" t="s">
        <v>6633</v>
      </c>
      <c r="B222" s="18" t="s">
        <v>519</v>
      </c>
      <c r="C222" s="18" t="s">
        <v>60</v>
      </c>
      <c r="D222" s="18" t="s">
        <v>7375</v>
      </c>
      <c r="E222" s="18" t="s">
        <v>6637</v>
      </c>
      <c r="F222" s="56" t="s">
        <v>7376</v>
      </c>
      <c r="G222" s="56" t="s">
        <v>7377</v>
      </c>
      <c r="H222" s="18" t="s">
        <v>6638</v>
      </c>
      <c r="I222" s="56" t="s">
        <v>7376</v>
      </c>
      <c r="J222" s="56" t="s">
        <v>7377</v>
      </c>
      <c r="K222" s="18" t="s">
        <v>6639</v>
      </c>
      <c r="L222" s="56" t="s">
        <v>7376</v>
      </c>
      <c r="M222" s="56" t="s">
        <v>7377</v>
      </c>
      <c r="N222" s="18" t="s">
        <v>6640</v>
      </c>
      <c r="O222" s="56" t="s">
        <v>7376</v>
      </c>
      <c r="P222" s="56" t="s">
        <v>7377</v>
      </c>
    </row>
    <row r="223" spans="1:16" x14ac:dyDescent="0.25">
      <c r="A223" s="17" t="s">
        <v>6641</v>
      </c>
      <c r="B223" s="17" t="s">
        <v>2556</v>
      </c>
      <c r="C223" s="17" t="s">
        <v>60</v>
      </c>
      <c r="D223" s="17" t="s">
        <v>7375</v>
      </c>
      <c r="E223" s="17" t="s">
        <v>6645</v>
      </c>
      <c r="F223" s="56" t="s">
        <v>7376</v>
      </c>
      <c r="G223" s="56" t="s">
        <v>7377</v>
      </c>
      <c r="H223" s="17" t="s">
        <v>6646</v>
      </c>
      <c r="I223" s="56" t="s">
        <v>7376</v>
      </c>
      <c r="J223" s="56" t="s">
        <v>7377</v>
      </c>
      <c r="K223" s="17" t="s">
        <v>6647</v>
      </c>
      <c r="L223" s="56" t="s">
        <v>7376</v>
      </c>
      <c r="M223" s="56" t="s">
        <v>7377</v>
      </c>
      <c r="N223" s="17" t="s">
        <v>6648</v>
      </c>
      <c r="O223" s="56" t="s">
        <v>7376</v>
      </c>
      <c r="P223" s="56" t="s">
        <v>7377</v>
      </c>
    </row>
    <row r="224" spans="1:16" ht="360" x14ac:dyDescent="0.25">
      <c r="A224" s="18" t="s">
        <v>6649</v>
      </c>
      <c r="B224" s="18" t="s">
        <v>418</v>
      </c>
      <c r="C224" s="18" t="s">
        <v>60</v>
      </c>
      <c r="D224" s="18" t="s">
        <v>7375</v>
      </c>
      <c r="E224" s="18" t="s">
        <v>6653</v>
      </c>
      <c r="F224" s="56" t="s">
        <v>7376</v>
      </c>
      <c r="G224" s="56" t="s">
        <v>7377</v>
      </c>
      <c r="H224" s="18" t="s">
        <v>6654</v>
      </c>
      <c r="I224" s="56" t="s">
        <v>7376</v>
      </c>
      <c r="J224" s="56" t="s">
        <v>7377</v>
      </c>
      <c r="K224" s="18" t="s">
        <v>6655</v>
      </c>
      <c r="L224" s="56" t="s">
        <v>7376</v>
      </c>
      <c r="M224" s="56" t="s">
        <v>7377</v>
      </c>
      <c r="N224" s="18" t="s">
        <v>6656</v>
      </c>
      <c r="O224" s="56" t="s">
        <v>7376</v>
      </c>
      <c r="P224" s="56" t="s">
        <v>7377</v>
      </c>
    </row>
    <row r="225" spans="1:16" x14ac:dyDescent="0.25">
      <c r="A225" s="17" t="s">
        <v>6657</v>
      </c>
      <c r="B225" s="17" t="s">
        <v>3309</v>
      </c>
      <c r="C225" s="17" t="s">
        <v>60</v>
      </c>
      <c r="D225" s="17" t="s">
        <v>7375</v>
      </c>
      <c r="E225" s="17" t="s">
        <v>6661</v>
      </c>
      <c r="F225" s="56" t="s">
        <v>7376</v>
      </c>
      <c r="G225" s="56" t="s">
        <v>7377</v>
      </c>
      <c r="H225" s="17" t="s">
        <v>6662</v>
      </c>
      <c r="I225" s="56" t="s">
        <v>7376</v>
      </c>
      <c r="J225" s="56" t="s">
        <v>7377</v>
      </c>
      <c r="K225" s="17" t="s">
        <v>6663</v>
      </c>
      <c r="L225" s="56" t="s">
        <v>7376</v>
      </c>
      <c r="M225" s="56" t="s">
        <v>7377</v>
      </c>
      <c r="N225" s="17" t="s">
        <v>6664</v>
      </c>
      <c r="O225" s="56" t="s">
        <v>7376</v>
      </c>
      <c r="P225" s="56" t="s">
        <v>7377</v>
      </c>
    </row>
    <row r="226" spans="1:16" ht="22.5" x14ac:dyDescent="0.25">
      <c r="A226" s="18" t="s">
        <v>6665</v>
      </c>
      <c r="B226" s="18" t="s">
        <v>687</v>
      </c>
      <c r="C226" s="18" t="s">
        <v>60</v>
      </c>
      <c r="D226" s="18" t="s">
        <v>7375</v>
      </c>
      <c r="E226" s="18" t="s">
        <v>6669</v>
      </c>
      <c r="F226" s="56" t="s">
        <v>7376</v>
      </c>
      <c r="G226" s="56" t="s">
        <v>7377</v>
      </c>
      <c r="H226" s="18" t="s">
        <v>6670</v>
      </c>
      <c r="I226" s="56" t="s">
        <v>7376</v>
      </c>
      <c r="J226" s="56" t="s">
        <v>7377</v>
      </c>
      <c r="K226" s="18" t="s">
        <v>6671</v>
      </c>
      <c r="L226" s="56" t="s">
        <v>7376</v>
      </c>
      <c r="M226" s="56" t="s">
        <v>7377</v>
      </c>
      <c r="N226" s="18" t="s">
        <v>6672</v>
      </c>
      <c r="O226" s="56" t="s">
        <v>7376</v>
      </c>
      <c r="P226" s="56" t="s">
        <v>7377</v>
      </c>
    </row>
    <row r="227" spans="1:16" ht="22.5" x14ac:dyDescent="0.25">
      <c r="A227" s="17" t="s">
        <v>6673</v>
      </c>
      <c r="B227" s="17" t="s">
        <v>470</v>
      </c>
      <c r="C227" s="17" t="s">
        <v>60</v>
      </c>
      <c r="D227" s="17" t="s">
        <v>7375</v>
      </c>
      <c r="E227" s="17" t="s">
        <v>6677</v>
      </c>
      <c r="F227" s="56" t="s">
        <v>7376</v>
      </c>
      <c r="G227" s="56" t="s">
        <v>7377</v>
      </c>
      <c r="H227" s="17" t="s">
        <v>6678</v>
      </c>
      <c r="I227" s="56" t="s">
        <v>7376</v>
      </c>
      <c r="J227" s="56" t="s">
        <v>7377</v>
      </c>
      <c r="K227" s="17" t="s">
        <v>6679</v>
      </c>
      <c r="L227" s="56" t="s">
        <v>7376</v>
      </c>
      <c r="M227" s="56" t="s">
        <v>7377</v>
      </c>
      <c r="N227" s="17" t="s">
        <v>6680</v>
      </c>
      <c r="O227" s="56" t="s">
        <v>7376</v>
      </c>
      <c r="P227" s="56" t="s">
        <v>7377</v>
      </c>
    </row>
    <row r="228" spans="1:16" x14ac:dyDescent="0.25">
      <c r="A228" s="18" t="s">
        <v>1367</v>
      </c>
      <c r="B228" s="18" t="s">
        <v>1368</v>
      </c>
      <c r="C228" s="18" t="s">
        <v>60</v>
      </c>
      <c r="D228" s="18" t="s">
        <v>7375</v>
      </c>
      <c r="E228" s="18" t="s">
        <v>6684</v>
      </c>
      <c r="F228" s="56" t="s">
        <v>7376</v>
      </c>
      <c r="G228" s="56" t="s">
        <v>7377</v>
      </c>
      <c r="H228" s="18" t="s">
        <v>6685</v>
      </c>
      <c r="I228" s="56" t="s">
        <v>7376</v>
      </c>
      <c r="J228" s="56" t="s">
        <v>7377</v>
      </c>
      <c r="K228" s="18" t="s">
        <v>6686</v>
      </c>
      <c r="L228" s="56" t="s">
        <v>7376</v>
      </c>
      <c r="M228" s="56" t="s">
        <v>7377</v>
      </c>
      <c r="N228" s="18" t="s">
        <v>6687</v>
      </c>
      <c r="O228" s="56" t="s">
        <v>7376</v>
      </c>
      <c r="P228" s="56" t="s">
        <v>7377</v>
      </c>
    </row>
    <row r="229" spans="1:16" ht="56.25" x14ac:dyDescent="0.25">
      <c r="A229" s="17" t="s">
        <v>6688</v>
      </c>
      <c r="B229" s="17" t="s">
        <v>656</v>
      </c>
      <c r="C229" s="17" t="s">
        <v>60</v>
      </c>
      <c r="D229" s="17" t="s">
        <v>7375</v>
      </c>
      <c r="E229" s="17" t="s">
        <v>6692</v>
      </c>
      <c r="F229" s="56" t="s">
        <v>7376</v>
      </c>
      <c r="G229" s="56" t="s">
        <v>7377</v>
      </c>
      <c r="H229" s="17" t="s">
        <v>6693</v>
      </c>
      <c r="I229" s="56" t="s">
        <v>7376</v>
      </c>
      <c r="J229" s="56" t="s">
        <v>7377</v>
      </c>
      <c r="K229" s="17" t="s">
        <v>6694</v>
      </c>
      <c r="L229" s="56" t="s">
        <v>7376</v>
      </c>
      <c r="M229" s="56" t="s">
        <v>7377</v>
      </c>
      <c r="N229" s="17" t="s">
        <v>6695</v>
      </c>
      <c r="O229" s="56" t="s">
        <v>7376</v>
      </c>
      <c r="P229" s="56" t="s">
        <v>7377</v>
      </c>
    </row>
    <row r="230" spans="1:16" x14ac:dyDescent="0.25">
      <c r="A230" s="18" t="s">
        <v>6696</v>
      </c>
      <c r="B230" s="18" t="s">
        <v>1437</v>
      </c>
      <c r="C230" s="18" t="s">
        <v>60</v>
      </c>
      <c r="D230" s="18" t="s">
        <v>7375</v>
      </c>
      <c r="E230" s="18" t="s">
        <v>6700</v>
      </c>
      <c r="F230" s="56" t="s">
        <v>7376</v>
      </c>
      <c r="G230" s="56" t="s">
        <v>7377</v>
      </c>
      <c r="H230" s="18" t="s">
        <v>6701</v>
      </c>
      <c r="I230" s="56" t="s">
        <v>7376</v>
      </c>
      <c r="J230" s="56" t="s">
        <v>7377</v>
      </c>
      <c r="K230" s="18" t="s">
        <v>6702</v>
      </c>
      <c r="L230" s="56" t="s">
        <v>7376</v>
      </c>
      <c r="M230" s="56" t="s">
        <v>7377</v>
      </c>
      <c r="N230" s="18" t="s">
        <v>6703</v>
      </c>
      <c r="O230" s="56" t="s">
        <v>7376</v>
      </c>
      <c r="P230" s="56" t="s">
        <v>7377</v>
      </c>
    </row>
    <row r="231" spans="1:16" x14ac:dyDescent="0.25">
      <c r="A231" s="17" t="s">
        <v>2750</v>
      </c>
      <c r="B231" s="17" t="s">
        <v>2751</v>
      </c>
      <c r="C231" s="17" t="s">
        <v>60</v>
      </c>
      <c r="D231" s="17" t="s">
        <v>7375</v>
      </c>
      <c r="E231" s="17" t="s">
        <v>6707</v>
      </c>
      <c r="F231" s="56" t="s">
        <v>7376</v>
      </c>
      <c r="G231" s="56" t="s">
        <v>7377</v>
      </c>
      <c r="H231" s="17" t="s">
        <v>6708</v>
      </c>
      <c r="I231" s="56" t="s">
        <v>7376</v>
      </c>
      <c r="J231" s="56" t="s">
        <v>7377</v>
      </c>
      <c r="K231" s="17" t="s">
        <v>6709</v>
      </c>
      <c r="L231" s="56" t="s">
        <v>7376</v>
      </c>
      <c r="M231" s="56" t="s">
        <v>7377</v>
      </c>
      <c r="N231" s="17" t="s">
        <v>6710</v>
      </c>
      <c r="O231" s="56" t="s">
        <v>7376</v>
      </c>
      <c r="P231" s="56" t="s">
        <v>7377</v>
      </c>
    </row>
    <row r="232" spans="1:16" ht="33.75" x14ac:dyDescent="0.25">
      <c r="A232" s="18" t="s">
        <v>6711</v>
      </c>
      <c r="B232" s="18" t="s">
        <v>1510</v>
      </c>
      <c r="C232" s="18" t="s">
        <v>60</v>
      </c>
      <c r="D232" s="18" t="s">
        <v>7375</v>
      </c>
      <c r="E232" s="18" t="s">
        <v>6715</v>
      </c>
      <c r="F232" s="56" t="s">
        <v>7376</v>
      </c>
      <c r="G232" s="56" t="s">
        <v>7377</v>
      </c>
      <c r="H232" s="18" t="s">
        <v>6716</v>
      </c>
      <c r="I232" s="56" t="s">
        <v>7376</v>
      </c>
      <c r="J232" s="56" t="s">
        <v>7377</v>
      </c>
      <c r="K232" s="18" t="s">
        <v>6717</v>
      </c>
      <c r="L232" s="56" t="s">
        <v>7376</v>
      </c>
      <c r="M232" s="56" t="s">
        <v>7377</v>
      </c>
      <c r="N232" s="18" t="s">
        <v>6718</v>
      </c>
      <c r="O232" s="56" t="s">
        <v>7376</v>
      </c>
      <c r="P232" s="56" t="s">
        <v>7377</v>
      </c>
    </row>
    <row r="233" spans="1:16" ht="67.5" x14ac:dyDescent="0.25">
      <c r="A233" s="17" t="s">
        <v>6719</v>
      </c>
      <c r="B233" s="17" t="s">
        <v>1151</v>
      </c>
      <c r="C233" s="17" t="s">
        <v>60</v>
      </c>
      <c r="D233" s="17" t="s">
        <v>7375</v>
      </c>
      <c r="E233" s="17" t="s">
        <v>6721</v>
      </c>
      <c r="F233" s="56" t="s">
        <v>7376</v>
      </c>
      <c r="G233" s="56" t="s">
        <v>7377</v>
      </c>
      <c r="H233" s="17" t="s">
        <v>6722</v>
      </c>
      <c r="I233" s="56" t="s">
        <v>7376</v>
      </c>
      <c r="J233" s="56" t="s">
        <v>7377</v>
      </c>
      <c r="K233" s="17" t="s">
        <v>6723</v>
      </c>
      <c r="L233" s="56" t="s">
        <v>7376</v>
      </c>
      <c r="M233" s="56" t="s">
        <v>7377</v>
      </c>
      <c r="N233" s="17" t="s">
        <v>6724</v>
      </c>
      <c r="O233" s="56" t="s">
        <v>7376</v>
      </c>
      <c r="P233" s="56" t="s">
        <v>7377</v>
      </c>
    </row>
    <row r="234" spans="1:16" x14ac:dyDescent="0.25">
      <c r="A234" s="18" t="s">
        <v>1527</v>
      </c>
      <c r="B234" s="18" t="s">
        <v>1528</v>
      </c>
      <c r="C234" s="18" t="s">
        <v>60</v>
      </c>
      <c r="D234" s="18" t="s">
        <v>7375</v>
      </c>
      <c r="E234" s="18" t="s">
        <v>6728</v>
      </c>
      <c r="F234" s="56" t="s">
        <v>7376</v>
      </c>
      <c r="G234" s="56" t="s">
        <v>7377</v>
      </c>
      <c r="H234" s="18" t="s">
        <v>6729</v>
      </c>
      <c r="I234" s="56" t="s">
        <v>7376</v>
      </c>
      <c r="J234" s="56" t="s">
        <v>7377</v>
      </c>
      <c r="K234" s="18" t="s">
        <v>6730</v>
      </c>
      <c r="L234" s="56" t="s">
        <v>7376</v>
      </c>
      <c r="M234" s="56" t="s">
        <v>7377</v>
      </c>
      <c r="N234" s="18" t="s">
        <v>6731</v>
      </c>
      <c r="O234" s="56" t="s">
        <v>7376</v>
      </c>
      <c r="P234" s="56" t="s">
        <v>7377</v>
      </c>
    </row>
    <row r="235" spans="1:16" ht="22.5" x14ac:dyDescent="0.25">
      <c r="A235" s="17" t="s">
        <v>6732</v>
      </c>
      <c r="B235" s="17" t="s">
        <v>677</v>
      </c>
      <c r="C235" s="17" t="s">
        <v>60</v>
      </c>
      <c r="D235" s="17" t="s">
        <v>7375</v>
      </c>
      <c r="E235" s="17" t="s">
        <v>6734</v>
      </c>
      <c r="F235" s="56" t="s">
        <v>7376</v>
      </c>
      <c r="G235" s="56" t="s">
        <v>7377</v>
      </c>
      <c r="H235" s="17" t="s">
        <v>6735</v>
      </c>
      <c r="I235" s="56" t="s">
        <v>7376</v>
      </c>
      <c r="J235" s="56" t="s">
        <v>7377</v>
      </c>
      <c r="K235" s="17" t="s">
        <v>6736</v>
      </c>
      <c r="L235" s="56" t="s">
        <v>7376</v>
      </c>
      <c r="M235" s="56" t="s">
        <v>7377</v>
      </c>
      <c r="N235" s="17" t="s">
        <v>6737</v>
      </c>
      <c r="O235" s="56" t="s">
        <v>7376</v>
      </c>
      <c r="P235" s="56" t="s">
        <v>7377</v>
      </c>
    </row>
    <row r="236" spans="1:16" x14ac:dyDescent="0.25">
      <c r="A236" s="18" t="s">
        <v>1493</v>
      </c>
      <c r="B236" s="18" t="s">
        <v>1494</v>
      </c>
      <c r="C236" s="18" t="s">
        <v>60</v>
      </c>
      <c r="D236" s="18" t="s">
        <v>7375</v>
      </c>
      <c r="E236" s="18" t="s">
        <v>6739</v>
      </c>
      <c r="F236" s="56" t="s">
        <v>7376</v>
      </c>
      <c r="G236" s="56" t="s">
        <v>7377</v>
      </c>
      <c r="H236" s="18" t="s">
        <v>6740</v>
      </c>
      <c r="I236" s="56" t="s">
        <v>7376</v>
      </c>
      <c r="J236" s="56" t="s">
        <v>7377</v>
      </c>
      <c r="K236" s="18" t="s">
        <v>6741</v>
      </c>
      <c r="L236" s="56" t="s">
        <v>7376</v>
      </c>
      <c r="M236" s="56" t="s">
        <v>7377</v>
      </c>
      <c r="N236" s="18" t="s">
        <v>6742</v>
      </c>
      <c r="O236" s="56" t="s">
        <v>7376</v>
      </c>
      <c r="P236" s="56" t="s">
        <v>7377</v>
      </c>
    </row>
    <row r="237" spans="1:16" x14ac:dyDescent="0.25">
      <c r="A237" s="17" t="s">
        <v>1794</v>
      </c>
      <c r="B237" s="17" t="s">
        <v>1795</v>
      </c>
      <c r="C237" s="17" t="s">
        <v>60</v>
      </c>
      <c r="D237" s="17" t="s">
        <v>7375</v>
      </c>
      <c r="E237" s="17" t="s">
        <v>6745</v>
      </c>
      <c r="F237" s="56" t="s">
        <v>7376</v>
      </c>
      <c r="G237" s="56" t="s">
        <v>7377</v>
      </c>
      <c r="H237" s="17" t="s">
        <v>6746</v>
      </c>
      <c r="I237" s="56" t="s">
        <v>7376</v>
      </c>
      <c r="J237" s="56" t="s">
        <v>7377</v>
      </c>
      <c r="K237" s="17" t="s">
        <v>6747</v>
      </c>
      <c r="L237" s="56" t="s">
        <v>7376</v>
      </c>
      <c r="M237" s="56" t="s">
        <v>7377</v>
      </c>
      <c r="N237" s="17" t="s">
        <v>6748</v>
      </c>
      <c r="O237" s="56" t="s">
        <v>7376</v>
      </c>
      <c r="P237" s="56" t="s">
        <v>7377</v>
      </c>
    </row>
    <row r="238" spans="1:16" x14ac:dyDescent="0.25">
      <c r="A238" s="18" t="s">
        <v>6749</v>
      </c>
      <c r="B238" s="18" t="s">
        <v>4135</v>
      </c>
      <c r="C238" s="18" t="s">
        <v>60</v>
      </c>
      <c r="D238" s="18" t="s">
        <v>7375</v>
      </c>
      <c r="E238" s="18" t="s">
        <v>6752</v>
      </c>
      <c r="F238" s="56" t="s">
        <v>7376</v>
      </c>
      <c r="G238" s="56" t="s">
        <v>7377</v>
      </c>
      <c r="H238" s="18" t="s">
        <v>6753</v>
      </c>
      <c r="I238" s="56" t="s">
        <v>7376</v>
      </c>
      <c r="J238" s="56" t="s">
        <v>7377</v>
      </c>
      <c r="K238" s="18" t="s">
        <v>6754</v>
      </c>
      <c r="L238" s="56" t="s">
        <v>7376</v>
      </c>
      <c r="M238" s="56" t="s">
        <v>7377</v>
      </c>
      <c r="N238" s="18" t="s">
        <v>6755</v>
      </c>
      <c r="O238" s="56" t="s">
        <v>7376</v>
      </c>
      <c r="P238" s="56" t="s">
        <v>7377</v>
      </c>
    </row>
    <row r="239" spans="1:16" x14ac:dyDescent="0.25">
      <c r="A239" s="17" t="s">
        <v>6756</v>
      </c>
      <c r="B239" s="17" t="s">
        <v>1967</v>
      </c>
      <c r="C239" s="17" t="s">
        <v>60</v>
      </c>
      <c r="D239" s="17" t="s">
        <v>7375</v>
      </c>
      <c r="E239" s="17" t="s">
        <v>6759</v>
      </c>
      <c r="F239" s="56" t="s">
        <v>7376</v>
      </c>
      <c r="G239" s="56" t="s">
        <v>7377</v>
      </c>
      <c r="H239" s="17" t="s">
        <v>6760</v>
      </c>
      <c r="I239" s="56" t="s">
        <v>7376</v>
      </c>
      <c r="J239" s="56" t="s">
        <v>7377</v>
      </c>
      <c r="K239" s="17" t="s">
        <v>6761</v>
      </c>
      <c r="L239" s="56" t="s">
        <v>7376</v>
      </c>
      <c r="M239" s="56" t="s">
        <v>7377</v>
      </c>
      <c r="N239" s="17" t="s">
        <v>6762</v>
      </c>
      <c r="O239" s="56" t="s">
        <v>7376</v>
      </c>
      <c r="P239" s="56" t="s">
        <v>7377</v>
      </c>
    </row>
    <row r="240" spans="1:16" x14ac:dyDescent="0.25">
      <c r="A240" s="18" t="s">
        <v>1559</v>
      </c>
      <c r="B240" s="18" t="s">
        <v>1560</v>
      </c>
      <c r="C240" s="18" t="s">
        <v>60</v>
      </c>
      <c r="D240" s="18" t="s">
        <v>7375</v>
      </c>
      <c r="E240" s="18" t="s">
        <v>6766</v>
      </c>
      <c r="F240" s="56" t="s">
        <v>7376</v>
      </c>
      <c r="G240" s="56" t="s">
        <v>7377</v>
      </c>
      <c r="H240" s="18" t="s">
        <v>6767</v>
      </c>
      <c r="I240" s="56" t="s">
        <v>7376</v>
      </c>
      <c r="J240" s="56" t="s">
        <v>7377</v>
      </c>
      <c r="K240" s="18" t="s">
        <v>6768</v>
      </c>
      <c r="L240" s="56" t="s">
        <v>7376</v>
      </c>
      <c r="M240" s="56" t="s">
        <v>7377</v>
      </c>
      <c r="N240" s="18" t="s">
        <v>6769</v>
      </c>
      <c r="O240" s="56" t="s">
        <v>7376</v>
      </c>
      <c r="P240" s="56" t="s">
        <v>7377</v>
      </c>
    </row>
    <row r="241" spans="1:16" ht="33.75" x14ac:dyDescent="0.25">
      <c r="A241" s="17" t="s">
        <v>6770</v>
      </c>
      <c r="B241" s="17" t="s">
        <v>2458</v>
      </c>
      <c r="C241" s="17" t="s">
        <v>60</v>
      </c>
      <c r="D241" s="17" t="s">
        <v>7375</v>
      </c>
      <c r="E241" s="17" t="s">
        <v>6772</v>
      </c>
      <c r="F241" s="56" t="s">
        <v>7376</v>
      </c>
      <c r="G241" s="56" t="s">
        <v>7377</v>
      </c>
      <c r="H241" s="17" t="s">
        <v>6773</v>
      </c>
      <c r="I241" s="56" t="s">
        <v>7376</v>
      </c>
      <c r="J241" s="56" t="s">
        <v>7377</v>
      </c>
      <c r="K241" s="17" t="s">
        <v>6774</v>
      </c>
      <c r="L241" s="56" t="s">
        <v>7376</v>
      </c>
      <c r="M241" s="56" t="s">
        <v>7377</v>
      </c>
      <c r="N241" s="17" t="s">
        <v>6775</v>
      </c>
      <c r="O241" s="56" t="s">
        <v>7376</v>
      </c>
      <c r="P241" s="56" t="s">
        <v>7377</v>
      </c>
    </row>
    <row r="242" spans="1:16" ht="101.25" x14ac:dyDescent="0.25">
      <c r="A242" s="18" t="s">
        <v>6776</v>
      </c>
      <c r="B242" s="18" t="s">
        <v>422</v>
      </c>
      <c r="C242" s="18" t="s">
        <v>60</v>
      </c>
      <c r="D242" s="18" t="s">
        <v>7375</v>
      </c>
      <c r="E242" s="18" t="s">
        <v>6780</v>
      </c>
      <c r="F242" s="56" t="s">
        <v>7376</v>
      </c>
      <c r="G242" s="56" t="s">
        <v>7377</v>
      </c>
      <c r="H242" s="18" t="s">
        <v>6781</v>
      </c>
      <c r="I242" s="56" t="s">
        <v>7376</v>
      </c>
      <c r="J242" s="56" t="s">
        <v>7377</v>
      </c>
      <c r="K242" s="18" t="s">
        <v>6782</v>
      </c>
      <c r="L242" s="56" t="s">
        <v>7376</v>
      </c>
      <c r="M242" s="56" t="s">
        <v>7377</v>
      </c>
      <c r="N242" s="18" t="s">
        <v>6783</v>
      </c>
      <c r="O242" s="56" t="s">
        <v>7376</v>
      </c>
      <c r="P242" s="56" t="s">
        <v>7377</v>
      </c>
    </row>
    <row r="243" spans="1:16" ht="22.5" x14ac:dyDescent="0.25">
      <c r="A243" s="17" t="s">
        <v>6784</v>
      </c>
      <c r="B243" s="17" t="s">
        <v>214</v>
      </c>
      <c r="C243" s="17" t="s">
        <v>60</v>
      </c>
      <c r="D243" s="17" t="s">
        <v>7375</v>
      </c>
      <c r="E243" s="17" t="s">
        <v>6788</v>
      </c>
      <c r="F243" s="56" t="s">
        <v>7376</v>
      </c>
      <c r="G243" s="56" t="s">
        <v>7377</v>
      </c>
      <c r="H243" s="17" t="s">
        <v>6789</v>
      </c>
      <c r="I243" s="56" t="s">
        <v>7376</v>
      </c>
      <c r="J243" s="56" t="s">
        <v>7377</v>
      </c>
      <c r="K243" s="17" t="s">
        <v>6790</v>
      </c>
      <c r="L243" s="56" t="s">
        <v>7376</v>
      </c>
      <c r="M243" s="56" t="s">
        <v>7377</v>
      </c>
      <c r="N243" s="17" t="s">
        <v>6791</v>
      </c>
      <c r="O243" s="56" t="s">
        <v>7376</v>
      </c>
      <c r="P243" s="56" t="s">
        <v>7377</v>
      </c>
    </row>
    <row r="244" spans="1:16" ht="22.5" x14ac:dyDescent="0.25">
      <c r="A244" s="18" t="s">
        <v>6792</v>
      </c>
      <c r="B244" s="18" t="s">
        <v>1928</v>
      </c>
      <c r="C244" s="18" t="s">
        <v>60</v>
      </c>
      <c r="D244" s="18" t="s">
        <v>7375</v>
      </c>
      <c r="E244" s="18" t="s">
        <v>6795</v>
      </c>
      <c r="F244" s="56" t="s">
        <v>7376</v>
      </c>
      <c r="G244" s="56" t="s">
        <v>7377</v>
      </c>
      <c r="H244" s="18" t="s">
        <v>6796</v>
      </c>
      <c r="I244" s="56" t="s">
        <v>7376</v>
      </c>
      <c r="J244" s="56" t="s">
        <v>7377</v>
      </c>
      <c r="K244" s="18" t="s">
        <v>6797</v>
      </c>
      <c r="L244" s="56" t="s">
        <v>7376</v>
      </c>
      <c r="M244" s="56" t="s">
        <v>7377</v>
      </c>
      <c r="N244" s="18" t="s">
        <v>6798</v>
      </c>
      <c r="O244" s="56" t="s">
        <v>7376</v>
      </c>
      <c r="P244" s="56" t="s">
        <v>7377</v>
      </c>
    </row>
    <row r="245" spans="1:16" x14ac:dyDescent="0.25">
      <c r="A245" s="17" t="s">
        <v>2287</v>
      </c>
      <c r="B245" s="17" t="s">
        <v>2288</v>
      </c>
      <c r="C245" s="17" t="s">
        <v>60</v>
      </c>
      <c r="D245" s="17" t="s">
        <v>7375</v>
      </c>
      <c r="E245" s="17" t="s">
        <v>6800</v>
      </c>
      <c r="F245" s="56" t="s">
        <v>7376</v>
      </c>
      <c r="G245" s="56" t="s">
        <v>7377</v>
      </c>
      <c r="H245" s="17" t="s">
        <v>6801</v>
      </c>
      <c r="I245" s="56" t="s">
        <v>7376</v>
      </c>
      <c r="J245" s="56" t="s">
        <v>7377</v>
      </c>
      <c r="K245" s="17" t="s">
        <v>6802</v>
      </c>
      <c r="L245" s="56" t="s">
        <v>7376</v>
      </c>
      <c r="M245" s="56" t="s">
        <v>7377</v>
      </c>
      <c r="N245" s="17" t="s">
        <v>6803</v>
      </c>
      <c r="O245" s="56" t="s">
        <v>7376</v>
      </c>
      <c r="P245" s="56" t="s">
        <v>7377</v>
      </c>
    </row>
    <row r="246" spans="1:16" x14ac:dyDescent="0.25">
      <c r="A246" s="18" t="s">
        <v>6804</v>
      </c>
      <c r="B246" s="18" t="s">
        <v>1944</v>
      </c>
      <c r="C246" s="18" t="s">
        <v>60</v>
      </c>
      <c r="D246" s="18" t="s">
        <v>7375</v>
      </c>
      <c r="E246" s="18" t="s">
        <v>6806</v>
      </c>
      <c r="F246" s="56" t="s">
        <v>7376</v>
      </c>
      <c r="G246" s="56" t="s">
        <v>7377</v>
      </c>
      <c r="H246" s="18" t="s">
        <v>6807</v>
      </c>
      <c r="I246" s="56" t="s">
        <v>7376</v>
      </c>
      <c r="J246" s="56" t="s">
        <v>7377</v>
      </c>
      <c r="K246" s="18" t="s">
        <v>6808</v>
      </c>
      <c r="L246" s="56" t="s">
        <v>7376</v>
      </c>
      <c r="M246" s="56" t="s">
        <v>7377</v>
      </c>
      <c r="N246" s="18" t="s">
        <v>6809</v>
      </c>
      <c r="O246" s="56" t="s">
        <v>7376</v>
      </c>
      <c r="P246" s="56" t="s">
        <v>7377</v>
      </c>
    </row>
    <row r="247" spans="1:16" x14ac:dyDescent="0.25">
      <c r="A247" s="17" t="s">
        <v>2299</v>
      </c>
      <c r="B247" s="17" t="s">
        <v>2300</v>
      </c>
      <c r="C247" s="17" t="s">
        <v>60</v>
      </c>
      <c r="D247" s="17" t="s">
        <v>7375</v>
      </c>
      <c r="E247" s="17" t="s">
        <v>6811</v>
      </c>
      <c r="F247" s="56" t="s">
        <v>7376</v>
      </c>
      <c r="G247" s="56" t="s">
        <v>7377</v>
      </c>
      <c r="H247" s="17" t="s">
        <v>6812</v>
      </c>
      <c r="I247" s="56" t="s">
        <v>7376</v>
      </c>
      <c r="J247" s="56" t="s">
        <v>7377</v>
      </c>
      <c r="K247" s="17" t="s">
        <v>6813</v>
      </c>
      <c r="L247" s="56" t="s">
        <v>7376</v>
      </c>
      <c r="M247" s="56" t="s">
        <v>7377</v>
      </c>
      <c r="N247" s="17" t="s">
        <v>6814</v>
      </c>
      <c r="O247" s="56" t="s">
        <v>7376</v>
      </c>
      <c r="P247" s="56" t="s">
        <v>7377</v>
      </c>
    </row>
    <row r="248" spans="1:16" x14ac:dyDescent="0.25">
      <c r="A248" s="18" t="s">
        <v>3167</v>
      </c>
      <c r="B248" s="18" t="s">
        <v>3168</v>
      </c>
      <c r="C248" s="18" t="s">
        <v>60</v>
      </c>
      <c r="D248" s="18" t="s">
        <v>7375</v>
      </c>
      <c r="E248" s="18" t="s">
        <v>6818</v>
      </c>
      <c r="F248" s="56" t="s">
        <v>7376</v>
      </c>
      <c r="G248" s="56" t="s">
        <v>7377</v>
      </c>
      <c r="H248" s="18" t="s">
        <v>6819</v>
      </c>
      <c r="I248" s="56" t="s">
        <v>7376</v>
      </c>
      <c r="J248" s="56" t="s">
        <v>7377</v>
      </c>
      <c r="K248" s="18" t="s">
        <v>6820</v>
      </c>
      <c r="L248" s="56" t="s">
        <v>7376</v>
      </c>
      <c r="M248" s="56" t="s">
        <v>7377</v>
      </c>
      <c r="N248" s="18" t="s">
        <v>6821</v>
      </c>
      <c r="O248" s="56" t="s">
        <v>7376</v>
      </c>
      <c r="P248" s="56" t="s">
        <v>7377</v>
      </c>
    </row>
    <row r="249" spans="1:16" x14ac:dyDescent="0.25">
      <c r="A249" s="17" t="s">
        <v>2281</v>
      </c>
      <c r="B249" s="17" t="s">
        <v>2282</v>
      </c>
      <c r="C249" s="17" t="s">
        <v>60</v>
      </c>
      <c r="D249" s="17" t="s">
        <v>7375</v>
      </c>
      <c r="E249" s="17" t="s">
        <v>6825</v>
      </c>
      <c r="F249" s="56" t="s">
        <v>7376</v>
      </c>
      <c r="G249" s="56" t="s">
        <v>7377</v>
      </c>
      <c r="H249" s="17" t="s">
        <v>6826</v>
      </c>
      <c r="I249" s="56" t="s">
        <v>7376</v>
      </c>
      <c r="J249" s="56" t="s">
        <v>7377</v>
      </c>
      <c r="K249" s="17" t="s">
        <v>6827</v>
      </c>
      <c r="L249" s="56" t="s">
        <v>7376</v>
      </c>
      <c r="M249" s="56" t="s">
        <v>7377</v>
      </c>
      <c r="N249" s="17" t="s">
        <v>6828</v>
      </c>
      <c r="O249" s="56" t="s">
        <v>7376</v>
      </c>
      <c r="P249" s="56" t="s">
        <v>7377</v>
      </c>
    </row>
    <row r="250" spans="1:16" x14ac:dyDescent="0.25">
      <c r="A250" s="18" t="s">
        <v>6829</v>
      </c>
      <c r="B250" s="18" t="s">
        <v>4129</v>
      </c>
      <c r="C250" s="18" t="s">
        <v>60</v>
      </c>
      <c r="D250" s="18" t="s">
        <v>7375</v>
      </c>
      <c r="E250" s="18" t="s">
        <v>6832</v>
      </c>
      <c r="F250" s="56" t="s">
        <v>7376</v>
      </c>
      <c r="G250" s="56" t="s">
        <v>7377</v>
      </c>
      <c r="H250" s="18" t="s">
        <v>6833</v>
      </c>
      <c r="I250" s="56" t="s">
        <v>7376</v>
      </c>
      <c r="J250" s="56" t="s">
        <v>7377</v>
      </c>
      <c r="K250" s="18" t="s">
        <v>6834</v>
      </c>
      <c r="L250" s="56" t="s">
        <v>7376</v>
      </c>
      <c r="M250" s="56" t="s">
        <v>7377</v>
      </c>
      <c r="N250" s="18" t="s">
        <v>6835</v>
      </c>
      <c r="O250" s="56" t="s">
        <v>7376</v>
      </c>
      <c r="P250" s="56" t="s">
        <v>7377</v>
      </c>
    </row>
    <row r="251" spans="1:16" x14ac:dyDescent="0.25">
      <c r="A251" s="17" t="s">
        <v>6836</v>
      </c>
      <c r="B251" s="17" t="s">
        <v>1644</v>
      </c>
      <c r="C251" s="17" t="s">
        <v>60</v>
      </c>
      <c r="D251" s="17" t="s">
        <v>7375</v>
      </c>
      <c r="E251" s="17" t="s">
        <v>6840</v>
      </c>
      <c r="F251" s="56" t="s">
        <v>7376</v>
      </c>
      <c r="G251" s="56" t="s">
        <v>7377</v>
      </c>
      <c r="H251" s="17" t="s">
        <v>6841</v>
      </c>
      <c r="I251" s="56" t="s">
        <v>7376</v>
      </c>
      <c r="J251" s="56" t="s">
        <v>7377</v>
      </c>
      <c r="K251" s="17" t="s">
        <v>6842</v>
      </c>
      <c r="L251" s="56" t="s">
        <v>7376</v>
      </c>
      <c r="M251" s="56" t="s">
        <v>7377</v>
      </c>
      <c r="N251" s="17" t="s">
        <v>6843</v>
      </c>
      <c r="O251" s="56" t="s">
        <v>7376</v>
      </c>
      <c r="P251" s="56" t="s">
        <v>7377</v>
      </c>
    </row>
    <row r="252" spans="1:16" x14ac:dyDescent="0.25">
      <c r="A252" s="18" t="s">
        <v>6844</v>
      </c>
      <c r="B252" s="18" t="s">
        <v>3305</v>
      </c>
      <c r="C252" s="18" t="s">
        <v>60</v>
      </c>
      <c r="D252" s="18" t="s">
        <v>7375</v>
      </c>
      <c r="E252" s="18" t="s">
        <v>6848</v>
      </c>
      <c r="F252" s="56" t="s">
        <v>7376</v>
      </c>
      <c r="G252" s="56" t="s">
        <v>7377</v>
      </c>
      <c r="H252" s="18" t="s">
        <v>6849</v>
      </c>
      <c r="I252" s="56" t="s">
        <v>7376</v>
      </c>
      <c r="J252" s="56" t="s">
        <v>7377</v>
      </c>
      <c r="K252" s="18" t="s">
        <v>6850</v>
      </c>
      <c r="L252" s="56" t="s">
        <v>7376</v>
      </c>
      <c r="M252" s="56" t="s">
        <v>7377</v>
      </c>
      <c r="N252" s="18" t="s">
        <v>6851</v>
      </c>
      <c r="O252" s="56" t="s">
        <v>7376</v>
      </c>
      <c r="P252" s="56" t="s">
        <v>7377</v>
      </c>
    </row>
    <row r="253" spans="1:16" ht="33.75" x14ac:dyDescent="0.25">
      <c r="A253" s="17" t="s">
        <v>6852</v>
      </c>
      <c r="B253" s="17" t="s">
        <v>1008</v>
      </c>
      <c r="C253" s="17" t="s">
        <v>60</v>
      </c>
      <c r="D253" s="17" t="s">
        <v>7375</v>
      </c>
      <c r="E253" s="17" t="s">
        <v>6856</v>
      </c>
      <c r="F253" s="56" t="s">
        <v>7376</v>
      </c>
      <c r="G253" s="56" t="s">
        <v>7377</v>
      </c>
      <c r="H253" s="17" t="s">
        <v>6857</v>
      </c>
      <c r="I253" s="56" t="s">
        <v>7376</v>
      </c>
      <c r="J253" s="56" t="s">
        <v>7377</v>
      </c>
      <c r="K253" s="17" t="s">
        <v>6858</v>
      </c>
      <c r="L253" s="56" t="s">
        <v>7376</v>
      </c>
      <c r="M253" s="56" t="s">
        <v>7377</v>
      </c>
      <c r="N253" s="17" t="s">
        <v>6859</v>
      </c>
      <c r="O253" s="56" t="s">
        <v>7376</v>
      </c>
      <c r="P253" s="56" t="s">
        <v>7377</v>
      </c>
    </row>
    <row r="254" spans="1:16" ht="78.75" x14ac:dyDescent="0.25">
      <c r="A254" s="18" t="s">
        <v>6860</v>
      </c>
      <c r="B254" s="18" t="s">
        <v>414</v>
      </c>
      <c r="C254" s="18" t="s">
        <v>60</v>
      </c>
      <c r="D254" s="18" t="s">
        <v>7375</v>
      </c>
      <c r="E254" s="18" t="s">
        <v>6864</v>
      </c>
      <c r="F254" s="56" t="s">
        <v>7376</v>
      </c>
      <c r="G254" s="56" t="s">
        <v>7377</v>
      </c>
      <c r="H254" s="18" t="s">
        <v>6865</v>
      </c>
      <c r="I254" s="56" t="s">
        <v>7376</v>
      </c>
      <c r="J254" s="56" t="s">
        <v>7377</v>
      </c>
      <c r="K254" s="18" t="s">
        <v>6866</v>
      </c>
      <c r="L254" s="56" t="s">
        <v>7376</v>
      </c>
      <c r="M254" s="56" t="s">
        <v>7377</v>
      </c>
      <c r="N254" s="18" t="s">
        <v>6867</v>
      </c>
      <c r="O254" s="56" t="s">
        <v>7376</v>
      </c>
      <c r="P254" s="56" t="s">
        <v>7377</v>
      </c>
    </row>
    <row r="255" spans="1:16" ht="22.5" x14ac:dyDescent="0.25">
      <c r="A255" s="17" t="s">
        <v>6868</v>
      </c>
      <c r="B255" s="17" t="s">
        <v>1453</v>
      </c>
      <c r="C255" s="17" t="s">
        <v>60</v>
      </c>
      <c r="D255" s="17" t="s">
        <v>7375</v>
      </c>
      <c r="E255" s="17" t="s">
        <v>6872</v>
      </c>
      <c r="F255" s="56" t="s">
        <v>7376</v>
      </c>
      <c r="G255" s="56" t="s">
        <v>7377</v>
      </c>
      <c r="H255" s="17" t="s">
        <v>6873</v>
      </c>
      <c r="I255" s="56" t="s">
        <v>7376</v>
      </c>
      <c r="J255" s="56" t="s">
        <v>7377</v>
      </c>
      <c r="K255" s="17" t="s">
        <v>6874</v>
      </c>
      <c r="L255" s="56" t="s">
        <v>7376</v>
      </c>
      <c r="M255" s="56" t="s">
        <v>7377</v>
      </c>
      <c r="N255" s="17" t="s">
        <v>6875</v>
      </c>
      <c r="O255" s="56" t="s">
        <v>7376</v>
      </c>
      <c r="P255" s="56" t="s">
        <v>7377</v>
      </c>
    </row>
    <row r="256" spans="1:16" x14ac:dyDescent="0.25">
      <c r="A256" s="18" t="s">
        <v>947</v>
      </c>
      <c r="B256" s="18" t="s">
        <v>948</v>
      </c>
      <c r="C256" s="18" t="s">
        <v>60</v>
      </c>
      <c r="D256" s="18" t="s">
        <v>7375</v>
      </c>
      <c r="E256" s="18" t="s">
        <v>6879</v>
      </c>
      <c r="F256" s="56" t="s">
        <v>7376</v>
      </c>
      <c r="G256" s="56" t="s">
        <v>7377</v>
      </c>
      <c r="H256" s="18" t="s">
        <v>6880</v>
      </c>
      <c r="I256" s="56" t="s">
        <v>7376</v>
      </c>
      <c r="J256" s="56" t="s">
        <v>7377</v>
      </c>
      <c r="K256" s="18" t="s">
        <v>6881</v>
      </c>
      <c r="L256" s="56" t="s">
        <v>7376</v>
      </c>
      <c r="M256" s="56" t="s">
        <v>7377</v>
      </c>
      <c r="N256" s="18" t="s">
        <v>6882</v>
      </c>
      <c r="O256" s="56" t="s">
        <v>7376</v>
      </c>
      <c r="P256" s="56" t="s">
        <v>7377</v>
      </c>
    </row>
    <row r="257" spans="1:16" x14ac:dyDescent="0.25">
      <c r="A257" s="17" t="s">
        <v>6883</v>
      </c>
      <c r="B257" s="17" t="s">
        <v>669</v>
      </c>
      <c r="C257" s="17" t="s">
        <v>60</v>
      </c>
      <c r="D257" s="17" t="s">
        <v>7375</v>
      </c>
      <c r="E257" s="17" t="s">
        <v>6887</v>
      </c>
      <c r="F257" s="56" t="s">
        <v>7376</v>
      </c>
      <c r="G257" s="56" t="s">
        <v>7377</v>
      </c>
      <c r="H257" s="17" t="s">
        <v>6888</v>
      </c>
      <c r="I257" s="56" t="s">
        <v>7376</v>
      </c>
      <c r="J257" s="56" t="s">
        <v>7377</v>
      </c>
      <c r="K257" s="17" t="s">
        <v>6889</v>
      </c>
      <c r="L257" s="56" t="s">
        <v>7376</v>
      </c>
      <c r="M257" s="56" t="s">
        <v>7377</v>
      </c>
      <c r="N257" s="17" t="s">
        <v>6890</v>
      </c>
      <c r="O257" s="56" t="s">
        <v>7376</v>
      </c>
      <c r="P257" s="56" t="s">
        <v>7377</v>
      </c>
    </row>
    <row r="258" spans="1:16" x14ac:dyDescent="0.25">
      <c r="A258" s="18" t="s">
        <v>6891</v>
      </c>
      <c r="B258" s="18" t="s">
        <v>695</v>
      </c>
      <c r="C258" s="18" t="s">
        <v>60</v>
      </c>
      <c r="D258" s="18" t="s">
        <v>7375</v>
      </c>
      <c r="E258" s="18" t="s">
        <v>6895</v>
      </c>
      <c r="F258" s="56" t="s">
        <v>7376</v>
      </c>
      <c r="G258" s="56" t="s">
        <v>7377</v>
      </c>
      <c r="H258" s="18" t="s">
        <v>6896</v>
      </c>
      <c r="I258" s="56" t="s">
        <v>7376</v>
      </c>
      <c r="J258" s="56" t="s">
        <v>7377</v>
      </c>
      <c r="K258" s="18" t="s">
        <v>6897</v>
      </c>
      <c r="L258" s="56" t="s">
        <v>7376</v>
      </c>
      <c r="M258" s="56" t="s">
        <v>7377</v>
      </c>
      <c r="N258" s="18" t="s">
        <v>6898</v>
      </c>
      <c r="O258" s="56" t="s">
        <v>7376</v>
      </c>
      <c r="P258" s="56" t="s">
        <v>7377</v>
      </c>
    </row>
    <row r="259" spans="1:16" x14ac:dyDescent="0.25">
      <c r="A259" s="17" t="s">
        <v>6899</v>
      </c>
      <c r="B259" s="17" t="s">
        <v>1236</v>
      </c>
      <c r="C259" s="17" t="s">
        <v>60</v>
      </c>
      <c r="D259" s="17" t="s">
        <v>7375</v>
      </c>
      <c r="E259" s="17" t="s">
        <v>6903</v>
      </c>
      <c r="F259" s="56" t="s">
        <v>7376</v>
      </c>
      <c r="G259" s="56" t="s">
        <v>7377</v>
      </c>
      <c r="H259" s="17" t="s">
        <v>6904</v>
      </c>
      <c r="I259" s="56" t="s">
        <v>7376</v>
      </c>
      <c r="J259" s="56" t="s">
        <v>7377</v>
      </c>
      <c r="K259" s="17" t="s">
        <v>6905</v>
      </c>
      <c r="L259" s="56" t="s">
        <v>7376</v>
      </c>
      <c r="M259" s="56" t="s">
        <v>7377</v>
      </c>
      <c r="N259" s="17" t="s">
        <v>6906</v>
      </c>
      <c r="O259" s="56" t="s">
        <v>7376</v>
      </c>
      <c r="P259" s="56" t="s">
        <v>7377</v>
      </c>
    </row>
    <row r="260" spans="1:16" x14ac:dyDescent="0.25">
      <c r="A260" s="18" t="s">
        <v>6907</v>
      </c>
      <c r="B260" s="18" t="s">
        <v>3234</v>
      </c>
      <c r="C260" s="18" t="s">
        <v>60</v>
      </c>
      <c r="D260" s="18" t="s">
        <v>7375</v>
      </c>
      <c r="E260" s="18" t="s">
        <v>6911</v>
      </c>
      <c r="F260" s="56" t="s">
        <v>7376</v>
      </c>
      <c r="G260" s="56" t="s">
        <v>7377</v>
      </c>
      <c r="H260" s="18" t="s">
        <v>6912</v>
      </c>
      <c r="I260" s="56" t="s">
        <v>7376</v>
      </c>
      <c r="J260" s="56" t="s">
        <v>7377</v>
      </c>
      <c r="K260" s="18" t="s">
        <v>6913</v>
      </c>
      <c r="L260" s="56" t="s">
        <v>7376</v>
      </c>
      <c r="M260" s="56" t="s">
        <v>7377</v>
      </c>
      <c r="N260" s="18" t="s">
        <v>6914</v>
      </c>
      <c r="O260" s="56" t="s">
        <v>7376</v>
      </c>
      <c r="P260" s="56" t="s">
        <v>7377</v>
      </c>
    </row>
    <row r="261" spans="1:16" x14ac:dyDescent="0.25">
      <c r="A261" s="17" t="s">
        <v>607</v>
      </c>
      <c r="B261" s="17" t="s">
        <v>608</v>
      </c>
      <c r="C261" s="17" t="s">
        <v>60</v>
      </c>
      <c r="D261" s="17" t="s">
        <v>7375</v>
      </c>
      <c r="E261" s="17" t="s">
        <v>6918</v>
      </c>
      <c r="F261" s="56" t="s">
        <v>7376</v>
      </c>
      <c r="G261" s="56" t="s">
        <v>7377</v>
      </c>
      <c r="H261" s="17" t="s">
        <v>6919</v>
      </c>
      <c r="I261" s="56" t="s">
        <v>7376</v>
      </c>
      <c r="J261" s="56" t="s">
        <v>7377</v>
      </c>
      <c r="K261" s="17" t="s">
        <v>6920</v>
      </c>
      <c r="L261" s="56" t="s">
        <v>7376</v>
      </c>
      <c r="M261" s="56" t="s">
        <v>7377</v>
      </c>
      <c r="N261" s="17" t="s">
        <v>6921</v>
      </c>
      <c r="O261" s="56" t="s">
        <v>7376</v>
      </c>
      <c r="P261" s="56" t="s">
        <v>7377</v>
      </c>
    </row>
    <row r="262" spans="1:16" x14ac:dyDescent="0.25">
      <c r="A262" s="18" t="s">
        <v>719</v>
      </c>
      <c r="B262" s="18" t="s">
        <v>720</v>
      </c>
      <c r="C262" s="18" t="s">
        <v>60</v>
      </c>
      <c r="D262" s="18" t="s">
        <v>7375</v>
      </c>
      <c r="E262" s="18" t="s">
        <v>6925</v>
      </c>
      <c r="F262" s="56" t="s">
        <v>7376</v>
      </c>
      <c r="G262" s="56" t="s">
        <v>7377</v>
      </c>
      <c r="H262" s="18" t="s">
        <v>6926</v>
      </c>
      <c r="I262" s="56" t="s">
        <v>7376</v>
      </c>
      <c r="J262" s="56" t="s">
        <v>7377</v>
      </c>
      <c r="K262" s="18" t="s">
        <v>6927</v>
      </c>
      <c r="L262" s="56" t="s">
        <v>7376</v>
      </c>
      <c r="M262" s="56" t="s">
        <v>7377</v>
      </c>
      <c r="N262" s="18" t="s">
        <v>6928</v>
      </c>
      <c r="O262" s="56" t="s">
        <v>7376</v>
      </c>
      <c r="P262" s="56" t="s">
        <v>7377</v>
      </c>
    </row>
    <row r="263" spans="1:16" x14ac:dyDescent="0.25">
      <c r="A263" s="17" t="s">
        <v>3748</v>
      </c>
      <c r="B263" s="17" t="s">
        <v>3749</v>
      </c>
      <c r="C263" s="17" t="s">
        <v>60</v>
      </c>
      <c r="D263" s="17" t="s">
        <v>7375</v>
      </c>
      <c r="E263" s="17" t="s">
        <v>6932</v>
      </c>
      <c r="F263" s="56" t="s">
        <v>7376</v>
      </c>
      <c r="G263" s="56" t="s">
        <v>7377</v>
      </c>
      <c r="H263" s="17" t="s">
        <v>6933</v>
      </c>
      <c r="I263" s="56" t="s">
        <v>7376</v>
      </c>
      <c r="J263" s="56" t="s">
        <v>7377</v>
      </c>
      <c r="K263" s="17" t="s">
        <v>6934</v>
      </c>
      <c r="L263" s="56" t="s">
        <v>7376</v>
      </c>
      <c r="M263" s="56" t="s">
        <v>7377</v>
      </c>
      <c r="N263" s="17" t="s">
        <v>6935</v>
      </c>
      <c r="O263" s="56" t="s">
        <v>7376</v>
      </c>
      <c r="P263" s="56" t="s">
        <v>7377</v>
      </c>
    </row>
    <row r="264" spans="1:16" x14ac:dyDescent="0.25">
      <c r="A264" s="18" t="s">
        <v>6936</v>
      </c>
      <c r="B264" s="18" t="s">
        <v>1222</v>
      </c>
      <c r="C264" s="18" t="s">
        <v>60</v>
      </c>
      <c r="D264" s="18" t="s">
        <v>7375</v>
      </c>
      <c r="E264" s="18" t="s">
        <v>6940</v>
      </c>
      <c r="F264" s="56" t="s">
        <v>7376</v>
      </c>
      <c r="G264" s="56" t="s">
        <v>7377</v>
      </c>
      <c r="H264" s="18" t="s">
        <v>6941</v>
      </c>
      <c r="I264" s="56" t="s">
        <v>7376</v>
      </c>
      <c r="J264" s="56" t="s">
        <v>7377</v>
      </c>
      <c r="K264" s="18" t="s">
        <v>6942</v>
      </c>
      <c r="L264" s="56" t="s">
        <v>7376</v>
      </c>
      <c r="M264" s="56" t="s">
        <v>7377</v>
      </c>
      <c r="N264" s="18" t="s">
        <v>6943</v>
      </c>
      <c r="O264" s="56" t="s">
        <v>7376</v>
      </c>
      <c r="P264" s="56" t="s">
        <v>7377</v>
      </c>
    </row>
    <row r="265" spans="1:16" x14ac:dyDescent="0.25">
      <c r="A265" s="17" t="s">
        <v>2213</v>
      </c>
      <c r="B265" s="17" t="s">
        <v>2214</v>
      </c>
      <c r="C265" s="17" t="s">
        <v>60</v>
      </c>
      <c r="D265" s="17" t="s">
        <v>7375</v>
      </c>
      <c r="E265" s="17" t="s">
        <v>6947</v>
      </c>
      <c r="F265" s="56" t="s">
        <v>7376</v>
      </c>
      <c r="G265" s="56" t="s">
        <v>7377</v>
      </c>
      <c r="H265" s="17" t="s">
        <v>6948</v>
      </c>
      <c r="I265" s="56" t="s">
        <v>7376</v>
      </c>
      <c r="J265" s="56" t="s">
        <v>7377</v>
      </c>
      <c r="K265" s="17" t="s">
        <v>6949</v>
      </c>
      <c r="L265" s="56" t="s">
        <v>7376</v>
      </c>
      <c r="M265" s="56" t="s">
        <v>7377</v>
      </c>
      <c r="N265" s="17" t="s">
        <v>6950</v>
      </c>
      <c r="O265" s="56" t="s">
        <v>7376</v>
      </c>
      <c r="P265" s="56" t="s">
        <v>7377</v>
      </c>
    </row>
    <row r="266" spans="1:16" x14ac:dyDescent="0.25">
      <c r="A266" s="18" t="s">
        <v>6951</v>
      </c>
      <c r="B266" s="18" t="s">
        <v>1189</v>
      </c>
      <c r="C266" s="18" t="s">
        <v>60</v>
      </c>
      <c r="D266" s="18" t="s">
        <v>7375</v>
      </c>
      <c r="E266" s="18" t="s">
        <v>6955</v>
      </c>
      <c r="F266" s="56" t="s">
        <v>7376</v>
      </c>
      <c r="G266" s="56" t="s">
        <v>7377</v>
      </c>
      <c r="H266" s="18" t="s">
        <v>6956</v>
      </c>
      <c r="I266" s="56" t="s">
        <v>7376</v>
      </c>
      <c r="J266" s="56" t="s">
        <v>7377</v>
      </c>
      <c r="K266" s="18" t="s">
        <v>6957</v>
      </c>
      <c r="L266" s="56" t="s">
        <v>7376</v>
      </c>
      <c r="M266" s="56" t="s">
        <v>7377</v>
      </c>
      <c r="N266" s="18" t="s">
        <v>6958</v>
      </c>
      <c r="O266" s="56" t="s">
        <v>7376</v>
      </c>
      <c r="P266" s="56" t="s">
        <v>7377</v>
      </c>
    </row>
    <row r="267" spans="1:16" x14ac:dyDescent="0.25">
      <c r="A267" s="17" t="s">
        <v>6959</v>
      </c>
      <c r="B267" s="17" t="s">
        <v>2634</v>
      </c>
      <c r="C267" s="17" t="s">
        <v>60</v>
      </c>
      <c r="D267" s="17" t="s">
        <v>7375</v>
      </c>
      <c r="E267" s="17" t="s">
        <v>6963</v>
      </c>
      <c r="F267" s="56" t="s">
        <v>7376</v>
      </c>
      <c r="G267" s="56" t="s">
        <v>7377</v>
      </c>
      <c r="H267" s="17" t="s">
        <v>6964</v>
      </c>
      <c r="I267" s="56" t="s">
        <v>7376</v>
      </c>
      <c r="J267" s="56" t="s">
        <v>7377</v>
      </c>
      <c r="K267" s="17" t="s">
        <v>6965</v>
      </c>
      <c r="L267" s="56" t="s">
        <v>7376</v>
      </c>
      <c r="M267" s="56" t="s">
        <v>7377</v>
      </c>
      <c r="N267" s="17" t="s">
        <v>6966</v>
      </c>
      <c r="O267" s="56" t="s">
        <v>7376</v>
      </c>
      <c r="P267" s="56" t="s">
        <v>7377</v>
      </c>
    </row>
    <row r="268" spans="1:16" x14ac:dyDescent="0.25">
      <c r="A268" s="18" t="s">
        <v>6967</v>
      </c>
      <c r="B268" s="18" t="s">
        <v>2373</v>
      </c>
      <c r="C268" s="18" t="s">
        <v>60</v>
      </c>
      <c r="D268" s="18" t="s">
        <v>7375</v>
      </c>
      <c r="E268" s="18" t="s">
        <v>6971</v>
      </c>
      <c r="F268" s="56" t="s">
        <v>7376</v>
      </c>
      <c r="G268" s="56" t="s">
        <v>7377</v>
      </c>
      <c r="H268" s="18" t="s">
        <v>6972</v>
      </c>
      <c r="I268" s="56" t="s">
        <v>7376</v>
      </c>
      <c r="J268" s="56" t="s">
        <v>7377</v>
      </c>
      <c r="K268" s="18" t="s">
        <v>6973</v>
      </c>
      <c r="L268" s="56" t="s">
        <v>7376</v>
      </c>
      <c r="M268" s="56" t="s">
        <v>7377</v>
      </c>
      <c r="N268" s="18" t="s">
        <v>6974</v>
      </c>
      <c r="O268" s="56" t="s">
        <v>7376</v>
      </c>
      <c r="P268" s="56" t="s">
        <v>7377</v>
      </c>
    </row>
    <row r="269" spans="1:16" ht="22.5" x14ac:dyDescent="0.25">
      <c r="A269" s="17" t="s">
        <v>6975</v>
      </c>
      <c r="B269" s="17" t="s">
        <v>864</v>
      </c>
      <c r="C269" s="17" t="s">
        <v>60</v>
      </c>
      <c r="D269" s="17" t="s">
        <v>7375</v>
      </c>
      <c r="E269" s="17" t="s">
        <v>6979</v>
      </c>
      <c r="F269" s="56" t="s">
        <v>7376</v>
      </c>
      <c r="G269" s="56" t="s">
        <v>7377</v>
      </c>
      <c r="H269" s="17" t="s">
        <v>6980</v>
      </c>
      <c r="I269" s="56" t="s">
        <v>7376</v>
      </c>
      <c r="J269" s="56" t="s">
        <v>7377</v>
      </c>
      <c r="K269" s="17" t="s">
        <v>6981</v>
      </c>
      <c r="L269" s="56" t="s">
        <v>7376</v>
      </c>
      <c r="M269" s="56" t="s">
        <v>7377</v>
      </c>
      <c r="N269" s="17" t="s">
        <v>6982</v>
      </c>
      <c r="O269" s="56" t="s">
        <v>7376</v>
      </c>
      <c r="P269" s="56" t="s">
        <v>7377</v>
      </c>
    </row>
    <row r="270" spans="1:16" x14ac:dyDescent="0.25">
      <c r="A270" s="18" t="s">
        <v>1740</v>
      </c>
      <c r="B270" s="18" t="s">
        <v>1741</v>
      </c>
      <c r="C270" s="18" t="s">
        <v>60</v>
      </c>
      <c r="D270" s="18" t="s">
        <v>7375</v>
      </c>
      <c r="E270" s="18" t="s">
        <v>6986</v>
      </c>
      <c r="F270" s="56" t="s">
        <v>7376</v>
      </c>
      <c r="G270" s="56" t="s">
        <v>7377</v>
      </c>
      <c r="H270" s="18" t="s">
        <v>6987</v>
      </c>
      <c r="I270" s="56" t="s">
        <v>7376</v>
      </c>
      <c r="J270" s="56" t="s">
        <v>7377</v>
      </c>
      <c r="K270" s="18" t="s">
        <v>6988</v>
      </c>
      <c r="L270" s="56" t="s">
        <v>7376</v>
      </c>
      <c r="M270" s="56" t="s">
        <v>7377</v>
      </c>
      <c r="N270" s="18" t="s">
        <v>6989</v>
      </c>
      <c r="O270" s="56" t="s">
        <v>7376</v>
      </c>
      <c r="P270" s="56" t="s">
        <v>7377</v>
      </c>
    </row>
    <row r="271" spans="1:16" ht="33.75" x14ac:dyDescent="0.25">
      <c r="A271" s="17" t="s">
        <v>6990</v>
      </c>
      <c r="B271" s="17" t="s">
        <v>2037</v>
      </c>
      <c r="C271" s="17" t="s">
        <v>60</v>
      </c>
      <c r="D271" s="17" t="s">
        <v>7375</v>
      </c>
      <c r="E271" s="17" t="s">
        <v>6994</v>
      </c>
      <c r="F271" s="56" t="s">
        <v>7376</v>
      </c>
      <c r="G271" s="56" t="s">
        <v>7377</v>
      </c>
      <c r="H271" s="17" t="s">
        <v>6995</v>
      </c>
      <c r="I271" s="56" t="s">
        <v>7376</v>
      </c>
      <c r="J271" s="56" t="s">
        <v>7377</v>
      </c>
      <c r="K271" s="17" t="s">
        <v>6996</v>
      </c>
      <c r="L271" s="56" t="s">
        <v>7376</v>
      </c>
      <c r="M271" s="56" t="s">
        <v>7377</v>
      </c>
      <c r="N271" s="17" t="s">
        <v>6997</v>
      </c>
      <c r="O271" s="56" t="s">
        <v>7376</v>
      </c>
      <c r="P271" s="56" t="s">
        <v>7377</v>
      </c>
    </row>
    <row r="272" spans="1:16" x14ac:dyDescent="0.25">
      <c r="A272" s="18" t="s">
        <v>3348</v>
      </c>
      <c r="B272" s="18" t="s">
        <v>3349</v>
      </c>
      <c r="C272" s="18" t="s">
        <v>60</v>
      </c>
      <c r="D272" s="18" t="s">
        <v>7375</v>
      </c>
      <c r="E272" s="18" t="s">
        <v>7001</v>
      </c>
      <c r="F272" s="56" t="s">
        <v>7376</v>
      </c>
      <c r="G272" s="56" t="s">
        <v>7377</v>
      </c>
      <c r="H272" s="18" t="s">
        <v>7002</v>
      </c>
      <c r="I272" s="56" t="s">
        <v>7376</v>
      </c>
      <c r="J272" s="56" t="s">
        <v>7377</v>
      </c>
      <c r="K272" s="18" t="s">
        <v>7003</v>
      </c>
      <c r="L272" s="56" t="s">
        <v>7376</v>
      </c>
      <c r="M272" s="56" t="s">
        <v>7377</v>
      </c>
      <c r="N272" s="18" t="s">
        <v>7004</v>
      </c>
      <c r="O272" s="56" t="s">
        <v>7376</v>
      </c>
      <c r="P272" s="56" t="s">
        <v>7377</v>
      </c>
    </row>
    <row r="273" spans="1:16" x14ac:dyDescent="0.25">
      <c r="A273" s="17" t="s">
        <v>339</v>
      </c>
      <c r="B273" s="17" t="s">
        <v>340</v>
      </c>
      <c r="C273" s="17" t="s">
        <v>60</v>
      </c>
      <c r="D273" s="17" t="s">
        <v>7375</v>
      </c>
      <c r="E273" s="17" t="s">
        <v>7008</v>
      </c>
      <c r="F273" s="56" t="s">
        <v>7376</v>
      </c>
      <c r="G273" s="56" t="s">
        <v>7377</v>
      </c>
      <c r="H273" s="17" t="s">
        <v>7009</v>
      </c>
      <c r="I273" s="56" t="s">
        <v>7376</v>
      </c>
      <c r="J273" s="56" t="s">
        <v>7377</v>
      </c>
      <c r="K273" s="17" t="s">
        <v>7010</v>
      </c>
      <c r="L273" s="56" t="s">
        <v>7376</v>
      </c>
      <c r="M273" s="56" t="s">
        <v>7377</v>
      </c>
      <c r="N273" s="17" t="s">
        <v>7011</v>
      </c>
      <c r="O273" s="56" t="s">
        <v>7376</v>
      </c>
      <c r="P273" s="56" t="s">
        <v>7377</v>
      </c>
    </row>
    <row r="274" spans="1:16" x14ac:dyDescent="0.25">
      <c r="A274" s="18" t="s">
        <v>7012</v>
      </c>
      <c r="B274" s="18" t="s">
        <v>2454</v>
      </c>
      <c r="C274" s="18" t="s">
        <v>60</v>
      </c>
      <c r="D274" s="18" t="s">
        <v>7375</v>
      </c>
      <c r="E274" s="18" t="s">
        <v>7014</v>
      </c>
      <c r="F274" s="56" t="s">
        <v>7376</v>
      </c>
      <c r="G274" s="56" t="s">
        <v>7377</v>
      </c>
      <c r="H274" s="18" t="s">
        <v>7015</v>
      </c>
      <c r="I274" s="56" t="s">
        <v>7376</v>
      </c>
      <c r="J274" s="56" t="s">
        <v>7377</v>
      </c>
      <c r="K274" s="18" t="s">
        <v>7016</v>
      </c>
      <c r="L274" s="56" t="s">
        <v>7376</v>
      </c>
      <c r="M274" s="56" t="s">
        <v>7377</v>
      </c>
      <c r="N274" s="18" t="s">
        <v>7017</v>
      </c>
      <c r="O274" s="56" t="s">
        <v>7376</v>
      </c>
      <c r="P274" s="56" t="s">
        <v>7377</v>
      </c>
    </row>
    <row r="275" spans="1:16" x14ac:dyDescent="0.25">
      <c r="A275" s="17" t="s">
        <v>7018</v>
      </c>
      <c r="B275" s="17" t="s">
        <v>2450</v>
      </c>
      <c r="C275" s="17" t="s">
        <v>60</v>
      </c>
      <c r="D275" s="17" t="s">
        <v>7375</v>
      </c>
      <c r="E275" s="17" t="s">
        <v>7020</v>
      </c>
      <c r="F275" s="56" t="s">
        <v>7376</v>
      </c>
      <c r="G275" s="56" t="s">
        <v>7377</v>
      </c>
      <c r="H275" s="17" t="s">
        <v>7021</v>
      </c>
      <c r="I275" s="56" t="s">
        <v>7376</v>
      </c>
      <c r="J275" s="56" t="s">
        <v>7377</v>
      </c>
      <c r="K275" s="17" t="s">
        <v>7022</v>
      </c>
      <c r="L275" s="56" t="s">
        <v>7376</v>
      </c>
      <c r="M275" s="56" t="s">
        <v>7377</v>
      </c>
      <c r="N275" s="17" t="s">
        <v>7023</v>
      </c>
      <c r="O275" s="56" t="s">
        <v>7376</v>
      </c>
      <c r="P275" s="56" t="s">
        <v>7377</v>
      </c>
    </row>
    <row r="276" spans="1:16" x14ac:dyDescent="0.25">
      <c r="A276" s="18" t="s">
        <v>7024</v>
      </c>
      <c r="B276" s="18" t="s">
        <v>2401</v>
      </c>
      <c r="C276" s="18" t="s">
        <v>60</v>
      </c>
      <c r="D276" s="18" t="s">
        <v>7375</v>
      </c>
      <c r="E276" s="18" t="s">
        <v>7028</v>
      </c>
      <c r="F276" s="56" t="s">
        <v>7376</v>
      </c>
      <c r="G276" s="56" t="s">
        <v>7377</v>
      </c>
      <c r="H276" s="18" t="s">
        <v>7029</v>
      </c>
      <c r="I276" s="56" t="s">
        <v>7376</v>
      </c>
      <c r="J276" s="56" t="s">
        <v>7377</v>
      </c>
      <c r="K276" s="18" t="s">
        <v>7030</v>
      </c>
      <c r="L276" s="56" t="s">
        <v>7376</v>
      </c>
      <c r="M276" s="56" t="s">
        <v>7377</v>
      </c>
      <c r="N276" s="18" t="s">
        <v>7031</v>
      </c>
      <c r="O276" s="56" t="s">
        <v>7376</v>
      </c>
      <c r="P276" s="56" t="s">
        <v>7377</v>
      </c>
    </row>
    <row r="277" spans="1:16" x14ac:dyDescent="0.25">
      <c r="A277" s="17" t="s">
        <v>2032</v>
      </c>
      <c r="B277" s="17" t="s">
        <v>2033</v>
      </c>
      <c r="C277" s="17" t="s">
        <v>60</v>
      </c>
      <c r="D277" s="17" t="s">
        <v>7375</v>
      </c>
      <c r="E277" s="17" t="s">
        <v>7035</v>
      </c>
      <c r="F277" s="56" t="s">
        <v>7376</v>
      </c>
      <c r="G277" s="56" t="s">
        <v>7377</v>
      </c>
      <c r="H277" s="17" t="s">
        <v>7036</v>
      </c>
      <c r="I277" s="56" t="s">
        <v>7376</v>
      </c>
      <c r="J277" s="56" t="s">
        <v>7377</v>
      </c>
      <c r="K277" s="17" t="s">
        <v>7037</v>
      </c>
      <c r="L277" s="56" t="s">
        <v>7376</v>
      </c>
      <c r="M277" s="56" t="s">
        <v>7377</v>
      </c>
      <c r="N277" s="17" t="s">
        <v>7038</v>
      </c>
      <c r="O277" s="56" t="s">
        <v>7376</v>
      </c>
      <c r="P277" s="56" t="s">
        <v>7377</v>
      </c>
    </row>
    <row r="278" spans="1:16" x14ac:dyDescent="0.25">
      <c r="A278" s="18" t="s">
        <v>3764</v>
      </c>
      <c r="B278" s="18" t="s">
        <v>3765</v>
      </c>
      <c r="C278" s="18" t="s">
        <v>60</v>
      </c>
      <c r="D278" s="18" t="s">
        <v>7375</v>
      </c>
      <c r="E278" s="18" t="s">
        <v>7042</v>
      </c>
      <c r="F278" s="56" t="s">
        <v>7376</v>
      </c>
      <c r="G278" s="56" t="s">
        <v>7377</v>
      </c>
      <c r="H278" s="18" t="s">
        <v>7043</v>
      </c>
      <c r="I278" s="56" t="s">
        <v>7376</v>
      </c>
      <c r="J278" s="56" t="s">
        <v>7377</v>
      </c>
      <c r="K278" s="18" t="s">
        <v>7044</v>
      </c>
      <c r="L278" s="56" t="s">
        <v>7376</v>
      </c>
      <c r="M278" s="56" t="s">
        <v>7377</v>
      </c>
      <c r="N278" s="18" t="s">
        <v>7045</v>
      </c>
      <c r="O278" s="56" t="s">
        <v>7376</v>
      </c>
      <c r="P278" s="56" t="s">
        <v>7377</v>
      </c>
    </row>
    <row r="279" spans="1:16" x14ac:dyDescent="0.25">
      <c r="A279" s="17" t="s">
        <v>1359</v>
      </c>
      <c r="B279" s="17" t="s">
        <v>1360</v>
      </c>
      <c r="C279" s="17" t="s">
        <v>60</v>
      </c>
      <c r="D279" s="17" t="s">
        <v>7375</v>
      </c>
      <c r="E279" s="17" t="s">
        <v>7049</v>
      </c>
      <c r="F279" s="56" t="s">
        <v>7376</v>
      </c>
      <c r="G279" s="56" t="s">
        <v>7377</v>
      </c>
      <c r="H279" s="17" t="s">
        <v>7050</v>
      </c>
      <c r="I279" s="56" t="s">
        <v>7376</v>
      </c>
      <c r="J279" s="56" t="s">
        <v>7377</v>
      </c>
      <c r="K279" s="17" t="s">
        <v>7051</v>
      </c>
      <c r="L279" s="56" t="s">
        <v>7376</v>
      </c>
      <c r="M279" s="56" t="s">
        <v>7377</v>
      </c>
      <c r="N279" s="17" t="s">
        <v>7052</v>
      </c>
      <c r="O279" s="56" t="s">
        <v>7376</v>
      </c>
      <c r="P279" s="56" t="s">
        <v>7377</v>
      </c>
    </row>
    <row r="280" spans="1:16" x14ac:dyDescent="0.25">
      <c r="A280" s="18" t="s">
        <v>2209</v>
      </c>
      <c r="B280" s="18" t="s">
        <v>2210</v>
      </c>
      <c r="C280" s="18" t="s">
        <v>60</v>
      </c>
      <c r="D280" s="18" t="s">
        <v>7375</v>
      </c>
      <c r="E280" s="18" t="s">
        <v>7056</v>
      </c>
      <c r="F280" s="56" t="s">
        <v>7376</v>
      </c>
      <c r="G280" s="56" t="s">
        <v>7377</v>
      </c>
      <c r="H280" s="18" t="s">
        <v>7057</v>
      </c>
      <c r="I280" s="56" t="s">
        <v>7376</v>
      </c>
      <c r="J280" s="56" t="s">
        <v>7377</v>
      </c>
      <c r="K280" s="18" t="s">
        <v>7058</v>
      </c>
      <c r="L280" s="56" t="s">
        <v>7376</v>
      </c>
      <c r="M280" s="56" t="s">
        <v>7377</v>
      </c>
      <c r="N280" s="18" t="s">
        <v>7059</v>
      </c>
      <c r="O280" s="56" t="s">
        <v>7376</v>
      </c>
      <c r="P280" s="56" t="s">
        <v>7377</v>
      </c>
    </row>
    <row r="281" spans="1:16" ht="112.5" x14ac:dyDescent="0.25">
      <c r="A281" s="17" t="s">
        <v>7060</v>
      </c>
      <c r="B281" s="17" t="s">
        <v>382</v>
      </c>
      <c r="C281" s="17" t="s">
        <v>60</v>
      </c>
      <c r="D281" s="17" t="s">
        <v>7375</v>
      </c>
      <c r="E281" s="17" t="s">
        <v>7064</v>
      </c>
      <c r="F281" s="56" t="s">
        <v>7376</v>
      </c>
      <c r="G281" s="56" t="s">
        <v>7377</v>
      </c>
      <c r="H281" s="17" t="s">
        <v>7065</v>
      </c>
      <c r="I281" s="56" t="s">
        <v>7376</v>
      </c>
      <c r="J281" s="56" t="s">
        <v>7377</v>
      </c>
      <c r="K281" s="17" t="s">
        <v>7066</v>
      </c>
      <c r="L281" s="56" t="s">
        <v>7376</v>
      </c>
      <c r="M281" s="56" t="s">
        <v>7377</v>
      </c>
      <c r="N281" s="17" t="s">
        <v>7067</v>
      </c>
      <c r="O281" s="56" t="s">
        <v>7376</v>
      </c>
      <c r="P281" s="56" t="s">
        <v>7377</v>
      </c>
    </row>
    <row r="282" spans="1:16" ht="22.5" x14ac:dyDescent="0.25">
      <c r="A282" s="18" t="s">
        <v>7068</v>
      </c>
      <c r="B282" s="18" t="s">
        <v>681</v>
      </c>
      <c r="C282" s="18" t="s">
        <v>60</v>
      </c>
      <c r="D282" s="18" t="s">
        <v>7375</v>
      </c>
      <c r="E282" s="18" t="s">
        <v>7072</v>
      </c>
      <c r="F282" s="56" t="s">
        <v>7376</v>
      </c>
      <c r="G282" s="56" t="s">
        <v>7377</v>
      </c>
      <c r="H282" s="18" t="s">
        <v>7073</v>
      </c>
      <c r="I282" s="56" t="s">
        <v>7376</v>
      </c>
      <c r="J282" s="56" t="s">
        <v>7377</v>
      </c>
      <c r="K282" s="18" t="s">
        <v>7074</v>
      </c>
      <c r="L282" s="56" t="s">
        <v>7376</v>
      </c>
      <c r="M282" s="56" t="s">
        <v>7377</v>
      </c>
      <c r="N282" s="18" t="s">
        <v>7075</v>
      </c>
      <c r="O282" s="56" t="s">
        <v>7376</v>
      </c>
      <c r="P282" s="56" t="s">
        <v>7377</v>
      </c>
    </row>
    <row r="283" spans="1:16" ht="22.5" x14ac:dyDescent="0.25">
      <c r="A283" s="17" t="s">
        <v>7076</v>
      </c>
      <c r="B283" s="17" t="s">
        <v>1572</v>
      </c>
      <c r="C283" s="17" t="s">
        <v>60</v>
      </c>
      <c r="D283" s="17" t="s">
        <v>7375</v>
      </c>
      <c r="E283" s="17" t="s">
        <v>7080</v>
      </c>
      <c r="F283" s="56" t="s">
        <v>7376</v>
      </c>
      <c r="G283" s="56" t="s">
        <v>7377</v>
      </c>
      <c r="H283" s="17" t="s">
        <v>7081</v>
      </c>
      <c r="I283" s="56" t="s">
        <v>7376</v>
      </c>
      <c r="J283" s="56" t="s">
        <v>7377</v>
      </c>
      <c r="K283" s="17" t="s">
        <v>7082</v>
      </c>
      <c r="L283" s="56" t="s">
        <v>7376</v>
      </c>
      <c r="M283" s="56" t="s">
        <v>7377</v>
      </c>
      <c r="N283" s="17" t="s">
        <v>7083</v>
      </c>
      <c r="O283" s="56" t="s">
        <v>7376</v>
      </c>
      <c r="P283" s="56" t="s">
        <v>7377</v>
      </c>
    </row>
    <row r="284" spans="1:16" x14ac:dyDescent="0.25">
      <c r="A284" s="18" t="s">
        <v>3530</v>
      </c>
      <c r="B284" s="18" t="s">
        <v>3531</v>
      </c>
      <c r="C284" s="18" t="s">
        <v>60</v>
      </c>
      <c r="D284" s="18" t="s">
        <v>7375</v>
      </c>
      <c r="E284" s="18" t="s">
        <v>7086</v>
      </c>
      <c r="F284" s="56" t="s">
        <v>7376</v>
      </c>
      <c r="G284" s="56" t="s">
        <v>7377</v>
      </c>
      <c r="H284" s="18" t="s">
        <v>7087</v>
      </c>
      <c r="I284" s="56" t="s">
        <v>7376</v>
      </c>
      <c r="J284" s="56" t="s">
        <v>7377</v>
      </c>
      <c r="K284" s="18" t="s">
        <v>7088</v>
      </c>
      <c r="L284" s="56" t="s">
        <v>7376</v>
      </c>
      <c r="M284" s="56" t="s">
        <v>7377</v>
      </c>
      <c r="N284" s="18" t="s">
        <v>7089</v>
      </c>
      <c r="O284" s="56" t="s">
        <v>7376</v>
      </c>
      <c r="P284" s="56" t="s">
        <v>7377</v>
      </c>
    </row>
    <row r="285" spans="1:16" x14ac:dyDescent="0.25">
      <c r="A285" s="17" t="s">
        <v>1958</v>
      </c>
      <c r="B285" s="17" t="s">
        <v>1959</v>
      </c>
      <c r="C285" s="17" t="s">
        <v>60</v>
      </c>
      <c r="D285" s="17" t="s">
        <v>7375</v>
      </c>
      <c r="E285" s="17" t="s">
        <v>7092</v>
      </c>
      <c r="F285" s="56" t="s">
        <v>7376</v>
      </c>
      <c r="G285" s="56" t="s">
        <v>7377</v>
      </c>
      <c r="H285" s="17" t="s">
        <v>7093</v>
      </c>
      <c r="I285" s="56" t="s">
        <v>7376</v>
      </c>
      <c r="J285" s="56" t="s">
        <v>7377</v>
      </c>
      <c r="K285" s="17" t="s">
        <v>7094</v>
      </c>
      <c r="L285" s="56" t="s">
        <v>7376</v>
      </c>
      <c r="M285" s="56" t="s">
        <v>7377</v>
      </c>
      <c r="N285" s="17" t="s">
        <v>7095</v>
      </c>
      <c r="O285" s="56" t="s">
        <v>7376</v>
      </c>
      <c r="P285" s="56" t="s">
        <v>7377</v>
      </c>
    </row>
    <row r="286" spans="1:16" x14ac:dyDescent="0.25">
      <c r="A286" s="18" t="s">
        <v>1962</v>
      </c>
      <c r="B286" s="18" t="s">
        <v>1963</v>
      </c>
      <c r="C286" s="18" t="s">
        <v>60</v>
      </c>
      <c r="D286" s="18" t="s">
        <v>7375</v>
      </c>
      <c r="E286" s="18" t="s">
        <v>7098</v>
      </c>
      <c r="F286" s="56" t="s">
        <v>7376</v>
      </c>
      <c r="G286" s="56" t="s">
        <v>7377</v>
      </c>
      <c r="H286" s="18" t="s">
        <v>7099</v>
      </c>
      <c r="I286" s="56" t="s">
        <v>7376</v>
      </c>
      <c r="J286" s="56" t="s">
        <v>7377</v>
      </c>
      <c r="K286" s="18" t="s">
        <v>7100</v>
      </c>
      <c r="L286" s="56" t="s">
        <v>7376</v>
      </c>
      <c r="M286" s="56" t="s">
        <v>7377</v>
      </c>
      <c r="N286" s="18" t="s">
        <v>7101</v>
      </c>
      <c r="O286" s="56" t="s">
        <v>7376</v>
      </c>
      <c r="P286" s="56" t="s">
        <v>7377</v>
      </c>
    </row>
    <row r="287" spans="1:16" x14ac:dyDescent="0.25">
      <c r="A287" s="17" t="s">
        <v>965</v>
      </c>
      <c r="B287" s="17" t="s">
        <v>966</v>
      </c>
      <c r="C287" s="17" t="s">
        <v>60</v>
      </c>
      <c r="D287" s="17" t="s">
        <v>7375</v>
      </c>
      <c r="E287" s="17" t="s">
        <v>7105</v>
      </c>
      <c r="F287" s="56" t="s">
        <v>7376</v>
      </c>
      <c r="G287" s="56" t="s">
        <v>7377</v>
      </c>
      <c r="H287" s="17" t="s">
        <v>7106</v>
      </c>
      <c r="I287" s="56" t="s">
        <v>7376</v>
      </c>
      <c r="J287" s="56" t="s">
        <v>7377</v>
      </c>
      <c r="K287" s="17" t="s">
        <v>7107</v>
      </c>
      <c r="L287" s="56" t="s">
        <v>7376</v>
      </c>
      <c r="M287" s="56" t="s">
        <v>7377</v>
      </c>
      <c r="N287" s="17" t="s">
        <v>7108</v>
      </c>
      <c r="O287" s="56" t="s">
        <v>7376</v>
      </c>
      <c r="P287" s="56" t="s">
        <v>7377</v>
      </c>
    </row>
    <row r="288" spans="1:16" x14ac:dyDescent="0.25">
      <c r="A288" s="18" t="s">
        <v>2221</v>
      </c>
      <c r="B288" s="18" t="s">
        <v>2222</v>
      </c>
      <c r="C288" s="18" t="s">
        <v>60</v>
      </c>
      <c r="D288" s="18" t="s">
        <v>7375</v>
      </c>
      <c r="E288" s="18" t="s">
        <v>7112</v>
      </c>
      <c r="F288" s="56" t="s">
        <v>7376</v>
      </c>
      <c r="G288" s="56" t="s">
        <v>7377</v>
      </c>
      <c r="H288" s="18" t="s">
        <v>7113</v>
      </c>
      <c r="I288" s="56" t="s">
        <v>7376</v>
      </c>
      <c r="J288" s="56" t="s">
        <v>7377</v>
      </c>
      <c r="K288" s="18" t="s">
        <v>7114</v>
      </c>
      <c r="L288" s="56" t="s">
        <v>7376</v>
      </c>
      <c r="M288" s="56" t="s">
        <v>7377</v>
      </c>
      <c r="N288" s="18" t="s">
        <v>7115</v>
      </c>
      <c r="O288" s="56" t="s">
        <v>7376</v>
      </c>
      <c r="P288" s="56" t="s">
        <v>7377</v>
      </c>
    </row>
    <row r="289" spans="1:16" ht="90" x14ac:dyDescent="0.25">
      <c r="A289" s="17" t="s">
        <v>7116</v>
      </c>
      <c r="B289" s="17" t="s">
        <v>390</v>
      </c>
      <c r="C289" s="17" t="s">
        <v>60</v>
      </c>
      <c r="D289" s="17" t="s">
        <v>7375</v>
      </c>
      <c r="E289" s="17" t="s">
        <v>7120</v>
      </c>
      <c r="F289" s="56" t="s">
        <v>7376</v>
      </c>
      <c r="G289" s="56" t="s">
        <v>7377</v>
      </c>
      <c r="H289" s="17" t="s">
        <v>7121</v>
      </c>
      <c r="I289" s="56" t="s">
        <v>7376</v>
      </c>
      <c r="J289" s="56" t="s">
        <v>7377</v>
      </c>
      <c r="K289" s="17" t="s">
        <v>7122</v>
      </c>
      <c r="L289" s="56" t="s">
        <v>7376</v>
      </c>
      <c r="M289" s="56" t="s">
        <v>7377</v>
      </c>
      <c r="N289" s="17" t="s">
        <v>7123</v>
      </c>
      <c r="O289" s="56" t="s">
        <v>7376</v>
      </c>
      <c r="P289" s="56" t="s">
        <v>7377</v>
      </c>
    </row>
    <row r="290" spans="1:16" x14ac:dyDescent="0.25">
      <c r="A290" s="18" t="s">
        <v>7124</v>
      </c>
      <c r="B290" s="18" t="s">
        <v>714</v>
      </c>
      <c r="C290" s="18" t="s">
        <v>60</v>
      </c>
      <c r="D290" s="18" t="s">
        <v>7375</v>
      </c>
      <c r="E290" s="18" t="s">
        <v>7128</v>
      </c>
      <c r="F290" s="56" t="s">
        <v>7376</v>
      </c>
      <c r="G290" s="56" t="s">
        <v>7377</v>
      </c>
      <c r="H290" s="18" t="s">
        <v>7129</v>
      </c>
      <c r="I290" s="56" t="s">
        <v>7376</v>
      </c>
      <c r="J290" s="56" t="s">
        <v>7377</v>
      </c>
      <c r="K290" s="18" t="s">
        <v>7130</v>
      </c>
      <c r="L290" s="56" t="s">
        <v>7376</v>
      </c>
      <c r="M290" s="56" t="s">
        <v>7377</v>
      </c>
      <c r="N290" s="18" t="s">
        <v>7131</v>
      </c>
      <c r="O290" s="56" t="s">
        <v>7376</v>
      </c>
      <c r="P290" s="56" t="s">
        <v>7377</v>
      </c>
    </row>
    <row r="291" spans="1:16" x14ac:dyDescent="0.25">
      <c r="A291" s="17" t="s">
        <v>7132</v>
      </c>
      <c r="B291" s="17" t="s">
        <v>1578</v>
      </c>
      <c r="C291" s="17" t="s">
        <v>60</v>
      </c>
      <c r="D291" s="17" t="s">
        <v>7375</v>
      </c>
      <c r="E291" s="17" t="s">
        <v>7136</v>
      </c>
      <c r="F291" s="56" t="s">
        <v>7376</v>
      </c>
      <c r="G291" s="56" t="s">
        <v>7377</v>
      </c>
      <c r="H291" s="17" t="s">
        <v>7137</v>
      </c>
      <c r="I291" s="56" t="s">
        <v>7376</v>
      </c>
      <c r="J291" s="56" t="s">
        <v>7377</v>
      </c>
      <c r="K291" s="17" t="s">
        <v>7138</v>
      </c>
      <c r="L291" s="56" t="s">
        <v>7376</v>
      </c>
      <c r="M291" s="56" t="s">
        <v>7377</v>
      </c>
      <c r="N291" s="17" t="s">
        <v>7139</v>
      </c>
      <c r="O291" s="56" t="s">
        <v>7376</v>
      </c>
      <c r="P291" s="56" t="s">
        <v>7377</v>
      </c>
    </row>
  </sheetData>
  <autoFilter ref="A4:P291" xr:uid="{00000000-0009-0000-0000-000007000000}"/>
  <mergeCells count="7">
    <mergeCell ref="N3:P3"/>
    <mergeCell ref="A2:P2"/>
    <mergeCell ref="A1:D1"/>
    <mergeCell ref="A3:D3"/>
    <mergeCell ref="E3:G3"/>
    <mergeCell ref="K3:M3"/>
    <mergeCell ref="H3:J3"/>
  </mergeCells>
  <hyperlinks>
    <hyperlink ref="F5" r:id="rId1" display="..\01_DOCUMENT_SETS\ST-012-EUR-01\01_Technical_File.docx" xr:uid="{AAB6E417-E3E3-46D8-A56A-05419E9BB8DB}"/>
    <hyperlink ref="G5" r:id="rId2" display="..\01_DOCUMENT_SETS\ST-012-EUR-01\01_Technical_File.pdf" xr:uid="{4BC30E33-BDF8-48F1-B1BE-AED86D8193ED}"/>
    <hyperlink ref="I5" r:id="rId3" display="..\01_DOCUMENT_SETS\ST-012-EUR-01\02_EU_DoC.docx" xr:uid="{D2851C38-6FC2-4052-83DB-E8DE11725CD0}"/>
    <hyperlink ref="J5" r:id="rId4" display="..\01_DOCUMENT_SETS\ST-012-EUR-01\02_EU_DoC.pdf" xr:uid="{9EE175AA-C740-42CF-877C-6071489A5D29}"/>
    <hyperlink ref="L5" r:id="rId5" display="..\01_DOCUMENT_SETS\ST-012-EUR-01\03_Label.docx" xr:uid="{C516FD77-B097-484A-8533-B9595226176F}"/>
    <hyperlink ref="M5" r:id="rId6" display="..\01_DOCUMENT_SETS\ST-012-EUR-01\03_Label.pdf" xr:uid="{41BF08E9-0E22-40B3-8F0D-B4199E1CDE10}"/>
    <hyperlink ref="O5" r:id="rId7" display="..\01_DOCUMENT_SETS\ST-012-EUR-01\04_Shipment_Statement.docx" xr:uid="{D8FFC741-41A8-49A8-9500-33EDD127E72D}"/>
    <hyperlink ref="P5" r:id="rId8" display="..\01_DOCUMENT_SETS\ST-012-EUR-01\04_Shipment_Statement.pdf" xr:uid="{B3D7AB91-BFC8-41CA-BFD6-C215DEF3EC3F}"/>
    <hyperlink ref="F6" r:id="rId9" display="..\01_DOCUMENT_SETS\ST-012-EUR-02\01_Technical_File.docx" xr:uid="{9C2CB8A2-EB7B-4616-A0CF-9AC47553B2DB}"/>
    <hyperlink ref="G6" r:id="rId10" display="..\01_DOCUMENT_SETS\ST-012-EUR-02\01_Technical_File.pdf" xr:uid="{F6201AB0-13D9-4491-989A-07B7645FFF26}"/>
    <hyperlink ref="I6" r:id="rId11" display="..\01_DOCUMENT_SETS\ST-012-EUR-02\02_EU_DoC.docx" xr:uid="{272874BC-F819-47EB-8861-322726ABCA26}"/>
    <hyperlink ref="J6" r:id="rId12" display="..\01_DOCUMENT_SETS\ST-012-EUR-02\02_EU_DoC.pdf" xr:uid="{5AB1F5D5-D6D1-4BB4-8D32-886A8CE51DBC}"/>
    <hyperlink ref="L6" r:id="rId13" display="..\01_DOCUMENT_SETS\ST-012-EUR-02\03_Label.docx" xr:uid="{1D2F9715-C50F-424C-8AA5-AD859230E099}"/>
    <hyperlink ref="M6" r:id="rId14" display="..\01_DOCUMENT_SETS\ST-012-EUR-02\03_Label.pdf" xr:uid="{2AE692B7-D0AF-415D-8B81-837D88EDBB04}"/>
    <hyperlink ref="O6" r:id="rId15" display="..\01_DOCUMENT_SETS\ST-012-EUR-02\04_Shipment_Statement.docx" xr:uid="{659D8BE8-61A4-4B43-81D9-053379D62813}"/>
    <hyperlink ref="P6" r:id="rId16" display="..\01_DOCUMENT_SETS\ST-012-EUR-02\04_Shipment_Statement.pdf" xr:uid="{5D88A257-856E-44A8-974E-E26C5CFD080E}"/>
    <hyperlink ref="F7" r:id="rId17" display="..\01_DOCUMENT_SETS\ST-012-EUR-03\01_Technical_File.docx" xr:uid="{18F1253B-E4F3-4BAB-A670-42D084FC82A4}"/>
    <hyperlink ref="G7" r:id="rId18" display="..\01_DOCUMENT_SETS\ST-012-EUR-03\01_Technical_File.pdf" xr:uid="{6499ACBF-450F-445D-9CE9-B109093C8370}"/>
    <hyperlink ref="I7" r:id="rId19" display="..\01_DOCUMENT_SETS\ST-012-EUR-03\02_EU_DoC.docx" xr:uid="{6A94B4D2-4BB4-4DE7-AD41-5EB240B50B25}"/>
    <hyperlink ref="J7" r:id="rId20" display="..\01_DOCUMENT_SETS\ST-012-EUR-03\02_EU_DoC.pdf" xr:uid="{53825EDD-F92C-456C-B7A8-4C9A712792D9}"/>
    <hyperlink ref="L7" r:id="rId21" display="..\01_DOCUMENT_SETS\ST-012-EUR-03\03_Label.docx" xr:uid="{F281F300-733A-4180-97E4-FB3F906B76A9}"/>
    <hyperlink ref="M7" r:id="rId22" display="..\01_DOCUMENT_SETS\ST-012-EUR-03\03_Label.pdf" xr:uid="{1DB5F15E-3898-4A6E-9643-5E9BC704E4D6}"/>
    <hyperlink ref="O7" r:id="rId23" display="..\01_DOCUMENT_SETS\ST-012-EUR-03\04_Shipment_Statement.docx" xr:uid="{F1C7056A-3BF9-4774-80F9-8A4AD05FA7E9}"/>
    <hyperlink ref="P7" r:id="rId24" display="..\01_DOCUMENT_SETS\ST-012-EUR-03\04_Shipment_Statement.pdf" xr:uid="{F71FD347-84D5-4E75-9B77-445593B03B31}"/>
    <hyperlink ref="F8" r:id="rId25" display="..\01_DOCUMENT_SETS\ST-018-EUR-01\01_Technical_File.docx" xr:uid="{60A6422B-CDE1-4D32-B2F7-83FFC29F44A7}"/>
    <hyperlink ref="G8" r:id="rId26" display="..\01_DOCUMENT_SETS\ST-018-EUR-01\01_Technical_File.pdf" xr:uid="{29067026-ABDE-44CB-B20A-7B19156DCB6F}"/>
    <hyperlink ref="I8" r:id="rId27" display="..\01_DOCUMENT_SETS\ST-018-EUR-01\02_EU_DoC.docx" xr:uid="{681E6820-B14E-47AC-B132-13BF52A09949}"/>
    <hyperlink ref="J8" r:id="rId28" display="..\01_DOCUMENT_SETS\ST-018-EUR-01\02_EU_DoC.pdf" xr:uid="{26D1C1F0-D859-4704-A28F-F3B6FDA76488}"/>
    <hyperlink ref="L8" r:id="rId29" display="..\01_DOCUMENT_SETS\ST-018-EUR-01\03_Label.docx" xr:uid="{E2B0F70E-A3D3-4F61-9290-ECED9D50393B}"/>
    <hyperlink ref="M8" r:id="rId30" display="..\01_DOCUMENT_SETS\ST-018-EUR-01\03_Label.pdf" xr:uid="{8D91A9AC-2537-4C46-A61E-137BC73742CE}"/>
    <hyperlink ref="O8" r:id="rId31" display="..\01_DOCUMENT_SETS\ST-018-EUR-01\04_Shipment_Statement.docx" xr:uid="{10FE90DD-2E44-4915-8CAB-BB9F050E7B18}"/>
    <hyperlink ref="P8" r:id="rId32" display="..\01_DOCUMENT_SETS\ST-018-EUR-01\04_Shipment_Statement.pdf" xr:uid="{51A8B986-57E4-4482-84D9-7601A99494B8}"/>
    <hyperlink ref="F9" r:id="rId33" display="..\01_DOCUMENT_SETS\ST-018-EUR-02\01_Technical_File.docx" xr:uid="{F9F154C6-8C0B-4139-9C62-BF534062FF24}"/>
    <hyperlink ref="G9" r:id="rId34" display="..\01_DOCUMENT_SETS\ST-018-EUR-02\01_Technical_File.pdf" xr:uid="{186976CE-2F55-436E-A4EB-0CCEF9C5DA2C}"/>
    <hyperlink ref="I9" r:id="rId35" display="..\01_DOCUMENT_SETS\ST-018-EUR-02\02_EU_DoC.docx" xr:uid="{294F5EC0-093C-4CF3-9420-5EC2830C4411}"/>
    <hyperlink ref="J9" r:id="rId36" display="..\01_DOCUMENT_SETS\ST-018-EUR-02\02_EU_DoC.pdf" xr:uid="{BEB1DB2C-638B-4789-AF07-99334D4B7AD3}"/>
    <hyperlink ref="L9" r:id="rId37" display="..\01_DOCUMENT_SETS\ST-018-EUR-02\03_Label.docx" xr:uid="{918772E1-F256-46AC-B2E7-C14970023BCC}"/>
    <hyperlink ref="M9" r:id="rId38" display="..\01_DOCUMENT_SETS\ST-018-EUR-02\03_Label.pdf" xr:uid="{DF4DFB9B-C523-4983-854F-B07B1B6258AD}"/>
    <hyperlink ref="O9" r:id="rId39" display="..\01_DOCUMENT_SETS\ST-018-EUR-02\04_Shipment_Statement.docx" xr:uid="{3A725CDE-573B-4CFD-BA12-D8E5CDCB1CAC}"/>
    <hyperlink ref="P9" r:id="rId40" display="..\01_DOCUMENT_SETS\ST-018-EUR-02\04_Shipment_Statement.pdf" xr:uid="{F563FD63-0BB9-412E-9579-497E6D6514C5}"/>
    <hyperlink ref="F10" r:id="rId41" display="..\01_DOCUMENT_SETS\ST-018-EUR-03\01_Technical_File.docx" xr:uid="{980A52AD-895D-4B7F-9275-1728A058D800}"/>
    <hyperlink ref="G10" r:id="rId42" display="..\01_DOCUMENT_SETS\ST-018-EUR-03\01_Technical_File.pdf" xr:uid="{910D6D1E-6B06-46E4-8865-B1805E1A24A0}"/>
    <hyperlink ref="I10" r:id="rId43" display="..\01_DOCUMENT_SETS\ST-018-EUR-03\02_EU_DoC.docx" xr:uid="{23ACA6BF-4800-4A23-A194-931495FDC9FA}"/>
    <hyperlink ref="J10" r:id="rId44" display="..\01_DOCUMENT_SETS\ST-018-EUR-03\02_EU_DoC.pdf" xr:uid="{19F0DEE3-A797-4F93-B4F4-BF20B6CE58F0}"/>
    <hyperlink ref="L10" r:id="rId45" display="..\01_DOCUMENT_SETS\ST-018-EUR-03\03_Label.docx" xr:uid="{D14CD873-7316-4CA8-82E5-A585FD2B96F3}"/>
    <hyperlink ref="M10" r:id="rId46" display="..\01_DOCUMENT_SETS\ST-018-EUR-03\03_Label.pdf" xr:uid="{54C5D12B-2C8C-407D-B824-EF7E2A8D40D8}"/>
    <hyperlink ref="O10" r:id="rId47" display="..\01_DOCUMENT_SETS\ST-018-EUR-03\04_Shipment_Statement.docx" xr:uid="{0BCEAA0E-362F-43A9-B476-340965CF1C59}"/>
    <hyperlink ref="P10" r:id="rId48" display="..\01_DOCUMENT_SETS\ST-018-EUR-03\04_Shipment_Statement.pdf" xr:uid="{43F2D83F-1ED2-4268-8D83-1C5274492183}"/>
    <hyperlink ref="F11" r:id="rId49" display="..\01_DOCUMENT_SETS\ST-018-EUR-04\01_Technical_File.docx" xr:uid="{B7A23AB7-CA4C-42FD-9EB4-ED10F077474C}"/>
    <hyperlink ref="G11" r:id="rId50" display="..\01_DOCUMENT_SETS\ST-018-EUR-04\01_Technical_File.pdf" xr:uid="{D23CD95B-76FC-4EC5-8996-53FDC06AEBF1}"/>
    <hyperlink ref="I11" r:id="rId51" display="..\01_DOCUMENT_SETS\ST-018-EUR-04\02_EU_DoC.docx" xr:uid="{207B479C-3E6E-4535-A781-7492F929E16D}"/>
    <hyperlink ref="J11" r:id="rId52" display="..\01_DOCUMENT_SETS\ST-018-EUR-04\02_EU_DoC.pdf" xr:uid="{D946E48E-457D-41A8-B9BE-4F45E75B1CD7}"/>
    <hyperlink ref="L11" r:id="rId53" display="..\01_DOCUMENT_SETS\ST-018-EUR-04\03_Label.docx" xr:uid="{C5BB4046-6679-42A5-A53B-B9F298A703E6}"/>
    <hyperlink ref="M11" r:id="rId54" display="..\01_DOCUMENT_SETS\ST-018-EUR-04\03_Label.pdf" xr:uid="{1AFC7D8F-4672-4BD1-8223-A492DA2A1CB3}"/>
    <hyperlink ref="O11" r:id="rId55" display="..\01_DOCUMENT_SETS\ST-018-EUR-04\04_Shipment_Statement.docx" xr:uid="{8BF965EE-40F2-4B12-9C2D-59EDE868FD88}"/>
    <hyperlink ref="P11" r:id="rId56" display="..\01_DOCUMENT_SETS\ST-018-EUR-04\04_Shipment_Statement.pdf" xr:uid="{5C95FFEA-6FC5-4813-A6D3-CB0E8C8ACC96}"/>
    <hyperlink ref="F12" r:id="rId57" display="..\01_DOCUMENT_SETS\ST-018-EUR-05\01_Technical_File.docx" xr:uid="{C6E350F9-4557-4FED-BA3F-8AEAF6B054D8}"/>
    <hyperlink ref="G12" r:id="rId58" display="..\01_DOCUMENT_SETS\ST-018-EUR-05\01_Technical_File.pdf" xr:uid="{87B45C76-E0DB-45A0-9F8A-10D83E36BAA0}"/>
    <hyperlink ref="I12" r:id="rId59" display="..\01_DOCUMENT_SETS\ST-018-EUR-05\02_EU_DoC.docx" xr:uid="{58448A5F-438E-4C1C-BA30-FC33E0CD17C8}"/>
    <hyperlink ref="J12" r:id="rId60" display="..\01_DOCUMENT_SETS\ST-018-EUR-05\02_EU_DoC.pdf" xr:uid="{7E956D7B-623A-4D75-941D-ED75BCFE1F75}"/>
    <hyperlink ref="L12" r:id="rId61" display="..\01_DOCUMENT_SETS\ST-018-EUR-05\03_Label.docx" xr:uid="{FA59CD8F-6306-4E16-9553-E4C0A38F3BF1}"/>
    <hyperlink ref="M12" r:id="rId62" display="..\01_DOCUMENT_SETS\ST-018-EUR-05\03_Label.pdf" xr:uid="{088314B9-C08F-4D9B-AA59-6D7AAE41D2FA}"/>
    <hyperlink ref="O12" r:id="rId63" display="..\01_DOCUMENT_SETS\ST-018-EUR-05\04_Shipment_Statement.docx" xr:uid="{573DC458-30DE-4EA6-BA26-3144E3A3E5AE}"/>
    <hyperlink ref="P12" r:id="rId64" display="..\01_DOCUMENT_SETS\ST-018-EUR-05\04_Shipment_Statement.pdf" xr:uid="{94D454F5-31B3-4901-96BA-A7C10BD6ADA3}"/>
    <hyperlink ref="F13" r:id="rId65" display="..\01_DOCUMENT_SETS\ST-018-STD-01\01_Technical_File.docx" xr:uid="{C7122A98-5986-4161-84CE-B1FF39A8681A}"/>
    <hyperlink ref="G13" r:id="rId66" display="..\01_DOCUMENT_SETS\ST-018-STD-01\01_Technical_File.pdf" xr:uid="{FE279003-950F-4BF6-8A17-C483191BB4C7}"/>
    <hyperlink ref="I13" r:id="rId67" display="..\01_DOCUMENT_SETS\ST-018-STD-01\02_EU_DoC.docx" xr:uid="{79381ED6-CAC9-4383-A3F9-EEBF05034672}"/>
    <hyperlink ref="J13" r:id="rId68" display="..\01_DOCUMENT_SETS\ST-018-STD-01\02_EU_DoC.pdf" xr:uid="{6CB0A829-B34E-40A7-B6F9-22D07C521951}"/>
    <hyperlink ref="L13" r:id="rId69" display="..\01_DOCUMENT_SETS\ST-018-STD-01\03_Label.docx" xr:uid="{8BE1C77A-B863-4056-9685-9D2318F82D79}"/>
    <hyperlink ref="M13" r:id="rId70" display="..\01_DOCUMENT_SETS\ST-018-STD-01\03_Label.pdf" xr:uid="{8687FE41-9924-42AF-B4F7-2E7F3364B25F}"/>
    <hyperlink ref="O13" r:id="rId71" display="..\01_DOCUMENT_SETS\ST-018-STD-01\04_Shipment_Statement.docx" xr:uid="{C82ED29B-0C64-4939-82DF-EA5119D6D349}"/>
    <hyperlink ref="P13" r:id="rId72" display="..\01_DOCUMENT_SETS\ST-018-STD-01\04_Shipment_Statement.pdf" xr:uid="{AD8D3EFA-A994-4868-8914-167B88F0EFA5}"/>
    <hyperlink ref="F14" r:id="rId73" display="..\01_DOCUMENT_SETS\ST-018-STD-02\01_Technical_File.docx" xr:uid="{636BD518-9858-4A32-8373-4EBA19B167F0}"/>
    <hyperlink ref="G14" r:id="rId74" display="..\01_DOCUMENT_SETS\ST-018-STD-02\01_Technical_File.pdf" xr:uid="{1BFD1ECE-9FFE-409F-B224-6360BF5DC509}"/>
    <hyperlink ref="I14" r:id="rId75" display="..\01_DOCUMENT_SETS\ST-018-STD-02\02_EU_DoC.docx" xr:uid="{C78FD3F3-BB37-4537-9C71-CFDFB4EDFED1}"/>
    <hyperlink ref="J14" r:id="rId76" display="..\01_DOCUMENT_SETS\ST-018-STD-02\02_EU_DoC.pdf" xr:uid="{843FC7FC-E696-45EE-B51C-67D64CEC282B}"/>
    <hyperlink ref="L14" r:id="rId77" display="..\01_DOCUMENT_SETS\ST-018-STD-02\03_Label.docx" xr:uid="{C0D3FBA7-5597-40D7-A340-2C932AEFB435}"/>
    <hyperlink ref="M14" r:id="rId78" display="..\01_DOCUMENT_SETS\ST-018-STD-02\03_Label.pdf" xr:uid="{2F9BA24D-54F8-418A-8DB2-1B500A74EE0A}"/>
    <hyperlink ref="O14" r:id="rId79" display="..\01_DOCUMENT_SETS\ST-018-STD-02\04_Shipment_Statement.docx" xr:uid="{64BA9A95-798B-4E76-95C5-2F3B68D6710A}"/>
    <hyperlink ref="P14" r:id="rId80" display="..\01_DOCUMENT_SETS\ST-018-STD-02\04_Shipment_Statement.pdf" xr:uid="{1A4395C4-5DBD-4E15-8A61-2B8116B4B64C}"/>
    <hyperlink ref="F15" r:id="rId81" display="..\01_DOCUMENT_SETS\ST-021-EUR-01\01_Technical_File.docx" xr:uid="{3E3E37DF-0164-47BF-B9D3-3C5C1F93A008}"/>
    <hyperlink ref="G15" r:id="rId82" display="..\01_DOCUMENT_SETS\ST-021-EUR-01\01_Technical_File.pdf" xr:uid="{97A8BE8B-2187-435D-8169-70C6B1031680}"/>
    <hyperlink ref="I15" r:id="rId83" display="..\01_DOCUMENT_SETS\ST-021-EUR-01\02_EU_DoC.docx" xr:uid="{4405E655-FF12-4872-8E28-2B8CA22E9390}"/>
    <hyperlink ref="J15" r:id="rId84" display="..\01_DOCUMENT_SETS\ST-021-EUR-01\02_EU_DoC.pdf" xr:uid="{13D71FDA-0383-478B-B8DF-18B9357D46CA}"/>
    <hyperlink ref="L15" r:id="rId85" display="..\01_DOCUMENT_SETS\ST-021-EUR-01\03_Label.docx" xr:uid="{973860E7-C907-40E0-9738-9C9B34D71F5E}"/>
    <hyperlink ref="M15" r:id="rId86" display="..\01_DOCUMENT_SETS\ST-021-EUR-01\03_Label.pdf" xr:uid="{0D5C58ED-2249-45EB-9B07-88C168C02154}"/>
    <hyperlink ref="O15" r:id="rId87" display="..\01_DOCUMENT_SETS\ST-021-EUR-01\04_Shipment_Statement.docx" xr:uid="{67CCFBF7-B69A-4EC1-B207-E807DDF9D3EF}"/>
    <hyperlink ref="P15" r:id="rId88" display="..\01_DOCUMENT_SETS\ST-021-EUR-01\04_Shipment_Statement.pdf" xr:uid="{5365DCC2-4FF2-46A7-9F8A-3D918A572E78}"/>
    <hyperlink ref="F16" r:id="rId89" display="..\01_DOCUMENT_SETS\ST-021-EUR-02\01_Technical_File.docx" xr:uid="{71511377-B69E-4AAC-89D8-0AF1951F8D84}"/>
    <hyperlink ref="G16" r:id="rId90" display="..\01_DOCUMENT_SETS\ST-021-EUR-02\01_Technical_File.pdf" xr:uid="{0CA9DB7A-E1A6-4466-81C8-83EC415E2A4D}"/>
    <hyperlink ref="I16" r:id="rId91" display="..\01_DOCUMENT_SETS\ST-021-EUR-02\02_EU_DoC.docx" xr:uid="{732FB665-17A9-46F4-AA7A-119763E36C9D}"/>
    <hyperlink ref="J16" r:id="rId92" display="..\01_DOCUMENT_SETS\ST-021-EUR-02\02_EU_DoC.pdf" xr:uid="{A24B9AB7-2733-4989-AECF-935834111FCE}"/>
    <hyperlink ref="L16" r:id="rId93" display="..\01_DOCUMENT_SETS\ST-021-EUR-02\03_Label.docx" xr:uid="{08A5713B-603F-42B0-A22A-28A3B2B7A2F2}"/>
    <hyperlink ref="M16" r:id="rId94" display="..\01_DOCUMENT_SETS\ST-021-EUR-02\03_Label.pdf" xr:uid="{BA6DC93E-04BB-43C2-8674-582B0B5C49EE}"/>
    <hyperlink ref="O16" r:id="rId95" display="..\01_DOCUMENT_SETS\ST-021-EUR-02\04_Shipment_Statement.docx" xr:uid="{C3DBDA1D-B72C-44D1-87F8-B95754747898}"/>
    <hyperlink ref="P16" r:id="rId96" display="..\01_DOCUMENT_SETS\ST-021-EUR-02\04_Shipment_Statement.pdf" xr:uid="{E3FED23D-81EE-4D23-9A4B-6CE093AA8A34}"/>
    <hyperlink ref="F17" r:id="rId97" display="..\01_DOCUMENT_SETS\ST-021-EUR-03\01_Technical_File.docx" xr:uid="{46F5AFB4-BB81-48CD-BEC8-C41AA2BFEF23}"/>
    <hyperlink ref="G17" r:id="rId98" display="..\01_DOCUMENT_SETS\ST-021-EUR-03\01_Technical_File.pdf" xr:uid="{3B913979-6851-4381-BB2F-8AC00A467D54}"/>
    <hyperlink ref="I17" r:id="rId99" display="..\01_DOCUMENT_SETS\ST-021-EUR-03\02_EU_DoC.docx" xr:uid="{D80324AE-F145-4C08-B3DD-134487615C5F}"/>
    <hyperlink ref="J17" r:id="rId100" display="..\01_DOCUMENT_SETS\ST-021-EUR-03\02_EU_DoC.pdf" xr:uid="{34E96908-43F5-432D-BAF6-A10FD89AA386}"/>
    <hyperlink ref="L17" r:id="rId101" display="..\01_DOCUMENT_SETS\ST-021-EUR-03\03_Label.docx" xr:uid="{2DB5732E-ECE1-4403-AEF0-F83EB568005F}"/>
    <hyperlink ref="M17" r:id="rId102" display="..\01_DOCUMENT_SETS\ST-021-EUR-03\03_Label.pdf" xr:uid="{D3B260DB-9E18-43BE-A0CA-E37AD74C0D3A}"/>
    <hyperlink ref="O17" r:id="rId103" display="..\01_DOCUMENT_SETS\ST-021-EUR-03\04_Shipment_Statement.docx" xr:uid="{6F736F8C-A4AF-411F-8757-998B965C0493}"/>
    <hyperlink ref="P17" r:id="rId104" display="..\01_DOCUMENT_SETS\ST-021-EUR-03\04_Shipment_Statement.pdf" xr:uid="{EB03F011-F255-4F6E-88A9-D096B93C83F8}"/>
    <hyperlink ref="F18" r:id="rId105" display="..\01_DOCUMENT_SETS\ST-021-EUR-04\01_Technical_File.docx" xr:uid="{26F7D767-961A-40C9-94DC-6B71390E25AD}"/>
    <hyperlink ref="G18" r:id="rId106" display="..\01_DOCUMENT_SETS\ST-021-EUR-04\01_Technical_File.pdf" xr:uid="{19299FA9-CCF3-45CD-89DF-784DFF155847}"/>
    <hyperlink ref="I18" r:id="rId107" display="..\01_DOCUMENT_SETS\ST-021-EUR-04\02_EU_DoC.docx" xr:uid="{48FCCA6D-3746-4D1B-A356-4F115D094B62}"/>
    <hyperlink ref="J18" r:id="rId108" display="..\01_DOCUMENT_SETS\ST-021-EUR-04\02_EU_DoC.pdf" xr:uid="{D838E35A-B824-41DA-9B8B-37918BAB7334}"/>
    <hyperlink ref="L18" r:id="rId109" display="..\01_DOCUMENT_SETS\ST-021-EUR-04\03_Label.docx" xr:uid="{E191F30D-F07E-40EE-867D-AE00E4BB1B1B}"/>
    <hyperlink ref="M18" r:id="rId110" display="..\01_DOCUMENT_SETS\ST-021-EUR-04\03_Label.pdf" xr:uid="{C264267D-3E91-4282-AC4E-C64B611003B7}"/>
    <hyperlink ref="O18" r:id="rId111" display="..\01_DOCUMENT_SETS\ST-021-EUR-04\04_Shipment_Statement.docx" xr:uid="{3828E47E-3D04-47E6-9A7F-07CEAF62CC55}"/>
    <hyperlink ref="P18" r:id="rId112" display="..\01_DOCUMENT_SETS\ST-021-EUR-04\04_Shipment_Statement.pdf" xr:uid="{17309928-4FEA-4E56-9397-97C191A2C940}"/>
    <hyperlink ref="F19" r:id="rId113" display="..\01_DOCUMENT_SETS\ST-021-EUR-05\01_Technical_File.docx" xr:uid="{DF44AA13-ABBF-4CE4-9F37-CCF5A639E0E4}"/>
    <hyperlink ref="G19" r:id="rId114" display="..\01_DOCUMENT_SETS\ST-021-EUR-05\01_Technical_File.pdf" xr:uid="{62DEC251-D72C-4AA0-806A-E0D121F91BF9}"/>
    <hyperlink ref="I19" r:id="rId115" display="..\01_DOCUMENT_SETS\ST-021-EUR-05\02_EU_DoC.docx" xr:uid="{A46A4ED1-A3CA-4571-B454-B42E10C424C7}"/>
    <hyperlink ref="J19" r:id="rId116" display="..\01_DOCUMENT_SETS\ST-021-EUR-05\02_EU_DoC.pdf" xr:uid="{76F1C528-9C92-40BA-9B81-B24D14EA1752}"/>
    <hyperlink ref="L19" r:id="rId117" display="..\01_DOCUMENT_SETS\ST-021-EUR-05\03_Label.docx" xr:uid="{A78F1A40-8D9D-4776-862C-EE7076C5F932}"/>
    <hyperlink ref="M19" r:id="rId118" display="..\01_DOCUMENT_SETS\ST-021-EUR-05\03_Label.pdf" xr:uid="{4861F62B-9505-410A-AED8-B3E84E0C7BD6}"/>
    <hyperlink ref="O19" r:id="rId119" display="..\01_DOCUMENT_SETS\ST-021-EUR-05\04_Shipment_Statement.docx" xr:uid="{6441C684-AF37-4CD7-B574-8B176FCE43B1}"/>
    <hyperlink ref="P19" r:id="rId120" display="..\01_DOCUMENT_SETS\ST-021-EUR-05\04_Shipment_Statement.pdf" xr:uid="{90CC370D-1F11-426B-8FFF-2B1A42BCBF51}"/>
    <hyperlink ref="F20" r:id="rId121" display="..\01_DOCUMENT_SETS\ST-021-STD-01\01_Technical_File.docx" xr:uid="{DD0CFD0A-BD9A-4A53-A62F-61AC8CA31A7B}"/>
    <hyperlink ref="G20" r:id="rId122" display="..\01_DOCUMENT_SETS\ST-021-STD-01\01_Technical_File.pdf" xr:uid="{7C160183-64FF-4C86-A822-23917AF16D51}"/>
    <hyperlink ref="I20" r:id="rId123" display="..\01_DOCUMENT_SETS\ST-021-STD-01\02_EU_DoC.docx" xr:uid="{5769C373-A0C5-41E4-A8D0-431FE8FF402A}"/>
    <hyperlink ref="J20" r:id="rId124" display="..\01_DOCUMENT_SETS\ST-021-STD-01\02_EU_DoC.pdf" xr:uid="{C35C5A90-5245-433B-8438-9F52E32372C7}"/>
    <hyperlink ref="L20" r:id="rId125" display="..\01_DOCUMENT_SETS\ST-021-STD-01\03_Label.docx" xr:uid="{E18ED8A7-FCDC-43B0-98FB-2870FD8F5BC3}"/>
    <hyperlink ref="M20" r:id="rId126" display="..\01_DOCUMENT_SETS\ST-021-STD-01\03_Label.pdf" xr:uid="{80378570-E607-4F8C-AF3D-BCCF7CECEA8D}"/>
    <hyperlink ref="O20" r:id="rId127" display="..\01_DOCUMENT_SETS\ST-021-STD-01\04_Shipment_Statement.docx" xr:uid="{8D691079-7E36-4B07-BF19-4A01AB3F97C5}"/>
    <hyperlink ref="P20" r:id="rId128" display="..\01_DOCUMENT_SETS\ST-021-STD-01\04_Shipment_Statement.pdf" xr:uid="{48847D2D-0AB6-475D-834E-34DD280964E3}"/>
    <hyperlink ref="F21" r:id="rId129" display="..\01_DOCUMENT_SETS\ST-021-STD-02\01_Technical_File.docx" xr:uid="{97E2FDFB-CAE8-4A70-8F18-70A0D907351D}"/>
    <hyperlink ref="G21" r:id="rId130" display="..\01_DOCUMENT_SETS\ST-021-STD-02\01_Technical_File.pdf" xr:uid="{165E2FD4-EEAE-41B9-A394-93E5C2809002}"/>
    <hyperlink ref="I21" r:id="rId131" display="..\01_DOCUMENT_SETS\ST-021-STD-02\02_EU_DoC.docx" xr:uid="{235D1A6C-4990-408D-B26C-16358E3AB73B}"/>
    <hyperlink ref="J21" r:id="rId132" display="..\01_DOCUMENT_SETS\ST-021-STD-02\02_EU_DoC.pdf" xr:uid="{64BF0792-C159-4350-95CC-3303F908DE1C}"/>
    <hyperlink ref="L21" r:id="rId133" display="..\01_DOCUMENT_SETS\ST-021-STD-02\03_Label.docx" xr:uid="{AC3E674E-19B4-4443-A918-34033FF07EB2}"/>
    <hyperlink ref="M21" r:id="rId134" display="..\01_DOCUMENT_SETS\ST-021-STD-02\03_Label.pdf" xr:uid="{B0242CB5-E69F-4B3A-9CF8-3E05684174B1}"/>
    <hyperlink ref="O21" r:id="rId135" display="..\01_DOCUMENT_SETS\ST-021-STD-02\04_Shipment_Statement.docx" xr:uid="{21FF3F08-CC54-4125-9385-6723748B16B1}"/>
    <hyperlink ref="P21" r:id="rId136" display="..\01_DOCUMENT_SETS\ST-021-STD-02\04_Shipment_Statement.pdf" xr:uid="{5B160D3A-602E-4C0F-9642-9D8CA83A0009}"/>
    <hyperlink ref="F22" r:id="rId137" display="..\01_DOCUMENT_SETS\ST-021-STD-03\01_Technical_File.docx" xr:uid="{E5E8F9D6-EB1F-4C7C-81D0-C46F3B009DD7}"/>
    <hyperlink ref="G22" r:id="rId138" display="..\01_DOCUMENT_SETS\ST-021-STD-03\01_Technical_File.pdf" xr:uid="{2686FC27-4990-4F5D-9D41-6AA1CBE51BD9}"/>
    <hyperlink ref="I22" r:id="rId139" display="..\01_DOCUMENT_SETS\ST-021-STD-03\02_EU_DoC.docx" xr:uid="{9BE3F2B8-9233-4570-836F-2BA19239280D}"/>
    <hyperlink ref="J22" r:id="rId140" display="..\01_DOCUMENT_SETS\ST-021-STD-03\02_EU_DoC.pdf" xr:uid="{824A78CD-6E18-478E-919A-3818DB7A7332}"/>
    <hyperlink ref="L22" r:id="rId141" display="..\01_DOCUMENT_SETS\ST-021-STD-03\03_Label.docx" xr:uid="{CBF29260-E7AD-4BA7-89AF-A1C6F377F87E}"/>
    <hyperlink ref="M22" r:id="rId142" display="..\01_DOCUMENT_SETS\ST-021-STD-03\03_Label.pdf" xr:uid="{C0AAA7E9-FE6B-4929-883F-F28DE33E9851}"/>
    <hyperlink ref="O22" r:id="rId143" display="..\01_DOCUMENT_SETS\ST-021-STD-03\04_Shipment_Statement.docx" xr:uid="{660BD1EB-D471-4D70-9839-BA228ECD6345}"/>
    <hyperlink ref="P22" r:id="rId144" display="..\01_DOCUMENT_SETS\ST-021-STD-03\04_Shipment_Statement.pdf" xr:uid="{7857E8CE-6A29-430E-93B9-BAADC55793C6}"/>
    <hyperlink ref="F23" r:id="rId145" display="..\01_DOCUMENT_SETS\ST-021-STD-04\01_Technical_File.docx" xr:uid="{D8C7B0C9-FC2A-4FBE-B892-4C9A214D5D84}"/>
    <hyperlink ref="G23" r:id="rId146" display="..\01_DOCUMENT_SETS\ST-021-STD-04\01_Technical_File.pdf" xr:uid="{7A4443CD-0AFA-4C25-AC19-A9404047B276}"/>
    <hyperlink ref="I23" r:id="rId147" display="..\01_DOCUMENT_SETS\ST-021-STD-04\02_EU_DoC.docx" xr:uid="{B6F35A89-16DB-45FD-888A-0C9EDE335C77}"/>
    <hyperlink ref="J23" r:id="rId148" display="..\01_DOCUMENT_SETS\ST-021-STD-04\02_EU_DoC.pdf" xr:uid="{03583307-9DB8-4144-8F4D-02731E96421D}"/>
    <hyperlink ref="L23" r:id="rId149" display="..\01_DOCUMENT_SETS\ST-021-STD-04\03_Label.docx" xr:uid="{55B21165-1E2E-4749-B8DB-E9AA5BA391E6}"/>
    <hyperlink ref="M23" r:id="rId150" display="..\01_DOCUMENT_SETS\ST-021-STD-04\03_Label.pdf" xr:uid="{07A3D79A-789D-495A-B949-7429054E4255}"/>
    <hyperlink ref="O23" r:id="rId151" display="..\01_DOCUMENT_SETS\ST-021-STD-04\04_Shipment_Statement.docx" xr:uid="{CD04D1C5-9719-4AFF-91DE-4B0A4723AEB3}"/>
    <hyperlink ref="P23" r:id="rId152" display="..\01_DOCUMENT_SETS\ST-021-STD-04\04_Shipment_Statement.pdf" xr:uid="{7DE07178-3465-4193-9C21-3906452FF7BB}"/>
    <hyperlink ref="F24" r:id="rId153" display="..\01_DOCUMENT_SETS\ST-021-STD-05\01_Technical_File.docx" xr:uid="{A365268A-D69E-4B90-B543-4AF0347E5D12}"/>
    <hyperlink ref="G24" r:id="rId154" display="..\01_DOCUMENT_SETS\ST-021-STD-05\01_Technical_File.pdf" xr:uid="{E82F443D-C230-42EA-A6F9-066BDE3C1EEB}"/>
    <hyperlink ref="I24" r:id="rId155" display="..\01_DOCUMENT_SETS\ST-021-STD-05\02_EU_DoC.docx" xr:uid="{539D27D9-7955-421D-8D51-8CC01882B403}"/>
    <hyperlink ref="J24" r:id="rId156" display="..\01_DOCUMENT_SETS\ST-021-STD-05\02_EU_DoC.pdf" xr:uid="{9429853C-345C-4653-A280-FC93616FCDB9}"/>
    <hyperlink ref="L24" r:id="rId157" display="..\01_DOCUMENT_SETS\ST-021-STD-05\03_Label.docx" xr:uid="{7C1D3FD7-50A2-4E7B-A724-B768919012B3}"/>
    <hyperlink ref="M24" r:id="rId158" display="..\01_DOCUMENT_SETS\ST-021-STD-05\03_Label.pdf" xr:uid="{345DF62D-3B5C-47F2-A35E-225ECBB514CE}"/>
    <hyperlink ref="O24" r:id="rId159" display="..\01_DOCUMENT_SETS\ST-021-STD-05\04_Shipment_Statement.docx" xr:uid="{41D27C68-DD79-4232-93BA-49A44ECDC1C8}"/>
    <hyperlink ref="P24" r:id="rId160" display="..\01_DOCUMENT_SETS\ST-021-STD-05\04_Shipment_Statement.pdf" xr:uid="{D88BF3EE-5E45-41D4-A291-34043D4C85C8}"/>
    <hyperlink ref="F25" r:id="rId161" display="..\01_DOCUMENT_SETS\ST-021-STD-06\01_Technical_File.docx" xr:uid="{9368DD7A-BF0C-46EB-9EEE-0E1CE42D04E9}"/>
    <hyperlink ref="G25" r:id="rId162" display="..\01_DOCUMENT_SETS\ST-021-STD-06\01_Technical_File.pdf" xr:uid="{C5DFFFDF-6DE4-4A65-91DF-8A5D23FB08A8}"/>
    <hyperlink ref="I25" r:id="rId163" display="..\01_DOCUMENT_SETS\ST-021-STD-06\02_EU_DoC.docx" xr:uid="{D14DC5A4-054D-401B-9A79-9D951B2182D6}"/>
    <hyperlink ref="J25" r:id="rId164" display="..\01_DOCUMENT_SETS\ST-021-STD-06\02_EU_DoC.pdf" xr:uid="{677D68C8-DE9C-4F9B-99E4-30136C08F136}"/>
    <hyperlink ref="L25" r:id="rId165" display="..\01_DOCUMENT_SETS\ST-021-STD-06\03_Label.docx" xr:uid="{0B6961A1-985E-404D-A9EF-34ACC0D0C70E}"/>
    <hyperlink ref="M25" r:id="rId166" display="..\01_DOCUMENT_SETS\ST-021-STD-06\03_Label.pdf" xr:uid="{B6870962-E385-460D-BC51-7FCEBB5C5507}"/>
    <hyperlink ref="O25" r:id="rId167" display="..\01_DOCUMENT_SETS\ST-021-STD-06\04_Shipment_Statement.docx" xr:uid="{99934F54-C29E-478E-925A-452CB657A84B}"/>
    <hyperlink ref="P25" r:id="rId168" display="..\01_DOCUMENT_SETS\ST-021-STD-06\04_Shipment_Statement.pdf" xr:uid="{C3027DE3-C1A6-4ED0-8434-1D96C7894F17}"/>
    <hyperlink ref="F26" r:id="rId169" display="..\01_DOCUMENT_SETS\ST-021-STD-07\01_Technical_File.docx" xr:uid="{3BE9527A-2CFC-4942-A79E-6B21459CF751}"/>
    <hyperlink ref="G26" r:id="rId170" display="..\01_DOCUMENT_SETS\ST-021-STD-07\01_Technical_File.pdf" xr:uid="{849CE537-6B0F-42A1-88A9-FFF1947DF45D}"/>
    <hyperlink ref="I26" r:id="rId171" display="..\01_DOCUMENT_SETS\ST-021-STD-07\02_EU_DoC.docx" xr:uid="{C5F91CB6-AA45-49D5-8B7D-EA4307814A97}"/>
    <hyperlink ref="J26" r:id="rId172" display="..\01_DOCUMENT_SETS\ST-021-STD-07\02_EU_DoC.pdf" xr:uid="{ACAEDD70-DF86-4D6D-B92C-3A7AF005EFB7}"/>
    <hyperlink ref="L26" r:id="rId173" display="..\01_DOCUMENT_SETS\ST-021-STD-07\03_Label.docx" xr:uid="{8343F196-535F-43A5-BE5D-A44E32190A08}"/>
    <hyperlink ref="M26" r:id="rId174" display="..\01_DOCUMENT_SETS\ST-021-STD-07\03_Label.pdf" xr:uid="{F79141E8-1AC5-4A0F-B9BB-F799B4B5A742}"/>
    <hyperlink ref="O26" r:id="rId175" display="..\01_DOCUMENT_SETS\ST-021-STD-07\04_Shipment_Statement.docx" xr:uid="{CE04142C-19AC-4E45-84A7-E2C35C870D99}"/>
    <hyperlink ref="P26" r:id="rId176" display="..\01_DOCUMENT_SETS\ST-021-STD-07\04_Shipment_Statement.pdf" xr:uid="{66D8E12F-C097-4E51-922A-D38B30CD7E93}"/>
    <hyperlink ref="F27" r:id="rId177" display="..\01_DOCUMENT_SETS\ST-021-STD-08\01_Technical_File.docx" xr:uid="{8C2E3BD9-06D1-41E6-86DD-DD16ADD81D37}"/>
    <hyperlink ref="G27" r:id="rId178" display="..\01_DOCUMENT_SETS\ST-021-STD-08\01_Technical_File.pdf" xr:uid="{E835916E-67F0-424E-823A-C115BACF5F8D}"/>
    <hyperlink ref="I27" r:id="rId179" display="..\01_DOCUMENT_SETS\ST-021-STD-08\02_EU_DoC.docx" xr:uid="{6E8CB61B-26FC-4522-9EF9-5B596C492BDA}"/>
    <hyperlink ref="J27" r:id="rId180" display="..\01_DOCUMENT_SETS\ST-021-STD-08\02_EU_DoC.pdf" xr:uid="{7BC7AB51-9AB8-4BA7-955A-5A0FAAFD3953}"/>
    <hyperlink ref="L27" r:id="rId181" display="..\01_DOCUMENT_SETS\ST-021-STD-08\03_Label.docx" xr:uid="{7737E2E4-0C1D-4905-BDB7-2FE4C792F8E1}"/>
    <hyperlink ref="M27" r:id="rId182" display="..\01_DOCUMENT_SETS\ST-021-STD-08\03_Label.pdf" xr:uid="{EF92514A-820D-4F5F-8BAC-F0726CB2FDC4}"/>
    <hyperlink ref="O27" r:id="rId183" display="..\01_DOCUMENT_SETS\ST-021-STD-08\04_Shipment_Statement.docx" xr:uid="{D24C0CF5-EC23-4AA0-A17B-27F8A7F39CF3}"/>
    <hyperlink ref="P27" r:id="rId184" display="..\01_DOCUMENT_SETS\ST-021-STD-08\04_Shipment_Statement.pdf" xr:uid="{898502FB-32DC-418C-8D0B-B6E6F0316DB3}"/>
    <hyperlink ref="F28" r:id="rId185" display="..\01_DOCUMENT_SETS\ST-024-EUR-01\01_Technical_File.docx" xr:uid="{799D04CE-5369-4A7E-9CDD-2B0E6404DB8B}"/>
    <hyperlink ref="G28" r:id="rId186" display="..\01_DOCUMENT_SETS\ST-024-EUR-01\01_Technical_File.pdf" xr:uid="{9836667B-31A9-4F0C-B50E-B3E2ECC46662}"/>
    <hyperlink ref="I28" r:id="rId187" display="..\01_DOCUMENT_SETS\ST-024-EUR-01\02_EU_DoC.docx" xr:uid="{B29FD4FE-C66A-436F-939F-9C8EAD0AB35B}"/>
    <hyperlink ref="J28" r:id="rId188" display="..\01_DOCUMENT_SETS\ST-024-EUR-01\02_EU_DoC.pdf" xr:uid="{AB999827-541B-4B41-A066-816FCE6F0D02}"/>
    <hyperlink ref="L28" r:id="rId189" display="..\01_DOCUMENT_SETS\ST-024-EUR-01\03_Label.docx" xr:uid="{66BB798A-7162-4F51-927E-5C6D29A5BB50}"/>
    <hyperlink ref="M28" r:id="rId190" display="..\01_DOCUMENT_SETS\ST-024-EUR-01\03_Label.pdf" xr:uid="{50737529-F3B0-4E96-8BD4-117E8698B2DB}"/>
    <hyperlink ref="O28" r:id="rId191" display="..\01_DOCUMENT_SETS\ST-024-EUR-01\04_Shipment_Statement.docx" xr:uid="{90786F0A-2071-4CD1-816C-9E1C32582592}"/>
    <hyperlink ref="P28" r:id="rId192" display="..\01_DOCUMENT_SETS\ST-024-EUR-01\04_Shipment_Statement.pdf" xr:uid="{AF32E3A0-C9F2-491D-9896-97018752CFD0}"/>
    <hyperlink ref="F29" r:id="rId193" display="..\01_DOCUMENT_SETS\ST-024-EUR-02\01_Technical_File.docx" xr:uid="{3239D4CD-FE25-4416-B2F5-E59F5779F61E}"/>
    <hyperlink ref="G29" r:id="rId194" display="..\01_DOCUMENT_SETS\ST-024-EUR-02\01_Technical_File.pdf" xr:uid="{0692D2AF-C406-4CCE-B5C9-A333A7B70D0E}"/>
    <hyperlink ref="I29" r:id="rId195" display="..\01_DOCUMENT_SETS\ST-024-EUR-02\02_EU_DoC.docx" xr:uid="{32F2FE7B-4E1F-43A7-A6C1-CDF0DB52132D}"/>
    <hyperlink ref="J29" r:id="rId196" display="..\01_DOCUMENT_SETS\ST-024-EUR-02\02_EU_DoC.pdf" xr:uid="{5ACBEAFD-3B41-48F0-AD6C-A4B4770AEB50}"/>
    <hyperlink ref="L29" r:id="rId197" display="..\01_DOCUMENT_SETS\ST-024-EUR-02\03_Label.docx" xr:uid="{4B81C094-C976-4A23-85BA-7380723C7F91}"/>
    <hyperlink ref="M29" r:id="rId198" display="..\01_DOCUMENT_SETS\ST-024-EUR-02\03_Label.pdf" xr:uid="{C8E7CF9D-14E6-4394-BC50-A5DA89B599AB}"/>
    <hyperlink ref="O29" r:id="rId199" display="..\01_DOCUMENT_SETS\ST-024-EUR-02\04_Shipment_Statement.docx" xr:uid="{190A4031-CAC1-4808-BE80-ACDAC8C76D2B}"/>
    <hyperlink ref="P29" r:id="rId200" display="..\01_DOCUMENT_SETS\ST-024-EUR-02\04_Shipment_Statement.pdf" xr:uid="{300566D4-9F9D-4230-A92A-FD2A99F1BDFB}"/>
    <hyperlink ref="F30" r:id="rId201" display="..\01_DOCUMENT_SETS\ST-024-EUR-03\01_Technical_File.docx" xr:uid="{5CC056B1-8AAE-47AC-8317-54C964945041}"/>
    <hyperlink ref="G30" r:id="rId202" display="..\01_DOCUMENT_SETS\ST-024-EUR-03\01_Technical_File.pdf" xr:uid="{B9542E93-C2CC-4B22-A38A-EEBDBBFDF505}"/>
    <hyperlink ref="I30" r:id="rId203" display="..\01_DOCUMENT_SETS\ST-024-EUR-03\02_EU_DoC.docx" xr:uid="{183274DE-53D8-420F-8D31-DF292478A7B5}"/>
    <hyperlink ref="J30" r:id="rId204" display="..\01_DOCUMENT_SETS\ST-024-EUR-03\02_EU_DoC.pdf" xr:uid="{62D78AC2-851E-4A56-A524-9D442D9B926C}"/>
    <hyperlink ref="L30" r:id="rId205" display="..\01_DOCUMENT_SETS\ST-024-EUR-03\03_Label.docx" xr:uid="{4A321598-F404-4A5E-9E8E-26509F88C9D6}"/>
    <hyperlink ref="M30" r:id="rId206" display="..\01_DOCUMENT_SETS\ST-024-EUR-03\03_Label.pdf" xr:uid="{C5F21116-E6E6-401B-B65D-08074239E3C0}"/>
    <hyperlink ref="O30" r:id="rId207" display="..\01_DOCUMENT_SETS\ST-024-EUR-03\04_Shipment_Statement.docx" xr:uid="{34AF4473-9C11-4549-B439-8B9D90BC3CFF}"/>
    <hyperlink ref="P30" r:id="rId208" display="..\01_DOCUMENT_SETS\ST-024-EUR-03\04_Shipment_Statement.pdf" xr:uid="{20C1AECF-B121-4988-93C7-CCDBAF3A617E}"/>
    <hyperlink ref="F31" r:id="rId209" display="..\01_DOCUMENT_SETS\ST-024-EUR-04\01_Technical_File.docx" xr:uid="{786DDA10-BCF4-4F1A-8CF1-5933C824B2D3}"/>
    <hyperlink ref="G31" r:id="rId210" display="..\01_DOCUMENT_SETS\ST-024-EUR-04\01_Technical_File.pdf" xr:uid="{38C265B2-5A54-4EC0-991B-C166F9847483}"/>
    <hyperlink ref="I31" r:id="rId211" display="..\01_DOCUMENT_SETS\ST-024-EUR-04\02_EU_DoC.docx" xr:uid="{316B61EB-7A9E-4AD8-AED3-85B6204F26F3}"/>
    <hyperlink ref="J31" r:id="rId212" display="..\01_DOCUMENT_SETS\ST-024-EUR-04\02_EU_DoC.pdf" xr:uid="{5AF12FFA-58C5-4DFA-9D20-1EA7E26F2329}"/>
    <hyperlink ref="L31" r:id="rId213" display="..\01_DOCUMENT_SETS\ST-024-EUR-04\03_Label.docx" xr:uid="{4848980C-E57E-44A9-9512-A2EBB0675E1D}"/>
    <hyperlink ref="M31" r:id="rId214" display="..\01_DOCUMENT_SETS\ST-024-EUR-04\03_Label.pdf" xr:uid="{458EBC43-C8B1-4BE1-ACD6-7640265AD636}"/>
    <hyperlink ref="O31" r:id="rId215" display="..\01_DOCUMENT_SETS\ST-024-EUR-04\04_Shipment_Statement.docx" xr:uid="{BACD69C7-06FC-482F-A549-C9C961D286F5}"/>
    <hyperlink ref="P31" r:id="rId216" display="..\01_DOCUMENT_SETS\ST-024-EUR-04\04_Shipment_Statement.pdf" xr:uid="{CD7913E6-9C7A-4C0E-88DE-D0EAA1C642B4}"/>
    <hyperlink ref="F32" r:id="rId217" display="..\01_DOCUMENT_SETS\ST-024-STD-01\01_Technical_File.docx" xr:uid="{3E3A552B-0A02-40BE-831C-BC6E7A6E30E2}"/>
    <hyperlink ref="G32" r:id="rId218" display="..\01_DOCUMENT_SETS\ST-024-STD-01\01_Technical_File.pdf" xr:uid="{7AD14BC8-AC15-4885-92CB-E63F104F2526}"/>
    <hyperlink ref="I32" r:id="rId219" display="..\01_DOCUMENT_SETS\ST-024-STD-01\02_EU_DoC.docx" xr:uid="{CDD0B12F-3D47-4CC9-BAAD-93AA1415C357}"/>
    <hyperlink ref="J32" r:id="rId220" display="..\01_DOCUMENT_SETS\ST-024-STD-01\02_EU_DoC.pdf" xr:uid="{92493306-2E9E-4595-9C59-506015DC67CC}"/>
    <hyperlink ref="L32" r:id="rId221" display="..\01_DOCUMENT_SETS\ST-024-STD-01\03_Label.docx" xr:uid="{D3870E4C-E393-4E15-8CCC-6AD87F344E36}"/>
    <hyperlink ref="M32" r:id="rId222" display="..\01_DOCUMENT_SETS\ST-024-STD-01\03_Label.pdf" xr:uid="{11B239C8-3FD0-484F-AD13-3A2496116E7D}"/>
    <hyperlink ref="O32" r:id="rId223" display="..\01_DOCUMENT_SETS\ST-024-STD-01\04_Shipment_Statement.docx" xr:uid="{7C09B867-B3E8-48E8-AA00-5FDA5AD269F2}"/>
    <hyperlink ref="P32" r:id="rId224" display="..\01_DOCUMENT_SETS\ST-024-STD-01\04_Shipment_Statement.pdf" xr:uid="{13AFFA4B-8781-4741-B59B-EE03C1EF8F2A}"/>
    <hyperlink ref="F33" r:id="rId225" display="..\01_DOCUMENT_SETS\ST-024-STD-02\01_Technical_File.docx" xr:uid="{F2BCD8BF-9459-4290-971F-67C1E80DA6AD}"/>
    <hyperlink ref="G33" r:id="rId226" display="..\01_DOCUMENT_SETS\ST-024-STD-02\01_Technical_File.pdf" xr:uid="{8FDE4944-64A3-4442-88F8-AF4400D4E0AC}"/>
    <hyperlink ref="I33" r:id="rId227" display="..\01_DOCUMENT_SETS\ST-024-STD-02\02_EU_DoC.docx" xr:uid="{265A9A3B-B982-4906-8024-75C2F3EFBDC1}"/>
    <hyperlink ref="J33" r:id="rId228" display="..\01_DOCUMENT_SETS\ST-024-STD-02\02_EU_DoC.pdf" xr:uid="{9240BE8E-4347-44CF-B423-A5F5288192B1}"/>
    <hyperlink ref="L33" r:id="rId229" display="..\01_DOCUMENT_SETS\ST-024-STD-02\03_Label.docx" xr:uid="{CBF2365F-1D6A-4CC8-9F32-9730EE12E352}"/>
    <hyperlink ref="M33" r:id="rId230" display="..\01_DOCUMENT_SETS\ST-024-STD-02\03_Label.pdf" xr:uid="{904AAD83-D3A3-400B-9A2C-4F4CC75822E6}"/>
    <hyperlink ref="O33" r:id="rId231" display="..\01_DOCUMENT_SETS\ST-024-STD-02\04_Shipment_Statement.docx" xr:uid="{0853541B-DE56-4611-A3F9-661A7055655D}"/>
    <hyperlink ref="P33" r:id="rId232" display="..\01_DOCUMENT_SETS\ST-024-STD-02\04_Shipment_Statement.pdf" xr:uid="{302FF404-9668-42B7-8BD3-EE36D11FE729}"/>
    <hyperlink ref="F34" r:id="rId233" display="..\01_DOCUMENT_SETS\ST-024-STD-03\01_Technical_File.docx" xr:uid="{E3DE4A51-38D7-4E72-9DE7-28308068E29B}"/>
    <hyperlink ref="G34" r:id="rId234" display="..\01_DOCUMENT_SETS\ST-024-STD-03\01_Technical_File.pdf" xr:uid="{67C4B023-2870-4316-A6CA-3EC95CF87741}"/>
    <hyperlink ref="I34" r:id="rId235" display="..\01_DOCUMENT_SETS\ST-024-STD-03\02_EU_DoC.docx" xr:uid="{EE88B4FD-4140-4661-BDF2-5A1835CE285D}"/>
    <hyperlink ref="J34" r:id="rId236" display="..\01_DOCUMENT_SETS\ST-024-STD-03\02_EU_DoC.pdf" xr:uid="{9617E172-C463-4673-8608-01FE357E3CD5}"/>
    <hyperlink ref="L34" r:id="rId237" display="..\01_DOCUMENT_SETS\ST-024-STD-03\03_Label.docx" xr:uid="{C3E7331E-D1A8-4E5C-8724-6340C9767ACC}"/>
    <hyperlink ref="M34" r:id="rId238" display="..\01_DOCUMENT_SETS\ST-024-STD-03\03_Label.pdf" xr:uid="{6F55B5F4-A22F-42FD-AB7B-50FD2D5182F0}"/>
    <hyperlink ref="O34" r:id="rId239" display="..\01_DOCUMENT_SETS\ST-024-STD-03\04_Shipment_Statement.docx" xr:uid="{C1EA4699-9276-4533-AEFF-C9D4C56C2438}"/>
    <hyperlink ref="P34" r:id="rId240" display="..\01_DOCUMENT_SETS\ST-024-STD-03\04_Shipment_Statement.pdf" xr:uid="{D41CE38A-8C63-48E8-8D26-B444249816C4}"/>
    <hyperlink ref="F35" r:id="rId241" display="..\01_DOCUMENT_SETS\ST-024-STD-04\01_Technical_File.docx" xr:uid="{ADFC9E16-621A-493F-93DB-D5429F328C9B}"/>
    <hyperlink ref="G35" r:id="rId242" display="..\01_DOCUMENT_SETS\ST-024-STD-04\01_Technical_File.pdf" xr:uid="{760374D7-F497-4C0C-9DD3-0E4BD3FB89AC}"/>
    <hyperlink ref="I35" r:id="rId243" display="..\01_DOCUMENT_SETS\ST-024-STD-04\02_EU_DoC.docx" xr:uid="{6FDDBE4B-3EC3-4F68-83E1-1DFCB0B9B7CF}"/>
    <hyperlink ref="J35" r:id="rId244" display="..\01_DOCUMENT_SETS\ST-024-STD-04\02_EU_DoC.pdf" xr:uid="{BE4B68C7-6A02-4FD4-83E8-66C8E3CFD6D4}"/>
    <hyperlink ref="L35" r:id="rId245" display="..\01_DOCUMENT_SETS\ST-024-STD-04\03_Label.docx" xr:uid="{1EBC3873-226E-492F-9D0B-91C75F56595E}"/>
    <hyperlink ref="M35" r:id="rId246" display="..\01_DOCUMENT_SETS\ST-024-STD-04\03_Label.pdf" xr:uid="{D3B23B97-8AB1-42FF-A2EF-A6D5956BA34B}"/>
    <hyperlink ref="O35" r:id="rId247" display="..\01_DOCUMENT_SETS\ST-024-STD-04\04_Shipment_Statement.docx" xr:uid="{7216B2E4-9472-49EA-87DD-C3B94A8CB45C}"/>
    <hyperlink ref="P35" r:id="rId248" display="..\01_DOCUMENT_SETS\ST-024-STD-04\04_Shipment_Statement.pdf" xr:uid="{66F1C4F8-FFCF-4CE0-AEF4-99078EC0C93A}"/>
    <hyperlink ref="F36" r:id="rId249" display="..\01_DOCUMENT_SETS\ST-027-STD90-01\01_Technical_File.docx" xr:uid="{9673ED20-6067-4A6F-A067-6DE994BF7E5C}"/>
    <hyperlink ref="G36" r:id="rId250" display="..\01_DOCUMENT_SETS\ST-027-STD90-01\01_Technical_File.pdf" xr:uid="{9F5F615F-F6F7-418F-8D5C-CE2D966643AE}"/>
    <hyperlink ref="I36" r:id="rId251" display="..\01_DOCUMENT_SETS\ST-027-STD90-01\02_EU_DoC.docx" xr:uid="{1C270D37-7530-4B95-9592-686C062FFFC4}"/>
    <hyperlink ref="J36" r:id="rId252" display="..\01_DOCUMENT_SETS\ST-027-STD90-01\02_EU_DoC.pdf" xr:uid="{0630EC48-A3BF-433B-B12F-D480C647793B}"/>
    <hyperlink ref="L36" r:id="rId253" display="..\01_DOCUMENT_SETS\ST-027-STD90-01\03_Label.docx" xr:uid="{C2A03D5E-F87D-4D8F-BF92-059B1A6B8089}"/>
    <hyperlink ref="M36" r:id="rId254" display="..\01_DOCUMENT_SETS\ST-027-STD90-01\03_Label.pdf" xr:uid="{40E5DC55-EB84-4BBC-8707-F82BFFEF7B92}"/>
    <hyperlink ref="O36" r:id="rId255" display="..\01_DOCUMENT_SETS\ST-027-STD90-01\04_Shipment_Statement.docx" xr:uid="{01D17753-294E-41F2-A7C5-268BDB0B600E}"/>
    <hyperlink ref="P36" r:id="rId256" display="..\01_DOCUMENT_SETS\ST-027-STD90-01\04_Shipment_Statement.pdf" xr:uid="{CADC0DC8-DD2F-4C96-AA75-7C91BA1236C8}"/>
    <hyperlink ref="F37" r:id="rId257" display="..\01_DOCUMENT_SETS\ST-027-STD90-02\01_Technical_File.docx" xr:uid="{05E89436-83AF-497D-9A34-554A3D7A9CAC}"/>
    <hyperlink ref="G37" r:id="rId258" display="..\01_DOCUMENT_SETS\ST-027-STD90-02\01_Technical_File.pdf" xr:uid="{A17F555C-00C5-4C82-B28E-58AFE448D71A}"/>
    <hyperlink ref="I37" r:id="rId259" display="..\01_DOCUMENT_SETS\ST-027-STD90-02\02_EU_DoC.docx" xr:uid="{F26484F6-FBC8-4D89-82CF-DC55D1B16D97}"/>
    <hyperlink ref="J37" r:id="rId260" display="..\01_DOCUMENT_SETS\ST-027-STD90-02\02_EU_DoC.pdf" xr:uid="{D5AEDB58-7B41-44E2-A3EA-B21CD8FEA2A1}"/>
    <hyperlink ref="L37" r:id="rId261" display="..\01_DOCUMENT_SETS\ST-027-STD90-02\03_Label.docx" xr:uid="{15DF7EE1-6125-43FB-9A47-E7243E8ADE4A}"/>
    <hyperlink ref="M37" r:id="rId262" display="..\01_DOCUMENT_SETS\ST-027-STD90-02\03_Label.pdf" xr:uid="{2CBECDAA-6FBF-486D-AB9D-AB579DF20464}"/>
    <hyperlink ref="O37" r:id="rId263" display="..\01_DOCUMENT_SETS\ST-027-STD90-02\04_Shipment_Statement.docx" xr:uid="{CC8A1D98-3117-47A8-84D2-17781A3FBD8F}"/>
    <hyperlink ref="P37" r:id="rId264" display="..\01_DOCUMENT_SETS\ST-027-STD90-02\04_Shipment_Statement.pdf" xr:uid="{FC70AA05-F1D7-4999-95E8-E99D28975CDD}"/>
    <hyperlink ref="F38" r:id="rId265" display="..\01_DOCUMENT_SETS\ST-028-STD-01\01_Technical_File.docx" xr:uid="{4F610AF4-A787-4ABE-9124-F443AE762B9F}"/>
    <hyperlink ref="G38" r:id="rId266" display="..\01_DOCUMENT_SETS\ST-028-STD-01\01_Technical_File.pdf" xr:uid="{7E8FB7A2-52DD-44C2-ACA9-FB10C381FD3C}"/>
    <hyperlink ref="I38" r:id="rId267" display="..\01_DOCUMENT_SETS\ST-028-STD-01\02_EU_DoC.docx" xr:uid="{AB814422-E77F-42C1-9294-013DE5C33AC7}"/>
    <hyperlink ref="J38" r:id="rId268" display="..\01_DOCUMENT_SETS\ST-028-STD-01\02_EU_DoC.pdf" xr:uid="{804A80E8-1F44-4F74-93FF-3A530549B392}"/>
    <hyperlink ref="L38" r:id="rId269" display="..\01_DOCUMENT_SETS\ST-028-STD-01\03_Label.docx" xr:uid="{9E0971BA-774D-4341-83AD-4753D3EDC198}"/>
    <hyperlink ref="M38" r:id="rId270" display="..\01_DOCUMENT_SETS\ST-028-STD-01\03_Label.pdf" xr:uid="{33A0246C-5472-49B0-9786-1B0B79CBE412}"/>
    <hyperlink ref="O38" r:id="rId271" display="..\01_DOCUMENT_SETS\ST-028-STD-01\04_Shipment_Statement.docx" xr:uid="{DAA9F0A0-8BA8-46DC-A6E0-788909472F0F}"/>
    <hyperlink ref="P38" r:id="rId272" display="..\01_DOCUMENT_SETS\ST-028-STD-01\04_Shipment_Statement.pdf" xr:uid="{EE2E1482-EFA6-4FC3-9D8C-AF0C6A848B30}"/>
    <hyperlink ref="F39" r:id="rId273" display="..\01_DOCUMENT_SETS\ST-030-STD-01\01_Technical_File.docx" xr:uid="{A983851D-843C-445A-90CC-263042662FEF}"/>
    <hyperlink ref="G39" r:id="rId274" display="..\01_DOCUMENT_SETS\ST-030-STD-01\01_Technical_File.pdf" xr:uid="{F788A813-D3AE-4D2E-BC68-A48204EC9204}"/>
    <hyperlink ref="I39" r:id="rId275" display="..\01_DOCUMENT_SETS\ST-030-STD-01\02_EU_DoC.docx" xr:uid="{ED8A98F7-82C6-4435-8F22-EBD425A7DB78}"/>
    <hyperlink ref="J39" r:id="rId276" display="..\01_DOCUMENT_SETS\ST-030-STD-01\02_EU_DoC.pdf" xr:uid="{20DDD882-953A-4DDA-8D89-097B5E1065ED}"/>
    <hyperlink ref="L39" r:id="rId277" display="..\01_DOCUMENT_SETS\ST-030-STD-01\03_Label.docx" xr:uid="{F6A46173-CA41-4B21-B19B-0F6D3D28CF6C}"/>
    <hyperlink ref="M39" r:id="rId278" display="..\01_DOCUMENT_SETS\ST-030-STD-01\03_Label.pdf" xr:uid="{1EEF8507-3369-4690-9318-22205B3CC14D}"/>
    <hyperlink ref="O39" r:id="rId279" display="..\01_DOCUMENT_SETS\ST-030-STD-01\04_Shipment_Statement.docx" xr:uid="{18012663-A5F4-4EB0-B84C-C70C571DEB0D}"/>
    <hyperlink ref="P39" r:id="rId280" display="..\01_DOCUMENT_SETS\ST-030-STD-01\04_Shipment_Statement.pdf" xr:uid="{EAC26246-824D-4DFC-90E9-F521DC0A8EEE}"/>
    <hyperlink ref="F40" r:id="rId281" display="..\01_DOCUMENT_SETS\ST-030-STD-02\01_Technical_File.docx" xr:uid="{1D776358-019F-44A0-AB5E-C9D387710351}"/>
    <hyperlink ref="G40" r:id="rId282" display="..\01_DOCUMENT_SETS\ST-030-STD-02\01_Technical_File.pdf" xr:uid="{122E102B-2DC2-4566-984B-246DD0A7EF00}"/>
    <hyperlink ref="I40" r:id="rId283" display="..\01_DOCUMENT_SETS\ST-030-STD-02\02_EU_DoC.docx" xr:uid="{FFD8AE16-6808-46E7-89D2-12E013E46871}"/>
    <hyperlink ref="J40" r:id="rId284" display="..\01_DOCUMENT_SETS\ST-030-STD-02\02_EU_DoC.pdf" xr:uid="{CC1327EC-5426-4037-9BD2-394A3380374B}"/>
    <hyperlink ref="L40" r:id="rId285" display="..\01_DOCUMENT_SETS\ST-030-STD-02\03_Label.docx" xr:uid="{1C1091D3-4CAD-415D-A847-05BDB2165794}"/>
    <hyperlink ref="M40" r:id="rId286" display="..\01_DOCUMENT_SETS\ST-030-STD-02\03_Label.pdf" xr:uid="{33416698-4C63-4D45-A19B-A9ECDC1E4ABF}"/>
    <hyperlink ref="O40" r:id="rId287" display="..\01_DOCUMENT_SETS\ST-030-STD-02\04_Shipment_Statement.docx" xr:uid="{E4053EEF-616A-4D4E-963B-6A76990976B4}"/>
    <hyperlink ref="P40" r:id="rId288" display="..\01_DOCUMENT_SETS\ST-030-STD-02\04_Shipment_Statement.pdf" xr:uid="{964FC1C1-42AE-4398-B1EB-D9C9540F491F}"/>
    <hyperlink ref="F41" r:id="rId289" display="..\01_DOCUMENT_SETS\ST-030-STD-03\01_Technical_File.docx" xr:uid="{BB2343F5-6C93-4830-8AF8-2343865BC824}"/>
    <hyperlink ref="G41" r:id="rId290" display="..\01_DOCUMENT_SETS\ST-030-STD-03\01_Technical_File.pdf" xr:uid="{EFB9BEF8-085E-4356-BBF1-8797EB1A35EB}"/>
    <hyperlink ref="I41" r:id="rId291" display="..\01_DOCUMENT_SETS\ST-030-STD-03\02_EU_DoC.docx" xr:uid="{4C4435C8-BAF7-46EE-AE16-EBD81A23D3CE}"/>
    <hyperlink ref="J41" r:id="rId292" display="..\01_DOCUMENT_SETS\ST-030-STD-03\02_EU_DoC.pdf" xr:uid="{4012FEE9-2E56-42A9-94E5-846466002429}"/>
    <hyperlink ref="L41" r:id="rId293" display="..\01_DOCUMENT_SETS\ST-030-STD-03\03_Label.docx" xr:uid="{52E97383-83EF-47BD-88BA-9C8405FD10A8}"/>
    <hyperlink ref="M41" r:id="rId294" display="..\01_DOCUMENT_SETS\ST-030-STD-03\03_Label.pdf" xr:uid="{01099683-2334-4BF6-BEEE-40581C30CC74}"/>
    <hyperlink ref="O41" r:id="rId295" display="..\01_DOCUMENT_SETS\ST-030-STD-03\04_Shipment_Statement.docx" xr:uid="{CA1CE3A0-59FF-4453-B3CD-901D3BDE1F6D}"/>
    <hyperlink ref="P41" r:id="rId296" display="..\01_DOCUMENT_SETS\ST-030-STD-03\04_Shipment_Statement.pdf" xr:uid="{0D5CA067-8D90-497C-BA6D-FEF3BEC12895}"/>
    <hyperlink ref="F42" r:id="rId297" display="..\01_DOCUMENT_SETS\ST-030-STD-04\01_Technical_File.docx" xr:uid="{644E32E1-B582-4F57-A474-F49BF7B9FC05}"/>
    <hyperlink ref="G42" r:id="rId298" display="..\01_DOCUMENT_SETS\ST-030-STD-04\01_Technical_File.pdf" xr:uid="{32CEF9F8-E53B-42FA-B0FB-E0522B0602D6}"/>
    <hyperlink ref="I42" r:id="rId299" display="..\01_DOCUMENT_SETS\ST-030-STD-04\02_EU_DoC.docx" xr:uid="{299A2C89-9F95-41D4-BFD6-4CF1A76C971D}"/>
    <hyperlink ref="J42" r:id="rId300" display="..\01_DOCUMENT_SETS\ST-030-STD-04\02_EU_DoC.pdf" xr:uid="{66D1C89B-1908-4A9F-8D73-29D8C2B079A5}"/>
    <hyperlink ref="L42" r:id="rId301" display="..\01_DOCUMENT_SETS\ST-030-STD-04\03_Label.docx" xr:uid="{593D6B77-9D86-4C2A-9A0E-8FA8E823B7DF}"/>
    <hyperlink ref="M42" r:id="rId302" display="..\01_DOCUMENT_SETS\ST-030-STD-04\03_Label.pdf" xr:uid="{FF4F03CB-FF86-45E1-9C2A-86AC1AC5EC83}"/>
    <hyperlink ref="O42" r:id="rId303" display="..\01_DOCUMENT_SETS\ST-030-STD-04\04_Shipment_Statement.docx" xr:uid="{A1A22356-7BAA-47C8-A620-3CDAAD0671E5}"/>
    <hyperlink ref="P42" r:id="rId304" display="..\01_DOCUMENT_SETS\ST-030-STD-04\04_Shipment_Statement.pdf" xr:uid="{19B7BD7D-E58D-426E-9C57-9EF6B3F65A86}"/>
    <hyperlink ref="F43" r:id="rId305" display="..\01_DOCUMENT_SETS\ST-030-STD-05\01_Technical_File.docx" xr:uid="{EBD60C82-9E6E-48F5-BA7B-709EE7BBB824}"/>
    <hyperlink ref="G43" r:id="rId306" display="..\01_DOCUMENT_SETS\ST-030-STD-05\01_Technical_File.pdf" xr:uid="{91C9FCEB-88F8-440D-BFA2-FF4C35564F59}"/>
    <hyperlink ref="I43" r:id="rId307" display="..\01_DOCUMENT_SETS\ST-030-STD-05\02_EU_DoC.docx" xr:uid="{B0B5C3A6-B50C-4F7D-8603-29F01F7C85F1}"/>
    <hyperlink ref="J43" r:id="rId308" display="..\01_DOCUMENT_SETS\ST-030-STD-05\02_EU_DoC.pdf" xr:uid="{DC50D09A-12E2-4EC3-8105-879F0D65910D}"/>
    <hyperlink ref="L43" r:id="rId309" display="..\01_DOCUMENT_SETS\ST-030-STD-05\03_Label.docx" xr:uid="{3B105F77-419A-4C49-9D14-FD8B63E2EED0}"/>
    <hyperlink ref="M43" r:id="rId310" display="..\01_DOCUMENT_SETS\ST-030-STD-05\03_Label.pdf" xr:uid="{7AF577C8-E294-4770-9D49-A3F320831B3A}"/>
    <hyperlink ref="O43" r:id="rId311" display="..\01_DOCUMENT_SETS\ST-030-STD-05\04_Shipment_Statement.docx" xr:uid="{8F0D56C6-8349-43CC-97BC-E79B874B9149}"/>
    <hyperlink ref="P43" r:id="rId312" display="..\01_DOCUMENT_SETS\ST-030-STD-05\04_Shipment_Statement.pdf" xr:uid="{3D8B397E-354C-4D91-A02C-46577FE61DA7}"/>
    <hyperlink ref="F44" r:id="rId313" display="..\01_DOCUMENT_SETS\ST-030-STD-06\01_Technical_File.docx" xr:uid="{CED1128A-6EEE-47D9-AA13-26BC00BAB94E}"/>
    <hyperlink ref="G44" r:id="rId314" display="..\01_DOCUMENT_SETS\ST-030-STD-06\01_Technical_File.pdf" xr:uid="{35F77EF9-7595-4383-87A6-C8BCE5E7808C}"/>
    <hyperlink ref="I44" r:id="rId315" display="..\01_DOCUMENT_SETS\ST-030-STD-06\02_EU_DoC.docx" xr:uid="{26B9EE44-4C73-4568-9086-8670583DD123}"/>
    <hyperlink ref="J44" r:id="rId316" display="..\01_DOCUMENT_SETS\ST-030-STD-06\02_EU_DoC.pdf" xr:uid="{07D51829-7390-4D12-8045-1591CA1B4485}"/>
    <hyperlink ref="L44" r:id="rId317" display="..\01_DOCUMENT_SETS\ST-030-STD-06\03_Label.docx" xr:uid="{43D0BD8D-164A-4CA7-8BEB-1AA8A81EFA3E}"/>
    <hyperlink ref="M44" r:id="rId318" display="..\01_DOCUMENT_SETS\ST-030-STD-06\03_Label.pdf" xr:uid="{7DF37526-EB3F-427A-B72A-90DF04E4A0D7}"/>
    <hyperlink ref="O44" r:id="rId319" display="..\01_DOCUMENT_SETS\ST-030-STD-06\04_Shipment_Statement.docx" xr:uid="{52AE3455-2B30-434B-8367-3AA168B782F6}"/>
    <hyperlink ref="P44" r:id="rId320" display="..\01_DOCUMENT_SETS\ST-030-STD-06\04_Shipment_Statement.pdf" xr:uid="{402DCBA3-8065-4757-ABCA-F97928D39F26}"/>
    <hyperlink ref="F45" r:id="rId321" display="..\01_DOCUMENT_SETS\ST-030-STD-07\01_Technical_File.docx" xr:uid="{D9386959-9C71-4B06-A9DB-AA53F8176196}"/>
    <hyperlink ref="G45" r:id="rId322" display="..\01_DOCUMENT_SETS\ST-030-STD-07\01_Technical_File.pdf" xr:uid="{84CD6495-43C1-4182-A506-58BD99F59363}"/>
    <hyperlink ref="I45" r:id="rId323" display="..\01_DOCUMENT_SETS\ST-030-STD-07\02_EU_DoC.docx" xr:uid="{13DEF92D-CF38-4AFC-9745-0C1C57ADDF53}"/>
    <hyperlink ref="J45" r:id="rId324" display="..\01_DOCUMENT_SETS\ST-030-STD-07\02_EU_DoC.pdf" xr:uid="{6A0F89D2-4284-4F8D-BF9C-6628DB22C4D2}"/>
    <hyperlink ref="L45" r:id="rId325" display="..\01_DOCUMENT_SETS\ST-030-STD-07\03_Label.docx" xr:uid="{E40743F6-4ECC-40A0-AA67-C6FF8A806B1A}"/>
    <hyperlink ref="M45" r:id="rId326" display="..\01_DOCUMENT_SETS\ST-030-STD-07\03_Label.pdf" xr:uid="{F0C61E67-F837-4238-927F-1E0167C772D8}"/>
    <hyperlink ref="O45" r:id="rId327" display="..\01_DOCUMENT_SETS\ST-030-STD-07\04_Shipment_Statement.docx" xr:uid="{1D25490A-84D8-4211-8620-E62F658068E4}"/>
    <hyperlink ref="P45" r:id="rId328" display="..\01_DOCUMENT_SETS\ST-030-STD-07\04_Shipment_Statement.pdf" xr:uid="{1A080BC3-346A-4C62-9A49-7AED3A9641CD}"/>
    <hyperlink ref="F46" r:id="rId329" display="..\01_DOCUMENT_SETS\ST-030-STD-08\01_Technical_File.docx" xr:uid="{9A5E647E-32A3-46D1-8C84-5D8725831445}"/>
    <hyperlink ref="G46" r:id="rId330" display="..\01_DOCUMENT_SETS\ST-030-STD-08\01_Technical_File.pdf" xr:uid="{E2710665-73AC-46E9-8504-0FE7BF6CC224}"/>
    <hyperlink ref="I46" r:id="rId331" display="..\01_DOCUMENT_SETS\ST-030-STD-08\02_EU_DoC.docx" xr:uid="{CBB79298-97C2-4FC2-A564-C060BC84CE79}"/>
    <hyperlink ref="J46" r:id="rId332" display="..\01_DOCUMENT_SETS\ST-030-STD-08\02_EU_DoC.pdf" xr:uid="{7861FA6E-0758-450A-8E72-33DB2BA481D3}"/>
    <hyperlink ref="L46" r:id="rId333" display="..\01_DOCUMENT_SETS\ST-030-STD-08\03_Label.docx" xr:uid="{17FFB72B-3128-4A3D-BE5D-482338FBD42C}"/>
    <hyperlink ref="M46" r:id="rId334" display="..\01_DOCUMENT_SETS\ST-030-STD-08\03_Label.pdf" xr:uid="{9B1021AE-C09D-4474-AC05-4ABACB1E2089}"/>
    <hyperlink ref="O46" r:id="rId335" display="..\01_DOCUMENT_SETS\ST-030-STD-08\04_Shipment_Statement.docx" xr:uid="{75F81606-B3C0-47C0-ACF8-6F706EE89354}"/>
    <hyperlink ref="P46" r:id="rId336" display="..\01_DOCUMENT_SETS\ST-030-STD-08\04_Shipment_Statement.pdf" xr:uid="{4A9C71E2-FCD9-469E-9480-D314491EB8CA}"/>
    <hyperlink ref="F47" r:id="rId337" display="..\01_DOCUMENT_SETS\ST-030-STD-09\01_Technical_File.docx" xr:uid="{475764C2-76C8-4E23-A30E-4D97FB280618}"/>
    <hyperlink ref="G47" r:id="rId338" display="..\01_DOCUMENT_SETS\ST-030-STD-09\01_Technical_File.pdf" xr:uid="{CA66722E-99E9-4A52-B5BB-31440543FDCF}"/>
    <hyperlink ref="I47" r:id="rId339" display="..\01_DOCUMENT_SETS\ST-030-STD-09\02_EU_DoC.docx" xr:uid="{64DBD899-C329-4554-A5A6-8C1A52F2D843}"/>
    <hyperlink ref="J47" r:id="rId340" display="..\01_DOCUMENT_SETS\ST-030-STD-09\02_EU_DoC.pdf" xr:uid="{3F07F8EB-18E7-41F9-B11C-CF8FC407C9E9}"/>
    <hyperlink ref="L47" r:id="rId341" display="..\01_DOCUMENT_SETS\ST-030-STD-09\03_Label.docx" xr:uid="{C3CC6955-D245-4490-BB81-9FF97C82D1AF}"/>
    <hyperlink ref="M47" r:id="rId342" display="..\01_DOCUMENT_SETS\ST-030-STD-09\03_Label.pdf" xr:uid="{62FA8733-97F2-4275-8B7A-21CA70728B70}"/>
    <hyperlink ref="O47" r:id="rId343" display="..\01_DOCUMENT_SETS\ST-030-STD-09\04_Shipment_Statement.docx" xr:uid="{702CF78B-55AD-4E83-A264-D4D01E6B6170}"/>
    <hyperlink ref="P47" r:id="rId344" display="..\01_DOCUMENT_SETS\ST-030-STD-09\04_Shipment_Statement.pdf" xr:uid="{3BC68F07-AF97-4396-86F2-28E50B593BFE}"/>
    <hyperlink ref="F48" r:id="rId345" display="..\01_DOCUMENT_SETS\ST-030-STD-10\01_Technical_File.docx" xr:uid="{DB18648E-C3A2-4B9D-957F-6696DF4175E7}"/>
    <hyperlink ref="G48" r:id="rId346" display="..\01_DOCUMENT_SETS\ST-030-STD-10\01_Technical_File.pdf" xr:uid="{D22F4F70-DAF9-4BDE-9FB9-5E749A462832}"/>
    <hyperlink ref="I48" r:id="rId347" display="..\01_DOCUMENT_SETS\ST-030-STD-10\02_EU_DoC.docx" xr:uid="{FC1EA38B-9133-4E03-8DD0-DD5C84F7CDAE}"/>
    <hyperlink ref="J48" r:id="rId348" display="..\01_DOCUMENT_SETS\ST-030-STD-10\02_EU_DoC.pdf" xr:uid="{098C0444-12CD-4C83-80E4-45C102583DD9}"/>
    <hyperlink ref="L48" r:id="rId349" display="..\01_DOCUMENT_SETS\ST-030-STD-10\03_Label.docx" xr:uid="{17054F16-47D1-429C-9960-B5A1FEF78994}"/>
    <hyperlink ref="M48" r:id="rId350" display="..\01_DOCUMENT_SETS\ST-030-STD-10\03_Label.pdf" xr:uid="{557FDFD7-051E-4220-A3B7-596FF571F7A0}"/>
    <hyperlink ref="O48" r:id="rId351" display="..\01_DOCUMENT_SETS\ST-030-STD-10\04_Shipment_Statement.docx" xr:uid="{97F69C49-F8C2-4F8E-8091-68F8E7E46045}"/>
    <hyperlink ref="P48" r:id="rId352" display="..\01_DOCUMENT_SETS\ST-030-STD-10\04_Shipment_Statement.pdf" xr:uid="{5D8173B9-1C9E-4F86-AADB-0B279E1FEEE9}"/>
    <hyperlink ref="F49" r:id="rId353" display="..\01_DOCUMENT_SETS\ST-030-STD-11\01_Technical_File.docx" xr:uid="{237E4152-E54B-45AD-9133-616EA62E066E}"/>
    <hyperlink ref="G49" r:id="rId354" display="..\01_DOCUMENT_SETS\ST-030-STD-11\01_Technical_File.pdf" xr:uid="{3638DBA5-DA0D-4C04-B0C9-9E0F8BDC19AD}"/>
    <hyperlink ref="I49" r:id="rId355" display="..\01_DOCUMENT_SETS\ST-030-STD-11\02_EU_DoC.docx" xr:uid="{99C62531-E48F-470F-BD29-35D40CB03746}"/>
    <hyperlink ref="J49" r:id="rId356" display="..\01_DOCUMENT_SETS\ST-030-STD-11\02_EU_DoC.pdf" xr:uid="{FC840828-E7A5-4C65-976C-953C0048F09E}"/>
    <hyperlink ref="L49" r:id="rId357" display="..\01_DOCUMENT_SETS\ST-030-STD-11\03_Label.docx" xr:uid="{A3CBB7BE-A1B7-4A94-B6A4-33A55F043AC6}"/>
    <hyperlink ref="M49" r:id="rId358" display="..\01_DOCUMENT_SETS\ST-030-STD-11\03_Label.pdf" xr:uid="{4EEA71A8-B162-41A3-87D6-D73CEC28F729}"/>
    <hyperlink ref="O49" r:id="rId359" display="..\01_DOCUMENT_SETS\ST-030-STD-11\04_Shipment_Statement.docx" xr:uid="{2B584F7E-BEE5-458B-B4EE-99C9D9663AA4}"/>
    <hyperlink ref="P49" r:id="rId360" display="..\01_DOCUMENT_SETS\ST-030-STD-11\04_Shipment_Statement.pdf" xr:uid="{0403B7BF-2724-4B4A-8F5D-672141C57A55}"/>
    <hyperlink ref="F50" r:id="rId361" display="..\01_DOCUMENT_SETS\ST-030-STD-12\01_Technical_File.docx" xr:uid="{4B7A6BC7-7020-465C-8C4E-C8C3F4B87964}"/>
    <hyperlink ref="G50" r:id="rId362" display="..\01_DOCUMENT_SETS\ST-030-STD-12\01_Technical_File.pdf" xr:uid="{71E6144C-8DDF-4220-B284-CED1162D9182}"/>
    <hyperlink ref="I50" r:id="rId363" display="..\01_DOCUMENT_SETS\ST-030-STD-12\02_EU_DoC.docx" xr:uid="{3388D7B5-E4D5-4A4D-BD4B-A674AA11FCD7}"/>
    <hyperlink ref="J50" r:id="rId364" display="..\01_DOCUMENT_SETS\ST-030-STD-12\02_EU_DoC.pdf" xr:uid="{4F328684-49E1-4C12-92FB-53F385AE1BA5}"/>
    <hyperlink ref="L50" r:id="rId365" display="..\01_DOCUMENT_SETS\ST-030-STD-12\03_Label.docx" xr:uid="{11A7D66C-E275-44B5-B860-AE844A884267}"/>
    <hyperlink ref="M50" r:id="rId366" display="..\01_DOCUMENT_SETS\ST-030-STD-12\03_Label.pdf" xr:uid="{6A796F96-101F-4F5C-8F83-1ABF4B76663E}"/>
    <hyperlink ref="O50" r:id="rId367" display="..\01_DOCUMENT_SETS\ST-030-STD-12\04_Shipment_Statement.docx" xr:uid="{301420E3-F1B1-41F1-8B0B-DA5A77FE5537}"/>
    <hyperlink ref="P50" r:id="rId368" display="..\01_DOCUMENT_SETS\ST-030-STD-12\04_Shipment_Statement.pdf" xr:uid="{90F4AE3D-4EED-4433-8985-2DD76992B241}"/>
    <hyperlink ref="F51" r:id="rId369" display="..\01_DOCUMENT_SETS\ST-033-EUR-01\01_Technical_File.docx" xr:uid="{947770DF-0EF7-417E-878D-79B09A4AE98D}"/>
    <hyperlink ref="G51" r:id="rId370" display="..\01_DOCUMENT_SETS\ST-033-EUR-01\01_Technical_File.pdf" xr:uid="{CF655E35-5277-4C53-ADCB-2E6FCD8D81BC}"/>
    <hyperlink ref="I51" r:id="rId371" display="..\01_DOCUMENT_SETS\ST-033-EUR-01\02_EU_DoC.docx" xr:uid="{F90694B8-1175-4099-B387-06EA2D92051C}"/>
    <hyperlink ref="J51" r:id="rId372" display="..\01_DOCUMENT_SETS\ST-033-EUR-01\02_EU_DoC.pdf" xr:uid="{9E8F93D0-12D3-4ACE-90E4-40A6D729C982}"/>
    <hyperlink ref="L51" r:id="rId373" display="..\01_DOCUMENT_SETS\ST-033-EUR-01\03_Label.docx" xr:uid="{E6F9B731-CA7F-4A89-A18A-B9699302100B}"/>
    <hyperlink ref="M51" r:id="rId374" display="..\01_DOCUMENT_SETS\ST-033-EUR-01\03_Label.pdf" xr:uid="{5DE75D6E-C67D-4AA9-9BE0-AC65844BEF21}"/>
    <hyperlink ref="O51" r:id="rId375" display="..\01_DOCUMENT_SETS\ST-033-EUR-01\04_Shipment_Statement.docx" xr:uid="{448B74F2-F270-49CB-A880-4A0AAF379847}"/>
    <hyperlink ref="P51" r:id="rId376" display="..\01_DOCUMENT_SETS\ST-033-EUR-01\04_Shipment_Statement.pdf" xr:uid="{534CFE64-2052-46BC-9378-EE8A21100A37}"/>
    <hyperlink ref="F52" r:id="rId377" display="..\01_DOCUMENT_SETS\ST-034-STD-01\01_Technical_File.docx" xr:uid="{DDC259AC-E50C-41A1-918D-A160B04A4653}"/>
    <hyperlink ref="G52" r:id="rId378" display="..\01_DOCUMENT_SETS\ST-034-STD-01\01_Technical_File.pdf" xr:uid="{74577A39-48EC-466B-A0B0-4DE6ADE93975}"/>
    <hyperlink ref="I52" r:id="rId379" display="..\01_DOCUMENT_SETS\ST-034-STD-01\02_EU_DoC.docx" xr:uid="{8A78F90B-5CDC-4D3C-9906-B0C2B75D998A}"/>
    <hyperlink ref="J52" r:id="rId380" display="..\01_DOCUMENT_SETS\ST-034-STD-01\02_EU_DoC.pdf" xr:uid="{65CE705F-E579-4B21-86FE-87C1C172B336}"/>
    <hyperlink ref="L52" r:id="rId381" display="..\01_DOCUMENT_SETS\ST-034-STD-01\03_Label.docx" xr:uid="{E53EA378-667B-469A-BE2D-98136265D75F}"/>
    <hyperlink ref="M52" r:id="rId382" display="..\01_DOCUMENT_SETS\ST-034-STD-01\03_Label.pdf" xr:uid="{BB6F08B9-062A-4A4C-BC38-B5D847D8DEF1}"/>
    <hyperlink ref="O52" r:id="rId383" display="..\01_DOCUMENT_SETS\ST-034-STD-01\04_Shipment_Statement.docx" xr:uid="{F5D1E4A9-CDA7-4045-8EA2-2DA2CB653A05}"/>
    <hyperlink ref="P52" r:id="rId384" display="..\01_DOCUMENT_SETS\ST-034-STD-01\04_Shipment_Statement.pdf" xr:uid="{8F2E9976-BEA0-40A2-8D0F-2FB409477550}"/>
    <hyperlink ref="F53" r:id="rId385" display="..\01_DOCUMENT_SETS\ST-034-STD-02\01_Technical_File.docx" xr:uid="{048AF1CF-A286-40A7-9273-7A083FE8906A}"/>
    <hyperlink ref="G53" r:id="rId386" display="..\01_DOCUMENT_SETS\ST-034-STD-02\01_Technical_File.pdf" xr:uid="{7F1395EE-A530-4D1D-90D6-6DB427BE3296}"/>
    <hyperlink ref="I53" r:id="rId387" display="..\01_DOCUMENT_SETS\ST-034-STD-02\02_EU_DoC.docx" xr:uid="{C4DAECDC-F5CC-4CE3-A473-E1092140F6DE}"/>
    <hyperlink ref="J53" r:id="rId388" display="..\01_DOCUMENT_SETS\ST-034-STD-02\02_EU_DoC.pdf" xr:uid="{AE46AD05-D2C2-4305-A5CD-1E820CD18A72}"/>
    <hyperlink ref="L53" r:id="rId389" display="..\01_DOCUMENT_SETS\ST-034-STD-02\03_Label.docx" xr:uid="{825359AD-061E-40B0-A10A-A39C1FC37AA9}"/>
    <hyperlink ref="M53" r:id="rId390" display="..\01_DOCUMENT_SETS\ST-034-STD-02\03_Label.pdf" xr:uid="{36B7EE8A-D747-45DE-8476-F34E0EF86C9C}"/>
    <hyperlink ref="O53" r:id="rId391" display="..\01_DOCUMENT_SETS\ST-034-STD-02\04_Shipment_Statement.docx" xr:uid="{CD8E9464-1E1F-43FD-BC7F-E85D8F75BAFC}"/>
    <hyperlink ref="P53" r:id="rId392" display="..\01_DOCUMENT_SETS\ST-034-STD-02\04_Shipment_Statement.pdf" xr:uid="{3C70A116-ED4B-488E-AB99-C8229C3989C0}"/>
    <hyperlink ref="F54" r:id="rId393" display="..\01_DOCUMENT_SETS\ST-036-EUR-01\01_Technical_File.docx" xr:uid="{61B243BB-F05B-4190-8242-E5C467408972}"/>
    <hyperlink ref="G54" r:id="rId394" display="..\01_DOCUMENT_SETS\ST-036-EUR-01\01_Technical_File.pdf" xr:uid="{EFBCAE42-9FED-4CA6-A6B4-9DCA336DC2F7}"/>
    <hyperlink ref="I54" r:id="rId395" display="..\01_DOCUMENT_SETS\ST-036-EUR-01\02_EU_DoC.docx" xr:uid="{45E021D9-E6A7-4529-8051-528C16F9E847}"/>
    <hyperlink ref="J54" r:id="rId396" display="..\01_DOCUMENT_SETS\ST-036-EUR-01\02_EU_DoC.pdf" xr:uid="{5EE95097-B85C-4C2B-B2F6-C0EDE396475B}"/>
    <hyperlink ref="L54" r:id="rId397" display="..\01_DOCUMENT_SETS\ST-036-EUR-01\03_Label.docx" xr:uid="{D184B26D-360E-4093-94B9-A76311049E11}"/>
    <hyperlink ref="M54" r:id="rId398" display="..\01_DOCUMENT_SETS\ST-036-EUR-01\03_Label.pdf" xr:uid="{26AEAF8B-7CC1-4DA7-BB60-06D418EF0D93}"/>
    <hyperlink ref="O54" r:id="rId399" display="..\01_DOCUMENT_SETS\ST-036-EUR-01\04_Shipment_Statement.docx" xr:uid="{18922462-6A84-4652-82A8-6F0CB31373CF}"/>
    <hyperlink ref="P54" r:id="rId400" display="..\01_DOCUMENT_SETS\ST-036-EUR-01\04_Shipment_Statement.pdf" xr:uid="{C4732ED7-DE5A-4C6B-8DFF-556C05DDACFA}"/>
    <hyperlink ref="F55" r:id="rId401" display="..\01_DOCUMENT_SETS\ST-036-EUR-02\01_Technical_File.docx" xr:uid="{9FAF050C-9BE3-4125-890C-32A305CC172B}"/>
    <hyperlink ref="G55" r:id="rId402" display="..\01_DOCUMENT_SETS\ST-036-EUR-02\01_Technical_File.pdf" xr:uid="{26F7E497-8F80-49DE-BABD-EE012FF9A9E3}"/>
    <hyperlink ref="I55" r:id="rId403" display="..\01_DOCUMENT_SETS\ST-036-EUR-02\02_EU_DoC.docx" xr:uid="{4C738157-1293-4AE0-8693-3744E0734307}"/>
    <hyperlink ref="J55" r:id="rId404" display="..\01_DOCUMENT_SETS\ST-036-EUR-02\02_EU_DoC.pdf" xr:uid="{BF649F98-D916-4956-B82F-A2A215412ADA}"/>
    <hyperlink ref="L55" r:id="rId405" display="..\01_DOCUMENT_SETS\ST-036-EUR-02\03_Label.docx" xr:uid="{28F3989B-86AD-4AE8-97C0-7043953A4F56}"/>
    <hyperlink ref="M55" r:id="rId406" display="..\01_DOCUMENT_SETS\ST-036-EUR-02\03_Label.pdf" xr:uid="{D6DAD927-BFB4-40C9-B83F-40B0221DD880}"/>
    <hyperlink ref="O55" r:id="rId407" display="..\01_DOCUMENT_SETS\ST-036-EUR-02\04_Shipment_Statement.docx" xr:uid="{FE943E44-22D9-47DC-9EA8-61F38DBE9100}"/>
    <hyperlink ref="P55" r:id="rId408" display="..\01_DOCUMENT_SETS\ST-036-EUR-02\04_Shipment_Statement.pdf" xr:uid="{3FDD345F-4324-45F8-8D26-2EBEE94A4B33}"/>
    <hyperlink ref="F56" r:id="rId409" display="..\01_DOCUMENT_SETS\ST-036-EUR-03\01_Technical_File.docx" xr:uid="{FBBC9F78-606D-43D4-8DC1-827FF8527F36}"/>
    <hyperlink ref="G56" r:id="rId410" display="..\01_DOCUMENT_SETS\ST-036-EUR-03\01_Technical_File.pdf" xr:uid="{4F5F28CD-A71B-4766-84E0-2A33B75999EC}"/>
    <hyperlink ref="I56" r:id="rId411" display="..\01_DOCUMENT_SETS\ST-036-EUR-03\02_EU_DoC.docx" xr:uid="{4D8AFF4D-9B73-4484-8035-B88873527820}"/>
    <hyperlink ref="J56" r:id="rId412" display="..\01_DOCUMENT_SETS\ST-036-EUR-03\02_EU_DoC.pdf" xr:uid="{6A4625BC-4F8B-4AA1-8E97-7ED779ABB163}"/>
    <hyperlink ref="L56" r:id="rId413" display="..\01_DOCUMENT_SETS\ST-036-EUR-03\03_Label.docx" xr:uid="{60A7310F-3D5D-4CA8-B8DC-9CD69549D496}"/>
    <hyperlink ref="M56" r:id="rId414" display="..\01_DOCUMENT_SETS\ST-036-EUR-03\03_Label.pdf" xr:uid="{4D8BAA73-E61E-45A6-9BBA-2A22D60BD016}"/>
    <hyperlink ref="O56" r:id="rId415" display="..\01_DOCUMENT_SETS\ST-036-EUR-03\04_Shipment_Statement.docx" xr:uid="{616DCA44-CD5D-4098-84A9-272B21068568}"/>
    <hyperlink ref="P56" r:id="rId416" display="..\01_DOCUMENT_SETS\ST-036-EUR-03\04_Shipment_Statement.pdf" xr:uid="{2A3CD0DF-D396-4721-B2FE-BC7EAD8D549F}"/>
    <hyperlink ref="F57" r:id="rId417" display="..\01_DOCUMENT_SETS\ST-036-EUR-04\01_Technical_File.docx" xr:uid="{6B9D18F3-386D-44A1-AC9C-FFDE775371A1}"/>
    <hyperlink ref="G57" r:id="rId418" display="..\01_DOCUMENT_SETS\ST-036-EUR-04\01_Technical_File.pdf" xr:uid="{AB0AB8DF-3BAA-418C-BA91-2DF4D84F5086}"/>
    <hyperlink ref="I57" r:id="rId419" display="..\01_DOCUMENT_SETS\ST-036-EUR-04\02_EU_DoC.docx" xr:uid="{BCDE3B38-8461-4F8F-AC50-E316EE1C2B91}"/>
    <hyperlink ref="J57" r:id="rId420" display="..\01_DOCUMENT_SETS\ST-036-EUR-04\02_EU_DoC.pdf" xr:uid="{80D38B8A-8187-4538-BB63-71AB42D8C6F0}"/>
    <hyperlink ref="L57" r:id="rId421" display="..\01_DOCUMENT_SETS\ST-036-EUR-04\03_Label.docx" xr:uid="{1DCD00D9-D3E5-4F4F-A06A-C1A10CD2E313}"/>
    <hyperlink ref="M57" r:id="rId422" display="..\01_DOCUMENT_SETS\ST-036-EUR-04\03_Label.pdf" xr:uid="{EBC2993B-18B6-4360-871F-D5E8059BD85E}"/>
    <hyperlink ref="O57" r:id="rId423" display="..\01_DOCUMENT_SETS\ST-036-EUR-04\04_Shipment_Statement.docx" xr:uid="{08EAD139-8B2E-40FE-8FEC-579542CE00C6}"/>
    <hyperlink ref="P57" r:id="rId424" display="..\01_DOCUMENT_SETS\ST-036-EUR-04\04_Shipment_Statement.pdf" xr:uid="{CCAAB7F6-B067-44D0-BCF2-F4EC7F50345A}"/>
    <hyperlink ref="F58" r:id="rId425" display="..\01_DOCUMENT_SETS\ST-036-EUR-05\01_Technical_File.docx" xr:uid="{EA7D6E88-EA8A-4006-BAEF-375220162D04}"/>
    <hyperlink ref="G58" r:id="rId426" display="..\01_DOCUMENT_SETS\ST-036-EUR-05\01_Technical_File.pdf" xr:uid="{791036D4-6C4F-4875-909F-1699922C93C3}"/>
    <hyperlink ref="I58" r:id="rId427" display="..\01_DOCUMENT_SETS\ST-036-EUR-05\02_EU_DoC.docx" xr:uid="{AA10CAF3-8C83-49D9-BE5F-DDE721A0334D}"/>
    <hyperlink ref="J58" r:id="rId428" display="..\01_DOCUMENT_SETS\ST-036-EUR-05\02_EU_DoC.pdf" xr:uid="{A1D5AB55-D075-4E41-BFE6-3E330E1F6374}"/>
    <hyperlink ref="L58" r:id="rId429" display="..\01_DOCUMENT_SETS\ST-036-EUR-05\03_Label.docx" xr:uid="{7B3BFA0E-1A35-441B-8E28-EB260F95E031}"/>
    <hyperlink ref="M58" r:id="rId430" display="..\01_DOCUMENT_SETS\ST-036-EUR-05\03_Label.pdf" xr:uid="{DC5A2952-E7E5-45F3-B510-C7FDC77E377F}"/>
    <hyperlink ref="O58" r:id="rId431" display="..\01_DOCUMENT_SETS\ST-036-EUR-05\04_Shipment_Statement.docx" xr:uid="{28F6A53A-FD51-4AF6-A518-1C7D5D6384F4}"/>
    <hyperlink ref="P58" r:id="rId432" display="..\01_DOCUMENT_SETS\ST-036-EUR-05\04_Shipment_Statement.pdf" xr:uid="{5D089EF6-8D71-4496-A478-4BDB967A1901}"/>
    <hyperlink ref="F59" r:id="rId433" display="..\01_DOCUMENT_SETS\ST-036-EUR-06\01_Technical_File.docx" xr:uid="{60FBA946-A8D3-40D4-8A91-D956A9C3E024}"/>
    <hyperlink ref="G59" r:id="rId434" display="..\01_DOCUMENT_SETS\ST-036-EUR-06\01_Technical_File.pdf" xr:uid="{4F7528FF-55CF-43E2-BE14-95CC40A53137}"/>
    <hyperlink ref="I59" r:id="rId435" display="..\01_DOCUMENT_SETS\ST-036-EUR-06\02_EU_DoC.docx" xr:uid="{D9E44BC2-0E69-4C44-979C-118E8FFB4932}"/>
    <hyperlink ref="J59" r:id="rId436" display="..\01_DOCUMENT_SETS\ST-036-EUR-06\02_EU_DoC.pdf" xr:uid="{181F1595-B4A1-444B-A9C9-E242EF7A28A3}"/>
    <hyperlink ref="L59" r:id="rId437" display="..\01_DOCUMENT_SETS\ST-036-EUR-06\03_Label.docx" xr:uid="{A273BC9B-8AB3-4E78-8107-93EC19777553}"/>
    <hyperlink ref="M59" r:id="rId438" display="..\01_DOCUMENT_SETS\ST-036-EUR-06\03_Label.pdf" xr:uid="{4525E844-E84E-437E-8E74-92B4886375A9}"/>
    <hyperlink ref="O59" r:id="rId439" display="..\01_DOCUMENT_SETS\ST-036-EUR-06\04_Shipment_Statement.docx" xr:uid="{6D415C36-B273-411A-86DB-D3228365E820}"/>
    <hyperlink ref="P59" r:id="rId440" display="..\01_DOCUMENT_SETS\ST-036-EUR-06\04_Shipment_Statement.pdf" xr:uid="{9E8C1A2F-B2B3-4C5E-B4A0-A017D4D83FFA}"/>
    <hyperlink ref="F60" r:id="rId441" display="..\01_DOCUMENT_SETS\ST-036-EUR-07\01_Technical_File.docx" xr:uid="{FEEC5B43-7B80-443A-BA25-7207958A74FA}"/>
    <hyperlink ref="G60" r:id="rId442" display="..\01_DOCUMENT_SETS\ST-036-EUR-07\01_Technical_File.pdf" xr:uid="{923D860A-3164-443C-B790-F0EE671BDD91}"/>
    <hyperlink ref="I60" r:id="rId443" display="..\01_DOCUMENT_SETS\ST-036-EUR-07\02_EU_DoC.docx" xr:uid="{5B6E6256-6E27-4ED0-881B-6A4135DBE31E}"/>
    <hyperlink ref="J60" r:id="rId444" display="..\01_DOCUMENT_SETS\ST-036-EUR-07\02_EU_DoC.pdf" xr:uid="{9FC3AD6F-01E2-4EE6-8C34-A07FBE39DA72}"/>
    <hyperlink ref="L60" r:id="rId445" display="..\01_DOCUMENT_SETS\ST-036-EUR-07\03_Label.docx" xr:uid="{C2382534-2D8E-48FF-B159-38D345D9D960}"/>
    <hyperlink ref="M60" r:id="rId446" display="..\01_DOCUMENT_SETS\ST-036-EUR-07\03_Label.pdf" xr:uid="{EB6229C5-40C8-4625-A69B-A57D30F8C08A}"/>
    <hyperlink ref="O60" r:id="rId447" display="..\01_DOCUMENT_SETS\ST-036-EUR-07\04_Shipment_Statement.docx" xr:uid="{3CDD5B6F-9EC1-4CEB-A7A9-D7719F6C7EE5}"/>
    <hyperlink ref="P60" r:id="rId448" display="..\01_DOCUMENT_SETS\ST-036-EUR-07\04_Shipment_Statement.pdf" xr:uid="{76D1AA7C-22A9-4CE3-9804-B3068417828F}"/>
    <hyperlink ref="F61" r:id="rId449" display="..\01_DOCUMENT_SETS\ST-036-STD-01\01_Technical_File.docx" xr:uid="{3422B9CD-E0FB-46A8-8ECD-E113C08FEB86}"/>
    <hyperlink ref="G61" r:id="rId450" display="..\01_DOCUMENT_SETS\ST-036-STD-01\01_Technical_File.pdf" xr:uid="{D5A28B26-C6A9-4F20-8986-F273F9E15519}"/>
    <hyperlink ref="I61" r:id="rId451" display="..\01_DOCUMENT_SETS\ST-036-STD-01\02_EU_DoC.docx" xr:uid="{B0195ECF-4B6B-43FF-82F4-83C3B6C83D06}"/>
    <hyperlink ref="J61" r:id="rId452" display="..\01_DOCUMENT_SETS\ST-036-STD-01\02_EU_DoC.pdf" xr:uid="{06E9D7EB-A644-430F-983F-703E70310FB7}"/>
    <hyperlink ref="L61" r:id="rId453" display="..\01_DOCUMENT_SETS\ST-036-STD-01\03_Label.docx" xr:uid="{F366DD25-FD90-4D4D-AE12-C62E7FCE2AB9}"/>
    <hyperlink ref="M61" r:id="rId454" display="..\01_DOCUMENT_SETS\ST-036-STD-01\03_Label.pdf" xr:uid="{E0233E13-4842-42A2-8D8F-F479B4C8FDE6}"/>
    <hyperlink ref="O61" r:id="rId455" display="..\01_DOCUMENT_SETS\ST-036-STD-01\04_Shipment_Statement.docx" xr:uid="{967A7B2A-CB39-4E7A-A17A-0CB07480425C}"/>
    <hyperlink ref="P61" r:id="rId456" display="..\01_DOCUMENT_SETS\ST-036-STD-01\04_Shipment_Statement.pdf" xr:uid="{FEF39538-A5B2-42D6-9D84-85EE288AC63C}"/>
    <hyperlink ref="F62" r:id="rId457" display="..\01_DOCUMENT_SETS\ST-036-STD-02\01_Technical_File.docx" xr:uid="{1015DDA5-FF42-4AFB-B541-4C9465CE8D4A}"/>
    <hyperlink ref="G62" r:id="rId458" display="..\01_DOCUMENT_SETS\ST-036-STD-02\01_Technical_File.pdf" xr:uid="{3A088D1D-F063-410F-B02B-91AB23291B41}"/>
    <hyperlink ref="I62" r:id="rId459" display="..\01_DOCUMENT_SETS\ST-036-STD-02\02_EU_DoC.docx" xr:uid="{E1E44B3D-30E8-4E0A-87EB-45F7D8C09352}"/>
    <hyperlink ref="J62" r:id="rId460" display="..\01_DOCUMENT_SETS\ST-036-STD-02\02_EU_DoC.pdf" xr:uid="{C69F27F7-C939-4A4B-A85A-A22C796AF7CF}"/>
    <hyperlink ref="L62" r:id="rId461" display="..\01_DOCUMENT_SETS\ST-036-STD-02\03_Label.docx" xr:uid="{7B556E2D-C147-4C3F-8453-CB4FFB92528A}"/>
    <hyperlink ref="M62" r:id="rId462" display="..\01_DOCUMENT_SETS\ST-036-STD-02\03_Label.pdf" xr:uid="{F56A9250-D0A3-4A01-B99A-BA61C520A5B5}"/>
    <hyperlink ref="O62" r:id="rId463" display="..\01_DOCUMENT_SETS\ST-036-STD-02\04_Shipment_Statement.docx" xr:uid="{67DCA90E-4D6D-4A56-A961-8C87EE3C53E4}"/>
    <hyperlink ref="P62" r:id="rId464" display="..\01_DOCUMENT_SETS\ST-036-STD-02\04_Shipment_Statement.pdf" xr:uid="{2D2DE229-9EDD-4C7D-9F62-1F4326639F3B}"/>
    <hyperlink ref="F63" r:id="rId465" display="..\01_DOCUMENT_SETS\ST-036-STD-03\01_Technical_File.docx" xr:uid="{6F1C12B0-3897-4128-951F-5834CDE0FC37}"/>
    <hyperlink ref="G63" r:id="rId466" display="..\01_DOCUMENT_SETS\ST-036-STD-03\01_Technical_File.pdf" xr:uid="{D27F644B-5A95-4ABC-9560-3F06C8B76AB7}"/>
    <hyperlink ref="I63" r:id="rId467" display="..\01_DOCUMENT_SETS\ST-036-STD-03\02_EU_DoC.docx" xr:uid="{F81B25EA-F82F-41E8-B464-E074CCAE4674}"/>
    <hyperlink ref="J63" r:id="rId468" display="..\01_DOCUMENT_SETS\ST-036-STD-03\02_EU_DoC.pdf" xr:uid="{6C06990F-35EC-45FF-A045-83B4BF8D07BC}"/>
    <hyperlink ref="L63" r:id="rId469" display="..\01_DOCUMENT_SETS\ST-036-STD-03\03_Label.docx" xr:uid="{15F12DDA-A7A3-4B8B-90AC-37A5B951AFD3}"/>
    <hyperlink ref="M63" r:id="rId470" display="..\01_DOCUMENT_SETS\ST-036-STD-03\03_Label.pdf" xr:uid="{372EF84F-0E84-48E0-A512-963182631408}"/>
    <hyperlink ref="O63" r:id="rId471" display="..\01_DOCUMENT_SETS\ST-036-STD-03\04_Shipment_Statement.docx" xr:uid="{DCF1D301-13E7-4A1E-9346-BF115D9723AB}"/>
    <hyperlink ref="P63" r:id="rId472" display="..\01_DOCUMENT_SETS\ST-036-STD-03\04_Shipment_Statement.pdf" xr:uid="{10279163-5B19-48CF-9513-D7C2B00544F8}"/>
    <hyperlink ref="F64" r:id="rId473" display="..\01_DOCUMENT_SETS\ST-036-STD-04\01_Technical_File.docx" xr:uid="{5D957777-3083-4114-ADB5-ACDE982F0EE8}"/>
    <hyperlink ref="G64" r:id="rId474" display="..\01_DOCUMENT_SETS\ST-036-STD-04\01_Technical_File.pdf" xr:uid="{72CF62CD-3A76-4DD0-A8D6-1370AEF3C7C1}"/>
    <hyperlink ref="I64" r:id="rId475" display="..\01_DOCUMENT_SETS\ST-036-STD-04\02_EU_DoC.docx" xr:uid="{0CF848C1-74AA-4146-BA34-EEA41C43AD7F}"/>
    <hyperlink ref="J64" r:id="rId476" display="..\01_DOCUMENT_SETS\ST-036-STD-04\02_EU_DoC.pdf" xr:uid="{A3E8C277-6DE4-488B-AEB6-787C339204D7}"/>
    <hyperlink ref="L64" r:id="rId477" display="..\01_DOCUMENT_SETS\ST-036-STD-04\03_Label.docx" xr:uid="{2A6B132E-E797-47C7-A1F5-BEA9E51B6A9F}"/>
    <hyperlink ref="M64" r:id="rId478" display="..\01_DOCUMENT_SETS\ST-036-STD-04\03_Label.pdf" xr:uid="{7FC741D3-1C33-40C8-B88C-CE416BE7F8E0}"/>
    <hyperlink ref="O64" r:id="rId479" display="..\01_DOCUMENT_SETS\ST-036-STD-04\04_Shipment_Statement.docx" xr:uid="{BB63AF77-BDD1-428F-A360-7887473808F7}"/>
    <hyperlink ref="P64" r:id="rId480" display="..\01_DOCUMENT_SETS\ST-036-STD-04\04_Shipment_Statement.pdf" xr:uid="{A02792DC-C611-4596-B165-73FCB72BD386}"/>
    <hyperlink ref="F65" r:id="rId481" display="..\01_DOCUMENT_SETS\ST-036-STD-05\01_Technical_File.docx" xr:uid="{3008C468-0231-4FE5-BC0C-8A4806D66FC4}"/>
    <hyperlink ref="G65" r:id="rId482" display="..\01_DOCUMENT_SETS\ST-036-STD-05\01_Technical_File.pdf" xr:uid="{ACBE875B-B509-465A-BFAF-EFBCB3C8A46B}"/>
    <hyperlink ref="I65" r:id="rId483" display="..\01_DOCUMENT_SETS\ST-036-STD-05\02_EU_DoC.docx" xr:uid="{9FD99AA2-EBB4-41F6-BC72-61D347824378}"/>
    <hyperlink ref="J65" r:id="rId484" display="..\01_DOCUMENT_SETS\ST-036-STD-05\02_EU_DoC.pdf" xr:uid="{1EEF10F6-46F2-4DFD-8C67-BF26B7FDF091}"/>
    <hyperlink ref="L65" r:id="rId485" display="..\01_DOCUMENT_SETS\ST-036-STD-05\03_Label.docx" xr:uid="{49C6F3CD-5C1B-421E-8F43-34C5BE1C7F70}"/>
    <hyperlink ref="M65" r:id="rId486" display="..\01_DOCUMENT_SETS\ST-036-STD-05\03_Label.pdf" xr:uid="{5916FBDC-C45A-41C5-B578-4B0B286871CD}"/>
    <hyperlink ref="O65" r:id="rId487" display="..\01_DOCUMENT_SETS\ST-036-STD-05\04_Shipment_Statement.docx" xr:uid="{D6ECADF8-437D-4746-A4BD-7DDAB71DF4E9}"/>
    <hyperlink ref="P65" r:id="rId488" display="..\01_DOCUMENT_SETS\ST-036-STD-05\04_Shipment_Statement.pdf" xr:uid="{727A144E-77F0-4B95-98BB-75E9C9D432A5}"/>
    <hyperlink ref="F66" r:id="rId489" display="..\01_DOCUMENT_SETS\ST-036-STD-06\01_Technical_File.docx" xr:uid="{195A26C2-5FD1-4BBE-AEED-BF59FFC3A50A}"/>
    <hyperlink ref="G66" r:id="rId490" display="..\01_DOCUMENT_SETS\ST-036-STD-06\01_Technical_File.pdf" xr:uid="{5BDF385C-EADB-4ADA-8F43-988765B29D75}"/>
    <hyperlink ref="I66" r:id="rId491" display="..\01_DOCUMENT_SETS\ST-036-STD-06\02_EU_DoC.docx" xr:uid="{E54AF495-486B-4482-958E-894FD9F99A9E}"/>
    <hyperlink ref="J66" r:id="rId492" display="..\01_DOCUMENT_SETS\ST-036-STD-06\02_EU_DoC.pdf" xr:uid="{C42B29B6-6D35-4390-89E9-61901A01ADD5}"/>
    <hyperlink ref="L66" r:id="rId493" display="..\01_DOCUMENT_SETS\ST-036-STD-06\03_Label.docx" xr:uid="{314B20FE-3B6E-4385-A231-A09EFFA56F78}"/>
    <hyperlink ref="M66" r:id="rId494" display="..\01_DOCUMENT_SETS\ST-036-STD-06\03_Label.pdf" xr:uid="{7E08C666-457A-4E95-A1BA-74D20DBD8B76}"/>
    <hyperlink ref="O66" r:id="rId495" display="..\01_DOCUMENT_SETS\ST-036-STD-06\04_Shipment_Statement.docx" xr:uid="{352FB26A-9993-4402-84B6-BE31BA231AEF}"/>
    <hyperlink ref="P66" r:id="rId496" display="..\01_DOCUMENT_SETS\ST-036-STD-06\04_Shipment_Statement.pdf" xr:uid="{E1B4520F-BF17-4675-9598-2641D40E9F9E}"/>
    <hyperlink ref="F67" r:id="rId497" display="..\01_DOCUMENT_SETS\ST-036-STD-07\01_Technical_File.docx" xr:uid="{5EF8F978-1179-4DC9-B179-A81A5F4AF221}"/>
    <hyperlink ref="G67" r:id="rId498" display="..\01_DOCUMENT_SETS\ST-036-STD-07\01_Technical_File.pdf" xr:uid="{C0298435-806A-4ED5-BE9B-582D7B4333E0}"/>
    <hyperlink ref="I67" r:id="rId499" display="..\01_DOCUMENT_SETS\ST-036-STD-07\02_EU_DoC.docx" xr:uid="{2AC0CDB1-D2E8-4310-8AFC-DEEC129C5CF1}"/>
    <hyperlink ref="J67" r:id="rId500" display="..\01_DOCUMENT_SETS\ST-036-STD-07\02_EU_DoC.pdf" xr:uid="{F36996CE-1D70-47EC-8B74-21FB34F231B4}"/>
    <hyperlink ref="L67" r:id="rId501" display="..\01_DOCUMENT_SETS\ST-036-STD-07\03_Label.docx" xr:uid="{0460E25F-0F86-456E-8773-DA0E3017CCB5}"/>
    <hyperlink ref="M67" r:id="rId502" display="..\01_DOCUMENT_SETS\ST-036-STD-07\03_Label.pdf" xr:uid="{91B36073-CA31-4474-9149-67CC6F68238B}"/>
    <hyperlink ref="O67" r:id="rId503" display="..\01_DOCUMENT_SETS\ST-036-STD-07\04_Shipment_Statement.docx" xr:uid="{723967DB-3343-460E-A95C-6C954C2253E8}"/>
    <hyperlink ref="P67" r:id="rId504" display="..\01_DOCUMENT_SETS\ST-036-STD-07\04_Shipment_Statement.pdf" xr:uid="{0E874608-87A6-4AC1-B500-A4AEE848473B}"/>
    <hyperlink ref="F68" r:id="rId505" display="..\01_DOCUMENT_SETS\ST-036-STD-08\01_Technical_File.docx" xr:uid="{95AAD5D2-D50F-416B-B5D7-49E0ABF06583}"/>
    <hyperlink ref="G68" r:id="rId506" display="..\01_DOCUMENT_SETS\ST-036-STD-08\01_Technical_File.pdf" xr:uid="{0441DBF2-2603-429E-BD19-B078CBBA20E6}"/>
    <hyperlink ref="I68" r:id="rId507" display="..\01_DOCUMENT_SETS\ST-036-STD-08\02_EU_DoC.docx" xr:uid="{96C4AD1C-A639-495C-A815-AB7D67D55A04}"/>
    <hyperlink ref="J68" r:id="rId508" display="..\01_DOCUMENT_SETS\ST-036-STD-08\02_EU_DoC.pdf" xr:uid="{92B2DEA8-8B68-4826-95A9-91A256C10A8F}"/>
    <hyperlink ref="L68" r:id="rId509" display="..\01_DOCUMENT_SETS\ST-036-STD-08\03_Label.docx" xr:uid="{FD85C1E6-B70A-4BAB-85D7-AB939DCA5056}"/>
    <hyperlink ref="M68" r:id="rId510" display="..\01_DOCUMENT_SETS\ST-036-STD-08\03_Label.pdf" xr:uid="{13F23B32-553F-4498-BB76-7DD75587D4AB}"/>
    <hyperlink ref="O68" r:id="rId511" display="..\01_DOCUMENT_SETS\ST-036-STD-08\04_Shipment_Statement.docx" xr:uid="{B95E8E1A-95AF-418C-8086-C3382A2D3735}"/>
    <hyperlink ref="P68" r:id="rId512" display="..\01_DOCUMENT_SETS\ST-036-STD-08\04_Shipment_Statement.pdf" xr:uid="{362CF776-DD49-4378-B2F9-2DDD3DB03E31}"/>
    <hyperlink ref="F69" r:id="rId513" display="..\01_DOCUMENT_SETS\ST-036-STD-09\01_Technical_File.docx" xr:uid="{98A3FD51-C3FF-414E-8800-56C706688AC4}"/>
    <hyperlink ref="G69" r:id="rId514" display="..\01_DOCUMENT_SETS\ST-036-STD-09\01_Technical_File.pdf" xr:uid="{429D0157-3677-4D93-AE84-C70608095097}"/>
    <hyperlink ref="I69" r:id="rId515" display="..\01_DOCUMENT_SETS\ST-036-STD-09\02_EU_DoC.docx" xr:uid="{CC5DEF87-5133-40E3-A2A9-16026EC5DCF6}"/>
    <hyperlink ref="J69" r:id="rId516" display="..\01_DOCUMENT_SETS\ST-036-STD-09\02_EU_DoC.pdf" xr:uid="{3AECD5A6-C1E4-4C26-9CE5-B6373017F69D}"/>
    <hyperlink ref="L69" r:id="rId517" display="..\01_DOCUMENT_SETS\ST-036-STD-09\03_Label.docx" xr:uid="{BCF64B72-EE5F-4340-8D19-6810EA1EC195}"/>
    <hyperlink ref="M69" r:id="rId518" display="..\01_DOCUMENT_SETS\ST-036-STD-09\03_Label.pdf" xr:uid="{1159A437-5A2E-43B4-8A49-1BD533F8BFB2}"/>
    <hyperlink ref="O69" r:id="rId519" display="..\01_DOCUMENT_SETS\ST-036-STD-09\04_Shipment_Statement.docx" xr:uid="{8DAC85BB-56C0-4EAD-BCAE-619B51D15A24}"/>
    <hyperlink ref="P69" r:id="rId520" display="..\01_DOCUMENT_SETS\ST-036-STD-09\04_Shipment_Statement.pdf" xr:uid="{3E54AC90-CBDD-42B1-BFED-88EDCD6EA0E0}"/>
    <hyperlink ref="F70" r:id="rId521" display="..\01_DOCUMENT_SETS\ST-036-STD-10\01_Technical_File.docx" xr:uid="{9C2AD02B-D3B0-45AE-8F99-9DD887756081}"/>
    <hyperlink ref="G70" r:id="rId522" display="..\01_DOCUMENT_SETS\ST-036-STD-10\01_Technical_File.pdf" xr:uid="{531331C0-75DF-4E52-956F-67CA3388EE54}"/>
    <hyperlink ref="I70" r:id="rId523" display="..\01_DOCUMENT_SETS\ST-036-STD-10\02_EU_DoC.docx" xr:uid="{A4448CCA-CDB5-438C-B71A-CEE710B4AA8C}"/>
    <hyperlink ref="J70" r:id="rId524" display="..\01_DOCUMENT_SETS\ST-036-STD-10\02_EU_DoC.pdf" xr:uid="{8A012F1D-15F1-4E30-B8EB-702BF91E9322}"/>
    <hyperlink ref="L70" r:id="rId525" display="..\01_DOCUMENT_SETS\ST-036-STD-10\03_Label.docx" xr:uid="{6D5D35C7-9904-4866-833E-9E9A9381E538}"/>
    <hyperlink ref="M70" r:id="rId526" display="..\01_DOCUMENT_SETS\ST-036-STD-10\03_Label.pdf" xr:uid="{6255E776-797A-4890-8541-E4F819E2F0D4}"/>
    <hyperlink ref="O70" r:id="rId527" display="..\01_DOCUMENT_SETS\ST-036-STD-10\04_Shipment_Statement.docx" xr:uid="{94FB329E-E553-47B1-9EFB-4E83B4FBA548}"/>
    <hyperlink ref="P70" r:id="rId528" display="..\01_DOCUMENT_SETS\ST-036-STD-10\04_Shipment_Statement.pdf" xr:uid="{C2B9189F-3BED-4A2C-BEF1-472CB841E511}"/>
    <hyperlink ref="F71" r:id="rId529" display="..\01_DOCUMENT_SETS\ST-042-EUR-01\01_Technical_File.docx" xr:uid="{63F350F5-4DAD-4EA5-9DC4-6654020B99E1}"/>
    <hyperlink ref="G71" r:id="rId530" display="..\01_DOCUMENT_SETS\ST-042-EUR-01\01_Technical_File.pdf" xr:uid="{D651DA72-F83E-428C-99CB-562CA31739E2}"/>
    <hyperlink ref="I71" r:id="rId531" display="..\01_DOCUMENT_SETS\ST-042-EUR-01\02_EU_DoC.docx" xr:uid="{AA01ACCB-7D45-46E6-8D8D-6A338D765F36}"/>
    <hyperlink ref="J71" r:id="rId532" display="..\01_DOCUMENT_SETS\ST-042-EUR-01\02_EU_DoC.pdf" xr:uid="{8CBA15A4-4464-4C5F-9F8D-C3A7F34D5DF4}"/>
    <hyperlink ref="L71" r:id="rId533" display="..\01_DOCUMENT_SETS\ST-042-EUR-01\03_Label.docx" xr:uid="{49DDE0E0-E4AF-491E-A85A-751D488AEAB7}"/>
    <hyperlink ref="M71" r:id="rId534" display="..\01_DOCUMENT_SETS\ST-042-EUR-01\03_Label.pdf" xr:uid="{256F0C48-1DD6-4572-A1DE-96B7A7541348}"/>
    <hyperlink ref="O71" r:id="rId535" display="..\01_DOCUMENT_SETS\ST-042-EUR-01\04_Shipment_Statement.docx" xr:uid="{A6B458BA-3C38-4DD7-84C5-4A81107D42DD}"/>
    <hyperlink ref="P71" r:id="rId536" display="..\01_DOCUMENT_SETS\ST-042-EUR-01\04_Shipment_Statement.pdf" xr:uid="{596E1FFB-65F8-470F-951C-DA6F68957814}"/>
    <hyperlink ref="F72" r:id="rId537" display="..\01_DOCUMENT_SETS\ST-042-EUR-02\01_Technical_File.docx" xr:uid="{A63E3928-9526-428D-8515-32DE4ED3B7AE}"/>
    <hyperlink ref="G72" r:id="rId538" display="..\01_DOCUMENT_SETS\ST-042-EUR-02\01_Technical_File.pdf" xr:uid="{BC91D1DC-00DD-4CA3-97F8-5AFBDAB79222}"/>
    <hyperlink ref="I72" r:id="rId539" display="..\01_DOCUMENT_SETS\ST-042-EUR-02\02_EU_DoC.docx" xr:uid="{E31EE0CB-9460-459B-A5B6-510F97329698}"/>
    <hyperlink ref="J72" r:id="rId540" display="..\01_DOCUMENT_SETS\ST-042-EUR-02\02_EU_DoC.pdf" xr:uid="{3FD16DA5-DFD4-4E59-BB97-1045C55F37AE}"/>
    <hyperlink ref="L72" r:id="rId541" display="..\01_DOCUMENT_SETS\ST-042-EUR-02\03_Label.docx" xr:uid="{ABCDEF22-D59E-45D4-8DD0-43C3D38208E4}"/>
    <hyperlink ref="M72" r:id="rId542" display="..\01_DOCUMENT_SETS\ST-042-EUR-02\03_Label.pdf" xr:uid="{E26001EF-4D50-41A6-949E-A3C6AC85CC87}"/>
    <hyperlink ref="O72" r:id="rId543" display="..\01_DOCUMENT_SETS\ST-042-EUR-02\04_Shipment_Statement.docx" xr:uid="{F015C01B-CC7F-4D1F-AA68-C8467A30B4A0}"/>
    <hyperlink ref="P72" r:id="rId544" display="..\01_DOCUMENT_SETS\ST-042-EUR-02\04_Shipment_Statement.pdf" xr:uid="{1FCB5ACF-2AB2-475A-B09C-F011CA3CB61F}"/>
    <hyperlink ref="F73" r:id="rId545" display="..\01_DOCUMENT_SETS\ST-042-EUR-03\01_Technical_File.docx" xr:uid="{F982DFB9-9B06-4906-849D-6B338A78853E}"/>
    <hyperlink ref="G73" r:id="rId546" display="..\01_DOCUMENT_SETS\ST-042-EUR-03\01_Technical_File.pdf" xr:uid="{B6CF9141-A8CE-4F29-BBFC-EE94BBC6D477}"/>
    <hyperlink ref="I73" r:id="rId547" display="..\01_DOCUMENT_SETS\ST-042-EUR-03\02_EU_DoC.docx" xr:uid="{43194D75-2E1C-4680-AAC6-88F7D21DCC01}"/>
    <hyperlink ref="J73" r:id="rId548" display="..\01_DOCUMENT_SETS\ST-042-EUR-03\02_EU_DoC.pdf" xr:uid="{F8C4289C-AA53-4353-90AF-D5D73CF17213}"/>
    <hyperlink ref="L73" r:id="rId549" display="..\01_DOCUMENT_SETS\ST-042-EUR-03\03_Label.docx" xr:uid="{FF3EDF98-CECC-454F-AFA6-74BB643AB21B}"/>
    <hyperlink ref="M73" r:id="rId550" display="..\01_DOCUMENT_SETS\ST-042-EUR-03\03_Label.pdf" xr:uid="{9A0A9D74-9BA3-4181-9AC7-6CD8CC03DDBB}"/>
    <hyperlink ref="O73" r:id="rId551" display="..\01_DOCUMENT_SETS\ST-042-EUR-03\04_Shipment_Statement.docx" xr:uid="{A0AEA7DA-8332-412A-BDDC-E856383962C2}"/>
    <hyperlink ref="P73" r:id="rId552" display="..\01_DOCUMENT_SETS\ST-042-EUR-03\04_Shipment_Statement.pdf" xr:uid="{92C9045D-663F-4C60-B2B0-84759D2FD5CF}"/>
    <hyperlink ref="F74" r:id="rId553" display="..\01_DOCUMENT_SETS\ST-042-EUR-04\01_Technical_File.docx" xr:uid="{5FF7F351-DB59-41AC-B8CB-3D102D9E9D19}"/>
    <hyperlink ref="G74" r:id="rId554" display="..\01_DOCUMENT_SETS\ST-042-EUR-04\01_Technical_File.pdf" xr:uid="{7CEBF427-EC4B-4A95-825B-87B31B4852DD}"/>
    <hyperlink ref="I74" r:id="rId555" display="..\01_DOCUMENT_SETS\ST-042-EUR-04\02_EU_DoC.docx" xr:uid="{B0E025C0-D898-4071-A4E4-729B2AC2FEDD}"/>
    <hyperlink ref="J74" r:id="rId556" display="..\01_DOCUMENT_SETS\ST-042-EUR-04\02_EU_DoC.pdf" xr:uid="{379F3023-8FC5-47B9-A15A-515D8ED3C9DC}"/>
    <hyperlink ref="L74" r:id="rId557" display="..\01_DOCUMENT_SETS\ST-042-EUR-04\03_Label.docx" xr:uid="{83EB7BE4-276D-489E-978B-69885B428FD2}"/>
    <hyperlink ref="M74" r:id="rId558" display="..\01_DOCUMENT_SETS\ST-042-EUR-04\03_Label.pdf" xr:uid="{397464EB-F044-4896-9293-FC939A17D67F}"/>
    <hyperlink ref="O74" r:id="rId559" display="..\01_DOCUMENT_SETS\ST-042-EUR-04\04_Shipment_Statement.docx" xr:uid="{465CA912-AAD8-4BCD-A653-FCF40E7A4312}"/>
    <hyperlink ref="P74" r:id="rId560" display="..\01_DOCUMENT_SETS\ST-042-EUR-04\04_Shipment_Statement.pdf" xr:uid="{69A29064-278F-4AB4-8459-B799E01E4EE1}"/>
    <hyperlink ref="F75" r:id="rId561" display="..\01_DOCUMENT_SETS\ST-042-STD-01\01_Technical_File.docx" xr:uid="{982E92C9-BC81-4858-A225-F2803188B0B0}"/>
    <hyperlink ref="G75" r:id="rId562" display="..\01_DOCUMENT_SETS\ST-042-STD-01\01_Technical_File.pdf" xr:uid="{62AF795B-F6BE-40E2-9D02-35345EA7D695}"/>
    <hyperlink ref="I75" r:id="rId563" display="..\01_DOCUMENT_SETS\ST-042-STD-01\02_EU_DoC.docx" xr:uid="{7C590E7B-C524-4FC7-BA44-0AF1AF81790A}"/>
    <hyperlink ref="J75" r:id="rId564" display="..\01_DOCUMENT_SETS\ST-042-STD-01\02_EU_DoC.pdf" xr:uid="{73EE5944-CA83-4357-BF2C-4329FBB1A9BE}"/>
    <hyperlink ref="L75" r:id="rId565" display="..\01_DOCUMENT_SETS\ST-042-STD-01\03_Label.docx" xr:uid="{C588B55A-EDAD-448F-93D6-8E5FF22A6308}"/>
    <hyperlink ref="M75" r:id="rId566" display="..\01_DOCUMENT_SETS\ST-042-STD-01\03_Label.pdf" xr:uid="{B770930A-1141-4467-83AF-2214B8ED699B}"/>
    <hyperlink ref="O75" r:id="rId567" display="..\01_DOCUMENT_SETS\ST-042-STD-01\04_Shipment_Statement.docx" xr:uid="{1C011E96-C8F7-4D5F-99FE-7F65587F79B9}"/>
    <hyperlink ref="P75" r:id="rId568" display="..\01_DOCUMENT_SETS\ST-042-STD-01\04_Shipment_Statement.pdf" xr:uid="{D02A8FC2-426E-4C58-A80B-00180EE2A29E}"/>
    <hyperlink ref="F76" r:id="rId569" display="..\01_DOCUMENT_SETS\ST-042-STD-02\01_Technical_File.docx" xr:uid="{73900708-DDBD-4F91-8CBB-387F5FE5DD3C}"/>
    <hyperlink ref="G76" r:id="rId570" display="..\01_DOCUMENT_SETS\ST-042-STD-02\01_Technical_File.pdf" xr:uid="{B39B3CE3-E900-4168-AE9F-E42B377FFD77}"/>
    <hyperlink ref="I76" r:id="rId571" display="..\01_DOCUMENT_SETS\ST-042-STD-02\02_EU_DoC.docx" xr:uid="{06095574-EF46-40AE-B576-7B61FA8FC9D7}"/>
    <hyperlink ref="J76" r:id="rId572" display="..\01_DOCUMENT_SETS\ST-042-STD-02\02_EU_DoC.pdf" xr:uid="{24966193-9377-420E-B1F8-6FBF002451FF}"/>
    <hyperlink ref="L76" r:id="rId573" display="..\01_DOCUMENT_SETS\ST-042-STD-02\03_Label.docx" xr:uid="{CD24268B-CB72-48FF-B538-1F98D23573E7}"/>
    <hyperlink ref="M76" r:id="rId574" display="..\01_DOCUMENT_SETS\ST-042-STD-02\03_Label.pdf" xr:uid="{E6DDB198-58D0-4185-B47C-98389F12DDC6}"/>
    <hyperlink ref="O76" r:id="rId575" display="..\01_DOCUMENT_SETS\ST-042-STD-02\04_Shipment_Statement.docx" xr:uid="{51FA8A6B-136F-40B4-8640-444AC10091CA}"/>
    <hyperlink ref="P76" r:id="rId576" display="..\01_DOCUMENT_SETS\ST-042-STD-02\04_Shipment_Statement.pdf" xr:uid="{48312782-7399-4F57-BF29-8BB7D0F1D8F5}"/>
    <hyperlink ref="F77" r:id="rId577" display="..\01_DOCUMENT_SETS\ST-042-STD-03\01_Technical_File.docx" xr:uid="{36A03046-1ABF-4FA9-95AF-8CCAF163557A}"/>
    <hyperlink ref="G77" r:id="rId578" display="..\01_DOCUMENT_SETS\ST-042-STD-03\01_Technical_File.pdf" xr:uid="{143D2E58-2644-4F13-ACDF-25294FA3F2E2}"/>
    <hyperlink ref="I77" r:id="rId579" display="..\01_DOCUMENT_SETS\ST-042-STD-03\02_EU_DoC.docx" xr:uid="{A606FB42-B40F-46FF-985D-D8C68C5D669D}"/>
    <hyperlink ref="J77" r:id="rId580" display="..\01_DOCUMENT_SETS\ST-042-STD-03\02_EU_DoC.pdf" xr:uid="{36AD7050-5664-4609-9CDB-1FBD345B5713}"/>
    <hyperlink ref="L77" r:id="rId581" display="..\01_DOCUMENT_SETS\ST-042-STD-03\03_Label.docx" xr:uid="{38F1BD62-8A70-4E00-8BD2-E4ACA442CB8F}"/>
    <hyperlink ref="M77" r:id="rId582" display="..\01_DOCUMENT_SETS\ST-042-STD-03\03_Label.pdf" xr:uid="{6461679E-783F-45BD-B6B3-C6901EB56D33}"/>
    <hyperlink ref="O77" r:id="rId583" display="..\01_DOCUMENT_SETS\ST-042-STD-03\04_Shipment_Statement.docx" xr:uid="{9AF250F8-595A-4DD5-890C-08DC46E7E172}"/>
    <hyperlink ref="P77" r:id="rId584" display="..\01_DOCUMENT_SETS\ST-042-STD-03\04_Shipment_Statement.pdf" xr:uid="{326FBA0C-F2B1-4911-96E1-5D8FA92ECB33}"/>
    <hyperlink ref="F78" r:id="rId585" display="..\01_DOCUMENT_SETS\ST-042-STD-04\01_Technical_File.docx" xr:uid="{01E7ADDE-CDA4-43E8-B649-EA6CBB2D118F}"/>
    <hyperlink ref="G78" r:id="rId586" display="..\01_DOCUMENT_SETS\ST-042-STD-04\01_Technical_File.pdf" xr:uid="{87C3AC5D-15CF-4D2D-9FF6-31943283A371}"/>
    <hyperlink ref="I78" r:id="rId587" display="..\01_DOCUMENT_SETS\ST-042-STD-04\02_EU_DoC.docx" xr:uid="{66A5E2FF-625B-4FBC-A177-D1F6724362EA}"/>
    <hyperlink ref="J78" r:id="rId588" display="..\01_DOCUMENT_SETS\ST-042-STD-04\02_EU_DoC.pdf" xr:uid="{6002F6C6-B36E-41EA-8E36-C7D6AED877B3}"/>
    <hyperlink ref="L78" r:id="rId589" display="..\01_DOCUMENT_SETS\ST-042-STD-04\03_Label.docx" xr:uid="{85F0F07F-72B7-4B66-820C-257AFE6DB278}"/>
    <hyperlink ref="M78" r:id="rId590" display="..\01_DOCUMENT_SETS\ST-042-STD-04\03_Label.pdf" xr:uid="{5CF40B34-BF2B-49BE-BA35-ED49FAFF8DD1}"/>
    <hyperlink ref="O78" r:id="rId591" display="..\01_DOCUMENT_SETS\ST-042-STD-04\04_Shipment_Statement.docx" xr:uid="{0B897BB8-F484-4A15-9AEB-2822D6422CC5}"/>
    <hyperlink ref="P78" r:id="rId592" display="..\01_DOCUMENT_SETS\ST-042-STD-04\04_Shipment_Statement.pdf" xr:uid="{EDDA9D4A-19D9-4F2E-9B5E-1523A481AC89}"/>
    <hyperlink ref="F79" r:id="rId593" display="..\01_DOCUMENT_SETS\ST-042-STD-05\01_Technical_File.docx" xr:uid="{85C04CDA-347B-4AFE-934D-DBDA43319358}"/>
    <hyperlink ref="G79" r:id="rId594" display="..\01_DOCUMENT_SETS\ST-042-STD-05\01_Technical_File.pdf" xr:uid="{7AFB5712-EAB9-4DD3-81F9-0012D3464AA8}"/>
    <hyperlink ref="I79" r:id="rId595" display="..\01_DOCUMENT_SETS\ST-042-STD-05\02_EU_DoC.docx" xr:uid="{B54B9B96-7B35-4EF8-BCAA-83F1500182BD}"/>
    <hyperlink ref="J79" r:id="rId596" display="..\01_DOCUMENT_SETS\ST-042-STD-05\02_EU_DoC.pdf" xr:uid="{DE424F46-47FE-4AA5-B6AE-6D194F366A7E}"/>
    <hyperlink ref="L79" r:id="rId597" display="..\01_DOCUMENT_SETS\ST-042-STD-05\03_Label.docx" xr:uid="{B6BF2217-A405-49E9-AE5A-9BDE384E7438}"/>
    <hyperlink ref="M79" r:id="rId598" display="..\01_DOCUMENT_SETS\ST-042-STD-05\03_Label.pdf" xr:uid="{FC1D35F3-6E87-4618-803D-1F09C7C29861}"/>
    <hyperlink ref="O79" r:id="rId599" display="..\01_DOCUMENT_SETS\ST-042-STD-05\04_Shipment_Statement.docx" xr:uid="{86FB9C5B-DADF-4E26-89E9-5024509F6AE8}"/>
    <hyperlink ref="P79" r:id="rId600" display="..\01_DOCUMENT_SETS\ST-042-STD-05\04_Shipment_Statement.pdf" xr:uid="{E9A5F88C-2044-423E-ADCD-391DD8E567D5}"/>
    <hyperlink ref="F80" r:id="rId601" display="..\01_DOCUMENT_SETS\ST-042-STD-06\01_Technical_File.docx" xr:uid="{73F146B4-AD2E-4447-BA58-F1CD76C45E08}"/>
    <hyperlink ref="G80" r:id="rId602" display="..\01_DOCUMENT_SETS\ST-042-STD-06\01_Technical_File.pdf" xr:uid="{716859E0-42DE-4FA0-8386-88343CADC24A}"/>
    <hyperlink ref="I80" r:id="rId603" display="..\01_DOCUMENT_SETS\ST-042-STD-06\02_EU_DoC.docx" xr:uid="{59CC27A6-7370-4B47-8F59-D4CD176E5CEA}"/>
    <hyperlink ref="J80" r:id="rId604" display="..\01_DOCUMENT_SETS\ST-042-STD-06\02_EU_DoC.pdf" xr:uid="{371FD1C6-5C13-42A3-A043-ADCFC631368A}"/>
    <hyperlink ref="L80" r:id="rId605" display="..\01_DOCUMENT_SETS\ST-042-STD-06\03_Label.docx" xr:uid="{FCD4F452-72E7-4D87-9B04-8127C4B5DD83}"/>
    <hyperlink ref="M80" r:id="rId606" display="..\01_DOCUMENT_SETS\ST-042-STD-06\03_Label.pdf" xr:uid="{6D9A5D3F-44B2-4B16-986D-9FAB84FA32E6}"/>
    <hyperlink ref="O80" r:id="rId607" display="..\01_DOCUMENT_SETS\ST-042-STD-06\04_Shipment_Statement.docx" xr:uid="{13F5BAA2-75BC-4712-9EC8-C644BEABAC7E}"/>
    <hyperlink ref="P80" r:id="rId608" display="..\01_DOCUMENT_SETS\ST-042-STD-06\04_Shipment_Statement.pdf" xr:uid="{FFC22C53-E97C-466C-9D42-E915C508923B}"/>
    <hyperlink ref="F81" r:id="rId609" display="..\01_DOCUMENT_SETS\ST-042-STD-07\01_Technical_File.docx" xr:uid="{7B1E2627-4C2A-4CE4-B4EE-7EA97F636F5C}"/>
    <hyperlink ref="G81" r:id="rId610" display="..\01_DOCUMENT_SETS\ST-042-STD-07\01_Technical_File.pdf" xr:uid="{0FFE1A4F-C2CB-40AD-805A-EC48DB615A54}"/>
    <hyperlink ref="I81" r:id="rId611" display="..\01_DOCUMENT_SETS\ST-042-STD-07\02_EU_DoC.docx" xr:uid="{4744CD90-FA22-475B-BBFD-317DF7671965}"/>
    <hyperlink ref="J81" r:id="rId612" display="..\01_DOCUMENT_SETS\ST-042-STD-07\02_EU_DoC.pdf" xr:uid="{83CFCC12-9D51-4560-AFAD-E282DEB0773F}"/>
    <hyperlink ref="L81" r:id="rId613" display="..\01_DOCUMENT_SETS\ST-042-STD-07\03_Label.docx" xr:uid="{0C5BC4EB-2233-40BA-9649-05745D3EB7A5}"/>
    <hyperlink ref="M81" r:id="rId614" display="..\01_DOCUMENT_SETS\ST-042-STD-07\03_Label.pdf" xr:uid="{1C10CDE1-C55E-4763-9E9C-94CCA6846A07}"/>
    <hyperlink ref="O81" r:id="rId615" display="..\01_DOCUMENT_SETS\ST-042-STD-07\04_Shipment_Statement.docx" xr:uid="{FD5EE6F8-FFE9-4197-9D14-5C0FBC9AAA45}"/>
    <hyperlink ref="P81" r:id="rId616" display="..\01_DOCUMENT_SETS\ST-042-STD-07\04_Shipment_Statement.pdf" xr:uid="{0F38DB69-8AC3-4B0A-9DB8-5F01A316724C}"/>
    <hyperlink ref="F82" r:id="rId617" display="..\01_DOCUMENT_SETS\ST-042-STD-08\01_Technical_File.docx" xr:uid="{9FD3E197-C28E-4739-AEA2-90FA138D7B8F}"/>
    <hyperlink ref="G82" r:id="rId618" display="..\01_DOCUMENT_SETS\ST-042-STD-08\01_Technical_File.pdf" xr:uid="{00315854-E4B3-4E2A-BF02-1E50C7AF45F9}"/>
    <hyperlink ref="I82" r:id="rId619" display="..\01_DOCUMENT_SETS\ST-042-STD-08\02_EU_DoC.docx" xr:uid="{8976D56C-0B6E-4B2C-A399-2A906C2BDC67}"/>
    <hyperlink ref="J82" r:id="rId620" display="..\01_DOCUMENT_SETS\ST-042-STD-08\02_EU_DoC.pdf" xr:uid="{B941847D-7C0C-49E2-8B6F-2D76581777B8}"/>
    <hyperlink ref="L82" r:id="rId621" display="..\01_DOCUMENT_SETS\ST-042-STD-08\03_Label.docx" xr:uid="{C003442F-E6D5-4788-814E-E91197489C04}"/>
    <hyperlink ref="M82" r:id="rId622" display="..\01_DOCUMENT_SETS\ST-042-STD-08\03_Label.pdf" xr:uid="{2E3FD741-9583-4AD8-B95C-92686537A0EB}"/>
    <hyperlink ref="O82" r:id="rId623" display="..\01_DOCUMENT_SETS\ST-042-STD-08\04_Shipment_Statement.docx" xr:uid="{46268470-8A89-41A2-BB1E-2D54DDC1576A}"/>
    <hyperlink ref="P82" r:id="rId624" display="..\01_DOCUMENT_SETS\ST-042-STD-08\04_Shipment_Statement.pdf" xr:uid="{7527DEB6-AAC5-4C90-8D95-F484BA319E56}"/>
    <hyperlink ref="F83" r:id="rId625" display="..\01_DOCUMENT_SETS\ST-042-STD-09\01_Technical_File.docx" xr:uid="{368F531C-0AF1-4040-A0A2-715647B8121A}"/>
    <hyperlink ref="G83" r:id="rId626" display="..\01_DOCUMENT_SETS\ST-042-STD-09\01_Technical_File.pdf" xr:uid="{FA858EC9-8325-486E-B552-43EDDFD0DD1B}"/>
    <hyperlink ref="I83" r:id="rId627" display="..\01_DOCUMENT_SETS\ST-042-STD-09\02_EU_DoC.docx" xr:uid="{4B00C162-F307-4723-A664-17B275E11973}"/>
    <hyperlink ref="J83" r:id="rId628" display="..\01_DOCUMENT_SETS\ST-042-STD-09\02_EU_DoC.pdf" xr:uid="{8D77D45C-CAB4-4642-A2E4-B922CEF2B1E1}"/>
    <hyperlink ref="L83" r:id="rId629" display="..\01_DOCUMENT_SETS\ST-042-STD-09\03_Label.docx" xr:uid="{6625A94C-1CBD-427E-8ACD-843E0505F63A}"/>
    <hyperlink ref="M83" r:id="rId630" display="..\01_DOCUMENT_SETS\ST-042-STD-09\03_Label.pdf" xr:uid="{11A58462-E9E3-49FB-8E21-A39C9C833AA5}"/>
    <hyperlink ref="O83" r:id="rId631" display="..\01_DOCUMENT_SETS\ST-042-STD-09\04_Shipment_Statement.docx" xr:uid="{66AC9179-2CEC-44BC-BBD7-1E5C32BE0125}"/>
    <hyperlink ref="P83" r:id="rId632" display="..\01_DOCUMENT_SETS\ST-042-STD-09\04_Shipment_Statement.pdf" xr:uid="{B1EFD5EC-4727-4344-B0E5-522917718228}"/>
    <hyperlink ref="F84" r:id="rId633" display="..\01_DOCUMENT_SETS\ST-044-STD-01\01_Technical_File.docx" xr:uid="{EF6882DB-F17A-49F0-8788-4B22C001F505}"/>
    <hyperlink ref="G84" r:id="rId634" display="..\01_DOCUMENT_SETS\ST-044-STD-01\01_Technical_File.pdf" xr:uid="{F19D253E-E08A-4DBF-BFE5-A7BAF3A554FB}"/>
    <hyperlink ref="I84" r:id="rId635" display="..\01_DOCUMENT_SETS\ST-044-STD-01\02_EU_DoC.docx" xr:uid="{8B8E275C-116C-4992-8C19-8D2D99BA7736}"/>
    <hyperlink ref="J84" r:id="rId636" display="..\01_DOCUMENT_SETS\ST-044-STD-01\02_EU_DoC.pdf" xr:uid="{01676C04-C837-4A83-A8CA-6BB0CCF72073}"/>
    <hyperlink ref="L84" r:id="rId637" display="..\01_DOCUMENT_SETS\ST-044-STD-01\03_Label.docx" xr:uid="{7B8A4094-8DC2-47F0-A491-0242F31B2B0B}"/>
    <hyperlink ref="M84" r:id="rId638" display="..\01_DOCUMENT_SETS\ST-044-STD-01\03_Label.pdf" xr:uid="{7EA94738-2084-4E0D-8AF2-771458E4DB42}"/>
    <hyperlink ref="O84" r:id="rId639" display="..\01_DOCUMENT_SETS\ST-044-STD-01\04_Shipment_Statement.docx" xr:uid="{EA7B9D38-5F71-4BB2-A428-3EC66D9DB024}"/>
    <hyperlink ref="P84" r:id="rId640" display="..\01_DOCUMENT_SETS\ST-044-STD-01\04_Shipment_Statement.pdf" xr:uid="{981E1271-EFA2-4420-9982-CA75E6B483F2}"/>
    <hyperlink ref="F85" r:id="rId641" display="..\01_DOCUMENT_SETS\ST-045-EUR-01\01_Technical_File.docx" xr:uid="{B64DF89A-E3DB-4D1A-AE23-3226029B0E99}"/>
    <hyperlink ref="G85" r:id="rId642" display="..\01_DOCUMENT_SETS\ST-045-EUR-01\01_Technical_File.pdf" xr:uid="{E7728447-8CA0-4B75-B63A-D29E723E473F}"/>
    <hyperlink ref="I85" r:id="rId643" display="..\01_DOCUMENT_SETS\ST-045-EUR-01\02_EU_DoC.docx" xr:uid="{2CDDE837-CC89-4AE2-AAC1-EAEE494C49FE}"/>
    <hyperlink ref="J85" r:id="rId644" display="..\01_DOCUMENT_SETS\ST-045-EUR-01\02_EU_DoC.pdf" xr:uid="{B2BBBC17-8A16-4B56-BA63-F3E03F625D7F}"/>
    <hyperlink ref="L85" r:id="rId645" display="..\01_DOCUMENT_SETS\ST-045-EUR-01\03_Label.docx" xr:uid="{A1CCB9CA-8746-451B-979B-DBDF545257EE}"/>
    <hyperlink ref="M85" r:id="rId646" display="..\01_DOCUMENT_SETS\ST-045-EUR-01\03_Label.pdf" xr:uid="{DB4C51A6-2310-4B7B-878E-61C2F980A681}"/>
    <hyperlink ref="O85" r:id="rId647" display="..\01_DOCUMENT_SETS\ST-045-EUR-01\04_Shipment_Statement.docx" xr:uid="{513EB113-3460-42F5-BC50-6664A977C2AA}"/>
    <hyperlink ref="P85" r:id="rId648" display="..\01_DOCUMENT_SETS\ST-045-EUR-01\04_Shipment_Statement.pdf" xr:uid="{B4A86FE0-1F8F-4EFB-874A-77DF43C9EAC0}"/>
    <hyperlink ref="F86" r:id="rId649" display="..\01_DOCUMENT_SETS\ST-045-STD-01\01_Technical_File.docx" xr:uid="{6C7D4976-F0D5-4161-99A4-F8F597B9E1AA}"/>
    <hyperlink ref="G86" r:id="rId650" display="..\01_DOCUMENT_SETS\ST-045-STD-01\01_Technical_File.pdf" xr:uid="{40E9C9D8-9F70-4BDA-A5B2-5DCDE4D11346}"/>
    <hyperlink ref="I86" r:id="rId651" display="..\01_DOCUMENT_SETS\ST-045-STD-01\02_EU_DoC.docx" xr:uid="{17639EF5-2CE7-4DAE-97F1-568EE162F83E}"/>
    <hyperlink ref="J86" r:id="rId652" display="..\01_DOCUMENT_SETS\ST-045-STD-01\02_EU_DoC.pdf" xr:uid="{F3830EBF-0442-4713-85A4-835678096A4A}"/>
    <hyperlink ref="L86" r:id="rId653" display="..\01_DOCUMENT_SETS\ST-045-STD-01\03_Label.docx" xr:uid="{00F604EE-1B2F-427F-8DF1-8FA4B9597152}"/>
    <hyperlink ref="M86" r:id="rId654" display="..\01_DOCUMENT_SETS\ST-045-STD-01\03_Label.pdf" xr:uid="{D4AEA8F7-9C0B-41CE-BC3B-9C6427851B01}"/>
    <hyperlink ref="O86" r:id="rId655" display="..\01_DOCUMENT_SETS\ST-045-STD-01\04_Shipment_Statement.docx" xr:uid="{C2CF0AF4-678B-435E-83AA-806C955452C1}"/>
    <hyperlink ref="P86" r:id="rId656" display="..\01_DOCUMENT_SETS\ST-045-STD-01\04_Shipment_Statement.pdf" xr:uid="{66D4C9FF-406D-499E-977A-A592E4B95FD8}"/>
    <hyperlink ref="F87" r:id="rId657" display="..\01_DOCUMENT_SETS\ST-045-STD-02\01_Technical_File.docx" xr:uid="{7CF2CA52-50F7-4B69-9BC0-03FEA3149031}"/>
    <hyperlink ref="G87" r:id="rId658" display="..\01_DOCUMENT_SETS\ST-045-STD-02\01_Technical_File.pdf" xr:uid="{518030A5-1FA5-4A55-AA96-CC8827C95D39}"/>
    <hyperlink ref="I87" r:id="rId659" display="..\01_DOCUMENT_SETS\ST-045-STD-02\02_EU_DoC.docx" xr:uid="{E32E14C2-314F-45C7-971E-C2896D53EDAE}"/>
    <hyperlink ref="J87" r:id="rId660" display="..\01_DOCUMENT_SETS\ST-045-STD-02\02_EU_DoC.pdf" xr:uid="{C477CEF9-3F52-41F1-B50F-7D2F846CEDEF}"/>
    <hyperlink ref="L87" r:id="rId661" display="..\01_DOCUMENT_SETS\ST-045-STD-02\03_Label.docx" xr:uid="{AB7566C5-1F15-4EFF-B3AC-5FE6F1E17D7B}"/>
    <hyperlink ref="M87" r:id="rId662" display="..\01_DOCUMENT_SETS\ST-045-STD-02\03_Label.pdf" xr:uid="{CB8014A7-FDFB-4D23-89CA-3B3D3D1D4AD4}"/>
    <hyperlink ref="O87" r:id="rId663" display="..\01_DOCUMENT_SETS\ST-045-STD-02\04_Shipment_Statement.docx" xr:uid="{3FFB9A1A-A2B8-45AB-A869-A5F40FA30DEB}"/>
    <hyperlink ref="P87" r:id="rId664" display="..\01_DOCUMENT_SETS\ST-045-STD-02\04_Shipment_Statement.pdf" xr:uid="{E8F21ED2-A786-4019-A2C3-CA8249918C58}"/>
    <hyperlink ref="F88" r:id="rId665" display="..\01_DOCUMENT_SETS\ST-045-STD-03\01_Technical_File.docx" xr:uid="{686B7169-31AC-4923-B7E5-5FA56A4415EF}"/>
    <hyperlink ref="G88" r:id="rId666" display="..\01_DOCUMENT_SETS\ST-045-STD-03\01_Technical_File.pdf" xr:uid="{6CCE9C23-6FD7-4A5B-A192-DD02F554590D}"/>
    <hyperlink ref="I88" r:id="rId667" display="..\01_DOCUMENT_SETS\ST-045-STD-03\02_EU_DoC.docx" xr:uid="{C9C5A070-A66D-4AE2-8CCA-F21A7D0E9A33}"/>
    <hyperlink ref="J88" r:id="rId668" display="..\01_DOCUMENT_SETS\ST-045-STD-03\02_EU_DoC.pdf" xr:uid="{BF7D3144-D90D-429C-BD17-82EE04E874A7}"/>
    <hyperlink ref="L88" r:id="rId669" display="..\01_DOCUMENT_SETS\ST-045-STD-03\03_Label.docx" xr:uid="{21D996C7-7A72-4498-A0CE-6F40B74BDAF7}"/>
    <hyperlink ref="M88" r:id="rId670" display="..\01_DOCUMENT_SETS\ST-045-STD-03\03_Label.pdf" xr:uid="{F8CE2099-7C95-4681-86D1-74256FE3014B}"/>
    <hyperlink ref="O88" r:id="rId671" display="..\01_DOCUMENT_SETS\ST-045-STD-03\04_Shipment_Statement.docx" xr:uid="{2050F598-92CA-45A6-A695-98EBD14DF84E}"/>
    <hyperlink ref="P88" r:id="rId672" display="..\01_DOCUMENT_SETS\ST-045-STD-03\04_Shipment_Statement.pdf" xr:uid="{75303A46-5FEE-4D89-A932-C9DA22E9480A}"/>
    <hyperlink ref="F89" r:id="rId673" display="..\01_DOCUMENT_SETS\ST-045-STD-04\01_Technical_File.docx" xr:uid="{002DCBF6-E478-44A1-954F-7B075C7A76B1}"/>
    <hyperlink ref="G89" r:id="rId674" display="..\01_DOCUMENT_SETS\ST-045-STD-04\01_Technical_File.pdf" xr:uid="{8CD878D8-65CE-4EAF-BE35-B4064792B486}"/>
    <hyperlink ref="I89" r:id="rId675" display="..\01_DOCUMENT_SETS\ST-045-STD-04\02_EU_DoC.docx" xr:uid="{BF83654B-01FD-4BF6-B87B-877E4610E10F}"/>
    <hyperlink ref="J89" r:id="rId676" display="..\01_DOCUMENT_SETS\ST-045-STD-04\02_EU_DoC.pdf" xr:uid="{9BA66D52-EA21-4CD9-8FD8-773D8D31FCE4}"/>
    <hyperlink ref="L89" r:id="rId677" display="..\01_DOCUMENT_SETS\ST-045-STD-04\03_Label.docx" xr:uid="{D20A729F-2F49-4902-B860-D8404DA0F923}"/>
    <hyperlink ref="M89" r:id="rId678" display="..\01_DOCUMENT_SETS\ST-045-STD-04\03_Label.pdf" xr:uid="{099C32C5-F3D9-4788-A830-F2F0C86CF47A}"/>
    <hyperlink ref="O89" r:id="rId679" display="..\01_DOCUMENT_SETS\ST-045-STD-04\04_Shipment_Statement.docx" xr:uid="{E1A90C56-E635-4710-ADF0-FCF62565CE5D}"/>
    <hyperlink ref="P89" r:id="rId680" display="..\01_DOCUMENT_SETS\ST-045-STD-04\04_Shipment_Statement.pdf" xr:uid="{D0313855-FD9D-475F-8927-A67080720A85}"/>
    <hyperlink ref="F90" r:id="rId681" display="..\01_DOCUMENT_SETS\ST-045-STD-05\01_Technical_File.docx" xr:uid="{99254F92-0E46-4D2D-8EAD-442D15830CA9}"/>
    <hyperlink ref="G90" r:id="rId682" display="..\01_DOCUMENT_SETS\ST-045-STD-05\01_Technical_File.pdf" xr:uid="{7B1BEAA3-0ED0-4879-95BC-F91E55D0B609}"/>
    <hyperlink ref="I90" r:id="rId683" display="..\01_DOCUMENT_SETS\ST-045-STD-05\02_EU_DoC.docx" xr:uid="{10253C55-4A0F-4126-9092-7EEFD53B5B30}"/>
    <hyperlink ref="J90" r:id="rId684" display="..\01_DOCUMENT_SETS\ST-045-STD-05\02_EU_DoC.pdf" xr:uid="{E0B81213-BC4E-4871-B6C6-7D8DB3D6AEA9}"/>
    <hyperlink ref="L90" r:id="rId685" display="..\01_DOCUMENT_SETS\ST-045-STD-05\03_Label.docx" xr:uid="{F9AE0C80-D29E-42E3-A521-2C6963918B98}"/>
    <hyperlink ref="M90" r:id="rId686" display="..\01_DOCUMENT_SETS\ST-045-STD-05\03_Label.pdf" xr:uid="{942F3EE0-C590-46E2-81DB-249BD314631D}"/>
    <hyperlink ref="O90" r:id="rId687" display="..\01_DOCUMENT_SETS\ST-045-STD-05\04_Shipment_Statement.docx" xr:uid="{84A4D6D1-B1A4-4D05-9978-BE0AE800A29D}"/>
    <hyperlink ref="P90" r:id="rId688" display="..\01_DOCUMENT_SETS\ST-045-STD-05\04_Shipment_Statement.pdf" xr:uid="{5FC95D22-D8EC-4CB2-80DE-CADBA6E6E43F}"/>
    <hyperlink ref="F91" r:id="rId689" display="..\01_DOCUMENT_SETS\ST-045-STD-06\01_Technical_File.docx" xr:uid="{CF990E9D-E953-4FF3-AC88-187A13FBB373}"/>
    <hyperlink ref="G91" r:id="rId690" display="..\01_DOCUMENT_SETS\ST-045-STD-06\01_Technical_File.pdf" xr:uid="{CF9BCA8D-7FE2-427E-A4EC-C1C5D77C9B65}"/>
    <hyperlink ref="I91" r:id="rId691" display="..\01_DOCUMENT_SETS\ST-045-STD-06\02_EU_DoC.docx" xr:uid="{33614253-F5DA-4710-829C-5EC942CAE19C}"/>
    <hyperlink ref="J91" r:id="rId692" display="..\01_DOCUMENT_SETS\ST-045-STD-06\02_EU_DoC.pdf" xr:uid="{AC8F7C3A-9EA0-48D3-9519-42290D3175DA}"/>
    <hyperlink ref="L91" r:id="rId693" display="..\01_DOCUMENT_SETS\ST-045-STD-06\03_Label.docx" xr:uid="{385918E6-4E63-44B6-AA6E-5D91917B1D1E}"/>
    <hyperlink ref="M91" r:id="rId694" display="..\01_DOCUMENT_SETS\ST-045-STD-06\03_Label.pdf" xr:uid="{F173674C-1F45-43F3-B37A-ED45893343F3}"/>
    <hyperlink ref="O91" r:id="rId695" display="..\01_DOCUMENT_SETS\ST-045-STD-06\04_Shipment_Statement.docx" xr:uid="{9E29CFDB-4D92-4656-A68B-D322E201B76B}"/>
    <hyperlink ref="P91" r:id="rId696" display="..\01_DOCUMENT_SETS\ST-045-STD-06\04_Shipment_Statement.pdf" xr:uid="{20FBDE24-1C82-4CBC-9C39-823963265042}"/>
    <hyperlink ref="F92" r:id="rId697" display="..\01_DOCUMENT_SETS\ST-045-STD-07\01_Technical_File.docx" xr:uid="{7DFC0F7E-6205-4A7E-8579-FB473BDF63D5}"/>
    <hyperlink ref="G92" r:id="rId698" display="..\01_DOCUMENT_SETS\ST-045-STD-07\01_Technical_File.pdf" xr:uid="{131B322F-2262-44B7-B113-07E43E9D79DA}"/>
    <hyperlink ref="I92" r:id="rId699" display="..\01_DOCUMENT_SETS\ST-045-STD-07\02_EU_DoC.docx" xr:uid="{BD940DF6-5BA5-4F73-A329-815D60DC310C}"/>
    <hyperlink ref="J92" r:id="rId700" display="..\01_DOCUMENT_SETS\ST-045-STD-07\02_EU_DoC.pdf" xr:uid="{96EA7248-7480-49C6-8FC1-FF119C5F0A9C}"/>
    <hyperlink ref="L92" r:id="rId701" display="..\01_DOCUMENT_SETS\ST-045-STD-07\03_Label.docx" xr:uid="{5B33F775-D6EE-426F-B10A-2D9A10775F00}"/>
    <hyperlink ref="M92" r:id="rId702" display="..\01_DOCUMENT_SETS\ST-045-STD-07\03_Label.pdf" xr:uid="{76C9FB6B-6FAB-4D6B-BB92-DFECAEED6312}"/>
    <hyperlink ref="O92" r:id="rId703" display="..\01_DOCUMENT_SETS\ST-045-STD-07\04_Shipment_Statement.docx" xr:uid="{A0D8ECE8-1278-498B-BA79-B961BACDCF9A}"/>
    <hyperlink ref="P92" r:id="rId704" display="..\01_DOCUMENT_SETS\ST-045-STD-07\04_Shipment_Statement.pdf" xr:uid="{60E88E5A-1C77-4E5B-B447-70C6656A7D5B}"/>
    <hyperlink ref="F93" r:id="rId705" display="..\01_DOCUMENT_SETS\ST-045-STD-08\01_Technical_File.docx" xr:uid="{0E08815C-E3BB-43B5-9B69-239A687E7AE3}"/>
    <hyperlink ref="G93" r:id="rId706" display="..\01_DOCUMENT_SETS\ST-045-STD-08\01_Technical_File.pdf" xr:uid="{A389992B-F9C5-41C4-936A-A524E5379192}"/>
    <hyperlink ref="I93" r:id="rId707" display="..\01_DOCUMENT_SETS\ST-045-STD-08\02_EU_DoC.docx" xr:uid="{5A55D7F8-4DAC-4B5F-A8F3-305BFE3BC554}"/>
    <hyperlink ref="J93" r:id="rId708" display="..\01_DOCUMENT_SETS\ST-045-STD-08\02_EU_DoC.pdf" xr:uid="{B9D2B72E-00C3-4CD3-ABBD-BDABFE2B214B}"/>
    <hyperlink ref="L93" r:id="rId709" display="..\01_DOCUMENT_SETS\ST-045-STD-08\03_Label.docx" xr:uid="{12E99E42-6CC5-4B56-B27D-13D193D5F359}"/>
    <hyperlink ref="M93" r:id="rId710" display="..\01_DOCUMENT_SETS\ST-045-STD-08\03_Label.pdf" xr:uid="{DA0885B3-F9E9-4EEB-848B-75E27432DE00}"/>
    <hyperlink ref="O93" r:id="rId711" display="..\01_DOCUMENT_SETS\ST-045-STD-08\04_Shipment_Statement.docx" xr:uid="{B1C7D15B-DE56-452B-BC83-C142A6244DC5}"/>
    <hyperlink ref="P93" r:id="rId712" display="..\01_DOCUMENT_SETS\ST-045-STD-08\04_Shipment_Statement.pdf" xr:uid="{D2FCAF80-41E7-47C3-AE1A-454A3DA92B41}"/>
    <hyperlink ref="F94" r:id="rId713" display="..\01_DOCUMENT_SETS\ST-045-STD-09\01_Technical_File.docx" xr:uid="{40715B18-133A-4261-A3DB-290FD6EAD4A5}"/>
    <hyperlink ref="G94" r:id="rId714" display="..\01_DOCUMENT_SETS\ST-045-STD-09\01_Technical_File.pdf" xr:uid="{DC1AC524-3800-4FDB-A631-AB515DAF86BD}"/>
    <hyperlink ref="I94" r:id="rId715" display="..\01_DOCUMENT_SETS\ST-045-STD-09\02_EU_DoC.docx" xr:uid="{0101C5A3-2ADB-4711-B104-EF2BD8662D58}"/>
    <hyperlink ref="J94" r:id="rId716" display="..\01_DOCUMENT_SETS\ST-045-STD-09\02_EU_DoC.pdf" xr:uid="{9337F174-7461-46F9-9CB4-8E13192630A8}"/>
    <hyperlink ref="L94" r:id="rId717" display="..\01_DOCUMENT_SETS\ST-045-STD-09\03_Label.docx" xr:uid="{96E79EF0-82D7-4B50-A78D-F12A3085BAF7}"/>
    <hyperlink ref="M94" r:id="rId718" display="..\01_DOCUMENT_SETS\ST-045-STD-09\03_Label.pdf" xr:uid="{6C25AD78-0235-479D-9D29-D9A56862A49F}"/>
    <hyperlink ref="O94" r:id="rId719" display="..\01_DOCUMENT_SETS\ST-045-STD-09\04_Shipment_Statement.docx" xr:uid="{4DEF5073-E0BE-4129-8A12-38B011B15FB8}"/>
    <hyperlink ref="P94" r:id="rId720" display="..\01_DOCUMENT_SETS\ST-045-STD-09\04_Shipment_Statement.pdf" xr:uid="{FC570C7A-7A3D-47DA-B0C8-D053FC9EEE77}"/>
    <hyperlink ref="F95" r:id="rId721" display="..\01_DOCUMENT_SETS\ST-045-STD-10\01_Technical_File.docx" xr:uid="{7A898FAD-6BD4-41C1-AAC3-61D52E672DDB}"/>
    <hyperlink ref="G95" r:id="rId722" display="..\01_DOCUMENT_SETS\ST-045-STD-10\01_Technical_File.pdf" xr:uid="{FA6A4BD6-2963-4F4C-9649-B63B1FAEC609}"/>
    <hyperlink ref="I95" r:id="rId723" display="..\01_DOCUMENT_SETS\ST-045-STD-10\02_EU_DoC.docx" xr:uid="{26FA1120-EE99-4F78-AFDE-A9440882DDB5}"/>
    <hyperlink ref="J95" r:id="rId724" display="..\01_DOCUMENT_SETS\ST-045-STD-10\02_EU_DoC.pdf" xr:uid="{E2BA686C-0630-4E37-BAED-4AB00ACC39FF}"/>
    <hyperlink ref="L95" r:id="rId725" display="..\01_DOCUMENT_SETS\ST-045-STD-10\03_Label.docx" xr:uid="{D2CBF985-5F01-487D-80B2-2735BDCEDA3D}"/>
    <hyperlink ref="M95" r:id="rId726" display="..\01_DOCUMENT_SETS\ST-045-STD-10\03_Label.pdf" xr:uid="{A6DCA010-12C9-4387-A4E3-B441D7241D90}"/>
    <hyperlink ref="O95" r:id="rId727" display="..\01_DOCUMENT_SETS\ST-045-STD-10\04_Shipment_Statement.docx" xr:uid="{E4907B66-639C-477C-996C-363799D8550A}"/>
    <hyperlink ref="P95" r:id="rId728" display="..\01_DOCUMENT_SETS\ST-045-STD-10\04_Shipment_Statement.pdf" xr:uid="{F25CBB4B-4C53-4CAC-8AC5-A43756A77200}"/>
    <hyperlink ref="F96" r:id="rId729" display="..\01_DOCUMENT_SETS\ST-045-STD-11\01_Technical_File.docx" xr:uid="{C829B3C3-1C2B-4D47-9011-A67C4355CF9C}"/>
    <hyperlink ref="G96" r:id="rId730" display="..\01_DOCUMENT_SETS\ST-045-STD-11\01_Technical_File.pdf" xr:uid="{2CC2BDFD-4C0A-4FB6-8B64-D7C4B5F584B1}"/>
    <hyperlink ref="I96" r:id="rId731" display="..\01_DOCUMENT_SETS\ST-045-STD-11\02_EU_DoC.docx" xr:uid="{5DE4BB0A-D528-4010-999D-2117052CEDAD}"/>
    <hyperlink ref="J96" r:id="rId732" display="..\01_DOCUMENT_SETS\ST-045-STD-11\02_EU_DoC.pdf" xr:uid="{086B5079-8FE6-4655-BAC9-35AEE0711D85}"/>
    <hyperlink ref="L96" r:id="rId733" display="..\01_DOCUMENT_SETS\ST-045-STD-11\03_Label.docx" xr:uid="{C5E62BA7-0FF0-47C7-BABC-F82599C0A7CC}"/>
    <hyperlink ref="M96" r:id="rId734" display="..\01_DOCUMENT_SETS\ST-045-STD-11\03_Label.pdf" xr:uid="{B9DEF9A2-E45D-4216-8E4F-1B9AFD88637F}"/>
    <hyperlink ref="O96" r:id="rId735" display="..\01_DOCUMENT_SETS\ST-045-STD-11\04_Shipment_Statement.docx" xr:uid="{DE01761B-3D2A-4342-9802-D0743BD5B4CB}"/>
    <hyperlink ref="P96" r:id="rId736" display="..\01_DOCUMENT_SETS\ST-045-STD-11\04_Shipment_Statement.pdf" xr:uid="{361A6BA9-CBE5-4DC9-BAE0-660E4018C070}"/>
    <hyperlink ref="F97" r:id="rId737" display="..\01_DOCUMENT_SETS\ST-045-STD-12\01_Technical_File.docx" xr:uid="{C62FA8B7-DEE4-4377-A767-6E103B35556B}"/>
    <hyperlink ref="G97" r:id="rId738" display="..\01_DOCUMENT_SETS\ST-045-STD-12\01_Technical_File.pdf" xr:uid="{8A2A61FC-9124-482E-A592-7183676D0D31}"/>
    <hyperlink ref="I97" r:id="rId739" display="..\01_DOCUMENT_SETS\ST-045-STD-12\02_EU_DoC.docx" xr:uid="{CEBC90C8-9400-477B-89A9-28A40C7CB7F9}"/>
    <hyperlink ref="J97" r:id="rId740" display="..\01_DOCUMENT_SETS\ST-045-STD-12\02_EU_DoC.pdf" xr:uid="{9F7C0D28-02B1-4BE7-9C48-D5E0F3C75D8C}"/>
    <hyperlink ref="L97" r:id="rId741" display="..\01_DOCUMENT_SETS\ST-045-STD-12\03_Label.docx" xr:uid="{F8D27388-6446-47EC-9506-EC4E86AFE356}"/>
    <hyperlink ref="M97" r:id="rId742" display="..\01_DOCUMENT_SETS\ST-045-STD-12\03_Label.pdf" xr:uid="{830C21A6-3646-4A4A-A909-25151FD9A67A}"/>
    <hyperlink ref="O97" r:id="rId743" display="..\01_DOCUMENT_SETS\ST-045-STD-12\04_Shipment_Statement.docx" xr:uid="{F6D68A33-E654-4BD5-8642-F38B12944A69}"/>
    <hyperlink ref="P97" r:id="rId744" display="..\01_DOCUMENT_SETS\ST-045-STD-12\04_Shipment_Statement.pdf" xr:uid="{D1660DC8-EF83-41D7-9D75-B7E630A84A62}"/>
    <hyperlink ref="F98" r:id="rId745" display="..\01_DOCUMENT_SETS\ST-045-STD-13\01_Technical_File.docx" xr:uid="{435B0192-A8CE-4628-BBFC-D68886094B31}"/>
    <hyperlink ref="G98" r:id="rId746" display="..\01_DOCUMENT_SETS\ST-045-STD-13\01_Technical_File.pdf" xr:uid="{273074B5-8FB5-4333-8846-90DA55371039}"/>
    <hyperlink ref="I98" r:id="rId747" display="..\01_DOCUMENT_SETS\ST-045-STD-13\02_EU_DoC.docx" xr:uid="{0C6E35F2-37EB-4FDA-8D70-76F19DB21788}"/>
    <hyperlink ref="J98" r:id="rId748" display="..\01_DOCUMENT_SETS\ST-045-STD-13\02_EU_DoC.pdf" xr:uid="{D73032DB-D35D-4FDB-BE2A-5556201D3387}"/>
    <hyperlink ref="L98" r:id="rId749" display="..\01_DOCUMENT_SETS\ST-045-STD-13\03_Label.docx" xr:uid="{E0EFF229-DB83-4EE1-8AFC-B3F32050E371}"/>
    <hyperlink ref="M98" r:id="rId750" display="..\01_DOCUMENT_SETS\ST-045-STD-13\03_Label.pdf" xr:uid="{14A506AC-8CEB-443F-A396-142726BB521D}"/>
    <hyperlink ref="O98" r:id="rId751" display="..\01_DOCUMENT_SETS\ST-045-STD-13\04_Shipment_Statement.docx" xr:uid="{BC8020DA-6894-4392-A467-3E20634D3194}"/>
    <hyperlink ref="P98" r:id="rId752" display="..\01_DOCUMENT_SETS\ST-045-STD-13\04_Shipment_Statement.pdf" xr:uid="{B3665785-3E55-4516-8886-2933EA3839B6}"/>
    <hyperlink ref="F99" r:id="rId753" display="..\01_DOCUMENT_SETS\ST-045-STD-14\01_Technical_File.docx" xr:uid="{0F3F2BC6-265F-40FC-B2A8-9AE3D6B67526}"/>
    <hyperlink ref="G99" r:id="rId754" display="..\01_DOCUMENT_SETS\ST-045-STD-14\01_Technical_File.pdf" xr:uid="{E6180DF6-C527-4FD7-B07B-7C9A7CEC9E6A}"/>
    <hyperlink ref="I99" r:id="rId755" display="..\01_DOCUMENT_SETS\ST-045-STD-14\02_EU_DoC.docx" xr:uid="{E909A142-EF1E-4498-82E0-0ED1913DF453}"/>
    <hyperlink ref="J99" r:id="rId756" display="..\01_DOCUMENT_SETS\ST-045-STD-14\02_EU_DoC.pdf" xr:uid="{D5B18F6B-8C84-4A0F-AE46-1CB33577490B}"/>
    <hyperlink ref="L99" r:id="rId757" display="..\01_DOCUMENT_SETS\ST-045-STD-14\03_Label.docx" xr:uid="{DEF004DC-23A6-476B-8C37-85B538A64153}"/>
    <hyperlink ref="M99" r:id="rId758" display="..\01_DOCUMENT_SETS\ST-045-STD-14\03_Label.pdf" xr:uid="{27AF1759-53BF-47C5-8838-92A114B05FE3}"/>
    <hyperlink ref="O99" r:id="rId759" display="..\01_DOCUMENT_SETS\ST-045-STD-14\04_Shipment_Statement.docx" xr:uid="{6417EC45-A5CC-4B6E-B859-87178BE2879B}"/>
    <hyperlink ref="P99" r:id="rId760" display="..\01_DOCUMENT_SETS\ST-045-STD-14\04_Shipment_Statement.pdf" xr:uid="{FFB34FD3-92FB-493E-9F22-7D7F17A76B15}"/>
    <hyperlink ref="F100" r:id="rId761" display="..\01_DOCUMENT_SETS\ST-048-EUR-01\01_Technical_File.docx" xr:uid="{1D7DA795-970C-429E-AB2D-F782A59A52A1}"/>
    <hyperlink ref="G100" r:id="rId762" display="..\01_DOCUMENT_SETS\ST-048-EUR-01\01_Technical_File.pdf" xr:uid="{928A6A21-C55D-4833-AFC9-A219A9140D7D}"/>
    <hyperlink ref="I100" r:id="rId763" display="..\01_DOCUMENT_SETS\ST-048-EUR-01\02_EU_DoC.docx" xr:uid="{B082D72B-969C-45AB-B0AC-656B6A57A2EF}"/>
    <hyperlink ref="J100" r:id="rId764" display="..\01_DOCUMENT_SETS\ST-048-EUR-01\02_EU_DoC.pdf" xr:uid="{F5FB5CBC-DBC2-46B1-ADCF-409684D22AFE}"/>
    <hyperlink ref="L100" r:id="rId765" display="..\01_DOCUMENT_SETS\ST-048-EUR-01\03_Label.docx" xr:uid="{9FBCE2FB-1766-4A6C-8EB2-442F3912D154}"/>
    <hyperlink ref="M100" r:id="rId766" display="..\01_DOCUMENT_SETS\ST-048-EUR-01\03_Label.pdf" xr:uid="{3E8E1BFA-B012-4D21-95EC-9EC0AD583135}"/>
    <hyperlink ref="O100" r:id="rId767" display="..\01_DOCUMENT_SETS\ST-048-EUR-01\04_Shipment_Statement.docx" xr:uid="{039DD7F7-5FEA-42C5-8FA5-96FE5D922613}"/>
    <hyperlink ref="P100" r:id="rId768" display="..\01_DOCUMENT_SETS\ST-048-EUR-01\04_Shipment_Statement.pdf" xr:uid="{A016960C-120B-4C4C-8B7D-D1A11973A227}"/>
    <hyperlink ref="F101" r:id="rId769" display="..\01_DOCUMENT_SETS\ST-048-EUR-02\01_Technical_File.docx" xr:uid="{1A63AE44-CBC4-4A5F-B7FB-DB8AA6659D34}"/>
    <hyperlink ref="G101" r:id="rId770" display="..\01_DOCUMENT_SETS\ST-048-EUR-02\01_Technical_File.pdf" xr:uid="{3BCCDC1C-CEC0-49D4-9D27-8658F80B6EFF}"/>
    <hyperlink ref="I101" r:id="rId771" display="..\01_DOCUMENT_SETS\ST-048-EUR-02\02_EU_DoC.docx" xr:uid="{79D79E3D-CBB7-4705-B3A8-BCB1012FF278}"/>
    <hyperlink ref="J101" r:id="rId772" display="..\01_DOCUMENT_SETS\ST-048-EUR-02\02_EU_DoC.pdf" xr:uid="{A2BB2D49-64EF-4EA9-BC9A-6EBFA5601137}"/>
    <hyperlink ref="L101" r:id="rId773" display="..\01_DOCUMENT_SETS\ST-048-EUR-02\03_Label.docx" xr:uid="{E4EDB717-FC4C-4F12-82C3-C51A8AA35A84}"/>
    <hyperlink ref="M101" r:id="rId774" display="..\01_DOCUMENT_SETS\ST-048-EUR-02\03_Label.pdf" xr:uid="{84393F1C-DB5C-4A14-87B5-57AEA7EC909F}"/>
    <hyperlink ref="O101" r:id="rId775" display="..\01_DOCUMENT_SETS\ST-048-EUR-02\04_Shipment_Statement.docx" xr:uid="{5D4A23CF-5B89-4483-AD03-09BB44D21A78}"/>
    <hyperlink ref="P101" r:id="rId776" display="..\01_DOCUMENT_SETS\ST-048-EUR-02\04_Shipment_Statement.pdf" xr:uid="{5A86B08E-5BB6-4BBD-A223-D2C1E33B9B47}"/>
    <hyperlink ref="F102" r:id="rId777" display="..\01_DOCUMENT_SETS\ST-048-EUR-03\01_Technical_File.docx" xr:uid="{3FE8A7D0-AC8C-4A1C-BA8D-CC3FE0058ACC}"/>
    <hyperlink ref="G102" r:id="rId778" display="..\01_DOCUMENT_SETS\ST-048-EUR-03\01_Technical_File.pdf" xr:uid="{12A7C7E2-4AE5-4CAE-BF85-9585881A476A}"/>
    <hyperlink ref="I102" r:id="rId779" display="..\01_DOCUMENT_SETS\ST-048-EUR-03\02_EU_DoC.docx" xr:uid="{12D13CAF-F941-44C9-ACA7-09659C43BD83}"/>
    <hyperlink ref="J102" r:id="rId780" display="..\01_DOCUMENT_SETS\ST-048-EUR-03\02_EU_DoC.pdf" xr:uid="{C3745FE3-DF6D-462F-AADC-4405548A2C98}"/>
    <hyperlink ref="L102" r:id="rId781" display="..\01_DOCUMENT_SETS\ST-048-EUR-03\03_Label.docx" xr:uid="{0F6CC988-847C-4C05-A137-E1FD5D0659B7}"/>
    <hyperlink ref="M102" r:id="rId782" display="..\01_DOCUMENT_SETS\ST-048-EUR-03\03_Label.pdf" xr:uid="{5E709E1E-DED7-485B-A876-15FFF96D91DF}"/>
    <hyperlink ref="O102" r:id="rId783" display="..\01_DOCUMENT_SETS\ST-048-EUR-03\04_Shipment_Statement.docx" xr:uid="{B2DCDD3B-6EE0-4810-B88C-B86FFF90A2B7}"/>
    <hyperlink ref="P102" r:id="rId784" display="..\01_DOCUMENT_SETS\ST-048-EUR-03\04_Shipment_Statement.pdf" xr:uid="{C9486576-5C76-4BEE-B3AB-788C7CCD575B}"/>
    <hyperlink ref="F103" r:id="rId785" display="..\01_DOCUMENT_SETS\ST-048-EUR-04\01_Technical_File.docx" xr:uid="{911B694E-2A6F-4974-8640-2FA9602502D6}"/>
    <hyperlink ref="G103" r:id="rId786" display="..\01_DOCUMENT_SETS\ST-048-EUR-04\01_Technical_File.pdf" xr:uid="{E6B27530-3FA6-40F5-B381-75F29022AECF}"/>
    <hyperlink ref="I103" r:id="rId787" display="..\01_DOCUMENT_SETS\ST-048-EUR-04\02_EU_DoC.docx" xr:uid="{A15BCCDE-4CF9-4E9D-9A0A-F948298FA509}"/>
    <hyperlink ref="J103" r:id="rId788" display="..\01_DOCUMENT_SETS\ST-048-EUR-04\02_EU_DoC.pdf" xr:uid="{14B9247E-97C1-47C2-9A3D-62CDF092E405}"/>
    <hyperlink ref="L103" r:id="rId789" display="..\01_DOCUMENT_SETS\ST-048-EUR-04\03_Label.docx" xr:uid="{B3F8621A-23A1-4883-8046-EDA7FB2E6400}"/>
    <hyperlink ref="M103" r:id="rId790" display="..\01_DOCUMENT_SETS\ST-048-EUR-04\03_Label.pdf" xr:uid="{F1435555-E3B6-4CA8-9AA8-47B58EA28A33}"/>
    <hyperlink ref="O103" r:id="rId791" display="..\01_DOCUMENT_SETS\ST-048-EUR-04\04_Shipment_Statement.docx" xr:uid="{27D1BC19-4F47-41DE-98F4-13839B31E364}"/>
    <hyperlink ref="P103" r:id="rId792" display="..\01_DOCUMENT_SETS\ST-048-EUR-04\04_Shipment_Statement.pdf" xr:uid="{5E3829FB-3258-433F-8E47-72F7F06BE0CF}"/>
    <hyperlink ref="F104" r:id="rId793" display="..\01_DOCUMENT_SETS\ST-048-EUR-05\01_Technical_File.docx" xr:uid="{1C1227AB-EA96-4233-BED7-3C3DCB87FFC8}"/>
    <hyperlink ref="G104" r:id="rId794" display="..\01_DOCUMENT_SETS\ST-048-EUR-05\01_Technical_File.pdf" xr:uid="{9E782EFD-8ABF-4540-AA1F-A535AC6682DB}"/>
    <hyperlink ref="I104" r:id="rId795" display="..\01_DOCUMENT_SETS\ST-048-EUR-05\02_EU_DoC.docx" xr:uid="{C48E573B-C356-4637-967F-5DB431D800CE}"/>
    <hyperlink ref="J104" r:id="rId796" display="..\01_DOCUMENT_SETS\ST-048-EUR-05\02_EU_DoC.pdf" xr:uid="{31F0A99D-DA64-438D-A43B-92F4FE43846B}"/>
    <hyperlink ref="L104" r:id="rId797" display="..\01_DOCUMENT_SETS\ST-048-EUR-05\03_Label.docx" xr:uid="{B3B80A8F-7123-4AE1-92BB-B631A532BF8C}"/>
    <hyperlink ref="M104" r:id="rId798" display="..\01_DOCUMENT_SETS\ST-048-EUR-05\03_Label.pdf" xr:uid="{93FE7E85-3B3A-4217-8B39-EB703D717C57}"/>
    <hyperlink ref="O104" r:id="rId799" display="..\01_DOCUMENT_SETS\ST-048-EUR-05\04_Shipment_Statement.docx" xr:uid="{DD2C176E-48C1-40E5-B0FD-9CF2A9DE5221}"/>
    <hyperlink ref="P104" r:id="rId800" display="..\01_DOCUMENT_SETS\ST-048-EUR-05\04_Shipment_Statement.pdf" xr:uid="{420C69FD-E21B-41F9-8700-A821D00A6C6B}"/>
    <hyperlink ref="F105" r:id="rId801" display="..\01_DOCUMENT_SETS\ST-048-EUR-06\01_Technical_File.docx" xr:uid="{75F137EC-E3A0-44AF-939F-941F8A040863}"/>
    <hyperlink ref="G105" r:id="rId802" display="..\01_DOCUMENT_SETS\ST-048-EUR-06\01_Technical_File.pdf" xr:uid="{FBC13FC8-D5BC-44F5-95F8-EAEB3FF92BBA}"/>
    <hyperlink ref="I105" r:id="rId803" display="..\01_DOCUMENT_SETS\ST-048-EUR-06\02_EU_DoC.docx" xr:uid="{124CFD8A-A9D0-43E0-A7A4-6B8334D6DE28}"/>
    <hyperlink ref="J105" r:id="rId804" display="..\01_DOCUMENT_SETS\ST-048-EUR-06\02_EU_DoC.pdf" xr:uid="{AFA55694-262C-46AE-AE46-F6A82C7170CB}"/>
    <hyperlink ref="L105" r:id="rId805" display="..\01_DOCUMENT_SETS\ST-048-EUR-06\03_Label.docx" xr:uid="{EA62481D-B50E-433A-BE55-D51AA1C66A70}"/>
    <hyperlink ref="M105" r:id="rId806" display="..\01_DOCUMENT_SETS\ST-048-EUR-06\03_Label.pdf" xr:uid="{18A14BBC-A60F-4378-ADDC-F5D9812CF594}"/>
    <hyperlink ref="O105" r:id="rId807" display="..\01_DOCUMENT_SETS\ST-048-EUR-06\04_Shipment_Statement.docx" xr:uid="{08DB0C4C-47A5-4B04-AF69-CC2F66622B5F}"/>
    <hyperlink ref="P105" r:id="rId808" display="..\01_DOCUMENT_SETS\ST-048-EUR-06\04_Shipment_Statement.pdf" xr:uid="{1055797A-A429-4BBF-B0AE-6BA7DD187DC9}"/>
    <hyperlink ref="F106" r:id="rId809" display="..\01_DOCUMENT_SETS\ST-048-EUR-07\01_Technical_File.docx" xr:uid="{CBA6A980-68EE-49F1-8CE5-6A65C6183771}"/>
    <hyperlink ref="G106" r:id="rId810" display="..\01_DOCUMENT_SETS\ST-048-EUR-07\01_Technical_File.pdf" xr:uid="{43FACDBC-98D6-4EE6-889C-F2BBA171C6DE}"/>
    <hyperlink ref="I106" r:id="rId811" display="..\01_DOCUMENT_SETS\ST-048-EUR-07\02_EU_DoC.docx" xr:uid="{057CEA25-3488-4B9F-9F12-CA6E2E4834D1}"/>
    <hyperlink ref="J106" r:id="rId812" display="..\01_DOCUMENT_SETS\ST-048-EUR-07\02_EU_DoC.pdf" xr:uid="{7D614CEE-46AD-4D06-AA69-C147A4A7DF2D}"/>
    <hyperlink ref="L106" r:id="rId813" display="..\01_DOCUMENT_SETS\ST-048-EUR-07\03_Label.docx" xr:uid="{2997439F-C953-40EB-A3CE-94369C30A9C2}"/>
    <hyperlink ref="M106" r:id="rId814" display="..\01_DOCUMENT_SETS\ST-048-EUR-07\03_Label.pdf" xr:uid="{D1919857-F0CA-4901-A34D-988AB5FA2DA0}"/>
    <hyperlink ref="O106" r:id="rId815" display="..\01_DOCUMENT_SETS\ST-048-EUR-07\04_Shipment_Statement.docx" xr:uid="{DF30538D-B27D-4150-8DF5-7008DA379509}"/>
    <hyperlink ref="P106" r:id="rId816" display="..\01_DOCUMENT_SETS\ST-048-EUR-07\04_Shipment_Statement.pdf" xr:uid="{4AA95239-EA25-4AC7-9B5F-953FFE40488A}"/>
    <hyperlink ref="F107" r:id="rId817" display="..\01_DOCUMENT_SETS\ST-048-EUR-08\01_Technical_File.docx" xr:uid="{DFCA2E85-FA2D-4DC8-B717-8B7A0551ABCE}"/>
    <hyperlink ref="G107" r:id="rId818" display="..\01_DOCUMENT_SETS\ST-048-EUR-08\01_Technical_File.pdf" xr:uid="{6F87105B-FF05-4051-B405-370C3735278C}"/>
    <hyperlink ref="I107" r:id="rId819" display="..\01_DOCUMENT_SETS\ST-048-EUR-08\02_EU_DoC.docx" xr:uid="{8A5BA7DA-94EC-4388-805F-4CD01E65D785}"/>
    <hyperlink ref="J107" r:id="rId820" display="..\01_DOCUMENT_SETS\ST-048-EUR-08\02_EU_DoC.pdf" xr:uid="{E9CFFB8A-52B8-4A90-ADF4-DDE2091BD3C3}"/>
    <hyperlink ref="L107" r:id="rId821" display="..\01_DOCUMENT_SETS\ST-048-EUR-08\03_Label.docx" xr:uid="{011B9335-4ACF-43EF-8063-D639B340DCFE}"/>
    <hyperlink ref="M107" r:id="rId822" display="..\01_DOCUMENT_SETS\ST-048-EUR-08\03_Label.pdf" xr:uid="{A3C6BA2F-B34F-457D-B001-79ABB4279FEC}"/>
    <hyperlink ref="O107" r:id="rId823" display="..\01_DOCUMENT_SETS\ST-048-EUR-08\04_Shipment_Statement.docx" xr:uid="{B590E055-C554-478A-A77A-B04A91AC49A0}"/>
    <hyperlink ref="P107" r:id="rId824" display="..\01_DOCUMENT_SETS\ST-048-EUR-08\04_Shipment_Statement.pdf" xr:uid="{9F020CDA-2C4E-4208-97A7-6453F773DA4D}"/>
    <hyperlink ref="F108" r:id="rId825" display="..\01_DOCUMENT_SETS\ST-048-EUR-09\01_Technical_File.docx" xr:uid="{59B6E91B-9C1F-4B69-B077-5438D6E86310}"/>
    <hyperlink ref="G108" r:id="rId826" display="..\01_DOCUMENT_SETS\ST-048-EUR-09\01_Technical_File.pdf" xr:uid="{48931573-CE2C-4BBE-A259-5CC169197570}"/>
    <hyperlink ref="I108" r:id="rId827" display="..\01_DOCUMENT_SETS\ST-048-EUR-09\02_EU_DoC.docx" xr:uid="{2F47DE9D-CD4E-440B-A6C7-AA1573785788}"/>
    <hyperlink ref="J108" r:id="rId828" display="..\01_DOCUMENT_SETS\ST-048-EUR-09\02_EU_DoC.pdf" xr:uid="{DE1DE91B-D8FC-46CA-98D1-858BD78B2B15}"/>
    <hyperlink ref="L108" r:id="rId829" display="..\01_DOCUMENT_SETS\ST-048-EUR-09\03_Label.docx" xr:uid="{BF524080-C29E-4C32-8C60-2CAB37B699B3}"/>
    <hyperlink ref="M108" r:id="rId830" display="..\01_DOCUMENT_SETS\ST-048-EUR-09\03_Label.pdf" xr:uid="{32CB0B40-70DB-4DDD-89BC-3A4C70900A6B}"/>
    <hyperlink ref="O108" r:id="rId831" display="..\01_DOCUMENT_SETS\ST-048-EUR-09\04_Shipment_Statement.docx" xr:uid="{27AA15F2-524F-46D3-BA88-91514E749337}"/>
    <hyperlink ref="P108" r:id="rId832" display="..\01_DOCUMENT_SETS\ST-048-EUR-09\04_Shipment_Statement.pdf" xr:uid="{8287787A-5594-4C4A-9B4C-34A6978292CB}"/>
    <hyperlink ref="F109" r:id="rId833" display="..\01_DOCUMENT_SETS\ST-048-EUR-10\01_Technical_File.docx" xr:uid="{DB08EC07-457F-4825-8865-EEF866A22064}"/>
    <hyperlink ref="G109" r:id="rId834" display="..\01_DOCUMENT_SETS\ST-048-EUR-10\01_Technical_File.pdf" xr:uid="{E36EACBD-99F6-440E-92C9-80C4A3448FCB}"/>
    <hyperlink ref="I109" r:id="rId835" display="..\01_DOCUMENT_SETS\ST-048-EUR-10\02_EU_DoC.docx" xr:uid="{7E45A384-1263-43E1-A14E-EE3C2CE4434C}"/>
    <hyperlink ref="J109" r:id="rId836" display="..\01_DOCUMENT_SETS\ST-048-EUR-10\02_EU_DoC.pdf" xr:uid="{0BF6F150-6383-449D-8141-2DE0DEF64E22}"/>
    <hyperlink ref="L109" r:id="rId837" display="..\01_DOCUMENT_SETS\ST-048-EUR-10\03_Label.docx" xr:uid="{B8841C69-CF7F-403F-874C-7C7610FCDDCB}"/>
    <hyperlink ref="M109" r:id="rId838" display="..\01_DOCUMENT_SETS\ST-048-EUR-10\03_Label.pdf" xr:uid="{7569C798-E5AC-449A-9C88-4A2DDE6D0CB6}"/>
    <hyperlink ref="O109" r:id="rId839" display="..\01_DOCUMENT_SETS\ST-048-EUR-10\04_Shipment_Statement.docx" xr:uid="{0EFF29BF-764A-4838-A546-63792033CA99}"/>
    <hyperlink ref="P109" r:id="rId840" display="..\01_DOCUMENT_SETS\ST-048-EUR-10\04_Shipment_Statement.pdf" xr:uid="{525CA0E1-4682-43BD-A3E9-6FAAABBF2224}"/>
    <hyperlink ref="F110" r:id="rId841" display="..\01_DOCUMENT_SETS\ST-048-EUR-11\01_Technical_File.docx" xr:uid="{615D5100-A4F5-42F8-8F88-45FB7F01EFC3}"/>
    <hyperlink ref="G110" r:id="rId842" display="..\01_DOCUMENT_SETS\ST-048-EUR-11\01_Technical_File.pdf" xr:uid="{4206A8BD-AE80-4106-BE3C-5563A9A3B06F}"/>
    <hyperlink ref="I110" r:id="rId843" display="..\01_DOCUMENT_SETS\ST-048-EUR-11\02_EU_DoC.docx" xr:uid="{DA7BF3D4-5C05-4B3E-B514-29F43F5B08CC}"/>
    <hyperlink ref="J110" r:id="rId844" display="..\01_DOCUMENT_SETS\ST-048-EUR-11\02_EU_DoC.pdf" xr:uid="{982CAB4D-6BA6-4EBA-B5BF-260B61539464}"/>
    <hyperlink ref="L110" r:id="rId845" display="..\01_DOCUMENT_SETS\ST-048-EUR-11\03_Label.docx" xr:uid="{B6141175-25B4-430B-BDA0-69C444E41F78}"/>
    <hyperlink ref="M110" r:id="rId846" display="..\01_DOCUMENT_SETS\ST-048-EUR-11\03_Label.pdf" xr:uid="{26A09FE1-627B-4CF0-9DD0-2B7BD50A9CEE}"/>
    <hyperlink ref="O110" r:id="rId847" display="..\01_DOCUMENT_SETS\ST-048-EUR-11\04_Shipment_Statement.docx" xr:uid="{073FBFE5-F9D6-4C07-A0DA-0D3FEA4B0E8D}"/>
    <hyperlink ref="P110" r:id="rId848" display="..\01_DOCUMENT_SETS\ST-048-EUR-11\04_Shipment_Statement.pdf" xr:uid="{7CD85481-5515-4CE5-947A-EC5A8DFDA4C3}"/>
    <hyperlink ref="F111" r:id="rId849" display="..\01_DOCUMENT_SETS\ST-048-EUR-12\01_Technical_File.docx" xr:uid="{4F839F18-8098-429D-86BD-3F6A9F975771}"/>
    <hyperlink ref="G111" r:id="rId850" display="..\01_DOCUMENT_SETS\ST-048-EUR-12\01_Technical_File.pdf" xr:uid="{1A316204-021F-49EB-9FA7-78F6C833AD57}"/>
    <hyperlink ref="I111" r:id="rId851" display="..\01_DOCUMENT_SETS\ST-048-EUR-12\02_EU_DoC.docx" xr:uid="{E879EC4E-FCD0-4280-A99E-4118A8F37944}"/>
    <hyperlink ref="J111" r:id="rId852" display="..\01_DOCUMENT_SETS\ST-048-EUR-12\02_EU_DoC.pdf" xr:uid="{DF200EF1-8C16-42A4-9131-44B6AD66D0BD}"/>
    <hyperlink ref="L111" r:id="rId853" display="..\01_DOCUMENT_SETS\ST-048-EUR-12\03_Label.docx" xr:uid="{0C216506-A3DE-48E8-9061-CD6B050AE441}"/>
    <hyperlink ref="M111" r:id="rId854" display="..\01_DOCUMENT_SETS\ST-048-EUR-12\03_Label.pdf" xr:uid="{41A36A3D-F5AF-47D1-85E7-82B930031784}"/>
    <hyperlink ref="O111" r:id="rId855" display="..\01_DOCUMENT_SETS\ST-048-EUR-12\04_Shipment_Statement.docx" xr:uid="{FE6C99B3-5902-4292-84D4-F0A615A3C858}"/>
    <hyperlink ref="P111" r:id="rId856" display="..\01_DOCUMENT_SETS\ST-048-EUR-12\04_Shipment_Statement.pdf" xr:uid="{8D84D486-A775-4326-A84B-E8CDE8F19B83}"/>
    <hyperlink ref="F112" r:id="rId857" display="..\01_DOCUMENT_SETS\ST-048-STD-01\01_Technical_File.docx" xr:uid="{84F605A3-2F17-456F-AE3F-77458D0F4BBF}"/>
    <hyperlink ref="G112" r:id="rId858" display="..\01_DOCUMENT_SETS\ST-048-STD-01\01_Technical_File.pdf" xr:uid="{9204B10F-F24F-488C-AB11-54513C467B32}"/>
    <hyperlink ref="I112" r:id="rId859" display="..\01_DOCUMENT_SETS\ST-048-STD-01\02_EU_DoC.docx" xr:uid="{0E3ACB08-9803-4C26-BCAE-C5339FC9131F}"/>
    <hyperlink ref="J112" r:id="rId860" display="..\01_DOCUMENT_SETS\ST-048-STD-01\02_EU_DoC.pdf" xr:uid="{D1A2897E-0425-4650-A14D-8903A4B2AB73}"/>
    <hyperlink ref="L112" r:id="rId861" display="..\01_DOCUMENT_SETS\ST-048-STD-01\03_Label.docx" xr:uid="{370DD68B-90EB-4524-8E13-94F7E435B362}"/>
    <hyperlink ref="M112" r:id="rId862" display="..\01_DOCUMENT_SETS\ST-048-STD-01\03_Label.pdf" xr:uid="{6CB5FCBA-32EC-4EC9-875C-38FADB74EEB1}"/>
    <hyperlink ref="O112" r:id="rId863" display="..\01_DOCUMENT_SETS\ST-048-STD-01\04_Shipment_Statement.docx" xr:uid="{70A05A14-2D1A-4E6D-9879-117DE9DA3582}"/>
    <hyperlink ref="P112" r:id="rId864" display="..\01_DOCUMENT_SETS\ST-048-STD-01\04_Shipment_Statement.pdf" xr:uid="{0438FEEF-FE10-4EA8-A404-5FF9A27E4FDC}"/>
    <hyperlink ref="F113" r:id="rId865" display="..\01_DOCUMENT_SETS\ST-048-STD-02\01_Technical_File.docx" xr:uid="{C9EC015B-6F22-43D1-BEF7-14A061DB0C7B}"/>
    <hyperlink ref="G113" r:id="rId866" display="..\01_DOCUMENT_SETS\ST-048-STD-02\01_Technical_File.pdf" xr:uid="{7116CF8D-7960-4F8C-AA89-6EDDD1E26D3B}"/>
    <hyperlink ref="I113" r:id="rId867" display="..\01_DOCUMENT_SETS\ST-048-STD-02\02_EU_DoC.docx" xr:uid="{614389F9-F765-4524-9174-FF903CAEDBE4}"/>
    <hyperlink ref="J113" r:id="rId868" display="..\01_DOCUMENT_SETS\ST-048-STD-02\02_EU_DoC.pdf" xr:uid="{B3D474A5-6E20-4298-8592-56D294E70314}"/>
    <hyperlink ref="L113" r:id="rId869" display="..\01_DOCUMENT_SETS\ST-048-STD-02\03_Label.docx" xr:uid="{2F8B3EBE-567E-4677-B6A2-C9DB259DAC29}"/>
    <hyperlink ref="M113" r:id="rId870" display="..\01_DOCUMENT_SETS\ST-048-STD-02\03_Label.pdf" xr:uid="{3A16186B-CE58-4E5D-BCFC-D6A735105FCC}"/>
    <hyperlink ref="O113" r:id="rId871" display="..\01_DOCUMENT_SETS\ST-048-STD-02\04_Shipment_Statement.docx" xr:uid="{81C16F76-DDC7-40F3-8326-94A92C96F5B1}"/>
    <hyperlink ref="P113" r:id="rId872" display="..\01_DOCUMENT_SETS\ST-048-STD-02\04_Shipment_Statement.pdf" xr:uid="{31F80F0D-A4A7-4B2E-8490-AC4E075C3338}"/>
    <hyperlink ref="F114" r:id="rId873" display="..\01_DOCUMENT_SETS\ST-048-STD-03\01_Technical_File.docx" xr:uid="{931D062F-BFB0-4751-AD0C-34AEEE64E2F5}"/>
    <hyperlink ref="G114" r:id="rId874" display="..\01_DOCUMENT_SETS\ST-048-STD-03\01_Technical_File.pdf" xr:uid="{4EC699C4-9072-463A-8C72-703D5500016E}"/>
    <hyperlink ref="I114" r:id="rId875" display="..\01_DOCUMENT_SETS\ST-048-STD-03\02_EU_DoC.docx" xr:uid="{033CDD99-2056-4DD6-A1C5-88C58AF85D57}"/>
    <hyperlink ref="J114" r:id="rId876" display="..\01_DOCUMENT_SETS\ST-048-STD-03\02_EU_DoC.pdf" xr:uid="{3389975D-CBB7-49E8-8251-6621B1A77EAF}"/>
    <hyperlink ref="L114" r:id="rId877" display="..\01_DOCUMENT_SETS\ST-048-STD-03\03_Label.docx" xr:uid="{5DFCE654-9F76-4F43-9154-A75D9EA596F8}"/>
    <hyperlink ref="M114" r:id="rId878" display="..\01_DOCUMENT_SETS\ST-048-STD-03\03_Label.pdf" xr:uid="{8358267F-B6A4-430D-B7EF-B91874E09928}"/>
    <hyperlink ref="O114" r:id="rId879" display="..\01_DOCUMENT_SETS\ST-048-STD-03\04_Shipment_Statement.docx" xr:uid="{34013FCE-DBC7-41FC-8EF5-8F7E2D325020}"/>
    <hyperlink ref="P114" r:id="rId880" display="..\01_DOCUMENT_SETS\ST-048-STD-03\04_Shipment_Statement.pdf" xr:uid="{679F9AEB-4E78-48A6-8D14-D74C59A6E534}"/>
    <hyperlink ref="F115" r:id="rId881" display="..\01_DOCUMENT_SETS\ST-048-STD-04\01_Technical_File.docx" xr:uid="{CDF4BFA3-4A97-477B-9ADB-548E26D91742}"/>
    <hyperlink ref="G115" r:id="rId882" display="..\01_DOCUMENT_SETS\ST-048-STD-04\01_Technical_File.pdf" xr:uid="{6DB7F4E5-45A9-4ED5-970D-41C2BFB45D62}"/>
    <hyperlink ref="I115" r:id="rId883" display="..\01_DOCUMENT_SETS\ST-048-STD-04\02_EU_DoC.docx" xr:uid="{DC6A24E4-7ED5-4BCB-9945-9F0A3D3EBAC2}"/>
    <hyperlink ref="J115" r:id="rId884" display="..\01_DOCUMENT_SETS\ST-048-STD-04\02_EU_DoC.pdf" xr:uid="{25BFC02F-777F-48B7-8CBD-13C4F133560C}"/>
    <hyperlink ref="L115" r:id="rId885" display="..\01_DOCUMENT_SETS\ST-048-STD-04\03_Label.docx" xr:uid="{009C4621-D3BC-4643-975E-4691B2FBAB13}"/>
    <hyperlink ref="M115" r:id="rId886" display="..\01_DOCUMENT_SETS\ST-048-STD-04\03_Label.pdf" xr:uid="{173C1844-AEBA-4E67-97DF-D8F9B55270AA}"/>
    <hyperlink ref="O115" r:id="rId887" display="..\01_DOCUMENT_SETS\ST-048-STD-04\04_Shipment_Statement.docx" xr:uid="{8E83741A-CBC1-4522-B7CD-88E45A17078D}"/>
    <hyperlink ref="P115" r:id="rId888" display="..\01_DOCUMENT_SETS\ST-048-STD-04\04_Shipment_Statement.pdf" xr:uid="{6EAB5926-C137-415B-8C6A-8D0C588E1728}"/>
    <hyperlink ref="F116" r:id="rId889" display="..\01_DOCUMENT_SETS\ST-048-STD-05\01_Technical_File.docx" xr:uid="{BEA0DBA5-6BFC-4B7E-B3A9-E9FDFF97D750}"/>
    <hyperlink ref="G116" r:id="rId890" display="..\01_DOCUMENT_SETS\ST-048-STD-05\01_Technical_File.pdf" xr:uid="{40FEA440-3A1B-46BE-B4E8-070B4B1E57D8}"/>
    <hyperlink ref="I116" r:id="rId891" display="..\01_DOCUMENT_SETS\ST-048-STD-05\02_EU_DoC.docx" xr:uid="{E7B9D16C-DE61-4A29-B098-8BCF5DD573A1}"/>
    <hyperlink ref="J116" r:id="rId892" display="..\01_DOCUMENT_SETS\ST-048-STD-05\02_EU_DoC.pdf" xr:uid="{3AC67430-2800-44C9-9F7D-9042396EE98A}"/>
    <hyperlink ref="L116" r:id="rId893" display="..\01_DOCUMENT_SETS\ST-048-STD-05\03_Label.docx" xr:uid="{5D6A38FA-0DE9-4C01-93B5-4B97EA526257}"/>
    <hyperlink ref="M116" r:id="rId894" display="..\01_DOCUMENT_SETS\ST-048-STD-05\03_Label.pdf" xr:uid="{9D507FDF-F455-4D59-9156-7F62FFF7B172}"/>
    <hyperlink ref="O116" r:id="rId895" display="..\01_DOCUMENT_SETS\ST-048-STD-05\04_Shipment_Statement.docx" xr:uid="{DE45490A-A76D-464A-A557-7DBD5905F2CD}"/>
    <hyperlink ref="P116" r:id="rId896" display="..\01_DOCUMENT_SETS\ST-048-STD-05\04_Shipment_Statement.pdf" xr:uid="{06C6E1CF-A3A8-4A1A-86C0-02009D18D85E}"/>
    <hyperlink ref="F117" r:id="rId897" display="..\01_DOCUMENT_SETS\ST-048-STD-06\01_Technical_File.docx" xr:uid="{0CE506FA-8D8D-4333-9FE9-5C432B39DD95}"/>
    <hyperlink ref="G117" r:id="rId898" display="..\01_DOCUMENT_SETS\ST-048-STD-06\01_Technical_File.pdf" xr:uid="{A8D140C0-4B12-4A45-9185-FDC6EF14AD3E}"/>
    <hyperlink ref="I117" r:id="rId899" display="..\01_DOCUMENT_SETS\ST-048-STD-06\02_EU_DoC.docx" xr:uid="{9475A049-0887-455F-9A79-AF78F22C9627}"/>
    <hyperlink ref="J117" r:id="rId900" display="..\01_DOCUMENT_SETS\ST-048-STD-06\02_EU_DoC.pdf" xr:uid="{E2B86456-12AA-448B-B34C-D665AC8E9D3A}"/>
    <hyperlink ref="L117" r:id="rId901" display="..\01_DOCUMENT_SETS\ST-048-STD-06\03_Label.docx" xr:uid="{DB90D4F5-5F62-4266-B22E-FDA8834AD17C}"/>
    <hyperlink ref="M117" r:id="rId902" display="..\01_DOCUMENT_SETS\ST-048-STD-06\03_Label.pdf" xr:uid="{67CA6DF8-5900-4755-872C-9C9D00FA0026}"/>
    <hyperlink ref="O117" r:id="rId903" display="..\01_DOCUMENT_SETS\ST-048-STD-06\04_Shipment_Statement.docx" xr:uid="{259E8361-B669-49E1-8254-37B573C06926}"/>
    <hyperlink ref="P117" r:id="rId904" display="..\01_DOCUMENT_SETS\ST-048-STD-06\04_Shipment_Statement.pdf" xr:uid="{0E2A2589-BD88-4F7A-9787-E105E0680BD8}"/>
    <hyperlink ref="F118" r:id="rId905" display="..\01_DOCUMENT_SETS\ST-048-STD-07\01_Technical_File.docx" xr:uid="{1B5E8E65-C394-468A-8290-20815C2DE0E8}"/>
    <hyperlink ref="G118" r:id="rId906" display="..\01_DOCUMENT_SETS\ST-048-STD-07\01_Technical_File.pdf" xr:uid="{B42E801C-3F79-4D9B-801F-AB5172A39BA4}"/>
    <hyperlink ref="I118" r:id="rId907" display="..\01_DOCUMENT_SETS\ST-048-STD-07\02_EU_DoC.docx" xr:uid="{091FDCAC-BD98-4E62-B414-FB2607CDC150}"/>
    <hyperlink ref="J118" r:id="rId908" display="..\01_DOCUMENT_SETS\ST-048-STD-07\02_EU_DoC.pdf" xr:uid="{60781618-A6B2-4540-8668-080B265DF15A}"/>
    <hyperlink ref="L118" r:id="rId909" display="..\01_DOCUMENT_SETS\ST-048-STD-07\03_Label.docx" xr:uid="{4127C597-73D4-486B-A32B-E7364348B425}"/>
    <hyperlink ref="M118" r:id="rId910" display="..\01_DOCUMENT_SETS\ST-048-STD-07\03_Label.pdf" xr:uid="{F75E847E-AE54-4761-9C8D-BC4DA6F08DEA}"/>
    <hyperlink ref="O118" r:id="rId911" display="..\01_DOCUMENT_SETS\ST-048-STD-07\04_Shipment_Statement.docx" xr:uid="{D0829EC6-4EDD-42B1-AFE0-B60624E84714}"/>
    <hyperlink ref="P118" r:id="rId912" display="..\01_DOCUMENT_SETS\ST-048-STD-07\04_Shipment_Statement.pdf" xr:uid="{9BAAFDE0-F1D9-4882-B404-645388376F2B}"/>
    <hyperlink ref="F119" r:id="rId913" display="..\01_DOCUMENT_SETS\ST-048-STD-08\01_Technical_File.docx" xr:uid="{7D8CE224-31B4-47DB-AA46-9F9D68D90988}"/>
    <hyperlink ref="G119" r:id="rId914" display="..\01_DOCUMENT_SETS\ST-048-STD-08\01_Technical_File.pdf" xr:uid="{05033F83-56C7-47B2-8769-FCE396C2E948}"/>
    <hyperlink ref="I119" r:id="rId915" display="..\01_DOCUMENT_SETS\ST-048-STD-08\02_EU_DoC.docx" xr:uid="{DBDF3A5D-4543-4AC8-9E87-D2D96106949D}"/>
    <hyperlink ref="J119" r:id="rId916" display="..\01_DOCUMENT_SETS\ST-048-STD-08\02_EU_DoC.pdf" xr:uid="{440CAFE5-CDD2-4993-805E-5882203DA1D1}"/>
    <hyperlink ref="L119" r:id="rId917" display="..\01_DOCUMENT_SETS\ST-048-STD-08\03_Label.docx" xr:uid="{F7F52097-5F41-45A6-9605-4FE9A7CC6708}"/>
    <hyperlink ref="M119" r:id="rId918" display="..\01_DOCUMENT_SETS\ST-048-STD-08\03_Label.pdf" xr:uid="{5C44C0BE-3902-46FC-81E4-83E439D299B0}"/>
    <hyperlink ref="O119" r:id="rId919" display="..\01_DOCUMENT_SETS\ST-048-STD-08\04_Shipment_Statement.docx" xr:uid="{205CCAC3-F029-4CE4-B6C3-A8AA12D09B98}"/>
    <hyperlink ref="P119" r:id="rId920" display="..\01_DOCUMENT_SETS\ST-048-STD-08\04_Shipment_Statement.pdf" xr:uid="{EEE5A296-6F8F-49D3-B071-D7B87D9A39F0}"/>
    <hyperlink ref="F120" r:id="rId921" display="..\01_DOCUMENT_SETS\ST-048-STD-09\01_Technical_File.docx" xr:uid="{08EB4383-2750-4B79-82D7-7C80245FFF83}"/>
    <hyperlink ref="G120" r:id="rId922" display="..\01_DOCUMENT_SETS\ST-048-STD-09\01_Technical_File.pdf" xr:uid="{B0D5A69F-328D-4D9D-9CDC-793CC294E168}"/>
    <hyperlink ref="I120" r:id="rId923" display="..\01_DOCUMENT_SETS\ST-048-STD-09\02_EU_DoC.docx" xr:uid="{B9EF368E-F718-4A19-A317-A426F6AEC441}"/>
    <hyperlink ref="J120" r:id="rId924" display="..\01_DOCUMENT_SETS\ST-048-STD-09\02_EU_DoC.pdf" xr:uid="{BFD38524-EAE0-4D66-AD39-5FDC0CBAFA71}"/>
    <hyperlink ref="L120" r:id="rId925" display="..\01_DOCUMENT_SETS\ST-048-STD-09\03_Label.docx" xr:uid="{F6B0B9DE-3D52-4F3D-AFFC-CAE1F0BAC41B}"/>
    <hyperlink ref="M120" r:id="rId926" display="..\01_DOCUMENT_SETS\ST-048-STD-09\03_Label.pdf" xr:uid="{0AD68EE7-6437-4F80-A1B8-3C10C7D19D5F}"/>
    <hyperlink ref="O120" r:id="rId927" display="..\01_DOCUMENT_SETS\ST-048-STD-09\04_Shipment_Statement.docx" xr:uid="{5B4CE34D-4646-4CC8-945D-0245DA30F0D5}"/>
    <hyperlink ref="P120" r:id="rId928" display="..\01_DOCUMENT_SETS\ST-048-STD-09\04_Shipment_Statement.pdf" xr:uid="{2B5B6430-B5FC-4F7C-B6BB-5996ECC5A2F1}"/>
    <hyperlink ref="F121" r:id="rId929" display="..\01_DOCUMENT_SETS\ST-051-EUR-01\01_Technical_File.docx" xr:uid="{A1AC7B4F-FCA2-4D36-B917-AAC5E2D16B62}"/>
    <hyperlink ref="G121" r:id="rId930" display="..\01_DOCUMENT_SETS\ST-051-EUR-01\01_Technical_File.pdf" xr:uid="{071B7475-D74F-4A71-8C5C-265804FB14D6}"/>
    <hyperlink ref="I121" r:id="rId931" display="..\01_DOCUMENT_SETS\ST-051-EUR-01\02_EU_DoC.docx" xr:uid="{EFE46745-A54E-4FB5-85E2-773566B10F40}"/>
    <hyperlink ref="J121" r:id="rId932" display="..\01_DOCUMENT_SETS\ST-051-EUR-01\02_EU_DoC.pdf" xr:uid="{4333F104-77DE-489F-8367-46807E228E41}"/>
    <hyperlink ref="L121" r:id="rId933" display="..\01_DOCUMENT_SETS\ST-051-EUR-01\03_Label.docx" xr:uid="{1CC632DE-7064-47FF-9DAE-DF4DA1E31118}"/>
    <hyperlink ref="M121" r:id="rId934" display="..\01_DOCUMENT_SETS\ST-051-EUR-01\03_Label.pdf" xr:uid="{E2C0BAA7-58CA-4512-A55F-4A5B9CF20AC4}"/>
    <hyperlink ref="O121" r:id="rId935" display="..\01_DOCUMENT_SETS\ST-051-EUR-01\04_Shipment_Statement.docx" xr:uid="{1695265A-FEDD-463A-9101-B10E8E62C05A}"/>
    <hyperlink ref="P121" r:id="rId936" display="..\01_DOCUMENT_SETS\ST-051-EUR-01\04_Shipment_Statement.pdf" xr:uid="{6345DBD6-7C4B-4996-8B15-3C636F7400BA}"/>
    <hyperlink ref="F122" r:id="rId937" display="..\01_DOCUMENT_SETS\ST-051-EUR-02\01_Technical_File.docx" xr:uid="{84BE17B5-877C-4DDF-B0BC-5CC85A4895E0}"/>
    <hyperlink ref="G122" r:id="rId938" display="..\01_DOCUMENT_SETS\ST-051-EUR-02\01_Technical_File.pdf" xr:uid="{3351DB18-C279-4170-B627-1E7C3EFF68BF}"/>
    <hyperlink ref="I122" r:id="rId939" display="..\01_DOCUMENT_SETS\ST-051-EUR-02\02_EU_DoC.docx" xr:uid="{647B0086-E42F-424F-8450-DDC0BD1CE419}"/>
    <hyperlink ref="J122" r:id="rId940" display="..\01_DOCUMENT_SETS\ST-051-EUR-02\02_EU_DoC.pdf" xr:uid="{309D8F19-A35F-4EA9-B8FB-5C2CEFE56853}"/>
    <hyperlink ref="L122" r:id="rId941" display="..\01_DOCUMENT_SETS\ST-051-EUR-02\03_Label.docx" xr:uid="{0B83710F-D96D-4E93-923F-A6E7BACC37DF}"/>
    <hyperlink ref="M122" r:id="rId942" display="..\01_DOCUMENT_SETS\ST-051-EUR-02\03_Label.pdf" xr:uid="{EE33CA4C-1ECA-45F4-8B72-37CAB36561B4}"/>
    <hyperlink ref="O122" r:id="rId943" display="..\01_DOCUMENT_SETS\ST-051-EUR-02\04_Shipment_Statement.docx" xr:uid="{B824FCF6-E98E-49BF-B43F-CBF1A12EF493}"/>
    <hyperlink ref="P122" r:id="rId944" display="..\01_DOCUMENT_SETS\ST-051-EUR-02\04_Shipment_Statement.pdf" xr:uid="{648FCB39-14FB-4719-A873-E2839EAD6A8F}"/>
    <hyperlink ref="F123" r:id="rId945" display="..\01_DOCUMENT_SETS\ST-051-EUR-03\01_Technical_File.docx" xr:uid="{CABCC9FD-CC73-4713-902C-EAE6271B2571}"/>
    <hyperlink ref="G123" r:id="rId946" display="..\01_DOCUMENT_SETS\ST-051-EUR-03\01_Technical_File.pdf" xr:uid="{27636CA4-121C-4CE2-A2AD-B7D6F1F07599}"/>
    <hyperlink ref="I123" r:id="rId947" display="..\01_DOCUMENT_SETS\ST-051-EUR-03\02_EU_DoC.docx" xr:uid="{87747031-0D4B-48A6-9386-01E1988992B8}"/>
    <hyperlink ref="J123" r:id="rId948" display="..\01_DOCUMENT_SETS\ST-051-EUR-03\02_EU_DoC.pdf" xr:uid="{7A2FCA45-F6CF-4E38-A5C9-A828702AFA00}"/>
    <hyperlink ref="L123" r:id="rId949" display="..\01_DOCUMENT_SETS\ST-051-EUR-03\03_Label.docx" xr:uid="{FDBB8F75-B470-497D-BA61-809016EA1F96}"/>
    <hyperlink ref="M123" r:id="rId950" display="..\01_DOCUMENT_SETS\ST-051-EUR-03\03_Label.pdf" xr:uid="{F819E0A9-A8D0-4E5B-A9EA-8EA8281F5D17}"/>
    <hyperlink ref="O123" r:id="rId951" display="..\01_DOCUMENT_SETS\ST-051-EUR-03\04_Shipment_Statement.docx" xr:uid="{B6148BBB-CCD3-4661-8D94-0D1A70351A93}"/>
    <hyperlink ref="P123" r:id="rId952" display="..\01_DOCUMENT_SETS\ST-051-EUR-03\04_Shipment_Statement.pdf" xr:uid="{EDCDB1DA-449C-4F6E-BF65-7D160D44C613}"/>
    <hyperlink ref="F124" r:id="rId953" display="..\01_DOCUMENT_SETS\ST-051-EUR-04\01_Technical_File.docx" xr:uid="{17C43466-ED83-4FFD-9CAB-B658B2B6C3A1}"/>
    <hyperlink ref="G124" r:id="rId954" display="..\01_DOCUMENT_SETS\ST-051-EUR-04\01_Technical_File.pdf" xr:uid="{43970D96-4EA6-4A1B-B043-3698880676BD}"/>
    <hyperlink ref="I124" r:id="rId955" display="..\01_DOCUMENT_SETS\ST-051-EUR-04\02_EU_DoC.docx" xr:uid="{4FA6140A-1525-454C-834C-2F41FB751F63}"/>
    <hyperlink ref="J124" r:id="rId956" display="..\01_DOCUMENT_SETS\ST-051-EUR-04\02_EU_DoC.pdf" xr:uid="{23CB651A-0E9D-46C9-AD7B-D1883E91325F}"/>
    <hyperlink ref="L124" r:id="rId957" display="..\01_DOCUMENT_SETS\ST-051-EUR-04\03_Label.docx" xr:uid="{13F8433A-ED46-486C-8AC2-154AF4EE787D}"/>
    <hyperlink ref="M124" r:id="rId958" display="..\01_DOCUMENT_SETS\ST-051-EUR-04\03_Label.pdf" xr:uid="{F76F9B34-D433-464D-865B-0E358EB995D9}"/>
    <hyperlink ref="O124" r:id="rId959" display="..\01_DOCUMENT_SETS\ST-051-EUR-04\04_Shipment_Statement.docx" xr:uid="{C82E3BB4-B077-4D05-8105-91AF9227C320}"/>
    <hyperlink ref="P124" r:id="rId960" display="..\01_DOCUMENT_SETS\ST-051-EUR-04\04_Shipment_Statement.pdf" xr:uid="{6652F3A2-0174-4A62-A9A4-5BEFBC1BAAFA}"/>
    <hyperlink ref="F125" r:id="rId961" display="..\01_DOCUMENT_SETS\ST-051-STD-01\01_Technical_File.docx" xr:uid="{61C29035-A4D7-46AD-8334-567AE1388083}"/>
    <hyperlink ref="G125" r:id="rId962" display="..\01_DOCUMENT_SETS\ST-051-STD-01\01_Technical_File.pdf" xr:uid="{E5F541A7-D4E2-459A-A5C0-098B9EFE4553}"/>
    <hyperlink ref="I125" r:id="rId963" display="..\01_DOCUMENT_SETS\ST-051-STD-01\02_EU_DoC.docx" xr:uid="{6C3435DD-FAC7-4F15-8470-142A2D330E4B}"/>
    <hyperlink ref="J125" r:id="rId964" display="..\01_DOCUMENT_SETS\ST-051-STD-01\02_EU_DoC.pdf" xr:uid="{6109635B-4972-4D01-9EA2-88356B076A63}"/>
    <hyperlink ref="L125" r:id="rId965" display="..\01_DOCUMENT_SETS\ST-051-STD-01\03_Label.docx" xr:uid="{21A23112-A8CC-4E22-9EE4-770422A1A209}"/>
    <hyperlink ref="M125" r:id="rId966" display="..\01_DOCUMENT_SETS\ST-051-STD-01\03_Label.pdf" xr:uid="{D06B424D-762F-4404-AAC1-6296C2AA167F}"/>
    <hyperlink ref="O125" r:id="rId967" display="..\01_DOCUMENT_SETS\ST-051-STD-01\04_Shipment_Statement.docx" xr:uid="{66809C1A-21F3-423E-8A5A-9DAD75F3273A}"/>
    <hyperlink ref="P125" r:id="rId968" display="..\01_DOCUMENT_SETS\ST-051-STD-01\04_Shipment_Statement.pdf" xr:uid="{13E6AF30-52EB-4D70-8B55-632FA52767F1}"/>
    <hyperlink ref="F126" r:id="rId969" display="..\01_DOCUMENT_SETS\ST-051-STD-02\01_Technical_File.docx" xr:uid="{EF806800-9CBC-432A-AB5E-2C2872266CB9}"/>
    <hyperlink ref="G126" r:id="rId970" display="..\01_DOCUMENT_SETS\ST-051-STD-02\01_Technical_File.pdf" xr:uid="{6DBBFBB9-CCE4-41E8-A3B3-ECC1BA0CF3B8}"/>
    <hyperlink ref="I126" r:id="rId971" display="..\01_DOCUMENT_SETS\ST-051-STD-02\02_EU_DoC.docx" xr:uid="{1C8BA2A8-E7B3-4EBF-98BF-6B2A1CC406C5}"/>
    <hyperlink ref="J126" r:id="rId972" display="..\01_DOCUMENT_SETS\ST-051-STD-02\02_EU_DoC.pdf" xr:uid="{B8B25990-7A7C-4C3E-A6C7-C2CA21E00FFE}"/>
    <hyperlink ref="L126" r:id="rId973" display="..\01_DOCUMENT_SETS\ST-051-STD-02\03_Label.docx" xr:uid="{C19949B5-AD5D-4321-8014-E096742311F5}"/>
    <hyperlink ref="M126" r:id="rId974" display="..\01_DOCUMENT_SETS\ST-051-STD-02\03_Label.pdf" xr:uid="{7D65BD93-9789-4174-8769-BD9C6E03E7B8}"/>
    <hyperlink ref="O126" r:id="rId975" display="..\01_DOCUMENT_SETS\ST-051-STD-02\04_Shipment_Statement.docx" xr:uid="{C9E7282B-983C-47BE-A9E6-2E02D5CCD3F0}"/>
    <hyperlink ref="P126" r:id="rId976" display="..\01_DOCUMENT_SETS\ST-051-STD-02\04_Shipment_Statement.pdf" xr:uid="{589DD2AF-14D4-4599-B869-22734A17CBB4}"/>
    <hyperlink ref="F127" r:id="rId977" display="..\01_DOCUMENT_SETS\ST-051-STD-03\01_Technical_File.docx" xr:uid="{2726FBD1-88F1-4B35-BFD1-781EEADA4CE7}"/>
    <hyperlink ref="G127" r:id="rId978" display="..\01_DOCUMENT_SETS\ST-051-STD-03\01_Technical_File.pdf" xr:uid="{2CFC0780-C379-46C4-8538-DA444233FD9D}"/>
    <hyperlink ref="I127" r:id="rId979" display="..\01_DOCUMENT_SETS\ST-051-STD-03\02_EU_DoC.docx" xr:uid="{7C84E02A-8AC6-4F5D-81CD-0A3F1196BE0E}"/>
    <hyperlink ref="J127" r:id="rId980" display="..\01_DOCUMENT_SETS\ST-051-STD-03\02_EU_DoC.pdf" xr:uid="{CC109A38-F2F7-453C-B031-8BE4A19182A7}"/>
    <hyperlink ref="L127" r:id="rId981" display="..\01_DOCUMENT_SETS\ST-051-STD-03\03_Label.docx" xr:uid="{42A250B3-44D7-480D-BFB3-84EEC57ECB41}"/>
    <hyperlink ref="M127" r:id="rId982" display="..\01_DOCUMENT_SETS\ST-051-STD-03\03_Label.pdf" xr:uid="{1E5A65BB-4111-4B01-A3A3-E72BCDF09129}"/>
    <hyperlink ref="O127" r:id="rId983" display="..\01_DOCUMENT_SETS\ST-051-STD-03\04_Shipment_Statement.docx" xr:uid="{EE387655-1486-4A1F-88E3-92D9C3D7766C}"/>
    <hyperlink ref="P127" r:id="rId984" display="..\01_DOCUMENT_SETS\ST-051-STD-03\04_Shipment_Statement.pdf" xr:uid="{505354FB-645C-4182-835F-733961BF39D5}"/>
    <hyperlink ref="F128" r:id="rId985" display="..\01_DOCUMENT_SETS\ST-051-STD-04\01_Technical_File.docx" xr:uid="{E1196435-D8EA-42C2-B1DF-629021FD6FAC}"/>
    <hyperlink ref="G128" r:id="rId986" display="..\01_DOCUMENT_SETS\ST-051-STD-04\01_Technical_File.pdf" xr:uid="{F1010FC1-1897-4D73-A03B-2B646C86EB40}"/>
    <hyperlink ref="I128" r:id="rId987" display="..\01_DOCUMENT_SETS\ST-051-STD-04\02_EU_DoC.docx" xr:uid="{07B3C490-03CB-4382-8CDC-99F66A5F1524}"/>
    <hyperlink ref="J128" r:id="rId988" display="..\01_DOCUMENT_SETS\ST-051-STD-04\02_EU_DoC.pdf" xr:uid="{7B5B9CF2-E341-4A87-BF61-8DAD49A53EE5}"/>
    <hyperlink ref="L128" r:id="rId989" display="..\01_DOCUMENT_SETS\ST-051-STD-04\03_Label.docx" xr:uid="{6A2ECDEA-F649-492A-9B29-7FE769E9D41F}"/>
    <hyperlink ref="M128" r:id="rId990" display="..\01_DOCUMENT_SETS\ST-051-STD-04\03_Label.pdf" xr:uid="{87E2DFB6-4891-4D20-A1DD-AA29C814F26D}"/>
    <hyperlink ref="O128" r:id="rId991" display="..\01_DOCUMENT_SETS\ST-051-STD-04\04_Shipment_Statement.docx" xr:uid="{A102253F-7DAD-42BD-A13A-CC79CE299639}"/>
    <hyperlink ref="P128" r:id="rId992" display="..\01_DOCUMENT_SETS\ST-051-STD-04\04_Shipment_Statement.pdf" xr:uid="{C874AA6E-BA77-4FE2-896D-69DFF3801C51}"/>
    <hyperlink ref="F129" r:id="rId993" display="..\01_DOCUMENT_SETS\ST-051-STD-05\01_Technical_File.docx" xr:uid="{CE45236E-1673-4ECD-A223-3F70DE46B6CB}"/>
    <hyperlink ref="G129" r:id="rId994" display="..\01_DOCUMENT_SETS\ST-051-STD-05\01_Technical_File.pdf" xr:uid="{FD2C62D7-C051-4C73-A9A7-AC5301081873}"/>
    <hyperlink ref="I129" r:id="rId995" display="..\01_DOCUMENT_SETS\ST-051-STD-05\02_EU_DoC.docx" xr:uid="{AC4C0BAF-7442-41E7-8F8C-B25190154AF0}"/>
    <hyperlink ref="J129" r:id="rId996" display="..\01_DOCUMENT_SETS\ST-051-STD-05\02_EU_DoC.pdf" xr:uid="{735A6B74-83B1-4F01-BB6A-CD98AD52A10F}"/>
    <hyperlink ref="L129" r:id="rId997" display="..\01_DOCUMENT_SETS\ST-051-STD-05\03_Label.docx" xr:uid="{52DC5076-8ECF-41D1-9C4A-DF56E5EA830A}"/>
    <hyperlink ref="M129" r:id="rId998" display="..\01_DOCUMENT_SETS\ST-051-STD-05\03_Label.pdf" xr:uid="{63FC2AD6-AB84-4055-8A5D-56EC28E844AC}"/>
    <hyperlink ref="O129" r:id="rId999" display="..\01_DOCUMENT_SETS\ST-051-STD-05\04_Shipment_Statement.docx" xr:uid="{9DB82C99-CD62-443D-8F2A-2BE721F676A3}"/>
    <hyperlink ref="P129" r:id="rId1000" display="..\01_DOCUMENT_SETS\ST-051-STD-05\04_Shipment_Statement.pdf" xr:uid="{AC34C0D3-2E28-4B89-B1B3-B168956A6D5E}"/>
    <hyperlink ref="F130" r:id="rId1001" display="..\01_DOCUMENT_SETS\ST-051-STD-06\01_Technical_File.docx" xr:uid="{491B927F-8679-4009-9E4F-390FFC085C5A}"/>
    <hyperlink ref="G130" r:id="rId1002" display="..\01_DOCUMENT_SETS\ST-051-STD-06\01_Technical_File.pdf" xr:uid="{A862532D-688F-4335-BDB2-2D9487C6BE5E}"/>
    <hyperlink ref="I130" r:id="rId1003" display="..\01_DOCUMENT_SETS\ST-051-STD-06\02_EU_DoC.docx" xr:uid="{AD4403C3-6F17-42C0-B67B-C696A46AFD1A}"/>
    <hyperlink ref="J130" r:id="rId1004" display="..\01_DOCUMENT_SETS\ST-051-STD-06\02_EU_DoC.pdf" xr:uid="{38336838-CD07-4015-8A8B-7ED05820B7B7}"/>
    <hyperlink ref="L130" r:id="rId1005" display="..\01_DOCUMENT_SETS\ST-051-STD-06\03_Label.docx" xr:uid="{18D02C40-9B07-4D85-B401-6AB53FE24CDA}"/>
    <hyperlink ref="M130" r:id="rId1006" display="..\01_DOCUMENT_SETS\ST-051-STD-06\03_Label.pdf" xr:uid="{91C8C7BE-9A50-48AE-907F-AEF960A7C86C}"/>
    <hyperlink ref="O130" r:id="rId1007" display="..\01_DOCUMENT_SETS\ST-051-STD-06\04_Shipment_Statement.docx" xr:uid="{07508BBE-9E3C-47CF-A981-BFD7DB0DE319}"/>
    <hyperlink ref="P130" r:id="rId1008" display="..\01_DOCUMENT_SETS\ST-051-STD-06\04_Shipment_Statement.pdf" xr:uid="{8948E3B0-7B37-4F7B-B3FA-A03C811B22D6}"/>
    <hyperlink ref="F131" r:id="rId1009" display="..\01_DOCUMENT_SETS\ST-051-STD-07\01_Technical_File.docx" xr:uid="{E93227B5-EA2F-4E6D-BF41-ED8AA77E4DD3}"/>
    <hyperlink ref="G131" r:id="rId1010" display="..\01_DOCUMENT_SETS\ST-051-STD-07\01_Technical_File.pdf" xr:uid="{C88E92AC-F708-463A-A3AA-C47A3A5739CB}"/>
    <hyperlink ref="I131" r:id="rId1011" display="..\01_DOCUMENT_SETS\ST-051-STD-07\02_EU_DoC.docx" xr:uid="{28421433-0912-44BD-8DE3-E7097A13D5BE}"/>
    <hyperlink ref="J131" r:id="rId1012" display="..\01_DOCUMENT_SETS\ST-051-STD-07\02_EU_DoC.pdf" xr:uid="{2A0E4A07-0563-4757-8086-38D58E03A685}"/>
    <hyperlink ref="L131" r:id="rId1013" display="..\01_DOCUMENT_SETS\ST-051-STD-07\03_Label.docx" xr:uid="{D101D7F8-BEA3-488D-9131-894916BE36AB}"/>
    <hyperlink ref="M131" r:id="rId1014" display="..\01_DOCUMENT_SETS\ST-051-STD-07\03_Label.pdf" xr:uid="{F1A84235-69A3-4860-9609-3AC0E0C6FC8A}"/>
    <hyperlink ref="O131" r:id="rId1015" display="..\01_DOCUMENT_SETS\ST-051-STD-07\04_Shipment_Statement.docx" xr:uid="{668AF1F6-2639-461D-AAB7-B46D621BAB18}"/>
    <hyperlink ref="P131" r:id="rId1016" display="..\01_DOCUMENT_SETS\ST-051-STD-07\04_Shipment_Statement.pdf" xr:uid="{36E7AD77-714E-425A-934E-D912BC6C02E4}"/>
    <hyperlink ref="F132" r:id="rId1017" display="..\01_DOCUMENT_SETS\ST-051-STD-08\01_Technical_File.docx" xr:uid="{8737869E-C02F-4629-8794-29903D1830B9}"/>
    <hyperlink ref="G132" r:id="rId1018" display="..\01_DOCUMENT_SETS\ST-051-STD-08\01_Technical_File.pdf" xr:uid="{942EE678-CC48-4276-9D6E-ACC7CE79ED15}"/>
    <hyperlink ref="I132" r:id="rId1019" display="..\01_DOCUMENT_SETS\ST-051-STD-08\02_EU_DoC.docx" xr:uid="{8CB3FD3B-D25C-4F2F-99A4-3883F5F0EBB5}"/>
    <hyperlink ref="J132" r:id="rId1020" display="..\01_DOCUMENT_SETS\ST-051-STD-08\02_EU_DoC.pdf" xr:uid="{CFBB185C-93FE-47D6-B5AD-47E5353113BC}"/>
    <hyperlink ref="L132" r:id="rId1021" display="..\01_DOCUMENT_SETS\ST-051-STD-08\03_Label.docx" xr:uid="{8C7EBAF7-7668-4D6E-9FA6-D7785964609A}"/>
    <hyperlink ref="M132" r:id="rId1022" display="..\01_DOCUMENT_SETS\ST-051-STD-08\03_Label.pdf" xr:uid="{90CEF69E-C7BA-4565-BB59-CA13ACA693EA}"/>
    <hyperlink ref="O132" r:id="rId1023" display="..\01_DOCUMENT_SETS\ST-051-STD-08\04_Shipment_Statement.docx" xr:uid="{1FB29648-5F50-48D1-BB65-7AA7385E7254}"/>
    <hyperlink ref="P132" r:id="rId1024" display="..\01_DOCUMENT_SETS\ST-051-STD-08\04_Shipment_Statement.pdf" xr:uid="{FB5EF65F-B5FF-4437-809D-E1453ED57914}"/>
    <hyperlink ref="F133" r:id="rId1025" display="..\01_DOCUMENT_SETS\ST-051-STD-09\01_Technical_File.docx" xr:uid="{0DAA06A9-6041-450A-BE9D-E3A08E1D3260}"/>
    <hyperlink ref="G133" r:id="rId1026" display="..\01_DOCUMENT_SETS\ST-051-STD-09\01_Technical_File.pdf" xr:uid="{382F687A-6A6D-4CA9-A6D2-BB0CFBDA0B8F}"/>
    <hyperlink ref="I133" r:id="rId1027" display="..\01_DOCUMENT_SETS\ST-051-STD-09\02_EU_DoC.docx" xr:uid="{491A4C9F-7E56-4B41-9265-E57A1E17BC2F}"/>
    <hyperlink ref="J133" r:id="rId1028" display="..\01_DOCUMENT_SETS\ST-051-STD-09\02_EU_DoC.pdf" xr:uid="{4BA62DDE-027C-4EF1-9D0A-504E1AB872AF}"/>
    <hyperlink ref="L133" r:id="rId1029" display="..\01_DOCUMENT_SETS\ST-051-STD-09\03_Label.docx" xr:uid="{11D96D99-4E53-4FD9-9795-847E22303C11}"/>
    <hyperlink ref="M133" r:id="rId1030" display="..\01_DOCUMENT_SETS\ST-051-STD-09\03_Label.pdf" xr:uid="{1D897470-23D4-475A-8C59-8303019DE4AB}"/>
    <hyperlink ref="O133" r:id="rId1031" display="..\01_DOCUMENT_SETS\ST-051-STD-09\04_Shipment_Statement.docx" xr:uid="{13718F43-B19E-4062-B445-5C3E5180E0FF}"/>
    <hyperlink ref="P133" r:id="rId1032" display="..\01_DOCUMENT_SETS\ST-051-STD-09\04_Shipment_Statement.pdf" xr:uid="{D814A358-FA0B-4EFA-9B8A-57F789A3BD30}"/>
    <hyperlink ref="F134" r:id="rId1033" display="..\01_DOCUMENT_SETS\ST-051-STD-10\01_Technical_File.docx" xr:uid="{067448E6-BBC3-499B-9CF1-BAC8CECB5DD9}"/>
    <hyperlink ref="G134" r:id="rId1034" display="..\01_DOCUMENT_SETS\ST-051-STD-10\01_Technical_File.pdf" xr:uid="{0EF7F464-6F80-4711-B6C8-75F185AA6F90}"/>
    <hyperlink ref="I134" r:id="rId1035" display="..\01_DOCUMENT_SETS\ST-051-STD-10\02_EU_DoC.docx" xr:uid="{47D9C0B8-FC44-4C36-9AA6-9F54A6E80E41}"/>
    <hyperlink ref="J134" r:id="rId1036" display="..\01_DOCUMENT_SETS\ST-051-STD-10\02_EU_DoC.pdf" xr:uid="{E5B88E38-443E-4D1D-9FB9-852AA1827762}"/>
    <hyperlink ref="L134" r:id="rId1037" display="..\01_DOCUMENT_SETS\ST-051-STD-10\03_Label.docx" xr:uid="{A71A0763-4DB5-4AAD-A694-96C8CA44CD55}"/>
    <hyperlink ref="M134" r:id="rId1038" display="..\01_DOCUMENT_SETS\ST-051-STD-10\03_Label.pdf" xr:uid="{1E117F72-54CA-4219-8963-864DA14407F0}"/>
    <hyperlink ref="O134" r:id="rId1039" display="..\01_DOCUMENT_SETS\ST-051-STD-10\04_Shipment_Statement.docx" xr:uid="{6E04014C-D596-4751-948A-1EEB184DBA0F}"/>
    <hyperlink ref="P134" r:id="rId1040" display="..\01_DOCUMENT_SETS\ST-051-STD-10\04_Shipment_Statement.pdf" xr:uid="{4A50F1B0-56F8-4BB8-B8A6-8BE7EC4DAA9A}"/>
    <hyperlink ref="F135" r:id="rId1041" display="..\01_DOCUMENT_SETS\ST-051-STD-11\01_Technical_File.docx" xr:uid="{5C66B89E-2A6E-40CD-9638-E3172B54E793}"/>
    <hyperlink ref="G135" r:id="rId1042" display="..\01_DOCUMENT_SETS\ST-051-STD-11\01_Technical_File.pdf" xr:uid="{CC1CF4D0-6E97-40C4-8D48-9097D2EF7075}"/>
    <hyperlink ref="I135" r:id="rId1043" display="..\01_DOCUMENT_SETS\ST-051-STD-11\02_EU_DoC.docx" xr:uid="{C3D0BF02-3CB7-4E41-8A9B-3D9A757A9251}"/>
    <hyperlink ref="J135" r:id="rId1044" display="..\01_DOCUMENT_SETS\ST-051-STD-11\02_EU_DoC.pdf" xr:uid="{CEE3F2AA-7208-4C2B-88D1-3FEDF969B87C}"/>
    <hyperlink ref="L135" r:id="rId1045" display="..\01_DOCUMENT_SETS\ST-051-STD-11\03_Label.docx" xr:uid="{0AD0B3BB-0BC7-424E-8592-D3D7E543FE6E}"/>
    <hyperlink ref="M135" r:id="rId1046" display="..\01_DOCUMENT_SETS\ST-051-STD-11\03_Label.pdf" xr:uid="{9E66CBBD-B6C9-4F1C-9024-6B06E5FD98DD}"/>
    <hyperlink ref="O135" r:id="rId1047" display="..\01_DOCUMENT_SETS\ST-051-STD-11\04_Shipment_Statement.docx" xr:uid="{1E43D4BA-CEDC-4C60-8AB6-25E1E0AAB6FE}"/>
    <hyperlink ref="P135" r:id="rId1048" display="..\01_DOCUMENT_SETS\ST-051-STD-11\04_Shipment_Statement.pdf" xr:uid="{8CC2A00C-5DFE-48E9-8CE6-0C2565CE752D}"/>
    <hyperlink ref="F136" r:id="rId1049" display="..\01_DOCUMENT_SETS\ST-054-EUR-01\01_Technical_File.docx" xr:uid="{4D0C69BD-5DE2-4C1B-B4CD-6B6F45F496E7}"/>
    <hyperlink ref="G136" r:id="rId1050" display="..\01_DOCUMENT_SETS\ST-054-EUR-01\01_Technical_File.pdf" xr:uid="{A45BD5ED-B772-4939-BE28-DF9A5697729E}"/>
    <hyperlink ref="I136" r:id="rId1051" display="..\01_DOCUMENT_SETS\ST-054-EUR-01\02_EU_DoC.docx" xr:uid="{FFB1706F-B9CD-4A81-A119-62608AB4052F}"/>
    <hyperlink ref="J136" r:id="rId1052" display="..\01_DOCUMENT_SETS\ST-054-EUR-01\02_EU_DoC.pdf" xr:uid="{7EA29D27-53E2-4EC0-8913-D10F63D7DA23}"/>
    <hyperlink ref="L136" r:id="rId1053" display="..\01_DOCUMENT_SETS\ST-054-EUR-01\03_Label.docx" xr:uid="{669DB925-A302-4D36-BC6E-3155B772928D}"/>
    <hyperlink ref="M136" r:id="rId1054" display="..\01_DOCUMENT_SETS\ST-054-EUR-01\03_Label.pdf" xr:uid="{9889FA77-6AC2-4944-8F80-5472FDFD4F08}"/>
    <hyperlink ref="O136" r:id="rId1055" display="..\01_DOCUMENT_SETS\ST-054-EUR-01\04_Shipment_Statement.docx" xr:uid="{41D7150D-92D2-4060-85CA-53554E67DAAD}"/>
    <hyperlink ref="P136" r:id="rId1056" display="..\01_DOCUMENT_SETS\ST-054-EUR-01\04_Shipment_Statement.pdf" xr:uid="{3D03B6E9-9760-41A0-A897-7E0B42BA7085}"/>
    <hyperlink ref="F137" r:id="rId1057" display="..\01_DOCUMENT_SETS\ST-054-STD-01\01_Technical_File.docx" xr:uid="{198B3E9E-EB08-4CDC-8017-CD37588F8D3D}"/>
    <hyperlink ref="G137" r:id="rId1058" display="..\01_DOCUMENT_SETS\ST-054-STD-01\01_Technical_File.pdf" xr:uid="{C0FE852E-034B-4DC5-A11E-3F5C4E9B295D}"/>
    <hyperlink ref="I137" r:id="rId1059" display="..\01_DOCUMENT_SETS\ST-054-STD-01\02_EU_DoC.docx" xr:uid="{8F787293-3DFE-4A59-927D-F9F3B342DE57}"/>
    <hyperlink ref="J137" r:id="rId1060" display="..\01_DOCUMENT_SETS\ST-054-STD-01\02_EU_DoC.pdf" xr:uid="{BF3CB89E-A00F-49D8-99E6-4838CC0724C9}"/>
    <hyperlink ref="L137" r:id="rId1061" display="..\01_DOCUMENT_SETS\ST-054-STD-01\03_Label.docx" xr:uid="{ED6BC678-34D5-4DBD-AF8F-AC35BECEAA53}"/>
    <hyperlink ref="M137" r:id="rId1062" display="..\01_DOCUMENT_SETS\ST-054-STD-01\03_Label.pdf" xr:uid="{2722C9DD-FFF9-495D-B2A5-6A097B4C204B}"/>
    <hyperlink ref="O137" r:id="rId1063" display="..\01_DOCUMENT_SETS\ST-054-STD-01\04_Shipment_Statement.docx" xr:uid="{559F2BB9-9690-4B69-94C3-9D9EFE0DE52A}"/>
    <hyperlink ref="P137" r:id="rId1064" display="..\01_DOCUMENT_SETS\ST-054-STD-01\04_Shipment_Statement.pdf" xr:uid="{3D0C7A8A-20AF-4B50-AAA6-07E8B3036642}"/>
    <hyperlink ref="F138" r:id="rId1065" display="..\01_DOCUMENT_SETS\ST-054-STD-02\01_Technical_File.docx" xr:uid="{07FC3E87-D908-4199-8CC0-C83A84C96AB9}"/>
    <hyperlink ref="G138" r:id="rId1066" display="..\01_DOCUMENT_SETS\ST-054-STD-02\01_Technical_File.pdf" xr:uid="{28B9833E-4A0C-4AE5-B256-06218E1655CE}"/>
    <hyperlink ref="I138" r:id="rId1067" display="..\01_DOCUMENT_SETS\ST-054-STD-02\02_EU_DoC.docx" xr:uid="{CBB14008-6BFD-4B8D-976A-D9139F969882}"/>
    <hyperlink ref="J138" r:id="rId1068" display="..\01_DOCUMENT_SETS\ST-054-STD-02\02_EU_DoC.pdf" xr:uid="{FB97D035-C2E1-4C82-A5CE-CE62B9CF9293}"/>
    <hyperlink ref="L138" r:id="rId1069" display="..\01_DOCUMENT_SETS\ST-054-STD-02\03_Label.docx" xr:uid="{072B7128-1A27-4D65-823F-25EB23EAE6E7}"/>
    <hyperlink ref="M138" r:id="rId1070" display="..\01_DOCUMENT_SETS\ST-054-STD-02\03_Label.pdf" xr:uid="{B388FB7D-9B18-43F1-9173-8EBD3BF0616B}"/>
    <hyperlink ref="O138" r:id="rId1071" display="..\01_DOCUMENT_SETS\ST-054-STD-02\04_Shipment_Statement.docx" xr:uid="{B85E231D-B99F-4063-89FB-FBA113D73B25}"/>
    <hyperlink ref="P138" r:id="rId1072" display="..\01_DOCUMENT_SETS\ST-054-STD-02\04_Shipment_Statement.pdf" xr:uid="{84DFA619-7846-4554-ACE5-BF6BE77A167E}"/>
    <hyperlink ref="F139" r:id="rId1073" display="..\01_DOCUMENT_SETS\ST-054-STD-03\01_Technical_File.docx" xr:uid="{83653E22-15F1-4F0D-83E0-59CFD4EBD56A}"/>
    <hyperlink ref="G139" r:id="rId1074" display="..\01_DOCUMENT_SETS\ST-054-STD-03\01_Technical_File.pdf" xr:uid="{27E3EE23-D7FF-4108-90F8-B6ED4C58F823}"/>
    <hyperlink ref="I139" r:id="rId1075" display="..\01_DOCUMENT_SETS\ST-054-STD-03\02_EU_DoC.docx" xr:uid="{1C3AE5F8-42CC-48F0-BEF9-CD49045600CB}"/>
    <hyperlink ref="J139" r:id="rId1076" display="..\01_DOCUMENT_SETS\ST-054-STD-03\02_EU_DoC.pdf" xr:uid="{437B602A-F443-40B9-A63C-3E3C7B0CF203}"/>
    <hyperlink ref="L139" r:id="rId1077" display="..\01_DOCUMENT_SETS\ST-054-STD-03\03_Label.docx" xr:uid="{93CA8958-B3E6-4DC4-B49C-F174D30D36E2}"/>
    <hyperlink ref="M139" r:id="rId1078" display="..\01_DOCUMENT_SETS\ST-054-STD-03\03_Label.pdf" xr:uid="{C158CD3E-8CDA-4E07-A8BE-ED0A0C7CE376}"/>
    <hyperlink ref="O139" r:id="rId1079" display="..\01_DOCUMENT_SETS\ST-054-STD-03\04_Shipment_Statement.docx" xr:uid="{7FC8F3A1-C9F2-405D-9D1C-DA700A5813D6}"/>
    <hyperlink ref="P139" r:id="rId1080" display="..\01_DOCUMENT_SETS\ST-054-STD-03\04_Shipment_Statement.pdf" xr:uid="{CDE966E9-CFDB-46AC-9914-10560D9D8B25}"/>
    <hyperlink ref="F140" r:id="rId1081" display="..\01_DOCUMENT_SETS\ST-054-STD-04\01_Technical_File.docx" xr:uid="{DEA19367-D986-4B80-9CAA-05F86B8D74D9}"/>
    <hyperlink ref="G140" r:id="rId1082" display="..\01_DOCUMENT_SETS\ST-054-STD-04\01_Technical_File.pdf" xr:uid="{8F9681F7-2AD0-4581-92E3-FC660201C369}"/>
    <hyperlink ref="I140" r:id="rId1083" display="..\01_DOCUMENT_SETS\ST-054-STD-04\02_EU_DoC.docx" xr:uid="{5482B23F-A217-4951-87E1-A770D8BBC1EA}"/>
    <hyperlink ref="J140" r:id="rId1084" display="..\01_DOCUMENT_SETS\ST-054-STD-04\02_EU_DoC.pdf" xr:uid="{79C54B58-15EF-42ED-8713-0EB574FE6EE0}"/>
    <hyperlink ref="L140" r:id="rId1085" display="..\01_DOCUMENT_SETS\ST-054-STD-04\03_Label.docx" xr:uid="{FE79D582-A34F-4070-8B55-456A8E4DE99F}"/>
    <hyperlink ref="M140" r:id="rId1086" display="..\01_DOCUMENT_SETS\ST-054-STD-04\03_Label.pdf" xr:uid="{99D422EE-30E0-480D-BA84-8F16011E65BF}"/>
    <hyperlink ref="O140" r:id="rId1087" display="..\01_DOCUMENT_SETS\ST-054-STD-04\04_Shipment_Statement.docx" xr:uid="{C9FCB554-9266-4579-BE81-064AC7EA09F5}"/>
    <hyperlink ref="P140" r:id="rId1088" display="..\01_DOCUMENT_SETS\ST-054-STD-04\04_Shipment_Statement.pdf" xr:uid="{AB358510-01BE-467E-B93F-95DDAA48F39B}"/>
    <hyperlink ref="F141" r:id="rId1089" display="..\01_DOCUMENT_SETS\ST-054-STD-05\01_Technical_File.docx" xr:uid="{12D37C33-805D-4D6A-A2F3-981C0C7B9117}"/>
    <hyperlink ref="G141" r:id="rId1090" display="..\01_DOCUMENT_SETS\ST-054-STD-05\01_Technical_File.pdf" xr:uid="{49956028-9741-4B50-9B4F-D6E829146FC6}"/>
    <hyperlink ref="I141" r:id="rId1091" display="..\01_DOCUMENT_SETS\ST-054-STD-05\02_EU_DoC.docx" xr:uid="{E2DAEC72-A67D-43B2-B420-616CF1CC072D}"/>
    <hyperlink ref="J141" r:id="rId1092" display="..\01_DOCUMENT_SETS\ST-054-STD-05\02_EU_DoC.pdf" xr:uid="{180E2954-AC56-4D38-A4B8-95243C0AABFE}"/>
    <hyperlink ref="L141" r:id="rId1093" display="..\01_DOCUMENT_SETS\ST-054-STD-05\03_Label.docx" xr:uid="{4CE23BCC-C060-47FE-8241-A1D14D972D49}"/>
    <hyperlink ref="M141" r:id="rId1094" display="..\01_DOCUMENT_SETS\ST-054-STD-05\03_Label.pdf" xr:uid="{C9CA8356-28A9-4C17-9E19-8E04A8543C2D}"/>
    <hyperlink ref="O141" r:id="rId1095" display="..\01_DOCUMENT_SETS\ST-054-STD-05\04_Shipment_Statement.docx" xr:uid="{63F8052D-5382-4F13-844D-E3358A5EACB3}"/>
    <hyperlink ref="P141" r:id="rId1096" display="..\01_DOCUMENT_SETS\ST-054-STD-05\04_Shipment_Statement.pdf" xr:uid="{99C868C9-CE28-4F5C-8172-FF71FC69673E}"/>
    <hyperlink ref="F142" r:id="rId1097" display="..\01_DOCUMENT_SETS\ST-054-STD-06\01_Technical_File.docx" xr:uid="{E1C94EC5-30CE-434D-B143-D8A754AC58DC}"/>
    <hyperlink ref="G142" r:id="rId1098" display="..\01_DOCUMENT_SETS\ST-054-STD-06\01_Technical_File.pdf" xr:uid="{03E96E66-CFFE-4639-B987-F41EF469B654}"/>
    <hyperlink ref="I142" r:id="rId1099" display="..\01_DOCUMENT_SETS\ST-054-STD-06\02_EU_DoC.docx" xr:uid="{96466A65-372B-452F-AF81-C7D6EBCD4571}"/>
    <hyperlink ref="J142" r:id="rId1100" display="..\01_DOCUMENT_SETS\ST-054-STD-06\02_EU_DoC.pdf" xr:uid="{AED9BA4C-4A69-470B-9326-B5DA17FED044}"/>
    <hyperlink ref="L142" r:id="rId1101" display="..\01_DOCUMENT_SETS\ST-054-STD-06\03_Label.docx" xr:uid="{14A93E55-6077-4831-9202-A097934050B6}"/>
    <hyperlink ref="M142" r:id="rId1102" display="..\01_DOCUMENT_SETS\ST-054-STD-06\03_Label.pdf" xr:uid="{F69711D0-111C-4B45-8169-588DDF1F962A}"/>
    <hyperlink ref="O142" r:id="rId1103" display="..\01_DOCUMENT_SETS\ST-054-STD-06\04_Shipment_Statement.docx" xr:uid="{17BB979E-78A8-4199-9D9F-2CC0578B7D21}"/>
    <hyperlink ref="P142" r:id="rId1104" display="..\01_DOCUMENT_SETS\ST-054-STD-06\04_Shipment_Statement.pdf" xr:uid="{16C1C665-3425-4DD3-A1B6-5C93C7B129D9}"/>
    <hyperlink ref="F143" r:id="rId1105" display="..\01_DOCUMENT_SETS\ST-054-STD-07\01_Technical_File.docx" xr:uid="{54EA43FD-D9BC-4DC9-A90E-31ADADB4E45B}"/>
    <hyperlink ref="G143" r:id="rId1106" display="..\01_DOCUMENT_SETS\ST-054-STD-07\01_Technical_File.pdf" xr:uid="{68287B93-496B-42F6-83B7-F18BED56FB5C}"/>
    <hyperlink ref="I143" r:id="rId1107" display="..\01_DOCUMENT_SETS\ST-054-STD-07\02_EU_DoC.docx" xr:uid="{9DFD3D01-ABF5-4216-A698-A3EF2A41BD74}"/>
    <hyperlink ref="J143" r:id="rId1108" display="..\01_DOCUMENT_SETS\ST-054-STD-07\02_EU_DoC.pdf" xr:uid="{CFAA4D4E-5CE0-4AC3-9EF8-F5C7C3F9D57D}"/>
    <hyperlink ref="L143" r:id="rId1109" display="..\01_DOCUMENT_SETS\ST-054-STD-07\03_Label.docx" xr:uid="{203FE0F9-CFB2-433E-BE15-2C20849DC8B1}"/>
    <hyperlink ref="M143" r:id="rId1110" display="..\01_DOCUMENT_SETS\ST-054-STD-07\03_Label.pdf" xr:uid="{25FB9205-94BC-4F98-8F86-34C167153671}"/>
    <hyperlink ref="O143" r:id="rId1111" display="..\01_DOCUMENT_SETS\ST-054-STD-07\04_Shipment_Statement.docx" xr:uid="{B128DFF3-9941-4135-932E-BAFCB7319F8C}"/>
    <hyperlink ref="P143" r:id="rId1112" display="..\01_DOCUMENT_SETS\ST-054-STD-07\04_Shipment_Statement.pdf" xr:uid="{EFA6124F-B8F1-44EB-9C8E-961E170802C9}"/>
    <hyperlink ref="F144" r:id="rId1113" display="..\01_DOCUMENT_SETS\ST-054-STD-08\01_Technical_File.docx" xr:uid="{D7560EB4-1164-4335-8107-9345EE3A2482}"/>
    <hyperlink ref="G144" r:id="rId1114" display="..\01_DOCUMENT_SETS\ST-054-STD-08\01_Technical_File.pdf" xr:uid="{76A0AE4E-31BC-4709-B4E2-B3670BDCE3D3}"/>
    <hyperlink ref="I144" r:id="rId1115" display="..\01_DOCUMENT_SETS\ST-054-STD-08\02_EU_DoC.docx" xr:uid="{D9A86B1F-A9BD-4488-8B81-7DA61F5B3CA2}"/>
    <hyperlink ref="J144" r:id="rId1116" display="..\01_DOCUMENT_SETS\ST-054-STD-08\02_EU_DoC.pdf" xr:uid="{574405C8-C0E2-417F-A2C1-FD7AA0890F8D}"/>
    <hyperlink ref="L144" r:id="rId1117" display="..\01_DOCUMENT_SETS\ST-054-STD-08\03_Label.docx" xr:uid="{0845078E-A77F-4660-928D-DD8CCF627DB3}"/>
    <hyperlink ref="M144" r:id="rId1118" display="..\01_DOCUMENT_SETS\ST-054-STD-08\03_Label.pdf" xr:uid="{7B30CBC9-4A14-4ECF-ABB0-716C1E91FFD8}"/>
    <hyperlink ref="O144" r:id="rId1119" display="..\01_DOCUMENT_SETS\ST-054-STD-08\04_Shipment_Statement.docx" xr:uid="{15DA5598-6432-475D-B66D-88BEE388DFDD}"/>
    <hyperlink ref="P144" r:id="rId1120" display="..\01_DOCUMENT_SETS\ST-054-STD-08\04_Shipment_Statement.pdf" xr:uid="{C944E450-F671-4947-8900-F367B6CA8E49}"/>
    <hyperlink ref="F145" r:id="rId1121" display="..\01_DOCUMENT_SETS\ST-054-STD-09\01_Technical_File.docx" xr:uid="{D4AAE281-4C9A-41BD-A13F-024D015F1B9D}"/>
    <hyperlink ref="G145" r:id="rId1122" display="..\01_DOCUMENT_SETS\ST-054-STD-09\01_Technical_File.pdf" xr:uid="{5EAB80AF-DCD8-440B-AA6B-5C423E248DF6}"/>
    <hyperlink ref="I145" r:id="rId1123" display="..\01_DOCUMENT_SETS\ST-054-STD-09\02_EU_DoC.docx" xr:uid="{30A3DA14-F1E8-4F73-8A73-EA62EB641811}"/>
    <hyperlink ref="J145" r:id="rId1124" display="..\01_DOCUMENT_SETS\ST-054-STD-09\02_EU_DoC.pdf" xr:uid="{7ACECBAB-0FA3-44E3-9B47-18DB8BDE4525}"/>
    <hyperlink ref="L145" r:id="rId1125" display="..\01_DOCUMENT_SETS\ST-054-STD-09\03_Label.docx" xr:uid="{02494960-F614-4A70-8B26-DF98D916973F}"/>
    <hyperlink ref="M145" r:id="rId1126" display="..\01_DOCUMENT_SETS\ST-054-STD-09\03_Label.pdf" xr:uid="{13B507C5-BF92-4C59-A783-9E0684C4124D}"/>
    <hyperlink ref="O145" r:id="rId1127" display="..\01_DOCUMENT_SETS\ST-054-STD-09\04_Shipment_Statement.docx" xr:uid="{F9F9DA5E-34AF-465F-A3F4-21B854C7302B}"/>
    <hyperlink ref="P145" r:id="rId1128" display="..\01_DOCUMENT_SETS\ST-054-STD-09\04_Shipment_Statement.pdf" xr:uid="{11181B29-86C2-490E-9D35-5A9F66F6163B}"/>
    <hyperlink ref="F146" r:id="rId1129" display="..\01_DOCUMENT_SETS\ST-054-STD-10\01_Technical_File.docx" xr:uid="{FA6A3D06-7782-4F20-B4FA-E359695B5762}"/>
    <hyperlink ref="G146" r:id="rId1130" display="..\01_DOCUMENT_SETS\ST-054-STD-10\01_Technical_File.pdf" xr:uid="{9ADDA460-C2F9-4901-B9E2-FDCE4444B88E}"/>
    <hyperlink ref="I146" r:id="rId1131" display="..\01_DOCUMENT_SETS\ST-054-STD-10\02_EU_DoC.docx" xr:uid="{C8662437-8B8E-4FD6-A75F-1D6AE4ABC6E4}"/>
    <hyperlink ref="J146" r:id="rId1132" display="..\01_DOCUMENT_SETS\ST-054-STD-10\02_EU_DoC.pdf" xr:uid="{7DDCEBF6-6E0B-4EFC-890B-6A68AE3B996B}"/>
    <hyperlink ref="L146" r:id="rId1133" display="..\01_DOCUMENT_SETS\ST-054-STD-10\03_Label.docx" xr:uid="{C6277686-5763-41E4-84FC-FA2F2CE903F5}"/>
    <hyperlink ref="M146" r:id="rId1134" display="..\01_DOCUMENT_SETS\ST-054-STD-10\03_Label.pdf" xr:uid="{1F4AFF09-94A3-41C5-917B-FACAEE4A81A3}"/>
    <hyperlink ref="O146" r:id="rId1135" display="..\01_DOCUMENT_SETS\ST-054-STD-10\04_Shipment_Statement.docx" xr:uid="{4F751767-F68F-4632-8A8C-CCA139D5CB2D}"/>
    <hyperlink ref="P146" r:id="rId1136" display="..\01_DOCUMENT_SETS\ST-054-STD-10\04_Shipment_Statement.pdf" xr:uid="{C9BAEC1E-C5FA-40EC-8863-C4C2F52FB32A}"/>
    <hyperlink ref="F147" r:id="rId1137" display="..\01_DOCUMENT_SETS\ST-054-STD-11\01_Technical_File.docx" xr:uid="{60020578-DA78-465B-A9F6-574B3C243967}"/>
    <hyperlink ref="G147" r:id="rId1138" display="..\01_DOCUMENT_SETS\ST-054-STD-11\01_Technical_File.pdf" xr:uid="{B3B15CB1-DE21-4EE0-808F-E48EA2831DF7}"/>
    <hyperlink ref="I147" r:id="rId1139" display="..\01_DOCUMENT_SETS\ST-054-STD-11\02_EU_DoC.docx" xr:uid="{0D7CCE6E-64ED-4518-A796-FC63B1D803E7}"/>
    <hyperlink ref="J147" r:id="rId1140" display="..\01_DOCUMENT_SETS\ST-054-STD-11\02_EU_DoC.pdf" xr:uid="{7145D59C-500A-4C42-B3D4-C5B9425FF97C}"/>
    <hyperlink ref="L147" r:id="rId1141" display="..\01_DOCUMENT_SETS\ST-054-STD-11\03_Label.docx" xr:uid="{79D66254-A5BE-4BC0-8B47-6516E9109973}"/>
    <hyperlink ref="M147" r:id="rId1142" display="..\01_DOCUMENT_SETS\ST-054-STD-11\03_Label.pdf" xr:uid="{5C515D4D-16B0-40D5-B40D-65D33B01C03C}"/>
    <hyperlink ref="O147" r:id="rId1143" display="..\01_DOCUMENT_SETS\ST-054-STD-11\04_Shipment_Statement.docx" xr:uid="{84BDB94D-B89D-4381-8F03-5752AD1A76B4}"/>
    <hyperlink ref="P147" r:id="rId1144" display="..\01_DOCUMENT_SETS\ST-054-STD-11\04_Shipment_Statement.pdf" xr:uid="{225D0FC3-944F-4089-B93F-78CDF3527687}"/>
    <hyperlink ref="F148" r:id="rId1145" display="..\01_DOCUMENT_SETS\ST-054-STD-12\01_Technical_File.docx" xr:uid="{79C311FD-AC9A-4ED3-89B4-CD5EAAC8985C}"/>
    <hyperlink ref="G148" r:id="rId1146" display="..\01_DOCUMENT_SETS\ST-054-STD-12\01_Technical_File.pdf" xr:uid="{DA356571-B7DA-44C9-9AAF-B5F52688AD5E}"/>
    <hyperlink ref="I148" r:id="rId1147" display="..\01_DOCUMENT_SETS\ST-054-STD-12\02_EU_DoC.docx" xr:uid="{7ECBC2AB-1AD4-4FCF-9FB7-ABF7FAEE4BEE}"/>
    <hyperlink ref="J148" r:id="rId1148" display="..\01_DOCUMENT_SETS\ST-054-STD-12\02_EU_DoC.pdf" xr:uid="{77F863A4-3B6C-41EB-9CFC-8256480A0A13}"/>
    <hyperlink ref="L148" r:id="rId1149" display="..\01_DOCUMENT_SETS\ST-054-STD-12\03_Label.docx" xr:uid="{1B829B8E-0131-4D8C-A355-7FDDDCD34004}"/>
    <hyperlink ref="M148" r:id="rId1150" display="..\01_DOCUMENT_SETS\ST-054-STD-12\03_Label.pdf" xr:uid="{E448C782-4352-4E2E-97DF-B2C809FF8258}"/>
    <hyperlink ref="O148" r:id="rId1151" display="..\01_DOCUMENT_SETS\ST-054-STD-12\04_Shipment_Statement.docx" xr:uid="{F4D2D4FD-A798-4EB0-9BC3-2251B93DBF0B}"/>
    <hyperlink ref="P148" r:id="rId1152" display="..\01_DOCUMENT_SETS\ST-054-STD-12\04_Shipment_Statement.pdf" xr:uid="{1A400569-2B25-4F1B-B06C-240B5BC2820A}"/>
    <hyperlink ref="F149" r:id="rId1153" display="..\01_DOCUMENT_SETS\ST-056-EUR-01\01_Technical_File.docx" xr:uid="{E789C8E0-0023-4231-A4D8-4765713A682F}"/>
    <hyperlink ref="G149" r:id="rId1154" display="..\01_DOCUMENT_SETS\ST-056-EUR-01\01_Technical_File.pdf" xr:uid="{E1E76C60-021E-4170-939F-2FECFFF78D53}"/>
    <hyperlink ref="I149" r:id="rId1155" display="..\01_DOCUMENT_SETS\ST-056-EUR-01\02_EU_DoC.docx" xr:uid="{6AE58578-4CFB-4C6F-9A71-F8C28ADF5DD4}"/>
    <hyperlink ref="J149" r:id="rId1156" display="..\01_DOCUMENT_SETS\ST-056-EUR-01\02_EU_DoC.pdf" xr:uid="{E3DA7DD1-E9CD-495F-BE43-BBD310495ACD}"/>
    <hyperlink ref="L149" r:id="rId1157" display="..\01_DOCUMENT_SETS\ST-056-EUR-01\03_Label.docx" xr:uid="{F1CC7570-4E48-45F8-9C74-DD65FC999455}"/>
    <hyperlink ref="M149" r:id="rId1158" display="..\01_DOCUMENT_SETS\ST-056-EUR-01\03_Label.pdf" xr:uid="{1382F5E5-A9DF-4B8F-942A-5F93B8BE3FE5}"/>
    <hyperlink ref="O149" r:id="rId1159" display="..\01_DOCUMENT_SETS\ST-056-EUR-01\04_Shipment_Statement.docx" xr:uid="{3273D66B-8D0E-4A38-903E-38B33519E96A}"/>
    <hyperlink ref="P149" r:id="rId1160" display="..\01_DOCUMENT_SETS\ST-056-EUR-01\04_Shipment_Statement.pdf" xr:uid="{97F311A7-7BD4-4242-8D23-8D751C22A976}"/>
    <hyperlink ref="F150" r:id="rId1161" display="..\01_DOCUMENT_SETS\ST-056-EUR-02\01_Technical_File.docx" xr:uid="{99FDFA59-C47F-4A3B-AF07-641D01425F76}"/>
    <hyperlink ref="G150" r:id="rId1162" display="..\01_DOCUMENT_SETS\ST-056-EUR-02\01_Technical_File.pdf" xr:uid="{DC9CBB11-7BC2-41B7-8E00-354D66D9827F}"/>
    <hyperlink ref="I150" r:id="rId1163" display="..\01_DOCUMENT_SETS\ST-056-EUR-02\02_EU_DoC.docx" xr:uid="{DA096782-9740-404B-BCFA-932FCA480C85}"/>
    <hyperlink ref="J150" r:id="rId1164" display="..\01_DOCUMENT_SETS\ST-056-EUR-02\02_EU_DoC.pdf" xr:uid="{46F44828-8CCF-41CA-9F48-FDB71D48F0C3}"/>
    <hyperlink ref="L150" r:id="rId1165" display="..\01_DOCUMENT_SETS\ST-056-EUR-02\03_Label.docx" xr:uid="{B13F62AB-BA23-4029-AAF7-1041AB09A699}"/>
    <hyperlink ref="M150" r:id="rId1166" display="..\01_DOCUMENT_SETS\ST-056-EUR-02\03_Label.pdf" xr:uid="{8CA8D0D5-26A0-4B7F-AA99-FEF2BFC9453E}"/>
    <hyperlink ref="O150" r:id="rId1167" display="..\01_DOCUMENT_SETS\ST-056-EUR-02\04_Shipment_Statement.docx" xr:uid="{EF8305F2-9D40-48C6-97F3-DBF15B42BF05}"/>
    <hyperlink ref="P150" r:id="rId1168" display="..\01_DOCUMENT_SETS\ST-056-EUR-02\04_Shipment_Statement.pdf" xr:uid="{A8B4CEC6-8312-4346-8F40-5BE4057064A8}"/>
    <hyperlink ref="F151" r:id="rId1169" display="..\01_DOCUMENT_SETS\ST-056-EUR-03\01_Technical_File.docx" xr:uid="{C49DA131-AB56-412F-9736-97C006153DA3}"/>
    <hyperlink ref="G151" r:id="rId1170" display="..\01_DOCUMENT_SETS\ST-056-EUR-03\01_Technical_File.pdf" xr:uid="{61BDD630-1C1E-46CF-8715-A7F383045D1C}"/>
    <hyperlink ref="I151" r:id="rId1171" display="..\01_DOCUMENT_SETS\ST-056-EUR-03\02_EU_DoC.docx" xr:uid="{D1DDE1FA-07F7-4FC4-82C5-FEA1960983FD}"/>
    <hyperlink ref="J151" r:id="rId1172" display="..\01_DOCUMENT_SETS\ST-056-EUR-03\02_EU_DoC.pdf" xr:uid="{7EC79FEF-DC6F-49A6-A6DC-829C684545AA}"/>
    <hyperlink ref="L151" r:id="rId1173" display="..\01_DOCUMENT_SETS\ST-056-EUR-03\03_Label.docx" xr:uid="{F9D00FBC-4EC4-4051-B1E3-024E3D58DAF2}"/>
    <hyperlink ref="M151" r:id="rId1174" display="..\01_DOCUMENT_SETS\ST-056-EUR-03\03_Label.pdf" xr:uid="{04CF45D8-B74E-42F8-8F73-D172B059D4A9}"/>
    <hyperlink ref="O151" r:id="rId1175" display="..\01_DOCUMENT_SETS\ST-056-EUR-03\04_Shipment_Statement.docx" xr:uid="{13673D1F-EB82-4967-A28D-6C5F70749F52}"/>
    <hyperlink ref="P151" r:id="rId1176" display="..\01_DOCUMENT_SETS\ST-056-EUR-03\04_Shipment_Statement.pdf" xr:uid="{7A907725-3D84-4BB3-86E1-C4D3874DCFAB}"/>
    <hyperlink ref="F152" r:id="rId1177" display="..\01_DOCUMENT_SETS\ST-056-EUR-04\01_Technical_File.docx" xr:uid="{2467316D-8197-4824-A824-01FBB323D372}"/>
    <hyperlink ref="G152" r:id="rId1178" display="..\01_DOCUMENT_SETS\ST-056-EUR-04\01_Technical_File.pdf" xr:uid="{E839E666-BDE7-417D-A8BB-2655E63BEECE}"/>
    <hyperlink ref="I152" r:id="rId1179" display="..\01_DOCUMENT_SETS\ST-056-EUR-04\02_EU_DoC.docx" xr:uid="{1EC3AE19-DA11-4774-B25B-18070C51ED55}"/>
    <hyperlink ref="J152" r:id="rId1180" display="..\01_DOCUMENT_SETS\ST-056-EUR-04\02_EU_DoC.pdf" xr:uid="{4266F05F-7AD3-4844-A264-22F74295797F}"/>
    <hyperlink ref="L152" r:id="rId1181" display="..\01_DOCUMENT_SETS\ST-056-EUR-04\03_Label.docx" xr:uid="{03A51B1F-A2BA-4C0B-A102-22570571D436}"/>
    <hyperlink ref="M152" r:id="rId1182" display="..\01_DOCUMENT_SETS\ST-056-EUR-04\03_Label.pdf" xr:uid="{9C84F807-C29D-45AD-9409-AE235BADEA9A}"/>
    <hyperlink ref="O152" r:id="rId1183" display="..\01_DOCUMENT_SETS\ST-056-EUR-04\04_Shipment_Statement.docx" xr:uid="{1231E15B-23D9-428C-875A-C27D757F6A3E}"/>
    <hyperlink ref="P152" r:id="rId1184" display="..\01_DOCUMENT_SETS\ST-056-EUR-04\04_Shipment_Statement.pdf" xr:uid="{407775C2-5D7C-45EB-8601-66382A76CAE6}"/>
    <hyperlink ref="F153" r:id="rId1185" display="..\01_DOCUMENT_SETS\ST-056-STD-01\01_Technical_File.docx" xr:uid="{1AACBD33-E535-4B7A-A561-76BDA6B859D2}"/>
    <hyperlink ref="G153" r:id="rId1186" display="..\01_DOCUMENT_SETS\ST-056-STD-01\01_Technical_File.pdf" xr:uid="{2BDBE866-9D70-41A8-9C89-6B03BB175A5B}"/>
    <hyperlink ref="I153" r:id="rId1187" display="..\01_DOCUMENT_SETS\ST-056-STD-01\02_EU_DoC.docx" xr:uid="{966D833A-1CDC-43DC-8FC7-2A36D93BA69D}"/>
    <hyperlink ref="J153" r:id="rId1188" display="..\01_DOCUMENT_SETS\ST-056-STD-01\02_EU_DoC.pdf" xr:uid="{DA9AF505-CD5C-45D2-AB1A-6EF48A44A321}"/>
    <hyperlink ref="L153" r:id="rId1189" display="..\01_DOCUMENT_SETS\ST-056-STD-01\03_Label.docx" xr:uid="{4A8158A3-139A-4F62-AF8A-BC7C6DF0EECB}"/>
    <hyperlink ref="M153" r:id="rId1190" display="..\01_DOCUMENT_SETS\ST-056-STD-01\03_Label.pdf" xr:uid="{3A7374A7-A03C-4A86-9D51-C96543D995A3}"/>
    <hyperlink ref="O153" r:id="rId1191" display="..\01_DOCUMENT_SETS\ST-056-STD-01\04_Shipment_Statement.docx" xr:uid="{502758F3-7D70-4A07-B88E-2158C1BC62D9}"/>
    <hyperlink ref="P153" r:id="rId1192" display="..\01_DOCUMENT_SETS\ST-056-STD-01\04_Shipment_Statement.pdf" xr:uid="{D3C8CC9C-E277-4DCB-B5E6-5E3C3C2F9D9D}"/>
    <hyperlink ref="F154" r:id="rId1193" display="..\01_DOCUMENT_SETS\ST-056-STD-02\01_Technical_File.docx" xr:uid="{866D072B-6FB3-48A8-A148-6A541534848C}"/>
    <hyperlink ref="G154" r:id="rId1194" display="..\01_DOCUMENT_SETS\ST-056-STD-02\01_Technical_File.pdf" xr:uid="{29D23800-57D9-4209-8BD3-DD3139E8373B}"/>
    <hyperlink ref="I154" r:id="rId1195" display="..\01_DOCUMENT_SETS\ST-056-STD-02\02_EU_DoC.docx" xr:uid="{3475F646-C499-40AD-B29A-9E6AE9F6C492}"/>
    <hyperlink ref="J154" r:id="rId1196" display="..\01_DOCUMENT_SETS\ST-056-STD-02\02_EU_DoC.pdf" xr:uid="{53AE0CB8-BD25-4828-95DC-75033DC55094}"/>
    <hyperlink ref="L154" r:id="rId1197" display="..\01_DOCUMENT_SETS\ST-056-STD-02\03_Label.docx" xr:uid="{987B3BB2-79BB-4B97-821F-19728BE29587}"/>
    <hyperlink ref="M154" r:id="rId1198" display="..\01_DOCUMENT_SETS\ST-056-STD-02\03_Label.pdf" xr:uid="{72196697-1D11-4B15-B6DD-E4BB7763EC0F}"/>
    <hyperlink ref="O154" r:id="rId1199" display="..\01_DOCUMENT_SETS\ST-056-STD-02\04_Shipment_Statement.docx" xr:uid="{5A9753D2-0B1E-4EFE-9B48-F29FE4FB8A71}"/>
    <hyperlink ref="P154" r:id="rId1200" display="..\01_DOCUMENT_SETS\ST-056-STD-02\04_Shipment_Statement.pdf" xr:uid="{35A90F1F-044B-4948-B287-AF3C373E1E5D}"/>
    <hyperlink ref="F155" r:id="rId1201" display="..\01_DOCUMENT_SETS\ST-057-EUR-01\01_Technical_File.docx" xr:uid="{70A8B312-A193-4812-A3E0-CA659461C810}"/>
    <hyperlink ref="G155" r:id="rId1202" display="..\01_DOCUMENT_SETS\ST-057-EUR-01\01_Technical_File.pdf" xr:uid="{C553EE13-F111-402C-AC2E-BC39EB6CBC58}"/>
    <hyperlink ref="I155" r:id="rId1203" display="..\01_DOCUMENT_SETS\ST-057-EUR-01\02_EU_DoC.docx" xr:uid="{CACE80E6-0017-453D-B7AF-E49712EB15DA}"/>
    <hyperlink ref="J155" r:id="rId1204" display="..\01_DOCUMENT_SETS\ST-057-EUR-01\02_EU_DoC.pdf" xr:uid="{3BF58F94-FC84-4A5C-AA85-FBEFFD610AF7}"/>
    <hyperlink ref="L155" r:id="rId1205" display="..\01_DOCUMENT_SETS\ST-057-EUR-01\03_Label.docx" xr:uid="{B791D4DD-1097-4BA6-BE03-B72CB639680D}"/>
    <hyperlink ref="M155" r:id="rId1206" display="..\01_DOCUMENT_SETS\ST-057-EUR-01\03_Label.pdf" xr:uid="{3E917A18-7CF9-4314-99FD-C7B178E32B9A}"/>
    <hyperlink ref="O155" r:id="rId1207" display="..\01_DOCUMENT_SETS\ST-057-EUR-01\04_Shipment_Statement.docx" xr:uid="{D1530381-D471-4F4D-8B09-D115FDACEA9C}"/>
    <hyperlink ref="P155" r:id="rId1208" display="..\01_DOCUMENT_SETS\ST-057-EUR-01\04_Shipment_Statement.pdf" xr:uid="{4842D627-5EF1-4777-968D-FB15815AAF09}"/>
    <hyperlink ref="F156" r:id="rId1209" display="..\01_DOCUMENT_SETS\ST-057-EUR-02\01_Technical_File.docx" xr:uid="{14AAD601-B018-4D3F-B4BF-6CD6BB9BD83E}"/>
    <hyperlink ref="G156" r:id="rId1210" display="..\01_DOCUMENT_SETS\ST-057-EUR-02\01_Technical_File.pdf" xr:uid="{ADD52A75-B846-4143-A06A-1313546EF8FD}"/>
    <hyperlink ref="I156" r:id="rId1211" display="..\01_DOCUMENT_SETS\ST-057-EUR-02\02_EU_DoC.docx" xr:uid="{F62C721D-3A6A-42D7-A2EF-1C3FECBFC605}"/>
    <hyperlink ref="J156" r:id="rId1212" display="..\01_DOCUMENT_SETS\ST-057-EUR-02\02_EU_DoC.pdf" xr:uid="{EB3F5CC7-48B6-4E4C-BF10-522D9A02C562}"/>
    <hyperlink ref="L156" r:id="rId1213" display="..\01_DOCUMENT_SETS\ST-057-EUR-02\03_Label.docx" xr:uid="{FFCB6FD4-598D-49E7-87FC-ACFA485A384C}"/>
    <hyperlink ref="M156" r:id="rId1214" display="..\01_DOCUMENT_SETS\ST-057-EUR-02\03_Label.pdf" xr:uid="{D51C7598-5E4F-4BE4-BBBB-5E96AAA86013}"/>
    <hyperlink ref="O156" r:id="rId1215" display="..\01_DOCUMENT_SETS\ST-057-EUR-02\04_Shipment_Statement.docx" xr:uid="{E0EA686C-48B6-4E2A-ADE4-6E6E6703719B}"/>
    <hyperlink ref="P156" r:id="rId1216" display="..\01_DOCUMENT_SETS\ST-057-EUR-02\04_Shipment_Statement.pdf" xr:uid="{6DE54685-3ED0-41F7-8708-F7D14462BF40}"/>
    <hyperlink ref="F157" r:id="rId1217" display="..\01_DOCUMENT_SETS\ST-057-EUR-03\01_Technical_File.docx" xr:uid="{FC6DBE39-017F-42E7-8393-9F8FBCA2BBEB}"/>
    <hyperlink ref="G157" r:id="rId1218" display="..\01_DOCUMENT_SETS\ST-057-EUR-03\01_Technical_File.pdf" xr:uid="{3B6E50E9-AA6F-4671-A230-3C00F25C4262}"/>
    <hyperlink ref="I157" r:id="rId1219" display="..\01_DOCUMENT_SETS\ST-057-EUR-03\02_EU_DoC.docx" xr:uid="{419C15B2-7007-421B-B1AA-E3FB494FE21E}"/>
    <hyperlink ref="J157" r:id="rId1220" display="..\01_DOCUMENT_SETS\ST-057-EUR-03\02_EU_DoC.pdf" xr:uid="{03E65961-232A-487F-845F-9059CE8733EF}"/>
    <hyperlink ref="L157" r:id="rId1221" display="..\01_DOCUMENT_SETS\ST-057-EUR-03\03_Label.docx" xr:uid="{B36F2ABC-20D3-4398-939D-B183393FA6F7}"/>
    <hyperlink ref="M157" r:id="rId1222" display="..\01_DOCUMENT_SETS\ST-057-EUR-03\03_Label.pdf" xr:uid="{1B100D3B-B028-467B-85D5-7B251FBA50FB}"/>
    <hyperlink ref="O157" r:id="rId1223" display="..\01_DOCUMENT_SETS\ST-057-EUR-03\04_Shipment_Statement.docx" xr:uid="{D7E7ADC2-8028-48AF-9008-2D00F053C25F}"/>
    <hyperlink ref="P157" r:id="rId1224" display="..\01_DOCUMENT_SETS\ST-057-EUR-03\04_Shipment_Statement.pdf" xr:uid="{2F998252-AE27-476A-9B65-A38DC7D24DF0}"/>
    <hyperlink ref="F158" r:id="rId1225" display="..\01_DOCUMENT_SETS\ST-057-EUR-04\01_Technical_File.docx" xr:uid="{58BFD319-2BE3-4A2F-B796-76981FDC8BBC}"/>
    <hyperlink ref="G158" r:id="rId1226" display="..\01_DOCUMENT_SETS\ST-057-EUR-04\01_Technical_File.pdf" xr:uid="{06E2BBA5-6A22-49F6-B3FB-978435801E9F}"/>
    <hyperlink ref="I158" r:id="rId1227" display="..\01_DOCUMENT_SETS\ST-057-EUR-04\02_EU_DoC.docx" xr:uid="{26213741-5E29-4679-92BE-E2D8416759A5}"/>
    <hyperlink ref="J158" r:id="rId1228" display="..\01_DOCUMENT_SETS\ST-057-EUR-04\02_EU_DoC.pdf" xr:uid="{D3C958BA-18A5-4154-A6BB-73CFB684B7D9}"/>
    <hyperlink ref="L158" r:id="rId1229" display="..\01_DOCUMENT_SETS\ST-057-EUR-04\03_Label.docx" xr:uid="{9646C3B8-5BE2-4925-9898-329EB43FBA3F}"/>
    <hyperlink ref="M158" r:id="rId1230" display="..\01_DOCUMENT_SETS\ST-057-EUR-04\03_Label.pdf" xr:uid="{A928E9F3-633E-4605-8C18-58BF98167A45}"/>
    <hyperlink ref="O158" r:id="rId1231" display="..\01_DOCUMENT_SETS\ST-057-EUR-04\04_Shipment_Statement.docx" xr:uid="{53D07767-343B-484F-807D-F5BA7C32B8F8}"/>
    <hyperlink ref="P158" r:id="rId1232" display="..\01_DOCUMENT_SETS\ST-057-EUR-04\04_Shipment_Statement.pdf" xr:uid="{5087639B-D3A4-4E91-B2EF-4B7C2F17BE7C}"/>
    <hyperlink ref="F159" r:id="rId1233" display="..\01_DOCUMENT_SETS\ST-057-EUR-05\01_Technical_File.docx" xr:uid="{63E129BC-4292-4432-94F3-304A64B0A58B}"/>
    <hyperlink ref="G159" r:id="rId1234" display="..\01_DOCUMENT_SETS\ST-057-EUR-05\01_Technical_File.pdf" xr:uid="{343B89F8-E35A-466C-A8D7-A0A7E694E0E3}"/>
    <hyperlink ref="I159" r:id="rId1235" display="..\01_DOCUMENT_SETS\ST-057-EUR-05\02_EU_DoC.docx" xr:uid="{A0F4AD4D-A5DF-45AD-BC4B-1EFC8F55920B}"/>
    <hyperlink ref="J159" r:id="rId1236" display="..\01_DOCUMENT_SETS\ST-057-EUR-05\02_EU_DoC.pdf" xr:uid="{ECB33F5C-8BE7-4E24-B434-6C234F668191}"/>
    <hyperlink ref="L159" r:id="rId1237" display="..\01_DOCUMENT_SETS\ST-057-EUR-05\03_Label.docx" xr:uid="{C811E96C-9001-48A1-9268-63D83144CFF0}"/>
    <hyperlink ref="M159" r:id="rId1238" display="..\01_DOCUMENT_SETS\ST-057-EUR-05\03_Label.pdf" xr:uid="{FEFE5A22-B769-4B57-96B8-F9C28065C8AB}"/>
    <hyperlink ref="O159" r:id="rId1239" display="..\01_DOCUMENT_SETS\ST-057-EUR-05\04_Shipment_Statement.docx" xr:uid="{5164E26F-3ACB-4612-9E8D-71C5DF4C4448}"/>
    <hyperlink ref="P159" r:id="rId1240" display="..\01_DOCUMENT_SETS\ST-057-EUR-05\04_Shipment_Statement.pdf" xr:uid="{83E5ECCF-73B0-43EA-980E-5D553E9E09E0}"/>
    <hyperlink ref="F160" r:id="rId1241" display="..\01_DOCUMENT_SETS\ST-057-STD-01\01_Technical_File.docx" xr:uid="{091C10EE-5708-4A12-A773-F2571740E645}"/>
    <hyperlink ref="G160" r:id="rId1242" display="..\01_DOCUMENT_SETS\ST-057-STD-01\01_Technical_File.pdf" xr:uid="{10767B4E-D38E-425A-9FE0-470ED2469820}"/>
    <hyperlink ref="I160" r:id="rId1243" display="..\01_DOCUMENT_SETS\ST-057-STD-01\02_EU_DoC.docx" xr:uid="{350074A6-87A0-4AE0-9566-88B54266B129}"/>
    <hyperlink ref="J160" r:id="rId1244" display="..\01_DOCUMENT_SETS\ST-057-STD-01\02_EU_DoC.pdf" xr:uid="{7A384086-F79D-4410-82A4-716A754F3F28}"/>
    <hyperlink ref="L160" r:id="rId1245" display="..\01_DOCUMENT_SETS\ST-057-STD-01\03_Label.docx" xr:uid="{9AEDBCE7-4838-460B-9F16-60B8BE9B19EF}"/>
    <hyperlink ref="M160" r:id="rId1246" display="..\01_DOCUMENT_SETS\ST-057-STD-01\03_Label.pdf" xr:uid="{FC425A30-D8E0-4F81-9000-BB4A24F97310}"/>
    <hyperlink ref="O160" r:id="rId1247" display="..\01_DOCUMENT_SETS\ST-057-STD-01\04_Shipment_Statement.docx" xr:uid="{63E98728-B220-4CEB-AC26-E07E92E8DCAE}"/>
    <hyperlink ref="P160" r:id="rId1248" display="..\01_DOCUMENT_SETS\ST-057-STD-01\04_Shipment_Statement.pdf" xr:uid="{322B60A1-93A4-493D-A864-FB7C2A5F0357}"/>
    <hyperlink ref="F161" r:id="rId1249" display="..\01_DOCUMENT_SETS\ST-057-STD-02\01_Technical_File.docx" xr:uid="{A802E195-3077-4597-907E-877817F13287}"/>
    <hyperlink ref="G161" r:id="rId1250" display="..\01_DOCUMENT_SETS\ST-057-STD-02\01_Technical_File.pdf" xr:uid="{681B1112-401A-4A7A-BF16-2F7C3EE95637}"/>
    <hyperlink ref="I161" r:id="rId1251" display="..\01_DOCUMENT_SETS\ST-057-STD-02\02_EU_DoC.docx" xr:uid="{0BECF30B-1A75-4AAF-A03F-02FBC4B0D665}"/>
    <hyperlink ref="J161" r:id="rId1252" display="..\01_DOCUMENT_SETS\ST-057-STD-02\02_EU_DoC.pdf" xr:uid="{86F89B20-9CA1-4020-AFD5-FFBF68D93B7A}"/>
    <hyperlink ref="L161" r:id="rId1253" display="..\01_DOCUMENT_SETS\ST-057-STD-02\03_Label.docx" xr:uid="{87ADE40B-363B-4572-909A-517BB1C6AA0E}"/>
    <hyperlink ref="M161" r:id="rId1254" display="..\01_DOCUMENT_SETS\ST-057-STD-02\03_Label.pdf" xr:uid="{DE2C1A53-2CBB-4139-8D4B-94B2F614BE67}"/>
    <hyperlink ref="O161" r:id="rId1255" display="..\01_DOCUMENT_SETS\ST-057-STD-02\04_Shipment_Statement.docx" xr:uid="{5F7306A6-392C-40E5-A4A3-485530374B58}"/>
    <hyperlink ref="P161" r:id="rId1256" display="..\01_DOCUMENT_SETS\ST-057-STD-02\04_Shipment_Statement.pdf" xr:uid="{737334CA-4B50-4429-B11A-4278E57CF361}"/>
    <hyperlink ref="F162" r:id="rId1257" display="..\01_DOCUMENT_SETS\ST-057-STD-03\01_Technical_File.docx" xr:uid="{E6E2D634-C551-4B56-90F7-7E5C31D66BB4}"/>
    <hyperlink ref="G162" r:id="rId1258" display="..\01_DOCUMENT_SETS\ST-057-STD-03\01_Technical_File.pdf" xr:uid="{B40BF55A-4B21-494B-B6C6-CFE9CCC2E319}"/>
    <hyperlink ref="I162" r:id="rId1259" display="..\01_DOCUMENT_SETS\ST-057-STD-03\02_EU_DoC.docx" xr:uid="{F0389542-921F-4B49-BC91-92DBFDA52BF1}"/>
    <hyperlink ref="J162" r:id="rId1260" display="..\01_DOCUMENT_SETS\ST-057-STD-03\02_EU_DoC.pdf" xr:uid="{D1CD883B-F6B3-495D-BB2B-9843DB35BA15}"/>
    <hyperlink ref="L162" r:id="rId1261" display="..\01_DOCUMENT_SETS\ST-057-STD-03\03_Label.docx" xr:uid="{916DFF92-95CF-43F0-9A40-5C1538139809}"/>
    <hyperlink ref="M162" r:id="rId1262" display="..\01_DOCUMENT_SETS\ST-057-STD-03\03_Label.pdf" xr:uid="{4AF58E37-18F4-48D9-82DB-94BDD8B15F0C}"/>
    <hyperlink ref="O162" r:id="rId1263" display="..\01_DOCUMENT_SETS\ST-057-STD-03\04_Shipment_Statement.docx" xr:uid="{B830FB04-4B5D-4DF3-99D6-A10F3A9C977D}"/>
    <hyperlink ref="P162" r:id="rId1264" display="..\01_DOCUMENT_SETS\ST-057-STD-03\04_Shipment_Statement.pdf" xr:uid="{7F953BAB-C114-4D29-9E5F-01910F656A90}"/>
    <hyperlink ref="F163" r:id="rId1265" display="..\01_DOCUMENT_SETS\ST-057-STD-04\01_Technical_File.docx" xr:uid="{934DBD2F-5237-4EFE-A783-04691018878F}"/>
    <hyperlink ref="G163" r:id="rId1266" display="..\01_DOCUMENT_SETS\ST-057-STD-04\01_Technical_File.pdf" xr:uid="{41FB4B45-2AF2-44C8-BECD-A5BFC1EF1F5E}"/>
    <hyperlink ref="I163" r:id="rId1267" display="..\01_DOCUMENT_SETS\ST-057-STD-04\02_EU_DoC.docx" xr:uid="{2376554F-42D6-484A-8005-9E3F44E76A5E}"/>
    <hyperlink ref="J163" r:id="rId1268" display="..\01_DOCUMENT_SETS\ST-057-STD-04\02_EU_DoC.pdf" xr:uid="{5C39ADB5-6849-49F6-A854-B5D59A41F09F}"/>
    <hyperlink ref="L163" r:id="rId1269" display="..\01_DOCUMENT_SETS\ST-057-STD-04\03_Label.docx" xr:uid="{832C68EC-323F-43F6-AA1F-2BF0191EA085}"/>
    <hyperlink ref="M163" r:id="rId1270" display="..\01_DOCUMENT_SETS\ST-057-STD-04\03_Label.pdf" xr:uid="{4BD9B0DD-F6EB-42C5-AF42-47FACE10FD65}"/>
    <hyperlink ref="O163" r:id="rId1271" display="..\01_DOCUMENT_SETS\ST-057-STD-04\04_Shipment_Statement.docx" xr:uid="{B3DE1195-2463-47E2-A2B2-1673E6926E5D}"/>
    <hyperlink ref="P163" r:id="rId1272" display="..\01_DOCUMENT_SETS\ST-057-STD-04\04_Shipment_Statement.pdf" xr:uid="{ADF7AED6-353C-4831-A258-E65290BDA81B}"/>
    <hyperlink ref="F164" r:id="rId1273" display="..\01_DOCUMENT_SETS\ST-057-STD-05\01_Technical_File.docx" xr:uid="{7A5FA01D-61AD-40E5-BC07-52C39D9CA35E}"/>
    <hyperlink ref="G164" r:id="rId1274" display="..\01_DOCUMENT_SETS\ST-057-STD-05\01_Technical_File.pdf" xr:uid="{5785DCEE-5712-4A70-9693-7C70E85263E7}"/>
    <hyperlink ref="I164" r:id="rId1275" display="..\01_DOCUMENT_SETS\ST-057-STD-05\02_EU_DoC.docx" xr:uid="{DB3CB419-D5F1-4BF6-BDC9-DE4DD1B9BBA8}"/>
    <hyperlink ref="J164" r:id="rId1276" display="..\01_DOCUMENT_SETS\ST-057-STD-05\02_EU_DoC.pdf" xr:uid="{2C6BF89C-AAEE-4E17-A2AE-1113BF119F08}"/>
    <hyperlink ref="L164" r:id="rId1277" display="..\01_DOCUMENT_SETS\ST-057-STD-05\03_Label.docx" xr:uid="{5545FFEF-6A6D-45BB-A2EA-C4967A1C83A7}"/>
    <hyperlink ref="M164" r:id="rId1278" display="..\01_DOCUMENT_SETS\ST-057-STD-05\03_Label.pdf" xr:uid="{EDB0906B-A095-4831-B113-CE8F06E82399}"/>
    <hyperlink ref="O164" r:id="rId1279" display="..\01_DOCUMENT_SETS\ST-057-STD-05\04_Shipment_Statement.docx" xr:uid="{960D5016-2459-4335-9F83-4CCCF8BD1E1E}"/>
    <hyperlink ref="P164" r:id="rId1280" display="..\01_DOCUMENT_SETS\ST-057-STD-05\04_Shipment_Statement.pdf" xr:uid="{87EFFB0B-3D3B-4D67-8F60-3270FA9C9E4B}"/>
    <hyperlink ref="F165" r:id="rId1281" display="..\01_DOCUMENT_SETS\ST-060-EUR-01\01_Technical_File.docx" xr:uid="{F5E699B9-0B83-4559-888E-891AB2497975}"/>
    <hyperlink ref="G165" r:id="rId1282" display="..\01_DOCUMENT_SETS\ST-060-EUR-01\01_Technical_File.pdf" xr:uid="{F8435BF3-DCF7-41BE-B9C0-431DAB3B421E}"/>
    <hyperlink ref="I165" r:id="rId1283" display="..\01_DOCUMENT_SETS\ST-060-EUR-01\02_EU_DoC.docx" xr:uid="{A1147908-76EE-4191-8A53-854FB3894532}"/>
    <hyperlink ref="J165" r:id="rId1284" display="..\01_DOCUMENT_SETS\ST-060-EUR-01\02_EU_DoC.pdf" xr:uid="{9AFBB58B-3ABB-4B37-AD3B-AF30860673D4}"/>
    <hyperlink ref="L165" r:id="rId1285" display="..\01_DOCUMENT_SETS\ST-060-EUR-01\03_Label.docx" xr:uid="{525079BB-B2A3-4355-BF2D-F62E73D2A8B6}"/>
    <hyperlink ref="M165" r:id="rId1286" display="..\01_DOCUMENT_SETS\ST-060-EUR-01\03_Label.pdf" xr:uid="{EA5020EE-E900-47B4-9280-44177AC7933B}"/>
    <hyperlink ref="O165" r:id="rId1287" display="..\01_DOCUMENT_SETS\ST-060-EUR-01\04_Shipment_Statement.docx" xr:uid="{127C80A4-EE5B-4B0A-A28A-F6B06B2E2D1F}"/>
    <hyperlink ref="P165" r:id="rId1288" display="..\01_DOCUMENT_SETS\ST-060-EUR-01\04_Shipment_Statement.pdf" xr:uid="{7D70E086-63EC-4AA5-BDE5-86F410E9BE32}"/>
    <hyperlink ref="F166" r:id="rId1289" display="..\01_DOCUMENT_SETS\ST-060-EUR-02\01_Technical_File.docx" xr:uid="{2BCF81F4-943D-4ED6-81C1-95F2C49281A0}"/>
    <hyperlink ref="G166" r:id="rId1290" display="..\01_DOCUMENT_SETS\ST-060-EUR-02\01_Technical_File.pdf" xr:uid="{2B55F262-B588-436E-AB53-C846A870D2F9}"/>
    <hyperlink ref="I166" r:id="rId1291" display="..\01_DOCUMENT_SETS\ST-060-EUR-02\02_EU_DoC.docx" xr:uid="{1A1CBA04-1526-46E3-95D8-99A4A950D7A6}"/>
    <hyperlink ref="J166" r:id="rId1292" display="..\01_DOCUMENT_SETS\ST-060-EUR-02\02_EU_DoC.pdf" xr:uid="{CBBB13F5-9571-4986-9885-AA61716D1A4F}"/>
    <hyperlink ref="L166" r:id="rId1293" display="..\01_DOCUMENT_SETS\ST-060-EUR-02\03_Label.docx" xr:uid="{FADDDA4C-EC60-4101-84CC-FAAA230F6806}"/>
    <hyperlink ref="M166" r:id="rId1294" display="..\01_DOCUMENT_SETS\ST-060-EUR-02\03_Label.pdf" xr:uid="{B2529F4D-02C8-4C60-99F7-13DC51FE3E1B}"/>
    <hyperlink ref="O166" r:id="rId1295" display="..\01_DOCUMENT_SETS\ST-060-EUR-02\04_Shipment_Statement.docx" xr:uid="{CAECFE51-4D75-4CE5-8EE2-33676BBC2FD5}"/>
    <hyperlink ref="P166" r:id="rId1296" display="..\01_DOCUMENT_SETS\ST-060-EUR-02\04_Shipment_Statement.pdf" xr:uid="{66EE2CAF-7EF2-4268-8A34-3AC0C97104C3}"/>
    <hyperlink ref="F167" r:id="rId1297" display="..\01_DOCUMENT_SETS\ST-060-STD-01\01_Technical_File.docx" xr:uid="{07D3E052-F791-4B42-8DF6-C1DAB35BA621}"/>
    <hyperlink ref="G167" r:id="rId1298" display="..\01_DOCUMENT_SETS\ST-060-STD-01\01_Technical_File.pdf" xr:uid="{44BB65E5-375D-4DF4-8D12-5A51557B808E}"/>
    <hyperlink ref="I167" r:id="rId1299" display="..\01_DOCUMENT_SETS\ST-060-STD-01\02_EU_DoC.docx" xr:uid="{E5A0D6EA-AEA7-46A9-89CF-BA48D88CE021}"/>
    <hyperlink ref="J167" r:id="rId1300" display="..\01_DOCUMENT_SETS\ST-060-STD-01\02_EU_DoC.pdf" xr:uid="{33AA25EC-AEFE-4A94-BDBE-D4D552A1EF8C}"/>
    <hyperlink ref="L167" r:id="rId1301" display="..\01_DOCUMENT_SETS\ST-060-STD-01\03_Label.docx" xr:uid="{EB2F6AA6-9CCC-4EBD-AEE0-41DA33796B92}"/>
    <hyperlink ref="M167" r:id="rId1302" display="..\01_DOCUMENT_SETS\ST-060-STD-01\03_Label.pdf" xr:uid="{D67487D1-CB19-4A56-BCFD-867B4D7CBF20}"/>
    <hyperlink ref="O167" r:id="rId1303" display="..\01_DOCUMENT_SETS\ST-060-STD-01\04_Shipment_Statement.docx" xr:uid="{3634BDE7-2F6B-4049-9320-02B8D72CE80A}"/>
    <hyperlink ref="P167" r:id="rId1304" display="..\01_DOCUMENT_SETS\ST-060-STD-01\04_Shipment_Statement.pdf" xr:uid="{A46D087E-647C-4F1D-9285-591734EE09A9}"/>
    <hyperlink ref="F168" r:id="rId1305" display="..\01_DOCUMENT_SETS\ST-060-STD-02\01_Technical_File.docx" xr:uid="{03A38CD5-AD4B-4096-B497-F1DCD1376CAE}"/>
    <hyperlink ref="G168" r:id="rId1306" display="..\01_DOCUMENT_SETS\ST-060-STD-02\01_Technical_File.pdf" xr:uid="{1B961046-CA5A-418A-9F5F-831948EC66F6}"/>
    <hyperlink ref="I168" r:id="rId1307" display="..\01_DOCUMENT_SETS\ST-060-STD-02\02_EU_DoC.docx" xr:uid="{DB9CD172-388E-4066-AB4C-AC1CEC0560A8}"/>
    <hyperlink ref="J168" r:id="rId1308" display="..\01_DOCUMENT_SETS\ST-060-STD-02\02_EU_DoC.pdf" xr:uid="{6FAB1651-DF46-48E0-A36A-24C2B641AEF9}"/>
    <hyperlink ref="L168" r:id="rId1309" display="..\01_DOCUMENT_SETS\ST-060-STD-02\03_Label.docx" xr:uid="{15891555-1A39-464C-BEBE-E38918FABFDF}"/>
    <hyperlink ref="M168" r:id="rId1310" display="..\01_DOCUMENT_SETS\ST-060-STD-02\03_Label.pdf" xr:uid="{CB165242-9EE2-44C5-8837-7C63DD9FE002}"/>
    <hyperlink ref="O168" r:id="rId1311" display="..\01_DOCUMENT_SETS\ST-060-STD-02\04_Shipment_Statement.docx" xr:uid="{80E1575B-65AD-4315-995D-7F062B3F0F14}"/>
    <hyperlink ref="P168" r:id="rId1312" display="..\01_DOCUMENT_SETS\ST-060-STD-02\04_Shipment_Statement.pdf" xr:uid="{193C1524-3E5E-4265-B50A-B55E4D979F62}"/>
    <hyperlink ref="F169" r:id="rId1313" display="..\01_DOCUMENT_SETS\ST-060-STD-03\01_Technical_File.docx" xr:uid="{6B5B476F-B8BC-47D1-B44E-5B1BFAAF2649}"/>
    <hyperlink ref="G169" r:id="rId1314" display="..\01_DOCUMENT_SETS\ST-060-STD-03\01_Technical_File.pdf" xr:uid="{DCDC3B8A-E371-4DBD-82E2-3F6B553422CD}"/>
    <hyperlink ref="I169" r:id="rId1315" display="..\01_DOCUMENT_SETS\ST-060-STD-03\02_EU_DoC.docx" xr:uid="{BB7594B0-4B63-4CAD-A0B0-F92BDA532557}"/>
    <hyperlink ref="J169" r:id="rId1316" display="..\01_DOCUMENT_SETS\ST-060-STD-03\02_EU_DoC.pdf" xr:uid="{2A5B3E81-B66D-403C-86FD-1B8CB7C27C00}"/>
    <hyperlink ref="L169" r:id="rId1317" display="..\01_DOCUMENT_SETS\ST-060-STD-03\03_Label.docx" xr:uid="{3A6F57CD-095C-4BD6-85CD-97382674056D}"/>
    <hyperlink ref="M169" r:id="rId1318" display="..\01_DOCUMENT_SETS\ST-060-STD-03\03_Label.pdf" xr:uid="{2574E050-4C67-42D3-8734-28F07651435D}"/>
    <hyperlink ref="O169" r:id="rId1319" display="..\01_DOCUMENT_SETS\ST-060-STD-03\04_Shipment_Statement.docx" xr:uid="{2783F5E1-9223-4FF3-88B0-3B0C9C6E0B6B}"/>
    <hyperlink ref="P169" r:id="rId1320" display="..\01_DOCUMENT_SETS\ST-060-STD-03\04_Shipment_Statement.pdf" xr:uid="{06AD83F1-198F-44A7-A9AD-A295F7476513}"/>
    <hyperlink ref="F170" r:id="rId1321" display="..\01_DOCUMENT_SETS\ST-060-STD-04\01_Technical_File.docx" xr:uid="{84C61717-3ADE-4A80-B176-52981DBECB41}"/>
    <hyperlink ref="G170" r:id="rId1322" display="..\01_DOCUMENT_SETS\ST-060-STD-04\01_Technical_File.pdf" xr:uid="{009EE22C-B95B-4D10-B170-820F31023917}"/>
    <hyperlink ref="I170" r:id="rId1323" display="..\01_DOCUMENT_SETS\ST-060-STD-04\02_EU_DoC.docx" xr:uid="{95107855-2CCA-4F03-B737-7A69F1A1F1C6}"/>
    <hyperlink ref="J170" r:id="rId1324" display="..\01_DOCUMENT_SETS\ST-060-STD-04\02_EU_DoC.pdf" xr:uid="{C27A5034-1279-4A74-B1CC-B6DB916EE5D7}"/>
    <hyperlink ref="L170" r:id="rId1325" display="..\01_DOCUMENT_SETS\ST-060-STD-04\03_Label.docx" xr:uid="{CF0D872C-7273-42EB-B09C-83503A6DE08C}"/>
    <hyperlink ref="M170" r:id="rId1326" display="..\01_DOCUMENT_SETS\ST-060-STD-04\03_Label.pdf" xr:uid="{B61DA774-90AF-4166-9183-65CF67919520}"/>
    <hyperlink ref="O170" r:id="rId1327" display="..\01_DOCUMENT_SETS\ST-060-STD-04\04_Shipment_Statement.docx" xr:uid="{61C93847-6E65-4F06-934E-7D99E1BCAE39}"/>
    <hyperlink ref="P170" r:id="rId1328" display="..\01_DOCUMENT_SETS\ST-060-STD-04\04_Shipment_Statement.pdf" xr:uid="{43A430CE-25AB-4E93-8532-30CC116CC0C8}"/>
    <hyperlink ref="F171" r:id="rId1329" display="..\01_DOCUMENT_SETS\ST-060-STD-05\01_Technical_File.docx" xr:uid="{DFB560AC-F4A8-4530-8A0C-D0D33979D059}"/>
    <hyperlink ref="G171" r:id="rId1330" display="..\01_DOCUMENT_SETS\ST-060-STD-05\01_Technical_File.pdf" xr:uid="{238E7967-7B9E-4322-9F4F-462C83221CEC}"/>
    <hyperlink ref="I171" r:id="rId1331" display="..\01_DOCUMENT_SETS\ST-060-STD-05\02_EU_DoC.docx" xr:uid="{63D8BD80-DFFD-479A-99AA-1593C130BA9F}"/>
    <hyperlink ref="J171" r:id="rId1332" display="..\01_DOCUMENT_SETS\ST-060-STD-05\02_EU_DoC.pdf" xr:uid="{AE61E04D-C6A2-4DF0-B707-DD1478D588CB}"/>
    <hyperlink ref="L171" r:id="rId1333" display="..\01_DOCUMENT_SETS\ST-060-STD-05\03_Label.docx" xr:uid="{DDF89A3D-7119-4F35-8E8B-7194A02F68C4}"/>
    <hyperlink ref="M171" r:id="rId1334" display="..\01_DOCUMENT_SETS\ST-060-STD-05\03_Label.pdf" xr:uid="{A1BBE97B-53F2-4D5B-9A1D-9B6E03F533CE}"/>
    <hyperlink ref="O171" r:id="rId1335" display="..\01_DOCUMENT_SETS\ST-060-STD-05\04_Shipment_Statement.docx" xr:uid="{F93FA5BC-024F-45DE-A5D6-94648FA22DCA}"/>
    <hyperlink ref="P171" r:id="rId1336" display="..\01_DOCUMENT_SETS\ST-060-STD-05\04_Shipment_Statement.pdf" xr:uid="{EEDEE53B-ABB8-41EC-A370-5FB97351B4FD}"/>
    <hyperlink ref="F172" r:id="rId1337" display="..\01_DOCUMENT_SETS\ST-063-EUR-01\01_Technical_File.docx" xr:uid="{0810CDC7-32B5-4010-8E1E-D29C90506650}"/>
    <hyperlink ref="G172" r:id="rId1338" display="..\01_DOCUMENT_SETS\ST-063-EUR-01\01_Technical_File.pdf" xr:uid="{D89A66CA-4EA1-450D-BE68-1EBBD342499F}"/>
    <hyperlink ref="I172" r:id="rId1339" display="..\01_DOCUMENT_SETS\ST-063-EUR-01\02_EU_DoC.docx" xr:uid="{EEA0F16C-A306-44F2-AE3B-93C511ABD4CC}"/>
    <hyperlink ref="J172" r:id="rId1340" display="..\01_DOCUMENT_SETS\ST-063-EUR-01\02_EU_DoC.pdf" xr:uid="{AD636F7D-9D46-4EF3-B8FA-5E110C0CE1B2}"/>
    <hyperlink ref="L172" r:id="rId1341" display="..\01_DOCUMENT_SETS\ST-063-EUR-01\03_Label.docx" xr:uid="{DF30BC78-E73C-4880-B946-CAB2310B01BB}"/>
    <hyperlink ref="M172" r:id="rId1342" display="..\01_DOCUMENT_SETS\ST-063-EUR-01\03_Label.pdf" xr:uid="{6C996E64-AE08-4886-A6B5-3830227D5827}"/>
    <hyperlink ref="O172" r:id="rId1343" display="..\01_DOCUMENT_SETS\ST-063-EUR-01\04_Shipment_Statement.docx" xr:uid="{184178B3-4B55-4FB4-853C-5CE9C8913177}"/>
    <hyperlink ref="P172" r:id="rId1344" display="..\01_DOCUMENT_SETS\ST-063-EUR-01\04_Shipment_Statement.pdf" xr:uid="{0C89A83A-7CD3-4E88-8C7D-68F8664BAF30}"/>
    <hyperlink ref="F173" r:id="rId1345" display="..\01_DOCUMENT_SETS\ST-063-EUR-02\01_Technical_File.docx" xr:uid="{134F8B78-537B-4B4E-AB65-4733CB137455}"/>
    <hyperlink ref="G173" r:id="rId1346" display="..\01_DOCUMENT_SETS\ST-063-EUR-02\01_Technical_File.pdf" xr:uid="{7387B134-6C80-45CF-9488-62F67A1A224C}"/>
    <hyperlink ref="I173" r:id="rId1347" display="..\01_DOCUMENT_SETS\ST-063-EUR-02\02_EU_DoC.docx" xr:uid="{FB271083-95E8-4449-800B-8EEAA5890E81}"/>
    <hyperlink ref="J173" r:id="rId1348" display="..\01_DOCUMENT_SETS\ST-063-EUR-02\02_EU_DoC.pdf" xr:uid="{CAB81767-0C09-46F4-9B5E-3581121230CF}"/>
    <hyperlink ref="L173" r:id="rId1349" display="..\01_DOCUMENT_SETS\ST-063-EUR-02\03_Label.docx" xr:uid="{1E65ECC8-4A20-46B0-BC10-BF565D20179C}"/>
    <hyperlink ref="M173" r:id="rId1350" display="..\01_DOCUMENT_SETS\ST-063-EUR-02\03_Label.pdf" xr:uid="{F74704CF-CA42-4C81-AC91-669F43087529}"/>
    <hyperlink ref="O173" r:id="rId1351" display="..\01_DOCUMENT_SETS\ST-063-EUR-02\04_Shipment_Statement.docx" xr:uid="{BB20EADD-1D1B-4FA0-822B-152AF009966C}"/>
    <hyperlink ref="P173" r:id="rId1352" display="..\01_DOCUMENT_SETS\ST-063-EUR-02\04_Shipment_Statement.pdf" xr:uid="{002A4828-63E5-49B4-AF49-E92F64750BD3}"/>
    <hyperlink ref="F174" r:id="rId1353" display="..\01_DOCUMENT_SETS\ST-063-STD-01\01_Technical_File.docx" xr:uid="{4F7F7D21-12F7-4F43-A468-D5A5DF4E3831}"/>
    <hyperlink ref="G174" r:id="rId1354" display="..\01_DOCUMENT_SETS\ST-063-STD-01\01_Technical_File.pdf" xr:uid="{B675DC0B-FFE8-4947-BAAA-0E138B90B79F}"/>
    <hyperlink ref="I174" r:id="rId1355" display="..\01_DOCUMENT_SETS\ST-063-STD-01\02_EU_DoC.docx" xr:uid="{32503F19-4DF7-4AA4-A11D-CDEAD04A3121}"/>
    <hyperlink ref="J174" r:id="rId1356" display="..\01_DOCUMENT_SETS\ST-063-STD-01\02_EU_DoC.pdf" xr:uid="{80E7BFBD-2031-4DE9-8F62-07127AC1695F}"/>
    <hyperlink ref="L174" r:id="rId1357" display="..\01_DOCUMENT_SETS\ST-063-STD-01\03_Label.docx" xr:uid="{5CEABFC3-DA3B-4B80-85AD-7945CA7C3431}"/>
    <hyperlink ref="M174" r:id="rId1358" display="..\01_DOCUMENT_SETS\ST-063-STD-01\03_Label.pdf" xr:uid="{3AFE9EC3-B238-4774-99C6-60C47F95C87D}"/>
    <hyperlink ref="O174" r:id="rId1359" display="..\01_DOCUMENT_SETS\ST-063-STD-01\04_Shipment_Statement.docx" xr:uid="{3A14D539-4D53-4A96-9F4D-02566C115072}"/>
    <hyperlink ref="P174" r:id="rId1360" display="..\01_DOCUMENT_SETS\ST-063-STD-01\04_Shipment_Statement.pdf" xr:uid="{91296D6E-AD37-45EC-AECE-2A865646FA64}"/>
    <hyperlink ref="F175" r:id="rId1361" display="..\01_DOCUMENT_SETS\ST-063-STD-02\01_Technical_File.docx" xr:uid="{787A1CE1-1586-43C7-B153-4A04059D18C1}"/>
    <hyperlink ref="G175" r:id="rId1362" display="..\01_DOCUMENT_SETS\ST-063-STD-02\01_Technical_File.pdf" xr:uid="{6C1DE29B-7AE7-4767-BAFF-9F2D7EDCF603}"/>
    <hyperlink ref="I175" r:id="rId1363" display="..\01_DOCUMENT_SETS\ST-063-STD-02\02_EU_DoC.docx" xr:uid="{2E5FFA05-53A2-42D4-AE73-E32654125194}"/>
    <hyperlink ref="J175" r:id="rId1364" display="..\01_DOCUMENT_SETS\ST-063-STD-02\02_EU_DoC.pdf" xr:uid="{45787423-3D09-4B5E-A25F-ECF261E7EF12}"/>
    <hyperlink ref="L175" r:id="rId1365" display="..\01_DOCUMENT_SETS\ST-063-STD-02\03_Label.docx" xr:uid="{8403336F-53EF-40B2-9CEE-F2D0937A6722}"/>
    <hyperlink ref="M175" r:id="rId1366" display="..\01_DOCUMENT_SETS\ST-063-STD-02\03_Label.pdf" xr:uid="{833F8CFD-BFE8-4950-9955-F443E7BA7073}"/>
    <hyperlink ref="O175" r:id="rId1367" display="..\01_DOCUMENT_SETS\ST-063-STD-02\04_Shipment_Statement.docx" xr:uid="{3EF6FF8E-D0CC-4A1F-8543-8BFB0031F273}"/>
    <hyperlink ref="P175" r:id="rId1368" display="..\01_DOCUMENT_SETS\ST-063-STD-02\04_Shipment_Statement.pdf" xr:uid="{4EC3A7A3-1850-4B97-ACE6-8AF5F920C148}"/>
    <hyperlink ref="F176" r:id="rId1369" display="..\01_DOCUMENT_SETS\ST-063-STD-03\01_Technical_File.docx" xr:uid="{13EF409D-78EF-42C2-86EB-0622895AD108}"/>
    <hyperlink ref="G176" r:id="rId1370" display="..\01_DOCUMENT_SETS\ST-063-STD-03\01_Technical_File.pdf" xr:uid="{5844417F-F2C9-4589-939A-1D56F2180E3D}"/>
    <hyperlink ref="I176" r:id="rId1371" display="..\01_DOCUMENT_SETS\ST-063-STD-03\02_EU_DoC.docx" xr:uid="{57ED1C79-94BB-4C94-8780-03A089517AB2}"/>
    <hyperlink ref="J176" r:id="rId1372" display="..\01_DOCUMENT_SETS\ST-063-STD-03\02_EU_DoC.pdf" xr:uid="{56C58AD2-DB52-4DDD-99F2-A86DC5F61D6C}"/>
    <hyperlink ref="L176" r:id="rId1373" display="..\01_DOCUMENT_SETS\ST-063-STD-03\03_Label.docx" xr:uid="{F30C5730-0223-4A38-B026-B6342076F3E6}"/>
    <hyperlink ref="M176" r:id="rId1374" display="..\01_DOCUMENT_SETS\ST-063-STD-03\03_Label.pdf" xr:uid="{08CF2D4A-5983-454F-80B6-8FDCA264A9DB}"/>
    <hyperlink ref="O176" r:id="rId1375" display="..\01_DOCUMENT_SETS\ST-063-STD-03\04_Shipment_Statement.docx" xr:uid="{12CE9C22-33C6-4EF5-956C-C4D1DE894DE1}"/>
    <hyperlink ref="P176" r:id="rId1376" display="..\01_DOCUMENT_SETS\ST-063-STD-03\04_Shipment_Statement.pdf" xr:uid="{6C6675FA-362A-4F59-B911-0DD98C8C6054}"/>
    <hyperlink ref="F177" r:id="rId1377" display="..\01_DOCUMENT_SETS\ST-063-STD-04\01_Technical_File.docx" xr:uid="{7D5876CE-7F26-4BD7-93BF-975A76A37EB7}"/>
    <hyperlink ref="G177" r:id="rId1378" display="..\01_DOCUMENT_SETS\ST-063-STD-04\01_Technical_File.pdf" xr:uid="{F321CDBC-540C-440A-BF25-151DD34B0649}"/>
    <hyperlink ref="I177" r:id="rId1379" display="..\01_DOCUMENT_SETS\ST-063-STD-04\02_EU_DoC.docx" xr:uid="{9435610F-41C6-40EC-82EC-C34492756E02}"/>
    <hyperlink ref="J177" r:id="rId1380" display="..\01_DOCUMENT_SETS\ST-063-STD-04\02_EU_DoC.pdf" xr:uid="{73AEFD06-0B24-4A44-93D8-0AC47E0B2A18}"/>
    <hyperlink ref="L177" r:id="rId1381" display="..\01_DOCUMENT_SETS\ST-063-STD-04\03_Label.docx" xr:uid="{525E56E1-4BD5-40E6-B289-5DB50B343E34}"/>
    <hyperlink ref="M177" r:id="rId1382" display="..\01_DOCUMENT_SETS\ST-063-STD-04\03_Label.pdf" xr:uid="{FEF969BE-0C32-4F8E-8F2C-167E05AAEF09}"/>
    <hyperlink ref="O177" r:id="rId1383" display="..\01_DOCUMENT_SETS\ST-063-STD-04\04_Shipment_Statement.docx" xr:uid="{985EE372-5744-459E-BC8B-A7B7B9C47FF3}"/>
    <hyperlink ref="P177" r:id="rId1384" display="..\01_DOCUMENT_SETS\ST-063-STD-04\04_Shipment_Statement.pdf" xr:uid="{978EE0F4-5B9F-4DB0-A0ED-631363DCF9F6}"/>
    <hyperlink ref="F178" r:id="rId1385" display="..\01_DOCUMENT_SETS\ST-063-STD-05\01_Technical_File.docx" xr:uid="{1A4520B3-48BE-4902-9305-073A48E6C74F}"/>
    <hyperlink ref="G178" r:id="rId1386" display="..\01_DOCUMENT_SETS\ST-063-STD-05\01_Technical_File.pdf" xr:uid="{578818C5-8E7D-4800-88AE-4BECD4B860D8}"/>
    <hyperlink ref="I178" r:id="rId1387" display="..\01_DOCUMENT_SETS\ST-063-STD-05\02_EU_DoC.docx" xr:uid="{E0F8CB4E-28F7-4E95-AC68-BC3CB5F17CB2}"/>
    <hyperlink ref="J178" r:id="rId1388" display="..\01_DOCUMENT_SETS\ST-063-STD-05\02_EU_DoC.pdf" xr:uid="{8447DDEB-0002-4448-90ED-9E301B68610D}"/>
    <hyperlink ref="L178" r:id="rId1389" display="..\01_DOCUMENT_SETS\ST-063-STD-05\03_Label.docx" xr:uid="{5D8ABFF4-7491-4121-8002-97259091DAB1}"/>
    <hyperlink ref="M178" r:id="rId1390" display="..\01_DOCUMENT_SETS\ST-063-STD-05\03_Label.pdf" xr:uid="{EE04BB50-1A07-4428-8AFB-61A02D479337}"/>
    <hyperlink ref="O178" r:id="rId1391" display="..\01_DOCUMENT_SETS\ST-063-STD-05\04_Shipment_Statement.docx" xr:uid="{6F7AA2C6-4957-4668-B021-A066D95E3D4B}"/>
    <hyperlink ref="P178" r:id="rId1392" display="..\01_DOCUMENT_SETS\ST-063-STD-05\04_Shipment_Statement.pdf" xr:uid="{FF03F401-1F15-41F4-81F7-43EE3AEBA00A}"/>
    <hyperlink ref="F179" r:id="rId1393" display="..\01_DOCUMENT_SETS\ST-063-STD-06\01_Technical_File.docx" xr:uid="{979ABAAE-D496-4229-A206-A198E526A8DD}"/>
    <hyperlink ref="G179" r:id="rId1394" display="..\01_DOCUMENT_SETS\ST-063-STD-06\01_Technical_File.pdf" xr:uid="{4503A244-7280-46EF-8C4C-ADC876FA1083}"/>
    <hyperlink ref="I179" r:id="rId1395" display="..\01_DOCUMENT_SETS\ST-063-STD-06\02_EU_DoC.docx" xr:uid="{919AD01A-258E-45EF-8CD5-4308F1D7D332}"/>
    <hyperlink ref="J179" r:id="rId1396" display="..\01_DOCUMENT_SETS\ST-063-STD-06\02_EU_DoC.pdf" xr:uid="{C6A9E41B-0655-44E6-BACA-9804CA908623}"/>
    <hyperlink ref="L179" r:id="rId1397" display="..\01_DOCUMENT_SETS\ST-063-STD-06\03_Label.docx" xr:uid="{F8D761C9-02E4-4599-B5EC-0ECD05F2976C}"/>
    <hyperlink ref="M179" r:id="rId1398" display="..\01_DOCUMENT_SETS\ST-063-STD-06\03_Label.pdf" xr:uid="{139032B5-A66F-4553-809D-7B1BA1E02F01}"/>
    <hyperlink ref="O179" r:id="rId1399" display="..\01_DOCUMENT_SETS\ST-063-STD-06\04_Shipment_Statement.docx" xr:uid="{C2530247-66C9-4F70-B6D0-FECE727931EF}"/>
    <hyperlink ref="P179" r:id="rId1400" display="..\01_DOCUMENT_SETS\ST-063-STD-06\04_Shipment_Statement.pdf" xr:uid="{D50343A4-C2BA-4521-A793-54F2CA5F7566}"/>
    <hyperlink ref="F180" r:id="rId1401" display="..\01_DOCUMENT_SETS\ST-063-STD-07\01_Technical_File.docx" xr:uid="{DB372878-2348-4BD4-8EF2-EE99B43B3B95}"/>
    <hyperlink ref="G180" r:id="rId1402" display="..\01_DOCUMENT_SETS\ST-063-STD-07\01_Technical_File.pdf" xr:uid="{7E8F905F-42EF-4826-8F95-3521CEFDE50E}"/>
    <hyperlink ref="I180" r:id="rId1403" display="..\01_DOCUMENT_SETS\ST-063-STD-07\02_EU_DoC.docx" xr:uid="{A1FAC91B-2478-4F51-A103-FA7EBDD56D3A}"/>
    <hyperlink ref="J180" r:id="rId1404" display="..\01_DOCUMENT_SETS\ST-063-STD-07\02_EU_DoC.pdf" xr:uid="{F6B51B97-E35F-4A9A-97B3-3552D4F3DDE5}"/>
    <hyperlink ref="L180" r:id="rId1405" display="..\01_DOCUMENT_SETS\ST-063-STD-07\03_Label.docx" xr:uid="{82613752-AD0D-4419-8271-FC088B866170}"/>
    <hyperlink ref="M180" r:id="rId1406" display="..\01_DOCUMENT_SETS\ST-063-STD-07\03_Label.pdf" xr:uid="{DC8BB347-0D87-43EC-9A32-8B58FA6359FD}"/>
    <hyperlink ref="O180" r:id="rId1407" display="..\01_DOCUMENT_SETS\ST-063-STD-07\04_Shipment_Statement.docx" xr:uid="{2E211891-A1E3-480F-BF85-7BA019A36FF1}"/>
    <hyperlink ref="P180" r:id="rId1408" display="..\01_DOCUMENT_SETS\ST-063-STD-07\04_Shipment_Statement.pdf" xr:uid="{35EEC71F-520A-40C0-A78E-77EBF717584C}"/>
    <hyperlink ref="F181" r:id="rId1409" display="..\01_DOCUMENT_SETS\ST-063-STD-08\01_Technical_File.docx" xr:uid="{808E9078-57FE-439F-93C0-490EE10FD4C6}"/>
    <hyperlink ref="G181" r:id="rId1410" display="..\01_DOCUMENT_SETS\ST-063-STD-08\01_Technical_File.pdf" xr:uid="{3A5916F5-7050-4FF0-BB07-D84ACD7E025B}"/>
    <hyperlink ref="I181" r:id="rId1411" display="..\01_DOCUMENT_SETS\ST-063-STD-08\02_EU_DoC.docx" xr:uid="{1C11872F-8087-4D1B-904C-9794621D71C7}"/>
    <hyperlink ref="J181" r:id="rId1412" display="..\01_DOCUMENT_SETS\ST-063-STD-08\02_EU_DoC.pdf" xr:uid="{4A848A67-0548-467C-92C3-5B60E1F46D22}"/>
    <hyperlink ref="L181" r:id="rId1413" display="..\01_DOCUMENT_SETS\ST-063-STD-08\03_Label.docx" xr:uid="{960FFFF1-3259-4F99-8F29-6894DBD0F5E9}"/>
    <hyperlink ref="M181" r:id="rId1414" display="..\01_DOCUMENT_SETS\ST-063-STD-08\03_Label.pdf" xr:uid="{219EC8DA-5D73-48C8-86F3-E13C74569A34}"/>
    <hyperlink ref="O181" r:id="rId1415" display="..\01_DOCUMENT_SETS\ST-063-STD-08\04_Shipment_Statement.docx" xr:uid="{B00A64BB-0E75-453A-A835-AB03932C182E}"/>
    <hyperlink ref="P181" r:id="rId1416" display="..\01_DOCUMENT_SETS\ST-063-STD-08\04_Shipment_Statement.pdf" xr:uid="{B8675DA5-89CA-41C1-A57B-3EBE5A9572B2}"/>
    <hyperlink ref="F182" r:id="rId1417" display="..\01_DOCUMENT_SETS\ST-063-STD-09\01_Technical_File.docx" xr:uid="{30D1AF42-AAFE-461D-9879-DAA7B3DF9908}"/>
    <hyperlink ref="G182" r:id="rId1418" display="..\01_DOCUMENT_SETS\ST-063-STD-09\01_Technical_File.pdf" xr:uid="{7F7A6AF9-CD25-412B-B726-B84DB28EE045}"/>
    <hyperlink ref="I182" r:id="rId1419" display="..\01_DOCUMENT_SETS\ST-063-STD-09\02_EU_DoC.docx" xr:uid="{60E3341A-A746-4E9E-81B0-D5ADC40137AA}"/>
    <hyperlink ref="J182" r:id="rId1420" display="..\01_DOCUMENT_SETS\ST-063-STD-09\02_EU_DoC.pdf" xr:uid="{16911D9F-2C9C-448C-AB8E-3995085C9815}"/>
    <hyperlink ref="L182" r:id="rId1421" display="..\01_DOCUMENT_SETS\ST-063-STD-09\03_Label.docx" xr:uid="{0E0B48DB-6E57-4732-9639-83CA1C2E61EF}"/>
    <hyperlink ref="M182" r:id="rId1422" display="..\01_DOCUMENT_SETS\ST-063-STD-09\03_Label.pdf" xr:uid="{0BAAD8AF-B96B-4E96-B465-65DF68010455}"/>
    <hyperlink ref="O182" r:id="rId1423" display="..\01_DOCUMENT_SETS\ST-063-STD-09\04_Shipment_Statement.docx" xr:uid="{4E65E7BA-BB24-4F3D-9171-1E3EC7F06A3D}"/>
    <hyperlink ref="P182" r:id="rId1424" display="..\01_DOCUMENT_SETS\ST-063-STD-09\04_Shipment_Statement.pdf" xr:uid="{1F4355B7-C2B0-466D-BC75-B5E2703A8ABF}"/>
    <hyperlink ref="F183" r:id="rId1425" display="..\01_DOCUMENT_SETS\ST-063-STD-10\01_Technical_File.docx" xr:uid="{F6056BA3-AB64-4E11-8947-A809F93EA73E}"/>
    <hyperlink ref="G183" r:id="rId1426" display="..\01_DOCUMENT_SETS\ST-063-STD-10\01_Technical_File.pdf" xr:uid="{40655AE4-EE69-4C42-87FF-B7E347759F9B}"/>
    <hyperlink ref="I183" r:id="rId1427" display="..\01_DOCUMENT_SETS\ST-063-STD-10\02_EU_DoC.docx" xr:uid="{197269AB-AFD3-466C-9E49-C0AB55D54326}"/>
    <hyperlink ref="J183" r:id="rId1428" display="..\01_DOCUMENT_SETS\ST-063-STD-10\02_EU_DoC.pdf" xr:uid="{A5541B0A-66F0-4C2D-B418-3A1ED5CEF077}"/>
    <hyperlink ref="L183" r:id="rId1429" display="..\01_DOCUMENT_SETS\ST-063-STD-10\03_Label.docx" xr:uid="{7ECAD5AE-9626-40BC-9E57-00625C0CE878}"/>
    <hyperlink ref="M183" r:id="rId1430" display="..\01_DOCUMENT_SETS\ST-063-STD-10\03_Label.pdf" xr:uid="{A575E90B-C183-40E5-9A99-560206E6B841}"/>
    <hyperlink ref="O183" r:id="rId1431" display="..\01_DOCUMENT_SETS\ST-063-STD-10\04_Shipment_Statement.docx" xr:uid="{B9D8B067-70A3-4B61-A968-9E81BE1D2B50}"/>
    <hyperlink ref="P183" r:id="rId1432" display="..\01_DOCUMENT_SETS\ST-063-STD-10\04_Shipment_Statement.pdf" xr:uid="{072AE363-F12B-4354-B488-6FEFD19A65A4}"/>
    <hyperlink ref="F184" r:id="rId1433" display="..\01_DOCUMENT_SETS\ST-063-STD-11\01_Technical_File.docx" xr:uid="{DE59128B-C265-42DD-8ACB-79D43BA40D28}"/>
    <hyperlink ref="G184" r:id="rId1434" display="..\01_DOCUMENT_SETS\ST-063-STD-11\01_Technical_File.pdf" xr:uid="{123AC2A9-091A-45FD-91E2-F17B2A717A79}"/>
    <hyperlink ref="I184" r:id="rId1435" display="..\01_DOCUMENT_SETS\ST-063-STD-11\02_EU_DoC.docx" xr:uid="{EF96DB12-E28E-4D8E-808F-9E98B6DDF3B6}"/>
    <hyperlink ref="J184" r:id="rId1436" display="..\01_DOCUMENT_SETS\ST-063-STD-11\02_EU_DoC.pdf" xr:uid="{70904D7E-AAF7-4EFF-BAED-734D517E3906}"/>
    <hyperlink ref="L184" r:id="rId1437" display="..\01_DOCUMENT_SETS\ST-063-STD-11\03_Label.docx" xr:uid="{94DDBDAF-6F94-466E-ADF2-7857B86F22C0}"/>
    <hyperlink ref="M184" r:id="rId1438" display="..\01_DOCUMENT_SETS\ST-063-STD-11\03_Label.pdf" xr:uid="{CE69DEF5-E019-47D2-B774-E6D474B34588}"/>
    <hyperlink ref="O184" r:id="rId1439" display="..\01_DOCUMENT_SETS\ST-063-STD-11\04_Shipment_Statement.docx" xr:uid="{007D5D61-C844-48A7-9836-A26D50FFCB20}"/>
    <hyperlink ref="P184" r:id="rId1440" display="..\01_DOCUMENT_SETS\ST-063-STD-11\04_Shipment_Statement.pdf" xr:uid="{CCE4EFA4-8298-42A3-9EED-E09623801C53}"/>
    <hyperlink ref="F185" r:id="rId1441" display="..\01_DOCUMENT_SETS\ST-063-STD-12\01_Technical_File.docx" xr:uid="{FDFCB935-1BFC-44DA-91BF-F3A20B002FF4}"/>
    <hyperlink ref="G185" r:id="rId1442" display="..\01_DOCUMENT_SETS\ST-063-STD-12\01_Technical_File.pdf" xr:uid="{EE3EF71C-B07A-4E82-B554-C993510B9050}"/>
    <hyperlink ref="I185" r:id="rId1443" display="..\01_DOCUMENT_SETS\ST-063-STD-12\02_EU_DoC.docx" xr:uid="{40EDFFEE-76C0-40DF-828D-E5FFEDEA057C}"/>
    <hyperlink ref="J185" r:id="rId1444" display="..\01_DOCUMENT_SETS\ST-063-STD-12\02_EU_DoC.pdf" xr:uid="{DA0A1439-94EF-4235-A02A-2CBD3105314A}"/>
    <hyperlink ref="L185" r:id="rId1445" display="..\01_DOCUMENT_SETS\ST-063-STD-12\03_Label.docx" xr:uid="{25677120-9FA6-4818-B942-5BD2610D1CBF}"/>
    <hyperlink ref="M185" r:id="rId1446" display="..\01_DOCUMENT_SETS\ST-063-STD-12\03_Label.pdf" xr:uid="{3CFC4492-46A3-42C3-8897-7D7C7B98D777}"/>
    <hyperlink ref="O185" r:id="rId1447" display="..\01_DOCUMENT_SETS\ST-063-STD-12\04_Shipment_Statement.docx" xr:uid="{50C149BD-CAD0-4671-915B-34C291BF7EBF}"/>
    <hyperlink ref="P185" r:id="rId1448" display="..\01_DOCUMENT_SETS\ST-063-STD-12\04_Shipment_Statement.pdf" xr:uid="{C07DF7D3-BC49-469B-8A7D-65EED5D6F7B1}"/>
    <hyperlink ref="F186" r:id="rId1449" display="..\01_DOCUMENT_SETS\ST-063-STD-13\01_Technical_File.docx" xr:uid="{A3CD53F1-EBC4-4231-8047-FBF30A98D80F}"/>
    <hyperlink ref="G186" r:id="rId1450" display="..\01_DOCUMENT_SETS\ST-063-STD-13\01_Technical_File.pdf" xr:uid="{3F3D6A11-DDE2-4709-989A-7FFF67DD11B0}"/>
    <hyperlink ref="I186" r:id="rId1451" display="..\01_DOCUMENT_SETS\ST-063-STD-13\02_EU_DoC.docx" xr:uid="{D6852C38-415D-4C8B-9A8E-66FA1048F27D}"/>
    <hyperlink ref="J186" r:id="rId1452" display="..\01_DOCUMENT_SETS\ST-063-STD-13\02_EU_DoC.pdf" xr:uid="{15DD2790-E16C-4A23-87A6-DEDD6B00C731}"/>
    <hyperlink ref="L186" r:id="rId1453" display="..\01_DOCUMENT_SETS\ST-063-STD-13\03_Label.docx" xr:uid="{EDAF9D57-5C24-4FB2-A044-6DC7B50A9E56}"/>
    <hyperlink ref="M186" r:id="rId1454" display="..\01_DOCUMENT_SETS\ST-063-STD-13\03_Label.pdf" xr:uid="{348A9BE7-5D29-4D6A-8CE1-F5616BD5BC47}"/>
    <hyperlink ref="O186" r:id="rId1455" display="..\01_DOCUMENT_SETS\ST-063-STD-13\04_Shipment_Statement.docx" xr:uid="{0B825761-D503-4B39-8463-8C00DD22DC83}"/>
    <hyperlink ref="P186" r:id="rId1456" display="..\01_DOCUMENT_SETS\ST-063-STD-13\04_Shipment_Statement.pdf" xr:uid="{05F280EF-3FDB-4E89-B182-19C9777C6F9B}"/>
    <hyperlink ref="F187" r:id="rId1457" display="..\01_DOCUMENT_SETS\ST-063-STD-14\01_Technical_File.docx" xr:uid="{CD182874-267D-4F2E-BC77-F1BBFCC9CB74}"/>
    <hyperlink ref="G187" r:id="rId1458" display="..\01_DOCUMENT_SETS\ST-063-STD-14\01_Technical_File.pdf" xr:uid="{45AEECCA-0680-45D0-93A2-24B6AB4D1C01}"/>
    <hyperlink ref="I187" r:id="rId1459" display="..\01_DOCUMENT_SETS\ST-063-STD-14\02_EU_DoC.docx" xr:uid="{5ED98349-B444-48FA-AFFE-26845BB5751F}"/>
    <hyperlink ref="J187" r:id="rId1460" display="..\01_DOCUMENT_SETS\ST-063-STD-14\02_EU_DoC.pdf" xr:uid="{8D00FDDF-7542-4D45-8D65-DEAC5715BC7B}"/>
    <hyperlink ref="L187" r:id="rId1461" display="..\01_DOCUMENT_SETS\ST-063-STD-14\03_Label.docx" xr:uid="{3EEF6F82-F1FB-4B47-92DE-C18B5F6BF6C2}"/>
    <hyperlink ref="M187" r:id="rId1462" display="..\01_DOCUMENT_SETS\ST-063-STD-14\03_Label.pdf" xr:uid="{F74A2E8D-2B1E-4B91-811F-58569A45506D}"/>
    <hyperlink ref="O187" r:id="rId1463" display="..\01_DOCUMENT_SETS\ST-063-STD-14\04_Shipment_Statement.docx" xr:uid="{F323E604-17D8-4843-B08B-B4788585A1BD}"/>
    <hyperlink ref="P187" r:id="rId1464" display="..\01_DOCUMENT_SETS\ST-063-STD-14\04_Shipment_Statement.pdf" xr:uid="{B8874C6B-003B-44D9-905C-7CDC1BC732A6}"/>
    <hyperlink ref="F188" r:id="rId1465" display="..\01_DOCUMENT_SETS\ST-063-STD-15\01_Technical_File.docx" xr:uid="{B7C813D1-0E56-46FC-871A-7831A55BB3BD}"/>
    <hyperlink ref="G188" r:id="rId1466" display="..\01_DOCUMENT_SETS\ST-063-STD-15\01_Technical_File.pdf" xr:uid="{4AB78BA2-F294-48F0-AD8F-F25E71C149AC}"/>
    <hyperlink ref="I188" r:id="rId1467" display="..\01_DOCUMENT_SETS\ST-063-STD-15\02_EU_DoC.docx" xr:uid="{58A03448-BAF6-4C40-8870-76A0335645D8}"/>
    <hyperlink ref="J188" r:id="rId1468" display="..\01_DOCUMENT_SETS\ST-063-STD-15\02_EU_DoC.pdf" xr:uid="{E9F99C57-7DC4-4860-BFE3-70D7A1710920}"/>
    <hyperlink ref="L188" r:id="rId1469" display="..\01_DOCUMENT_SETS\ST-063-STD-15\03_Label.docx" xr:uid="{C479B66C-0D9B-44E1-B827-213272373110}"/>
    <hyperlink ref="M188" r:id="rId1470" display="..\01_DOCUMENT_SETS\ST-063-STD-15\03_Label.pdf" xr:uid="{C93E0D43-EA7A-4D1B-829A-720F0AFD1624}"/>
    <hyperlink ref="O188" r:id="rId1471" display="..\01_DOCUMENT_SETS\ST-063-STD-15\04_Shipment_Statement.docx" xr:uid="{9A79C89E-621A-4917-9504-938E3CDCC7F6}"/>
    <hyperlink ref="P188" r:id="rId1472" display="..\01_DOCUMENT_SETS\ST-063-STD-15\04_Shipment_Statement.pdf" xr:uid="{51ED7D88-BE54-4863-9164-21F8B3247193}"/>
    <hyperlink ref="F189" r:id="rId1473" display="..\01_DOCUMENT_SETS\ST-063-STD-16\01_Technical_File.docx" xr:uid="{DF735D1A-4F44-4FCE-9981-E12611FC7CE9}"/>
    <hyperlink ref="G189" r:id="rId1474" display="..\01_DOCUMENT_SETS\ST-063-STD-16\01_Technical_File.pdf" xr:uid="{B74655EE-0727-4368-B87E-873CE3DED1E5}"/>
    <hyperlink ref="I189" r:id="rId1475" display="..\01_DOCUMENT_SETS\ST-063-STD-16\02_EU_DoC.docx" xr:uid="{AB323C47-C395-420E-9098-3E0ACE179676}"/>
    <hyperlink ref="J189" r:id="rId1476" display="..\01_DOCUMENT_SETS\ST-063-STD-16\02_EU_DoC.pdf" xr:uid="{0161F91F-E952-48EC-9424-E05B7DC7F559}"/>
    <hyperlink ref="L189" r:id="rId1477" display="..\01_DOCUMENT_SETS\ST-063-STD-16\03_Label.docx" xr:uid="{3044B34E-B556-488E-8D7B-86037C145924}"/>
    <hyperlink ref="M189" r:id="rId1478" display="..\01_DOCUMENT_SETS\ST-063-STD-16\03_Label.pdf" xr:uid="{0BAB2603-30E6-4548-A244-21BE146802A8}"/>
    <hyperlink ref="O189" r:id="rId1479" display="..\01_DOCUMENT_SETS\ST-063-STD-16\04_Shipment_Statement.docx" xr:uid="{AB1C6F6D-61FE-4EC6-B862-F9B70D6BAD1A}"/>
    <hyperlink ref="P189" r:id="rId1480" display="..\01_DOCUMENT_SETS\ST-063-STD-16\04_Shipment_Statement.pdf" xr:uid="{1F1E7F78-54D2-4131-93C0-BE9067001FB7}"/>
    <hyperlink ref="F190" r:id="rId1481" display="..\01_DOCUMENT_SETS\ST-064-EUR-01\01_Technical_File.docx" xr:uid="{B1756C1B-B0F1-4B9D-805D-2786138A61EF}"/>
    <hyperlink ref="G190" r:id="rId1482" display="..\01_DOCUMENT_SETS\ST-064-EUR-01\01_Technical_File.pdf" xr:uid="{CA769EE0-809B-408B-A422-DBCF3A6BC7BC}"/>
    <hyperlink ref="I190" r:id="rId1483" display="..\01_DOCUMENT_SETS\ST-064-EUR-01\02_EU_DoC.docx" xr:uid="{32F37791-8310-4B47-A0C0-A62BBCF2188D}"/>
    <hyperlink ref="J190" r:id="rId1484" display="..\01_DOCUMENT_SETS\ST-064-EUR-01\02_EU_DoC.pdf" xr:uid="{1A7421F0-58F4-46CA-9EE7-FB5830A0AA1A}"/>
    <hyperlink ref="L190" r:id="rId1485" display="..\01_DOCUMENT_SETS\ST-064-EUR-01\03_Label.docx" xr:uid="{443D9819-1EA3-4080-8E19-424166C5B0AC}"/>
    <hyperlink ref="M190" r:id="rId1486" display="..\01_DOCUMENT_SETS\ST-064-EUR-01\03_Label.pdf" xr:uid="{DDF6AAE5-2AC1-4125-AE69-074038B83645}"/>
    <hyperlink ref="O190" r:id="rId1487" display="..\01_DOCUMENT_SETS\ST-064-EUR-01\04_Shipment_Statement.docx" xr:uid="{5A6FD1ED-CEBE-41D7-8492-7F9DBF92B9F4}"/>
    <hyperlink ref="P190" r:id="rId1488" display="..\01_DOCUMENT_SETS\ST-064-EUR-01\04_Shipment_Statement.pdf" xr:uid="{4D05821B-8DB0-45AE-BC00-FA1991144DBF}"/>
    <hyperlink ref="F191" r:id="rId1489" display="..\01_DOCUMENT_SETS\ST-066-STD-01\01_Technical_File.docx" xr:uid="{DDA97673-1813-4E5D-BF85-BD29514BF6DD}"/>
    <hyperlink ref="G191" r:id="rId1490" display="..\01_DOCUMENT_SETS\ST-066-STD-01\01_Technical_File.pdf" xr:uid="{78CEF01D-D000-44BC-AC77-97B3869117E8}"/>
    <hyperlink ref="I191" r:id="rId1491" display="..\01_DOCUMENT_SETS\ST-066-STD-01\02_EU_DoC.docx" xr:uid="{7ACC30CE-D4E8-4390-9406-C150F2D90F16}"/>
    <hyperlink ref="J191" r:id="rId1492" display="..\01_DOCUMENT_SETS\ST-066-STD-01\02_EU_DoC.pdf" xr:uid="{D9C7782F-8DE7-4DAC-ABBB-6EADE4EFA02E}"/>
    <hyperlink ref="L191" r:id="rId1493" display="..\01_DOCUMENT_SETS\ST-066-STD-01\03_Label.docx" xr:uid="{FB8AFC49-7CBF-4589-AE89-1E3B8E0BF01A}"/>
    <hyperlink ref="M191" r:id="rId1494" display="..\01_DOCUMENT_SETS\ST-066-STD-01\03_Label.pdf" xr:uid="{D052340D-8C25-4408-8205-61836DE912CD}"/>
    <hyperlink ref="O191" r:id="rId1495" display="..\01_DOCUMENT_SETS\ST-066-STD-01\04_Shipment_Statement.docx" xr:uid="{AF84CBD4-5FCF-4088-B867-F6488C60CA47}"/>
    <hyperlink ref="P191" r:id="rId1496" display="..\01_DOCUMENT_SETS\ST-066-STD-01\04_Shipment_Statement.pdf" xr:uid="{0632B8DC-928E-4B54-BBFA-2AF4B21A29EE}"/>
    <hyperlink ref="F192" r:id="rId1497" display="..\01_DOCUMENT_SETS\ST-066-STD-02\01_Technical_File.docx" xr:uid="{27082299-ABB4-4164-85B7-3390EF85CC11}"/>
    <hyperlink ref="G192" r:id="rId1498" display="..\01_DOCUMENT_SETS\ST-066-STD-02\01_Technical_File.pdf" xr:uid="{670C6B36-442F-4D68-BD3C-42001F554AB0}"/>
    <hyperlink ref="I192" r:id="rId1499" display="..\01_DOCUMENT_SETS\ST-066-STD-02\02_EU_DoC.docx" xr:uid="{C2F5FDDF-DF10-440C-8E81-DC68AB401A01}"/>
    <hyperlink ref="J192" r:id="rId1500" display="..\01_DOCUMENT_SETS\ST-066-STD-02\02_EU_DoC.pdf" xr:uid="{6FF56ED1-C258-444B-A4E1-6FE18EB1C888}"/>
    <hyperlink ref="L192" r:id="rId1501" display="..\01_DOCUMENT_SETS\ST-066-STD-02\03_Label.docx" xr:uid="{A23B734A-6C11-4AE3-83D5-ACBB5D776236}"/>
    <hyperlink ref="M192" r:id="rId1502" display="..\01_DOCUMENT_SETS\ST-066-STD-02\03_Label.pdf" xr:uid="{2C469A74-D8ED-40DA-9326-F4AEE622E966}"/>
    <hyperlink ref="O192" r:id="rId1503" display="..\01_DOCUMENT_SETS\ST-066-STD-02\04_Shipment_Statement.docx" xr:uid="{4FD23339-80B3-41FE-B1C1-4F1173636DFE}"/>
    <hyperlink ref="P192" r:id="rId1504" display="..\01_DOCUMENT_SETS\ST-066-STD-02\04_Shipment_Statement.pdf" xr:uid="{92F76EA8-9CAD-4E3B-B72C-8D47D7DDDE3D}"/>
    <hyperlink ref="F193" r:id="rId1505" display="..\01_DOCUMENT_SETS\ST-066-STD-03\01_Technical_File.docx" xr:uid="{15167702-D843-47F6-A754-C40D6DDF1625}"/>
    <hyperlink ref="G193" r:id="rId1506" display="..\01_DOCUMENT_SETS\ST-066-STD-03\01_Technical_File.pdf" xr:uid="{7C091F15-D4E4-46E0-A227-081A9C9251A2}"/>
    <hyperlink ref="I193" r:id="rId1507" display="..\01_DOCUMENT_SETS\ST-066-STD-03\02_EU_DoC.docx" xr:uid="{44493869-EDF2-4AC7-94BA-0B890708BD09}"/>
    <hyperlink ref="J193" r:id="rId1508" display="..\01_DOCUMENT_SETS\ST-066-STD-03\02_EU_DoC.pdf" xr:uid="{DB9FF3F3-DE53-42FC-8193-4FDA44943253}"/>
    <hyperlink ref="L193" r:id="rId1509" display="..\01_DOCUMENT_SETS\ST-066-STD-03\03_Label.docx" xr:uid="{463F9E0B-BF8F-44D7-ADF4-EA56F9E73EC8}"/>
    <hyperlink ref="M193" r:id="rId1510" display="..\01_DOCUMENT_SETS\ST-066-STD-03\03_Label.pdf" xr:uid="{2BEF6B49-DD9F-4F53-94A4-2D0CA44BBEA1}"/>
    <hyperlink ref="O193" r:id="rId1511" display="..\01_DOCUMENT_SETS\ST-066-STD-03\04_Shipment_Statement.docx" xr:uid="{A3083D4B-4EBC-4EB0-B53C-A3A29FC6540E}"/>
    <hyperlink ref="P193" r:id="rId1512" display="..\01_DOCUMENT_SETS\ST-066-STD-03\04_Shipment_Statement.pdf" xr:uid="{ABB072F4-6E84-4802-B233-6E74DA79CDD6}"/>
    <hyperlink ref="F194" r:id="rId1513" display="..\01_DOCUMENT_SETS\ST-068-EUR-01\01_Technical_File.docx" xr:uid="{68561C3A-9F69-4501-86D3-380E0A9BDA4B}"/>
    <hyperlink ref="G194" r:id="rId1514" display="..\01_DOCUMENT_SETS\ST-068-EUR-01\01_Technical_File.pdf" xr:uid="{6B55101D-FB06-4B92-853C-68D476D92C26}"/>
    <hyperlink ref="I194" r:id="rId1515" display="..\01_DOCUMENT_SETS\ST-068-EUR-01\02_EU_DoC.docx" xr:uid="{1C0E2908-E955-49DD-AF9B-995FDF2E7A54}"/>
    <hyperlink ref="J194" r:id="rId1516" display="..\01_DOCUMENT_SETS\ST-068-EUR-01\02_EU_DoC.pdf" xr:uid="{33D3569B-4208-4549-9FCF-DA72B6C9AE87}"/>
    <hyperlink ref="L194" r:id="rId1517" display="..\01_DOCUMENT_SETS\ST-068-EUR-01\03_Label.docx" xr:uid="{24B258B4-2624-4E63-8134-80A450B6F6B0}"/>
    <hyperlink ref="M194" r:id="rId1518" display="..\01_DOCUMENT_SETS\ST-068-EUR-01\03_Label.pdf" xr:uid="{368C5E86-B914-43D3-AFCE-AEEC14E3F86A}"/>
    <hyperlink ref="O194" r:id="rId1519" display="..\01_DOCUMENT_SETS\ST-068-EUR-01\04_Shipment_Statement.docx" xr:uid="{38A9F403-0EB0-43D5-B1A1-59CCFC547358}"/>
    <hyperlink ref="P194" r:id="rId1520" display="..\01_DOCUMENT_SETS\ST-068-EUR-01\04_Shipment_Statement.pdf" xr:uid="{5E8C225F-D2BA-469B-A35E-F5FB42EA5621}"/>
    <hyperlink ref="F195" r:id="rId1521" display="..\01_DOCUMENT_SETS\ST-068-EUR-02\01_Technical_File.docx" xr:uid="{5450BAF4-682B-491C-ABD0-42782D319D92}"/>
    <hyperlink ref="G195" r:id="rId1522" display="..\01_DOCUMENT_SETS\ST-068-EUR-02\01_Technical_File.pdf" xr:uid="{DE61E4ED-3EDB-46D1-8BCE-35A514BD91B3}"/>
    <hyperlink ref="I195" r:id="rId1523" display="..\01_DOCUMENT_SETS\ST-068-EUR-02\02_EU_DoC.docx" xr:uid="{D92A6396-C935-4AE9-BDB8-2E4AA601AF53}"/>
    <hyperlink ref="J195" r:id="rId1524" display="..\01_DOCUMENT_SETS\ST-068-EUR-02\02_EU_DoC.pdf" xr:uid="{48627028-3269-4C80-88F8-853BAADBCAF1}"/>
    <hyperlink ref="L195" r:id="rId1525" display="..\01_DOCUMENT_SETS\ST-068-EUR-02\03_Label.docx" xr:uid="{ECA69EBB-EEDD-45ED-BFCE-C870FBDA0045}"/>
    <hyperlink ref="M195" r:id="rId1526" display="..\01_DOCUMENT_SETS\ST-068-EUR-02\03_Label.pdf" xr:uid="{2C85A54C-A5C2-40E6-99D6-E7D8F6EE2DB0}"/>
    <hyperlink ref="O195" r:id="rId1527" display="..\01_DOCUMENT_SETS\ST-068-EUR-02\04_Shipment_Statement.docx" xr:uid="{6D4CA929-20BB-49B7-97CF-4E86A4CF0137}"/>
    <hyperlink ref="P195" r:id="rId1528" display="..\01_DOCUMENT_SETS\ST-068-EUR-02\04_Shipment_Statement.pdf" xr:uid="{EF222223-3C85-457E-9B20-5A46F079F147}"/>
    <hyperlink ref="F196" r:id="rId1529" display="..\01_DOCUMENT_SETS\ST-068-EUR-03\01_Technical_File.docx" xr:uid="{7D35291C-B695-4FCA-A729-EFEC97731A7F}"/>
    <hyperlink ref="G196" r:id="rId1530" display="..\01_DOCUMENT_SETS\ST-068-EUR-03\01_Technical_File.pdf" xr:uid="{14A34048-AD53-48A5-954B-B56EF252DE9F}"/>
    <hyperlink ref="I196" r:id="rId1531" display="..\01_DOCUMENT_SETS\ST-068-EUR-03\02_EU_DoC.docx" xr:uid="{6EC70A42-5953-4742-97E5-351426B58A3E}"/>
    <hyperlink ref="J196" r:id="rId1532" display="..\01_DOCUMENT_SETS\ST-068-EUR-03\02_EU_DoC.pdf" xr:uid="{FF79F245-914C-419D-9E94-094D0A4115AD}"/>
    <hyperlink ref="L196" r:id="rId1533" display="..\01_DOCUMENT_SETS\ST-068-EUR-03\03_Label.docx" xr:uid="{FBE431A5-172A-4DF1-A817-43B4748AC523}"/>
    <hyperlink ref="M196" r:id="rId1534" display="..\01_DOCUMENT_SETS\ST-068-EUR-03\03_Label.pdf" xr:uid="{F75509B1-C4F3-4499-9960-C5B78C60473D}"/>
    <hyperlink ref="O196" r:id="rId1535" display="..\01_DOCUMENT_SETS\ST-068-EUR-03\04_Shipment_Statement.docx" xr:uid="{371D6706-8E09-4BB4-8F8A-72599D39C316}"/>
    <hyperlink ref="P196" r:id="rId1536" display="..\01_DOCUMENT_SETS\ST-068-EUR-03\04_Shipment_Statement.pdf" xr:uid="{93B21719-13A1-450B-A345-99B8820F4735}"/>
    <hyperlink ref="F197" r:id="rId1537" display="..\01_DOCUMENT_SETS\ST-068-EUR-04\01_Technical_File.docx" xr:uid="{88D26933-7ECA-47A6-8CFF-88A26B7E0263}"/>
    <hyperlink ref="G197" r:id="rId1538" display="..\01_DOCUMENT_SETS\ST-068-EUR-04\01_Technical_File.pdf" xr:uid="{2D0AEEE0-A615-4968-A09E-EAA8CAD3F8B2}"/>
    <hyperlink ref="I197" r:id="rId1539" display="..\01_DOCUMENT_SETS\ST-068-EUR-04\02_EU_DoC.docx" xr:uid="{9B16A2E3-8B84-4E7D-ACE4-5AFE9BE74E47}"/>
    <hyperlink ref="J197" r:id="rId1540" display="..\01_DOCUMENT_SETS\ST-068-EUR-04\02_EU_DoC.pdf" xr:uid="{42CEF487-FD13-449B-99F0-DECF06F58682}"/>
    <hyperlink ref="L197" r:id="rId1541" display="..\01_DOCUMENT_SETS\ST-068-EUR-04\03_Label.docx" xr:uid="{57B4F009-4B2F-4F60-9A56-4BDABF4086A6}"/>
    <hyperlink ref="M197" r:id="rId1542" display="..\01_DOCUMENT_SETS\ST-068-EUR-04\03_Label.pdf" xr:uid="{54A2DC65-64E9-43C2-AD7A-F17CF3F0B537}"/>
    <hyperlink ref="O197" r:id="rId1543" display="..\01_DOCUMENT_SETS\ST-068-EUR-04\04_Shipment_Statement.docx" xr:uid="{93867679-AD4E-41DF-A62D-18E3C9BED1E9}"/>
    <hyperlink ref="P197" r:id="rId1544" display="..\01_DOCUMENT_SETS\ST-068-EUR-04\04_Shipment_Statement.pdf" xr:uid="{1AD9D30B-6C67-4573-B976-D5A48A3682A7}"/>
    <hyperlink ref="F198" r:id="rId1545" display="..\01_DOCUMENT_SETS\ST-068-STD-01\01_Technical_File.docx" xr:uid="{118B1E82-50F3-4538-986C-8BC93FB1EC5A}"/>
    <hyperlink ref="G198" r:id="rId1546" display="..\01_DOCUMENT_SETS\ST-068-STD-01\01_Technical_File.pdf" xr:uid="{61356756-3D78-41A9-A39D-36D259B49200}"/>
    <hyperlink ref="I198" r:id="rId1547" display="..\01_DOCUMENT_SETS\ST-068-STD-01\02_EU_DoC.docx" xr:uid="{A232B1B6-2D22-465C-8513-73D9923CF521}"/>
    <hyperlink ref="J198" r:id="rId1548" display="..\01_DOCUMENT_SETS\ST-068-STD-01\02_EU_DoC.pdf" xr:uid="{D91957F5-1910-4A60-BB1A-92869AD54735}"/>
    <hyperlink ref="L198" r:id="rId1549" display="..\01_DOCUMENT_SETS\ST-068-STD-01\03_Label.docx" xr:uid="{36080AD7-BC8E-47BA-A29F-681909A7475A}"/>
    <hyperlink ref="M198" r:id="rId1550" display="..\01_DOCUMENT_SETS\ST-068-STD-01\03_Label.pdf" xr:uid="{7DDF17F0-962A-41E9-A523-AD1147EC468D}"/>
    <hyperlink ref="O198" r:id="rId1551" display="..\01_DOCUMENT_SETS\ST-068-STD-01\04_Shipment_Statement.docx" xr:uid="{692823DB-0F08-4E35-A771-87054684FAFA}"/>
    <hyperlink ref="P198" r:id="rId1552" display="..\01_DOCUMENT_SETS\ST-068-STD-01\04_Shipment_Statement.pdf" xr:uid="{E004FDA3-CBD7-482B-9B23-1C540A2951DC}"/>
    <hyperlink ref="F199" r:id="rId1553" display="..\01_DOCUMENT_SETS\ST-068-STD-02\01_Technical_File.docx" xr:uid="{C26DA4EA-94B2-4165-8277-4C210198B5D4}"/>
    <hyperlink ref="G199" r:id="rId1554" display="..\01_DOCUMENT_SETS\ST-068-STD-02\01_Technical_File.pdf" xr:uid="{06332253-2D65-453B-B359-090B17588A50}"/>
    <hyperlink ref="I199" r:id="rId1555" display="..\01_DOCUMENT_SETS\ST-068-STD-02\02_EU_DoC.docx" xr:uid="{9823653B-ED53-415F-B513-5D351D090472}"/>
    <hyperlink ref="J199" r:id="rId1556" display="..\01_DOCUMENT_SETS\ST-068-STD-02\02_EU_DoC.pdf" xr:uid="{CFA07DAA-7633-41E6-B1B5-2F67E5476D13}"/>
    <hyperlink ref="L199" r:id="rId1557" display="..\01_DOCUMENT_SETS\ST-068-STD-02\03_Label.docx" xr:uid="{A4D323EF-10CA-4D72-8615-1FFCC8FC66AF}"/>
    <hyperlink ref="M199" r:id="rId1558" display="..\01_DOCUMENT_SETS\ST-068-STD-02\03_Label.pdf" xr:uid="{EA889244-9885-4761-A081-1CA9BFEE3BB9}"/>
    <hyperlink ref="O199" r:id="rId1559" display="..\01_DOCUMENT_SETS\ST-068-STD-02\04_Shipment_Statement.docx" xr:uid="{0EE51F3E-FC04-49EC-972C-9722F45CDAAE}"/>
    <hyperlink ref="P199" r:id="rId1560" display="..\01_DOCUMENT_SETS\ST-068-STD-02\04_Shipment_Statement.pdf" xr:uid="{989BF213-E4C9-4678-BA40-B51BC80769FD}"/>
    <hyperlink ref="F200" r:id="rId1561" display="..\01_DOCUMENT_SETS\ST-068-STD-03\01_Technical_File.docx" xr:uid="{01D7A04F-FE34-4114-86C7-088F9CA1BD57}"/>
    <hyperlink ref="G200" r:id="rId1562" display="..\01_DOCUMENT_SETS\ST-068-STD-03\01_Technical_File.pdf" xr:uid="{E0A9A232-0C62-4975-8D7E-AD788332D129}"/>
    <hyperlink ref="I200" r:id="rId1563" display="..\01_DOCUMENT_SETS\ST-068-STD-03\02_EU_DoC.docx" xr:uid="{AC0781CD-EE0C-4F2E-AECB-AE91F4AB9333}"/>
    <hyperlink ref="J200" r:id="rId1564" display="..\01_DOCUMENT_SETS\ST-068-STD-03\02_EU_DoC.pdf" xr:uid="{5DD92A0B-13BF-4D07-8B6E-7AC61603BBDA}"/>
    <hyperlink ref="L200" r:id="rId1565" display="..\01_DOCUMENT_SETS\ST-068-STD-03\03_Label.docx" xr:uid="{7A2873D6-72D0-4D35-AD0B-9312393655B4}"/>
    <hyperlink ref="M200" r:id="rId1566" display="..\01_DOCUMENT_SETS\ST-068-STD-03\03_Label.pdf" xr:uid="{EDEDD91E-2AAC-433B-8A60-19DA50ED59AF}"/>
    <hyperlink ref="O200" r:id="rId1567" display="..\01_DOCUMENT_SETS\ST-068-STD-03\04_Shipment_Statement.docx" xr:uid="{63A3B0AA-5EDC-4DC9-A16C-C161E1D5C1F2}"/>
    <hyperlink ref="P200" r:id="rId1568" display="..\01_DOCUMENT_SETS\ST-068-STD-03\04_Shipment_Statement.pdf" xr:uid="{B34B3CBF-202B-4789-AE36-8F8A470F6E2A}"/>
    <hyperlink ref="F201" r:id="rId1569" display="..\01_DOCUMENT_SETS\ST-068-STD-04\01_Technical_File.docx" xr:uid="{E57A688B-AFF8-4BFD-92D6-1CE7683C29E0}"/>
    <hyperlink ref="G201" r:id="rId1570" display="..\01_DOCUMENT_SETS\ST-068-STD-04\01_Technical_File.pdf" xr:uid="{E3F08EC7-4D1B-4ED2-B941-848F69773BAF}"/>
    <hyperlink ref="I201" r:id="rId1571" display="..\01_DOCUMENT_SETS\ST-068-STD-04\02_EU_DoC.docx" xr:uid="{7ABBC57B-54A2-426D-8EFE-208CAE097308}"/>
    <hyperlink ref="J201" r:id="rId1572" display="..\01_DOCUMENT_SETS\ST-068-STD-04\02_EU_DoC.pdf" xr:uid="{4254CB08-CC96-4B01-B3A0-F0E3060AA1CA}"/>
    <hyperlink ref="L201" r:id="rId1573" display="..\01_DOCUMENT_SETS\ST-068-STD-04\03_Label.docx" xr:uid="{EA9D23C7-581A-4184-A6C5-FA184BE55523}"/>
    <hyperlink ref="M201" r:id="rId1574" display="..\01_DOCUMENT_SETS\ST-068-STD-04\03_Label.pdf" xr:uid="{23D324D6-7659-4BB9-90C6-858C769BF963}"/>
    <hyperlink ref="O201" r:id="rId1575" display="..\01_DOCUMENT_SETS\ST-068-STD-04\04_Shipment_Statement.docx" xr:uid="{0D6C872A-4341-4B38-8268-1E11DF4C94E2}"/>
    <hyperlink ref="P201" r:id="rId1576" display="..\01_DOCUMENT_SETS\ST-068-STD-04\04_Shipment_Statement.pdf" xr:uid="{5B462303-87AE-4EC0-A5C8-C6157E0B6A90}"/>
    <hyperlink ref="F202" r:id="rId1577" display="..\01_DOCUMENT_SETS\ST-068-STD-05\01_Technical_File.docx" xr:uid="{2B13ECC2-0D55-4BE5-A87B-EC4869E76737}"/>
    <hyperlink ref="G202" r:id="rId1578" display="..\01_DOCUMENT_SETS\ST-068-STD-05\01_Technical_File.pdf" xr:uid="{2058184C-FE89-42AC-A043-543373CA37F5}"/>
    <hyperlink ref="I202" r:id="rId1579" display="..\01_DOCUMENT_SETS\ST-068-STD-05\02_EU_DoC.docx" xr:uid="{9C07E4B4-85AD-4EE0-9EB6-A1C194F2C8AC}"/>
    <hyperlink ref="J202" r:id="rId1580" display="..\01_DOCUMENT_SETS\ST-068-STD-05\02_EU_DoC.pdf" xr:uid="{540F63EA-7DDC-4936-BBBF-6FB45C17840C}"/>
    <hyperlink ref="L202" r:id="rId1581" display="..\01_DOCUMENT_SETS\ST-068-STD-05\03_Label.docx" xr:uid="{821A594A-2C9E-4560-A07A-81123144BFAC}"/>
    <hyperlink ref="M202" r:id="rId1582" display="..\01_DOCUMENT_SETS\ST-068-STD-05\03_Label.pdf" xr:uid="{DEE50F99-48A1-465F-9C9C-803BBB20BB78}"/>
    <hyperlink ref="O202" r:id="rId1583" display="..\01_DOCUMENT_SETS\ST-068-STD-05\04_Shipment_Statement.docx" xr:uid="{256A9978-D245-4D91-B89B-2372D235B0DE}"/>
    <hyperlink ref="P202" r:id="rId1584" display="..\01_DOCUMENT_SETS\ST-068-STD-05\04_Shipment_Statement.pdf" xr:uid="{DEA54B7F-ABF3-44E1-8916-0312CBAB83F9}"/>
    <hyperlink ref="F203" r:id="rId1585" display="..\01_DOCUMENT_SETS\ST-068-STD-06\01_Technical_File.docx" xr:uid="{F7EEBEAE-20B7-45B5-8B89-40908160AAAF}"/>
    <hyperlink ref="G203" r:id="rId1586" display="..\01_DOCUMENT_SETS\ST-068-STD-06\01_Technical_File.pdf" xr:uid="{2FC25899-76D1-41EC-BC81-918B5FF6D2D9}"/>
    <hyperlink ref="I203" r:id="rId1587" display="..\01_DOCUMENT_SETS\ST-068-STD-06\02_EU_DoC.docx" xr:uid="{ED600623-CE38-4F80-9D52-8065C0424AF6}"/>
    <hyperlink ref="J203" r:id="rId1588" display="..\01_DOCUMENT_SETS\ST-068-STD-06\02_EU_DoC.pdf" xr:uid="{3AF31C0A-4AE9-4AA7-BECF-1CF57A9CE7B3}"/>
    <hyperlink ref="L203" r:id="rId1589" display="..\01_DOCUMENT_SETS\ST-068-STD-06\03_Label.docx" xr:uid="{EF8497B4-6901-4BC1-BA1B-2EB366EAC750}"/>
    <hyperlink ref="M203" r:id="rId1590" display="..\01_DOCUMENT_SETS\ST-068-STD-06\03_Label.pdf" xr:uid="{3010C7E8-F290-46A1-8512-6FDE2E5F5FA8}"/>
    <hyperlink ref="O203" r:id="rId1591" display="..\01_DOCUMENT_SETS\ST-068-STD-06\04_Shipment_Statement.docx" xr:uid="{DD219C3A-FB35-4A70-B3BF-E23963A9C090}"/>
    <hyperlink ref="P203" r:id="rId1592" display="..\01_DOCUMENT_SETS\ST-068-STD-06\04_Shipment_Statement.pdf" xr:uid="{A66527C8-FAE9-43CE-978B-78DEB8499407}"/>
    <hyperlink ref="F204" r:id="rId1593" display="..\01_DOCUMENT_SETS\ST-068-STD-07\01_Technical_File.docx" xr:uid="{3CA2EC89-2879-40AA-A8C8-7D2506DB9884}"/>
    <hyperlink ref="G204" r:id="rId1594" display="..\01_DOCUMENT_SETS\ST-068-STD-07\01_Technical_File.pdf" xr:uid="{D286CC66-FD63-4FBE-A091-310AA9161C7D}"/>
    <hyperlink ref="I204" r:id="rId1595" display="..\01_DOCUMENT_SETS\ST-068-STD-07\02_EU_DoC.docx" xr:uid="{3EAC3E0D-09AB-4723-827B-81856B8D9B54}"/>
    <hyperlink ref="J204" r:id="rId1596" display="..\01_DOCUMENT_SETS\ST-068-STD-07\02_EU_DoC.pdf" xr:uid="{1AF9C827-3D57-4865-B87E-ACA94091052C}"/>
    <hyperlink ref="L204" r:id="rId1597" display="..\01_DOCUMENT_SETS\ST-068-STD-07\03_Label.docx" xr:uid="{8C9E691F-21CA-4796-8CC3-F9E29820CF2B}"/>
    <hyperlink ref="M204" r:id="rId1598" display="..\01_DOCUMENT_SETS\ST-068-STD-07\03_Label.pdf" xr:uid="{941D833E-F558-4A9C-ABC7-0642B481002B}"/>
    <hyperlink ref="O204" r:id="rId1599" display="..\01_DOCUMENT_SETS\ST-068-STD-07\04_Shipment_Statement.docx" xr:uid="{05403B8D-31D5-43DA-85C4-D36603E654F5}"/>
    <hyperlink ref="P204" r:id="rId1600" display="..\01_DOCUMENT_SETS\ST-068-STD-07\04_Shipment_Statement.pdf" xr:uid="{843BEEB0-6C8B-4794-9151-1C9632A61733}"/>
    <hyperlink ref="F205" r:id="rId1601" display="..\01_DOCUMENT_SETS\ST-068-STD-08\01_Technical_File.docx" xr:uid="{42AAE321-54A8-4472-9F59-B03F810A4BE7}"/>
    <hyperlink ref="G205" r:id="rId1602" display="..\01_DOCUMENT_SETS\ST-068-STD-08\01_Technical_File.pdf" xr:uid="{3362F78C-0BB8-41E2-A27E-B0BE77F25623}"/>
    <hyperlink ref="I205" r:id="rId1603" display="..\01_DOCUMENT_SETS\ST-068-STD-08\02_EU_DoC.docx" xr:uid="{97C50872-E109-40C1-BA27-86C4ACA13851}"/>
    <hyperlink ref="J205" r:id="rId1604" display="..\01_DOCUMENT_SETS\ST-068-STD-08\02_EU_DoC.pdf" xr:uid="{50876DA7-ECD4-43F0-8419-0849CEAD603B}"/>
    <hyperlink ref="L205" r:id="rId1605" display="..\01_DOCUMENT_SETS\ST-068-STD-08\03_Label.docx" xr:uid="{E29A1488-D369-4AF8-9446-F50A5C3E8B5B}"/>
    <hyperlink ref="M205" r:id="rId1606" display="..\01_DOCUMENT_SETS\ST-068-STD-08\03_Label.pdf" xr:uid="{B5D2B122-31A1-4DBA-8F5B-50380779CF9B}"/>
    <hyperlink ref="O205" r:id="rId1607" display="..\01_DOCUMENT_SETS\ST-068-STD-08\04_Shipment_Statement.docx" xr:uid="{0C58E717-2BEA-4C1D-822F-C1787674D96C}"/>
    <hyperlink ref="P205" r:id="rId1608" display="..\01_DOCUMENT_SETS\ST-068-STD-08\04_Shipment_Statement.pdf" xr:uid="{3B137FE0-2774-42D4-8FD2-AC8962B6C15C}"/>
    <hyperlink ref="F206" r:id="rId1609" display="..\01_DOCUMENT_SETS\ST-072-EUR-01\01_Technical_File.docx" xr:uid="{8F325153-2BFD-4347-80D9-00A9A6A6F324}"/>
    <hyperlink ref="G206" r:id="rId1610" display="..\01_DOCUMENT_SETS\ST-072-EUR-01\01_Technical_File.pdf" xr:uid="{250A7EC1-B7BA-491A-99C2-3D6BF6DE5066}"/>
    <hyperlink ref="I206" r:id="rId1611" display="..\01_DOCUMENT_SETS\ST-072-EUR-01\02_EU_DoC.docx" xr:uid="{07F26663-EBDD-46FA-B25F-869A6B6A24BD}"/>
    <hyperlink ref="J206" r:id="rId1612" display="..\01_DOCUMENT_SETS\ST-072-EUR-01\02_EU_DoC.pdf" xr:uid="{5FAEA3D8-1FE3-4412-817D-206C65F74365}"/>
    <hyperlink ref="L206" r:id="rId1613" display="..\01_DOCUMENT_SETS\ST-072-EUR-01\03_Label.docx" xr:uid="{C640944A-D7F3-497F-AEE9-86D02FF8CF33}"/>
    <hyperlink ref="M206" r:id="rId1614" display="..\01_DOCUMENT_SETS\ST-072-EUR-01\03_Label.pdf" xr:uid="{566CECB0-B915-4B3C-84D7-0D11943F484F}"/>
    <hyperlink ref="O206" r:id="rId1615" display="..\01_DOCUMENT_SETS\ST-072-EUR-01\04_Shipment_Statement.docx" xr:uid="{1F480F9F-738C-4ED2-B07E-13F6639954E2}"/>
    <hyperlink ref="P206" r:id="rId1616" display="..\01_DOCUMENT_SETS\ST-072-EUR-01\04_Shipment_Statement.pdf" xr:uid="{CEB694FE-83A5-4CEC-BA5F-26BCA3D1E29A}"/>
    <hyperlink ref="F207" r:id="rId1617" display="..\01_DOCUMENT_SETS\ST-072-EUR-02\01_Technical_File.docx" xr:uid="{9EA21731-101E-4B62-94B4-3834BC8C94FE}"/>
    <hyperlink ref="G207" r:id="rId1618" display="..\01_DOCUMENT_SETS\ST-072-EUR-02\01_Technical_File.pdf" xr:uid="{B19D3D31-A839-4564-9DE3-C14A1D3AA15C}"/>
    <hyperlink ref="I207" r:id="rId1619" display="..\01_DOCUMENT_SETS\ST-072-EUR-02\02_EU_DoC.docx" xr:uid="{E7634C84-B1B3-4705-91CA-23D13134EB14}"/>
    <hyperlink ref="J207" r:id="rId1620" display="..\01_DOCUMENT_SETS\ST-072-EUR-02\02_EU_DoC.pdf" xr:uid="{D3404EF4-F42A-466B-851B-01505772FE93}"/>
    <hyperlink ref="L207" r:id="rId1621" display="..\01_DOCUMENT_SETS\ST-072-EUR-02\03_Label.docx" xr:uid="{C3BB8B48-E28E-4636-A3C9-8AD722255284}"/>
    <hyperlink ref="M207" r:id="rId1622" display="..\01_DOCUMENT_SETS\ST-072-EUR-02\03_Label.pdf" xr:uid="{8D698E0E-6360-41FC-BEBF-28D2FAAC7B38}"/>
    <hyperlink ref="O207" r:id="rId1623" display="..\01_DOCUMENT_SETS\ST-072-EUR-02\04_Shipment_Statement.docx" xr:uid="{AC2BBC20-D1CD-4977-B79D-C2FA14A3F6CD}"/>
    <hyperlink ref="P207" r:id="rId1624" display="..\01_DOCUMENT_SETS\ST-072-EUR-02\04_Shipment_Statement.pdf" xr:uid="{3175BF01-EBBC-4A73-8D5B-B7F9BD844F93}"/>
    <hyperlink ref="F208" r:id="rId1625" display="..\01_DOCUMENT_SETS\ST-072-EUR-03\01_Technical_File.docx" xr:uid="{049D1D44-0AEF-4980-9833-B38C1483EF4F}"/>
    <hyperlink ref="G208" r:id="rId1626" display="..\01_DOCUMENT_SETS\ST-072-EUR-03\01_Technical_File.pdf" xr:uid="{A6F484CB-F650-4D8B-A3B5-1B0AA3F50AA1}"/>
    <hyperlink ref="I208" r:id="rId1627" display="..\01_DOCUMENT_SETS\ST-072-EUR-03\02_EU_DoC.docx" xr:uid="{2F49CAA3-715C-4892-8670-A8572953DF89}"/>
    <hyperlink ref="J208" r:id="rId1628" display="..\01_DOCUMENT_SETS\ST-072-EUR-03\02_EU_DoC.pdf" xr:uid="{A3E351BF-CD19-479B-9EC4-0427AC7EDDB7}"/>
    <hyperlink ref="L208" r:id="rId1629" display="..\01_DOCUMENT_SETS\ST-072-EUR-03\03_Label.docx" xr:uid="{C59AC277-89CC-4443-8898-68B57DFC74C6}"/>
    <hyperlink ref="M208" r:id="rId1630" display="..\01_DOCUMENT_SETS\ST-072-EUR-03\03_Label.pdf" xr:uid="{13286997-E383-43C4-AEF6-C610309E43D5}"/>
    <hyperlink ref="O208" r:id="rId1631" display="..\01_DOCUMENT_SETS\ST-072-EUR-03\04_Shipment_Statement.docx" xr:uid="{A872567C-289F-4AE9-B8D3-1E0A528C7C84}"/>
    <hyperlink ref="P208" r:id="rId1632" display="..\01_DOCUMENT_SETS\ST-072-EUR-03\04_Shipment_Statement.pdf" xr:uid="{74B5BD36-AC4C-4FD8-BADA-A54BB2E59397}"/>
    <hyperlink ref="F209" r:id="rId1633" display="..\01_DOCUMENT_SETS\ST-072-EUR-04\01_Technical_File.docx" xr:uid="{7155A82E-2CC5-4C37-AC65-2069E2B0C61D}"/>
    <hyperlink ref="G209" r:id="rId1634" display="..\01_DOCUMENT_SETS\ST-072-EUR-04\01_Technical_File.pdf" xr:uid="{94FE786D-AA3C-43A2-8168-4A51C68D6CC3}"/>
    <hyperlink ref="I209" r:id="rId1635" display="..\01_DOCUMENT_SETS\ST-072-EUR-04\02_EU_DoC.docx" xr:uid="{1894B3A2-9050-44E0-B30E-7F6B6E51FC57}"/>
    <hyperlink ref="J209" r:id="rId1636" display="..\01_DOCUMENT_SETS\ST-072-EUR-04\02_EU_DoC.pdf" xr:uid="{35BE078D-37E9-4D0F-8254-FEFC839F0B81}"/>
    <hyperlink ref="L209" r:id="rId1637" display="..\01_DOCUMENT_SETS\ST-072-EUR-04\03_Label.docx" xr:uid="{A782165D-B399-4BE1-8327-51D17A999058}"/>
    <hyperlink ref="M209" r:id="rId1638" display="..\01_DOCUMENT_SETS\ST-072-EUR-04\03_Label.pdf" xr:uid="{AEBB2C9E-70BC-4704-9993-046F6B788B28}"/>
    <hyperlink ref="O209" r:id="rId1639" display="..\01_DOCUMENT_SETS\ST-072-EUR-04\04_Shipment_Statement.docx" xr:uid="{DD96AC8A-BD68-4C94-986D-E948D9665A14}"/>
    <hyperlink ref="P209" r:id="rId1640" display="..\01_DOCUMENT_SETS\ST-072-EUR-04\04_Shipment_Statement.pdf" xr:uid="{59FEADB2-4123-4B4E-913E-8F5DE0527430}"/>
    <hyperlink ref="F210" r:id="rId1641" display="..\01_DOCUMENT_SETS\ST-072-EUR-05\01_Technical_File.docx" xr:uid="{3BC4FEBF-0040-4944-9818-6A7532A10768}"/>
    <hyperlink ref="G210" r:id="rId1642" display="..\01_DOCUMENT_SETS\ST-072-EUR-05\01_Technical_File.pdf" xr:uid="{6566E158-EA2D-4A94-AF39-C701E04A2E0C}"/>
    <hyperlink ref="I210" r:id="rId1643" display="..\01_DOCUMENT_SETS\ST-072-EUR-05\02_EU_DoC.docx" xr:uid="{36354DEE-269C-4A88-BFB5-797349B3B822}"/>
    <hyperlink ref="J210" r:id="rId1644" display="..\01_DOCUMENT_SETS\ST-072-EUR-05\02_EU_DoC.pdf" xr:uid="{C5A1806A-2311-428C-AF60-87D9022EB72C}"/>
    <hyperlink ref="L210" r:id="rId1645" display="..\01_DOCUMENT_SETS\ST-072-EUR-05\03_Label.docx" xr:uid="{524F152E-49B5-45B1-97F5-5C10B8C67B31}"/>
    <hyperlink ref="M210" r:id="rId1646" display="..\01_DOCUMENT_SETS\ST-072-EUR-05\03_Label.pdf" xr:uid="{D8EAE074-6FB2-476C-A99F-0864F7EC0384}"/>
    <hyperlink ref="O210" r:id="rId1647" display="..\01_DOCUMENT_SETS\ST-072-EUR-05\04_Shipment_Statement.docx" xr:uid="{FFA7B412-EE75-4343-8321-9CF69EA8A660}"/>
    <hyperlink ref="P210" r:id="rId1648" display="..\01_DOCUMENT_SETS\ST-072-EUR-05\04_Shipment_Statement.pdf" xr:uid="{3F3A6B13-13F2-4A5E-B71D-49A2E60A8FF3}"/>
    <hyperlink ref="F211" r:id="rId1649" display="..\01_DOCUMENT_SETS\ST-072-EUR-06\01_Technical_File.docx" xr:uid="{DCC729E5-D77E-440A-AF0F-D48287BAB017}"/>
    <hyperlink ref="G211" r:id="rId1650" display="..\01_DOCUMENT_SETS\ST-072-EUR-06\01_Technical_File.pdf" xr:uid="{AA749091-6FC5-4EEA-A29F-C432086E1590}"/>
    <hyperlink ref="I211" r:id="rId1651" display="..\01_DOCUMENT_SETS\ST-072-EUR-06\02_EU_DoC.docx" xr:uid="{27566714-6F84-46D4-9B04-9631572770E2}"/>
    <hyperlink ref="J211" r:id="rId1652" display="..\01_DOCUMENT_SETS\ST-072-EUR-06\02_EU_DoC.pdf" xr:uid="{3A79A38C-FFDF-43E4-86C7-66D6B7D72AE3}"/>
    <hyperlink ref="L211" r:id="rId1653" display="..\01_DOCUMENT_SETS\ST-072-EUR-06\03_Label.docx" xr:uid="{68FE11BF-D49B-42A2-8D23-7FF914CA8CF3}"/>
    <hyperlink ref="M211" r:id="rId1654" display="..\01_DOCUMENT_SETS\ST-072-EUR-06\03_Label.pdf" xr:uid="{A5B947EB-2565-4FC4-A28C-CF59FDC74B50}"/>
    <hyperlink ref="O211" r:id="rId1655" display="..\01_DOCUMENT_SETS\ST-072-EUR-06\04_Shipment_Statement.docx" xr:uid="{FB166D13-E871-41E9-8FDE-ABDB46EBFB36}"/>
    <hyperlink ref="P211" r:id="rId1656" display="..\01_DOCUMENT_SETS\ST-072-EUR-06\04_Shipment_Statement.pdf" xr:uid="{837AB9C3-E88D-42A2-AAE3-100AAAC96C7F}"/>
    <hyperlink ref="F212" r:id="rId1657" display="..\01_DOCUMENT_SETS\ST-072-STD-01\01_Technical_File.docx" xr:uid="{3D2847F1-CD93-4D33-9E42-251A1687AC0A}"/>
    <hyperlink ref="G212" r:id="rId1658" display="..\01_DOCUMENT_SETS\ST-072-STD-01\01_Technical_File.pdf" xr:uid="{A0D3BE05-7716-4D03-85E9-035429A97485}"/>
    <hyperlink ref="I212" r:id="rId1659" display="..\01_DOCUMENT_SETS\ST-072-STD-01\02_EU_DoC.docx" xr:uid="{D0142C29-543A-43C4-A3F0-8694EDAA663C}"/>
    <hyperlink ref="J212" r:id="rId1660" display="..\01_DOCUMENT_SETS\ST-072-STD-01\02_EU_DoC.pdf" xr:uid="{44C7DD4B-B541-4441-AB20-FB5F8FEA134A}"/>
    <hyperlink ref="L212" r:id="rId1661" display="..\01_DOCUMENT_SETS\ST-072-STD-01\03_Label.docx" xr:uid="{4AC0BE9A-2AE5-4602-91FF-3ED353EF4AF4}"/>
    <hyperlink ref="M212" r:id="rId1662" display="..\01_DOCUMENT_SETS\ST-072-STD-01\03_Label.pdf" xr:uid="{EC7E5AF4-7B04-4217-9B3D-6B0F14B216F6}"/>
    <hyperlink ref="O212" r:id="rId1663" display="..\01_DOCUMENT_SETS\ST-072-STD-01\04_Shipment_Statement.docx" xr:uid="{8E6685A2-D8A6-4934-AC78-8102B02AF278}"/>
    <hyperlink ref="P212" r:id="rId1664" display="..\01_DOCUMENT_SETS\ST-072-STD-01\04_Shipment_Statement.pdf" xr:uid="{90DFF096-F66C-4023-B336-4B84E0B9C1FC}"/>
    <hyperlink ref="F213" r:id="rId1665" display="..\01_DOCUMENT_SETS\ST-072-STD-02\01_Technical_File.docx" xr:uid="{F94CDCE7-8963-4564-A784-562E11F4E798}"/>
    <hyperlink ref="G213" r:id="rId1666" display="..\01_DOCUMENT_SETS\ST-072-STD-02\01_Technical_File.pdf" xr:uid="{DF10F4F4-2E1B-41AA-AF46-67F28D0413DB}"/>
    <hyperlink ref="I213" r:id="rId1667" display="..\01_DOCUMENT_SETS\ST-072-STD-02\02_EU_DoC.docx" xr:uid="{0C3A49FD-F943-45ED-B9B7-82463B9B8C37}"/>
    <hyperlink ref="J213" r:id="rId1668" display="..\01_DOCUMENT_SETS\ST-072-STD-02\02_EU_DoC.pdf" xr:uid="{A8C0EF05-4EB6-4907-8CFC-271C0F216442}"/>
    <hyperlink ref="L213" r:id="rId1669" display="..\01_DOCUMENT_SETS\ST-072-STD-02\03_Label.docx" xr:uid="{3FAFF5ED-FAAC-4CAB-890C-3429C9E46093}"/>
    <hyperlink ref="M213" r:id="rId1670" display="..\01_DOCUMENT_SETS\ST-072-STD-02\03_Label.pdf" xr:uid="{B7D0DD10-3637-468D-82F2-27C462163C74}"/>
    <hyperlink ref="O213" r:id="rId1671" display="..\01_DOCUMENT_SETS\ST-072-STD-02\04_Shipment_Statement.docx" xr:uid="{E8AE2375-7933-4A41-B79F-4E14631ECB0D}"/>
    <hyperlink ref="P213" r:id="rId1672" display="..\01_DOCUMENT_SETS\ST-072-STD-02\04_Shipment_Statement.pdf" xr:uid="{9BDD7D0A-C5D1-4056-BF9C-AE7A081FC4DA}"/>
    <hyperlink ref="F214" r:id="rId1673" display="..\01_DOCUMENT_SETS\ST-072-STD-03\01_Technical_File.docx" xr:uid="{893F773B-4303-43F1-8B5A-0EAB7916433B}"/>
    <hyperlink ref="G214" r:id="rId1674" display="..\01_DOCUMENT_SETS\ST-072-STD-03\01_Technical_File.pdf" xr:uid="{3B4ED12A-E0D7-4117-A3BE-420001E144D3}"/>
    <hyperlink ref="I214" r:id="rId1675" display="..\01_DOCUMENT_SETS\ST-072-STD-03\02_EU_DoC.docx" xr:uid="{0C32F311-7D99-4AE8-B7B3-7BC6CB4BC896}"/>
    <hyperlink ref="J214" r:id="rId1676" display="..\01_DOCUMENT_SETS\ST-072-STD-03\02_EU_DoC.pdf" xr:uid="{0BD44359-681D-4640-99C4-F3CCB195463A}"/>
    <hyperlink ref="L214" r:id="rId1677" display="..\01_DOCUMENT_SETS\ST-072-STD-03\03_Label.docx" xr:uid="{C2E549C3-F52F-40D7-955F-8029CFD6A2C9}"/>
    <hyperlink ref="M214" r:id="rId1678" display="..\01_DOCUMENT_SETS\ST-072-STD-03\03_Label.pdf" xr:uid="{707D624E-5EEC-4ED6-B003-D20CF29DBF48}"/>
    <hyperlink ref="O214" r:id="rId1679" display="..\01_DOCUMENT_SETS\ST-072-STD-03\04_Shipment_Statement.docx" xr:uid="{AA8B7536-F97E-4511-BD17-46BD0A326BFA}"/>
    <hyperlink ref="P214" r:id="rId1680" display="..\01_DOCUMENT_SETS\ST-072-STD-03\04_Shipment_Statement.pdf" xr:uid="{F1EBE51A-9A62-4B94-8B28-C1C1EFD8E3ED}"/>
    <hyperlink ref="F215" r:id="rId1681" display="..\01_DOCUMENT_SETS\ST-072-STD-04\01_Technical_File.docx" xr:uid="{CCB1C3A2-DDFB-43BD-9135-AF7E05E0FC6D}"/>
    <hyperlink ref="G215" r:id="rId1682" display="..\01_DOCUMENT_SETS\ST-072-STD-04\01_Technical_File.pdf" xr:uid="{0F2927D2-2304-4D68-975A-1FFF1AA23949}"/>
    <hyperlink ref="I215" r:id="rId1683" display="..\01_DOCUMENT_SETS\ST-072-STD-04\02_EU_DoC.docx" xr:uid="{7BF902C6-071D-43F8-BD71-E34F85475A80}"/>
    <hyperlink ref="J215" r:id="rId1684" display="..\01_DOCUMENT_SETS\ST-072-STD-04\02_EU_DoC.pdf" xr:uid="{ADE1163C-054B-4506-9BC9-64814319533C}"/>
    <hyperlink ref="L215" r:id="rId1685" display="..\01_DOCUMENT_SETS\ST-072-STD-04\03_Label.docx" xr:uid="{2F2A992C-9004-4DE3-B7E6-96FCDD9826B6}"/>
    <hyperlink ref="M215" r:id="rId1686" display="..\01_DOCUMENT_SETS\ST-072-STD-04\03_Label.pdf" xr:uid="{0493427B-B3DE-41BC-AF78-7D7934478E2A}"/>
    <hyperlink ref="O215" r:id="rId1687" display="..\01_DOCUMENT_SETS\ST-072-STD-04\04_Shipment_Statement.docx" xr:uid="{EABE7AE1-83AC-4844-BF22-05D2F730399A}"/>
    <hyperlink ref="P215" r:id="rId1688" display="..\01_DOCUMENT_SETS\ST-072-STD-04\04_Shipment_Statement.pdf" xr:uid="{D6816350-2408-4E2A-987A-306260F5E541}"/>
    <hyperlink ref="F216" r:id="rId1689" display="..\01_DOCUMENT_SETS\ST-072-STD-05\01_Technical_File.docx" xr:uid="{1C8E858E-0DE4-4035-B551-1E10B5CC92D6}"/>
    <hyperlink ref="G216" r:id="rId1690" display="..\01_DOCUMENT_SETS\ST-072-STD-05\01_Technical_File.pdf" xr:uid="{3EFF7F71-28AB-4765-9030-A86D0BC2EA6C}"/>
    <hyperlink ref="I216" r:id="rId1691" display="..\01_DOCUMENT_SETS\ST-072-STD-05\02_EU_DoC.docx" xr:uid="{52CED0B1-A956-4F36-9262-13B000904CFA}"/>
    <hyperlink ref="J216" r:id="rId1692" display="..\01_DOCUMENT_SETS\ST-072-STD-05\02_EU_DoC.pdf" xr:uid="{130C0B0F-1224-4935-83BD-3A88107A079B}"/>
    <hyperlink ref="L216" r:id="rId1693" display="..\01_DOCUMENT_SETS\ST-072-STD-05\03_Label.docx" xr:uid="{AE774A6C-540B-4F91-A0DF-C3285B6C8446}"/>
    <hyperlink ref="M216" r:id="rId1694" display="..\01_DOCUMENT_SETS\ST-072-STD-05\03_Label.pdf" xr:uid="{B5F8D03A-B038-492C-9D3B-98838F87C60E}"/>
    <hyperlink ref="O216" r:id="rId1695" display="..\01_DOCUMENT_SETS\ST-072-STD-05\04_Shipment_Statement.docx" xr:uid="{A1BFEBDD-13C1-4114-9387-ACD1F86DDC71}"/>
    <hyperlink ref="P216" r:id="rId1696" display="..\01_DOCUMENT_SETS\ST-072-STD-05\04_Shipment_Statement.pdf" xr:uid="{9C80023A-2FC0-4047-8832-3CB831654418}"/>
    <hyperlink ref="F217" r:id="rId1697" display="..\01_DOCUMENT_SETS\ST-072-STD-06\01_Technical_File.docx" xr:uid="{B577B485-82FA-4E4C-B8B5-ACDCA1AAC0A6}"/>
    <hyperlink ref="G217" r:id="rId1698" display="..\01_DOCUMENT_SETS\ST-072-STD-06\01_Technical_File.pdf" xr:uid="{BB95E43F-1609-4EA6-B097-44FDAB0543F3}"/>
    <hyperlink ref="I217" r:id="rId1699" display="..\01_DOCUMENT_SETS\ST-072-STD-06\02_EU_DoC.docx" xr:uid="{FAC0CC45-65DD-451F-9A27-85AD9E0F1C4C}"/>
    <hyperlink ref="J217" r:id="rId1700" display="..\01_DOCUMENT_SETS\ST-072-STD-06\02_EU_DoC.pdf" xr:uid="{FE0DF1B3-32A0-42B6-9EB9-245ECF56FE56}"/>
    <hyperlink ref="L217" r:id="rId1701" display="..\01_DOCUMENT_SETS\ST-072-STD-06\03_Label.docx" xr:uid="{6DD44674-F48D-4AEC-9BDF-0003E7C3CE0F}"/>
    <hyperlink ref="M217" r:id="rId1702" display="..\01_DOCUMENT_SETS\ST-072-STD-06\03_Label.pdf" xr:uid="{0D8063DD-68D3-45DA-82B7-395CE532EE38}"/>
    <hyperlink ref="O217" r:id="rId1703" display="..\01_DOCUMENT_SETS\ST-072-STD-06\04_Shipment_Statement.docx" xr:uid="{DD4E7BEA-75CB-429E-8D59-4F914F9ED6FB}"/>
    <hyperlink ref="P217" r:id="rId1704" display="..\01_DOCUMENT_SETS\ST-072-STD-06\04_Shipment_Statement.pdf" xr:uid="{446FCAA8-CD6B-4817-A920-A365F21C2ACC}"/>
    <hyperlink ref="F218" r:id="rId1705" display="..\01_DOCUMENT_SETS\ST-072-STD-07\01_Technical_File.docx" xr:uid="{6FA4BB70-3BDB-4369-9963-D954CFB2B415}"/>
    <hyperlink ref="G218" r:id="rId1706" display="..\01_DOCUMENT_SETS\ST-072-STD-07\01_Technical_File.pdf" xr:uid="{6EAD4101-B64C-4048-9E0A-6B4EFE462B23}"/>
    <hyperlink ref="I218" r:id="rId1707" display="..\01_DOCUMENT_SETS\ST-072-STD-07\02_EU_DoC.docx" xr:uid="{460F34AB-A5BC-4F74-AB7B-23E6A10AB883}"/>
    <hyperlink ref="J218" r:id="rId1708" display="..\01_DOCUMENT_SETS\ST-072-STD-07\02_EU_DoC.pdf" xr:uid="{AB8BCB9C-8D47-4574-BCF3-9B39333FADD4}"/>
    <hyperlink ref="L218" r:id="rId1709" display="..\01_DOCUMENT_SETS\ST-072-STD-07\03_Label.docx" xr:uid="{4281A16E-4502-4707-8A92-CB70BCEC2F29}"/>
    <hyperlink ref="M218" r:id="rId1710" display="..\01_DOCUMENT_SETS\ST-072-STD-07\03_Label.pdf" xr:uid="{C96B82AF-D0BB-4C11-881C-AAA318C03D9A}"/>
    <hyperlink ref="O218" r:id="rId1711" display="..\01_DOCUMENT_SETS\ST-072-STD-07\04_Shipment_Statement.docx" xr:uid="{4E372582-01D4-4C18-A1E7-C7A07308A17E}"/>
    <hyperlink ref="P218" r:id="rId1712" display="..\01_DOCUMENT_SETS\ST-072-STD-07\04_Shipment_Statement.pdf" xr:uid="{8F89B9DE-CB08-4406-9849-FB31F00A9620}"/>
    <hyperlink ref="F219" r:id="rId1713" display="..\01_DOCUMENT_SETS\ST-072-STD-08\01_Technical_File.docx" xr:uid="{7B4EC170-F389-4FBA-82AA-20E85360727E}"/>
    <hyperlink ref="G219" r:id="rId1714" display="..\01_DOCUMENT_SETS\ST-072-STD-08\01_Technical_File.pdf" xr:uid="{5E5FD5D8-AF13-4BA3-A83D-234B597913A7}"/>
    <hyperlink ref="I219" r:id="rId1715" display="..\01_DOCUMENT_SETS\ST-072-STD-08\02_EU_DoC.docx" xr:uid="{38DE8F1C-C40A-49ED-84B3-44C5BEE5E9AC}"/>
    <hyperlink ref="J219" r:id="rId1716" display="..\01_DOCUMENT_SETS\ST-072-STD-08\02_EU_DoC.pdf" xr:uid="{3DBBF803-8B78-48B8-B0DF-8424D5B2E9BB}"/>
    <hyperlink ref="L219" r:id="rId1717" display="..\01_DOCUMENT_SETS\ST-072-STD-08\03_Label.docx" xr:uid="{36C22638-AA58-4736-85C5-092B2F172431}"/>
    <hyperlink ref="M219" r:id="rId1718" display="..\01_DOCUMENT_SETS\ST-072-STD-08\03_Label.pdf" xr:uid="{5CAD0B04-F606-46CB-9899-43A376FC1316}"/>
    <hyperlink ref="O219" r:id="rId1719" display="..\01_DOCUMENT_SETS\ST-072-STD-08\04_Shipment_Statement.docx" xr:uid="{F5FD4305-AC84-4B77-B3E4-C6BC1A303896}"/>
    <hyperlink ref="P219" r:id="rId1720" display="..\01_DOCUMENT_SETS\ST-072-STD-08\04_Shipment_Statement.pdf" xr:uid="{AAE27B20-6414-41EA-A847-5902837E8319}"/>
    <hyperlink ref="F220" r:id="rId1721" display="..\01_DOCUMENT_SETS\ST-072-STD-09\01_Technical_File.docx" xr:uid="{D83571DF-32FD-4030-9073-4682F3058BFA}"/>
    <hyperlink ref="G220" r:id="rId1722" display="..\01_DOCUMENT_SETS\ST-072-STD-09\01_Technical_File.pdf" xr:uid="{173A600C-A45D-43F0-B597-B395C6FD8747}"/>
    <hyperlink ref="I220" r:id="rId1723" display="..\01_DOCUMENT_SETS\ST-072-STD-09\02_EU_DoC.docx" xr:uid="{0B866A48-9CC5-4034-ADE2-1E7229794A21}"/>
    <hyperlink ref="J220" r:id="rId1724" display="..\01_DOCUMENT_SETS\ST-072-STD-09\02_EU_DoC.pdf" xr:uid="{6FC72959-C84A-492E-AFA3-E8AB5A34B98F}"/>
    <hyperlink ref="L220" r:id="rId1725" display="..\01_DOCUMENT_SETS\ST-072-STD-09\03_Label.docx" xr:uid="{B24D895E-B2DE-4BEB-B548-E6FDAE9041CF}"/>
    <hyperlink ref="M220" r:id="rId1726" display="..\01_DOCUMENT_SETS\ST-072-STD-09\03_Label.pdf" xr:uid="{4F7BDD1E-6862-47D9-8A30-BF6B9ABEE7A4}"/>
    <hyperlink ref="O220" r:id="rId1727" display="..\01_DOCUMENT_SETS\ST-072-STD-09\04_Shipment_Statement.docx" xr:uid="{5A95E5D2-CC48-41D3-A494-CB0B85A7A5A5}"/>
    <hyperlink ref="P220" r:id="rId1728" display="..\01_DOCUMENT_SETS\ST-072-STD-09\04_Shipment_Statement.pdf" xr:uid="{D2CDA693-16CA-496C-B1A8-415D77359C9B}"/>
    <hyperlink ref="F221" r:id="rId1729" display="..\01_DOCUMENT_SETS\ST-072-STD-10\01_Technical_File.docx" xr:uid="{F1DAB348-5B13-4147-99A1-54750D4C1C34}"/>
    <hyperlink ref="G221" r:id="rId1730" display="..\01_DOCUMENT_SETS\ST-072-STD-10\01_Technical_File.pdf" xr:uid="{F45E3E0C-B500-4B58-AC58-9C5DEAA05E54}"/>
    <hyperlink ref="I221" r:id="rId1731" display="..\01_DOCUMENT_SETS\ST-072-STD-10\02_EU_DoC.docx" xr:uid="{1102F5C2-D437-4CB8-B78E-2A47641211BB}"/>
    <hyperlink ref="J221" r:id="rId1732" display="..\01_DOCUMENT_SETS\ST-072-STD-10\02_EU_DoC.pdf" xr:uid="{93B72B6E-1D31-4B99-B549-A8E10D96CD00}"/>
    <hyperlink ref="L221" r:id="rId1733" display="..\01_DOCUMENT_SETS\ST-072-STD-10\03_Label.docx" xr:uid="{BAA3BCDC-E09E-4490-9673-837B396064FF}"/>
    <hyperlink ref="M221" r:id="rId1734" display="..\01_DOCUMENT_SETS\ST-072-STD-10\03_Label.pdf" xr:uid="{41C2A35E-750D-44A3-951D-0DCFB219E622}"/>
    <hyperlink ref="O221" r:id="rId1735" display="..\01_DOCUMENT_SETS\ST-072-STD-10\04_Shipment_Statement.docx" xr:uid="{F996FA4B-F539-4600-A82E-CDBD084433F5}"/>
    <hyperlink ref="P221" r:id="rId1736" display="..\01_DOCUMENT_SETS\ST-072-STD-10\04_Shipment_Statement.pdf" xr:uid="{F9955DFB-65BC-4FAC-B567-5A5C59216C72}"/>
    <hyperlink ref="F222" r:id="rId1737" display="..\01_DOCUMENT_SETS\ST-072-STD-11\01_Technical_File.docx" xr:uid="{A77947F9-B9C1-4D0D-A305-1E4539E4AC04}"/>
    <hyperlink ref="G222" r:id="rId1738" display="..\01_DOCUMENT_SETS\ST-072-STD-11\01_Technical_File.pdf" xr:uid="{C285A265-D195-4703-B424-87921F1397AC}"/>
    <hyperlink ref="I222" r:id="rId1739" display="..\01_DOCUMENT_SETS\ST-072-STD-11\02_EU_DoC.docx" xr:uid="{65BB6AC1-D81A-4038-A930-16ABDED2ECB7}"/>
    <hyperlink ref="J222" r:id="rId1740" display="..\01_DOCUMENT_SETS\ST-072-STD-11\02_EU_DoC.pdf" xr:uid="{140A5740-2CA5-4C55-BA84-D82C4ACE8292}"/>
    <hyperlink ref="L222" r:id="rId1741" display="..\01_DOCUMENT_SETS\ST-072-STD-11\03_Label.docx" xr:uid="{9BED2EDC-D988-4457-A14B-A3EB50A81EFB}"/>
    <hyperlink ref="M222" r:id="rId1742" display="..\01_DOCUMENT_SETS\ST-072-STD-11\03_Label.pdf" xr:uid="{3AACDB06-967E-4C4E-A0D8-C91299929E8C}"/>
    <hyperlink ref="O222" r:id="rId1743" display="..\01_DOCUMENT_SETS\ST-072-STD-11\04_Shipment_Statement.docx" xr:uid="{37A4182D-5E56-4E90-8DFB-17C950BDA9E8}"/>
    <hyperlink ref="P222" r:id="rId1744" display="..\01_DOCUMENT_SETS\ST-072-STD-11\04_Shipment_Statement.pdf" xr:uid="{36D8393A-D956-41FB-8569-246E3E3B6499}"/>
    <hyperlink ref="F223" r:id="rId1745" display="..\01_DOCUMENT_SETS\ST-072-STD-12\01_Technical_File.docx" xr:uid="{991F9FB8-CAC0-4085-AB16-536821709733}"/>
    <hyperlink ref="G223" r:id="rId1746" display="..\01_DOCUMENT_SETS\ST-072-STD-12\01_Technical_File.pdf" xr:uid="{2771F184-30DE-4B06-90D7-17A1AE20BD44}"/>
    <hyperlink ref="I223" r:id="rId1747" display="..\01_DOCUMENT_SETS\ST-072-STD-12\02_EU_DoC.docx" xr:uid="{44CBA4E5-0F25-40BF-9188-853476A0E39D}"/>
    <hyperlink ref="J223" r:id="rId1748" display="..\01_DOCUMENT_SETS\ST-072-STD-12\02_EU_DoC.pdf" xr:uid="{3E3FF933-EECD-42E9-B785-B2C5E8D70F3A}"/>
    <hyperlink ref="L223" r:id="rId1749" display="..\01_DOCUMENT_SETS\ST-072-STD-12\03_Label.docx" xr:uid="{E926557B-31EE-4588-BC6F-B145F778EFE1}"/>
    <hyperlink ref="M223" r:id="rId1750" display="..\01_DOCUMENT_SETS\ST-072-STD-12\03_Label.pdf" xr:uid="{E579BBD9-3F34-45AF-A933-67477D4A8629}"/>
    <hyperlink ref="O223" r:id="rId1751" display="..\01_DOCUMENT_SETS\ST-072-STD-12\04_Shipment_Statement.docx" xr:uid="{9A14DA19-881A-4F8A-87D3-2814DEE0DEB9}"/>
    <hyperlink ref="P223" r:id="rId1752" display="..\01_DOCUMENT_SETS\ST-072-STD-12\04_Shipment_Statement.pdf" xr:uid="{907A8CB4-47CE-453B-8D6F-07771BDA30D4}"/>
    <hyperlink ref="F224" r:id="rId1753" display="..\01_DOCUMENT_SETS\ST-072-STD-13\01_Technical_File.docx" xr:uid="{7F1E41FB-1E26-4669-AAA2-06F5E2595A35}"/>
    <hyperlink ref="G224" r:id="rId1754" display="..\01_DOCUMENT_SETS\ST-072-STD-13\01_Technical_File.pdf" xr:uid="{829DB4FB-9002-443B-ADA9-6A38E18D71BA}"/>
    <hyperlink ref="I224" r:id="rId1755" display="..\01_DOCUMENT_SETS\ST-072-STD-13\02_EU_DoC.docx" xr:uid="{B56DA3D9-4295-47E1-B95D-E35DFFC0BA64}"/>
    <hyperlink ref="J224" r:id="rId1756" display="..\01_DOCUMENT_SETS\ST-072-STD-13\02_EU_DoC.pdf" xr:uid="{3F1CD206-C005-44DE-ACCD-1E20D9D26085}"/>
    <hyperlink ref="L224" r:id="rId1757" display="..\01_DOCUMENT_SETS\ST-072-STD-13\03_Label.docx" xr:uid="{7B04103D-8065-4CEB-B210-217397D1B997}"/>
    <hyperlink ref="M224" r:id="rId1758" display="..\01_DOCUMENT_SETS\ST-072-STD-13\03_Label.pdf" xr:uid="{762D6F31-6601-4F6F-B37E-7A2972357A83}"/>
    <hyperlink ref="O224" r:id="rId1759" display="..\01_DOCUMENT_SETS\ST-072-STD-13\04_Shipment_Statement.docx" xr:uid="{CD7EAD14-4BBA-44EC-ACCD-0B892B3524F1}"/>
    <hyperlink ref="P224" r:id="rId1760" display="..\01_DOCUMENT_SETS\ST-072-STD-13\04_Shipment_Statement.pdf" xr:uid="{A08E1661-7BEE-4F9B-9CA1-F4BB8BD9F07A}"/>
    <hyperlink ref="F225" r:id="rId1761" display="..\01_DOCUMENT_SETS\ST-072-STD-14\01_Technical_File.docx" xr:uid="{6F5F537E-4034-41B2-9FA3-E739335035FA}"/>
    <hyperlink ref="G225" r:id="rId1762" display="..\01_DOCUMENT_SETS\ST-072-STD-14\01_Technical_File.pdf" xr:uid="{2B5F55AD-40B2-4AF0-8C9C-0BE391689828}"/>
    <hyperlink ref="I225" r:id="rId1763" display="..\01_DOCUMENT_SETS\ST-072-STD-14\02_EU_DoC.docx" xr:uid="{5EE33DB5-699B-40E0-AD1D-C733FAB7E2A4}"/>
    <hyperlink ref="J225" r:id="rId1764" display="..\01_DOCUMENT_SETS\ST-072-STD-14\02_EU_DoC.pdf" xr:uid="{9A4AE505-66D0-4A46-BB49-DEE23CDB256F}"/>
    <hyperlink ref="L225" r:id="rId1765" display="..\01_DOCUMENT_SETS\ST-072-STD-14\03_Label.docx" xr:uid="{ED082D0E-D53D-4865-8CA8-FEF0B6E155F5}"/>
    <hyperlink ref="M225" r:id="rId1766" display="..\01_DOCUMENT_SETS\ST-072-STD-14\03_Label.pdf" xr:uid="{E8D1F899-F0D7-4850-9F3C-99CB076B0038}"/>
    <hyperlink ref="O225" r:id="rId1767" display="..\01_DOCUMENT_SETS\ST-072-STD-14\04_Shipment_Statement.docx" xr:uid="{032E812B-4877-4E66-87E9-2CCEFEF0DCE7}"/>
    <hyperlink ref="P225" r:id="rId1768" display="..\01_DOCUMENT_SETS\ST-072-STD-14\04_Shipment_Statement.pdf" xr:uid="{DFA313C3-42C8-41EF-905B-71722FF3A479}"/>
    <hyperlink ref="F226" r:id="rId1769" display="..\01_DOCUMENT_SETS\ST-072-STD-15\01_Technical_File.docx" xr:uid="{F0B655E7-F9F8-4870-B3B4-8327FC5C96F6}"/>
    <hyperlink ref="G226" r:id="rId1770" display="..\01_DOCUMENT_SETS\ST-072-STD-15\01_Technical_File.pdf" xr:uid="{22013E08-C6AC-4D63-B877-B9BBEFCF9032}"/>
    <hyperlink ref="I226" r:id="rId1771" display="..\01_DOCUMENT_SETS\ST-072-STD-15\02_EU_DoC.docx" xr:uid="{0A2052FF-2FA1-43AE-A9BF-05A65CBAE267}"/>
    <hyperlink ref="J226" r:id="rId1772" display="..\01_DOCUMENT_SETS\ST-072-STD-15\02_EU_DoC.pdf" xr:uid="{1589C74A-4B11-4A2B-8803-E9905AABAB1A}"/>
    <hyperlink ref="L226" r:id="rId1773" display="..\01_DOCUMENT_SETS\ST-072-STD-15\03_Label.docx" xr:uid="{70137906-ACB2-4154-B8EB-5EE926A34435}"/>
    <hyperlink ref="M226" r:id="rId1774" display="..\01_DOCUMENT_SETS\ST-072-STD-15\03_Label.pdf" xr:uid="{F10B7861-E3C3-4706-B49E-84B35946BBEC}"/>
    <hyperlink ref="O226" r:id="rId1775" display="..\01_DOCUMENT_SETS\ST-072-STD-15\04_Shipment_Statement.docx" xr:uid="{DD41466E-6881-4A69-BF9F-9AAB85885FF4}"/>
    <hyperlink ref="P226" r:id="rId1776" display="..\01_DOCUMENT_SETS\ST-072-STD-15\04_Shipment_Statement.pdf" xr:uid="{3DF6C465-3348-4F5F-A4A0-1F1F2922D41A}"/>
    <hyperlink ref="F227" r:id="rId1777" display="..\01_DOCUMENT_SETS\ST-072-STD-16\01_Technical_File.docx" xr:uid="{6C60122B-F059-4DF2-AF0B-4589BD964559}"/>
    <hyperlink ref="G227" r:id="rId1778" display="..\01_DOCUMENT_SETS\ST-072-STD-16\01_Technical_File.pdf" xr:uid="{0EDB0D6B-4F44-4ED9-988F-4E78AC68B8D8}"/>
    <hyperlink ref="I227" r:id="rId1779" display="..\01_DOCUMENT_SETS\ST-072-STD-16\02_EU_DoC.docx" xr:uid="{A89CA755-F6C0-4CB7-AFDB-65386551FC22}"/>
    <hyperlink ref="J227" r:id="rId1780" display="..\01_DOCUMENT_SETS\ST-072-STD-16\02_EU_DoC.pdf" xr:uid="{DCC1574E-C0B5-46AB-AC9E-A7569116A373}"/>
    <hyperlink ref="L227" r:id="rId1781" display="..\01_DOCUMENT_SETS\ST-072-STD-16\03_Label.docx" xr:uid="{EAD5DD7E-5370-4565-8486-72465F127075}"/>
    <hyperlink ref="M227" r:id="rId1782" display="..\01_DOCUMENT_SETS\ST-072-STD-16\03_Label.pdf" xr:uid="{059CD346-920F-4BF2-90AF-4AC5DBB9A249}"/>
    <hyperlink ref="O227" r:id="rId1783" display="..\01_DOCUMENT_SETS\ST-072-STD-16\04_Shipment_Statement.docx" xr:uid="{1DB996E8-60DD-43FC-B658-8AD585C30E77}"/>
    <hyperlink ref="P227" r:id="rId1784" display="..\01_DOCUMENT_SETS\ST-072-STD-16\04_Shipment_Statement.pdf" xr:uid="{6C556AE7-91A7-479A-9C25-9CBA68F21726}"/>
    <hyperlink ref="F228" r:id="rId1785" display="..\01_DOCUMENT_SETS\ST-072-STD-17\01_Technical_File.docx" xr:uid="{B1EA26BF-FBBB-45C8-B33C-EDBCB482A474}"/>
    <hyperlink ref="G228" r:id="rId1786" display="..\01_DOCUMENT_SETS\ST-072-STD-17\01_Technical_File.pdf" xr:uid="{6EC0C05B-4762-4888-A265-ABD617C41ADD}"/>
    <hyperlink ref="I228" r:id="rId1787" display="..\01_DOCUMENT_SETS\ST-072-STD-17\02_EU_DoC.docx" xr:uid="{3B9B587E-162B-4425-AED2-F1BC358A18F8}"/>
    <hyperlink ref="J228" r:id="rId1788" display="..\01_DOCUMENT_SETS\ST-072-STD-17\02_EU_DoC.pdf" xr:uid="{2924E4C7-7D4D-4887-9625-84D5DF51A25A}"/>
    <hyperlink ref="L228" r:id="rId1789" display="..\01_DOCUMENT_SETS\ST-072-STD-17\03_Label.docx" xr:uid="{88622012-2DD3-43CE-9208-647D532AACA0}"/>
    <hyperlink ref="M228" r:id="rId1790" display="..\01_DOCUMENT_SETS\ST-072-STD-17\03_Label.pdf" xr:uid="{96B47806-26F2-44D8-B2EC-385C8B7C0B38}"/>
    <hyperlink ref="O228" r:id="rId1791" display="..\01_DOCUMENT_SETS\ST-072-STD-17\04_Shipment_Statement.docx" xr:uid="{00EBFCC8-F677-4AAD-9F7C-BC71159E0B6A}"/>
    <hyperlink ref="P228" r:id="rId1792" display="..\01_DOCUMENT_SETS\ST-072-STD-17\04_Shipment_Statement.pdf" xr:uid="{16A326FE-ABAE-4E4F-997C-A6AC4E96D92E}"/>
    <hyperlink ref="F229" r:id="rId1793" display="..\01_DOCUMENT_SETS\ST-072-STD-18\01_Technical_File.docx" xr:uid="{8C23AC9A-8392-47A1-AAF7-14D6817F2007}"/>
    <hyperlink ref="G229" r:id="rId1794" display="..\01_DOCUMENT_SETS\ST-072-STD-18\01_Technical_File.pdf" xr:uid="{169F630F-BA4A-43E2-B937-6AC0985AAE80}"/>
    <hyperlink ref="I229" r:id="rId1795" display="..\01_DOCUMENT_SETS\ST-072-STD-18\02_EU_DoC.docx" xr:uid="{147CF53A-0C6C-40CE-A9A0-3D70B9E0D0A9}"/>
    <hyperlink ref="J229" r:id="rId1796" display="..\01_DOCUMENT_SETS\ST-072-STD-18\02_EU_DoC.pdf" xr:uid="{DA90D211-5846-420F-8C9A-11A967BD09B6}"/>
    <hyperlink ref="L229" r:id="rId1797" display="..\01_DOCUMENT_SETS\ST-072-STD-18\03_Label.docx" xr:uid="{82E9E06A-585A-4448-AA6D-CF3C2FC503F2}"/>
    <hyperlink ref="M229" r:id="rId1798" display="..\01_DOCUMENT_SETS\ST-072-STD-18\03_Label.pdf" xr:uid="{9BFC1E60-D39C-4855-B989-A99FCE6E37B5}"/>
    <hyperlink ref="O229" r:id="rId1799" display="..\01_DOCUMENT_SETS\ST-072-STD-18\04_Shipment_Statement.docx" xr:uid="{59246086-F428-4465-BB6F-76471CDC6259}"/>
    <hyperlink ref="P229" r:id="rId1800" display="..\01_DOCUMENT_SETS\ST-072-STD-18\04_Shipment_Statement.pdf" xr:uid="{3F51A600-9C77-43B8-8929-760E141ED835}"/>
    <hyperlink ref="F230" r:id="rId1801" display="..\01_DOCUMENT_SETS\ST-072-STD-19\01_Technical_File.docx" xr:uid="{6169B8A4-7922-4A98-B417-14E44084DEA2}"/>
    <hyperlink ref="G230" r:id="rId1802" display="..\01_DOCUMENT_SETS\ST-072-STD-19\01_Technical_File.pdf" xr:uid="{734E31E9-A928-4B1E-8439-5F420E9CAD6B}"/>
    <hyperlink ref="I230" r:id="rId1803" display="..\01_DOCUMENT_SETS\ST-072-STD-19\02_EU_DoC.docx" xr:uid="{CA9DDAA1-22D0-42CD-AF90-6C68FF46568F}"/>
    <hyperlink ref="J230" r:id="rId1804" display="..\01_DOCUMENT_SETS\ST-072-STD-19\02_EU_DoC.pdf" xr:uid="{411A8A49-6DC7-4375-9973-E64188039C80}"/>
    <hyperlink ref="L230" r:id="rId1805" display="..\01_DOCUMENT_SETS\ST-072-STD-19\03_Label.docx" xr:uid="{26774035-B758-49AA-8082-AE7440578AA8}"/>
    <hyperlink ref="M230" r:id="rId1806" display="..\01_DOCUMENT_SETS\ST-072-STD-19\03_Label.pdf" xr:uid="{1A4281F2-651F-450B-B884-7A9B00A4FEF6}"/>
    <hyperlink ref="O230" r:id="rId1807" display="..\01_DOCUMENT_SETS\ST-072-STD-19\04_Shipment_Statement.docx" xr:uid="{62C6D36C-66EB-4DCB-85B8-111480FA07EB}"/>
    <hyperlink ref="P230" r:id="rId1808" display="..\01_DOCUMENT_SETS\ST-072-STD-19\04_Shipment_Statement.pdf" xr:uid="{9FFC7F51-4DA2-42D8-87C9-39BE758036F5}"/>
    <hyperlink ref="F231" r:id="rId1809" display="..\01_DOCUMENT_SETS\ST-072-STD-20\01_Technical_File.docx" xr:uid="{EE7FFD56-7E17-4C68-A07B-B2EB0A3D1B26}"/>
    <hyperlink ref="G231" r:id="rId1810" display="..\01_DOCUMENT_SETS\ST-072-STD-20\01_Technical_File.pdf" xr:uid="{B7958179-7845-4966-845D-620A4F9E61C2}"/>
    <hyperlink ref="I231" r:id="rId1811" display="..\01_DOCUMENT_SETS\ST-072-STD-20\02_EU_DoC.docx" xr:uid="{05ECD7EE-16D0-4C8A-AF87-B7D12E7B5E21}"/>
    <hyperlink ref="J231" r:id="rId1812" display="..\01_DOCUMENT_SETS\ST-072-STD-20\02_EU_DoC.pdf" xr:uid="{F3E5099D-837E-4BF9-B6C4-1B3207BDDA43}"/>
    <hyperlink ref="L231" r:id="rId1813" display="..\01_DOCUMENT_SETS\ST-072-STD-20\03_Label.docx" xr:uid="{04FA124B-7BEB-430C-B30B-62CBB41D191D}"/>
    <hyperlink ref="M231" r:id="rId1814" display="..\01_DOCUMENT_SETS\ST-072-STD-20\03_Label.pdf" xr:uid="{BD69BC63-F585-4724-B78B-9B4781BE0395}"/>
    <hyperlink ref="O231" r:id="rId1815" display="..\01_DOCUMENT_SETS\ST-072-STD-20\04_Shipment_Statement.docx" xr:uid="{5861731A-FCC3-4920-B74E-F2E5E50A4F9A}"/>
    <hyperlink ref="P231" r:id="rId1816" display="..\01_DOCUMENT_SETS\ST-072-STD-20\04_Shipment_Statement.pdf" xr:uid="{61AACE04-B24B-4D76-8DBC-198E78B78DB6}"/>
    <hyperlink ref="F232" r:id="rId1817" display="..\01_DOCUMENT_SETS\ST-072-STD-21\01_Technical_File.docx" xr:uid="{39A098C7-B3A4-4064-9B6E-EB755C66AC62}"/>
    <hyperlink ref="G232" r:id="rId1818" display="..\01_DOCUMENT_SETS\ST-072-STD-21\01_Technical_File.pdf" xr:uid="{DD9FE919-CD0B-4170-92DB-7B072032FCC4}"/>
    <hyperlink ref="I232" r:id="rId1819" display="..\01_DOCUMENT_SETS\ST-072-STD-21\02_EU_DoC.docx" xr:uid="{D20A8C9C-285D-42AD-A6BC-CC81142305B7}"/>
    <hyperlink ref="J232" r:id="rId1820" display="..\01_DOCUMENT_SETS\ST-072-STD-21\02_EU_DoC.pdf" xr:uid="{5A69EC48-F93C-4086-A6CA-187E1DF5F161}"/>
    <hyperlink ref="L232" r:id="rId1821" display="..\01_DOCUMENT_SETS\ST-072-STD-21\03_Label.docx" xr:uid="{5E0B9B4E-9E07-47CF-9180-6D17C1F6DDFC}"/>
    <hyperlink ref="M232" r:id="rId1822" display="..\01_DOCUMENT_SETS\ST-072-STD-21\03_Label.pdf" xr:uid="{41537083-1124-49E8-A8B8-8ECACAFAFC46}"/>
    <hyperlink ref="O232" r:id="rId1823" display="..\01_DOCUMENT_SETS\ST-072-STD-21\04_Shipment_Statement.docx" xr:uid="{A5A5824E-9D49-4495-AAFF-4F428DC68AAD}"/>
    <hyperlink ref="P232" r:id="rId1824" display="..\01_DOCUMENT_SETS\ST-072-STD-21\04_Shipment_Statement.pdf" xr:uid="{C6204DED-B3B7-47EC-948B-A2F3F690FDBA}"/>
    <hyperlink ref="F233" r:id="rId1825" display="..\01_DOCUMENT_SETS\ST-072-STD-22\01_Technical_File.docx" xr:uid="{49DB1300-CA4B-4ED5-9391-2483109CA660}"/>
    <hyperlink ref="G233" r:id="rId1826" display="..\01_DOCUMENT_SETS\ST-072-STD-22\01_Technical_File.pdf" xr:uid="{9913FDA9-A79D-4AF5-8DF3-DDCC7EF2F985}"/>
    <hyperlink ref="I233" r:id="rId1827" display="..\01_DOCUMENT_SETS\ST-072-STD-22\02_EU_DoC.docx" xr:uid="{3BA9D598-0EB9-48F4-9B5E-AFD2B04FEA84}"/>
    <hyperlink ref="J233" r:id="rId1828" display="..\01_DOCUMENT_SETS\ST-072-STD-22\02_EU_DoC.pdf" xr:uid="{94A2DAE1-FB93-48AF-B1A1-D6F04D48030C}"/>
    <hyperlink ref="L233" r:id="rId1829" display="..\01_DOCUMENT_SETS\ST-072-STD-22\03_Label.docx" xr:uid="{04E23A4E-2722-4BBD-B17E-D6658B6A7A3B}"/>
    <hyperlink ref="M233" r:id="rId1830" display="..\01_DOCUMENT_SETS\ST-072-STD-22\03_Label.pdf" xr:uid="{D143AFB0-2FE2-4926-A5B5-F5C1B6B69A75}"/>
    <hyperlink ref="O233" r:id="rId1831" display="..\01_DOCUMENT_SETS\ST-072-STD-22\04_Shipment_Statement.docx" xr:uid="{8FD81079-651F-4BF0-9B7F-73367B9C6316}"/>
    <hyperlink ref="P233" r:id="rId1832" display="..\01_DOCUMENT_SETS\ST-072-STD-22\04_Shipment_Statement.pdf" xr:uid="{28169524-5291-4F20-BE83-DAFDCB52D9B1}"/>
    <hyperlink ref="F234" r:id="rId1833" display="..\01_DOCUMENT_SETS\ST-072-STD-23\01_Technical_File.docx" xr:uid="{4C9B2DA5-2B06-4398-B779-44775CFE17FD}"/>
    <hyperlink ref="G234" r:id="rId1834" display="..\01_DOCUMENT_SETS\ST-072-STD-23\01_Technical_File.pdf" xr:uid="{E2225EC1-5DBE-47B8-9D0A-F60819B2324E}"/>
    <hyperlink ref="I234" r:id="rId1835" display="..\01_DOCUMENT_SETS\ST-072-STD-23\02_EU_DoC.docx" xr:uid="{465079A3-2BDA-4982-9FF5-8611D9617D6D}"/>
    <hyperlink ref="J234" r:id="rId1836" display="..\01_DOCUMENT_SETS\ST-072-STD-23\02_EU_DoC.pdf" xr:uid="{A61F6CFE-BF94-4136-A7AB-8B962AC44C20}"/>
    <hyperlink ref="L234" r:id="rId1837" display="..\01_DOCUMENT_SETS\ST-072-STD-23\03_Label.docx" xr:uid="{24B44C4E-2EF1-46E5-AFC7-4820E7B9BA2F}"/>
    <hyperlink ref="M234" r:id="rId1838" display="..\01_DOCUMENT_SETS\ST-072-STD-23\03_Label.pdf" xr:uid="{785938C6-2A4B-4297-AEED-0810E92F660E}"/>
    <hyperlink ref="O234" r:id="rId1839" display="..\01_DOCUMENT_SETS\ST-072-STD-23\04_Shipment_Statement.docx" xr:uid="{5429A4B9-E654-4267-B626-285253DF5417}"/>
    <hyperlink ref="P234" r:id="rId1840" display="..\01_DOCUMENT_SETS\ST-072-STD-23\04_Shipment_Statement.pdf" xr:uid="{5C065D85-87BF-46DA-A492-99EF98000D98}"/>
    <hyperlink ref="F235" r:id="rId1841" display="..\01_DOCUMENT_SETS\ST-072-STD-24\01_Technical_File.docx" xr:uid="{09CF00E1-1ACF-4014-BEA1-02E76EE74D4D}"/>
    <hyperlink ref="G235" r:id="rId1842" display="..\01_DOCUMENT_SETS\ST-072-STD-24\01_Technical_File.pdf" xr:uid="{FF4B0490-9C57-454C-BB81-FC8A4652F188}"/>
    <hyperlink ref="I235" r:id="rId1843" display="..\01_DOCUMENT_SETS\ST-072-STD-24\02_EU_DoC.docx" xr:uid="{2E1BD601-5A4F-417C-BD9D-33B6122F9179}"/>
    <hyperlink ref="J235" r:id="rId1844" display="..\01_DOCUMENT_SETS\ST-072-STD-24\02_EU_DoC.pdf" xr:uid="{2418B11F-6D72-4A09-A00A-AFF4C7EF6872}"/>
    <hyperlink ref="L235" r:id="rId1845" display="..\01_DOCUMENT_SETS\ST-072-STD-24\03_Label.docx" xr:uid="{10F2F67E-419B-4A3E-8CCA-B1FFE282C7CC}"/>
    <hyperlink ref="M235" r:id="rId1846" display="..\01_DOCUMENT_SETS\ST-072-STD-24\03_Label.pdf" xr:uid="{77C3A816-6741-40A3-9E92-D721CE07F649}"/>
    <hyperlink ref="O235" r:id="rId1847" display="..\01_DOCUMENT_SETS\ST-072-STD-24\04_Shipment_Statement.docx" xr:uid="{53C2D67D-C556-434D-82B6-7DC8962BAD5A}"/>
    <hyperlink ref="P235" r:id="rId1848" display="..\01_DOCUMENT_SETS\ST-072-STD-24\04_Shipment_Statement.pdf" xr:uid="{57FF278E-DE87-4317-B66E-FD36BEABAD3F}"/>
    <hyperlink ref="F236" r:id="rId1849" display="..\01_DOCUMENT_SETS\ST-072-STD-25\01_Technical_File.docx" xr:uid="{2BA9B819-F325-4D8F-A945-517C6DED925A}"/>
    <hyperlink ref="G236" r:id="rId1850" display="..\01_DOCUMENT_SETS\ST-072-STD-25\01_Technical_File.pdf" xr:uid="{2E4FC76B-C7B6-4F9E-A1FF-D74755A4DB2B}"/>
    <hyperlink ref="I236" r:id="rId1851" display="..\01_DOCUMENT_SETS\ST-072-STD-25\02_EU_DoC.docx" xr:uid="{29B3B04A-598C-444A-93B2-6B19F76C9716}"/>
    <hyperlink ref="J236" r:id="rId1852" display="..\01_DOCUMENT_SETS\ST-072-STD-25\02_EU_DoC.pdf" xr:uid="{58CF7730-F330-4429-A5E2-6FA8B70F8969}"/>
    <hyperlink ref="L236" r:id="rId1853" display="..\01_DOCUMENT_SETS\ST-072-STD-25\03_Label.docx" xr:uid="{61E1C462-2FF0-441E-8786-CB2FAC980D51}"/>
    <hyperlink ref="M236" r:id="rId1854" display="..\01_DOCUMENT_SETS\ST-072-STD-25\03_Label.pdf" xr:uid="{8019790C-5027-49D3-859D-5DC65B5D648F}"/>
    <hyperlink ref="O236" r:id="rId1855" display="..\01_DOCUMENT_SETS\ST-072-STD-25\04_Shipment_Statement.docx" xr:uid="{CD21B8F8-20EB-43FE-A69E-847DC3113720}"/>
    <hyperlink ref="P236" r:id="rId1856" display="..\01_DOCUMENT_SETS\ST-072-STD-25\04_Shipment_Statement.pdf" xr:uid="{F0892922-E2E9-4F15-8F27-FDE215AFFA20}"/>
    <hyperlink ref="F237" r:id="rId1857" display="..\01_DOCUMENT_SETS\ST-072-STD-26\01_Technical_File.docx" xr:uid="{38E437BC-D7E3-4300-BED0-319B24D193F7}"/>
    <hyperlink ref="G237" r:id="rId1858" display="..\01_DOCUMENT_SETS\ST-072-STD-26\01_Technical_File.pdf" xr:uid="{4809A536-6EFF-417D-8496-69BDD99883C1}"/>
    <hyperlink ref="I237" r:id="rId1859" display="..\01_DOCUMENT_SETS\ST-072-STD-26\02_EU_DoC.docx" xr:uid="{2B49A88F-CE37-46B0-846E-14C511572FCB}"/>
    <hyperlink ref="J237" r:id="rId1860" display="..\01_DOCUMENT_SETS\ST-072-STD-26\02_EU_DoC.pdf" xr:uid="{1A6CB494-C9E7-4E37-B2AE-68D46EE43D27}"/>
    <hyperlink ref="L237" r:id="rId1861" display="..\01_DOCUMENT_SETS\ST-072-STD-26\03_Label.docx" xr:uid="{60E433A6-BDA3-4D47-81E4-0D47F1578B06}"/>
    <hyperlink ref="M237" r:id="rId1862" display="..\01_DOCUMENT_SETS\ST-072-STD-26\03_Label.pdf" xr:uid="{DF2B5971-6E21-4F0E-AEA8-D692CEE722C2}"/>
    <hyperlink ref="O237" r:id="rId1863" display="..\01_DOCUMENT_SETS\ST-072-STD-26\04_Shipment_Statement.docx" xr:uid="{9FEA9C23-5D41-4CC6-8FEE-C7A4453226D7}"/>
    <hyperlink ref="P237" r:id="rId1864" display="..\01_DOCUMENT_SETS\ST-072-STD-26\04_Shipment_Statement.pdf" xr:uid="{FE91D9F5-B770-4A16-A5A6-73B461F12610}"/>
    <hyperlink ref="F238" r:id="rId1865" display="..\01_DOCUMENT_SETS\ST-072-STD-27\01_Technical_File.docx" xr:uid="{E1C50832-9CBB-4541-AE11-75650257CF5A}"/>
    <hyperlink ref="G238" r:id="rId1866" display="..\01_DOCUMENT_SETS\ST-072-STD-27\01_Technical_File.pdf" xr:uid="{CB8EB33E-94EF-4064-9597-D84BBDB1B320}"/>
    <hyperlink ref="I238" r:id="rId1867" display="..\01_DOCUMENT_SETS\ST-072-STD-27\02_EU_DoC.docx" xr:uid="{1C57626F-CFB5-42E7-B787-98AB78562333}"/>
    <hyperlink ref="J238" r:id="rId1868" display="..\01_DOCUMENT_SETS\ST-072-STD-27\02_EU_DoC.pdf" xr:uid="{FDC9579D-C091-4975-98AC-4F4205E75C61}"/>
    <hyperlink ref="L238" r:id="rId1869" display="..\01_DOCUMENT_SETS\ST-072-STD-27\03_Label.docx" xr:uid="{37D2B642-E7F2-4589-A227-E1554C1A32F0}"/>
    <hyperlink ref="M238" r:id="rId1870" display="..\01_DOCUMENT_SETS\ST-072-STD-27\03_Label.pdf" xr:uid="{1CBBA3BC-BF6D-4FCE-8A4E-A996BBAB04B7}"/>
    <hyperlink ref="O238" r:id="rId1871" display="..\01_DOCUMENT_SETS\ST-072-STD-27\04_Shipment_Statement.docx" xr:uid="{9E1F105E-B246-49E7-84AC-4D9D93FDE327}"/>
    <hyperlink ref="P238" r:id="rId1872" display="..\01_DOCUMENT_SETS\ST-072-STD-27\04_Shipment_Statement.pdf" xr:uid="{9F555502-F1F3-4262-A97D-ED12E2F0DBDE}"/>
    <hyperlink ref="F239" r:id="rId1873" display="..\01_DOCUMENT_SETS\ST-072-STD-28\01_Technical_File.docx" xr:uid="{67519258-2B2E-42AE-9857-8BA3DF35B4C2}"/>
    <hyperlink ref="G239" r:id="rId1874" display="..\01_DOCUMENT_SETS\ST-072-STD-28\01_Technical_File.pdf" xr:uid="{603F70BD-C4EF-47C2-87EB-4B68F87AE3E7}"/>
    <hyperlink ref="I239" r:id="rId1875" display="..\01_DOCUMENT_SETS\ST-072-STD-28\02_EU_DoC.docx" xr:uid="{61238449-0B1B-4435-8CDE-829E88EE8A32}"/>
    <hyperlink ref="J239" r:id="rId1876" display="..\01_DOCUMENT_SETS\ST-072-STD-28\02_EU_DoC.pdf" xr:uid="{6860989E-013F-4C8F-B2EF-328DC7E58808}"/>
    <hyperlink ref="L239" r:id="rId1877" display="..\01_DOCUMENT_SETS\ST-072-STD-28\03_Label.docx" xr:uid="{5E8C7375-7E2D-48B8-9AF6-2C20649BC211}"/>
    <hyperlink ref="M239" r:id="rId1878" display="..\01_DOCUMENT_SETS\ST-072-STD-28\03_Label.pdf" xr:uid="{EAB38C9F-94F4-47EC-9036-12EC2B2943A7}"/>
    <hyperlink ref="O239" r:id="rId1879" display="..\01_DOCUMENT_SETS\ST-072-STD-28\04_Shipment_Statement.docx" xr:uid="{5543DFFB-B8C6-4E03-A063-5C89321FFB5C}"/>
    <hyperlink ref="P239" r:id="rId1880" display="..\01_DOCUMENT_SETS\ST-072-STD-28\04_Shipment_Statement.pdf" xr:uid="{F07BD44C-CE15-4324-8EB1-89758F2D96AA}"/>
    <hyperlink ref="F240" r:id="rId1881" display="..\01_DOCUMENT_SETS\ST-076-EUR-01\01_Technical_File.docx" xr:uid="{82EBF3B1-38DA-4CC3-BE6F-EBD39BF9D85C}"/>
    <hyperlink ref="G240" r:id="rId1882" display="..\01_DOCUMENT_SETS\ST-076-EUR-01\01_Technical_File.pdf" xr:uid="{DA7AD322-4A7A-4056-999E-3218E1D00469}"/>
    <hyperlink ref="I240" r:id="rId1883" display="..\01_DOCUMENT_SETS\ST-076-EUR-01\02_EU_DoC.docx" xr:uid="{516890E6-82E7-4D6F-8B5D-D5A4880BE47D}"/>
    <hyperlink ref="J240" r:id="rId1884" display="..\01_DOCUMENT_SETS\ST-076-EUR-01\02_EU_DoC.pdf" xr:uid="{F01A5C9E-DF6C-4E8D-9023-2B6D822E4B0A}"/>
    <hyperlink ref="L240" r:id="rId1885" display="..\01_DOCUMENT_SETS\ST-076-EUR-01\03_Label.docx" xr:uid="{2B4E358D-FC01-481F-B6EC-99BA406D8783}"/>
    <hyperlink ref="M240" r:id="rId1886" display="..\01_DOCUMENT_SETS\ST-076-EUR-01\03_Label.pdf" xr:uid="{00F5C2AD-56FE-497B-BC10-3292CDE79ACA}"/>
    <hyperlink ref="O240" r:id="rId1887" display="..\01_DOCUMENT_SETS\ST-076-EUR-01\04_Shipment_Statement.docx" xr:uid="{38E8901F-C90A-4525-BC11-BCF79B3C3FD3}"/>
    <hyperlink ref="P240" r:id="rId1888" display="..\01_DOCUMENT_SETS\ST-076-EUR-01\04_Shipment_Statement.pdf" xr:uid="{202FB03F-EEA3-4EB3-952A-ED404471972F}"/>
    <hyperlink ref="F241" r:id="rId1889" display="..\01_DOCUMENT_SETS\ST-076-EUR-02\01_Technical_File.docx" xr:uid="{361BEFDA-F792-424A-A84A-83F75DDCECF7}"/>
    <hyperlink ref="G241" r:id="rId1890" display="..\01_DOCUMENT_SETS\ST-076-EUR-02\01_Technical_File.pdf" xr:uid="{DDA14491-B99E-497B-8040-03C73C759E97}"/>
    <hyperlink ref="I241" r:id="rId1891" display="..\01_DOCUMENT_SETS\ST-076-EUR-02\02_EU_DoC.docx" xr:uid="{2424E76A-0384-4E46-9CC5-381ED31EB729}"/>
    <hyperlink ref="J241" r:id="rId1892" display="..\01_DOCUMENT_SETS\ST-076-EUR-02\02_EU_DoC.pdf" xr:uid="{0F68D8B5-8D87-47DD-B58A-48E143D091FD}"/>
    <hyperlink ref="L241" r:id="rId1893" display="..\01_DOCUMENT_SETS\ST-076-EUR-02\03_Label.docx" xr:uid="{5364891B-B35A-4B9C-9DE5-07F0F41A01D5}"/>
    <hyperlink ref="M241" r:id="rId1894" display="..\01_DOCUMENT_SETS\ST-076-EUR-02\03_Label.pdf" xr:uid="{909E6753-675D-4C1C-9A50-47AA175449DC}"/>
    <hyperlink ref="O241" r:id="rId1895" display="..\01_DOCUMENT_SETS\ST-076-EUR-02\04_Shipment_Statement.docx" xr:uid="{FD351071-A9EA-43BF-AC44-E6166BB929E1}"/>
    <hyperlink ref="P241" r:id="rId1896" display="..\01_DOCUMENT_SETS\ST-076-EUR-02\04_Shipment_Statement.pdf" xr:uid="{8D01EFFD-1E85-4495-A2DF-F9520B1150E6}"/>
    <hyperlink ref="F242" r:id="rId1897" display="..\01_DOCUMENT_SETS\ST-076-EUR-03\01_Technical_File.docx" xr:uid="{50D3EF0C-0181-4869-B6C8-1044602949EE}"/>
    <hyperlink ref="G242" r:id="rId1898" display="..\01_DOCUMENT_SETS\ST-076-EUR-03\01_Technical_File.pdf" xr:uid="{9D7F198F-9D25-481F-BC99-25B70F17D50A}"/>
    <hyperlink ref="I242" r:id="rId1899" display="..\01_DOCUMENT_SETS\ST-076-EUR-03\02_EU_DoC.docx" xr:uid="{B58FAA20-075C-4D5C-BDF2-C3BF49BA15D1}"/>
    <hyperlink ref="J242" r:id="rId1900" display="..\01_DOCUMENT_SETS\ST-076-EUR-03\02_EU_DoC.pdf" xr:uid="{4050C7B1-A90F-403C-B9EB-1F71A0E43D7E}"/>
    <hyperlink ref="L242" r:id="rId1901" display="..\01_DOCUMENT_SETS\ST-076-EUR-03\03_Label.docx" xr:uid="{FAE6EE91-0B9C-446C-95D3-2C5E891AF84F}"/>
    <hyperlink ref="M242" r:id="rId1902" display="..\01_DOCUMENT_SETS\ST-076-EUR-03\03_Label.pdf" xr:uid="{15716B68-6F74-4ED7-9C62-E0643C9AFD92}"/>
    <hyperlink ref="O242" r:id="rId1903" display="..\01_DOCUMENT_SETS\ST-076-EUR-03\04_Shipment_Statement.docx" xr:uid="{6AB88ABE-22AB-40D8-ACF7-7C72E9C38DBA}"/>
    <hyperlink ref="P242" r:id="rId1904" display="..\01_DOCUMENT_SETS\ST-076-EUR-03\04_Shipment_Statement.pdf" xr:uid="{04DC94FB-865F-4112-A11D-A1DA8FD712B3}"/>
    <hyperlink ref="F243" r:id="rId1905" display="..\01_DOCUMENT_SETS\ST-076-EUR-04\01_Technical_File.docx" xr:uid="{A05DDE75-15CB-4C64-8B29-CD9A7477C748}"/>
    <hyperlink ref="G243" r:id="rId1906" display="..\01_DOCUMENT_SETS\ST-076-EUR-04\01_Technical_File.pdf" xr:uid="{5C6D3596-5E01-46EB-A82F-9455DD502918}"/>
    <hyperlink ref="I243" r:id="rId1907" display="..\01_DOCUMENT_SETS\ST-076-EUR-04\02_EU_DoC.docx" xr:uid="{AC867648-DD33-48BA-AD79-65229D40688A}"/>
    <hyperlink ref="J243" r:id="rId1908" display="..\01_DOCUMENT_SETS\ST-076-EUR-04\02_EU_DoC.pdf" xr:uid="{72836DA3-33A4-4318-9736-9260D5D5B4A2}"/>
    <hyperlink ref="L243" r:id="rId1909" display="..\01_DOCUMENT_SETS\ST-076-EUR-04\03_Label.docx" xr:uid="{E0B4B98A-5365-4FEC-962E-A1C2AABEB56E}"/>
    <hyperlink ref="M243" r:id="rId1910" display="..\01_DOCUMENT_SETS\ST-076-EUR-04\03_Label.pdf" xr:uid="{98C47C92-EA26-4177-9B90-AD792F75D4A2}"/>
    <hyperlink ref="O243" r:id="rId1911" display="..\01_DOCUMENT_SETS\ST-076-EUR-04\04_Shipment_Statement.docx" xr:uid="{1EB9FB01-00F2-4BCA-AC7B-A1E617C6ABF4}"/>
    <hyperlink ref="P243" r:id="rId1912" display="..\01_DOCUMENT_SETS\ST-076-EUR-04\04_Shipment_Statement.pdf" xr:uid="{6E05E64A-0BF8-49F6-BBCA-6B2CC5989155}"/>
    <hyperlink ref="F244" r:id="rId1913" display="..\01_DOCUMENT_SETS\ST-076-STD-01\01_Technical_File.docx" xr:uid="{186B84BA-A6F0-4DC6-B1AE-054567CD7E60}"/>
    <hyperlink ref="G244" r:id="rId1914" display="..\01_DOCUMENT_SETS\ST-076-STD-01\01_Technical_File.pdf" xr:uid="{CDEC2F6C-94EF-44C8-9BFF-C2DB1454EBF4}"/>
    <hyperlink ref="I244" r:id="rId1915" display="..\01_DOCUMENT_SETS\ST-076-STD-01\02_EU_DoC.docx" xr:uid="{B4CF6546-3F93-40AD-9EC7-BDAB2F1C7E47}"/>
    <hyperlink ref="J244" r:id="rId1916" display="..\01_DOCUMENT_SETS\ST-076-STD-01\02_EU_DoC.pdf" xr:uid="{13F09064-DC60-4659-8EE1-DCE6DD5724B8}"/>
    <hyperlink ref="L244" r:id="rId1917" display="..\01_DOCUMENT_SETS\ST-076-STD-01\03_Label.docx" xr:uid="{F5CF6662-AC58-4FC6-9188-9B209B080EF3}"/>
    <hyperlink ref="M244" r:id="rId1918" display="..\01_DOCUMENT_SETS\ST-076-STD-01\03_Label.pdf" xr:uid="{3BD5FA35-E19C-42E8-A6B1-FF73C7B6DB6B}"/>
    <hyperlink ref="O244" r:id="rId1919" display="..\01_DOCUMENT_SETS\ST-076-STD-01\04_Shipment_Statement.docx" xr:uid="{F6812A99-EFF6-4101-BAE3-CACD17C7175A}"/>
    <hyperlink ref="P244" r:id="rId1920" display="..\01_DOCUMENT_SETS\ST-076-STD-01\04_Shipment_Statement.pdf" xr:uid="{B0B68270-CB32-4021-B5F4-95E144583505}"/>
    <hyperlink ref="F245" r:id="rId1921" display="..\01_DOCUMENT_SETS\ST-076-STD-02\01_Technical_File.docx" xr:uid="{099840D8-510B-4006-9317-DF783ABCE0AB}"/>
    <hyperlink ref="G245" r:id="rId1922" display="..\01_DOCUMENT_SETS\ST-076-STD-02\01_Technical_File.pdf" xr:uid="{183AA2E8-8B65-4260-A235-E39235A40010}"/>
    <hyperlink ref="I245" r:id="rId1923" display="..\01_DOCUMENT_SETS\ST-076-STD-02\02_EU_DoC.docx" xr:uid="{89DA29AA-9ECE-44F7-88BF-4EC528547CBC}"/>
    <hyperlink ref="J245" r:id="rId1924" display="..\01_DOCUMENT_SETS\ST-076-STD-02\02_EU_DoC.pdf" xr:uid="{B15A6309-FDEE-4B2A-9104-912D34F4D928}"/>
    <hyperlink ref="L245" r:id="rId1925" display="..\01_DOCUMENT_SETS\ST-076-STD-02\03_Label.docx" xr:uid="{6013E367-33ED-4B16-9C72-CBD8621013F1}"/>
    <hyperlink ref="M245" r:id="rId1926" display="..\01_DOCUMENT_SETS\ST-076-STD-02\03_Label.pdf" xr:uid="{F6F2FEBD-E904-49BD-B98D-D2213730A408}"/>
    <hyperlink ref="O245" r:id="rId1927" display="..\01_DOCUMENT_SETS\ST-076-STD-02\04_Shipment_Statement.docx" xr:uid="{C6C80419-75A2-4FB3-BEE8-2CFFA0E10E92}"/>
    <hyperlink ref="P245" r:id="rId1928" display="..\01_DOCUMENT_SETS\ST-076-STD-02\04_Shipment_Statement.pdf" xr:uid="{968E76E3-A01D-422A-B47D-F97B43B19428}"/>
    <hyperlink ref="F246" r:id="rId1929" display="..\01_DOCUMENT_SETS\ST-076-STD-03\01_Technical_File.docx" xr:uid="{BF023B79-6A32-4799-93B0-6B025B58AD37}"/>
    <hyperlink ref="G246" r:id="rId1930" display="..\01_DOCUMENT_SETS\ST-076-STD-03\01_Technical_File.pdf" xr:uid="{FA358456-11C0-4310-847D-CB8BF4940D48}"/>
    <hyperlink ref="I246" r:id="rId1931" display="..\01_DOCUMENT_SETS\ST-076-STD-03\02_EU_DoC.docx" xr:uid="{C2BC52D6-826C-462C-90C0-8C3C7E305965}"/>
    <hyperlink ref="J246" r:id="rId1932" display="..\01_DOCUMENT_SETS\ST-076-STD-03\02_EU_DoC.pdf" xr:uid="{D2A59F86-B0A4-4E45-99C6-0D6C62A61998}"/>
    <hyperlink ref="L246" r:id="rId1933" display="..\01_DOCUMENT_SETS\ST-076-STD-03\03_Label.docx" xr:uid="{1BE5BEE3-EB73-49C7-AE10-A291C1FDFEED}"/>
    <hyperlink ref="M246" r:id="rId1934" display="..\01_DOCUMENT_SETS\ST-076-STD-03\03_Label.pdf" xr:uid="{9F093349-BBFB-4687-8A65-EC570649B7BD}"/>
    <hyperlink ref="O246" r:id="rId1935" display="..\01_DOCUMENT_SETS\ST-076-STD-03\04_Shipment_Statement.docx" xr:uid="{AD63BC5F-3C44-4491-BB01-1241FA2CBBE5}"/>
    <hyperlink ref="P246" r:id="rId1936" display="..\01_DOCUMENT_SETS\ST-076-STD-03\04_Shipment_Statement.pdf" xr:uid="{A70C27DB-B140-42E4-848C-FAB1256B2871}"/>
    <hyperlink ref="F247" r:id="rId1937" display="..\01_DOCUMENT_SETS\ST-076-STD-04\01_Technical_File.docx" xr:uid="{A96BDF38-AFCD-44CB-B1A2-7BCD04180A3B}"/>
    <hyperlink ref="G247" r:id="rId1938" display="..\01_DOCUMENT_SETS\ST-076-STD-04\01_Technical_File.pdf" xr:uid="{0431A709-BCF4-4689-B333-B347FC23130A}"/>
    <hyperlink ref="I247" r:id="rId1939" display="..\01_DOCUMENT_SETS\ST-076-STD-04\02_EU_DoC.docx" xr:uid="{1779246F-7CFD-4FFC-B54A-5443CE43F1A6}"/>
    <hyperlink ref="J247" r:id="rId1940" display="..\01_DOCUMENT_SETS\ST-076-STD-04\02_EU_DoC.pdf" xr:uid="{2C92937D-BF3D-4C1E-A62D-16589FD1D20E}"/>
    <hyperlink ref="L247" r:id="rId1941" display="..\01_DOCUMENT_SETS\ST-076-STD-04\03_Label.docx" xr:uid="{8AF99C19-2656-437C-911D-F320907E4EEE}"/>
    <hyperlink ref="M247" r:id="rId1942" display="..\01_DOCUMENT_SETS\ST-076-STD-04\03_Label.pdf" xr:uid="{7938E17A-13B2-42AF-B159-93BE5DFC87C8}"/>
    <hyperlink ref="O247" r:id="rId1943" display="..\01_DOCUMENT_SETS\ST-076-STD-04\04_Shipment_Statement.docx" xr:uid="{0D200B7E-0B61-40B0-932E-872AD02562EF}"/>
    <hyperlink ref="P247" r:id="rId1944" display="..\01_DOCUMENT_SETS\ST-076-STD-04\04_Shipment_Statement.pdf" xr:uid="{C2C0F4F5-3156-4E4B-9FD0-D48ADD712D1B}"/>
    <hyperlink ref="F248" r:id="rId1945" display="..\01_DOCUMENT_SETS\ST-080-EUR-01\01_Technical_File.docx" xr:uid="{52FFCA42-A8C7-43AF-9D89-2D2443A07218}"/>
    <hyperlink ref="G248" r:id="rId1946" display="..\01_DOCUMENT_SETS\ST-080-EUR-01\01_Technical_File.pdf" xr:uid="{11C68287-12ED-44D3-95E7-585C9152330B}"/>
    <hyperlink ref="I248" r:id="rId1947" display="..\01_DOCUMENT_SETS\ST-080-EUR-01\02_EU_DoC.docx" xr:uid="{24FC8B69-0477-4E5B-B76A-DCEA01C08F3D}"/>
    <hyperlink ref="J248" r:id="rId1948" display="..\01_DOCUMENT_SETS\ST-080-EUR-01\02_EU_DoC.pdf" xr:uid="{E741743B-9E44-4266-BA8E-B19BD2D211F6}"/>
    <hyperlink ref="L248" r:id="rId1949" display="..\01_DOCUMENT_SETS\ST-080-EUR-01\03_Label.docx" xr:uid="{E2445165-50BE-48D6-AE72-67E57D9A1E65}"/>
    <hyperlink ref="M248" r:id="rId1950" display="..\01_DOCUMENT_SETS\ST-080-EUR-01\03_Label.pdf" xr:uid="{46F76B85-1C6C-4D12-90B2-1424A4F848DF}"/>
    <hyperlink ref="O248" r:id="rId1951" display="..\01_DOCUMENT_SETS\ST-080-EUR-01\04_Shipment_Statement.docx" xr:uid="{ED5CE64D-3508-48F9-91EB-97573F39A5AC}"/>
    <hyperlink ref="P248" r:id="rId1952" display="..\01_DOCUMENT_SETS\ST-080-EUR-01\04_Shipment_Statement.pdf" xr:uid="{1036FF21-B0FD-48BC-8DDA-FAC82773A8D0}"/>
    <hyperlink ref="F249" r:id="rId1953" display="..\01_DOCUMENT_SETS\ST-081-EUR-01\01_Technical_File.docx" xr:uid="{A1C7B4FD-407F-470E-A598-AC3C6425279D}"/>
    <hyperlink ref="G249" r:id="rId1954" display="..\01_DOCUMENT_SETS\ST-081-EUR-01\01_Technical_File.pdf" xr:uid="{411D61ED-AADD-448D-9D13-46149FE99818}"/>
    <hyperlink ref="I249" r:id="rId1955" display="..\01_DOCUMENT_SETS\ST-081-EUR-01\02_EU_DoC.docx" xr:uid="{7C3D1080-5E5D-47F2-AB28-19E60218AFC5}"/>
    <hyperlink ref="J249" r:id="rId1956" display="..\01_DOCUMENT_SETS\ST-081-EUR-01\02_EU_DoC.pdf" xr:uid="{4B0BD1DE-D9AE-4441-BBF2-3CF210250ADD}"/>
    <hyperlink ref="L249" r:id="rId1957" display="..\01_DOCUMENT_SETS\ST-081-EUR-01\03_Label.docx" xr:uid="{701C15B4-1D34-4AAF-988A-794F596AF8AC}"/>
    <hyperlink ref="M249" r:id="rId1958" display="..\01_DOCUMENT_SETS\ST-081-EUR-01\03_Label.pdf" xr:uid="{3F967BE2-DCCD-44F5-9C9E-4890EE51FA5D}"/>
    <hyperlink ref="O249" r:id="rId1959" display="..\01_DOCUMENT_SETS\ST-081-EUR-01\04_Shipment_Statement.docx" xr:uid="{71F153E6-2B99-488F-B223-3467434C536D}"/>
    <hyperlink ref="P249" r:id="rId1960" display="..\01_DOCUMENT_SETS\ST-081-EUR-01\04_Shipment_Statement.pdf" xr:uid="{6E1F383D-1436-4948-A85A-DD4AA5EFD397}"/>
    <hyperlink ref="F250" r:id="rId1961" display="..\01_DOCUMENT_SETS\ST-081-STD-01\01_Technical_File.docx" xr:uid="{4132601C-1729-4031-90A9-14EC2B099D56}"/>
    <hyperlink ref="G250" r:id="rId1962" display="..\01_DOCUMENT_SETS\ST-081-STD-01\01_Technical_File.pdf" xr:uid="{1E9C35D4-05AD-4F62-BA81-69B150EB346E}"/>
    <hyperlink ref="I250" r:id="rId1963" display="..\01_DOCUMENT_SETS\ST-081-STD-01\02_EU_DoC.docx" xr:uid="{CAF99D21-ECFE-49C1-8EB2-A7E67F509F9F}"/>
    <hyperlink ref="J250" r:id="rId1964" display="..\01_DOCUMENT_SETS\ST-081-STD-01\02_EU_DoC.pdf" xr:uid="{A82A05B1-8B7B-4562-B2E7-00E414D8728C}"/>
    <hyperlink ref="L250" r:id="rId1965" display="..\01_DOCUMENT_SETS\ST-081-STD-01\03_Label.docx" xr:uid="{38F28D35-1A38-4FC7-A7D0-BBEC97D37571}"/>
    <hyperlink ref="M250" r:id="rId1966" display="..\01_DOCUMENT_SETS\ST-081-STD-01\03_Label.pdf" xr:uid="{7A06718D-564C-419C-91F9-8517C792875F}"/>
    <hyperlink ref="O250" r:id="rId1967" display="..\01_DOCUMENT_SETS\ST-081-STD-01\04_Shipment_Statement.docx" xr:uid="{47CAB08D-75C9-4459-A8CE-84D913CF1735}"/>
    <hyperlink ref="P250" r:id="rId1968" display="..\01_DOCUMENT_SETS\ST-081-STD-01\04_Shipment_Statement.pdf" xr:uid="{5C8C9772-598A-46B5-ACF2-77FB4AF4C56A}"/>
    <hyperlink ref="F251" r:id="rId1969" display="..\01_DOCUMENT_SETS\ST-087-EUR-01\01_Technical_File.docx" xr:uid="{BBC19531-2AAD-4375-8CDC-CC6D4EE9E058}"/>
    <hyperlink ref="G251" r:id="rId1970" display="..\01_DOCUMENT_SETS\ST-087-EUR-01\01_Technical_File.pdf" xr:uid="{0824E926-23BD-428F-90AD-B3B6136C423D}"/>
    <hyperlink ref="I251" r:id="rId1971" display="..\01_DOCUMENT_SETS\ST-087-EUR-01\02_EU_DoC.docx" xr:uid="{B9DF3AD3-7C26-4D69-8322-A443EA696FFC}"/>
    <hyperlink ref="J251" r:id="rId1972" display="..\01_DOCUMENT_SETS\ST-087-EUR-01\02_EU_DoC.pdf" xr:uid="{3AE1D349-112A-42E7-9058-5CB5189C4A3B}"/>
    <hyperlink ref="L251" r:id="rId1973" display="..\01_DOCUMENT_SETS\ST-087-EUR-01\03_Label.docx" xr:uid="{8486D14B-AA12-4DFE-B706-60EFFBE18DA6}"/>
    <hyperlink ref="M251" r:id="rId1974" display="..\01_DOCUMENT_SETS\ST-087-EUR-01\03_Label.pdf" xr:uid="{E16629A8-6DC1-4986-9BFD-741ED3CCCA79}"/>
    <hyperlink ref="O251" r:id="rId1975" display="..\01_DOCUMENT_SETS\ST-087-EUR-01\04_Shipment_Statement.docx" xr:uid="{03B3574B-360F-49A4-BB28-DDEBAD342A83}"/>
    <hyperlink ref="P251" r:id="rId1976" display="..\01_DOCUMENT_SETS\ST-087-EUR-01\04_Shipment_Statement.pdf" xr:uid="{8A946ED3-8BB8-4D77-B807-653F5B28C706}"/>
    <hyperlink ref="F252" r:id="rId1977" display="..\01_DOCUMENT_SETS\ST-087-STD-01\01_Technical_File.docx" xr:uid="{143F5C53-D189-426D-8803-A6CFBC94DF22}"/>
    <hyperlink ref="G252" r:id="rId1978" display="..\01_DOCUMENT_SETS\ST-087-STD-01\01_Technical_File.pdf" xr:uid="{17EAFE56-09B6-4358-ABCD-323C7F9AEC47}"/>
    <hyperlink ref="I252" r:id="rId1979" display="..\01_DOCUMENT_SETS\ST-087-STD-01\02_EU_DoC.docx" xr:uid="{ACFD0E7B-2FD2-48C5-939D-59499B36B173}"/>
    <hyperlink ref="J252" r:id="rId1980" display="..\01_DOCUMENT_SETS\ST-087-STD-01\02_EU_DoC.pdf" xr:uid="{1F8F0FA2-33A5-4242-94B3-2FD48ABA31F3}"/>
    <hyperlink ref="L252" r:id="rId1981" display="..\01_DOCUMENT_SETS\ST-087-STD-01\03_Label.docx" xr:uid="{96E0A941-935A-45A2-AEEE-43C6C394E589}"/>
    <hyperlink ref="M252" r:id="rId1982" display="..\01_DOCUMENT_SETS\ST-087-STD-01\03_Label.pdf" xr:uid="{A5C3460B-B246-4DE8-A822-89F47C16E748}"/>
    <hyperlink ref="O252" r:id="rId1983" display="..\01_DOCUMENT_SETS\ST-087-STD-01\04_Shipment_Statement.docx" xr:uid="{C0BF8D09-B21E-4938-9112-7122A6D32DB1}"/>
    <hyperlink ref="P252" r:id="rId1984" display="..\01_DOCUMENT_SETS\ST-087-STD-01\04_Shipment_Statement.pdf" xr:uid="{DD903BB8-EB12-47E4-BF6A-0AF87280306C}"/>
    <hyperlink ref="F253" r:id="rId1985" display="..\01_DOCUMENT_SETS\ST-087-STD-02\01_Technical_File.docx" xr:uid="{3727B63A-7DAF-4A06-A10A-26C331258D16}"/>
    <hyperlink ref="G253" r:id="rId1986" display="..\01_DOCUMENT_SETS\ST-087-STD-02\01_Technical_File.pdf" xr:uid="{C490E32D-04D5-490D-A952-6A2DC022BF7B}"/>
    <hyperlink ref="I253" r:id="rId1987" display="..\01_DOCUMENT_SETS\ST-087-STD-02\02_EU_DoC.docx" xr:uid="{B1C1B07D-C1EE-4A37-9F28-F857994AE5F1}"/>
    <hyperlink ref="J253" r:id="rId1988" display="..\01_DOCUMENT_SETS\ST-087-STD-02\02_EU_DoC.pdf" xr:uid="{BECAE01F-4C57-4A2C-9578-5BCF268343F4}"/>
    <hyperlink ref="L253" r:id="rId1989" display="..\01_DOCUMENT_SETS\ST-087-STD-02\03_Label.docx" xr:uid="{4BA84190-253E-4D55-9E94-F1C590C34F9E}"/>
    <hyperlink ref="M253" r:id="rId1990" display="..\01_DOCUMENT_SETS\ST-087-STD-02\03_Label.pdf" xr:uid="{83F2A199-49CC-4779-A3FF-294B64A87B32}"/>
    <hyperlink ref="O253" r:id="rId1991" display="..\01_DOCUMENT_SETS\ST-087-STD-02\04_Shipment_Statement.docx" xr:uid="{EB99FCF2-5AB1-4835-BE30-F14A4758B30A}"/>
    <hyperlink ref="P253" r:id="rId1992" display="..\01_DOCUMENT_SETS\ST-087-STD-02\04_Shipment_Statement.pdf" xr:uid="{9D6FEE38-A069-4433-9EF4-365AFAB1FD8A}"/>
    <hyperlink ref="F254" r:id="rId1993" display="..\01_DOCUMENT_SETS\ST-087-STD-03\01_Technical_File.docx" xr:uid="{4C03FAD6-3CE2-4521-9303-7E10DAA7B711}"/>
    <hyperlink ref="G254" r:id="rId1994" display="..\01_DOCUMENT_SETS\ST-087-STD-03\01_Technical_File.pdf" xr:uid="{2B050695-6DA9-4BE0-ADFC-A9CF84B339FA}"/>
    <hyperlink ref="I254" r:id="rId1995" display="..\01_DOCUMENT_SETS\ST-087-STD-03\02_EU_DoC.docx" xr:uid="{0DB9ABDA-02EE-4F74-BF94-B2711995FCCA}"/>
    <hyperlink ref="J254" r:id="rId1996" display="..\01_DOCUMENT_SETS\ST-087-STD-03\02_EU_DoC.pdf" xr:uid="{1F19EF15-EF83-4D6B-9153-39762C812698}"/>
    <hyperlink ref="L254" r:id="rId1997" display="..\01_DOCUMENT_SETS\ST-087-STD-03\03_Label.docx" xr:uid="{F245AD18-F0C6-4BC5-84C8-10A7DD118B04}"/>
    <hyperlink ref="M254" r:id="rId1998" display="..\01_DOCUMENT_SETS\ST-087-STD-03\03_Label.pdf" xr:uid="{4BFFBEC0-013D-4D44-9F43-22536C2C662E}"/>
    <hyperlink ref="O254" r:id="rId1999" display="..\01_DOCUMENT_SETS\ST-087-STD-03\04_Shipment_Statement.docx" xr:uid="{D34F9E20-C4BF-4E8C-901B-52C7543F1E2B}"/>
    <hyperlink ref="P254" r:id="rId2000" display="..\01_DOCUMENT_SETS\ST-087-STD-03\04_Shipment_Statement.pdf" xr:uid="{01639658-33C2-4771-8DFB-097864196F1F}"/>
    <hyperlink ref="F255" r:id="rId2001" display="..\01_DOCUMENT_SETS\ST-087-STD-04\01_Technical_File.docx" xr:uid="{F0C72C95-FD66-4D1D-B632-EF2D7133376A}"/>
    <hyperlink ref="G255" r:id="rId2002" display="..\01_DOCUMENT_SETS\ST-087-STD-04\01_Technical_File.pdf" xr:uid="{0C3127D7-001D-47F6-9219-DCFF14129693}"/>
    <hyperlink ref="I255" r:id="rId2003" display="..\01_DOCUMENT_SETS\ST-087-STD-04\02_EU_DoC.docx" xr:uid="{4FCCAA03-FE66-4742-853A-2F4038AA045F}"/>
    <hyperlink ref="J255" r:id="rId2004" display="..\01_DOCUMENT_SETS\ST-087-STD-04\02_EU_DoC.pdf" xr:uid="{892EED1C-8F18-4D27-A41E-B2D46FE4B93D}"/>
    <hyperlink ref="L255" r:id="rId2005" display="..\01_DOCUMENT_SETS\ST-087-STD-04\03_Label.docx" xr:uid="{C853BB35-6E89-439F-8B5B-2C2132B48454}"/>
    <hyperlink ref="M255" r:id="rId2006" display="..\01_DOCUMENT_SETS\ST-087-STD-04\03_Label.pdf" xr:uid="{FAF6E434-88CE-4634-9992-2A49253988FC}"/>
    <hyperlink ref="O255" r:id="rId2007" display="..\01_DOCUMENT_SETS\ST-087-STD-04\04_Shipment_Statement.docx" xr:uid="{F4450EF9-8388-43A2-870D-8BEC0E235BB0}"/>
    <hyperlink ref="P255" r:id="rId2008" display="..\01_DOCUMENT_SETS\ST-087-STD-04\04_Shipment_Statement.pdf" xr:uid="{946E9DC4-A225-4A74-BAD9-0F04627C68E6}"/>
    <hyperlink ref="F256" r:id="rId2009" display="..\01_DOCUMENT_SETS\ST-087-STD-05\01_Technical_File.docx" xr:uid="{D1F71F9E-5F40-4574-95CF-D2222634ACAC}"/>
    <hyperlink ref="G256" r:id="rId2010" display="..\01_DOCUMENT_SETS\ST-087-STD-05\01_Technical_File.pdf" xr:uid="{E7AAA13D-3C25-44E3-8A12-42B21E34F4D7}"/>
    <hyperlink ref="I256" r:id="rId2011" display="..\01_DOCUMENT_SETS\ST-087-STD-05\02_EU_DoC.docx" xr:uid="{8E06E14C-DC87-4FF7-A264-7B799B978A98}"/>
    <hyperlink ref="J256" r:id="rId2012" display="..\01_DOCUMENT_SETS\ST-087-STD-05\02_EU_DoC.pdf" xr:uid="{6CA89A81-66FB-496A-A579-532466D46AD5}"/>
    <hyperlink ref="L256" r:id="rId2013" display="..\01_DOCUMENT_SETS\ST-087-STD-05\03_Label.docx" xr:uid="{1B3460C7-48BA-4F7E-A288-14C8FBB19F0D}"/>
    <hyperlink ref="M256" r:id="rId2014" display="..\01_DOCUMENT_SETS\ST-087-STD-05\03_Label.pdf" xr:uid="{EE33B6CC-7CA8-400E-8F55-A97755B770C0}"/>
    <hyperlink ref="O256" r:id="rId2015" display="..\01_DOCUMENT_SETS\ST-087-STD-05\04_Shipment_Statement.docx" xr:uid="{8012BF2A-9175-4B6C-BCC8-30EB8CB91A1B}"/>
    <hyperlink ref="P256" r:id="rId2016" display="..\01_DOCUMENT_SETS\ST-087-STD-05\04_Shipment_Statement.pdf" xr:uid="{A4A05A8F-4EE6-4BC2-B4A6-AD2A515C9C99}"/>
    <hyperlink ref="F257" r:id="rId2017" display="..\01_DOCUMENT_SETS\ST-087-STD-06\01_Technical_File.docx" xr:uid="{20D9EB8B-7F87-42F2-AFAC-DDA033361DD7}"/>
    <hyperlink ref="G257" r:id="rId2018" display="..\01_DOCUMENT_SETS\ST-087-STD-06\01_Technical_File.pdf" xr:uid="{66450171-1994-4BA5-8CFA-BA68255C0DDC}"/>
    <hyperlink ref="I257" r:id="rId2019" display="..\01_DOCUMENT_SETS\ST-087-STD-06\02_EU_DoC.docx" xr:uid="{7165B721-330A-4A8B-A3C5-BE98FDF20E75}"/>
    <hyperlink ref="J257" r:id="rId2020" display="..\01_DOCUMENT_SETS\ST-087-STD-06\02_EU_DoC.pdf" xr:uid="{4C0421D0-06C3-40E8-BB21-2379B14CC2F0}"/>
    <hyperlink ref="L257" r:id="rId2021" display="..\01_DOCUMENT_SETS\ST-087-STD-06\03_Label.docx" xr:uid="{200A6CF1-762A-44CE-8996-56DB71D1FD71}"/>
    <hyperlink ref="M257" r:id="rId2022" display="..\01_DOCUMENT_SETS\ST-087-STD-06\03_Label.pdf" xr:uid="{25230B7A-6A3A-44D8-B13D-C1D47A559985}"/>
    <hyperlink ref="O257" r:id="rId2023" display="..\01_DOCUMENT_SETS\ST-087-STD-06\04_Shipment_Statement.docx" xr:uid="{F4FB974F-9666-48D7-834B-05DF878CCE3E}"/>
    <hyperlink ref="P257" r:id="rId2024" display="..\01_DOCUMENT_SETS\ST-087-STD-06\04_Shipment_Statement.pdf" xr:uid="{94A3A8A0-71E3-4A99-8107-20CA1E3832E2}"/>
    <hyperlink ref="F258" r:id="rId2025" display="..\01_DOCUMENT_SETS\ST-087-STD-07\01_Technical_File.docx" xr:uid="{FECAA0B9-67E1-4ED3-ABEF-DAE365423FA2}"/>
    <hyperlink ref="G258" r:id="rId2026" display="..\01_DOCUMENT_SETS\ST-087-STD-07\01_Technical_File.pdf" xr:uid="{E1792254-0EEF-468D-AF0C-D5961B01B986}"/>
    <hyperlink ref="I258" r:id="rId2027" display="..\01_DOCUMENT_SETS\ST-087-STD-07\02_EU_DoC.docx" xr:uid="{1672CAE9-7490-4FAA-9628-29C07578B9FD}"/>
    <hyperlink ref="J258" r:id="rId2028" display="..\01_DOCUMENT_SETS\ST-087-STD-07\02_EU_DoC.pdf" xr:uid="{967A22B8-B681-4452-95BB-336CC3CD76C0}"/>
    <hyperlink ref="L258" r:id="rId2029" display="..\01_DOCUMENT_SETS\ST-087-STD-07\03_Label.docx" xr:uid="{B67FD1FE-90AD-440A-90CD-0B833731DBD0}"/>
    <hyperlink ref="M258" r:id="rId2030" display="..\01_DOCUMENT_SETS\ST-087-STD-07\03_Label.pdf" xr:uid="{C4FB22AA-D80C-4D4F-AC61-45791CE9E757}"/>
    <hyperlink ref="O258" r:id="rId2031" display="..\01_DOCUMENT_SETS\ST-087-STD-07\04_Shipment_Statement.docx" xr:uid="{DD20B939-E024-4652-A770-5F00122C1DAA}"/>
    <hyperlink ref="P258" r:id="rId2032" display="..\01_DOCUMENT_SETS\ST-087-STD-07\04_Shipment_Statement.pdf" xr:uid="{ED49178F-7D3E-4DC9-9BF3-F6F05B79A3FC}"/>
    <hyperlink ref="F259" r:id="rId2033" display="..\01_DOCUMENT_SETS\ST-088-STD-01\01_Technical_File.docx" xr:uid="{13DB89C2-87E2-4ACC-9713-0C7D16652E81}"/>
    <hyperlink ref="G259" r:id="rId2034" display="..\01_DOCUMENT_SETS\ST-088-STD-01\01_Technical_File.pdf" xr:uid="{D1C2EF8E-1C93-46C7-9E8B-016B86F2226F}"/>
    <hyperlink ref="I259" r:id="rId2035" display="..\01_DOCUMENT_SETS\ST-088-STD-01\02_EU_DoC.docx" xr:uid="{D7AAE088-8307-44B7-8C5C-59B722C50ACF}"/>
    <hyperlink ref="J259" r:id="rId2036" display="..\01_DOCUMENT_SETS\ST-088-STD-01\02_EU_DoC.pdf" xr:uid="{42FECAC4-3ACE-4489-B578-77FDDC4379A9}"/>
    <hyperlink ref="L259" r:id="rId2037" display="..\01_DOCUMENT_SETS\ST-088-STD-01\03_Label.docx" xr:uid="{E16EA1A5-765B-4D6F-BDA5-A95B3DFEEF8B}"/>
    <hyperlink ref="M259" r:id="rId2038" display="..\01_DOCUMENT_SETS\ST-088-STD-01\03_Label.pdf" xr:uid="{A4280A07-36B2-4B19-861C-164B51759894}"/>
    <hyperlink ref="O259" r:id="rId2039" display="..\01_DOCUMENT_SETS\ST-088-STD-01\04_Shipment_Statement.docx" xr:uid="{E6FB87B5-982F-4108-9D76-2DC2403BB423}"/>
    <hyperlink ref="P259" r:id="rId2040" display="..\01_DOCUMENT_SETS\ST-088-STD-01\04_Shipment_Statement.pdf" xr:uid="{E8F6CF4E-A3C6-4C37-8BEE-B8259E6F3EEB}"/>
    <hyperlink ref="F260" r:id="rId2041" display="..\01_DOCUMENT_SETS\ST-088-STD-02\01_Technical_File.docx" xr:uid="{502AA7E3-74DF-4AC8-8470-7EAFB88C7962}"/>
    <hyperlink ref="G260" r:id="rId2042" display="..\01_DOCUMENT_SETS\ST-088-STD-02\01_Technical_File.pdf" xr:uid="{942FF858-A168-4E6F-A635-FA372D5E2519}"/>
    <hyperlink ref="I260" r:id="rId2043" display="..\01_DOCUMENT_SETS\ST-088-STD-02\02_EU_DoC.docx" xr:uid="{DBD2EECD-448C-4016-9BF5-1CDAB1D1572D}"/>
    <hyperlink ref="J260" r:id="rId2044" display="..\01_DOCUMENT_SETS\ST-088-STD-02\02_EU_DoC.pdf" xr:uid="{F6CDEFCB-319A-4B72-A7A7-3387ECF162DC}"/>
    <hyperlink ref="L260" r:id="rId2045" display="..\01_DOCUMENT_SETS\ST-088-STD-02\03_Label.docx" xr:uid="{3264C2F3-3983-47D1-AEB3-FA054B1A3A5B}"/>
    <hyperlink ref="M260" r:id="rId2046" display="..\01_DOCUMENT_SETS\ST-088-STD-02\03_Label.pdf" xr:uid="{60E63D5B-607F-41EC-8FC7-64E2734C4540}"/>
    <hyperlink ref="O260" r:id="rId2047" display="..\01_DOCUMENT_SETS\ST-088-STD-02\04_Shipment_Statement.docx" xr:uid="{2E444838-3913-4D42-956F-C827967FD538}"/>
    <hyperlink ref="P260" r:id="rId2048" display="..\01_DOCUMENT_SETS\ST-088-STD-02\04_Shipment_Statement.pdf" xr:uid="{30666F0A-0D01-4D7D-940D-A9D23F4C80B6}"/>
    <hyperlink ref="F261" r:id="rId2049" display="..\01_DOCUMENT_SETS\ST-088-STD-03\01_Technical_File.docx" xr:uid="{BE5B7B6E-52C7-4EC5-B5E5-4A29ED2571B1}"/>
    <hyperlink ref="G261" r:id="rId2050" display="..\01_DOCUMENT_SETS\ST-088-STD-03\01_Technical_File.pdf" xr:uid="{0942683B-C45C-414D-9449-91D960351C64}"/>
    <hyperlink ref="I261" r:id="rId2051" display="..\01_DOCUMENT_SETS\ST-088-STD-03\02_EU_DoC.docx" xr:uid="{1EC682A7-CFCA-4941-8AEA-C8C23AE58492}"/>
    <hyperlink ref="J261" r:id="rId2052" display="..\01_DOCUMENT_SETS\ST-088-STD-03\02_EU_DoC.pdf" xr:uid="{5D8E0D11-E417-4C2F-88FC-07D2FB985432}"/>
    <hyperlink ref="L261" r:id="rId2053" display="..\01_DOCUMENT_SETS\ST-088-STD-03\03_Label.docx" xr:uid="{9E0958F6-00FA-4AE4-92C1-0586C89FF018}"/>
    <hyperlink ref="M261" r:id="rId2054" display="..\01_DOCUMENT_SETS\ST-088-STD-03\03_Label.pdf" xr:uid="{88922AE3-FB2C-4D4A-B826-696F7B7541EC}"/>
    <hyperlink ref="O261" r:id="rId2055" display="..\01_DOCUMENT_SETS\ST-088-STD-03\04_Shipment_Statement.docx" xr:uid="{A99709B5-0BE4-4123-A3F8-991042BC0BFF}"/>
    <hyperlink ref="P261" r:id="rId2056" display="..\01_DOCUMENT_SETS\ST-088-STD-03\04_Shipment_Statement.pdf" xr:uid="{3F39CEB1-4DE2-43FA-A19A-AED159F58B14}"/>
    <hyperlink ref="F262" r:id="rId2057" display="..\01_DOCUMENT_SETS\ST-088-STD-04\01_Technical_File.docx" xr:uid="{D460841C-BE98-443B-AD42-2A711DD6B9C9}"/>
    <hyperlink ref="G262" r:id="rId2058" display="..\01_DOCUMENT_SETS\ST-088-STD-04\01_Technical_File.pdf" xr:uid="{CE1958DE-819F-4FFE-9DB2-974FA68268B4}"/>
    <hyperlink ref="I262" r:id="rId2059" display="..\01_DOCUMENT_SETS\ST-088-STD-04\02_EU_DoC.docx" xr:uid="{A08626A3-6975-479A-8297-09653673782C}"/>
    <hyperlink ref="J262" r:id="rId2060" display="..\01_DOCUMENT_SETS\ST-088-STD-04\02_EU_DoC.pdf" xr:uid="{3D608381-AFB2-44B4-BE82-B79042312C94}"/>
    <hyperlink ref="L262" r:id="rId2061" display="..\01_DOCUMENT_SETS\ST-088-STD-04\03_Label.docx" xr:uid="{EBCC7AD7-1D8E-4929-8DA0-45BB59921B29}"/>
    <hyperlink ref="M262" r:id="rId2062" display="..\01_DOCUMENT_SETS\ST-088-STD-04\03_Label.pdf" xr:uid="{B3140335-A0AE-45B0-8694-86EB5ED12C42}"/>
    <hyperlink ref="O262" r:id="rId2063" display="..\01_DOCUMENT_SETS\ST-088-STD-04\04_Shipment_Statement.docx" xr:uid="{4C862128-9C53-4EAD-BFBE-4BC859B84D75}"/>
    <hyperlink ref="P262" r:id="rId2064" display="..\01_DOCUMENT_SETS\ST-088-STD-04\04_Shipment_Statement.pdf" xr:uid="{D1F07271-E1A1-4E38-BF73-112D4192CFB4}"/>
    <hyperlink ref="F263" r:id="rId2065" display="..\01_DOCUMENT_SETS\ST-088-STD-05\01_Technical_File.docx" xr:uid="{6087B7C3-D5E7-4C45-9CB5-F8A69264B82A}"/>
    <hyperlink ref="G263" r:id="rId2066" display="..\01_DOCUMENT_SETS\ST-088-STD-05\01_Technical_File.pdf" xr:uid="{7147069C-4A32-4931-9D55-1D5EEA60867A}"/>
    <hyperlink ref="I263" r:id="rId2067" display="..\01_DOCUMENT_SETS\ST-088-STD-05\02_EU_DoC.docx" xr:uid="{DD305770-43A1-4698-9CCA-4D55DEEEB481}"/>
    <hyperlink ref="J263" r:id="rId2068" display="..\01_DOCUMENT_SETS\ST-088-STD-05\02_EU_DoC.pdf" xr:uid="{1C8F151C-C216-4CB8-8FCA-D864E11F8764}"/>
    <hyperlink ref="L263" r:id="rId2069" display="..\01_DOCUMENT_SETS\ST-088-STD-05\03_Label.docx" xr:uid="{A2E877CC-6518-478F-A44E-05C1A5C60CF2}"/>
    <hyperlink ref="M263" r:id="rId2070" display="..\01_DOCUMENT_SETS\ST-088-STD-05\03_Label.pdf" xr:uid="{27CA0ED9-8B20-4D3D-9A92-89ED8EB52689}"/>
    <hyperlink ref="O263" r:id="rId2071" display="..\01_DOCUMENT_SETS\ST-088-STD-05\04_Shipment_Statement.docx" xr:uid="{01C29C7C-886A-4DCF-8A96-43827140BFB2}"/>
    <hyperlink ref="P263" r:id="rId2072" display="..\01_DOCUMENT_SETS\ST-088-STD-05\04_Shipment_Statement.pdf" xr:uid="{73B09F20-9134-4676-811F-F8370BAB96A7}"/>
    <hyperlink ref="F264" r:id="rId2073" display="..\01_DOCUMENT_SETS\ST-088-STD-06\01_Technical_File.docx" xr:uid="{C532E99D-52C2-44B1-AF77-A6ABDC1D993A}"/>
    <hyperlink ref="G264" r:id="rId2074" display="..\01_DOCUMENT_SETS\ST-088-STD-06\01_Technical_File.pdf" xr:uid="{424502E3-26FB-4EEC-845B-84A053BED8CA}"/>
    <hyperlink ref="I264" r:id="rId2075" display="..\01_DOCUMENT_SETS\ST-088-STD-06\02_EU_DoC.docx" xr:uid="{EC795D0B-A067-4D52-B3D0-8D650347DA48}"/>
    <hyperlink ref="J264" r:id="rId2076" display="..\01_DOCUMENT_SETS\ST-088-STD-06\02_EU_DoC.pdf" xr:uid="{78EAD52B-048C-4D94-89CB-E70B6C39D0E9}"/>
    <hyperlink ref="L264" r:id="rId2077" display="..\01_DOCUMENT_SETS\ST-088-STD-06\03_Label.docx" xr:uid="{F7C1DCFE-0CD0-4BF5-8B05-7E8904A950A5}"/>
    <hyperlink ref="M264" r:id="rId2078" display="..\01_DOCUMENT_SETS\ST-088-STD-06\03_Label.pdf" xr:uid="{1D36D99C-BBA7-4E7D-A09A-496F11723A2D}"/>
    <hyperlink ref="O264" r:id="rId2079" display="..\01_DOCUMENT_SETS\ST-088-STD-06\04_Shipment_Statement.docx" xr:uid="{EB41BB8D-157B-45C4-9A19-4C3BBE233059}"/>
    <hyperlink ref="P264" r:id="rId2080" display="..\01_DOCUMENT_SETS\ST-088-STD-06\04_Shipment_Statement.pdf" xr:uid="{84D75FD4-447C-4836-A7E4-1D74B42B0F5E}"/>
    <hyperlink ref="F265" r:id="rId2081" display="..\01_DOCUMENT_SETS\ST-088-STD-07\01_Technical_File.docx" xr:uid="{741CD821-6E8A-40F4-83F8-5962B095FCF4}"/>
    <hyperlink ref="G265" r:id="rId2082" display="..\01_DOCUMENT_SETS\ST-088-STD-07\01_Technical_File.pdf" xr:uid="{11A4A411-00FB-4CD7-8A53-F59CD401853A}"/>
    <hyperlink ref="I265" r:id="rId2083" display="..\01_DOCUMENT_SETS\ST-088-STD-07\02_EU_DoC.docx" xr:uid="{7578D2FF-5071-4D2D-A03C-2E48C9CA3B4A}"/>
    <hyperlink ref="J265" r:id="rId2084" display="..\01_DOCUMENT_SETS\ST-088-STD-07\02_EU_DoC.pdf" xr:uid="{C3111118-2D7A-45A5-AC4B-B6693CAB8723}"/>
    <hyperlink ref="L265" r:id="rId2085" display="..\01_DOCUMENT_SETS\ST-088-STD-07\03_Label.docx" xr:uid="{92FD7D3A-F97C-49A5-9D18-74160EFE0654}"/>
    <hyperlink ref="M265" r:id="rId2086" display="..\01_DOCUMENT_SETS\ST-088-STD-07\03_Label.pdf" xr:uid="{354795DB-DCD6-4EF3-BAE3-7CE0D96ED52C}"/>
    <hyperlink ref="O265" r:id="rId2087" display="..\01_DOCUMENT_SETS\ST-088-STD-07\04_Shipment_Statement.docx" xr:uid="{63E7AABE-3D6C-49A6-ACE4-892599ECC21F}"/>
    <hyperlink ref="P265" r:id="rId2088" display="..\01_DOCUMENT_SETS\ST-088-STD-07\04_Shipment_Statement.pdf" xr:uid="{23DF38E7-CB72-4781-99C7-302552B00064}"/>
    <hyperlink ref="F266" r:id="rId2089" display="..\01_DOCUMENT_SETS\ST-088-STD-08\01_Technical_File.docx" xr:uid="{287224F0-3714-409E-9627-0441032DE02E}"/>
    <hyperlink ref="G266" r:id="rId2090" display="..\01_DOCUMENT_SETS\ST-088-STD-08\01_Technical_File.pdf" xr:uid="{5B31F7FF-9443-404B-8A5D-2E604467F61A}"/>
    <hyperlink ref="I266" r:id="rId2091" display="..\01_DOCUMENT_SETS\ST-088-STD-08\02_EU_DoC.docx" xr:uid="{3EE6AC1D-9EE2-4356-9052-CBAE4F6A4648}"/>
    <hyperlink ref="J266" r:id="rId2092" display="..\01_DOCUMENT_SETS\ST-088-STD-08\02_EU_DoC.pdf" xr:uid="{3E01B079-2C7C-4BA5-ABEA-1EC9FEEDD1F9}"/>
    <hyperlink ref="L266" r:id="rId2093" display="..\01_DOCUMENT_SETS\ST-088-STD-08\03_Label.docx" xr:uid="{63621CEF-30A6-455F-A2AA-380D7110954C}"/>
    <hyperlink ref="M266" r:id="rId2094" display="..\01_DOCUMENT_SETS\ST-088-STD-08\03_Label.pdf" xr:uid="{04D37033-AA64-4C3F-9E54-9C7983F317E9}"/>
    <hyperlink ref="O266" r:id="rId2095" display="..\01_DOCUMENT_SETS\ST-088-STD-08\04_Shipment_Statement.docx" xr:uid="{A199B952-31B6-460A-BAEE-0F18FD6FEADC}"/>
    <hyperlink ref="P266" r:id="rId2096" display="..\01_DOCUMENT_SETS\ST-088-STD-08\04_Shipment_Statement.pdf" xr:uid="{43276AD9-0A19-4196-A5D3-BAB8CC6375B2}"/>
    <hyperlink ref="F267" r:id="rId2097" display="..\01_DOCUMENT_SETS\ST-090-STD-01\01_Technical_File.docx" xr:uid="{8FA6C3A9-C774-420D-B5D0-EB28D06D115F}"/>
    <hyperlink ref="G267" r:id="rId2098" display="..\01_DOCUMENT_SETS\ST-090-STD-01\01_Technical_File.pdf" xr:uid="{6F5A00BF-EB57-4EE2-8448-EF828A2A2560}"/>
    <hyperlink ref="I267" r:id="rId2099" display="..\01_DOCUMENT_SETS\ST-090-STD-01\02_EU_DoC.docx" xr:uid="{8274CA42-A75B-4B71-9112-5557CA095730}"/>
    <hyperlink ref="J267" r:id="rId2100" display="..\01_DOCUMENT_SETS\ST-090-STD-01\02_EU_DoC.pdf" xr:uid="{0A1B2753-DEA3-4C32-9641-A9E642094788}"/>
    <hyperlink ref="L267" r:id="rId2101" display="..\01_DOCUMENT_SETS\ST-090-STD-01\03_Label.docx" xr:uid="{0C5DF415-649B-4D67-8D58-02C8B9AE3D2B}"/>
    <hyperlink ref="M267" r:id="rId2102" display="..\01_DOCUMENT_SETS\ST-090-STD-01\03_Label.pdf" xr:uid="{FE42D14F-4A78-4E2E-BAEF-C26C0E2A582A}"/>
    <hyperlink ref="O267" r:id="rId2103" display="..\01_DOCUMENT_SETS\ST-090-STD-01\04_Shipment_Statement.docx" xr:uid="{1DC54D9D-0EF7-4189-BDFB-DF8DA0AA5498}"/>
    <hyperlink ref="P267" r:id="rId2104" display="..\01_DOCUMENT_SETS\ST-090-STD-01\04_Shipment_Statement.pdf" xr:uid="{D9378A4C-44B2-4CFE-A191-81683ECA2E3D}"/>
    <hyperlink ref="F268" r:id="rId2105" display="..\01_DOCUMENT_SETS\ST-090-STD-02\01_Technical_File.docx" xr:uid="{760793B0-FF89-4FE6-B058-69F9EB0111A1}"/>
    <hyperlink ref="G268" r:id="rId2106" display="..\01_DOCUMENT_SETS\ST-090-STD-02\01_Technical_File.pdf" xr:uid="{B1D65F98-0030-43CB-A6D9-72A72762BFFE}"/>
    <hyperlink ref="I268" r:id="rId2107" display="..\01_DOCUMENT_SETS\ST-090-STD-02\02_EU_DoC.docx" xr:uid="{6AF296FA-D650-4E89-A816-F688AAA1CB0B}"/>
    <hyperlink ref="J268" r:id="rId2108" display="..\01_DOCUMENT_SETS\ST-090-STD-02\02_EU_DoC.pdf" xr:uid="{537255AB-3D79-4B13-9C0E-678F839645B1}"/>
    <hyperlink ref="L268" r:id="rId2109" display="..\01_DOCUMENT_SETS\ST-090-STD-02\03_Label.docx" xr:uid="{A131D176-4400-4544-B494-58CE638C0A13}"/>
    <hyperlink ref="M268" r:id="rId2110" display="..\01_DOCUMENT_SETS\ST-090-STD-02\03_Label.pdf" xr:uid="{2F482CB2-BE72-43BD-8A86-1DC58FCF00DA}"/>
    <hyperlink ref="O268" r:id="rId2111" display="..\01_DOCUMENT_SETS\ST-090-STD-02\04_Shipment_Statement.docx" xr:uid="{ED41F55A-7E3B-4A15-9C64-EBE09A80B89D}"/>
    <hyperlink ref="P268" r:id="rId2112" display="..\01_DOCUMENT_SETS\ST-090-STD-02\04_Shipment_Statement.pdf" xr:uid="{0359F744-140A-45D4-A492-1909351D14AB}"/>
    <hyperlink ref="F269" r:id="rId2113" display="..\01_DOCUMENT_SETS\ST-096-EUR-01\01_Technical_File.docx" xr:uid="{E818E6D5-0AA0-42BE-8821-F27D55163F3E}"/>
    <hyperlink ref="G269" r:id="rId2114" display="..\01_DOCUMENT_SETS\ST-096-EUR-01\01_Technical_File.pdf" xr:uid="{8F7ED440-C809-4A6C-8530-1CC43266B035}"/>
    <hyperlink ref="I269" r:id="rId2115" display="..\01_DOCUMENT_SETS\ST-096-EUR-01\02_EU_DoC.docx" xr:uid="{71312E80-3960-4389-832C-B71CB1C43F8F}"/>
    <hyperlink ref="J269" r:id="rId2116" display="..\01_DOCUMENT_SETS\ST-096-EUR-01\02_EU_DoC.pdf" xr:uid="{9C8DDE45-B13E-457E-9A25-3C3FAF0AB29F}"/>
    <hyperlink ref="L269" r:id="rId2117" display="..\01_DOCUMENT_SETS\ST-096-EUR-01\03_Label.docx" xr:uid="{F1C89AD7-0FE1-4D78-BAEE-0743E86873A4}"/>
    <hyperlink ref="M269" r:id="rId2118" display="..\01_DOCUMENT_SETS\ST-096-EUR-01\03_Label.pdf" xr:uid="{CF5DAAED-C180-46C7-B8AB-B3C4F7ECA9C8}"/>
    <hyperlink ref="O269" r:id="rId2119" display="..\01_DOCUMENT_SETS\ST-096-EUR-01\04_Shipment_Statement.docx" xr:uid="{969D8525-2DFD-4C7B-B3BA-4CCC398CCEBD}"/>
    <hyperlink ref="P269" r:id="rId2120" display="..\01_DOCUMENT_SETS\ST-096-EUR-01\04_Shipment_Statement.pdf" xr:uid="{FEFAC053-E689-48E5-8346-A170E062943D}"/>
    <hyperlink ref="F270" r:id="rId2121" display="..\01_DOCUMENT_SETS\ST-096-EUR-02\01_Technical_File.docx" xr:uid="{C0CAA733-DFDA-4354-9DBE-B927A6271A06}"/>
    <hyperlink ref="G270" r:id="rId2122" display="..\01_DOCUMENT_SETS\ST-096-EUR-02\01_Technical_File.pdf" xr:uid="{D7976290-869A-49ED-B6D2-9CDF239C5593}"/>
    <hyperlink ref="I270" r:id="rId2123" display="..\01_DOCUMENT_SETS\ST-096-EUR-02\02_EU_DoC.docx" xr:uid="{EB45438A-DE65-40CD-9BDB-D106E8C50F27}"/>
    <hyperlink ref="J270" r:id="rId2124" display="..\01_DOCUMENT_SETS\ST-096-EUR-02\02_EU_DoC.pdf" xr:uid="{02AFF812-1611-4B34-B72D-F3834E4C16A5}"/>
    <hyperlink ref="L270" r:id="rId2125" display="..\01_DOCUMENT_SETS\ST-096-EUR-02\03_Label.docx" xr:uid="{37436729-4E13-4D9D-8DC4-8F3DCE17AA0A}"/>
    <hyperlink ref="M270" r:id="rId2126" display="..\01_DOCUMENT_SETS\ST-096-EUR-02\03_Label.pdf" xr:uid="{7F948199-04D8-425F-8225-989D6F8A466A}"/>
    <hyperlink ref="O270" r:id="rId2127" display="..\01_DOCUMENT_SETS\ST-096-EUR-02\04_Shipment_Statement.docx" xr:uid="{B1BB78AC-531F-44A2-8A88-99EBA40CD444}"/>
    <hyperlink ref="P270" r:id="rId2128" display="..\01_DOCUMENT_SETS\ST-096-EUR-02\04_Shipment_Statement.pdf" xr:uid="{C90B7054-D6DE-4FBF-A5E9-3E3888D7B4EA}"/>
    <hyperlink ref="F271" r:id="rId2129" display="..\01_DOCUMENT_SETS\ST-096-EUR-03\01_Technical_File.docx" xr:uid="{FEEA5FAE-8226-48B7-AEBF-44EE4918EFFA}"/>
    <hyperlink ref="G271" r:id="rId2130" display="..\01_DOCUMENT_SETS\ST-096-EUR-03\01_Technical_File.pdf" xr:uid="{3AAC16C3-C9FF-4A79-B3ED-EB5F7A15BEC9}"/>
    <hyperlink ref="I271" r:id="rId2131" display="..\01_DOCUMENT_SETS\ST-096-EUR-03\02_EU_DoC.docx" xr:uid="{FA99874C-496B-4D29-A7CD-8D749E40ABCF}"/>
    <hyperlink ref="J271" r:id="rId2132" display="..\01_DOCUMENT_SETS\ST-096-EUR-03\02_EU_DoC.pdf" xr:uid="{3CF4E06C-020C-41D1-B7EF-67B912229336}"/>
    <hyperlink ref="L271" r:id="rId2133" display="..\01_DOCUMENT_SETS\ST-096-EUR-03\03_Label.docx" xr:uid="{0B5DD4DF-6357-434C-ABBF-19568A467B79}"/>
    <hyperlink ref="M271" r:id="rId2134" display="..\01_DOCUMENT_SETS\ST-096-EUR-03\03_Label.pdf" xr:uid="{27D2AB8E-EC9E-4AD3-8E99-39CFD969977B}"/>
    <hyperlink ref="O271" r:id="rId2135" display="..\01_DOCUMENT_SETS\ST-096-EUR-03\04_Shipment_Statement.docx" xr:uid="{BBF462BA-D3CE-4419-8F35-13844A0FB500}"/>
    <hyperlink ref="P271" r:id="rId2136" display="..\01_DOCUMENT_SETS\ST-096-EUR-03\04_Shipment_Statement.pdf" xr:uid="{085A2C7F-1DC7-4B43-B051-7604B46710EE}"/>
    <hyperlink ref="F272" r:id="rId2137" display="..\01_DOCUMENT_SETS\ST-096-EUR-04\01_Technical_File.docx" xr:uid="{F5938E14-9865-4BAB-AF66-D21081BDB8E3}"/>
    <hyperlink ref="G272" r:id="rId2138" display="..\01_DOCUMENT_SETS\ST-096-EUR-04\01_Technical_File.pdf" xr:uid="{26E95338-01C3-4695-A152-C86977F6AE87}"/>
    <hyperlink ref="I272" r:id="rId2139" display="..\01_DOCUMENT_SETS\ST-096-EUR-04\02_EU_DoC.docx" xr:uid="{0342A27D-420E-49F7-8212-0AAFC72AE6AF}"/>
    <hyperlink ref="J272" r:id="rId2140" display="..\01_DOCUMENT_SETS\ST-096-EUR-04\02_EU_DoC.pdf" xr:uid="{6380862B-4BFB-4E13-A074-7DB35D622216}"/>
    <hyperlink ref="L272" r:id="rId2141" display="..\01_DOCUMENT_SETS\ST-096-EUR-04\03_Label.docx" xr:uid="{4CBCAAA4-3DA1-468F-B7F1-1EF10D9DF971}"/>
    <hyperlink ref="M272" r:id="rId2142" display="..\01_DOCUMENT_SETS\ST-096-EUR-04\03_Label.pdf" xr:uid="{C2370757-A2EE-47B8-93E1-C17E76C65E4C}"/>
    <hyperlink ref="O272" r:id="rId2143" display="..\01_DOCUMENT_SETS\ST-096-EUR-04\04_Shipment_Statement.docx" xr:uid="{27484F1E-6B0C-47EF-8AF0-FB98B34D8837}"/>
    <hyperlink ref="P272" r:id="rId2144" display="..\01_DOCUMENT_SETS\ST-096-EUR-04\04_Shipment_Statement.pdf" xr:uid="{DF41938C-261E-41C4-AA7B-06E84E370608}"/>
    <hyperlink ref="F273" r:id="rId2145" display="..\01_DOCUMENT_SETS\ST-096-EUR-05\01_Technical_File.docx" xr:uid="{489BB945-7006-4367-A952-F15F5D312C1C}"/>
    <hyperlink ref="G273" r:id="rId2146" display="..\01_DOCUMENT_SETS\ST-096-EUR-05\01_Technical_File.pdf" xr:uid="{5AF91EE6-93F2-421E-A8E9-2B6733699C45}"/>
    <hyperlink ref="I273" r:id="rId2147" display="..\01_DOCUMENT_SETS\ST-096-EUR-05\02_EU_DoC.docx" xr:uid="{BE7D9B39-5298-4FF5-BF08-B5937EC4C529}"/>
    <hyperlink ref="J273" r:id="rId2148" display="..\01_DOCUMENT_SETS\ST-096-EUR-05\02_EU_DoC.pdf" xr:uid="{D1B697E1-9F2D-4994-BC33-BABE8DF1FF83}"/>
    <hyperlink ref="L273" r:id="rId2149" display="..\01_DOCUMENT_SETS\ST-096-EUR-05\03_Label.docx" xr:uid="{B0869BFB-C837-4FC1-AAFE-E7F864B3E691}"/>
    <hyperlink ref="M273" r:id="rId2150" display="..\01_DOCUMENT_SETS\ST-096-EUR-05\03_Label.pdf" xr:uid="{AF7ED627-2914-4890-A38F-5C30164D9C5B}"/>
    <hyperlink ref="O273" r:id="rId2151" display="..\01_DOCUMENT_SETS\ST-096-EUR-05\04_Shipment_Statement.docx" xr:uid="{47531D9B-DCBB-498F-9470-316C21CD66E0}"/>
    <hyperlink ref="P273" r:id="rId2152" display="..\01_DOCUMENT_SETS\ST-096-EUR-05\04_Shipment_Statement.pdf" xr:uid="{C2184955-0F5D-4A96-BD9D-BB9EC5C3F8C5}"/>
    <hyperlink ref="F274" r:id="rId2153" display="..\01_DOCUMENT_SETS\ST-096-EUR-06\01_Technical_File.docx" xr:uid="{4710AB24-E188-4A96-9FB8-FA0178D1053B}"/>
    <hyperlink ref="G274" r:id="rId2154" display="..\01_DOCUMENT_SETS\ST-096-EUR-06\01_Technical_File.pdf" xr:uid="{908E721A-1136-4BFF-A7DE-5246617B92C1}"/>
    <hyperlink ref="I274" r:id="rId2155" display="..\01_DOCUMENT_SETS\ST-096-EUR-06\02_EU_DoC.docx" xr:uid="{355F9AD5-634C-4C32-A0D0-F3DAFA1A2D7E}"/>
    <hyperlink ref="J274" r:id="rId2156" display="..\01_DOCUMENT_SETS\ST-096-EUR-06\02_EU_DoC.pdf" xr:uid="{7BB06E45-FB94-4DA4-A71F-6E05B79897BC}"/>
    <hyperlink ref="L274" r:id="rId2157" display="..\01_DOCUMENT_SETS\ST-096-EUR-06\03_Label.docx" xr:uid="{0F6CE5D2-9909-498A-AF7D-AE389380C87E}"/>
    <hyperlink ref="M274" r:id="rId2158" display="..\01_DOCUMENT_SETS\ST-096-EUR-06\03_Label.pdf" xr:uid="{943C981F-47A1-4EE7-8A8F-949B2CFEB004}"/>
    <hyperlink ref="O274" r:id="rId2159" display="..\01_DOCUMENT_SETS\ST-096-EUR-06\04_Shipment_Statement.docx" xr:uid="{2F06CCAF-C1CD-4D0D-87C6-DB3CA80B6980}"/>
    <hyperlink ref="P274" r:id="rId2160" display="..\01_DOCUMENT_SETS\ST-096-EUR-06\04_Shipment_Statement.pdf" xr:uid="{FADD3467-CF45-42CF-B9AD-E2B8C5136DD8}"/>
    <hyperlink ref="F275" r:id="rId2161" display="..\01_DOCUMENT_SETS\ST-096-EUR-07\01_Technical_File.docx" xr:uid="{53A07E0D-2034-4C1A-B787-88F762571F6B}"/>
    <hyperlink ref="G275" r:id="rId2162" display="..\01_DOCUMENT_SETS\ST-096-EUR-07\01_Technical_File.pdf" xr:uid="{37E6CCB6-E556-4E66-888E-E64D599717E8}"/>
    <hyperlink ref="I275" r:id="rId2163" display="..\01_DOCUMENT_SETS\ST-096-EUR-07\02_EU_DoC.docx" xr:uid="{1E37A738-2A86-4F6D-88AB-8409404EBE34}"/>
    <hyperlink ref="J275" r:id="rId2164" display="..\01_DOCUMENT_SETS\ST-096-EUR-07\02_EU_DoC.pdf" xr:uid="{9D234DAF-D28C-4143-B0CF-7CC33F5A213E}"/>
    <hyperlink ref="L275" r:id="rId2165" display="..\01_DOCUMENT_SETS\ST-096-EUR-07\03_Label.docx" xr:uid="{0AA46048-7F06-42F9-9E39-EAAB6147F5E3}"/>
    <hyperlink ref="M275" r:id="rId2166" display="..\01_DOCUMENT_SETS\ST-096-EUR-07\03_Label.pdf" xr:uid="{DB88A969-A790-4857-9FFE-64788CF43511}"/>
    <hyperlink ref="O275" r:id="rId2167" display="..\01_DOCUMENT_SETS\ST-096-EUR-07\04_Shipment_Statement.docx" xr:uid="{6C058172-1D03-4B0B-95F6-4F2B3BE4D79C}"/>
    <hyperlink ref="P275" r:id="rId2168" display="..\01_DOCUMENT_SETS\ST-096-EUR-07\04_Shipment_Statement.pdf" xr:uid="{51A3EF80-C2AB-4459-B50C-787BE207B84D}"/>
    <hyperlink ref="F276" r:id="rId2169" display="..\01_DOCUMENT_SETS\ST-096-EUR-08\01_Technical_File.docx" xr:uid="{069903AC-A0C2-4366-9B60-B353D783F4E5}"/>
    <hyperlink ref="G276" r:id="rId2170" display="..\01_DOCUMENT_SETS\ST-096-EUR-08\01_Technical_File.pdf" xr:uid="{A2F4D558-E412-4306-8AAE-9CBEFE9B5453}"/>
    <hyperlink ref="I276" r:id="rId2171" display="..\01_DOCUMENT_SETS\ST-096-EUR-08\02_EU_DoC.docx" xr:uid="{A94EA6E8-EFAB-4634-92C6-1B22C289ADF9}"/>
    <hyperlink ref="J276" r:id="rId2172" display="..\01_DOCUMENT_SETS\ST-096-EUR-08\02_EU_DoC.pdf" xr:uid="{96312EB5-60E5-4333-8C7A-CADDA9168E99}"/>
    <hyperlink ref="L276" r:id="rId2173" display="..\01_DOCUMENT_SETS\ST-096-EUR-08\03_Label.docx" xr:uid="{D8FC18B8-4F4E-4235-B6AC-5BAC85629216}"/>
    <hyperlink ref="M276" r:id="rId2174" display="..\01_DOCUMENT_SETS\ST-096-EUR-08\03_Label.pdf" xr:uid="{95A932C9-46CA-4FDE-BC25-7E083A6E88EC}"/>
    <hyperlink ref="O276" r:id="rId2175" display="..\01_DOCUMENT_SETS\ST-096-EUR-08\04_Shipment_Statement.docx" xr:uid="{8D8AA496-ABFE-4225-A323-D3FD81889399}"/>
    <hyperlink ref="P276" r:id="rId2176" display="..\01_DOCUMENT_SETS\ST-096-EUR-08\04_Shipment_Statement.pdf" xr:uid="{7147F49A-7FE7-4F45-9924-53DB95F45F01}"/>
    <hyperlink ref="F277" r:id="rId2177" display="..\01_DOCUMENT_SETS\ST-096-EUR-09\01_Technical_File.docx" xr:uid="{9A1E95C8-A596-4A34-B4B9-9673A883AF7A}"/>
    <hyperlink ref="G277" r:id="rId2178" display="..\01_DOCUMENT_SETS\ST-096-EUR-09\01_Technical_File.pdf" xr:uid="{3486654B-469D-4A4C-8E4F-568A683DCC32}"/>
    <hyperlink ref="I277" r:id="rId2179" display="..\01_DOCUMENT_SETS\ST-096-EUR-09\02_EU_DoC.docx" xr:uid="{B569BF31-C011-4495-A23B-C13CEA1D6FE3}"/>
    <hyperlink ref="J277" r:id="rId2180" display="..\01_DOCUMENT_SETS\ST-096-EUR-09\02_EU_DoC.pdf" xr:uid="{E934A3ED-3D54-4074-8F5D-A5BBB8FDD820}"/>
    <hyperlink ref="L277" r:id="rId2181" display="..\01_DOCUMENT_SETS\ST-096-EUR-09\03_Label.docx" xr:uid="{FD540F6F-D8D9-44E7-9AE7-97B3077FE005}"/>
    <hyperlink ref="M277" r:id="rId2182" display="..\01_DOCUMENT_SETS\ST-096-EUR-09\03_Label.pdf" xr:uid="{E55BF4C6-B7C5-4561-8949-44DCFD83C0AE}"/>
    <hyperlink ref="O277" r:id="rId2183" display="..\01_DOCUMENT_SETS\ST-096-EUR-09\04_Shipment_Statement.docx" xr:uid="{9B9F9B0E-6FE3-496D-930A-1D111CCAE693}"/>
    <hyperlink ref="P277" r:id="rId2184" display="..\01_DOCUMENT_SETS\ST-096-EUR-09\04_Shipment_Statement.pdf" xr:uid="{37DD93BA-087F-4937-A9F3-81B84FAF3BEC}"/>
    <hyperlink ref="F278" r:id="rId2185" display="..\01_DOCUMENT_SETS\ST-096-EUR-10\01_Technical_File.docx" xr:uid="{F4BC75B9-689E-45B5-8123-78A00CD69EA3}"/>
    <hyperlink ref="G278" r:id="rId2186" display="..\01_DOCUMENT_SETS\ST-096-EUR-10\01_Technical_File.pdf" xr:uid="{A9C5967C-6BC8-476B-8494-E7EE31FAF5AB}"/>
    <hyperlink ref="I278" r:id="rId2187" display="..\01_DOCUMENT_SETS\ST-096-EUR-10\02_EU_DoC.docx" xr:uid="{BA68EB0A-109F-4137-AE5A-B42525F2A42D}"/>
    <hyperlink ref="J278" r:id="rId2188" display="..\01_DOCUMENT_SETS\ST-096-EUR-10\02_EU_DoC.pdf" xr:uid="{1106105C-E44E-48DA-931F-0799F1A00DFE}"/>
    <hyperlink ref="L278" r:id="rId2189" display="..\01_DOCUMENT_SETS\ST-096-EUR-10\03_Label.docx" xr:uid="{F6A768B2-E87E-4532-87B4-E4931263C3F5}"/>
    <hyperlink ref="M278" r:id="rId2190" display="..\01_DOCUMENT_SETS\ST-096-EUR-10\03_Label.pdf" xr:uid="{9FA27B2C-41CB-4434-8A62-CD9278E0BB3C}"/>
    <hyperlink ref="O278" r:id="rId2191" display="..\01_DOCUMENT_SETS\ST-096-EUR-10\04_Shipment_Statement.docx" xr:uid="{E4BD48EA-DA12-4508-99BE-8D142C07A7A0}"/>
    <hyperlink ref="P278" r:id="rId2192" display="..\01_DOCUMENT_SETS\ST-096-EUR-10\04_Shipment_Statement.pdf" xr:uid="{D99E66E1-D393-44E2-9305-E4C24C47F5B9}"/>
    <hyperlink ref="F279" r:id="rId2193" display="..\01_DOCUMENT_SETS\ST-096-STD-01\01_Technical_File.docx" xr:uid="{F21A57EA-4607-4BE8-B1A0-F2A0A037C0E0}"/>
    <hyperlink ref="G279" r:id="rId2194" display="..\01_DOCUMENT_SETS\ST-096-STD-01\01_Technical_File.pdf" xr:uid="{F1C572C9-F748-45B9-8EB5-534F5330F5CC}"/>
    <hyperlink ref="I279" r:id="rId2195" display="..\01_DOCUMENT_SETS\ST-096-STD-01\02_EU_DoC.docx" xr:uid="{089A41C4-5AA1-40DF-9204-8AC51B216DC6}"/>
    <hyperlink ref="J279" r:id="rId2196" display="..\01_DOCUMENT_SETS\ST-096-STD-01\02_EU_DoC.pdf" xr:uid="{AEFCDEAD-ED87-44B8-8BF0-578867D65CF8}"/>
    <hyperlink ref="L279" r:id="rId2197" display="..\01_DOCUMENT_SETS\ST-096-STD-01\03_Label.docx" xr:uid="{7F98A92B-F0D5-4D45-B557-BCE48EE9FADD}"/>
    <hyperlink ref="M279" r:id="rId2198" display="..\01_DOCUMENT_SETS\ST-096-STD-01\03_Label.pdf" xr:uid="{DC31D182-ED48-4A26-9AF5-F26ED8BDF013}"/>
    <hyperlink ref="O279" r:id="rId2199" display="..\01_DOCUMENT_SETS\ST-096-STD-01\04_Shipment_Statement.docx" xr:uid="{C43295A1-224C-4E5D-BF20-D12315C48AA9}"/>
    <hyperlink ref="P279" r:id="rId2200" display="..\01_DOCUMENT_SETS\ST-096-STD-01\04_Shipment_Statement.pdf" xr:uid="{280F16EF-20AC-4A87-81B2-7D9E535E5AD1}"/>
    <hyperlink ref="F280" r:id="rId2201" display="..\01_DOCUMENT_SETS\ST-096-STD-02\01_Technical_File.docx" xr:uid="{A72C1AD5-4A80-47BE-BAD4-BBF491177E12}"/>
    <hyperlink ref="G280" r:id="rId2202" display="..\01_DOCUMENT_SETS\ST-096-STD-02\01_Technical_File.pdf" xr:uid="{66A22E6A-8E05-4003-A2D8-2A726AC494E5}"/>
    <hyperlink ref="I280" r:id="rId2203" display="..\01_DOCUMENT_SETS\ST-096-STD-02\02_EU_DoC.docx" xr:uid="{7E522D9D-6AB0-40C8-A598-9746B1242D04}"/>
    <hyperlink ref="J280" r:id="rId2204" display="..\01_DOCUMENT_SETS\ST-096-STD-02\02_EU_DoC.pdf" xr:uid="{938B51FC-3B50-4087-B300-4E8489FE7B10}"/>
    <hyperlink ref="L280" r:id="rId2205" display="..\01_DOCUMENT_SETS\ST-096-STD-02\03_Label.docx" xr:uid="{558FA7CA-BF57-4D14-A205-2B5271DE2385}"/>
    <hyperlink ref="M280" r:id="rId2206" display="..\01_DOCUMENT_SETS\ST-096-STD-02\03_Label.pdf" xr:uid="{E2939BFF-7C0C-4A45-8B5C-E84C7D0A6D6A}"/>
    <hyperlink ref="O280" r:id="rId2207" display="..\01_DOCUMENT_SETS\ST-096-STD-02\04_Shipment_Statement.docx" xr:uid="{F92A67AF-6A9B-427F-BD1D-EF678F0A360A}"/>
    <hyperlink ref="P280" r:id="rId2208" display="..\01_DOCUMENT_SETS\ST-096-STD-02\04_Shipment_Statement.pdf" xr:uid="{F90194A6-B2F9-4DBE-B9B9-9C09F636D87B}"/>
    <hyperlink ref="F281" r:id="rId2209" display="..\01_DOCUMENT_SETS\ST-096-STD-03\01_Technical_File.docx" xr:uid="{771F6174-60A2-4378-9A0C-3BDACCAB9B79}"/>
    <hyperlink ref="G281" r:id="rId2210" display="..\01_DOCUMENT_SETS\ST-096-STD-03\01_Technical_File.pdf" xr:uid="{495E7BDC-F03E-4D2A-B163-0233FFAD25EB}"/>
    <hyperlink ref="I281" r:id="rId2211" display="..\01_DOCUMENT_SETS\ST-096-STD-03\02_EU_DoC.docx" xr:uid="{5D37E2AA-459D-4F9D-A66A-1BD29CDAB8BA}"/>
    <hyperlink ref="J281" r:id="rId2212" display="..\01_DOCUMENT_SETS\ST-096-STD-03\02_EU_DoC.pdf" xr:uid="{51E23AB0-8AA5-4D23-9277-429056447A77}"/>
    <hyperlink ref="L281" r:id="rId2213" display="..\01_DOCUMENT_SETS\ST-096-STD-03\03_Label.docx" xr:uid="{622C7639-7EE1-48C8-930A-F12433055749}"/>
    <hyperlink ref="M281" r:id="rId2214" display="..\01_DOCUMENT_SETS\ST-096-STD-03\03_Label.pdf" xr:uid="{F12DB885-2A37-44A8-9819-750574D80C20}"/>
    <hyperlink ref="O281" r:id="rId2215" display="..\01_DOCUMENT_SETS\ST-096-STD-03\04_Shipment_Statement.docx" xr:uid="{31BCB080-AF66-43AC-86A5-0B6072F642D1}"/>
    <hyperlink ref="P281" r:id="rId2216" display="..\01_DOCUMENT_SETS\ST-096-STD-03\04_Shipment_Statement.pdf" xr:uid="{12430642-BA01-4D77-94C9-28805796FB0B}"/>
    <hyperlink ref="F282" r:id="rId2217" display="..\01_DOCUMENT_SETS\ST-096-STD-04\01_Technical_File.docx" xr:uid="{D8C2C73A-6360-4DBA-AE4B-F96D227A08C4}"/>
    <hyperlink ref="G282" r:id="rId2218" display="..\01_DOCUMENT_SETS\ST-096-STD-04\01_Technical_File.pdf" xr:uid="{851175C0-A08A-4F33-A6E2-A76380FE2A05}"/>
    <hyperlink ref="I282" r:id="rId2219" display="..\01_DOCUMENT_SETS\ST-096-STD-04\02_EU_DoC.docx" xr:uid="{AB9D0A3A-0972-4647-8E26-7C01C3B7ABD7}"/>
    <hyperlink ref="J282" r:id="rId2220" display="..\01_DOCUMENT_SETS\ST-096-STD-04\02_EU_DoC.pdf" xr:uid="{56E1CBF3-87CA-4B5C-8AE8-01F62F025CC5}"/>
    <hyperlink ref="L282" r:id="rId2221" display="..\01_DOCUMENT_SETS\ST-096-STD-04\03_Label.docx" xr:uid="{3499C194-CCFD-4196-A769-F5A589537422}"/>
    <hyperlink ref="M282" r:id="rId2222" display="..\01_DOCUMENT_SETS\ST-096-STD-04\03_Label.pdf" xr:uid="{30708E1C-82C7-47E8-9936-09CFFEFD182D}"/>
    <hyperlink ref="O282" r:id="rId2223" display="..\01_DOCUMENT_SETS\ST-096-STD-04\04_Shipment_Statement.docx" xr:uid="{C913DC20-824C-4F0E-92E8-AB9CB7E7ACF8}"/>
    <hyperlink ref="P282" r:id="rId2224" display="..\01_DOCUMENT_SETS\ST-096-STD-04\04_Shipment_Statement.pdf" xr:uid="{9C2765A8-5A1E-4842-85F0-5CA32A0CB72A}"/>
    <hyperlink ref="F283" r:id="rId2225" display="..\01_DOCUMENT_SETS\ST-096-STD-05\01_Technical_File.docx" xr:uid="{AE367725-1056-4432-AD3E-228803ACF878}"/>
    <hyperlink ref="G283" r:id="rId2226" display="..\01_DOCUMENT_SETS\ST-096-STD-05\01_Technical_File.pdf" xr:uid="{C814E913-FBC6-45A0-9427-11A258DE589F}"/>
    <hyperlink ref="I283" r:id="rId2227" display="..\01_DOCUMENT_SETS\ST-096-STD-05\02_EU_DoC.docx" xr:uid="{030F94A6-B902-49BD-8D7E-7CCAC873E927}"/>
    <hyperlink ref="J283" r:id="rId2228" display="..\01_DOCUMENT_SETS\ST-096-STD-05\02_EU_DoC.pdf" xr:uid="{4ED6459B-3AD0-4C2A-84BC-2BE0C49F70ED}"/>
    <hyperlink ref="L283" r:id="rId2229" display="..\01_DOCUMENT_SETS\ST-096-STD-05\03_Label.docx" xr:uid="{A7FB0D0C-8CF3-4E03-9239-A7A48EA20281}"/>
    <hyperlink ref="M283" r:id="rId2230" display="..\01_DOCUMENT_SETS\ST-096-STD-05\03_Label.pdf" xr:uid="{D317A2C8-0523-4F4D-BBB8-8AFD9515DF50}"/>
    <hyperlink ref="O283" r:id="rId2231" display="..\01_DOCUMENT_SETS\ST-096-STD-05\04_Shipment_Statement.docx" xr:uid="{57F06AE2-36BE-4D30-BEAE-F25C413BEC58}"/>
    <hyperlink ref="P283" r:id="rId2232" display="..\01_DOCUMENT_SETS\ST-096-STD-05\04_Shipment_Statement.pdf" xr:uid="{EF973C82-DBA7-4074-8C97-630EBE2C7CEC}"/>
    <hyperlink ref="F284" r:id="rId2233" display="..\01_DOCUMENT_SETS\ST-096-STD-06\01_Technical_File.docx" xr:uid="{514DAACC-2F17-4F9F-9F24-83C6E38EAC44}"/>
    <hyperlink ref="G284" r:id="rId2234" display="..\01_DOCUMENT_SETS\ST-096-STD-06\01_Technical_File.pdf" xr:uid="{1D1C0C57-F10D-4496-B441-E51021FDDBD1}"/>
    <hyperlink ref="I284" r:id="rId2235" display="..\01_DOCUMENT_SETS\ST-096-STD-06\02_EU_DoC.docx" xr:uid="{C69F9B93-B693-4FCD-88DE-1E43330DC834}"/>
    <hyperlink ref="J284" r:id="rId2236" display="..\01_DOCUMENT_SETS\ST-096-STD-06\02_EU_DoC.pdf" xr:uid="{6B88AEB4-E876-4D64-82F4-F697FC784EE8}"/>
    <hyperlink ref="L284" r:id="rId2237" display="..\01_DOCUMENT_SETS\ST-096-STD-06\03_Label.docx" xr:uid="{60456D7E-14B2-4277-BB41-67BA8B89A1AC}"/>
    <hyperlink ref="M284" r:id="rId2238" display="..\01_DOCUMENT_SETS\ST-096-STD-06\03_Label.pdf" xr:uid="{0B2964F0-44E9-4694-8A8B-8BDB077D905B}"/>
    <hyperlink ref="O284" r:id="rId2239" display="..\01_DOCUMENT_SETS\ST-096-STD-06\04_Shipment_Statement.docx" xr:uid="{018B2C94-F4F9-46B3-B59B-47D220DB8ACB}"/>
    <hyperlink ref="P284" r:id="rId2240" display="..\01_DOCUMENT_SETS\ST-096-STD-06\04_Shipment_Statement.pdf" xr:uid="{61B80CB5-7066-4312-981E-184B1314A48D}"/>
    <hyperlink ref="F285" r:id="rId2241" display="..\01_DOCUMENT_SETS\ST-096-STD-07\01_Technical_File.docx" xr:uid="{A6B73B07-D7DB-4B1C-8B06-1F5D4A2BFEC8}"/>
    <hyperlink ref="G285" r:id="rId2242" display="..\01_DOCUMENT_SETS\ST-096-STD-07\01_Technical_File.pdf" xr:uid="{4F96B721-05DA-4E99-8227-987F31457EB7}"/>
    <hyperlink ref="I285" r:id="rId2243" display="..\01_DOCUMENT_SETS\ST-096-STD-07\02_EU_DoC.docx" xr:uid="{2872C609-636C-4F41-866B-C56374BDC2AA}"/>
    <hyperlink ref="J285" r:id="rId2244" display="..\01_DOCUMENT_SETS\ST-096-STD-07\02_EU_DoC.pdf" xr:uid="{E1A22B0C-F054-4516-B962-323D4389F037}"/>
    <hyperlink ref="L285" r:id="rId2245" display="..\01_DOCUMENT_SETS\ST-096-STD-07\03_Label.docx" xr:uid="{22E266A1-151A-48C9-ABB0-130529A6DBAC}"/>
    <hyperlink ref="M285" r:id="rId2246" display="..\01_DOCUMENT_SETS\ST-096-STD-07\03_Label.pdf" xr:uid="{EE16C489-6C5A-4114-ACB2-40102CB48A7B}"/>
    <hyperlink ref="O285" r:id="rId2247" display="..\01_DOCUMENT_SETS\ST-096-STD-07\04_Shipment_Statement.docx" xr:uid="{680651B5-F745-41C0-AAF2-D45F3578C18D}"/>
    <hyperlink ref="P285" r:id="rId2248" display="..\01_DOCUMENT_SETS\ST-096-STD-07\04_Shipment_Statement.pdf" xr:uid="{616DF360-B9F2-44BE-87C6-6271593F1A38}"/>
    <hyperlink ref="F286" r:id="rId2249" display="..\01_DOCUMENT_SETS\ST-096-STD-08\01_Technical_File.docx" xr:uid="{52AAABB0-62EE-4964-9A60-B3AD2D0BE06F}"/>
    <hyperlink ref="G286" r:id="rId2250" display="..\01_DOCUMENT_SETS\ST-096-STD-08\01_Technical_File.pdf" xr:uid="{FB55DCC0-14EA-476A-8397-AE5048F527A8}"/>
    <hyperlink ref="I286" r:id="rId2251" display="..\01_DOCUMENT_SETS\ST-096-STD-08\02_EU_DoC.docx" xr:uid="{1A502CFD-B292-4CC8-8CE8-4F927207DF2B}"/>
    <hyperlink ref="J286" r:id="rId2252" display="..\01_DOCUMENT_SETS\ST-096-STD-08\02_EU_DoC.pdf" xr:uid="{98BB9577-55BD-41C7-9A40-FB45331D5DD2}"/>
    <hyperlink ref="L286" r:id="rId2253" display="..\01_DOCUMENT_SETS\ST-096-STD-08\03_Label.docx" xr:uid="{2E4A6276-8FA7-4296-A2EF-7FB2CEC44B9A}"/>
    <hyperlink ref="M286" r:id="rId2254" display="..\01_DOCUMENT_SETS\ST-096-STD-08\03_Label.pdf" xr:uid="{1FD381C7-29D9-42B8-B92C-43B895287F45}"/>
    <hyperlink ref="O286" r:id="rId2255" display="..\01_DOCUMENT_SETS\ST-096-STD-08\04_Shipment_Statement.docx" xr:uid="{6AAD3533-6070-4BBC-B59E-6F7C3FFC9534}"/>
    <hyperlink ref="P286" r:id="rId2256" display="..\01_DOCUMENT_SETS\ST-096-STD-08\04_Shipment_Statement.pdf" xr:uid="{20CA02AC-7EB5-4187-9F39-8B80A732DCA6}"/>
    <hyperlink ref="F287" r:id="rId2257" display="..\01_DOCUMENT_SETS\ST-105-STD-01\01_Technical_File.docx" xr:uid="{3A0CB6F5-57FB-4A87-A254-9BB5C871E73F}"/>
    <hyperlink ref="G287" r:id="rId2258" display="..\01_DOCUMENT_SETS\ST-105-STD-01\01_Technical_File.pdf" xr:uid="{0A044302-629D-485F-94A1-C806C1A01020}"/>
    <hyperlink ref="I287" r:id="rId2259" display="..\01_DOCUMENT_SETS\ST-105-STD-01\02_EU_DoC.docx" xr:uid="{736F6B60-4CE0-4EA4-B282-23A8FF2E7D20}"/>
    <hyperlink ref="J287" r:id="rId2260" display="..\01_DOCUMENT_SETS\ST-105-STD-01\02_EU_DoC.pdf" xr:uid="{776BE6A2-3DC4-499C-94EB-E358CEAF7EF7}"/>
    <hyperlink ref="L287" r:id="rId2261" display="..\01_DOCUMENT_SETS\ST-105-STD-01\03_Label.docx" xr:uid="{72E06E24-BB86-45A8-8A9C-354585553AD2}"/>
    <hyperlink ref="M287" r:id="rId2262" display="..\01_DOCUMENT_SETS\ST-105-STD-01\03_Label.pdf" xr:uid="{D2F33728-86E4-411B-8B76-389FEB9A2FE2}"/>
    <hyperlink ref="O287" r:id="rId2263" display="..\01_DOCUMENT_SETS\ST-105-STD-01\04_Shipment_Statement.docx" xr:uid="{E7396619-72E4-4701-8052-E3788AB2C580}"/>
    <hyperlink ref="P287" r:id="rId2264" display="..\01_DOCUMENT_SETS\ST-105-STD-01\04_Shipment_Statement.pdf" xr:uid="{CD2BF912-0FBF-4C8D-8704-3DF000609A3B}"/>
    <hyperlink ref="F288" r:id="rId2265" display="..\01_DOCUMENT_SETS\ST-105-STD-02\01_Technical_File.docx" xr:uid="{EEDBF517-233B-4BDB-8C05-51E790C7BD9F}"/>
    <hyperlink ref="G288" r:id="rId2266" display="..\01_DOCUMENT_SETS\ST-105-STD-02\01_Technical_File.pdf" xr:uid="{81AFDF14-92FF-4ED8-8BD2-08FCE2089CA5}"/>
    <hyperlink ref="I288" r:id="rId2267" display="..\01_DOCUMENT_SETS\ST-105-STD-02\02_EU_DoC.docx" xr:uid="{D627A5F3-C9AE-4F41-A8F5-883FEBAC41CC}"/>
    <hyperlink ref="J288" r:id="rId2268" display="..\01_DOCUMENT_SETS\ST-105-STD-02\02_EU_DoC.pdf" xr:uid="{C5909E3E-004F-4921-AD85-5117B8FE1D9B}"/>
    <hyperlink ref="L288" r:id="rId2269" display="..\01_DOCUMENT_SETS\ST-105-STD-02\03_Label.docx" xr:uid="{B954205C-7602-49C0-8722-B177F38F8719}"/>
    <hyperlink ref="M288" r:id="rId2270" display="..\01_DOCUMENT_SETS\ST-105-STD-02\03_Label.pdf" xr:uid="{19668A82-4DE5-45DF-88E2-6DB15FE8A388}"/>
    <hyperlink ref="O288" r:id="rId2271" display="..\01_DOCUMENT_SETS\ST-105-STD-02\04_Shipment_Statement.docx" xr:uid="{1F2E3461-0357-411E-9AE6-12D3A7748C89}"/>
    <hyperlink ref="P288" r:id="rId2272" display="..\01_DOCUMENT_SETS\ST-105-STD-02\04_Shipment_Statement.pdf" xr:uid="{65EFE91B-7DE1-4430-9F3E-5165E6C9B3BC}"/>
    <hyperlink ref="F289" r:id="rId2273" display="..\01_DOCUMENT_SETS\ST-120-STD-01\01_Technical_File.docx" xr:uid="{05DA981C-1626-41F4-AD10-3D0E18A795DC}"/>
    <hyperlink ref="G289" r:id="rId2274" display="..\01_DOCUMENT_SETS\ST-120-STD-01\01_Technical_File.pdf" xr:uid="{521DB54E-EC76-4D4F-BC22-D2485327D0EE}"/>
    <hyperlink ref="I289" r:id="rId2275" display="..\01_DOCUMENT_SETS\ST-120-STD-01\02_EU_DoC.docx" xr:uid="{16B8587A-BB99-46D3-A236-1A634EA4397C}"/>
    <hyperlink ref="J289" r:id="rId2276" display="..\01_DOCUMENT_SETS\ST-120-STD-01\02_EU_DoC.pdf" xr:uid="{F41962DD-BFC7-40D5-9542-69A58A9FD586}"/>
    <hyperlink ref="L289" r:id="rId2277" display="..\01_DOCUMENT_SETS\ST-120-STD-01\03_Label.docx" xr:uid="{CB729837-A547-4A96-9622-F14EEEFE6521}"/>
    <hyperlink ref="M289" r:id="rId2278" display="..\01_DOCUMENT_SETS\ST-120-STD-01\03_Label.pdf" xr:uid="{FA650F32-832C-4124-917F-7D52856DFA51}"/>
    <hyperlink ref="O289" r:id="rId2279" display="..\01_DOCUMENT_SETS\ST-120-STD-01\04_Shipment_Statement.docx" xr:uid="{90E43902-48F9-453A-84C3-4E823526EB48}"/>
    <hyperlink ref="P289" r:id="rId2280" display="..\01_DOCUMENT_SETS\ST-120-STD-01\04_Shipment_Statement.pdf" xr:uid="{696FBDC8-847C-470C-A592-25DD0B0A43CC}"/>
    <hyperlink ref="F290" r:id="rId2281" display="..\01_DOCUMENT_SETS\ST-120-STD-02\01_Technical_File.docx" xr:uid="{E03F38A1-8725-460F-B664-B63ECFCC084E}"/>
    <hyperlink ref="G290" r:id="rId2282" display="..\01_DOCUMENT_SETS\ST-120-STD-02\01_Technical_File.pdf" xr:uid="{D04E9EB7-4996-4A26-B0C3-68D57C2B46EB}"/>
    <hyperlink ref="I290" r:id="rId2283" display="..\01_DOCUMENT_SETS\ST-120-STD-02\02_EU_DoC.docx" xr:uid="{7971820D-5925-43DE-8CA4-E42B12660C44}"/>
    <hyperlink ref="J290" r:id="rId2284" display="..\01_DOCUMENT_SETS\ST-120-STD-02\02_EU_DoC.pdf" xr:uid="{78B09D55-6C85-4125-8004-71C1EC049D3E}"/>
    <hyperlink ref="L290" r:id="rId2285" display="..\01_DOCUMENT_SETS\ST-120-STD-02\03_Label.docx" xr:uid="{368AD031-723F-4321-9F3E-B55536816C0D}"/>
    <hyperlink ref="M290" r:id="rId2286" display="..\01_DOCUMENT_SETS\ST-120-STD-02\03_Label.pdf" xr:uid="{B7F8AD0D-361D-4A82-B181-3486A9DCBE90}"/>
    <hyperlink ref="O290" r:id="rId2287" display="..\01_DOCUMENT_SETS\ST-120-STD-02\04_Shipment_Statement.docx" xr:uid="{971FA850-757F-43B7-BB43-6DD68412DF99}"/>
    <hyperlink ref="P290" r:id="rId2288" display="..\01_DOCUMENT_SETS\ST-120-STD-02\04_Shipment_Statement.pdf" xr:uid="{5B54BEC2-4D4C-4825-9152-4B2988D3462F}"/>
    <hyperlink ref="F291" r:id="rId2289" display="..\01_DOCUMENT_SETS\ST-120-STD-03\01_Technical_File.docx" xr:uid="{A0F56EF4-5A28-4DCA-BDE8-DBD38DF85ED1}"/>
    <hyperlink ref="G291" r:id="rId2290" display="..\01_DOCUMENT_SETS\ST-120-STD-03\01_Technical_File.pdf" xr:uid="{8C6BD997-4486-4798-853A-AB16620E6767}"/>
    <hyperlink ref="I291" r:id="rId2291" display="..\01_DOCUMENT_SETS\ST-120-STD-03\02_EU_DoC.docx" xr:uid="{96DBD851-F7E4-4BB4-B1BB-E7CADD6BFD32}"/>
    <hyperlink ref="J291" r:id="rId2292" display="..\01_DOCUMENT_SETS\ST-120-STD-03\02_EU_DoC.pdf" xr:uid="{F12A57C1-CA21-4BD3-BD56-42CFA06BDDFD}"/>
    <hyperlink ref="L291" r:id="rId2293" display="..\01_DOCUMENT_SETS\ST-120-STD-03\03_Label.docx" xr:uid="{96E2AF0C-4DF4-4992-813E-A6B38084E6B4}"/>
    <hyperlink ref="M291" r:id="rId2294" display="..\01_DOCUMENT_SETS\ST-120-STD-03\03_Label.pdf" xr:uid="{F6AC82DD-236C-4015-AE28-F213B1EE1CD1}"/>
    <hyperlink ref="O291" r:id="rId2295" display="..\01_DOCUMENT_SETS\ST-120-STD-03\04_Shipment_Statement.docx" xr:uid="{75826061-64A7-4157-85A7-C8C7F16243C0}"/>
    <hyperlink ref="P291" r:id="rId2296" display="..\01_DOCUMENT_SETS\ST-120-STD-03\04_Shipment_Statement.pdf" xr:uid="{C99E7BFA-77C6-45AC-9652-F6D1CFF57901}"/>
  </hyperlinks>
  <pageMargins left="0.75" right="0.75" top="1" bottom="1" header="0.5" footer="0.5"/>
  <drawing r:id="rId229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6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4" customWidth="1"/>
    <col min="2" max="2" width="23" customWidth="1"/>
    <col min="3" max="3" width="14" customWidth="1"/>
    <col min="4" max="4" width="27" customWidth="1"/>
    <col min="5" max="5" width="20" customWidth="1"/>
    <col min="6" max="6" width="12" customWidth="1"/>
  </cols>
  <sheetData>
    <row r="1" spans="1:6" ht="21.95" customHeight="1" x14ac:dyDescent="0.25">
      <c r="A1" s="4" t="s">
        <v>7378</v>
      </c>
    </row>
    <row r="2" spans="1:6" x14ac:dyDescent="0.25">
      <c r="A2" t="s">
        <v>7379</v>
      </c>
    </row>
    <row r="4" spans="1:6" x14ac:dyDescent="0.25">
      <c r="A4" s="1" t="s">
        <v>42</v>
      </c>
      <c r="B4" s="1" t="s">
        <v>4633</v>
      </c>
      <c r="C4" s="1" t="s">
        <v>4638</v>
      </c>
      <c r="D4" s="1" t="s">
        <v>4639</v>
      </c>
      <c r="E4" s="1" t="s">
        <v>43</v>
      </c>
      <c r="F4" s="1" t="s">
        <v>7380</v>
      </c>
    </row>
    <row r="5" spans="1:6" ht="33.75" customHeight="1" x14ac:dyDescent="0.25">
      <c r="A5" s="13" t="s">
        <v>141</v>
      </c>
      <c r="B5" s="2" t="s">
        <v>143</v>
      </c>
      <c r="C5" s="2" t="s">
        <v>4666</v>
      </c>
      <c r="D5" s="2" t="s">
        <v>4667</v>
      </c>
      <c r="E5" s="2" t="s">
        <v>142</v>
      </c>
      <c r="F5" s="2" t="s">
        <v>144</v>
      </c>
    </row>
    <row r="6" spans="1:6" ht="33.75" customHeight="1" x14ac:dyDescent="0.25">
      <c r="A6" s="14" t="s">
        <v>147</v>
      </c>
      <c r="B6" s="3" t="s">
        <v>148</v>
      </c>
      <c r="C6" s="3" t="s">
        <v>4666</v>
      </c>
      <c r="D6" s="3" t="s">
        <v>4667</v>
      </c>
      <c r="E6" s="3" t="s">
        <v>142</v>
      </c>
      <c r="F6" s="3" t="s">
        <v>144</v>
      </c>
    </row>
    <row r="7" spans="1:6" ht="33.75" customHeight="1" x14ac:dyDescent="0.25">
      <c r="A7" s="13" t="s">
        <v>149</v>
      </c>
      <c r="B7" s="2" t="s">
        <v>150</v>
      </c>
      <c r="C7" s="2" t="s">
        <v>4666</v>
      </c>
      <c r="D7" s="2" t="s">
        <v>4667</v>
      </c>
      <c r="E7" s="2" t="s">
        <v>142</v>
      </c>
      <c r="F7" s="2" t="s">
        <v>144</v>
      </c>
    </row>
    <row r="8" spans="1:6" ht="33.75" customHeight="1" x14ac:dyDescent="0.25">
      <c r="A8" s="14" t="s">
        <v>151</v>
      </c>
      <c r="B8" s="3" t="s">
        <v>152</v>
      </c>
      <c r="C8" s="3" t="s">
        <v>4666</v>
      </c>
      <c r="D8" s="3" t="s">
        <v>4667</v>
      </c>
      <c r="E8" s="3" t="s">
        <v>142</v>
      </c>
      <c r="F8" s="3" t="s">
        <v>144</v>
      </c>
    </row>
    <row r="9" spans="1:6" ht="33.75" customHeight="1" x14ac:dyDescent="0.25">
      <c r="A9" s="13" t="s">
        <v>163</v>
      </c>
      <c r="B9" s="2" t="s">
        <v>164</v>
      </c>
      <c r="C9" s="2" t="s">
        <v>4666</v>
      </c>
      <c r="D9" s="2" t="s">
        <v>4667</v>
      </c>
      <c r="E9" s="2" t="s">
        <v>142</v>
      </c>
      <c r="F9" s="2" t="s">
        <v>144</v>
      </c>
    </row>
    <row r="10" spans="1:6" ht="33.75" customHeight="1" x14ac:dyDescent="0.25">
      <c r="A10" s="14" t="s">
        <v>165</v>
      </c>
      <c r="B10" s="3" t="s">
        <v>166</v>
      </c>
      <c r="C10" s="3" t="s">
        <v>4666</v>
      </c>
      <c r="D10" s="3" t="s">
        <v>4667</v>
      </c>
      <c r="E10" s="3" t="s">
        <v>142</v>
      </c>
      <c r="F10" s="3" t="s">
        <v>144</v>
      </c>
    </row>
    <row r="11" spans="1:6" ht="33.75" customHeight="1" x14ac:dyDescent="0.25">
      <c r="A11" s="13" t="s">
        <v>167</v>
      </c>
      <c r="B11" s="2" t="s">
        <v>168</v>
      </c>
      <c r="C11" s="2" t="s">
        <v>4666</v>
      </c>
      <c r="D11" s="2" t="s">
        <v>4667</v>
      </c>
      <c r="E11" s="2" t="s">
        <v>142</v>
      </c>
      <c r="F11" s="2" t="s">
        <v>144</v>
      </c>
    </row>
    <row r="12" spans="1:6" ht="33.75" customHeight="1" x14ac:dyDescent="0.25">
      <c r="A12" s="14" t="s">
        <v>169</v>
      </c>
      <c r="B12" s="3" t="s">
        <v>170</v>
      </c>
      <c r="C12" s="3" t="s">
        <v>4666</v>
      </c>
      <c r="D12" s="3" t="s">
        <v>4667</v>
      </c>
      <c r="E12" s="3" t="s">
        <v>142</v>
      </c>
      <c r="F12" s="3" t="s">
        <v>144</v>
      </c>
    </row>
    <row r="13" spans="1:6" ht="33.75" customHeight="1" x14ac:dyDescent="0.25">
      <c r="A13" s="13" t="s">
        <v>171</v>
      </c>
      <c r="B13" s="2" t="s">
        <v>172</v>
      </c>
      <c r="C13" s="2" t="s">
        <v>4666</v>
      </c>
      <c r="D13" s="2" t="s">
        <v>4667</v>
      </c>
      <c r="E13" s="2" t="s">
        <v>142</v>
      </c>
      <c r="F13" s="2" t="s">
        <v>144</v>
      </c>
    </row>
    <row r="14" spans="1:6" ht="33.75" customHeight="1" x14ac:dyDescent="0.25">
      <c r="A14" s="14" t="s">
        <v>173</v>
      </c>
      <c r="B14" s="3" t="s">
        <v>174</v>
      </c>
      <c r="C14" s="3" t="s">
        <v>4666</v>
      </c>
      <c r="D14" s="3" t="s">
        <v>4667</v>
      </c>
      <c r="E14" s="3" t="s">
        <v>142</v>
      </c>
      <c r="F14" s="3" t="s">
        <v>144</v>
      </c>
    </row>
    <row r="15" spans="1:6" ht="33.75" customHeight="1" x14ac:dyDescent="0.25">
      <c r="A15" s="13" t="s">
        <v>175</v>
      </c>
      <c r="B15" s="2" t="s">
        <v>176</v>
      </c>
      <c r="C15" s="2" t="s">
        <v>4666</v>
      </c>
      <c r="D15" s="2" t="s">
        <v>4667</v>
      </c>
      <c r="E15" s="2" t="s">
        <v>142</v>
      </c>
      <c r="F15" s="2" t="s">
        <v>144</v>
      </c>
    </row>
    <row r="16" spans="1:6" ht="33.75" customHeight="1" x14ac:dyDescent="0.25">
      <c r="A16" s="14" t="s">
        <v>193</v>
      </c>
      <c r="B16" s="3" t="s">
        <v>194</v>
      </c>
      <c r="C16" s="3" t="s">
        <v>4666</v>
      </c>
      <c r="D16" s="3" t="s">
        <v>4667</v>
      </c>
      <c r="E16" s="3" t="s">
        <v>142</v>
      </c>
      <c r="F16" s="3" t="s">
        <v>144</v>
      </c>
    </row>
    <row r="17" spans="1:6" ht="33.75" customHeight="1" x14ac:dyDescent="0.25">
      <c r="A17" s="13" t="s">
        <v>256</v>
      </c>
      <c r="B17" s="2" t="s">
        <v>257</v>
      </c>
      <c r="C17" s="2" t="s">
        <v>4666</v>
      </c>
      <c r="D17" s="2" t="s">
        <v>4667</v>
      </c>
      <c r="E17" s="2" t="s">
        <v>142</v>
      </c>
      <c r="F17" s="2" t="s">
        <v>144</v>
      </c>
    </row>
    <row r="18" spans="1:6" ht="33.75" customHeight="1" x14ac:dyDescent="0.25">
      <c r="A18" s="14" t="s">
        <v>262</v>
      </c>
      <c r="B18" s="3" t="s">
        <v>263</v>
      </c>
      <c r="C18" s="3" t="s">
        <v>4666</v>
      </c>
      <c r="D18" s="3" t="s">
        <v>4667</v>
      </c>
      <c r="E18" s="3" t="s">
        <v>142</v>
      </c>
      <c r="F18" s="3" t="s">
        <v>144</v>
      </c>
    </row>
    <row r="19" spans="1:6" ht="33.75" customHeight="1" x14ac:dyDescent="0.25">
      <c r="A19" s="13" t="s">
        <v>268</v>
      </c>
      <c r="B19" s="2" t="s">
        <v>269</v>
      </c>
      <c r="C19" s="2" t="s">
        <v>4666</v>
      </c>
      <c r="D19" s="2" t="s">
        <v>4667</v>
      </c>
      <c r="E19" s="2" t="s">
        <v>142</v>
      </c>
      <c r="F19" s="2" t="s">
        <v>144</v>
      </c>
    </row>
    <row r="20" spans="1:6" ht="33.75" customHeight="1" x14ac:dyDescent="0.25">
      <c r="A20" s="14" t="s">
        <v>270</v>
      </c>
      <c r="B20" s="3" t="s">
        <v>271</v>
      </c>
      <c r="C20" s="3" t="s">
        <v>4666</v>
      </c>
      <c r="D20" s="3" t="s">
        <v>4667</v>
      </c>
      <c r="E20" s="3" t="s">
        <v>142</v>
      </c>
      <c r="F20" s="3" t="s">
        <v>144</v>
      </c>
    </row>
    <row r="21" spans="1:6" ht="33.75" customHeight="1" x14ac:dyDescent="0.25">
      <c r="A21" s="13" t="s">
        <v>282</v>
      </c>
      <c r="B21" s="2" t="s">
        <v>283</v>
      </c>
      <c r="C21" s="2" t="s">
        <v>4666</v>
      </c>
      <c r="D21" s="2" t="s">
        <v>4667</v>
      </c>
      <c r="E21" s="2" t="s">
        <v>142</v>
      </c>
      <c r="F21" s="2" t="s">
        <v>144</v>
      </c>
    </row>
    <row r="22" spans="1:6" ht="33.75" customHeight="1" x14ac:dyDescent="0.25">
      <c r="A22" s="14" t="s">
        <v>299</v>
      </c>
      <c r="B22" s="3" t="s">
        <v>300</v>
      </c>
      <c r="C22" s="3" t="s">
        <v>4666</v>
      </c>
      <c r="D22" s="3" t="s">
        <v>4667</v>
      </c>
      <c r="E22" s="3" t="s">
        <v>142</v>
      </c>
      <c r="F22" s="3" t="s">
        <v>144</v>
      </c>
    </row>
    <row r="23" spans="1:6" ht="33.75" customHeight="1" x14ac:dyDescent="0.25">
      <c r="A23" s="13" t="s">
        <v>301</v>
      </c>
      <c r="B23" s="2" t="s">
        <v>302</v>
      </c>
      <c r="C23" s="2" t="s">
        <v>4666</v>
      </c>
      <c r="D23" s="2" t="s">
        <v>4667</v>
      </c>
      <c r="E23" s="2" t="s">
        <v>142</v>
      </c>
      <c r="F23" s="2" t="s">
        <v>144</v>
      </c>
    </row>
    <row r="24" spans="1:6" ht="33.75" customHeight="1" x14ac:dyDescent="0.25">
      <c r="A24" s="14" t="s">
        <v>353</v>
      </c>
      <c r="B24" s="3" t="s">
        <v>354</v>
      </c>
      <c r="C24" s="3" t="s">
        <v>4666</v>
      </c>
      <c r="D24" s="3" t="s">
        <v>4667</v>
      </c>
      <c r="E24" s="3" t="s">
        <v>142</v>
      </c>
      <c r="F24" s="3" t="s">
        <v>144</v>
      </c>
    </row>
    <row r="25" spans="1:6" ht="33.75" customHeight="1" x14ac:dyDescent="0.25">
      <c r="A25" s="13" t="s">
        <v>526</v>
      </c>
      <c r="B25" s="2" t="s">
        <v>527</v>
      </c>
      <c r="C25" s="2" t="s">
        <v>4666</v>
      </c>
      <c r="D25" s="2" t="s">
        <v>4667</v>
      </c>
      <c r="E25" s="2" t="s">
        <v>142</v>
      </c>
      <c r="F25" s="2" t="s">
        <v>144</v>
      </c>
    </row>
    <row r="26" spans="1:6" ht="33.75" customHeight="1" x14ac:dyDescent="0.25">
      <c r="A26" s="14" t="s">
        <v>823</v>
      </c>
      <c r="B26" s="3" t="s">
        <v>824</v>
      </c>
      <c r="C26" s="3" t="s">
        <v>4666</v>
      </c>
      <c r="D26" s="3" t="s">
        <v>4667</v>
      </c>
      <c r="E26" s="3" t="s">
        <v>142</v>
      </c>
      <c r="F26" s="3" t="s">
        <v>144</v>
      </c>
    </row>
    <row r="27" spans="1:6" ht="33.75" customHeight="1" x14ac:dyDescent="0.25">
      <c r="A27" s="13" t="s">
        <v>835</v>
      </c>
      <c r="B27" s="2" t="s">
        <v>836</v>
      </c>
      <c r="C27" s="2" t="s">
        <v>4666</v>
      </c>
      <c r="D27" s="2" t="s">
        <v>4667</v>
      </c>
      <c r="E27" s="2" t="s">
        <v>142</v>
      </c>
      <c r="F27" s="2" t="s">
        <v>144</v>
      </c>
    </row>
    <row r="28" spans="1:6" ht="33.75" customHeight="1" x14ac:dyDescent="0.25">
      <c r="A28" s="14" t="s">
        <v>1752</v>
      </c>
      <c r="B28" s="3" t="s">
        <v>1753</v>
      </c>
      <c r="C28" s="3" t="s">
        <v>4666</v>
      </c>
      <c r="D28" s="3" t="s">
        <v>4667</v>
      </c>
      <c r="E28" s="3" t="s">
        <v>142</v>
      </c>
      <c r="F28" s="3" t="s">
        <v>144</v>
      </c>
    </row>
    <row r="29" spans="1:6" ht="33.75" customHeight="1" x14ac:dyDescent="0.25">
      <c r="A29" s="13" t="s">
        <v>1863</v>
      </c>
      <c r="B29" s="2" t="s">
        <v>1864</v>
      </c>
      <c r="C29" s="2" t="s">
        <v>4666</v>
      </c>
      <c r="D29" s="2" t="s">
        <v>4667</v>
      </c>
      <c r="E29" s="2" t="s">
        <v>142</v>
      </c>
      <c r="F29" s="2" t="s">
        <v>144</v>
      </c>
    </row>
    <row r="30" spans="1:6" ht="33.75" customHeight="1" x14ac:dyDescent="0.25">
      <c r="A30" s="14" t="s">
        <v>1931</v>
      </c>
      <c r="B30" s="3" t="s">
        <v>1932</v>
      </c>
      <c r="C30" s="3" t="s">
        <v>4666</v>
      </c>
      <c r="D30" s="3" t="s">
        <v>4667</v>
      </c>
      <c r="E30" s="3" t="s">
        <v>142</v>
      </c>
      <c r="F30" s="3" t="s">
        <v>144</v>
      </c>
    </row>
    <row r="31" spans="1:6" ht="33.75" customHeight="1" x14ac:dyDescent="0.25">
      <c r="A31" s="13" t="s">
        <v>1974</v>
      </c>
      <c r="B31" s="2" t="s">
        <v>1975</v>
      </c>
      <c r="C31" s="2" t="s">
        <v>4666</v>
      </c>
      <c r="D31" s="2" t="s">
        <v>4667</v>
      </c>
      <c r="E31" s="2" t="s">
        <v>142</v>
      </c>
      <c r="F31" s="2" t="s">
        <v>144</v>
      </c>
    </row>
    <row r="32" spans="1:6" ht="33.75" customHeight="1" x14ac:dyDescent="0.25">
      <c r="A32" s="14" t="s">
        <v>1990</v>
      </c>
      <c r="B32" s="3" t="s">
        <v>1991</v>
      </c>
      <c r="C32" s="3" t="s">
        <v>4666</v>
      </c>
      <c r="D32" s="3" t="s">
        <v>4667</v>
      </c>
      <c r="E32" s="3" t="s">
        <v>142</v>
      </c>
      <c r="F32" s="3" t="s">
        <v>144</v>
      </c>
    </row>
    <row r="33" spans="1:6" ht="33.75" customHeight="1" x14ac:dyDescent="0.25">
      <c r="A33" s="13" t="s">
        <v>2004</v>
      </c>
      <c r="B33" s="2" t="s">
        <v>2005</v>
      </c>
      <c r="C33" s="2" t="s">
        <v>4666</v>
      </c>
      <c r="D33" s="2" t="s">
        <v>4667</v>
      </c>
      <c r="E33" s="2" t="s">
        <v>142</v>
      </c>
      <c r="F33" s="2" t="s">
        <v>144</v>
      </c>
    </row>
    <row r="34" spans="1:6" ht="33.75" customHeight="1" x14ac:dyDescent="0.25">
      <c r="A34" s="14" t="s">
        <v>2203</v>
      </c>
      <c r="B34" s="3" t="s">
        <v>2204</v>
      </c>
      <c r="C34" s="3" t="s">
        <v>4666</v>
      </c>
      <c r="D34" s="3" t="s">
        <v>4667</v>
      </c>
      <c r="E34" s="3" t="s">
        <v>142</v>
      </c>
      <c r="F34" s="3" t="s">
        <v>144</v>
      </c>
    </row>
    <row r="35" spans="1:6" ht="33.75" customHeight="1" x14ac:dyDescent="0.25">
      <c r="A35" s="13" t="s">
        <v>2205</v>
      </c>
      <c r="B35" s="2" t="s">
        <v>2206</v>
      </c>
      <c r="C35" s="2" t="s">
        <v>4666</v>
      </c>
      <c r="D35" s="2" t="s">
        <v>4667</v>
      </c>
      <c r="E35" s="2" t="s">
        <v>142</v>
      </c>
      <c r="F35" s="2" t="s">
        <v>144</v>
      </c>
    </row>
    <row r="36" spans="1:6" ht="33.75" customHeight="1" x14ac:dyDescent="0.25">
      <c r="A36" s="14" t="s">
        <v>2360</v>
      </c>
      <c r="B36" s="3" t="s">
        <v>2361</v>
      </c>
      <c r="C36" s="3" t="s">
        <v>4666</v>
      </c>
      <c r="D36" s="3" t="s">
        <v>4667</v>
      </c>
      <c r="E36" s="3" t="s">
        <v>142</v>
      </c>
      <c r="F36" s="3" t="s">
        <v>144</v>
      </c>
    </row>
    <row r="37" spans="1:6" ht="33.75" customHeight="1" x14ac:dyDescent="0.25">
      <c r="A37" s="13" t="s">
        <v>2398</v>
      </c>
      <c r="B37" s="2" t="s">
        <v>2399</v>
      </c>
      <c r="C37" s="2" t="s">
        <v>4666</v>
      </c>
      <c r="D37" s="2" t="s">
        <v>4667</v>
      </c>
      <c r="E37" s="2" t="s">
        <v>142</v>
      </c>
      <c r="F37" s="2" t="s">
        <v>144</v>
      </c>
    </row>
    <row r="38" spans="1:6" ht="33.75" customHeight="1" x14ac:dyDescent="0.25">
      <c r="A38" s="14" t="s">
        <v>2553</v>
      </c>
      <c r="B38" s="3" t="s">
        <v>2554</v>
      </c>
      <c r="C38" s="3" t="s">
        <v>4666</v>
      </c>
      <c r="D38" s="3" t="s">
        <v>4667</v>
      </c>
      <c r="E38" s="3" t="s">
        <v>142</v>
      </c>
      <c r="F38" s="3" t="s">
        <v>144</v>
      </c>
    </row>
    <row r="39" spans="1:6" ht="33.75" customHeight="1" x14ac:dyDescent="0.25">
      <c r="A39" s="13" t="s">
        <v>2605</v>
      </c>
      <c r="B39" s="2" t="s">
        <v>2606</v>
      </c>
      <c r="C39" s="2" t="s">
        <v>4666</v>
      </c>
      <c r="D39" s="2" t="s">
        <v>4667</v>
      </c>
      <c r="E39" s="2" t="s">
        <v>142</v>
      </c>
      <c r="F39" s="2" t="s">
        <v>144</v>
      </c>
    </row>
    <row r="40" spans="1:6" ht="33.75" customHeight="1" x14ac:dyDescent="0.25">
      <c r="A40" s="14" t="s">
        <v>2762</v>
      </c>
      <c r="B40" s="3" t="s">
        <v>2763</v>
      </c>
      <c r="C40" s="3" t="s">
        <v>4666</v>
      </c>
      <c r="D40" s="3" t="s">
        <v>4667</v>
      </c>
      <c r="E40" s="3" t="s">
        <v>142</v>
      </c>
      <c r="F40" s="3" t="s">
        <v>144</v>
      </c>
    </row>
    <row r="41" spans="1:6" ht="33.75" customHeight="1" x14ac:dyDescent="0.25">
      <c r="A41" s="13" t="s">
        <v>2945</v>
      </c>
      <c r="B41" s="2" t="s">
        <v>2946</v>
      </c>
      <c r="C41" s="2" t="s">
        <v>4666</v>
      </c>
      <c r="D41" s="2" t="s">
        <v>4667</v>
      </c>
      <c r="E41" s="2" t="s">
        <v>142</v>
      </c>
      <c r="F41" s="2" t="s">
        <v>144</v>
      </c>
    </row>
    <row r="42" spans="1:6" ht="33.75" customHeight="1" x14ac:dyDescent="0.25">
      <c r="A42" s="14" t="s">
        <v>3316</v>
      </c>
      <c r="B42" s="3" t="s">
        <v>3317</v>
      </c>
      <c r="C42" s="3" t="s">
        <v>4666</v>
      </c>
      <c r="D42" s="3" t="s">
        <v>4667</v>
      </c>
      <c r="E42" s="3" t="s">
        <v>142</v>
      </c>
      <c r="F42" s="3" t="s">
        <v>144</v>
      </c>
    </row>
    <row r="43" spans="1:6" ht="33.75" customHeight="1" x14ac:dyDescent="0.25">
      <c r="A43" s="13" t="s">
        <v>3736</v>
      </c>
      <c r="B43" s="2" t="s">
        <v>3737</v>
      </c>
      <c r="C43" s="2" t="s">
        <v>4666</v>
      </c>
      <c r="D43" s="2" t="s">
        <v>4667</v>
      </c>
      <c r="E43" s="2" t="s">
        <v>142</v>
      </c>
      <c r="F43" s="2" t="s">
        <v>144</v>
      </c>
    </row>
    <row r="44" spans="1:6" ht="33.75" customHeight="1" x14ac:dyDescent="0.25">
      <c r="A44" s="14" t="s">
        <v>3738</v>
      </c>
      <c r="B44" s="3" t="s">
        <v>3739</v>
      </c>
      <c r="C44" s="3" t="s">
        <v>4666</v>
      </c>
      <c r="D44" s="3" t="s">
        <v>4667</v>
      </c>
      <c r="E44" s="3" t="s">
        <v>142</v>
      </c>
      <c r="F44" s="3" t="s">
        <v>144</v>
      </c>
    </row>
    <row r="45" spans="1:6" ht="33.75" customHeight="1" x14ac:dyDescent="0.25">
      <c r="A45" s="13" t="s">
        <v>3788</v>
      </c>
      <c r="B45" s="2" t="s">
        <v>3789</v>
      </c>
      <c r="C45" s="2" t="s">
        <v>4666</v>
      </c>
      <c r="D45" s="2" t="s">
        <v>4667</v>
      </c>
      <c r="E45" s="2" t="s">
        <v>142</v>
      </c>
      <c r="F45" s="2" t="s">
        <v>144</v>
      </c>
    </row>
    <row r="46" spans="1:6" ht="33.75" customHeight="1" x14ac:dyDescent="0.25">
      <c r="A46" s="14" t="s">
        <v>4622</v>
      </c>
      <c r="B46" s="3" t="s">
        <v>4623</v>
      </c>
      <c r="C46" s="3" t="s">
        <v>4666</v>
      </c>
      <c r="D46" s="3" t="s">
        <v>4667</v>
      </c>
      <c r="E46" s="3" t="s">
        <v>142</v>
      </c>
      <c r="F46" s="3" t="s">
        <v>144</v>
      </c>
    </row>
  </sheetData>
  <autoFilter ref="A4:F46" xr:uid="{00000000-0009-0000-0000-000008000000}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9" width="12" customWidth="1"/>
  </cols>
  <sheetData>
    <row r="1" spans="1:9" ht="21.95" customHeight="1" x14ac:dyDescent="0.25">
      <c r="A1" s="1" t="s">
        <v>43</v>
      </c>
      <c r="B1" s="1" t="s">
        <v>7381</v>
      </c>
      <c r="C1" s="1" t="s">
        <v>7382</v>
      </c>
      <c r="D1" s="1" t="s">
        <v>7383</v>
      </c>
      <c r="E1" s="1" t="s">
        <v>7384</v>
      </c>
      <c r="F1" s="1" t="s">
        <v>7385</v>
      </c>
      <c r="G1" s="1" t="s">
        <v>7386</v>
      </c>
      <c r="H1" s="1" t="s">
        <v>47</v>
      </c>
      <c r="I1" s="1" t="s">
        <v>48</v>
      </c>
    </row>
    <row r="2" spans="1:9" ht="33.75" customHeight="1" x14ac:dyDescent="0.25">
      <c r="A2" s="2" t="s">
        <v>4374</v>
      </c>
      <c r="B2" s="2" t="s">
        <v>5063</v>
      </c>
      <c r="C2" s="2" t="s">
        <v>5064</v>
      </c>
      <c r="D2" s="2" t="s">
        <v>5065</v>
      </c>
      <c r="E2" s="2" t="s">
        <v>5066</v>
      </c>
      <c r="F2" s="2">
        <v>4</v>
      </c>
      <c r="G2" s="2">
        <v>4</v>
      </c>
      <c r="H2" s="2" t="s">
        <v>60</v>
      </c>
      <c r="I2" s="2" t="s">
        <v>7375</v>
      </c>
    </row>
    <row r="3" spans="1:9" ht="33.75" customHeight="1" x14ac:dyDescent="0.25">
      <c r="A3" s="3" t="s">
        <v>292</v>
      </c>
      <c r="B3" s="3" t="s">
        <v>5074</v>
      </c>
      <c r="C3" s="3" t="s">
        <v>5075</v>
      </c>
      <c r="D3" s="3" t="s">
        <v>5076</v>
      </c>
      <c r="E3" s="3" t="s">
        <v>5077</v>
      </c>
      <c r="F3" s="3">
        <v>4</v>
      </c>
      <c r="G3" s="3">
        <v>4</v>
      </c>
      <c r="H3" s="3" t="s">
        <v>60</v>
      </c>
      <c r="I3" s="3" t="s">
        <v>7375</v>
      </c>
    </row>
    <row r="4" spans="1:9" ht="33.75" customHeight="1" x14ac:dyDescent="0.25">
      <c r="A4" s="2" t="s">
        <v>3878</v>
      </c>
      <c r="B4" s="2" t="s">
        <v>5082</v>
      </c>
      <c r="C4" s="2" t="s">
        <v>5083</v>
      </c>
      <c r="D4" s="2" t="s">
        <v>5084</v>
      </c>
      <c r="E4" s="2" t="s">
        <v>5085</v>
      </c>
      <c r="F4" s="2">
        <v>4</v>
      </c>
      <c r="G4" s="2">
        <v>4</v>
      </c>
      <c r="H4" s="2" t="s">
        <v>60</v>
      </c>
      <c r="I4" s="2" t="s">
        <v>7375</v>
      </c>
    </row>
    <row r="5" spans="1:9" ht="33.75" customHeight="1" x14ac:dyDescent="0.25">
      <c r="A5" s="3" t="s">
        <v>4259</v>
      </c>
      <c r="B5" s="3" t="s">
        <v>5089</v>
      </c>
      <c r="C5" s="3" t="s">
        <v>5090</v>
      </c>
      <c r="D5" s="3" t="s">
        <v>5091</v>
      </c>
      <c r="E5" s="3" t="s">
        <v>5092</v>
      </c>
      <c r="F5" s="3">
        <v>4</v>
      </c>
      <c r="G5" s="3">
        <v>4</v>
      </c>
      <c r="H5" s="3" t="s">
        <v>60</v>
      </c>
      <c r="I5" s="3" t="s">
        <v>7375</v>
      </c>
    </row>
    <row r="6" spans="1:9" ht="33.75" customHeight="1" x14ac:dyDescent="0.25">
      <c r="A6" s="2" t="s">
        <v>2536</v>
      </c>
      <c r="B6" s="2" t="s">
        <v>5095</v>
      </c>
      <c r="C6" s="2" t="s">
        <v>5096</v>
      </c>
      <c r="D6" s="2" t="s">
        <v>5097</v>
      </c>
      <c r="E6" s="2" t="s">
        <v>5098</v>
      </c>
      <c r="F6" s="2">
        <v>4</v>
      </c>
      <c r="G6" s="2">
        <v>4</v>
      </c>
      <c r="H6" s="2" t="s">
        <v>60</v>
      </c>
      <c r="I6" s="2" t="s">
        <v>7375</v>
      </c>
    </row>
    <row r="7" spans="1:9" ht="33.75" customHeight="1" x14ac:dyDescent="0.25">
      <c r="A7" s="3" t="s">
        <v>156</v>
      </c>
      <c r="B7" s="3" t="s">
        <v>5103</v>
      </c>
      <c r="C7" s="3" t="s">
        <v>5104</v>
      </c>
      <c r="D7" s="3" t="s">
        <v>5105</v>
      </c>
      <c r="E7" s="3" t="s">
        <v>5106</v>
      </c>
      <c r="F7" s="3">
        <v>4</v>
      </c>
      <c r="G7" s="3">
        <v>4</v>
      </c>
      <c r="H7" s="3" t="s">
        <v>60</v>
      </c>
      <c r="I7" s="3" t="s">
        <v>7375</v>
      </c>
    </row>
    <row r="8" spans="1:9" ht="33.75" customHeight="1" x14ac:dyDescent="0.25">
      <c r="A8" s="2" t="s">
        <v>3866</v>
      </c>
      <c r="B8" s="2" t="s">
        <v>5111</v>
      </c>
      <c r="C8" s="2" t="s">
        <v>5112</v>
      </c>
      <c r="D8" s="2" t="s">
        <v>5113</v>
      </c>
      <c r="E8" s="2" t="s">
        <v>5114</v>
      </c>
      <c r="F8" s="2">
        <v>4</v>
      </c>
      <c r="G8" s="2">
        <v>4</v>
      </c>
      <c r="H8" s="2" t="s">
        <v>60</v>
      </c>
      <c r="I8" s="2" t="s">
        <v>7375</v>
      </c>
    </row>
    <row r="9" spans="1:9" ht="33.75" customHeight="1" x14ac:dyDescent="0.25">
      <c r="A9" s="3" t="s">
        <v>188</v>
      </c>
      <c r="B9" s="3" t="s">
        <v>5119</v>
      </c>
      <c r="C9" s="3" t="s">
        <v>5120</v>
      </c>
      <c r="D9" s="3" t="s">
        <v>5121</v>
      </c>
      <c r="E9" s="3" t="s">
        <v>5122</v>
      </c>
      <c r="F9" s="3">
        <v>4</v>
      </c>
      <c r="G9" s="3">
        <v>4</v>
      </c>
      <c r="H9" s="3" t="s">
        <v>60</v>
      </c>
      <c r="I9" s="3" t="s">
        <v>7375</v>
      </c>
    </row>
    <row r="10" spans="1:9" ht="33.75" customHeight="1" x14ac:dyDescent="0.25">
      <c r="A10" s="2" t="s">
        <v>4183</v>
      </c>
      <c r="B10" s="2" t="s">
        <v>5126</v>
      </c>
      <c r="C10" s="2" t="s">
        <v>5127</v>
      </c>
      <c r="D10" s="2" t="s">
        <v>5128</v>
      </c>
      <c r="E10" s="2" t="s">
        <v>5129</v>
      </c>
      <c r="F10" s="2">
        <v>4</v>
      </c>
      <c r="G10" s="2">
        <v>4</v>
      </c>
      <c r="H10" s="2" t="s">
        <v>60</v>
      </c>
      <c r="I10" s="2" t="s">
        <v>7375</v>
      </c>
    </row>
    <row r="11" spans="1:9" ht="33.75" customHeight="1" x14ac:dyDescent="0.25">
      <c r="A11" s="3" t="s">
        <v>566</v>
      </c>
      <c r="B11" s="3" t="s">
        <v>5131</v>
      </c>
      <c r="C11" s="3" t="s">
        <v>5132</v>
      </c>
      <c r="D11" s="3" t="s">
        <v>5133</v>
      </c>
      <c r="E11" s="3" t="s">
        <v>5134</v>
      </c>
      <c r="F11" s="3">
        <v>4</v>
      </c>
      <c r="G11" s="3">
        <v>4</v>
      </c>
      <c r="H11" s="3" t="s">
        <v>60</v>
      </c>
      <c r="I11" s="3" t="s">
        <v>7375</v>
      </c>
    </row>
    <row r="12" spans="1:9" ht="33.75" customHeight="1" x14ac:dyDescent="0.25">
      <c r="A12" s="2" t="s">
        <v>578</v>
      </c>
      <c r="B12" s="2" t="s">
        <v>5138</v>
      </c>
      <c r="C12" s="2" t="s">
        <v>5139</v>
      </c>
      <c r="D12" s="2" t="s">
        <v>5140</v>
      </c>
      <c r="E12" s="2" t="s">
        <v>5141</v>
      </c>
      <c r="F12" s="2">
        <v>4</v>
      </c>
      <c r="G12" s="2">
        <v>4</v>
      </c>
      <c r="H12" s="2" t="s">
        <v>60</v>
      </c>
      <c r="I12" s="2" t="s">
        <v>7375</v>
      </c>
    </row>
    <row r="13" spans="1:9" ht="33.75" customHeight="1" x14ac:dyDescent="0.25">
      <c r="A13" s="3" t="s">
        <v>2532</v>
      </c>
      <c r="B13" s="3" t="s">
        <v>5146</v>
      </c>
      <c r="C13" s="3" t="s">
        <v>5147</v>
      </c>
      <c r="D13" s="3" t="s">
        <v>5148</v>
      </c>
      <c r="E13" s="3" t="s">
        <v>5149</v>
      </c>
      <c r="F13" s="3">
        <v>4</v>
      </c>
      <c r="G13" s="3">
        <v>4</v>
      </c>
      <c r="H13" s="3" t="s">
        <v>60</v>
      </c>
      <c r="I13" s="3" t="s">
        <v>7375</v>
      </c>
    </row>
    <row r="14" spans="1:9" ht="33.75" customHeight="1" x14ac:dyDescent="0.25">
      <c r="A14" s="2" t="s">
        <v>112</v>
      </c>
      <c r="B14" s="2" t="s">
        <v>5154</v>
      </c>
      <c r="C14" s="2" t="s">
        <v>5155</v>
      </c>
      <c r="D14" s="2" t="s">
        <v>5156</v>
      </c>
      <c r="E14" s="2" t="s">
        <v>5157</v>
      </c>
      <c r="F14" s="2">
        <v>4</v>
      </c>
      <c r="G14" s="2">
        <v>4</v>
      </c>
      <c r="H14" s="2" t="s">
        <v>60</v>
      </c>
      <c r="I14" s="2" t="s">
        <v>7375</v>
      </c>
    </row>
    <row r="15" spans="1:9" ht="33.75" customHeight="1" x14ac:dyDescent="0.25">
      <c r="A15" s="3" t="s">
        <v>3860</v>
      </c>
      <c r="B15" s="3" t="s">
        <v>5162</v>
      </c>
      <c r="C15" s="3" t="s">
        <v>5163</v>
      </c>
      <c r="D15" s="3" t="s">
        <v>5164</v>
      </c>
      <c r="E15" s="3" t="s">
        <v>5165</v>
      </c>
      <c r="F15" s="3">
        <v>4</v>
      </c>
      <c r="G15" s="3">
        <v>4</v>
      </c>
      <c r="H15" s="3" t="s">
        <v>60</v>
      </c>
      <c r="I15" s="3" t="s">
        <v>7375</v>
      </c>
    </row>
    <row r="16" spans="1:9" ht="33.75" customHeight="1" x14ac:dyDescent="0.25">
      <c r="A16" s="2" t="s">
        <v>3717</v>
      </c>
      <c r="B16" s="2" t="s">
        <v>5169</v>
      </c>
      <c r="C16" s="2" t="s">
        <v>5170</v>
      </c>
      <c r="D16" s="2" t="s">
        <v>5171</v>
      </c>
      <c r="E16" s="2" t="s">
        <v>5172</v>
      </c>
      <c r="F16" s="2">
        <v>4</v>
      </c>
      <c r="G16" s="2">
        <v>4</v>
      </c>
      <c r="H16" s="2" t="s">
        <v>60</v>
      </c>
      <c r="I16" s="2" t="s">
        <v>7375</v>
      </c>
    </row>
    <row r="17" spans="1:9" ht="33.75" customHeight="1" x14ac:dyDescent="0.25">
      <c r="A17" s="3" t="s">
        <v>604</v>
      </c>
      <c r="B17" s="3" t="s">
        <v>5176</v>
      </c>
      <c r="C17" s="3" t="s">
        <v>5177</v>
      </c>
      <c r="D17" s="3" t="s">
        <v>5178</v>
      </c>
      <c r="E17" s="3" t="s">
        <v>5179</v>
      </c>
      <c r="F17" s="3">
        <v>4</v>
      </c>
      <c r="G17" s="3">
        <v>4</v>
      </c>
      <c r="H17" s="3" t="s">
        <v>60</v>
      </c>
      <c r="I17" s="3" t="s">
        <v>7375</v>
      </c>
    </row>
    <row r="18" spans="1:9" ht="33.75" customHeight="1" x14ac:dyDescent="0.25">
      <c r="A18" s="2" t="s">
        <v>3729</v>
      </c>
      <c r="B18" s="2" t="s">
        <v>5183</v>
      </c>
      <c r="C18" s="2" t="s">
        <v>5184</v>
      </c>
      <c r="D18" s="2" t="s">
        <v>5185</v>
      </c>
      <c r="E18" s="2" t="s">
        <v>5186</v>
      </c>
      <c r="F18" s="2">
        <v>4</v>
      </c>
      <c r="G18" s="2">
        <v>4</v>
      </c>
      <c r="H18" s="2" t="s">
        <v>60</v>
      </c>
      <c r="I18" s="2" t="s">
        <v>7375</v>
      </c>
    </row>
    <row r="19" spans="1:9" ht="33.75" customHeight="1" x14ac:dyDescent="0.25">
      <c r="A19" s="3" t="s">
        <v>57</v>
      </c>
      <c r="B19" s="3" t="s">
        <v>5191</v>
      </c>
      <c r="C19" s="3" t="s">
        <v>5192</v>
      </c>
      <c r="D19" s="3" t="s">
        <v>5193</v>
      </c>
      <c r="E19" s="3" t="s">
        <v>5194</v>
      </c>
      <c r="F19" s="3">
        <v>4</v>
      </c>
      <c r="G19" s="3">
        <v>4</v>
      </c>
      <c r="H19" s="3" t="s">
        <v>60</v>
      </c>
      <c r="I19" s="3" t="s">
        <v>7375</v>
      </c>
    </row>
    <row r="20" spans="1:9" ht="33.75" customHeight="1" x14ac:dyDescent="0.25">
      <c r="A20" s="2" t="s">
        <v>73</v>
      </c>
      <c r="B20" s="2" t="s">
        <v>5199</v>
      </c>
      <c r="C20" s="2" t="s">
        <v>5200</v>
      </c>
      <c r="D20" s="2" t="s">
        <v>5201</v>
      </c>
      <c r="E20" s="2" t="s">
        <v>5202</v>
      </c>
      <c r="F20" s="2">
        <v>4</v>
      </c>
      <c r="G20" s="2">
        <v>4</v>
      </c>
      <c r="H20" s="2" t="s">
        <v>60</v>
      </c>
      <c r="I20" s="2" t="s">
        <v>7375</v>
      </c>
    </row>
    <row r="21" spans="1:9" ht="33.75" customHeight="1" x14ac:dyDescent="0.25">
      <c r="A21" s="3" t="s">
        <v>430</v>
      </c>
      <c r="B21" s="3" t="s">
        <v>5206</v>
      </c>
      <c r="C21" s="3" t="s">
        <v>5207</v>
      </c>
      <c r="D21" s="3" t="s">
        <v>5208</v>
      </c>
      <c r="E21" s="3" t="s">
        <v>5209</v>
      </c>
      <c r="F21" s="3">
        <v>4</v>
      </c>
      <c r="G21" s="3">
        <v>4</v>
      </c>
      <c r="H21" s="3" t="s">
        <v>60</v>
      </c>
      <c r="I21" s="3" t="s">
        <v>7375</v>
      </c>
    </row>
    <row r="22" spans="1:9" ht="33.75" customHeight="1" x14ac:dyDescent="0.25">
      <c r="A22" s="2" t="s">
        <v>348</v>
      </c>
      <c r="B22" s="2" t="s">
        <v>5212</v>
      </c>
      <c r="C22" s="2" t="s">
        <v>5213</v>
      </c>
      <c r="D22" s="2" t="s">
        <v>5214</v>
      </c>
      <c r="E22" s="2" t="s">
        <v>5215</v>
      </c>
      <c r="F22" s="2">
        <v>4</v>
      </c>
      <c r="G22" s="2">
        <v>4</v>
      </c>
      <c r="H22" s="2" t="s">
        <v>60</v>
      </c>
      <c r="I22" s="2" t="s">
        <v>7375</v>
      </c>
    </row>
    <row r="23" spans="1:9" ht="33.75" customHeight="1" x14ac:dyDescent="0.25">
      <c r="A23" s="3" t="s">
        <v>4179</v>
      </c>
      <c r="B23" s="3" t="s">
        <v>5218</v>
      </c>
      <c r="C23" s="3" t="s">
        <v>5219</v>
      </c>
      <c r="D23" s="3" t="s">
        <v>5220</v>
      </c>
      <c r="E23" s="3" t="s">
        <v>5221</v>
      </c>
      <c r="F23" s="3">
        <v>4</v>
      </c>
      <c r="G23" s="3">
        <v>4</v>
      </c>
      <c r="H23" s="3" t="s">
        <v>60</v>
      </c>
      <c r="I23" s="3" t="s">
        <v>7375</v>
      </c>
    </row>
    <row r="24" spans="1:9" ht="33.75" customHeight="1" x14ac:dyDescent="0.25">
      <c r="A24" s="2" t="s">
        <v>182</v>
      </c>
      <c r="B24" s="2" t="s">
        <v>5224</v>
      </c>
      <c r="C24" s="2" t="s">
        <v>5225</v>
      </c>
      <c r="D24" s="2" t="s">
        <v>5226</v>
      </c>
      <c r="E24" s="2" t="s">
        <v>5227</v>
      </c>
      <c r="F24" s="2">
        <v>4</v>
      </c>
      <c r="G24" s="2">
        <v>4</v>
      </c>
      <c r="H24" s="2" t="s">
        <v>60</v>
      </c>
      <c r="I24" s="2" t="s">
        <v>7375</v>
      </c>
    </row>
    <row r="25" spans="1:9" ht="33.75" customHeight="1" x14ac:dyDescent="0.25">
      <c r="A25" s="3" t="s">
        <v>452</v>
      </c>
      <c r="B25" s="3" t="s">
        <v>5231</v>
      </c>
      <c r="C25" s="3" t="s">
        <v>5232</v>
      </c>
      <c r="D25" s="3" t="s">
        <v>5233</v>
      </c>
      <c r="E25" s="3" t="s">
        <v>5234</v>
      </c>
      <c r="F25" s="3">
        <v>4</v>
      </c>
      <c r="G25" s="3">
        <v>4</v>
      </c>
      <c r="H25" s="3" t="s">
        <v>60</v>
      </c>
      <c r="I25" s="3" t="s">
        <v>7375</v>
      </c>
    </row>
    <row r="26" spans="1:9" ht="33.75" customHeight="1" x14ac:dyDescent="0.25">
      <c r="A26" s="2" t="s">
        <v>582</v>
      </c>
      <c r="B26" s="2" t="s">
        <v>5238</v>
      </c>
      <c r="C26" s="2" t="s">
        <v>5239</v>
      </c>
      <c r="D26" s="2" t="s">
        <v>5240</v>
      </c>
      <c r="E26" s="2" t="s">
        <v>5241</v>
      </c>
      <c r="F26" s="2">
        <v>4</v>
      </c>
      <c r="G26" s="2">
        <v>4</v>
      </c>
      <c r="H26" s="2" t="s">
        <v>60</v>
      </c>
      <c r="I26" s="2" t="s">
        <v>7375</v>
      </c>
    </row>
    <row r="27" spans="1:9" ht="33.75" customHeight="1" x14ac:dyDescent="0.25">
      <c r="A27" s="3" t="s">
        <v>2654</v>
      </c>
      <c r="B27" s="3" t="s">
        <v>5246</v>
      </c>
      <c r="C27" s="3" t="s">
        <v>5247</v>
      </c>
      <c r="D27" s="3" t="s">
        <v>5248</v>
      </c>
      <c r="E27" s="3" t="s">
        <v>5249</v>
      </c>
      <c r="F27" s="3">
        <v>4</v>
      </c>
      <c r="G27" s="3">
        <v>4</v>
      </c>
      <c r="H27" s="3" t="s">
        <v>60</v>
      </c>
      <c r="I27" s="3" t="s">
        <v>7375</v>
      </c>
    </row>
    <row r="28" spans="1:9" ht="33.75" customHeight="1" x14ac:dyDescent="0.25">
      <c r="A28" s="2" t="s">
        <v>226</v>
      </c>
      <c r="B28" s="2" t="s">
        <v>5254</v>
      </c>
      <c r="C28" s="2" t="s">
        <v>5255</v>
      </c>
      <c r="D28" s="2" t="s">
        <v>5256</v>
      </c>
      <c r="E28" s="2" t="s">
        <v>5257</v>
      </c>
      <c r="F28" s="2">
        <v>4</v>
      </c>
      <c r="G28" s="2">
        <v>4</v>
      </c>
      <c r="H28" s="2" t="s">
        <v>60</v>
      </c>
      <c r="I28" s="2" t="s">
        <v>7375</v>
      </c>
    </row>
    <row r="29" spans="1:9" ht="33.75" customHeight="1" x14ac:dyDescent="0.25">
      <c r="A29" s="3" t="s">
        <v>3644</v>
      </c>
      <c r="B29" s="3" t="s">
        <v>5261</v>
      </c>
      <c r="C29" s="3" t="s">
        <v>5262</v>
      </c>
      <c r="D29" s="3" t="s">
        <v>5263</v>
      </c>
      <c r="E29" s="3" t="s">
        <v>5264</v>
      </c>
      <c r="F29" s="3">
        <v>4</v>
      </c>
      <c r="G29" s="3">
        <v>4</v>
      </c>
      <c r="H29" s="3" t="s">
        <v>60</v>
      </c>
      <c r="I29" s="3" t="s">
        <v>7375</v>
      </c>
    </row>
    <row r="30" spans="1:9" ht="33.75" customHeight="1" x14ac:dyDescent="0.25">
      <c r="A30" s="2" t="s">
        <v>4175</v>
      </c>
      <c r="B30" s="2" t="s">
        <v>5267</v>
      </c>
      <c r="C30" s="2" t="s">
        <v>5268</v>
      </c>
      <c r="D30" s="2" t="s">
        <v>5269</v>
      </c>
      <c r="E30" s="2" t="s">
        <v>5270</v>
      </c>
      <c r="F30" s="2">
        <v>4</v>
      </c>
      <c r="G30" s="2">
        <v>4</v>
      </c>
      <c r="H30" s="2" t="s">
        <v>60</v>
      </c>
      <c r="I30" s="2" t="s">
        <v>7375</v>
      </c>
    </row>
    <row r="31" spans="1:9" ht="33.75" customHeight="1" x14ac:dyDescent="0.25">
      <c r="A31" s="3" t="s">
        <v>178</v>
      </c>
      <c r="B31" s="3" t="s">
        <v>5273</v>
      </c>
      <c r="C31" s="3" t="s">
        <v>5274</v>
      </c>
      <c r="D31" s="3" t="s">
        <v>5275</v>
      </c>
      <c r="E31" s="3" t="s">
        <v>5276</v>
      </c>
      <c r="F31" s="3">
        <v>4</v>
      </c>
      <c r="G31" s="3">
        <v>4</v>
      </c>
      <c r="H31" s="3" t="s">
        <v>60</v>
      </c>
      <c r="I31" s="3" t="s">
        <v>7375</v>
      </c>
    </row>
    <row r="32" spans="1:9" ht="33.75" customHeight="1" x14ac:dyDescent="0.25">
      <c r="A32" s="2" t="s">
        <v>259</v>
      </c>
      <c r="B32" s="2" t="s">
        <v>5279</v>
      </c>
      <c r="C32" s="2" t="s">
        <v>5280</v>
      </c>
      <c r="D32" s="2" t="s">
        <v>5281</v>
      </c>
      <c r="E32" s="2" t="s">
        <v>5282</v>
      </c>
      <c r="F32" s="2">
        <v>4</v>
      </c>
      <c r="G32" s="2">
        <v>4</v>
      </c>
      <c r="H32" s="2" t="s">
        <v>60</v>
      </c>
      <c r="I32" s="2" t="s">
        <v>7375</v>
      </c>
    </row>
    <row r="33" spans="1:9" ht="45" customHeight="1" x14ac:dyDescent="0.25">
      <c r="A33" s="3" t="s">
        <v>3769</v>
      </c>
      <c r="B33" s="3" t="s">
        <v>5286</v>
      </c>
      <c r="C33" s="3" t="s">
        <v>5287</v>
      </c>
      <c r="D33" s="3" t="s">
        <v>5288</v>
      </c>
      <c r="E33" s="3" t="s">
        <v>5289</v>
      </c>
      <c r="F33" s="3">
        <v>4</v>
      </c>
      <c r="G33" s="3">
        <v>4</v>
      </c>
      <c r="H33" s="3" t="s">
        <v>60</v>
      </c>
      <c r="I33" s="3" t="s">
        <v>7375</v>
      </c>
    </row>
    <row r="34" spans="1:9" ht="45" customHeight="1" x14ac:dyDescent="0.25">
      <c r="A34" s="2" t="s">
        <v>478</v>
      </c>
      <c r="B34" s="2" t="s">
        <v>5293</v>
      </c>
      <c r="C34" s="2" t="s">
        <v>5294</v>
      </c>
      <c r="D34" s="2" t="s">
        <v>5295</v>
      </c>
      <c r="E34" s="2" t="s">
        <v>5296</v>
      </c>
      <c r="F34" s="2">
        <v>4</v>
      </c>
      <c r="G34" s="2">
        <v>4</v>
      </c>
      <c r="H34" s="2" t="s">
        <v>60</v>
      </c>
      <c r="I34" s="2" t="s">
        <v>7375</v>
      </c>
    </row>
    <row r="35" spans="1:9" ht="33.75" customHeight="1" x14ac:dyDescent="0.25">
      <c r="A35" s="3" t="s">
        <v>3070</v>
      </c>
      <c r="B35" s="3" t="s">
        <v>5300</v>
      </c>
      <c r="C35" s="3" t="s">
        <v>5301</v>
      </c>
      <c r="D35" s="3" t="s">
        <v>5302</v>
      </c>
      <c r="E35" s="3" t="s">
        <v>5303</v>
      </c>
      <c r="F35" s="3">
        <v>4</v>
      </c>
      <c r="G35" s="3">
        <v>4</v>
      </c>
      <c r="H35" s="3" t="s">
        <v>60</v>
      </c>
      <c r="I35" s="3" t="s">
        <v>7375</v>
      </c>
    </row>
    <row r="36" spans="1:9" ht="33.75" customHeight="1" x14ac:dyDescent="0.25">
      <c r="A36" s="2" t="s">
        <v>3066</v>
      </c>
      <c r="B36" s="2" t="s">
        <v>5307</v>
      </c>
      <c r="C36" s="2" t="s">
        <v>5308</v>
      </c>
      <c r="D36" s="2" t="s">
        <v>5309</v>
      </c>
      <c r="E36" s="2" t="s">
        <v>5310</v>
      </c>
      <c r="F36" s="2">
        <v>4</v>
      </c>
      <c r="G36" s="2">
        <v>4</v>
      </c>
      <c r="H36" s="2" t="s">
        <v>60</v>
      </c>
      <c r="I36" s="2" t="s">
        <v>7375</v>
      </c>
    </row>
    <row r="37" spans="1:9" ht="33.75" customHeight="1" x14ac:dyDescent="0.25">
      <c r="A37" s="3" t="s">
        <v>3128</v>
      </c>
      <c r="B37" s="3" t="s">
        <v>5315</v>
      </c>
      <c r="C37" s="3" t="s">
        <v>5316</v>
      </c>
      <c r="D37" s="3" t="s">
        <v>5317</v>
      </c>
      <c r="E37" s="3" t="s">
        <v>5318</v>
      </c>
      <c r="F37" s="3">
        <v>4</v>
      </c>
      <c r="G37" s="3">
        <v>4</v>
      </c>
      <c r="H37" s="3" t="s">
        <v>60</v>
      </c>
      <c r="I37" s="3" t="s">
        <v>7375</v>
      </c>
    </row>
    <row r="38" spans="1:9" ht="33.75" customHeight="1" x14ac:dyDescent="0.25">
      <c r="A38" s="2" t="s">
        <v>3132</v>
      </c>
      <c r="B38" s="2" t="s">
        <v>5323</v>
      </c>
      <c r="C38" s="2" t="s">
        <v>5324</v>
      </c>
      <c r="D38" s="2" t="s">
        <v>5325</v>
      </c>
      <c r="E38" s="2" t="s">
        <v>5326</v>
      </c>
      <c r="F38" s="2">
        <v>4</v>
      </c>
      <c r="G38" s="2">
        <v>4</v>
      </c>
      <c r="H38" s="2" t="s">
        <v>60</v>
      </c>
      <c r="I38" s="2" t="s">
        <v>7375</v>
      </c>
    </row>
    <row r="39" spans="1:9" ht="33.75" customHeight="1" x14ac:dyDescent="0.25">
      <c r="A39" s="3" t="s">
        <v>3648</v>
      </c>
      <c r="B39" s="3" t="s">
        <v>5331</v>
      </c>
      <c r="C39" s="3" t="s">
        <v>5332</v>
      </c>
      <c r="D39" s="3" t="s">
        <v>5333</v>
      </c>
      <c r="E39" s="3" t="s">
        <v>5334</v>
      </c>
      <c r="F39" s="3">
        <v>4</v>
      </c>
      <c r="G39" s="3">
        <v>4</v>
      </c>
      <c r="H39" s="3" t="s">
        <v>60</v>
      </c>
      <c r="I39" s="3" t="s">
        <v>7375</v>
      </c>
    </row>
    <row r="40" spans="1:9" ht="33.75" customHeight="1" x14ac:dyDescent="0.25">
      <c r="A40" s="2" t="s">
        <v>77</v>
      </c>
      <c r="B40" s="2" t="s">
        <v>5339</v>
      </c>
      <c r="C40" s="2" t="s">
        <v>5340</v>
      </c>
      <c r="D40" s="2" t="s">
        <v>5341</v>
      </c>
      <c r="E40" s="2" t="s">
        <v>5342</v>
      </c>
      <c r="F40" s="2">
        <v>4</v>
      </c>
      <c r="G40" s="2">
        <v>4</v>
      </c>
      <c r="H40" s="2" t="s">
        <v>60</v>
      </c>
      <c r="I40" s="2" t="s">
        <v>7375</v>
      </c>
    </row>
    <row r="41" spans="1:9" ht="33.75" customHeight="1" x14ac:dyDescent="0.25">
      <c r="A41" s="3" t="s">
        <v>89</v>
      </c>
      <c r="B41" s="3" t="s">
        <v>5347</v>
      </c>
      <c r="C41" s="3" t="s">
        <v>5348</v>
      </c>
      <c r="D41" s="3" t="s">
        <v>5349</v>
      </c>
      <c r="E41" s="3" t="s">
        <v>5350</v>
      </c>
      <c r="F41" s="3">
        <v>4</v>
      </c>
      <c r="G41" s="3">
        <v>4</v>
      </c>
      <c r="H41" s="3" t="s">
        <v>60</v>
      </c>
      <c r="I41" s="3" t="s">
        <v>7375</v>
      </c>
    </row>
    <row r="42" spans="1:9" ht="33.75" customHeight="1" x14ac:dyDescent="0.25">
      <c r="A42" s="2" t="s">
        <v>4603</v>
      </c>
      <c r="B42" s="2" t="s">
        <v>5354</v>
      </c>
      <c r="C42" s="2" t="s">
        <v>5355</v>
      </c>
      <c r="D42" s="2" t="s">
        <v>5356</v>
      </c>
      <c r="E42" s="2" t="s">
        <v>5357</v>
      </c>
      <c r="F42" s="2">
        <v>4</v>
      </c>
      <c r="G42" s="2">
        <v>4</v>
      </c>
      <c r="H42" s="2" t="s">
        <v>60</v>
      </c>
      <c r="I42" s="2" t="s">
        <v>7375</v>
      </c>
    </row>
    <row r="43" spans="1:9" ht="33.75" customHeight="1" x14ac:dyDescent="0.25">
      <c r="A43" s="3" t="s">
        <v>63</v>
      </c>
      <c r="B43" s="3" t="s">
        <v>5362</v>
      </c>
      <c r="C43" s="3" t="s">
        <v>5363</v>
      </c>
      <c r="D43" s="3" t="s">
        <v>5364</v>
      </c>
      <c r="E43" s="3" t="s">
        <v>5365</v>
      </c>
      <c r="F43" s="3">
        <v>4</v>
      </c>
      <c r="G43" s="3">
        <v>4</v>
      </c>
      <c r="H43" s="3" t="s">
        <v>60</v>
      </c>
      <c r="I43" s="3" t="s">
        <v>7375</v>
      </c>
    </row>
    <row r="44" spans="1:9" ht="33.75" customHeight="1" x14ac:dyDescent="0.25">
      <c r="A44" s="2" t="s">
        <v>69</v>
      </c>
      <c r="B44" s="2" t="s">
        <v>5370</v>
      </c>
      <c r="C44" s="2" t="s">
        <v>5371</v>
      </c>
      <c r="D44" s="2" t="s">
        <v>5372</v>
      </c>
      <c r="E44" s="2" t="s">
        <v>5373</v>
      </c>
      <c r="F44" s="2">
        <v>4</v>
      </c>
      <c r="G44" s="2">
        <v>4</v>
      </c>
      <c r="H44" s="2" t="s">
        <v>60</v>
      </c>
      <c r="I44" s="2" t="s">
        <v>7375</v>
      </c>
    </row>
    <row r="45" spans="1:9" ht="33.75" customHeight="1" x14ac:dyDescent="0.25">
      <c r="A45" s="3" t="s">
        <v>436</v>
      </c>
      <c r="B45" s="3" t="s">
        <v>5378</v>
      </c>
      <c r="C45" s="3" t="s">
        <v>5379</v>
      </c>
      <c r="D45" s="3" t="s">
        <v>5380</v>
      </c>
      <c r="E45" s="3" t="s">
        <v>5381</v>
      </c>
      <c r="F45" s="3">
        <v>4</v>
      </c>
      <c r="G45" s="3">
        <v>4</v>
      </c>
      <c r="H45" s="3" t="s">
        <v>60</v>
      </c>
      <c r="I45" s="3" t="s">
        <v>7375</v>
      </c>
    </row>
    <row r="46" spans="1:9" ht="33.75" customHeight="1" x14ac:dyDescent="0.25">
      <c r="A46" s="2" t="s">
        <v>426</v>
      </c>
      <c r="B46" s="2" t="s">
        <v>5386</v>
      </c>
      <c r="C46" s="2" t="s">
        <v>5387</v>
      </c>
      <c r="D46" s="2" t="s">
        <v>5388</v>
      </c>
      <c r="E46" s="2" t="s">
        <v>5389</v>
      </c>
      <c r="F46" s="2">
        <v>4</v>
      </c>
      <c r="G46" s="2">
        <v>4</v>
      </c>
      <c r="H46" s="2" t="s">
        <v>60</v>
      </c>
      <c r="I46" s="2" t="s">
        <v>7375</v>
      </c>
    </row>
    <row r="47" spans="1:9" ht="33.75" customHeight="1" x14ac:dyDescent="0.25">
      <c r="A47" s="3" t="s">
        <v>344</v>
      </c>
      <c r="B47" s="3" t="s">
        <v>5392</v>
      </c>
      <c r="C47" s="3" t="s">
        <v>5393</v>
      </c>
      <c r="D47" s="3" t="s">
        <v>5394</v>
      </c>
      <c r="E47" s="3" t="s">
        <v>5395</v>
      </c>
      <c r="F47" s="3">
        <v>4</v>
      </c>
      <c r="G47" s="3">
        <v>4</v>
      </c>
      <c r="H47" s="3" t="s">
        <v>60</v>
      </c>
      <c r="I47" s="3" t="s">
        <v>7375</v>
      </c>
    </row>
    <row r="48" spans="1:9" ht="33.75" customHeight="1" x14ac:dyDescent="0.25">
      <c r="A48" s="2" t="s">
        <v>2582</v>
      </c>
      <c r="B48" s="2" t="s">
        <v>5398</v>
      </c>
      <c r="C48" s="2" t="s">
        <v>5399</v>
      </c>
      <c r="D48" s="2" t="s">
        <v>5400</v>
      </c>
      <c r="E48" s="2" t="s">
        <v>5401</v>
      </c>
      <c r="F48" s="2">
        <v>4</v>
      </c>
      <c r="G48" s="2">
        <v>4</v>
      </c>
      <c r="H48" s="2" t="s">
        <v>60</v>
      </c>
      <c r="I48" s="2" t="s">
        <v>7375</v>
      </c>
    </row>
    <row r="49" spans="1:9" ht="33.75" customHeight="1" x14ac:dyDescent="0.25">
      <c r="A49" s="3" t="s">
        <v>1767</v>
      </c>
      <c r="B49" s="3" t="s">
        <v>5406</v>
      </c>
      <c r="C49" s="3" t="s">
        <v>5407</v>
      </c>
      <c r="D49" s="3" t="s">
        <v>5408</v>
      </c>
      <c r="E49" s="3" t="s">
        <v>5409</v>
      </c>
      <c r="F49" s="3">
        <v>4</v>
      </c>
      <c r="G49" s="3">
        <v>4</v>
      </c>
      <c r="H49" s="3" t="s">
        <v>60</v>
      </c>
      <c r="I49" s="3" t="s">
        <v>7375</v>
      </c>
    </row>
    <row r="50" spans="1:9" ht="33.75" customHeight="1" x14ac:dyDescent="0.25">
      <c r="A50" s="2" t="s">
        <v>1759</v>
      </c>
      <c r="B50" s="2" t="s">
        <v>5413</v>
      </c>
      <c r="C50" s="2" t="s">
        <v>5414</v>
      </c>
      <c r="D50" s="2" t="s">
        <v>5415</v>
      </c>
      <c r="E50" s="2" t="s">
        <v>5416</v>
      </c>
      <c r="F50" s="2">
        <v>4</v>
      </c>
      <c r="G50" s="2">
        <v>4</v>
      </c>
      <c r="H50" s="2" t="s">
        <v>60</v>
      </c>
      <c r="I50" s="2" t="s">
        <v>7375</v>
      </c>
    </row>
    <row r="51" spans="1:9" ht="33.75" customHeight="1" x14ac:dyDescent="0.25">
      <c r="A51" s="3" t="s">
        <v>1602</v>
      </c>
      <c r="B51" s="3" t="s">
        <v>5420</v>
      </c>
      <c r="C51" s="3" t="s">
        <v>5421</v>
      </c>
      <c r="D51" s="3" t="s">
        <v>5422</v>
      </c>
      <c r="E51" s="3" t="s">
        <v>5423</v>
      </c>
      <c r="F51" s="3">
        <v>4</v>
      </c>
      <c r="G51" s="3">
        <v>4</v>
      </c>
      <c r="H51" s="3" t="s">
        <v>60</v>
      </c>
      <c r="I51" s="3" t="s">
        <v>7375</v>
      </c>
    </row>
    <row r="52" spans="1:9" ht="33.75" customHeight="1" x14ac:dyDescent="0.25">
      <c r="A52" s="2" t="s">
        <v>1777</v>
      </c>
      <c r="B52" s="2" t="s">
        <v>5427</v>
      </c>
      <c r="C52" s="2" t="s">
        <v>5428</v>
      </c>
      <c r="D52" s="2" t="s">
        <v>5429</v>
      </c>
      <c r="E52" s="2" t="s">
        <v>5430</v>
      </c>
      <c r="F52" s="2">
        <v>4</v>
      </c>
      <c r="G52" s="2">
        <v>4</v>
      </c>
      <c r="H52" s="2" t="s">
        <v>60</v>
      </c>
      <c r="I52" s="2" t="s">
        <v>7375</v>
      </c>
    </row>
    <row r="53" spans="1:9" ht="33.75" customHeight="1" x14ac:dyDescent="0.25">
      <c r="A53" s="3" t="s">
        <v>1817</v>
      </c>
      <c r="B53" s="3" t="s">
        <v>5435</v>
      </c>
      <c r="C53" s="3" t="s">
        <v>5436</v>
      </c>
      <c r="D53" s="3" t="s">
        <v>5437</v>
      </c>
      <c r="E53" s="3" t="s">
        <v>5438</v>
      </c>
      <c r="F53" s="3">
        <v>4</v>
      </c>
      <c r="G53" s="3">
        <v>4</v>
      </c>
      <c r="H53" s="3" t="s">
        <v>60</v>
      </c>
      <c r="I53" s="3" t="s">
        <v>7375</v>
      </c>
    </row>
    <row r="54" spans="1:9" ht="33.75" customHeight="1" x14ac:dyDescent="0.25">
      <c r="A54" s="2" t="s">
        <v>2137</v>
      </c>
      <c r="B54" s="2" t="s">
        <v>5443</v>
      </c>
      <c r="C54" s="2" t="s">
        <v>5444</v>
      </c>
      <c r="D54" s="2" t="s">
        <v>5445</v>
      </c>
      <c r="E54" s="2" t="s">
        <v>5446</v>
      </c>
      <c r="F54" s="2">
        <v>4</v>
      </c>
      <c r="G54" s="2">
        <v>4</v>
      </c>
      <c r="H54" s="2" t="s">
        <v>60</v>
      </c>
      <c r="I54" s="2" t="s">
        <v>7375</v>
      </c>
    </row>
    <row r="55" spans="1:9" ht="33.75" customHeight="1" x14ac:dyDescent="0.25">
      <c r="A55" s="3" t="s">
        <v>2379</v>
      </c>
      <c r="B55" s="3" t="s">
        <v>5451</v>
      </c>
      <c r="C55" s="3" t="s">
        <v>5452</v>
      </c>
      <c r="D55" s="3" t="s">
        <v>5453</v>
      </c>
      <c r="E55" s="3" t="s">
        <v>5454</v>
      </c>
      <c r="F55" s="3">
        <v>4</v>
      </c>
      <c r="G55" s="3">
        <v>4</v>
      </c>
      <c r="H55" s="3" t="s">
        <v>60</v>
      </c>
      <c r="I55" s="3" t="s">
        <v>7375</v>
      </c>
    </row>
    <row r="56" spans="1:9" ht="33.75" customHeight="1" x14ac:dyDescent="0.25">
      <c r="A56" s="2" t="s">
        <v>1727</v>
      </c>
      <c r="B56" s="2" t="s">
        <v>5459</v>
      </c>
      <c r="C56" s="2" t="s">
        <v>5460</v>
      </c>
      <c r="D56" s="2" t="s">
        <v>5461</v>
      </c>
      <c r="E56" s="2" t="s">
        <v>5462</v>
      </c>
      <c r="F56" s="2">
        <v>4</v>
      </c>
      <c r="G56" s="2">
        <v>4</v>
      </c>
      <c r="H56" s="2" t="s">
        <v>60</v>
      </c>
      <c r="I56" s="2" t="s">
        <v>7375</v>
      </c>
    </row>
    <row r="57" spans="1:9" ht="33.75" customHeight="1" x14ac:dyDescent="0.25">
      <c r="A57" s="3" t="s">
        <v>2696</v>
      </c>
      <c r="B57" s="3" t="s">
        <v>5467</v>
      </c>
      <c r="C57" s="3" t="s">
        <v>5468</v>
      </c>
      <c r="D57" s="3" t="s">
        <v>5469</v>
      </c>
      <c r="E57" s="3" t="s">
        <v>5470</v>
      </c>
      <c r="F57" s="3">
        <v>4</v>
      </c>
      <c r="G57" s="3">
        <v>4</v>
      </c>
      <c r="H57" s="3" t="s">
        <v>60</v>
      </c>
      <c r="I57" s="3" t="s">
        <v>7375</v>
      </c>
    </row>
    <row r="58" spans="1:9" ht="33.75" customHeight="1" x14ac:dyDescent="0.25">
      <c r="A58" s="2" t="s">
        <v>3264</v>
      </c>
      <c r="B58" s="2" t="s">
        <v>5474</v>
      </c>
      <c r="C58" s="2" t="s">
        <v>5475</v>
      </c>
      <c r="D58" s="2" t="s">
        <v>5476</v>
      </c>
      <c r="E58" s="2" t="s">
        <v>5477</v>
      </c>
      <c r="F58" s="2">
        <v>4</v>
      </c>
      <c r="G58" s="2">
        <v>4</v>
      </c>
      <c r="H58" s="2" t="s">
        <v>60</v>
      </c>
      <c r="I58" s="2" t="s">
        <v>7375</v>
      </c>
    </row>
    <row r="59" spans="1:9" ht="33.75" customHeight="1" x14ac:dyDescent="0.25">
      <c r="A59" s="3" t="s">
        <v>3062</v>
      </c>
      <c r="B59" s="3" t="s">
        <v>5481</v>
      </c>
      <c r="C59" s="3" t="s">
        <v>5482</v>
      </c>
      <c r="D59" s="3" t="s">
        <v>5483</v>
      </c>
      <c r="E59" s="3" t="s">
        <v>5484</v>
      </c>
      <c r="F59" s="3">
        <v>4</v>
      </c>
      <c r="G59" s="3">
        <v>4</v>
      </c>
      <c r="H59" s="3" t="s">
        <v>60</v>
      </c>
      <c r="I59" s="3" t="s">
        <v>7375</v>
      </c>
    </row>
    <row r="60" spans="1:9" ht="33.75" customHeight="1" x14ac:dyDescent="0.25">
      <c r="A60" s="2" t="s">
        <v>3945</v>
      </c>
      <c r="B60" s="2" t="s">
        <v>5488</v>
      </c>
      <c r="C60" s="2" t="s">
        <v>5489</v>
      </c>
      <c r="D60" s="2" t="s">
        <v>5490</v>
      </c>
      <c r="E60" s="2" t="s">
        <v>5491</v>
      </c>
      <c r="F60" s="2">
        <v>4</v>
      </c>
      <c r="G60" s="2">
        <v>4</v>
      </c>
      <c r="H60" s="2" t="s">
        <v>60</v>
      </c>
      <c r="I60" s="2" t="s">
        <v>7375</v>
      </c>
    </row>
    <row r="61" spans="1:9" ht="33.75" customHeight="1" x14ac:dyDescent="0.25">
      <c r="A61" s="3" t="s">
        <v>4165</v>
      </c>
      <c r="B61" s="3" t="s">
        <v>5494</v>
      </c>
      <c r="C61" s="3" t="s">
        <v>5495</v>
      </c>
      <c r="D61" s="3" t="s">
        <v>5496</v>
      </c>
      <c r="E61" s="3" t="s">
        <v>5497</v>
      </c>
      <c r="F61" s="3">
        <v>4</v>
      </c>
      <c r="G61" s="3">
        <v>4</v>
      </c>
      <c r="H61" s="3" t="s">
        <v>60</v>
      </c>
      <c r="I61" s="3" t="s">
        <v>7375</v>
      </c>
    </row>
    <row r="62" spans="1:9" ht="33.75" customHeight="1" x14ac:dyDescent="0.25">
      <c r="A62" s="2" t="s">
        <v>4171</v>
      </c>
      <c r="B62" s="2" t="s">
        <v>5500</v>
      </c>
      <c r="C62" s="2" t="s">
        <v>5501</v>
      </c>
      <c r="D62" s="2" t="s">
        <v>5502</v>
      </c>
      <c r="E62" s="2" t="s">
        <v>5503</v>
      </c>
      <c r="F62" s="2">
        <v>4</v>
      </c>
      <c r="G62" s="2">
        <v>4</v>
      </c>
      <c r="H62" s="2" t="s">
        <v>60</v>
      </c>
      <c r="I62" s="2" t="s">
        <v>7375</v>
      </c>
    </row>
    <row r="63" spans="1:9" ht="33.75" customHeight="1" x14ac:dyDescent="0.25">
      <c r="A63" s="3" t="s">
        <v>160</v>
      </c>
      <c r="B63" s="3" t="s">
        <v>5505</v>
      </c>
      <c r="C63" s="3" t="s">
        <v>5506</v>
      </c>
      <c r="D63" s="3" t="s">
        <v>5507</v>
      </c>
      <c r="E63" s="3" t="s">
        <v>5508</v>
      </c>
      <c r="F63" s="3">
        <v>4</v>
      </c>
      <c r="G63" s="3">
        <v>4</v>
      </c>
      <c r="H63" s="3" t="s">
        <v>60</v>
      </c>
      <c r="I63" s="3" t="s">
        <v>7375</v>
      </c>
    </row>
    <row r="64" spans="1:9" ht="33.75" customHeight="1" x14ac:dyDescent="0.25">
      <c r="A64" s="2" t="s">
        <v>2308</v>
      </c>
      <c r="B64" s="2" t="s">
        <v>5511</v>
      </c>
      <c r="C64" s="2" t="s">
        <v>5512</v>
      </c>
      <c r="D64" s="2" t="s">
        <v>5513</v>
      </c>
      <c r="E64" s="2" t="s">
        <v>5514</v>
      </c>
      <c r="F64" s="2">
        <v>4</v>
      </c>
      <c r="G64" s="2">
        <v>4</v>
      </c>
      <c r="H64" s="2" t="s">
        <v>60</v>
      </c>
      <c r="I64" s="2" t="s">
        <v>7375</v>
      </c>
    </row>
    <row r="65" spans="1:9" ht="33.75" customHeight="1" x14ac:dyDescent="0.25">
      <c r="A65" s="3" t="s">
        <v>4143</v>
      </c>
      <c r="B65" s="3" t="s">
        <v>5516</v>
      </c>
      <c r="C65" s="3" t="s">
        <v>5517</v>
      </c>
      <c r="D65" s="3" t="s">
        <v>5518</v>
      </c>
      <c r="E65" s="3" t="s">
        <v>5519</v>
      </c>
      <c r="F65" s="3">
        <v>4</v>
      </c>
      <c r="G65" s="3">
        <v>4</v>
      </c>
      <c r="H65" s="3" t="s">
        <v>60</v>
      </c>
      <c r="I65" s="3" t="s">
        <v>7375</v>
      </c>
    </row>
    <row r="66" spans="1:9" ht="33.75" customHeight="1" x14ac:dyDescent="0.25">
      <c r="A66" s="2" t="s">
        <v>4517</v>
      </c>
      <c r="B66" s="2" t="s">
        <v>5521</v>
      </c>
      <c r="C66" s="2" t="s">
        <v>5522</v>
      </c>
      <c r="D66" s="2" t="s">
        <v>5523</v>
      </c>
      <c r="E66" s="2" t="s">
        <v>5524</v>
      </c>
      <c r="F66" s="2">
        <v>4</v>
      </c>
      <c r="G66" s="2">
        <v>4</v>
      </c>
      <c r="H66" s="2" t="s">
        <v>60</v>
      </c>
      <c r="I66" s="2" t="s">
        <v>7375</v>
      </c>
    </row>
    <row r="67" spans="1:9" ht="33.75" customHeight="1" x14ac:dyDescent="0.25">
      <c r="A67" s="3" t="s">
        <v>1866</v>
      </c>
      <c r="B67" s="3" t="s">
        <v>5526</v>
      </c>
      <c r="C67" s="3" t="s">
        <v>5527</v>
      </c>
      <c r="D67" s="3" t="s">
        <v>5528</v>
      </c>
      <c r="E67" s="3" t="s">
        <v>5529</v>
      </c>
      <c r="F67" s="3">
        <v>4</v>
      </c>
      <c r="G67" s="3">
        <v>4</v>
      </c>
      <c r="H67" s="3" t="s">
        <v>60</v>
      </c>
      <c r="I67" s="3" t="s">
        <v>7375</v>
      </c>
    </row>
    <row r="68" spans="1:9" ht="33.75" customHeight="1" x14ac:dyDescent="0.25">
      <c r="A68" s="2" t="s">
        <v>3925</v>
      </c>
      <c r="B68" s="2" t="s">
        <v>5533</v>
      </c>
      <c r="C68" s="2" t="s">
        <v>5534</v>
      </c>
      <c r="D68" s="2" t="s">
        <v>5535</v>
      </c>
      <c r="E68" s="2" t="s">
        <v>5536</v>
      </c>
      <c r="F68" s="2">
        <v>4</v>
      </c>
      <c r="G68" s="2">
        <v>4</v>
      </c>
      <c r="H68" s="2" t="s">
        <v>60</v>
      </c>
      <c r="I68" s="2" t="s">
        <v>7375</v>
      </c>
    </row>
    <row r="69" spans="1:9" ht="33.75" customHeight="1" x14ac:dyDescent="0.25">
      <c r="A69" s="3" t="s">
        <v>830</v>
      </c>
      <c r="B69" s="3" t="s">
        <v>5541</v>
      </c>
      <c r="C69" s="3" t="s">
        <v>5542</v>
      </c>
      <c r="D69" s="3" t="s">
        <v>5543</v>
      </c>
      <c r="E69" s="3" t="s">
        <v>5544</v>
      </c>
      <c r="F69" s="3">
        <v>4</v>
      </c>
      <c r="G69" s="3">
        <v>4</v>
      </c>
      <c r="H69" s="3" t="s">
        <v>60</v>
      </c>
      <c r="I69" s="3" t="s">
        <v>7375</v>
      </c>
    </row>
    <row r="70" spans="1:9" ht="33.75" customHeight="1" x14ac:dyDescent="0.25">
      <c r="A70" s="2" t="s">
        <v>1723</v>
      </c>
      <c r="B70" s="2" t="s">
        <v>5549</v>
      </c>
      <c r="C70" s="2" t="s">
        <v>5550</v>
      </c>
      <c r="D70" s="2" t="s">
        <v>5551</v>
      </c>
      <c r="E70" s="2" t="s">
        <v>5552</v>
      </c>
      <c r="F70" s="2">
        <v>4</v>
      </c>
      <c r="G70" s="2">
        <v>4</v>
      </c>
      <c r="H70" s="2" t="s">
        <v>60</v>
      </c>
      <c r="I70" s="2" t="s">
        <v>7375</v>
      </c>
    </row>
    <row r="71" spans="1:9" ht="33.75" customHeight="1" x14ac:dyDescent="0.25">
      <c r="A71" s="3" t="s">
        <v>1884</v>
      </c>
      <c r="B71" s="3" t="s">
        <v>5557</v>
      </c>
      <c r="C71" s="3" t="s">
        <v>5558</v>
      </c>
      <c r="D71" s="3" t="s">
        <v>5559</v>
      </c>
      <c r="E71" s="3" t="s">
        <v>5560</v>
      </c>
      <c r="F71" s="3">
        <v>4</v>
      </c>
      <c r="G71" s="3">
        <v>4</v>
      </c>
      <c r="H71" s="3" t="s">
        <v>60</v>
      </c>
      <c r="I71" s="3" t="s">
        <v>7375</v>
      </c>
    </row>
    <row r="72" spans="1:9" ht="33.75" customHeight="1" x14ac:dyDescent="0.25">
      <c r="A72" s="2" t="s">
        <v>1763</v>
      </c>
      <c r="B72" s="2" t="s">
        <v>5564</v>
      </c>
      <c r="C72" s="2" t="s">
        <v>5565</v>
      </c>
      <c r="D72" s="2" t="s">
        <v>5566</v>
      </c>
      <c r="E72" s="2" t="s">
        <v>5567</v>
      </c>
      <c r="F72" s="2">
        <v>4</v>
      </c>
      <c r="G72" s="2">
        <v>4</v>
      </c>
      <c r="H72" s="2" t="s">
        <v>60</v>
      </c>
      <c r="I72" s="2" t="s">
        <v>7375</v>
      </c>
    </row>
    <row r="73" spans="1:9" ht="33.75" customHeight="1" x14ac:dyDescent="0.25">
      <c r="A73" s="3" t="s">
        <v>2783</v>
      </c>
      <c r="B73" s="3" t="s">
        <v>5571</v>
      </c>
      <c r="C73" s="3" t="s">
        <v>5572</v>
      </c>
      <c r="D73" s="3" t="s">
        <v>5573</v>
      </c>
      <c r="E73" s="3" t="s">
        <v>5574</v>
      </c>
      <c r="F73" s="3">
        <v>4</v>
      </c>
      <c r="G73" s="3">
        <v>4</v>
      </c>
      <c r="H73" s="3" t="s">
        <v>60</v>
      </c>
      <c r="I73" s="3" t="s">
        <v>7375</v>
      </c>
    </row>
    <row r="74" spans="1:9" ht="33.75" customHeight="1" x14ac:dyDescent="0.25">
      <c r="A74" s="2" t="s">
        <v>3058</v>
      </c>
      <c r="B74" s="2" t="s">
        <v>5578</v>
      </c>
      <c r="C74" s="2" t="s">
        <v>5579</v>
      </c>
      <c r="D74" s="2" t="s">
        <v>5580</v>
      </c>
      <c r="E74" s="2" t="s">
        <v>5581</v>
      </c>
      <c r="F74" s="2">
        <v>4</v>
      </c>
      <c r="G74" s="2">
        <v>4</v>
      </c>
      <c r="H74" s="2" t="s">
        <v>60</v>
      </c>
      <c r="I74" s="2" t="s">
        <v>7375</v>
      </c>
    </row>
    <row r="75" spans="1:9" ht="33.75" customHeight="1" x14ac:dyDescent="0.25">
      <c r="A75" s="3" t="s">
        <v>3941</v>
      </c>
      <c r="B75" s="3" t="s">
        <v>5585</v>
      </c>
      <c r="C75" s="3" t="s">
        <v>5586</v>
      </c>
      <c r="D75" s="3" t="s">
        <v>5587</v>
      </c>
      <c r="E75" s="3" t="s">
        <v>5588</v>
      </c>
      <c r="F75" s="3">
        <v>4</v>
      </c>
      <c r="G75" s="3">
        <v>4</v>
      </c>
      <c r="H75" s="3" t="s">
        <v>60</v>
      </c>
      <c r="I75" s="3" t="s">
        <v>7375</v>
      </c>
    </row>
    <row r="76" spans="1:9" ht="33.75" customHeight="1" x14ac:dyDescent="0.25">
      <c r="A76" s="2" t="s">
        <v>356</v>
      </c>
      <c r="B76" s="2" t="s">
        <v>5593</v>
      </c>
      <c r="C76" s="2" t="s">
        <v>5594</v>
      </c>
      <c r="D76" s="2" t="s">
        <v>5595</v>
      </c>
      <c r="E76" s="2" t="s">
        <v>5596</v>
      </c>
      <c r="F76" s="2">
        <v>4</v>
      </c>
      <c r="G76" s="2">
        <v>4</v>
      </c>
      <c r="H76" s="2" t="s">
        <v>60</v>
      </c>
      <c r="I76" s="2" t="s">
        <v>7375</v>
      </c>
    </row>
    <row r="77" spans="1:9" ht="33.75" customHeight="1" x14ac:dyDescent="0.25">
      <c r="A77" s="3" t="s">
        <v>515</v>
      </c>
      <c r="B77" s="3" t="s">
        <v>5601</v>
      </c>
      <c r="C77" s="3" t="s">
        <v>5602</v>
      </c>
      <c r="D77" s="3" t="s">
        <v>5603</v>
      </c>
      <c r="E77" s="3" t="s">
        <v>5604</v>
      </c>
      <c r="F77" s="3">
        <v>4</v>
      </c>
      <c r="G77" s="3">
        <v>4</v>
      </c>
      <c r="H77" s="3" t="s">
        <v>60</v>
      </c>
      <c r="I77" s="3" t="s">
        <v>7375</v>
      </c>
    </row>
    <row r="78" spans="1:9" ht="33.75" customHeight="1" x14ac:dyDescent="0.25">
      <c r="A78" s="2" t="s">
        <v>1329</v>
      </c>
      <c r="B78" s="2" t="s">
        <v>5608</v>
      </c>
      <c r="C78" s="2" t="s">
        <v>5609</v>
      </c>
      <c r="D78" s="2" t="s">
        <v>5610</v>
      </c>
      <c r="E78" s="2" t="s">
        <v>5611</v>
      </c>
      <c r="F78" s="2">
        <v>4</v>
      </c>
      <c r="G78" s="2">
        <v>4</v>
      </c>
      <c r="H78" s="2" t="s">
        <v>60</v>
      </c>
      <c r="I78" s="2" t="s">
        <v>7375</v>
      </c>
    </row>
    <row r="79" spans="1:9" ht="33.75" customHeight="1" x14ac:dyDescent="0.25">
      <c r="A79" s="3" t="s">
        <v>2898</v>
      </c>
      <c r="B79" s="3" t="s">
        <v>5615</v>
      </c>
      <c r="C79" s="3" t="s">
        <v>5616</v>
      </c>
      <c r="D79" s="3" t="s">
        <v>5617</v>
      </c>
      <c r="E79" s="3" t="s">
        <v>5618</v>
      </c>
      <c r="F79" s="3">
        <v>4</v>
      </c>
      <c r="G79" s="3">
        <v>4</v>
      </c>
      <c r="H79" s="3" t="s">
        <v>60</v>
      </c>
      <c r="I79" s="3" t="s">
        <v>7375</v>
      </c>
    </row>
    <row r="80" spans="1:9" ht="33.75" customHeight="1" x14ac:dyDescent="0.25">
      <c r="A80" s="2" t="s">
        <v>1813</v>
      </c>
      <c r="B80" s="2" t="s">
        <v>5622</v>
      </c>
      <c r="C80" s="2" t="s">
        <v>5623</v>
      </c>
      <c r="D80" s="2" t="s">
        <v>5624</v>
      </c>
      <c r="E80" s="2" t="s">
        <v>5625</v>
      </c>
      <c r="F80" s="2">
        <v>4</v>
      </c>
      <c r="G80" s="2">
        <v>4</v>
      </c>
      <c r="H80" s="2" t="s">
        <v>60</v>
      </c>
      <c r="I80" s="2" t="s">
        <v>7375</v>
      </c>
    </row>
    <row r="81" spans="1:9" ht="33.75" customHeight="1" x14ac:dyDescent="0.25">
      <c r="A81" s="3" t="s">
        <v>3230</v>
      </c>
      <c r="B81" s="3" t="s">
        <v>5629</v>
      </c>
      <c r="C81" s="3" t="s">
        <v>5630</v>
      </c>
      <c r="D81" s="3" t="s">
        <v>5631</v>
      </c>
      <c r="E81" s="3" t="s">
        <v>5632</v>
      </c>
      <c r="F81" s="3">
        <v>4</v>
      </c>
      <c r="G81" s="3">
        <v>4</v>
      </c>
      <c r="H81" s="3" t="s">
        <v>60</v>
      </c>
      <c r="I81" s="3" t="s">
        <v>7375</v>
      </c>
    </row>
    <row r="82" spans="1:9" ht="33.75" customHeight="1" x14ac:dyDescent="0.25">
      <c r="A82" s="2" t="s">
        <v>3019</v>
      </c>
      <c r="B82" s="2" t="s">
        <v>5637</v>
      </c>
      <c r="C82" s="2" t="s">
        <v>5638</v>
      </c>
      <c r="D82" s="2" t="s">
        <v>5639</v>
      </c>
      <c r="E82" s="2" t="s">
        <v>5640</v>
      </c>
      <c r="F82" s="2">
        <v>4</v>
      </c>
      <c r="G82" s="2">
        <v>4</v>
      </c>
      <c r="H82" s="2" t="s">
        <v>60</v>
      </c>
      <c r="I82" s="2" t="s">
        <v>7375</v>
      </c>
    </row>
    <row r="83" spans="1:9" ht="33.75" customHeight="1" x14ac:dyDescent="0.25">
      <c r="A83" s="3" t="s">
        <v>3291</v>
      </c>
      <c r="B83" s="3" t="s">
        <v>5644</v>
      </c>
      <c r="C83" s="3" t="s">
        <v>5645</v>
      </c>
      <c r="D83" s="3" t="s">
        <v>5646</v>
      </c>
      <c r="E83" s="3" t="s">
        <v>5647</v>
      </c>
      <c r="F83" s="3">
        <v>4</v>
      </c>
      <c r="G83" s="3">
        <v>4</v>
      </c>
      <c r="H83" s="3" t="s">
        <v>60</v>
      </c>
      <c r="I83" s="3" t="s">
        <v>7375</v>
      </c>
    </row>
    <row r="84" spans="1:9" ht="33.75" customHeight="1" x14ac:dyDescent="0.25">
      <c r="A84" s="2" t="s">
        <v>2357</v>
      </c>
      <c r="B84" s="2" t="s">
        <v>5651</v>
      </c>
      <c r="C84" s="2" t="s">
        <v>5652</v>
      </c>
      <c r="D84" s="2" t="s">
        <v>5653</v>
      </c>
      <c r="E84" s="2" t="s">
        <v>5654</v>
      </c>
      <c r="F84" s="2">
        <v>4</v>
      </c>
      <c r="G84" s="2">
        <v>4</v>
      </c>
      <c r="H84" s="2" t="s">
        <v>60</v>
      </c>
      <c r="I84" s="2" t="s">
        <v>7375</v>
      </c>
    </row>
    <row r="85" spans="1:9" ht="33.75" customHeight="1" x14ac:dyDescent="0.25">
      <c r="A85" s="3" t="s">
        <v>2779</v>
      </c>
      <c r="B85" s="3" t="s">
        <v>5658</v>
      </c>
      <c r="C85" s="3" t="s">
        <v>5659</v>
      </c>
      <c r="D85" s="3" t="s">
        <v>5660</v>
      </c>
      <c r="E85" s="3" t="s">
        <v>5661</v>
      </c>
      <c r="F85" s="3">
        <v>4</v>
      </c>
      <c r="G85" s="3">
        <v>4</v>
      </c>
      <c r="H85" s="3" t="s">
        <v>60</v>
      </c>
      <c r="I85" s="3" t="s">
        <v>7375</v>
      </c>
    </row>
    <row r="86" spans="1:9" ht="33.75" customHeight="1" x14ac:dyDescent="0.25">
      <c r="A86" s="2" t="s">
        <v>3733</v>
      </c>
      <c r="B86" s="2" t="s">
        <v>5665</v>
      </c>
      <c r="C86" s="2" t="s">
        <v>5666</v>
      </c>
      <c r="D86" s="2" t="s">
        <v>5667</v>
      </c>
      <c r="E86" s="2" t="s">
        <v>5668</v>
      </c>
      <c r="F86" s="2">
        <v>4</v>
      </c>
      <c r="G86" s="2">
        <v>4</v>
      </c>
      <c r="H86" s="2" t="s">
        <v>60</v>
      </c>
      <c r="I86" s="2" t="s">
        <v>7375</v>
      </c>
    </row>
    <row r="87" spans="1:9" ht="33.75" customHeight="1" x14ac:dyDescent="0.25">
      <c r="A87" s="3" t="s">
        <v>120</v>
      </c>
      <c r="B87" s="3" t="s">
        <v>5673</v>
      </c>
      <c r="C87" s="3" t="s">
        <v>5674</v>
      </c>
      <c r="D87" s="3" t="s">
        <v>5675</v>
      </c>
      <c r="E87" s="3" t="s">
        <v>5676</v>
      </c>
      <c r="F87" s="3">
        <v>4</v>
      </c>
      <c r="G87" s="3">
        <v>4</v>
      </c>
      <c r="H87" s="3" t="s">
        <v>60</v>
      </c>
      <c r="I87" s="3" t="s">
        <v>7375</v>
      </c>
    </row>
    <row r="88" spans="1:9" ht="33.75" customHeight="1" x14ac:dyDescent="0.25">
      <c r="A88" s="2" t="s">
        <v>3640</v>
      </c>
      <c r="B88" s="2" t="s">
        <v>5680</v>
      </c>
      <c r="C88" s="2" t="s">
        <v>5681</v>
      </c>
      <c r="D88" s="2" t="s">
        <v>5682</v>
      </c>
      <c r="E88" s="2" t="s">
        <v>5683</v>
      </c>
      <c r="F88" s="2">
        <v>4</v>
      </c>
      <c r="G88" s="2">
        <v>4</v>
      </c>
      <c r="H88" s="2" t="s">
        <v>60</v>
      </c>
      <c r="I88" s="2" t="s">
        <v>7375</v>
      </c>
    </row>
    <row r="89" spans="1:9" ht="33.75" customHeight="1" x14ac:dyDescent="0.25">
      <c r="A89" s="3" t="s">
        <v>3791</v>
      </c>
      <c r="B89" s="3" t="s">
        <v>5687</v>
      </c>
      <c r="C89" s="3" t="s">
        <v>5688</v>
      </c>
      <c r="D89" s="3" t="s">
        <v>5689</v>
      </c>
      <c r="E89" s="3" t="s">
        <v>5690</v>
      </c>
      <c r="F89" s="3">
        <v>4</v>
      </c>
      <c r="G89" s="3">
        <v>4</v>
      </c>
      <c r="H89" s="3" t="s">
        <v>60</v>
      </c>
      <c r="I89" s="3" t="s">
        <v>7375</v>
      </c>
    </row>
    <row r="90" spans="1:9" ht="33.75" customHeight="1" x14ac:dyDescent="0.25">
      <c r="A90" s="2" t="s">
        <v>324</v>
      </c>
      <c r="B90" s="2" t="s">
        <v>5695</v>
      </c>
      <c r="C90" s="2" t="s">
        <v>5696</v>
      </c>
      <c r="D90" s="2" t="s">
        <v>5697</v>
      </c>
      <c r="E90" s="2" t="s">
        <v>5698</v>
      </c>
      <c r="F90" s="2">
        <v>4</v>
      </c>
      <c r="G90" s="2">
        <v>4</v>
      </c>
      <c r="H90" s="2" t="s">
        <v>60</v>
      </c>
      <c r="I90" s="2" t="s">
        <v>7375</v>
      </c>
    </row>
    <row r="91" spans="1:9" ht="33.75" customHeight="1" x14ac:dyDescent="0.25">
      <c r="A91" s="3" t="s">
        <v>83</v>
      </c>
      <c r="B91" s="3" t="s">
        <v>5703</v>
      </c>
      <c r="C91" s="3" t="s">
        <v>5704</v>
      </c>
      <c r="D91" s="3" t="s">
        <v>5705</v>
      </c>
      <c r="E91" s="3" t="s">
        <v>5706</v>
      </c>
      <c r="F91" s="3">
        <v>4</v>
      </c>
      <c r="G91" s="3">
        <v>4</v>
      </c>
      <c r="H91" s="3" t="s">
        <v>60</v>
      </c>
      <c r="I91" s="3" t="s">
        <v>7375</v>
      </c>
    </row>
    <row r="92" spans="1:9" ht="33.75" customHeight="1" x14ac:dyDescent="0.25">
      <c r="A92" s="2" t="s">
        <v>665</v>
      </c>
      <c r="B92" s="2" t="s">
        <v>5711</v>
      </c>
      <c r="C92" s="2" t="s">
        <v>5712</v>
      </c>
      <c r="D92" s="2" t="s">
        <v>5713</v>
      </c>
      <c r="E92" s="2" t="s">
        <v>5714</v>
      </c>
      <c r="F92" s="2">
        <v>4</v>
      </c>
      <c r="G92" s="2">
        <v>4</v>
      </c>
      <c r="H92" s="2" t="s">
        <v>60</v>
      </c>
      <c r="I92" s="2" t="s">
        <v>7375</v>
      </c>
    </row>
    <row r="93" spans="1:9" ht="33.75" customHeight="1" x14ac:dyDescent="0.25">
      <c r="A93" s="3" t="s">
        <v>562</v>
      </c>
      <c r="B93" s="3" t="s">
        <v>5719</v>
      </c>
      <c r="C93" s="3" t="s">
        <v>5720</v>
      </c>
      <c r="D93" s="3" t="s">
        <v>5721</v>
      </c>
      <c r="E93" s="3" t="s">
        <v>5722</v>
      </c>
      <c r="F93" s="3">
        <v>4</v>
      </c>
      <c r="G93" s="3">
        <v>4</v>
      </c>
      <c r="H93" s="3" t="s">
        <v>60</v>
      </c>
      <c r="I93" s="3" t="s">
        <v>7375</v>
      </c>
    </row>
    <row r="94" spans="1:9" ht="33.75" customHeight="1" x14ac:dyDescent="0.25">
      <c r="A94" s="2" t="s">
        <v>2743</v>
      </c>
      <c r="B94" s="2" t="s">
        <v>5726</v>
      </c>
      <c r="C94" s="2" t="s">
        <v>5727</v>
      </c>
      <c r="D94" s="2" t="s">
        <v>5728</v>
      </c>
      <c r="E94" s="2" t="s">
        <v>5729</v>
      </c>
      <c r="F94" s="2">
        <v>4</v>
      </c>
      <c r="G94" s="2">
        <v>4</v>
      </c>
      <c r="H94" s="2" t="s">
        <v>60</v>
      </c>
      <c r="I94" s="2" t="s">
        <v>7375</v>
      </c>
    </row>
    <row r="95" spans="1:9" ht="33.75" customHeight="1" x14ac:dyDescent="0.25">
      <c r="A95" s="3" t="s">
        <v>1417</v>
      </c>
      <c r="B95" s="3" t="s">
        <v>5734</v>
      </c>
      <c r="C95" s="3" t="s">
        <v>5735</v>
      </c>
      <c r="D95" s="3" t="s">
        <v>5736</v>
      </c>
      <c r="E95" s="3" t="s">
        <v>5737</v>
      </c>
      <c r="F95" s="3">
        <v>4</v>
      </c>
      <c r="G95" s="3">
        <v>4</v>
      </c>
      <c r="H95" s="3" t="s">
        <v>60</v>
      </c>
      <c r="I95" s="3" t="s">
        <v>7375</v>
      </c>
    </row>
    <row r="96" spans="1:9" ht="33.75" customHeight="1" x14ac:dyDescent="0.25">
      <c r="A96" s="2" t="s">
        <v>3283</v>
      </c>
      <c r="B96" s="2" t="s">
        <v>5741</v>
      </c>
      <c r="C96" s="2" t="s">
        <v>5742</v>
      </c>
      <c r="D96" s="2" t="s">
        <v>5743</v>
      </c>
      <c r="E96" s="2" t="s">
        <v>5744</v>
      </c>
      <c r="F96" s="2">
        <v>4</v>
      </c>
      <c r="G96" s="2">
        <v>4</v>
      </c>
      <c r="H96" s="2" t="s">
        <v>60</v>
      </c>
      <c r="I96" s="2" t="s">
        <v>7375</v>
      </c>
    </row>
    <row r="97" spans="1:9" ht="33.75" customHeight="1" x14ac:dyDescent="0.25">
      <c r="A97" s="3" t="s">
        <v>490</v>
      </c>
      <c r="B97" s="3" t="s">
        <v>5748</v>
      </c>
      <c r="C97" s="3" t="s">
        <v>5749</v>
      </c>
      <c r="D97" s="3" t="s">
        <v>5750</v>
      </c>
      <c r="E97" s="3" t="s">
        <v>5751</v>
      </c>
      <c r="F97" s="3">
        <v>4</v>
      </c>
      <c r="G97" s="3">
        <v>4</v>
      </c>
      <c r="H97" s="3" t="s">
        <v>60</v>
      </c>
      <c r="I97" s="3" t="s">
        <v>7375</v>
      </c>
    </row>
    <row r="98" spans="1:9" ht="33.75" customHeight="1" x14ac:dyDescent="0.25">
      <c r="A98" s="2" t="s">
        <v>2391</v>
      </c>
      <c r="B98" s="2" t="s">
        <v>5756</v>
      </c>
      <c r="C98" s="2" t="s">
        <v>5757</v>
      </c>
      <c r="D98" s="2" t="s">
        <v>5758</v>
      </c>
      <c r="E98" s="2" t="s">
        <v>5759</v>
      </c>
      <c r="F98" s="2">
        <v>4</v>
      </c>
      <c r="G98" s="2">
        <v>4</v>
      </c>
      <c r="H98" s="2" t="s">
        <v>60</v>
      </c>
      <c r="I98" s="2" t="s">
        <v>7375</v>
      </c>
    </row>
    <row r="99" spans="1:9" ht="33.75" customHeight="1" x14ac:dyDescent="0.25">
      <c r="A99" s="3" t="s">
        <v>1773</v>
      </c>
      <c r="B99" s="3" t="s">
        <v>5763</v>
      </c>
      <c r="C99" s="3" t="s">
        <v>5764</v>
      </c>
      <c r="D99" s="3" t="s">
        <v>5765</v>
      </c>
      <c r="E99" s="3" t="s">
        <v>5766</v>
      </c>
      <c r="F99" s="3">
        <v>4</v>
      </c>
      <c r="G99" s="3">
        <v>4</v>
      </c>
      <c r="H99" s="3" t="s">
        <v>60</v>
      </c>
      <c r="I99" s="3" t="s">
        <v>7375</v>
      </c>
    </row>
    <row r="100" spans="1:9" ht="33.75" customHeight="1" x14ac:dyDescent="0.25">
      <c r="A100" s="2" t="s">
        <v>3929</v>
      </c>
      <c r="B100" s="2" t="s">
        <v>5770</v>
      </c>
      <c r="C100" s="2" t="s">
        <v>5771</v>
      </c>
      <c r="D100" s="2" t="s">
        <v>5772</v>
      </c>
      <c r="E100" s="2" t="s">
        <v>5773</v>
      </c>
      <c r="F100" s="2">
        <v>4</v>
      </c>
      <c r="G100" s="2">
        <v>4</v>
      </c>
      <c r="H100" s="2" t="s">
        <v>60</v>
      </c>
      <c r="I100" s="2" t="s">
        <v>7375</v>
      </c>
    </row>
    <row r="101" spans="1:9" ht="33.75" customHeight="1" x14ac:dyDescent="0.25">
      <c r="A101" s="3" t="s">
        <v>2153</v>
      </c>
      <c r="B101" s="3" t="s">
        <v>5778</v>
      </c>
      <c r="C101" s="3" t="s">
        <v>5779</v>
      </c>
      <c r="D101" s="3" t="s">
        <v>5780</v>
      </c>
      <c r="E101" s="3" t="s">
        <v>5781</v>
      </c>
      <c r="F101" s="3">
        <v>4</v>
      </c>
      <c r="G101" s="3">
        <v>4</v>
      </c>
      <c r="H101" s="3" t="s">
        <v>60</v>
      </c>
      <c r="I101" s="3" t="s">
        <v>7375</v>
      </c>
    </row>
    <row r="102" spans="1:9" ht="33.75" customHeight="1" x14ac:dyDescent="0.25">
      <c r="A102" s="2" t="s">
        <v>2526</v>
      </c>
      <c r="B102" s="2" t="s">
        <v>5786</v>
      </c>
      <c r="C102" s="2" t="s">
        <v>5787</v>
      </c>
      <c r="D102" s="2" t="s">
        <v>5788</v>
      </c>
      <c r="E102" s="2" t="s">
        <v>5789</v>
      </c>
      <c r="F102" s="2">
        <v>4</v>
      </c>
      <c r="G102" s="2">
        <v>4</v>
      </c>
      <c r="H102" s="2" t="s">
        <v>60</v>
      </c>
      <c r="I102" s="2" t="s">
        <v>7375</v>
      </c>
    </row>
    <row r="103" spans="1:9" ht="33.75" customHeight="1" x14ac:dyDescent="0.25">
      <c r="A103" s="3" t="s">
        <v>1781</v>
      </c>
      <c r="B103" s="3" t="s">
        <v>5792</v>
      </c>
      <c r="C103" s="3" t="s">
        <v>5793</v>
      </c>
      <c r="D103" s="3" t="s">
        <v>5794</v>
      </c>
      <c r="E103" s="3" t="s">
        <v>5795</v>
      </c>
      <c r="F103" s="3">
        <v>4</v>
      </c>
      <c r="G103" s="3">
        <v>4</v>
      </c>
      <c r="H103" s="3" t="s">
        <v>60</v>
      </c>
      <c r="I103" s="3" t="s">
        <v>7375</v>
      </c>
    </row>
    <row r="104" spans="1:9" ht="33.75" customHeight="1" x14ac:dyDescent="0.25">
      <c r="A104" s="2" t="s">
        <v>3547</v>
      </c>
      <c r="B104" s="2" t="s">
        <v>5800</v>
      </c>
      <c r="C104" s="2" t="s">
        <v>5801</v>
      </c>
      <c r="D104" s="2" t="s">
        <v>5802</v>
      </c>
      <c r="E104" s="2" t="s">
        <v>5803</v>
      </c>
      <c r="F104" s="2">
        <v>4</v>
      </c>
      <c r="G104" s="2">
        <v>4</v>
      </c>
      <c r="H104" s="2" t="s">
        <v>60</v>
      </c>
      <c r="I104" s="2" t="s">
        <v>7375</v>
      </c>
    </row>
    <row r="105" spans="1:9" ht="33.75" customHeight="1" x14ac:dyDescent="0.25">
      <c r="A105" s="3" t="s">
        <v>372</v>
      </c>
      <c r="B105" s="3" t="s">
        <v>5808</v>
      </c>
      <c r="C105" s="3" t="s">
        <v>5809</v>
      </c>
      <c r="D105" s="3" t="s">
        <v>5810</v>
      </c>
      <c r="E105" s="3" t="s">
        <v>5811</v>
      </c>
      <c r="F105" s="3">
        <v>4</v>
      </c>
      <c r="G105" s="3">
        <v>4</v>
      </c>
      <c r="H105" s="3" t="s">
        <v>60</v>
      </c>
      <c r="I105" s="3" t="s">
        <v>7375</v>
      </c>
    </row>
    <row r="106" spans="1:9" ht="33.75" customHeight="1" x14ac:dyDescent="0.25">
      <c r="A106" s="2" t="s">
        <v>277</v>
      </c>
      <c r="B106" s="2" t="s">
        <v>5816</v>
      </c>
      <c r="C106" s="2" t="s">
        <v>5817</v>
      </c>
      <c r="D106" s="2" t="s">
        <v>5818</v>
      </c>
      <c r="E106" s="2" t="s">
        <v>5819</v>
      </c>
      <c r="F106" s="2">
        <v>4</v>
      </c>
      <c r="G106" s="2">
        <v>4</v>
      </c>
      <c r="H106" s="2" t="s">
        <v>60</v>
      </c>
      <c r="I106" s="2" t="s">
        <v>7375</v>
      </c>
    </row>
    <row r="107" spans="1:9" ht="33.75" customHeight="1" x14ac:dyDescent="0.25">
      <c r="A107" s="3" t="s">
        <v>3356</v>
      </c>
      <c r="B107" s="3" t="s">
        <v>5823</v>
      </c>
      <c r="C107" s="3" t="s">
        <v>5824</v>
      </c>
      <c r="D107" s="3" t="s">
        <v>5825</v>
      </c>
      <c r="E107" s="3" t="s">
        <v>5826</v>
      </c>
      <c r="F107" s="3">
        <v>4</v>
      </c>
      <c r="G107" s="3">
        <v>4</v>
      </c>
      <c r="H107" s="3" t="s">
        <v>60</v>
      </c>
      <c r="I107" s="3" t="s">
        <v>7375</v>
      </c>
    </row>
    <row r="108" spans="1:9" ht="33.75" customHeight="1" x14ac:dyDescent="0.25">
      <c r="A108" s="2" t="s">
        <v>222</v>
      </c>
      <c r="B108" s="2" t="s">
        <v>5831</v>
      </c>
      <c r="C108" s="2" t="s">
        <v>5832</v>
      </c>
      <c r="D108" s="2" t="s">
        <v>5833</v>
      </c>
      <c r="E108" s="2" t="s">
        <v>5834</v>
      </c>
      <c r="F108" s="2">
        <v>4</v>
      </c>
      <c r="G108" s="2">
        <v>4</v>
      </c>
      <c r="H108" s="2" t="s">
        <v>60</v>
      </c>
      <c r="I108" s="2" t="s">
        <v>7375</v>
      </c>
    </row>
    <row r="109" spans="1:9" ht="33.75" customHeight="1" x14ac:dyDescent="0.25">
      <c r="A109" s="3" t="s">
        <v>1755</v>
      </c>
      <c r="B109" s="3" t="s">
        <v>5838</v>
      </c>
      <c r="C109" s="3" t="s">
        <v>5839</v>
      </c>
      <c r="D109" s="3" t="s">
        <v>5840</v>
      </c>
      <c r="E109" s="3" t="s">
        <v>5841</v>
      </c>
      <c r="F109" s="3">
        <v>4</v>
      </c>
      <c r="G109" s="3">
        <v>4</v>
      </c>
      <c r="H109" s="3" t="s">
        <v>60</v>
      </c>
      <c r="I109" s="3" t="s">
        <v>7375</v>
      </c>
    </row>
    <row r="110" spans="1:9" ht="33.75" customHeight="1" x14ac:dyDescent="0.25">
      <c r="A110" s="2" t="s">
        <v>3054</v>
      </c>
      <c r="B110" s="2" t="s">
        <v>5845</v>
      </c>
      <c r="C110" s="2" t="s">
        <v>5846</v>
      </c>
      <c r="D110" s="2" t="s">
        <v>5847</v>
      </c>
      <c r="E110" s="2" t="s">
        <v>5848</v>
      </c>
      <c r="F110" s="2">
        <v>4</v>
      </c>
      <c r="G110" s="2">
        <v>4</v>
      </c>
      <c r="H110" s="2" t="s">
        <v>60</v>
      </c>
      <c r="I110" s="2" t="s">
        <v>7375</v>
      </c>
    </row>
    <row r="111" spans="1:9" ht="33.75" customHeight="1" x14ac:dyDescent="0.25">
      <c r="A111" s="3" t="s">
        <v>4155</v>
      </c>
      <c r="B111" s="3" t="s">
        <v>5851</v>
      </c>
      <c r="C111" s="3" t="s">
        <v>5852</v>
      </c>
      <c r="D111" s="3" t="s">
        <v>5853</v>
      </c>
      <c r="E111" s="3" t="s">
        <v>5854</v>
      </c>
      <c r="F111" s="3">
        <v>4</v>
      </c>
      <c r="G111" s="3">
        <v>4</v>
      </c>
      <c r="H111" s="3" t="s">
        <v>60</v>
      </c>
      <c r="I111" s="3" t="s">
        <v>7375</v>
      </c>
    </row>
    <row r="112" spans="1:9" ht="33.75" customHeight="1" x14ac:dyDescent="0.25">
      <c r="A112" s="2" t="s">
        <v>1936</v>
      </c>
      <c r="B112" s="2" t="s">
        <v>5856</v>
      </c>
      <c r="C112" s="2" t="s">
        <v>5857</v>
      </c>
      <c r="D112" s="2" t="s">
        <v>5858</v>
      </c>
      <c r="E112" s="2" t="s">
        <v>5859</v>
      </c>
      <c r="F112" s="2">
        <v>4</v>
      </c>
      <c r="G112" s="2">
        <v>4</v>
      </c>
      <c r="H112" s="2" t="s">
        <v>60</v>
      </c>
      <c r="I112" s="2" t="s">
        <v>7375</v>
      </c>
    </row>
    <row r="113" spans="1:9" ht="33.75" customHeight="1" x14ac:dyDescent="0.25">
      <c r="A113" s="3" t="s">
        <v>1995</v>
      </c>
      <c r="B113" s="3" t="s">
        <v>5862</v>
      </c>
      <c r="C113" s="3" t="s">
        <v>5863</v>
      </c>
      <c r="D113" s="3" t="s">
        <v>5864</v>
      </c>
      <c r="E113" s="3" t="s">
        <v>5865</v>
      </c>
      <c r="F113" s="3">
        <v>4</v>
      </c>
      <c r="G113" s="3">
        <v>4</v>
      </c>
      <c r="H113" s="3" t="s">
        <v>60</v>
      </c>
      <c r="I113" s="3" t="s">
        <v>7375</v>
      </c>
    </row>
    <row r="114" spans="1:9" ht="33.75" customHeight="1" x14ac:dyDescent="0.25">
      <c r="A114" s="2" t="s">
        <v>1870</v>
      </c>
      <c r="B114" s="2" t="s">
        <v>5868</v>
      </c>
      <c r="C114" s="2" t="s">
        <v>5869</v>
      </c>
      <c r="D114" s="2" t="s">
        <v>5870</v>
      </c>
      <c r="E114" s="2" t="s">
        <v>5871</v>
      </c>
      <c r="F114" s="2">
        <v>4</v>
      </c>
      <c r="G114" s="2">
        <v>4</v>
      </c>
      <c r="H114" s="2" t="s">
        <v>60</v>
      </c>
      <c r="I114" s="2" t="s">
        <v>7375</v>
      </c>
    </row>
    <row r="115" spans="1:9" ht="33.75" customHeight="1" x14ac:dyDescent="0.25">
      <c r="A115" s="3" t="s">
        <v>1971</v>
      </c>
      <c r="B115" s="3" t="s">
        <v>5874</v>
      </c>
      <c r="C115" s="3" t="s">
        <v>5875</v>
      </c>
      <c r="D115" s="3" t="s">
        <v>5876</v>
      </c>
      <c r="E115" s="3" t="s">
        <v>5877</v>
      </c>
      <c r="F115" s="3">
        <v>4</v>
      </c>
      <c r="G115" s="3">
        <v>4</v>
      </c>
      <c r="H115" s="3" t="s">
        <v>60</v>
      </c>
      <c r="I115" s="3" t="s">
        <v>7375</v>
      </c>
    </row>
    <row r="116" spans="1:9" ht="33.75" customHeight="1" x14ac:dyDescent="0.25">
      <c r="A116" s="2" t="s">
        <v>574</v>
      </c>
      <c r="B116" s="2" t="s">
        <v>5880</v>
      </c>
      <c r="C116" s="2" t="s">
        <v>5881</v>
      </c>
      <c r="D116" s="2" t="s">
        <v>5882</v>
      </c>
      <c r="E116" s="2" t="s">
        <v>5883</v>
      </c>
      <c r="F116" s="2">
        <v>4</v>
      </c>
      <c r="G116" s="2">
        <v>4</v>
      </c>
      <c r="H116" s="2" t="s">
        <v>60</v>
      </c>
      <c r="I116" s="2" t="s">
        <v>7375</v>
      </c>
    </row>
    <row r="117" spans="1:9" ht="33.75" customHeight="1" x14ac:dyDescent="0.25">
      <c r="A117" s="3" t="s">
        <v>1940</v>
      </c>
      <c r="B117" s="3" t="s">
        <v>5886</v>
      </c>
      <c r="C117" s="3" t="s">
        <v>5887</v>
      </c>
      <c r="D117" s="3" t="s">
        <v>5888</v>
      </c>
      <c r="E117" s="3" t="s">
        <v>5889</v>
      </c>
      <c r="F117" s="3">
        <v>4</v>
      </c>
      <c r="G117" s="3">
        <v>4</v>
      </c>
      <c r="H117" s="3" t="s">
        <v>60</v>
      </c>
      <c r="I117" s="3" t="s">
        <v>7375</v>
      </c>
    </row>
    <row r="118" spans="1:9" ht="33.75" customHeight="1" x14ac:dyDescent="0.25">
      <c r="A118" s="2" t="s">
        <v>878</v>
      </c>
      <c r="B118" s="2" t="s">
        <v>5894</v>
      </c>
      <c r="C118" s="2" t="s">
        <v>5895</v>
      </c>
      <c r="D118" s="2" t="s">
        <v>5896</v>
      </c>
      <c r="E118" s="2" t="s">
        <v>5897</v>
      </c>
      <c r="F118" s="2">
        <v>4</v>
      </c>
      <c r="G118" s="2">
        <v>4</v>
      </c>
      <c r="H118" s="2" t="s">
        <v>60</v>
      </c>
      <c r="I118" s="2" t="s">
        <v>7375</v>
      </c>
    </row>
    <row r="119" spans="1:9" ht="33.75" customHeight="1" x14ac:dyDescent="0.25">
      <c r="A119" s="3" t="s">
        <v>4043</v>
      </c>
      <c r="B119" s="3" t="s">
        <v>5901</v>
      </c>
      <c r="C119" s="3" t="s">
        <v>5902</v>
      </c>
      <c r="D119" s="3" t="s">
        <v>5903</v>
      </c>
      <c r="E119" s="3" t="s">
        <v>5904</v>
      </c>
      <c r="F119" s="3">
        <v>4</v>
      </c>
      <c r="G119" s="3">
        <v>4</v>
      </c>
      <c r="H119" s="3" t="s">
        <v>60</v>
      </c>
      <c r="I119" s="3" t="s">
        <v>7375</v>
      </c>
    </row>
    <row r="120" spans="1:9" ht="33.75" customHeight="1" x14ac:dyDescent="0.25">
      <c r="A120" s="2" t="s">
        <v>1719</v>
      </c>
      <c r="B120" s="2" t="s">
        <v>5909</v>
      </c>
      <c r="C120" s="2" t="s">
        <v>5910</v>
      </c>
      <c r="D120" s="2" t="s">
        <v>5911</v>
      </c>
      <c r="E120" s="2" t="s">
        <v>5912</v>
      </c>
      <c r="F120" s="2">
        <v>4</v>
      </c>
      <c r="G120" s="2">
        <v>4</v>
      </c>
      <c r="H120" s="2" t="s">
        <v>60</v>
      </c>
      <c r="I120" s="2" t="s">
        <v>7375</v>
      </c>
    </row>
    <row r="121" spans="1:9" ht="33.75" customHeight="1" x14ac:dyDescent="0.25">
      <c r="A121" s="3" t="s">
        <v>1878</v>
      </c>
      <c r="B121" s="3" t="s">
        <v>5917</v>
      </c>
      <c r="C121" s="3" t="s">
        <v>5918</v>
      </c>
      <c r="D121" s="3" t="s">
        <v>5919</v>
      </c>
      <c r="E121" s="3" t="s">
        <v>5920</v>
      </c>
      <c r="F121" s="3">
        <v>4</v>
      </c>
      <c r="G121" s="3">
        <v>4</v>
      </c>
      <c r="H121" s="3" t="s">
        <v>60</v>
      </c>
      <c r="I121" s="3" t="s">
        <v>7375</v>
      </c>
    </row>
    <row r="122" spans="1:9" ht="33.75" customHeight="1" x14ac:dyDescent="0.25">
      <c r="A122" s="2" t="s">
        <v>1096</v>
      </c>
      <c r="B122" s="2" t="s">
        <v>5925</v>
      </c>
      <c r="C122" s="2" t="s">
        <v>5926</v>
      </c>
      <c r="D122" s="2" t="s">
        <v>5927</v>
      </c>
      <c r="E122" s="2" t="s">
        <v>5928</v>
      </c>
      <c r="F122" s="2">
        <v>4</v>
      </c>
      <c r="G122" s="2">
        <v>4</v>
      </c>
      <c r="H122" s="2" t="s">
        <v>60</v>
      </c>
      <c r="I122" s="2" t="s">
        <v>7375</v>
      </c>
    </row>
    <row r="123" spans="1:9" ht="33.75" customHeight="1" x14ac:dyDescent="0.25">
      <c r="A123" s="3" t="s">
        <v>2628</v>
      </c>
      <c r="B123" s="3" t="s">
        <v>5932</v>
      </c>
      <c r="C123" s="3" t="s">
        <v>5933</v>
      </c>
      <c r="D123" s="3" t="s">
        <v>5934</v>
      </c>
      <c r="E123" s="3" t="s">
        <v>5935</v>
      </c>
      <c r="F123" s="3">
        <v>4</v>
      </c>
      <c r="G123" s="3">
        <v>4</v>
      </c>
      <c r="H123" s="3" t="s">
        <v>60</v>
      </c>
      <c r="I123" s="3" t="s">
        <v>7375</v>
      </c>
    </row>
    <row r="124" spans="1:9" ht="33.75" customHeight="1" x14ac:dyDescent="0.25">
      <c r="A124" s="2" t="s">
        <v>2346</v>
      </c>
      <c r="B124" s="2" t="s">
        <v>5939</v>
      </c>
      <c r="C124" s="2" t="s">
        <v>5940</v>
      </c>
      <c r="D124" s="2" t="s">
        <v>5941</v>
      </c>
      <c r="E124" s="2" t="s">
        <v>5942</v>
      </c>
      <c r="F124" s="2">
        <v>4</v>
      </c>
      <c r="G124" s="2">
        <v>4</v>
      </c>
      <c r="H124" s="2" t="s">
        <v>60</v>
      </c>
      <c r="I124" s="2" t="s">
        <v>7375</v>
      </c>
    </row>
    <row r="125" spans="1:9" ht="33.75" customHeight="1" x14ac:dyDescent="0.25">
      <c r="A125" s="3" t="s">
        <v>2960</v>
      </c>
      <c r="B125" s="3" t="s">
        <v>5946</v>
      </c>
      <c r="C125" s="3" t="s">
        <v>5947</v>
      </c>
      <c r="D125" s="3" t="s">
        <v>5948</v>
      </c>
      <c r="E125" s="3" t="s">
        <v>5949</v>
      </c>
      <c r="F125" s="3">
        <v>4</v>
      </c>
      <c r="G125" s="3">
        <v>4</v>
      </c>
      <c r="H125" s="3" t="s">
        <v>60</v>
      </c>
      <c r="I125" s="3" t="s">
        <v>7375</v>
      </c>
    </row>
    <row r="126" spans="1:9" ht="33.75" customHeight="1" x14ac:dyDescent="0.25">
      <c r="A126" s="2" t="s">
        <v>1084</v>
      </c>
      <c r="B126" s="2" t="s">
        <v>5954</v>
      </c>
      <c r="C126" s="2" t="s">
        <v>5955</v>
      </c>
      <c r="D126" s="2" t="s">
        <v>5956</v>
      </c>
      <c r="E126" s="2" t="s">
        <v>5957</v>
      </c>
      <c r="F126" s="2">
        <v>4</v>
      </c>
      <c r="G126" s="2">
        <v>4</v>
      </c>
      <c r="H126" s="2" t="s">
        <v>60</v>
      </c>
      <c r="I126" s="2" t="s">
        <v>7375</v>
      </c>
    </row>
    <row r="127" spans="1:9" ht="33.75" customHeight="1" x14ac:dyDescent="0.25">
      <c r="A127" s="3" t="s">
        <v>2775</v>
      </c>
      <c r="B127" s="3" t="s">
        <v>5961</v>
      </c>
      <c r="C127" s="3" t="s">
        <v>5962</v>
      </c>
      <c r="D127" s="3" t="s">
        <v>5963</v>
      </c>
      <c r="E127" s="3" t="s">
        <v>5964</v>
      </c>
      <c r="F127" s="3">
        <v>4</v>
      </c>
      <c r="G127" s="3">
        <v>4</v>
      </c>
      <c r="H127" s="3" t="s">
        <v>60</v>
      </c>
      <c r="I127" s="3" t="s">
        <v>7375</v>
      </c>
    </row>
    <row r="128" spans="1:9" ht="33.75" customHeight="1" x14ac:dyDescent="0.25">
      <c r="A128" s="2" t="s">
        <v>1062</v>
      </c>
      <c r="B128" s="2" t="s">
        <v>5969</v>
      </c>
      <c r="C128" s="2" t="s">
        <v>5970</v>
      </c>
      <c r="D128" s="2" t="s">
        <v>5971</v>
      </c>
      <c r="E128" s="2" t="s">
        <v>5972</v>
      </c>
      <c r="F128" s="2">
        <v>4</v>
      </c>
      <c r="G128" s="2">
        <v>4</v>
      </c>
      <c r="H128" s="2" t="s">
        <v>60</v>
      </c>
      <c r="I128" s="2" t="s">
        <v>7375</v>
      </c>
    </row>
    <row r="129" spans="1:9" ht="33.75" customHeight="1" x14ac:dyDescent="0.25">
      <c r="A129" s="3" t="s">
        <v>3327</v>
      </c>
      <c r="B129" s="3" t="s">
        <v>5976</v>
      </c>
      <c r="C129" s="3" t="s">
        <v>5977</v>
      </c>
      <c r="D129" s="3" t="s">
        <v>5978</v>
      </c>
      <c r="E129" s="3" t="s">
        <v>5979</v>
      </c>
      <c r="F129" s="3">
        <v>4</v>
      </c>
      <c r="G129" s="3">
        <v>4</v>
      </c>
      <c r="H129" s="3" t="s">
        <v>60</v>
      </c>
      <c r="I129" s="3" t="s">
        <v>7375</v>
      </c>
    </row>
    <row r="130" spans="1:9" ht="33.75" customHeight="1" x14ac:dyDescent="0.25">
      <c r="A130" s="2" t="s">
        <v>1805</v>
      </c>
      <c r="B130" s="2" t="s">
        <v>5983</v>
      </c>
      <c r="C130" s="2" t="s">
        <v>5984</v>
      </c>
      <c r="D130" s="2" t="s">
        <v>5985</v>
      </c>
      <c r="E130" s="2" t="s">
        <v>5986</v>
      </c>
      <c r="F130" s="2">
        <v>4</v>
      </c>
      <c r="G130" s="2">
        <v>4</v>
      </c>
      <c r="H130" s="2" t="s">
        <v>60</v>
      </c>
      <c r="I130" s="2" t="s">
        <v>7375</v>
      </c>
    </row>
    <row r="131" spans="1:9" ht="33.75" customHeight="1" x14ac:dyDescent="0.25">
      <c r="A131" s="3" t="s">
        <v>632</v>
      </c>
      <c r="B131" s="3" t="s">
        <v>5990</v>
      </c>
      <c r="C131" s="3" t="s">
        <v>5991</v>
      </c>
      <c r="D131" s="3" t="s">
        <v>5992</v>
      </c>
      <c r="E131" s="3" t="s">
        <v>5993</v>
      </c>
      <c r="F131" s="3">
        <v>4</v>
      </c>
      <c r="G131" s="3">
        <v>4</v>
      </c>
      <c r="H131" s="3" t="s">
        <v>60</v>
      </c>
      <c r="I131" s="3" t="s">
        <v>7375</v>
      </c>
    </row>
    <row r="132" spans="1:9" ht="33.75" customHeight="1" x14ac:dyDescent="0.25">
      <c r="A132" s="2" t="s">
        <v>1874</v>
      </c>
      <c r="B132" s="2" t="s">
        <v>5995</v>
      </c>
      <c r="C132" s="2" t="s">
        <v>5996</v>
      </c>
      <c r="D132" s="2" t="s">
        <v>5997</v>
      </c>
      <c r="E132" s="2" t="s">
        <v>5998</v>
      </c>
      <c r="F132" s="2">
        <v>4</v>
      </c>
      <c r="G132" s="2">
        <v>4</v>
      </c>
      <c r="H132" s="2" t="s">
        <v>60</v>
      </c>
      <c r="I132" s="2" t="s">
        <v>7375</v>
      </c>
    </row>
    <row r="133" spans="1:9" ht="33.75" customHeight="1" x14ac:dyDescent="0.25">
      <c r="A133" s="3" t="s">
        <v>2572</v>
      </c>
      <c r="B133" s="3" t="s">
        <v>6003</v>
      </c>
      <c r="C133" s="3" t="s">
        <v>6004</v>
      </c>
      <c r="D133" s="3" t="s">
        <v>6005</v>
      </c>
      <c r="E133" s="3" t="s">
        <v>6006</v>
      </c>
      <c r="F133" s="3">
        <v>4</v>
      </c>
      <c r="G133" s="3">
        <v>4</v>
      </c>
      <c r="H133" s="3" t="s">
        <v>60</v>
      </c>
      <c r="I133" s="3" t="s">
        <v>7375</v>
      </c>
    </row>
    <row r="134" spans="1:9" ht="33.75" customHeight="1" x14ac:dyDescent="0.25">
      <c r="A134" s="2" t="s">
        <v>3270</v>
      </c>
      <c r="B134" s="2" t="s">
        <v>6010</v>
      </c>
      <c r="C134" s="2" t="s">
        <v>6011</v>
      </c>
      <c r="D134" s="2" t="s">
        <v>6012</v>
      </c>
      <c r="E134" s="2" t="s">
        <v>6013</v>
      </c>
      <c r="F134" s="2">
        <v>4</v>
      </c>
      <c r="G134" s="2">
        <v>4</v>
      </c>
      <c r="H134" s="2" t="s">
        <v>60</v>
      </c>
      <c r="I134" s="2" t="s">
        <v>7375</v>
      </c>
    </row>
    <row r="135" spans="1:9" ht="33.75" customHeight="1" x14ac:dyDescent="0.25">
      <c r="A135" s="3" t="s">
        <v>2353</v>
      </c>
      <c r="B135" s="3" t="s">
        <v>6017</v>
      </c>
      <c r="C135" s="3" t="s">
        <v>6018</v>
      </c>
      <c r="D135" s="3" t="s">
        <v>6019</v>
      </c>
      <c r="E135" s="3" t="s">
        <v>6020</v>
      </c>
      <c r="F135" s="3">
        <v>4</v>
      </c>
      <c r="G135" s="3">
        <v>4</v>
      </c>
      <c r="H135" s="3" t="s">
        <v>60</v>
      </c>
      <c r="I135" s="3" t="s">
        <v>7375</v>
      </c>
    </row>
    <row r="136" spans="1:9" ht="33.75" customHeight="1" x14ac:dyDescent="0.25">
      <c r="A136" s="2" t="s">
        <v>2771</v>
      </c>
      <c r="B136" s="2" t="s">
        <v>6024</v>
      </c>
      <c r="C136" s="2" t="s">
        <v>6025</v>
      </c>
      <c r="D136" s="2" t="s">
        <v>6026</v>
      </c>
      <c r="E136" s="2" t="s">
        <v>6027</v>
      </c>
      <c r="F136" s="2">
        <v>4</v>
      </c>
      <c r="G136" s="2">
        <v>4</v>
      </c>
      <c r="H136" s="2" t="s">
        <v>60</v>
      </c>
      <c r="I136" s="2" t="s">
        <v>7375</v>
      </c>
    </row>
    <row r="137" spans="1:9" ht="33.75" customHeight="1" x14ac:dyDescent="0.25">
      <c r="A137" s="3" t="s">
        <v>2245</v>
      </c>
      <c r="B137" s="3" t="s">
        <v>6031</v>
      </c>
      <c r="C137" s="3" t="s">
        <v>6032</v>
      </c>
      <c r="D137" s="3" t="s">
        <v>6033</v>
      </c>
      <c r="E137" s="3" t="s">
        <v>6034</v>
      </c>
      <c r="F137" s="3">
        <v>4</v>
      </c>
      <c r="G137" s="3">
        <v>4</v>
      </c>
      <c r="H137" s="3" t="s">
        <v>60</v>
      </c>
      <c r="I137" s="3" t="s">
        <v>7375</v>
      </c>
    </row>
    <row r="138" spans="1:9" ht="33.75" customHeight="1" x14ac:dyDescent="0.25">
      <c r="A138" s="2" t="s">
        <v>3124</v>
      </c>
      <c r="B138" s="2" t="s">
        <v>6039</v>
      </c>
      <c r="C138" s="2" t="s">
        <v>6040</v>
      </c>
      <c r="D138" s="2" t="s">
        <v>6041</v>
      </c>
      <c r="E138" s="2" t="s">
        <v>6042</v>
      </c>
      <c r="F138" s="2">
        <v>4</v>
      </c>
      <c r="G138" s="2">
        <v>4</v>
      </c>
      <c r="H138" s="2" t="s">
        <v>60</v>
      </c>
      <c r="I138" s="2" t="s">
        <v>7375</v>
      </c>
    </row>
    <row r="139" spans="1:9" ht="33.75" customHeight="1" x14ac:dyDescent="0.25">
      <c r="A139" s="3" t="s">
        <v>990</v>
      </c>
      <c r="B139" s="3" t="s">
        <v>6047</v>
      </c>
      <c r="C139" s="3" t="s">
        <v>6048</v>
      </c>
      <c r="D139" s="3" t="s">
        <v>6049</v>
      </c>
      <c r="E139" s="3" t="s">
        <v>6050</v>
      </c>
      <c r="F139" s="3">
        <v>4</v>
      </c>
      <c r="G139" s="3">
        <v>4</v>
      </c>
      <c r="H139" s="3" t="s">
        <v>60</v>
      </c>
      <c r="I139" s="3" t="s">
        <v>7375</v>
      </c>
    </row>
    <row r="140" spans="1:9" ht="33.75" customHeight="1" x14ac:dyDescent="0.25">
      <c r="A140" s="2" t="s">
        <v>386</v>
      </c>
      <c r="B140" s="2" t="s">
        <v>6055</v>
      </c>
      <c r="C140" s="2" t="s">
        <v>6056</v>
      </c>
      <c r="D140" s="2" t="s">
        <v>6057</v>
      </c>
      <c r="E140" s="2" t="s">
        <v>6058</v>
      </c>
      <c r="F140" s="2">
        <v>4</v>
      </c>
      <c r="G140" s="2">
        <v>4</v>
      </c>
      <c r="H140" s="2" t="s">
        <v>60</v>
      </c>
      <c r="I140" s="2" t="s">
        <v>7375</v>
      </c>
    </row>
    <row r="141" spans="1:9" ht="33.75" customHeight="1" x14ac:dyDescent="0.25">
      <c r="A141" s="3" t="s">
        <v>906</v>
      </c>
      <c r="B141" s="3" t="s">
        <v>6063</v>
      </c>
      <c r="C141" s="3" t="s">
        <v>6064</v>
      </c>
      <c r="D141" s="3" t="s">
        <v>6065</v>
      </c>
      <c r="E141" s="3" t="s">
        <v>6066</v>
      </c>
      <c r="F141" s="3">
        <v>4</v>
      </c>
      <c r="G141" s="3">
        <v>4</v>
      </c>
      <c r="H141" s="3" t="s">
        <v>60</v>
      </c>
      <c r="I141" s="3" t="s">
        <v>7375</v>
      </c>
    </row>
    <row r="142" spans="1:9" ht="33.75" customHeight="1" x14ac:dyDescent="0.25">
      <c r="A142" s="2" t="s">
        <v>650</v>
      </c>
      <c r="B142" s="2" t="s">
        <v>6071</v>
      </c>
      <c r="C142" s="2" t="s">
        <v>6072</v>
      </c>
      <c r="D142" s="2" t="s">
        <v>6073</v>
      </c>
      <c r="E142" s="2" t="s">
        <v>6074</v>
      </c>
      <c r="F142" s="2">
        <v>4</v>
      </c>
      <c r="G142" s="2">
        <v>4</v>
      </c>
      <c r="H142" s="2" t="s">
        <v>60</v>
      </c>
      <c r="I142" s="2" t="s">
        <v>7375</v>
      </c>
    </row>
    <row r="143" spans="1:9" ht="33.75" customHeight="1" x14ac:dyDescent="0.25">
      <c r="A143" s="3" t="s">
        <v>1402</v>
      </c>
      <c r="B143" s="3" t="s">
        <v>6079</v>
      </c>
      <c r="C143" s="3" t="s">
        <v>6080</v>
      </c>
      <c r="D143" s="3" t="s">
        <v>6081</v>
      </c>
      <c r="E143" s="3" t="s">
        <v>6082</v>
      </c>
      <c r="F143" s="3">
        <v>4</v>
      </c>
      <c r="G143" s="3">
        <v>4</v>
      </c>
      <c r="H143" s="3" t="s">
        <v>60</v>
      </c>
      <c r="I143" s="3" t="s">
        <v>7375</v>
      </c>
    </row>
    <row r="144" spans="1:9" ht="33.75" customHeight="1" x14ac:dyDescent="0.25">
      <c r="A144" s="2" t="s">
        <v>2755</v>
      </c>
      <c r="B144" s="2" t="s">
        <v>6086</v>
      </c>
      <c r="C144" s="2" t="s">
        <v>6087</v>
      </c>
      <c r="D144" s="2" t="s">
        <v>6088</v>
      </c>
      <c r="E144" s="2" t="s">
        <v>6089</v>
      </c>
      <c r="F144" s="2">
        <v>4</v>
      </c>
      <c r="G144" s="2">
        <v>4</v>
      </c>
      <c r="H144" s="2" t="s">
        <v>60</v>
      </c>
      <c r="I144" s="2" t="s">
        <v>7375</v>
      </c>
    </row>
    <row r="145" spans="1:9" ht="33.75" customHeight="1" x14ac:dyDescent="0.25">
      <c r="A145" s="3" t="s">
        <v>1498</v>
      </c>
      <c r="B145" s="3" t="s">
        <v>6093</v>
      </c>
      <c r="C145" s="3" t="s">
        <v>6094</v>
      </c>
      <c r="D145" s="3" t="s">
        <v>6095</v>
      </c>
      <c r="E145" s="3" t="s">
        <v>6096</v>
      </c>
      <c r="F145" s="3">
        <v>4</v>
      </c>
      <c r="G145" s="3">
        <v>4</v>
      </c>
      <c r="H145" s="3" t="s">
        <v>60</v>
      </c>
      <c r="I145" s="3" t="s">
        <v>7375</v>
      </c>
    </row>
    <row r="146" spans="1:9" ht="33.75" customHeight="1" x14ac:dyDescent="0.25">
      <c r="A146" s="2" t="s">
        <v>1564</v>
      </c>
      <c r="B146" s="2" t="s">
        <v>6100</v>
      </c>
      <c r="C146" s="2" t="s">
        <v>6101</v>
      </c>
      <c r="D146" s="2" t="s">
        <v>6102</v>
      </c>
      <c r="E146" s="2" t="s">
        <v>6103</v>
      </c>
      <c r="F146" s="2">
        <v>4</v>
      </c>
      <c r="G146" s="2">
        <v>4</v>
      </c>
      <c r="H146" s="2" t="s">
        <v>60</v>
      </c>
      <c r="I146" s="2" t="s">
        <v>7375</v>
      </c>
    </row>
    <row r="147" spans="1:9" ht="33.75" customHeight="1" x14ac:dyDescent="0.25">
      <c r="A147" s="3" t="s">
        <v>2700</v>
      </c>
      <c r="B147" s="3" t="s">
        <v>6106</v>
      </c>
      <c r="C147" s="3" t="s">
        <v>6107</v>
      </c>
      <c r="D147" s="3" t="s">
        <v>6108</v>
      </c>
      <c r="E147" s="3" t="s">
        <v>6109</v>
      </c>
      <c r="F147" s="3">
        <v>4</v>
      </c>
      <c r="G147" s="3">
        <v>4</v>
      </c>
      <c r="H147" s="3" t="s">
        <v>60</v>
      </c>
      <c r="I147" s="3" t="s">
        <v>7375</v>
      </c>
    </row>
    <row r="148" spans="1:9" ht="33.75" customHeight="1" x14ac:dyDescent="0.25">
      <c r="A148" s="2" t="s">
        <v>378</v>
      </c>
      <c r="B148" s="2" t="s">
        <v>6114</v>
      </c>
      <c r="C148" s="2" t="s">
        <v>6115</v>
      </c>
      <c r="D148" s="2" t="s">
        <v>6116</v>
      </c>
      <c r="E148" s="2" t="s">
        <v>6117</v>
      </c>
      <c r="F148" s="2">
        <v>4</v>
      </c>
      <c r="G148" s="2">
        <v>4</v>
      </c>
      <c r="H148" s="2" t="s">
        <v>60</v>
      </c>
      <c r="I148" s="2" t="s">
        <v>7375</v>
      </c>
    </row>
    <row r="149" spans="1:9" ht="33.75" customHeight="1" x14ac:dyDescent="0.25">
      <c r="A149" s="3" t="s">
        <v>265</v>
      </c>
      <c r="B149" s="3" t="s">
        <v>6122</v>
      </c>
      <c r="C149" s="3" t="s">
        <v>6123</v>
      </c>
      <c r="D149" s="3" t="s">
        <v>6124</v>
      </c>
      <c r="E149" s="3" t="s">
        <v>6125</v>
      </c>
      <c r="F149" s="3">
        <v>4</v>
      </c>
      <c r="G149" s="3">
        <v>4</v>
      </c>
      <c r="H149" s="3" t="s">
        <v>60</v>
      </c>
      <c r="I149" s="3" t="s">
        <v>7375</v>
      </c>
    </row>
    <row r="150" spans="1:9" ht="33.75" customHeight="1" x14ac:dyDescent="0.25">
      <c r="A150" s="2" t="s">
        <v>2294</v>
      </c>
      <c r="B150" s="2" t="s">
        <v>6128</v>
      </c>
      <c r="C150" s="2" t="s">
        <v>6129</v>
      </c>
      <c r="D150" s="2" t="s">
        <v>6130</v>
      </c>
      <c r="E150" s="2" t="s">
        <v>6131</v>
      </c>
      <c r="F150" s="2">
        <v>4</v>
      </c>
      <c r="G150" s="2">
        <v>4</v>
      </c>
      <c r="H150" s="2" t="s">
        <v>60</v>
      </c>
      <c r="I150" s="2" t="s">
        <v>7375</v>
      </c>
    </row>
    <row r="151" spans="1:9" ht="33.75" customHeight="1" x14ac:dyDescent="0.25">
      <c r="A151" s="3" t="s">
        <v>4426</v>
      </c>
      <c r="B151" s="3" t="s">
        <v>6133</v>
      </c>
      <c r="C151" s="3" t="s">
        <v>6134</v>
      </c>
      <c r="D151" s="3" t="s">
        <v>6135</v>
      </c>
      <c r="E151" s="3" t="s">
        <v>6136</v>
      </c>
      <c r="F151" s="3">
        <v>4</v>
      </c>
      <c r="G151" s="3">
        <v>4</v>
      </c>
      <c r="H151" s="3" t="s">
        <v>60</v>
      </c>
      <c r="I151" s="3" t="s">
        <v>7375</v>
      </c>
    </row>
    <row r="152" spans="1:9" ht="33.75" customHeight="1" x14ac:dyDescent="0.25">
      <c r="A152" s="2" t="s">
        <v>2147</v>
      </c>
      <c r="B152" s="2" t="s">
        <v>6141</v>
      </c>
      <c r="C152" s="2" t="s">
        <v>6142</v>
      </c>
      <c r="D152" s="2" t="s">
        <v>6143</v>
      </c>
      <c r="E152" s="2" t="s">
        <v>6144</v>
      </c>
      <c r="F152" s="2">
        <v>4</v>
      </c>
      <c r="G152" s="2">
        <v>4</v>
      </c>
      <c r="H152" s="2" t="s">
        <v>60</v>
      </c>
      <c r="I152" s="2" t="s">
        <v>7375</v>
      </c>
    </row>
    <row r="153" spans="1:9" ht="33.75" customHeight="1" x14ac:dyDescent="0.25">
      <c r="A153" s="3" t="s">
        <v>3626</v>
      </c>
      <c r="B153" s="3" t="s">
        <v>6149</v>
      </c>
      <c r="C153" s="3" t="s">
        <v>6150</v>
      </c>
      <c r="D153" s="3" t="s">
        <v>6151</v>
      </c>
      <c r="E153" s="3" t="s">
        <v>6152</v>
      </c>
      <c r="F153" s="3">
        <v>4</v>
      </c>
      <c r="G153" s="3">
        <v>4</v>
      </c>
      <c r="H153" s="3" t="s">
        <v>60</v>
      </c>
      <c r="I153" s="3" t="s">
        <v>7375</v>
      </c>
    </row>
    <row r="154" spans="1:9" ht="33.75" customHeight="1" x14ac:dyDescent="0.25">
      <c r="A154" s="2" t="s">
        <v>1294</v>
      </c>
      <c r="B154" s="2" t="s">
        <v>6157</v>
      </c>
      <c r="C154" s="2" t="s">
        <v>6158</v>
      </c>
      <c r="D154" s="2" t="s">
        <v>6159</v>
      </c>
      <c r="E154" s="2" t="s">
        <v>6160</v>
      </c>
      <c r="F154" s="2">
        <v>4</v>
      </c>
      <c r="G154" s="2">
        <v>4</v>
      </c>
      <c r="H154" s="2" t="s">
        <v>60</v>
      </c>
      <c r="I154" s="2" t="s">
        <v>7375</v>
      </c>
    </row>
    <row r="155" spans="1:9" ht="33.75" customHeight="1" x14ac:dyDescent="0.25">
      <c r="A155" s="3" t="s">
        <v>1715</v>
      </c>
      <c r="B155" s="3" t="s">
        <v>6165</v>
      </c>
      <c r="C155" s="3" t="s">
        <v>6166</v>
      </c>
      <c r="D155" s="3" t="s">
        <v>6167</v>
      </c>
      <c r="E155" s="3" t="s">
        <v>6168</v>
      </c>
      <c r="F155" s="3">
        <v>4</v>
      </c>
      <c r="G155" s="3">
        <v>4</v>
      </c>
      <c r="H155" s="3" t="s">
        <v>60</v>
      </c>
      <c r="I155" s="3" t="s">
        <v>7375</v>
      </c>
    </row>
    <row r="156" spans="1:9" ht="33.75" customHeight="1" x14ac:dyDescent="0.25">
      <c r="A156" s="2" t="s">
        <v>820</v>
      </c>
      <c r="B156" s="2" t="s">
        <v>6173</v>
      </c>
      <c r="C156" s="2" t="s">
        <v>6174</v>
      </c>
      <c r="D156" s="2" t="s">
        <v>6175</v>
      </c>
      <c r="E156" s="2" t="s">
        <v>6176</v>
      </c>
      <c r="F156" s="2">
        <v>4</v>
      </c>
      <c r="G156" s="2">
        <v>4</v>
      </c>
      <c r="H156" s="2" t="s">
        <v>60</v>
      </c>
      <c r="I156" s="2" t="s">
        <v>7375</v>
      </c>
    </row>
    <row r="157" spans="1:9" ht="33.75" customHeight="1" x14ac:dyDescent="0.25">
      <c r="A157" s="3" t="s">
        <v>628</v>
      </c>
      <c r="B157" s="3" t="s">
        <v>6180</v>
      </c>
      <c r="C157" s="3" t="s">
        <v>6181</v>
      </c>
      <c r="D157" s="3" t="s">
        <v>6182</v>
      </c>
      <c r="E157" s="3" t="s">
        <v>6183</v>
      </c>
      <c r="F157" s="3">
        <v>4</v>
      </c>
      <c r="G157" s="3">
        <v>4</v>
      </c>
      <c r="H157" s="3" t="s">
        <v>60</v>
      </c>
      <c r="I157" s="3" t="s">
        <v>7375</v>
      </c>
    </row>
    <row r="158" spans="1:9" ht="33.75" customHeight="1" x14ac:dyDescent="0.25">
      <c r="A158" s="2" t="s">
        <v>1354</v>
      </c>
      <c r="B158" s="2" t="s">
        <v>6187</v>
      </c>
      <c r="C158" s="2" t="s">
        <v>6188</v>
      </c>
      <c r="D158" s="2" t="s">
        <v>6189</v>
      </c>
      <c r="E158" s="2" t="s">
        <v>6190</v>
      </c>
      <c r="F158" s="2">
        <v>4</v>
      </c>
      <c r="G158" s="2">
        <v>4</v>
      </c>
      <c r="H158" s="2" t="s">
        <v>60</v>
      </c>
      <c r="I158" s="2" t="s">
        <v>7375</v>
      </c>
    </row>
    <row r="159" spans="1:9" ht="33.75" customHeight="1" x14ac:dyDescent="0.25">
      <c r="A159" s="3" t="s">
        <v>2340</v>
      </c>
      <c r="B159" s="3" t="s">
        <v>6195</v>
      </c>
      <c r="C159" s="3" t="s">
        <v>6196</v>
      </c>
      <c r="D159" s="3" t="s">
        <v>6197</v>
      </c>
      <c r="E159" s="3" t="s">
        <v>6198</v>
      </c>
      <c r="F159" s="3">
        <v>4</v>
      </c>
      <c r="G159" s="3">
        <v>4</v>
      </c>
      <c r="H159" s="3" t="s">
        <v>60</v>
      </c>
      <c r="I159" s="3" t="s">
        <v>7375</v>
      </c>
    </row>
    <row r="160" spans="1:9" ht="33.75" customHeight="1" x14ac:dyDescent="0.25">
      <c r="A160" s="2" t="s">
        <v>4139</v>
      </c>
      <c r="B160" s="2" t="s">
        <v>6201</v>
      </c>
      <c r="C160" s="2" t="s">
        <v>6202</v>
      </c>
      <c r="D160" s="2" t="s">
        <v>6203</v>
      </c>
      <c r="E160" s="2" t="s">
        <v>6204</v>
      </c>
      <c r="F160" s="2">
        <v>4</v>
      </c>
      <c r="G160" s="2">
        <v>4</v>
      </c>
      <c r="H160" s="2" t="s">
        <v>60</v>
      </c>
      <c r="I160" s="2" t="s">
        <v>7375</v>
      </c>
    </row>
    <row r="161" spans="1:9" ht="33.75" customHeight="1" x14ac:dyDescent="0.25">
      <c r="A161" s="3" t="s">
        <v>1789</v>
      </c>
      <c r="B161" s="3" t="s">
        <v>6208</v>
      </c>
      <c r="C161" s="3" t="s">
        <v>6209</v>
      </c>
      <c r="D161" s="3" t="s">
        <v>6210</v>
      </c>
      <c r="E161" s="3" t="s">
        <v>6211</v>
      </c>
      <c r="F161" s="3">
        <v>4</v>
      </c>
      <c r="G161" s="3">
        <v>4</v>
      </c>
      <c r="H161" s="3" t="s">
        <v>60</v>
      </c>
      <c r="I161" s="3" t="s">
        <v>7375</v>
      </c>
    </row>
    <row r="162" spans="1:9" ht="33.75" customHeight="1" x14ac:dyDescent="0.25">
      <c r="A162" s="2" t="s">
        <v>3921</v>
      </c>
      <c r="B162" s="2" t="s">
        <v>6215</v>
      </c>
      <c r="C162" s="2" t="s">
        <v>6216</v>
      </c>
      <c r="D162" s="2" t="s">
        <v>6217</v>
      </c>
      <c r="E162" s="2" t="s">
        <v>6218</v>
      </c>
      <c r="F162" s="2">
        <v>4</v>
      </c>
      <c r="G162" s="2">
        <v>4</v>
      </c>
      <c r="H162" s="2" t="s">
        <v>60</v>
      </c>
      <c r="I162" s="2" t="s">
        <v>7375</v>
      </c>
    </row>
    <row r="163" spans="1:9" ht="33.75" customHeight="1" x14ac:dyDescent="0.25">
      <c r="A163" s="3" t="s">
        <v>366</v>
      </c>
      <c r="B163" s="3" t="s">
        <v>6223</v>
      </c>
      <c r="C163" s="3" t="s">
        <v>6224</v>
      </c>
      <c r="D163" s="3" t="s">
        <v>6225</v>
      </c>
      <c r="E163" s="3" t="s">
        <v>6226</v>
      </c>
      <c r="F163" s="3">
        <v>4</v>
      </c>
      <c r="G163" s="3">
        <v>4</v>
      </c>
      <c r="H163" s="3" t="s">
        <v>60</v>
      </c>
      <c r="I163" s="3" t="s">
        <v>7375</v>
      </c>
    </row>
    <row r="164" spans="1:9" ht="33.75" customHeight="1" x14ac:dyDescent="0.25">
      <c r="A164" s="2" t="s">
        <v>1139</v>
      </c>
      <c r="B164" s="2" t="s">
        <v>6231</v>
      </c>
      <c r="C164" s="2" t="s">
        <v>6232</v>
      </c>
      <c r="D164" s="2" t="s">
        <v>6233</v>
      </c>
      <c r="E164" s="2" t="s">
        <v>6234</v>
      </c>
      <c r="F164" s="2">
        <v>4</v>
      </c>
      <c r="G164" s="2">
        <v>4</v>
      </c>
      <c r="H164" s="2" t="s">
        <v>60</v>
      </c>
      <c r="I164" s="2" t="s">
        <v>7375</v>
      </c>
    </row>
    <row r="165" spans="1:9" ht="33.75" customHeight="1" x14ac:dyDescent="0.25">
      <c r="A165" s="3" t="s">
        <v>3287</v>
      </c>
      <c r="B165" s="3" t="s">
        <v>6239</v>
      </c>
      <c r="C165" s="3" t="s">
        <v>6240</v>
      </c>
      <c r="D165" s="3" t="s">
        <v>6241</v>
      </c>
      <c r="E165" s="3" t="s">
        <v>6242</v>
      </c>
      <c r="F165" s="3">
        <v>4</v>
      </c>
      <c r="G165" s="3">
        <v>4</v>
      </c>
      <c r="H165" s="3" t="s">
        <v>60</v>
      </c>
      <c r="I165" s="3" t="s">
        <v>7375</v>
      </c>
    </row>
    <row r="166" spans="1:9" ht="33.75" customHeight="1" x14ac:dyDescent="0.25">
      <c r="A166" s="2" t="s">
        <v>616</v>
      </c>
      <c r="B166" s="2" t="s">
        <v>6246</v>
      </c>
      <c r="C166" s="2" t="s">
        <v>6247</v>
      </c>
      <c r="D166" s="2" t="s">
        <v>6248</v>
      </c>
      <c r="E166" s="2" t="s">
        <v>6249</v>
      </c>
      <c r="F166" s="2">
        <v>4</v>
      </c>
      <c r="G166" s="2">
        <v>4</v>
      </c>
      <c r="H166" s="2" t="s">
        <v>60</v>
      </c>
      <c r="I166" s="2" t="s">
        <v>7375</v>
      </c>
    </row>
    <row r="167" spans="1:9" ht="33.75" customHeight="1" x14ac:dyDescent="0.25">
      <c r="A167" s="3" t="s">
        <v>740</v>
      </c>
      <c r="B167" s="3" t="s">
        <v>6253</v>
      </c>
      <c r="C167" s="3" t="s">
        <v>6254</v>
      </c>
      <c r="D167" s="3" t="s">
        <v>6255</v>
      </c>
      <c r="E167" s="3" t="s">
        <v>6256</v>
      </c>
      <c r="F167" s="3">
        <v>4</v>
      </c>
      <c r="G167" s="3">
        <v>4</v>
      </c>
      <c r="H167" s="3" t="s">
        <v>60</v>
      </c>
      <c r="I167" s="3" t="s">
        <v>7375</v>
      </c>
    </row>
    <row r="168" spans="1:9" ht="33.75" customHeight="1" x14ac:dyDescent="0.25">
      <c r="A168" s="2" t="s">
        <v>2218</v>
      </c>
      <c r="B168" s="2" t="s">
        <v>6260</v>
      </c>
      <c r="C168" s="2" t="s">
        <v>6261</v>
      </c>
      <c r="D168" s="2" t="s">
        <v>6262</v>
      </c>
      <c r="E168" s="2" t="s">
        <v>6263</v>
      </c>
      <c r="F168" s="2">
        <v>4</v>
      </c>
      <c r="G168" s="2">
        <v>4</v>
      </c>
      <c r="H168" s="2" t="s">
        <v>60</v>
      </c>
      <c r="I168" s="2" t="s">
        <v>7375</v>
      </c>
    </row>
    <row r="169" spans="1:9" ht="33.75" customHeight="1" x14ac:dyDescent="0.25">
      <c r="A169" s="3" t="s">
        <v>2141</v>
      </c>
      <c r="B169" s="3" t="s">
        <v>6268</v>
      </c>
      <c r="C169" s="3" t="s">
        <v>6269</v>
      </c>
      <c r="D169" s="3" t="s">
        <v>6270</v>
      </c>
      <c r="E169" s="3" t="s">
        <v>6271</v>
      </c>
      <c r="F169" s="3">
        <v>4</v>
      </c>
      <c r="G169" s="3">
        <v>4</v>
      </c>
      <c r="H169" s="3" t="s">
        <v>60</v>
      </c>
      <c r="I169" s="3" t="s">
        <v>7375</v>
      </c>
    </row>
    <row r="170" spans="1:9" ht="33.75" customHeight="1" x14ac:dyDescent="0.25">
      <c r="A170" s="2" t="s">
        <v>3630</v>
      </c>
      <c r="B170" s="2" t="s">
        <v>6276</v>
      </c>
      <c r="C170" s="2" t="s">
        <v>6277</v>
      </c>
      <c r="D170" s="2" t="s">
        <v>6278</v>
      </c>
      <c r="E170" s="2" t="s">
        <v>6279</v>
      </c>
      <c r="F170" s="2">
        <v>4</v>
      </c>
      <c r="G170" s="2">
        <v>4</v>
      </c>
      <c r="H170" s="2" t="s">
        <v>60</v>
      </c>
      <c r="I170" s="2" t="s">
        <v>7375</v>
      </c>
    </row>
    <row r="171" spans="1:9" ht="33.75" customHeight="1" x14ac:dyDescent="0.25">
      <c r="A171" s="3" t="s">
        <v>624</v>
      </c>
      <c r="B171" s="3" t="s">
        <v>6283</v>
      </c>
      <c r="C171" s="3" t="s">
        <v>6284</v>
      </c>
      <c r="D171" s="3" t="s">
        <v>6285</v>
      </c>
      <c r="E171" s="3" t="s">
        <v>6286</v>
      </c>
      <c r="F171" s="3">
        <v>4</v>
      </c>
      <c r="G171" s="3">
        <v>4</v>
      </c>
      <c r="H171" s="3" t="s">
        <v>60</v>
      </c>
      <c r="I171" s="3" t="s">
        <v>7375</v>
      </c>
    </row>
    <row r="172" spans="1:9" ht="33.75" customHeight="1" x14ac:dyDescent="0.25">
      <c r="A172" s="2" t="s">
        <v>2367</v>
      </c>
      <c r="B172" s="2" t="s">
        <v>6291</v>
      </c>
      <c r="C172" s="2" t="s">
        <v>6292</v>
      </c>
      <c r="D172" s="2" t="s">
        <v>6293</v>
      </c>
      <c r="E172" s="2" t="s">
        <v>6294</v>
      </c>
      <c r="F172" s="2">
        <v>4</v>
      </c>
      <c r="G172" s="2">
        <v>4</v>
      </c>
      <c r="H172" s="2" t="s">
        <v>60</v>
      </c>
      <c r="I172" s="2" t="s">
        <v>7375</v>
      </c>
    </row>
    <row r="173" spans="1:9" ht="33.75" customHeight="1" x14ac:dyDescent="0.25">
      <c r="A173" s="3" t="s">
        <v>2476</v>
      </c>
      <c r="B173" s="3" t="s">
        <v>6298</v>
      </c>
      <c r="C173" s="3" t="s">
        <v>6299</v>
      </c>
      <c r="D173" s="3" t="s">
        <v>6300</v>
      </c>
      <c r="E173" s="3" t="s">
        <v>6301</v>
      </c>
      <c r="F173" s="3">
        <v>4</v>
      </c>
      <c r="G173" s="3">
        <v>4</v>
      </c>
      <c r="H173" s="3" t="s">
        <v>60</v>
      </c>
      <c r="I173" s="3" t="s">
        <v>7375</v>
      </c>
    </row>
    <row r="174" spans="1:9" ht="33.75" customHeight="1" x14ac:dyDescent="0.25">
      <c r="A174" s="2" t="s">
        <v>794</v>
      </c>
      <c r="B174" s="2" t="s">
        <v>6306</v>
      </c>
      <c r="C174" s="2" t="s">
        <v>6307</v>
      </c>
      <c r="D174" s="2" t="s">
        <v>6308</v>
      </c>
      <c r="E174" s="2" t="s">
        <v>6309</v>
      </c>
      <c r="F174" s="2">
        <v>4</v>
      </c>
      <c r="G174" s="2">
        <v>4</v>
      </c>
      <c r="H174" s="2" t="s">
        <v>60</v>
      </c>
      <c r="I174" s="2" t="s">
        <v>7375</v>
      </c>
    </row>
    <row r="175" spans="1:9" ht="33.75" customHeight="1" x14ac:dyDescent="0.25">
      <c r="A175" s="3" t="s">
        <v>644</v>
      </c>
      <c r="B175" s="3" t="s">
        <v>6314</v>
      </c>
      <c r="C175" s="3" t="s">
        <v>6315</v>
      </c>
      <c r="D175" s="3" t="s">
        <v>6316</v>
      </c>
      <c r="E175" s="3" t="s">
        <v>6317</v>
      </c>
      <c r="F175" s="3">
        <v>4</v>
      </c>
      <c r="G175" s="3">
        <v>4</v>
      </c>
      <c r="H175" s="3" t="s">
        <v>60</v>
      </c>
      <c r="I175" s="3" t="s">
        <v>7375</v>
      </c>
    </row>
    <row r="176" spans="1:9" ht="33.75" customHeight="1" x14ac:dyDescent="0.25">
      <c r="A176" s="2" t="s">
        <v>4534</v>
      </c>
      <c r="B176" s="2" t="s">
        <v>6321</v>
      </c>
      <c r="C176" s="2" t="s">
        <v>6322</v>
      </c>
      <c r="D176" s="2" t="s">
        <v>6323</v>
      </c>
      <c r="E176" s="2" t="s">
        <v>6324</v>
      </c>
      <c r="F176" s="2">
        <v>4</v>
      </c>
      <c r="G176" s="2">
        <v>4</v>
      </c>
      <c r="H176" s="2" t="s">
        <v>60</v>
      </c>
      <c r="I176" s="2" t="s">
        <v>7375</v>
      </c>
    </row>
    <row r="177" spans="1:9" ht="33.75" customHeight="1" x14ac:dyDescent="0.25">
      <c r="A177" s="3" t="s">
        <v>588</v>
      </c>
      <c r="B177" s="3" t="s">
        <v>6329</v>
      </c>
      <c r="C177" s="3" t="s">
        <v>6330</v>
      </c>
      <c r="D177" s="3" t="s">
        <v>6331</v>
      </c>
      <c r="E177" s="3" t="s">
        <v>6332</v>
      </c>
      <c r="F177" s="3">
        <v>4</v>
      </c>
      <c r="G177" s="3">
        <v>4</v>
      </c>
      <c r="H177" s="3" t="s">
        <v>60</v>
      </c>
      <c r="I177" s="3" t="s">
        <v>7375</v>
      </c>
    </row>
    <row r="178" spans="1:9" ht="33.75" customHeight="1" x14ac:dyDescent="0.25">
      <c r="A178" s="2" t="s">
        <v>404</v>
      </c>
      <c r="B178" s="2" t="s">
        <v>6337</v>
      </c>
      <c r="C178" s="2" t="s">
        <v>6338</v>
      </c>
      <c r="D178" s="2" t="s">
        <v>6339</v>
      </c>
      <c r="E178" s="2" t="s">
        <v>6340</v>
      </c>
      <c r="F178" s="2">
        <v>4</v>
      </c>
      <c r="G178" s="2">
        <v>4</v>
      </c>
      <c r="H178" s="2" t="s">
        <v>60</v>
      </c>
      <c r="I178" s="2" t="s">
        <v>7375</v>
      </c>
    </row>
    <row r="179" spans="1:9" ht="33.75" customHeight="1" x14ac:dyDescent="0.25">
      <c r="A179" s="3" t="s">
        <v>3313</v>
      </c>
      <c r="B179" s="3" t="s">
        <v>6344</v>
      </c>
      <c r="C179" s="3" t="s">
        <v>6345</v>
      </c>
      <c r="D179" s="3" t="s">
        <v>6346</v>
      </c>
      <c r="E179" s="3" t="s">
        <v>6347</v>
      </c>
      <c r="F179" s="3">
        <v>4</v>
      </c>
      <c r="G179" s="3">
        <v>4</v>
      </c>
      <c r="H179" s="3" t="s">
        <v>60</v>
      </c>
      <c r="I179" s="3" t="s">
        <v>7375</v>
      </c>
    </row>
    <row r="180" spans="1:9" ht="33.75" customHeight="1" x14ac:dyDescent="0.25">
      <c r="A180" s="2" t="s">
        <v>673</v>
      </c>
      <c r="B180" s="2" t="s">
        <v>6352</v>
      </c>
      <c r="C180" s="2" t="s">
        <v>6353</v>
      </c>
      <c r="D180" s="2" t="s">
        <v>6354</v>
      </c>
      <c r="E180" s="2" t="s">
        <v>6355</v>
      </c>
      <c r="F180" s="2">
        <v>4</v>
      </c>
      <c r="G180" s="2">
        <v>4</v>
      </c>
      <c r="H180" s="2" t="s">
        <v>60</v>
      </c>
      <c r="I180" s="2" t="s">
        <v>7375</v>
      </c>
    </row>
    <row r="181" spans="1:9" ht="33.75" customHeight="1" x14ac:dyDescent="0.25">
      <c r="A181" s="3" t="s">
        <v>612</v>
      </c>
      <c r="B181" s="3" t="s">
        <v>6360</v>
      </c>
      <c r="C181" s="3" t="s">
        <v>6361</v>
      </c>
      <c r="D181" s="3" t="s">
        <v>6362</v>
      </c>
      <c r="E181" s="3" t="s">
        <v>6363</v>
      </c>
      <c r="F181" s="3">
        <v>4</v>
      </c>
      <c r="G181" s="3">
        <v>4</v>
      </c>
      <c r="H181" s="3" t="s">
        <v>60</v>
      </c>
      <c r="I181" s="3" t="s">
        <v>7375</v>
      </c>
    </row>
    <row r="182" spans="1:9" ht="33.75" customHeight="1" x14ac:dyDescent="0.25">
      <c r="A182" s="2" t="s">
        <v>1427</v>
      </c>
      <c r="B182" s="2" t="s">
        <v>6368</v>
      </c>
      <c r="C182" s="2" t="s">
        <v>6369</v>
      </c>
      <c r="D182" s="2" t="s">
        <v>6370</v>
      </c>
      <c r="E182" s="2" t="s">
        <v>6371</v>
      </c>
      <c r="F182" s="2">
        <v>4</v>
      </c>
      <c r="G182" s="2">
        <v>4</v>
      </c>
      <c r="H182" s="2" t="s">
        <v>60</v>
      </c>
      <c r="I182" s="2" t="s">
        <v>7375</v>
      </c>
    </row>
    <row r="183" spans="1:9" ht="33.75" customHeight="1" x14ac:dyDescent="0.25">
      <c r="A183" s="3" t="s">
        <v>2747</v>
      </c>
      <c r="B183" s="3" t="s">
        <v>6375</v>
      </c>
      <c r="C183" s="3" t="s">
        <v>6376</v>
      </c>
      <c r="D183" s="3" t="s">
        <v>6377</v>
      </c>
      <c r="E183" s="3" t="s">
        <v>6378</v>
      </c>
      <c r="F183" s="3">
        <v>4</v>
      </c>
      <c r="G183" s="3">
        <v>4</v>
      </c>
      <c r="H183" s="3" t="s">
        <v>60</v>
      </c>
      <c r="I183" s="3" t="s">
        <v>7375</v>
      </c>
    </row>
    <row r="184" spans="1:9" ht="33.75" customHeight="1" x14ac:dyDescent="0.25">
      <c r="A184" s="2" t="s">
        <v>1479</v>
      </c>
      <c r="B184" s="2" t="s">
        <v>6383</v>
      </c>
      <c r="C184" s="2" t="s">
        <v>6384</v>
      </c>
      <c r="D184" s="2" t="s">
        <v>6385</v>
      </c>
      <c r="E184" s="2" t="s">
        <v>6386</v>
      </c>
      <c r="F184" s="2">
        <v>4</v>
      </c>
      <c r="G184" s="2">
        <v>4</v>
      </c>
      <c r="H184" s="2" t="s">
        <v>60</v>
      </c>
      <c r="I184" s="2" t="s">
        <v>7375</v>
      </c>
    </row>
    <row r="185" spans="1:9" ht="33.75" customHeight="1" x14ac:dyDescent="0.25">
      <c r="A185" s="3" t="s">
        <v>600</v>
      </c>
      <c r="B185" s="3" t="s">
        <v>6391</v>
      </c>
      <c r="C185" s="3" t="s">
        <v>6392</v>
      </c>
      <c r="D185" s="3" t="s">
        <v>6393</v>
      </c>
      <c r="E185" s="3" t="s">
        <v>6394</v>
      </c>
      <c r="F185" s="3">
        <v>4</v>
      </c>
      <c r="G185" s="3">
        <v>4</v>
      </c>
      <c r="H185" s="3" t="s">
        <v>60</v>
      </c>
      <c r="I185" s="3" t="s">
        <v>7375</v>
      </c>
    </row>
    <row r="186" spans="1:9" ht="33.75" customHeight="1" x14ac:dyDescent="0.25">
      <c r="A186" s="2" t="s">
        <v>4193</v>
      </c>
      <c r="B186" s="2" t="s">
        <v>6397</v>
      </c>
      <c r="C186" s="2" t="s">
        <v>6398</v>
      </c>
      <c r="D186" s="2" t="s">
        <v>6399</v>
      </c>
      <c r="E186" s="2" t="s">
        <v>6400</v>
      </c>
      <c r="F186" s="2">
        <v>4</v>
      </c>
      <c r="G186" s="2">
        <v>4</v>
      </c>
      <c r="H186" s="2" t="s">
        <v>60</v>
      </c>
      <c r="I186" s="2" t="s">
        <v>7375</v>
      </c>
    </row>
    <row r="187" spans="1:9" ht="33.75" customHeight="1" x14ac:dyDescent="0.25">
      <c r="A187" s="3" t="s">
        <v>486</v>
      </c>
      <c r="B187" s="3" t="s">
        <v>6404</v>
      </c>
      <c r="C187" s="3" t="s">
        <v>6405</v>
      </c>
      <c r="D187" s="3" t="s">
        <v>6406</v>
      </c>
      <c r="E187" s="3" t="s">
        <v>6407</v>
      </c>
      <c r="F187" s="3">
        <v>4</v>
      </c>
      <c r="G187" s="3">
        <v>4</v>
      </c>
      <c r="H187" s="3" t="s">
        <v>60</v>
      </c>
      <c r="I187" s="3" t="s">
        <v>7375</v>
      </c>
    </row>
    <row r="188" spans="1:9" ht="33.75" customHeight="1" x14ac:dyDescent="0.25">
      <c r="A188" s="2" t="s">
        <v>3246</v>
      </c>
      <c r="B188" s="2" t="s">
        <v>6411</v>
      </c>
      <c r="C188" s="2" t="s">
        <v>6412</v>
      </c>
      <c r="D188" s="2" t="s">
        <v>6413</v>
      </c>
      <c r="E188" s="2" t="s">
        <v>6414</v>
      </c>
      <c r="F188" s="2">
        <v>4</v>
      </c>
      <c r="G188" s="2">
        <v>4</v>
      </c>
      <c r="H188" s="2" t="s">
        <v>60</v>
      </c>
      <c r="I188" s="2" t="s">
        <v>7375</v>
      </c>
    </row>
    <row r="189" spans="1:9" ht="33.75" customHeight="1" x14ac:dyDescent="0.25">
      <c r="A189" s="3" t="s">
        <v>2349</v>
      </c>
      <c r="B189" s="3" t="s">
        <v>6418</v>
      </c>
      <c r="C189" s="3" t="s">
        <v>6419</v>
      </c>
      <c r="D189" s="3" t="s">
        <v>6420</v>
      </c>
      <c r="E189" s="3" t="s">
        <v>6421</v>
      </c>
      <c r="F189" s="3">
        <v>4</v>
      </c>
      <c r="G189" s="3">
        <v>4</v>
      </c>
      <c r="H189" s="3" t="s">
        <v>60</v>
      </c>
      <c r="I189" s="3" t="s">
        <v>7375</v>
      </c>
    </row>
    <row r="190" spans="1:9" ht="33.75" customHeight="1" x14ac:dyDescent="0.25">
      <c r="A190" s="2" t="s">
        <v>2767</v>
      </c>
      <c r="B190" s="2" t="s">
        <v>6425</v>
      </c>
      <c r="C190" s="2" t="s">
        <v>6426</v>
      </c>
      <c r="D190" s="2" t="s">
        <v>6427</v>
      </c>
      <c r="E190" s="2" t="s">
        <v>6428</v>
      </c>
      <c r="F190" s="2">
        <v>4</v>
      </c>
      <c r="G190" s="2">
        <v>4</v>
      </c>
      <c r="H190" s="2" t="s">
        <v>60</v>
      </c>
      <c r="I190" s="2" t="s">
        <v>7375</v>
      </c>
    </row>
    <row r="191" spans="1:9" ht="33.75" customHeight="1" x14ac:dyDescent="0.25">
      <c r="A191" s="3" t="s">
        <v>2462</v>
      </c>
      <c r="B191" s="3" t="s">
        <v>6433</v>
      </c>
      <c r="C191" s="3" t="s">
        <v>6434</v>
      </c>
      <c r="D191" s="3" t="s">
        <v>6435</v>
      </c>
      <c r="E191" s="3" t="s">
        <v>6436</v>
      </c>
      <c r="F191" s="3">
        <v>4</v>
      </c>
      <c r="G191" s="3">
        <v>4</v>
      </c>
      <c r="H191" s="3" t="s">
        <v>60</v>
      </c>
      <c r="I191" s="3" t="s">
        <v>7375</v>
      </c>
    </row>
    <row r="192" spans="1:9" ht="33.75" customHeight="1" x14ac:dyDescent="0.25">
      <c r="A192" s="2" t="s">
        <v>846</v>
      </c>
      <c r="B192" s="2" t="s">
        <v>6441</v>
      </c>
      <c r="C192" s="2" t="s">
        <v>6442</v>
      </c>
      <c r="D192" s="2" t="s">
        <v>6443</v>
      </c>
      <c r="E192" s="2" t="s">
        <v>6444</v>
      </c>
      <c r="F192" s="2">
        <v>4</v>
      </c>
      <c r="G192" s="2">
        <v>4</v>
      </c>
      <c r="H192" s="2" t="s">
        <v>60</v>
      </c>
      <c r="I192" s="2" t="s">
        <v>7375</v>
      </c>
    </row>
    <row r="193" spans="1:9" ht="33.75" customHeight="1" x14ac:dyDescent="0.25">
      <c r="A193" s="3" t="s">
        <v>273</v>
      </c>
      <c r="B193" s="3" t="s">
        <v>6449</v>
      </c>
      <c r="C193" s="3" t="s">
        <v>6450</v>
      </c>
      <c r="D193" s="3" t="s">
        <v>6451</v>
      </c>
      <c r="E193" s="3" t="s">
        <v>6452</v>
      </c>
      <c r="F193" s="3">
        <v>4</v>
      </c>
      <c r="G193" s="3">
        <v>4</v>
      </c>
      <c r="H193" s="3" t="s">
        <v>60</v>
      </c>
      <c r="I193" s="3" t="s">
        <v>7375</v>
      </c>
    </row>
    <row r="194" spans="1:9" ht="33.75" customHeight="1" x14ac:dyDescent="0.25">
      <c r="A194" s="2" t="s">
        <v>218</v>
      </c>
      <c r="B194" s="2" t="s">
        <v>6457</v>
      </c>
      <c r="C194" s="2" t="s">
        <v>6458</v>
      </c>
      <c r="D194" s="2" t="s">
        <v>6459</v>
      </c>
      <c r="E194" s="2" t="s">
        <v>6460</v>
      </c>
      <c r="F194" s="2">
        <v>4</v>
      </c>
      <c r="G194" s="2">
        <v>4</v>
      </c>
      <c r="H194" s="2" t="s">
        <v>60</v>
      </c>
      <c r="I194" s="2" t="s">
        <v>7375</v>
      </c>
    </row>
    <row r="195" spans="1:9" ht="33.75" customHeight="1" x14ac:dyDescent="0.25">
      <c r="A195" s="3" t="s">
        <v>2624</v>
      </c>
      <c r="B195" s="3" t="s">
        <v>6464</v>
      </c>
      <c r="C195" s="3" t="s">
        <v>6465</v>
      </c>
      <c r="D195" s="3" t="s">
        <v>6466</v>
      </c>
      <c r="E195" s="3" t="s">
        <v>6467</v>
      </c>
      <c r="F195" s="3">
        <v>4</v>
      </c>
      <c r="G195" s="3">
        <v>4</v>
      </c>
      <c r="H195" s="3" t="s">
        <v>60</v>
      </c>
      <c r="I195" s="3" t="s">
        <v>7375</v>
      </c>
    </row>
    <row r="196" spans="1:9" ht="33.75" customHeight="1" x14ac:dyDescent="0.25">
      <c r="A196" s="2" t="s">
        <v>620</v>
      </c>
      <c r="B196" s="2" t="s">
        <v>6471</v>
      </c>
      <c r="C196" s="2" t="s">
        <v>6472</v>
      </c>
      <c r="D196" s="2" t="s">
        <v>6473</v>
      </c>
      <c r="E196" s="2" t="s">
        <v>6474</v>
      </c>
      <c r="F196" s="2">
        <v>4</v>
      </c>
      <c r="G196" s="2">
        <v>4</v>
      </c>
      <c r="H196" s="2" t="s">
        <v>60</v>
      </c>
      <c r="I196" s="2" t="s">
        <v>7375</v>
      </c>
    </row>
    <row r="197" spans="1:9" ht="33.75" customHeight="1" x14ac:dyDescent="0.25">
      <c r="A197" s="3" t="s">
        <v>732</v>
      </c>
      <c r="B197" s="3" t="s">
        <v>6478</v>
      </c>
      <c r="C197" s="3" t="s">
        <v>6479</v>
      </c>
      <c r="D197" s="3" t="s">
        <v>6480</v>
      </c>
      <c r="E197" s="3" t="s">
        <v>6481</v>
      </c>
      <c r="F197" s="3">
        <v>4</v>
      </c>
      <c r="G197" s="3">
        <v>4</v>
      </c>
      <c r="H197" s="3" t="s">
        <v>60</v>
      </c>
      <c r="I197" s="3" t="s">
        <v>7375</v>
      </c>
    </row>
    <row r="198" spans="1:9" ht="33.75" customHeight="1" x14ac:dyDescent="0.25">
      <c r="A198" s="2" t="s">
        <v>736</v>
      </c>
      <c r="B198" s="2" t="s">
        <v>6485</v>
      </c>
      <c r="C198" s="2" t="s">
        <v>6486</v>
      </c>
      <c r="D198" s="2" t="s">
        <v>6487</v>
      </c>
      <c r="E198" s="2" t="s">
        <v>6488</v>
      </c>
      <c r="F198" s="2">
        <v>4</v>
      </c>
      <c r="G198" s="2">
        <v>4</v>
      </c>
      <c r="H198" s="2" t="s">
        <v>60</v>
      </c>
      <c r="I198" s="2" t="s">
        <v>7375</v>
      </c>
    </row>
    <row r="199" spans="1:9" ht="33.75" customHeight="1" x14ac:dyDescent="0.25">
      <c r="A199" s="3" t="s">
        <v>1987</v>
      </c>
      <c r="B199" s="3" t="s">
        <v>6491</v>
      </c>
      <c r="C199" s="3" t="s">
        <v>6492</v>
      </c>
      <c r="D199" s="3" t="s">
        <v>6493</v>
      </c>
      <c r="E199" s="3" t="s">
        <v>6494</v>
      </c>
      <c r="F199" s="3">
        <v>4</v>
      </c>
      <c r="G199" s="3">
        <v>4</v>
      </c>
      <c r="H199" s="3" t="s">
        <v>60</v>
      </c>
      <c r="I199" s="3" t="s">
        <v>7375</v>
      </c>
    </row>
    <row r="200" spans="1:9" ht="33.75" customHeight="1" x14ac:dyDescent="0.25">
      <c r="A200" s="2" t="s">
        <v>1948</v>
      </c>
      <c r="B200" s="2" t="s">
        <v>6498</v>
      </c>
      <c r="C200" s="2" t="s">
        <v>6499</v>
      </c>
      <c r="D200" s="2" t="s">
        <v>6500</v>
      </c>
      <c r="E200" s="2" t="s">
        <v>6501</v>
      </c>
      <c r="F200" s="2">
        <v>4</v>
      </c>
      <c r="G200" s="2">
        <v>4</v>
      </c>
      <c r="H200" s="2" t="s">
        <v>60</v>
      </c>
      <c r="I200" s="2" t="s">
        <v>7375</v>
      </c>
    </row>
    <row r="201" spans="1:9" ht="33.75" customHeight="1" x14ac:dyDescent="0.25">
      <c r="A201" s="3" t="s">
        <v>570</v>
      </c>
      <c r="B201" s="3" t="s">
        <v>6504</v>
      </c>
      <c r="C201" s="3" t="s">
        <v>6505</v>
      </c>
      <c r="D201" s="3" t="s">
        <v>6506</v>
      </c>
      <c r="E201" s="3" t="s">
        <v>6507</v>
      </c>
      <c r="F201" s="3">
        <v>4</v>
      </c>
      <c r="G201" s="3">
        <v>4</v>
      </c>
      <c r="H201" s="3" t="s">
        <v>60</v>
      </c>
      <c r="I201" s="3" t="s">
        <v>7375</v>
      </c>
    </row>
    <row r="202" spans="1:9" ht="33.75" customHeight="1" x14ac:dyDescent="0.25">
      <c r="A202" s="2" t="s">
        <v>1952</v>
      </c>
      <c r="B202" s="2" t="s">
        <v>6510</v>
      </c>
      <c r="C202" s="2" t="s">
        <v>6511</v>
      </c>
      <c r="D202" s="2" t="s">
        <v>6512</v>
      </c>
      <c r="E202" s="2" t="s">
        <v>6513</v>
      </c>
      <c r="F202" s="2">
        <v>4</v>
      </c>
      <c r="G202" s="2">
        <v>4</v>
      </c>
      <c r="H202" s="2" t="s">
        <v>60</v>
      </c>
      <c r="I202" s="2" t="s">
        <v>7375</v>
      </c>
    </row>
    <row r="203" spans="1:9" ht="33.75" customHeight="1" x14ac:dyDescent="0.25">
      <c r="A203" s="3" t="s">
        <v>1737</v>
      </c>
      <c r="B203" s="3" t="s">
        <v>6518</v>
      </c>
      <c r="C203" s="3" t="s">
        <v>6519</v>
      </c>
      <c r="D203" s="3" t="s">
        <v>6520</v>
      </c>
      <c r="E203" s="3" t="s">
        <v>6521</v>
      </c>
      <c r="F203" s="3">
        <v>4</v>
      </c>
      <c r="G203" s="3">
        <v>4</v>
      </c>
      <c r="H203" s="3" t="s">
        <v>60</v>
      </c>
      <c r="I203" s="3" t="s">
        <v>7375</v>
      </c>
    </row>
    <row r="204" spans="1:9" ht="33.75" customHeight="1" x14ac:dyDescent="0.25">
      <c r="A204" s="2" t="s">
        <v>1841</v>
      </c>
      <c r="B204" s="2" t="s">
        <v>6525</v>
      </c>
      <c r="C204" s="2" t="s">
        <v>6526</v>
      </c>
      <c r="D204" s="2" t="s">
        <v>6527</v>
      </c>
      <c r="E204" s="2" t="s">
        <v>6528</v>
      </c>
      <c r="F204" s="2">
        <v>4</v>
      </c>
      <c r="G204" s="2">
        <v>4</v>
      </c>
      <c r="H204" s="2" t="s">
        <v>60</v>
      </c>
      <c r="I204" s="2" t="s">
        <v>7375</v>
      </c>
    </row>
    <row r="205" spans="1:9" ht="33.75" customHeight="1" x14ac:dyDescent="0.25">
      <c r="A205" s="3" t="s">
        <v>1888</v>
      </c>
      <c r="B205" s="3" t="s">
        <v>6533</v>
      </c>
      <c r="C205" s="3" t="s">
        <v>6534</v>
      </c>
      <c r="D205" s="3" t="s">
        <v>6535</v>
      </c>
      <c r="E205" s="3" t="s">
        <v>6536</v>
      </c>
      <c r="F205" s="3">
        <v>4</v>
      </c>
      <c r="G205" s="3">
        <v>4</v>
      </c>
      <c r="H205" s="3" t="s">
        <v>60</v>
      </c>
      <c r="I205" s="3" t="s">
        <v>7375</v>
      </c>
    </row>
    <row r="206" spans="1:9" ht="33.75" customHeight="1" x14ac:dyDescent="0.25">
      <c r="A206" s="2" t="s">
        <v>826</v>
      </c>
      <c r="B206" s="2" t="s">
        <v>6541</v>
      </c>
      <c r="C206" s="2" t="s">
        <v>6542</v>
      </c>
      <c r="D206" s="2" t="s">
        <v>6543</v>
      </c>
      <c r="E206" s="2" t="s">
        <v>6544</v>
      </c>
      <c r="F206" s="2">
        <v>4</v>
      </c>
      <c r="G206" s="2">
        <v>4</v>
      </c>
      <c r="H206" s="2" t="s">
        <v>60</v>
      </c>
      <c r="I206" s="2" t="s">
        <v>7375</v>
      </c>
    </row>
    <row r="207" spans="1:9" ht="33.75" customHeight="1" x14ac:dyDescent="0.25">
      <c r="A207" s="3" t="s">
        <v>1638</v>
      </c>
      <c r="B207" s="3" t="s">
        <v>6549</v>
      </c>
      <c r="C207" s="3" t="s">
        <v>6550</v>
      </c>
      <c r="D207" s="3" t="s">
        <v>6551</v>
      </c>
      <c r="E207" s="3" t="s">
        <v>6552</v>
      </c>
      <c r="F207" s="3">
        <v>4</v>
      </c>
      <c r="G207" s="3">
        <v>4</v>
      </c>
      <c r="H207" s="3" t="s">
        <v>60</v>
      </c>
      <c r="I207" s="3" t="s">
        <v>7375</v>
      </c>
    </row>
    <row r="208" spans="1:9" ht="33.75" customHeight="1" x14ac:dyDescent="0.25">
      <c r="A208" s="2" t="s">
        <v>334</v>
      </c>
      <c r="B208" s="2" t="s">
        <v>6557</v>
      </c>
      <c r="C208" s="2" t="s">
        <v>6558</v>
      </c>
      <c r="D208" s="2" t="s">
        <v>6559</v>
      </c>
      <c r="E208" s="2" t="s">
        <v>6560</v>
      </c>
      <c r="F208" s="2">
        <v>4</v>
      </c>
      <c r="G208" s="2">
        <v>4</v>
      </c>
      <c r="H208" s="2" t="s">
        <v>60</v>
      </c>
      <c r="I208" s="2" t="s">
        <v>7375</v>
      </c>
    </row>
    <row r="209" spans="1:9" ht="33.75" customHeight="1" x14ac:dyDescent="0.25">
      <c r="A209" s="3" t="s">
        <v>1258</v>
      </c>
      <c r="B209" s="3" t="s">
        <v>6565</v>
      </c>
      <c r="C209" s="3" t="s">
        <v>6566</v>
      </c>
      <c r="D209" s="3" t="s">
        <v>6567</v>
      </c>
      <c r="E209" s="3" t="s">
        <v>6568</v>
      </c>
      <c r="F209" s="3">
        <v>4</v>
      </c>
      <c r="G209" s="3">
        <v>4</v>
      </c>
      <c r="H209" s="3" t="s">
        <v>60</v>
      </c>
      <c r="I209" s="3" t="s">
        <v>7375</v>
      </c>
    </row>
    <row r="210" spans="1:9" ht="33.75" customHeight="1" x14ac:dyDescent="0.25">
      <c r="A210" s="2" t="s">
        <v>724</v>
      </c>
      <c r="B210" s="2" t="s">
        <v>6572</v>
      </c>
      <c r="C210" s="2" t="s">
        <v>6573</v>
      </c>
      <c r="D210" s="2" t="s">
        <v>6574</v>
      </c>
      <c r="E210" s="2" t="s">
        <v>6575</v>
      </c>
      <c r="F210" s="2">
        <v>4</v>
      </c>
      <c r="G210" s="2">
        <v>4</v>
      </c>
      <c r="H210" s="2" t="s">
        <v>60</v>
      </c>
      <c r="I210" s="2" t="s">
        <v>7375</v>
      </c>
    </row>
    <row r="211" spans="1:9" ht="33.75" customHeight="1" x14ac:dyDescent="0.25">
      <c r="A211" s="3" t="s">
        <v>728</v>
      </c>
      <c r="B211" s="3" t="s">
        <v>6579</v>
      </c>
      <c r="C211" s="3" t="s">
        <v>6580</v>
      </c>
      <c r="D211" s="3" t="s">
        <v>6581</v>
      </c>
      <c r="E211" s="3" t="s">
        <v>6582</v>
      </c>
      <c r="F211" s="3">
        <v>4</v>
      </c>
      <c r="G211" s="3">
        <v>4</v>
      </c>
      <c r="H211" s="3" t="s">
        <v>60</v>
      </c>
      <c r="I211" s="3" t="s">
        <v>7375</v>
      </c>
    </row>
    <row r="212" spans="1:9" ht="33.75" customHeight="1" x14ac:dyDescent="0.25">
      <c r="A212" s="2" t="s">
        <v>3753</v>
      </c>
      <c r="B212" s="2" t="s">
        <v>6586</v>
      </c>
      <c r="C212" s="2" t="s">
        <v>6587</v>
      </c>
      <c r="D212" s="2" t="s">
        <v>6588</v>
      </c>
      <c r="E212" s="2" t="s">
        <v>6589</v>
      </c>
      <c r="F212" s="2">
        <v>4</v>
      </c>
      <c r="G212" s="2">
        <v>4</v>
      </c>
      <c r="H212" s="2" t="s">
        <v>60</v>
      </c>
      <c r="I212" s="2" t="s">
        <v>7375</v>
      </c>
    </row>
    <row r="213" spans="1:9" ht="33.75" customHeight="1" x14ac:dyDescent="0.25">
      <c r="A213" s="3" t="s">
        <v>3172</v>
      </c>
      <c r="B213" s="3" t="s">
        <v>6593</v>
      </c>
      <c r="C213" s="3" t="s">
        <v>6594</v>
      </c>
      <c r="D213" s="3" t="s">
        <v>6595</v>
      </c>
      <c r="E213" s="3" t="s">
        <v>6596</v>
      </c>
      <c r="F213" s="3">
        <v>4</v>
      </c>
      <c r="G213" s="3">
        <v>4</v>
      </c>
      <c r="H213" s="3" t="s">
        <v>60</v>
      </c>
      <c r="I213" s="3" t="s">
        <v>7375</v>
      </c>
    </row>
    <row r="214" spans="1:9" ht="33.75" customHeight="1" x14ac:dyDescent="0.25">
      <c r="A214" s="2" t="s">
        <v>3521</v>
      </c>
      <c r="B214" s="2" t="s">
        <v>6600</v>
      </c>
      <c r="C214" s="2" t="s">
        <v>6601</v>
      </c>
      <c r="D214" s="2" t="s">
        <v>6602</v>
      </c>
      <c r="E214" s="2" t="s">
        <v>6603</v>
      </c>
      <c r="F214" s="2">
        <v>4</v>
      </c>
      <c r="G214" s="2">
        <v>4</v>
      </c>
      <c r="H214" s="2" t="s">
        <v>60</v>
      </c>
      <c r="I214" s="2" t="s">
        <v>7375</v>
      </c>
    </row>
    <row r="215" spans="1:9" ht="33.75" customHeight="1" x14ac:dyDescent="0.25">
      <c r="A215" s="3" t="s">
        <v>2727</v>
      </c>
      <c r="B215" s="3" t="s">
        <v>6607</v>
      </c>
      <c r="C215" s="3" t="s">
        <v>6608</v>
      </c>
      <c r="D215" s="3" t="s">
        <v>6609</v>
      </c>
      <c r="E215" s="3" t="s">
        <v>6610</v>
      </c>
      <c r="F215" s="3">
        <v>4</v>
      </c>
      <c r="G215" s="3">
        <v>4</v>
      </c>
      <c r="H215" s="3" t="s">
        <v>60</v>
      </c>
      <c r="I215" s="3" t="s">
        <v>7375</v>
      </c>
    </row>
    <row r="216" spans="1:9" ht="33.75" customHeight="1" x14ac:dyDescent="0.25">
      <c r="A216" s="2" t="s">
        <v>4538</v>
      </c>
      <c r="B216" s="2" t="s">
        <v>6614</v>
      </c>
      <c r="C216" s="2" t="s">
        <v>6615</v>
      </c>
      <c r="D216" s="2" t="s">
        <v>6616</v>
      </c>
      <c r="E216" s="2" t="s">
        <v>6617</v>
      </c>
      <c r="F216" s="2">
        <v>4</v>
      </c>
      <c r="G216" s="2">
        <v>4</v>
      </c>
      <c r="H216" s="2" t="s">
        <v>60</v>
      </c>
      <c r="I216" s="2" t="s">
        <v>7375</v>
      </c>
    </row>
    <row r="217" spans="1:9" ht="33.75" customHeight="1" x14ac:dyDescent="0.25">
      <c r="A217" s="3" t="s">
        <v>3252</v>
      </c>
      <c r="B217" s="3" t="s">
        <v>6621</v>
      </c>
      <c r="C217" s="3" t="s">
        <v>6622</v>
      </c>
      <c r="D217" s="3" t="s">
        <v>6623</v>
      </c>
      <c r="E217" s="3" t="s">
        <v>6624</v>
      </c>
      <c r="F217" s="3">
        <v>4</v>
      </c>
      <c r="G217" s="3">
        <v>4</v>
      </c>
      <c r="H217" s="3" t="s">
        <v>60</v>
      </c>
      <c r="I217" s="3" t="s">
        <v>7375</v>
      </c>
    </row>
    <row r="218" spans="1:9" ht="33.75" customHeight="1" x14ac:dyDescent="0.25">
      <c r="A218" s="2" t="s">
        <v>400</v>
      </c>
      <c r="B218" s="2" t="s">
        <v>6629</v>
      </c>
      <c r="C218" s="2" t="s">
        <v>6630</v>
      </c>
      <c r="D218" s="2" t="s">
        <v>6631</v>
      </c>
      <c r="E218" s="2" t="s">
        <v>6632</v>
      </c>
      <c r="F218" s="2">
        <v>4</v>
      </c>
      <c r="G218" s="2">
        <v>4</v>
      </c>
      <c r="H218" s="2" t="s">
        <v>60</v>
      </c>
      <c r="I218" s="2" t="s">
        <v>7375</v>
      </c>
    </row>
    <row r="219" spans="1:9" ht="33.75" customHeight="1" x14ac:dyDescent="0.25">
      <c r="A219" s="3" t="s">
        <v>519</v>
      </c>
      <c r="B219" s="3" t="s">
        <v>6637</v>
      </c>
      <c r="C219" s="3" t="s">
        <v>6638</v>
      </c>
      <c r="D219" s="3" t="s">
        <v>6639</v>
      </c>
      <c r="E219" s="3" t="s">
        <v>6640</v>
      </c>
      <c r="F219" s="3">
        <v>4</v>
      </c>
      <c r="G219" s="3">
        <v>4</v>
      </c>
      <c r="H219" s="3" t="s">
        <v>60</v>
      </c>
      <c r="I219" s="3" t="s">
        <v>7375</v>
      </c>
    </row>
    <row r="220" spans="1:9" ht="33.75" customHeight="1" x14ac:dyDescent="0.25">
      <c r="A220" s="2" t="s">
        <v>2556</v>
      </c>
      <c r="B220" s="2" t="s">
        <v>6645</v>
      </c>
      <c r="C220" s="2" t="s">
        <v>6646</v>
      </c>
      <c r="D220" s="2" t="s">
        <v>6647</v>
      </c>
      <c r="E220" s="2" t="s">
        <v>6648</v>
      </c>
      <c r="F220" s="2">
        <v>4</v>
      </c>
      <c r="G220" s="2">
        <v>4</v>
      </c>
      <c r="H220" s="2" t="s">
        <v>60</v>
      </c>
      <c r="I220" s="2" t="s">
        <v>7375</v>
      </c>
    </row>
    <row r="221" spans="1:9" ht="33.75" customHeight="1" x14ac:dyDescent="0.25">
      <c r="A221" s="3" t="s">
        <v>418</v>
      </c>
      <c r="B221" s="3" t="s">
        <v>6653</v>
      </c>
      <c r="C221" s="3" t="s">
        <v>6654</v>
      </c>
      <c r="D221" s="3" t="s">
        <v>6655</v>
      </c>
      <c r="E221" s="3" t="s">
        <v>6656</v>
      </c>
      <c r="F221" s="3">
        <v>4</v>
      </c>
      <c r="G221" s="3">
        <v>4</v>
      </c>
      <c r="H221" s="3" t="s">
        <v>60</v>
      </c>
      <c r="I221" s="3" t="s">
        <v>7375</v>
      </c>
    </row>
    <row r="222" spans="1:9" ht="33.75" customHeight="1" x14ac:dyDescent="0.25">
      <c r="A222" s="2" t="s">
        <v>3309</v>
      </c>
      <c r="B222" s="2" t="s">
        <v>6661</v>
      </c>
      <c r="C222" s="2" t="s">
        <v>6662</v>
      </c>
      <c r="D222" s="2" t="s">
        <v>6663</v>
      </c>
      <c r="E222" s="2" t="s">
        <v>6664</v>
      </c>
      <c r="F222" s="2">
        <v>4</v>
      </c>
      <c r="G222" s="2">
        <v>4</v>
      </c>
      <c r="H222" s="2" t="s">
        <v>60</v>
      </c>
      <c r="I222" s="2" t="s">
        <v>7375</v>
      </c>
    </row>
    <row r="223" spans="1:9" ht="33.75" customHeight="1" x14ac:dyDescent="0.25">
      <c r="A223" s="3" t="s">
        <v>687</v>
      </c>
      <c r="B223" s="3" t="s">
        <v>6669</v>
      </c>
      <c r="C223" s="3" t="s">
        <v>6670</v>
      </c>
      <c r="D223" s="3" t="s">
        <v>6671</v>
      </c>
      <c r="E223" s="3" t="s">
        <v>6672</v>
      </c>
      <c r="F223" s="3">
        <v>4</v>
      </c>
      <c r="G223" s="3">
        <v>4</v>
      </c>
      <c r="H223" s="3" t="s">
        <v>60</v>
      </c>
      <c r="I223" s="3" t="s">
        <v>7375</v>
      </c>
    </row>
    <row r="224" spans="1:9" ht="33.75" customHeight="1" x14ac:dyDescent="0.25">
      <c r="A224" s="2" t="s">
        <v>470</v>
      </c>
      <c r="B224" s="2" t="s">
        <v>6677</v>
      </c>
      <c r="C224" s="2" t="s">
        <v>6678</v>
      </c>
      <c r="D224" s="2" t="s">
        <v>6679</v>
      </c>
      <c r="E224" s="2" t="s">
        <v>6680</v>
      </c>
      <c r="F224" s="2">
        <v>4</v>
      </c>
      <c r="G224" s="2">
        <v>4</v>
      </c>
      <c r="H224" s="2" t="s">
        <v>60</v>
      </c>
      <c r="I224" s="2" t="s">
        <v>7375</v>
      </c>
    </row>
    <row r="225" spans="1:9" ht="33.75" customHeight="1" x14ac:dyDescent="0.25">
      <c r="A225" s="3" t="s">
        <v>1368</v>
      </c>
      <c r="B225" s="3" t="s">
        <v>6684</v>
      </c>
      <c r="C225" s="3" t="s">
        <v>6685</v>
      </c>
      <c r="D225" s="3" t="s">
        <v>6686</v>
      </c>
      <c r="E225" s="3" t="s">
        <v>6687</v>
      </c>
      <c r="F225" s="3">
        <v>4</v>
      </c>
      <c r="G225" s="3">
        <v>4</v>
      </c>
      <c r="H225" s="3" t="s">
        <v>60</v>
      </c>
      <c r="I225" s="3" t="s">
        <v>7375</v>
      </c>
    </row>
    <row r="226" spans="1:9" ht="33.75" customHeight="1" x14ac:dyDescent="0.25">
      <c r="A226" s="2" t="s">
        <v>656</v>
      </c>
      <c r="B226" s="2" t="s">
        <v>6692</v>
      </c>
      <c r="C226" s="2" t="s">
        <v>6693</v>
      </c>
      <c r="D226" s="2" t="s">
        <v>6694</v>
      </c>
      <c r="E226" s="2" t="s">
        <v>6695</v>
      </c>
      <c r="F226" s="2">
        <v>4</v>
      </c>
      <c r="G226" s="2">
        <v>4</v>
      </c>
      <c r="H226" s="2" t="s">
        <v>60</v>
      </c>
      <c r="I226" s="2" t="s">
        <v>7375</v>
      </c>
    </row>
    <row r="227" spans="1:9" ht="33.75" customHeight="1" x14ac:dyDescent="0.25">
      <c r="A227" s="3" t="s">
        <v>1437</v>
      </c>
      <c r="B227" s="3" t="s">
        <v>6700</v>
      </c>
      <c r="C227" s="3" t="s">
        <v>6701</v>
      </c>
      <c r="D227" s="3" t="s">
        <v>6702</v>
      </c>
      <c r="E227" s="3" t="s">
        <v>6703</v>
      </c>
      <c r="F227" s="3">
        <v>4</v>
      </c>
      <c r="G227" s="3">
        <v>4</v>
      </c>
      <c r="H227" s="3" t="s">
        <v>60</v>
      </c>
      <c r="I227" s="3" t="s">
        <v>7375</v>
      </c>
    </row>
    <row r="228" spans="1:9" ht="33.75" customHeight="1" x14ac:dyDescent="0.25">
      <c r="A228" s="2" t="s">
        <v>2751</v>
      </c>
      <c r="B228" s="2" t="s">
        <v>6707</v>
      </c>
      <c r="C228" s="2" t="s">
        <v>6708</v>
      </c>
      <c r="D228" s="2" t="s">
        <v>6709</v>
      </c>
      <c r="E228" s="2" t="s">
        <v>6710</v>
      </c>
      <c r="F228" s="2">
        <v>4</v>
      </c>
      <c r="G228" s="2">
        <v>4</v>
      </c>
      <c r="H228" s="2" t="s">
        <v>60</v>
      </c>
      <c r="I228" s="2" t="s">
        <v>7375</v>
      </c>
    </row>
    <row r="229" spans="1:9" ht="33.75" customHeight="1" x14ac:dyDescent="0.25">
      <c r="A229" s="3" t="s">
        <v>1510</v>
      </c>
      <c r="B229" s="3" t="s">
        <v>6715</v>
      </c>
      <c r="C229" s="3" t="s">
        <v>6716</v>
      </c>
      <c r="D229" s="3" t="s">
        <v>6717</v>
      </c>
      <c r="E229" s="3" t="s">
        <v>6718</v>
      </c>
      <c r="F229" s="3">
        <v>4</v>
      </c>
      <c r="G229" s="3">
        <v>4</v>
      </c>
      <c r="H229" s="3" t="s">
        <v>60</v>
      </c>
      <c r="I229" s="3" t="s">
        <v>7375</v>
      </c>
    </row>
    <row r="230" spans="1:9" ht="33.75" customHeight="1" x14ac:dyDescent="0.25">
      <c r="A230" s="2" t="s">
        <v>1151</v>
      </c>
      <c r="B230" s="2" t="s">
        <v>6721</v>
      </c>
      <c r="C230" s="2" t="s">
        <v>6722</v>
      </c>
      <c r="D230" s="2" t="s">
        <v>6723</v>
      </c>
      <c r="E230" s="2" t="s">
        <v>6724</v>
      </c>
      <c r="F230" s="2">
        <v>4</v>
      </c>
      <c r="G230" s="2">
        <v>4</v>
      </c>
      <c r="H230" s="2" t="s">
        <v>60</v>
      </c>
      <c r="I230" s="2" t="s">
        <v>7375</v>
      </c>
    </row>
    <row r="231" spans="1:9" ht="33.75" customHeight="1" x14ac:dyDescent="0.25">
      <c r="A231" s="3" t="s">
        <v>1528</v>
      </c>
      <c r="B231" s="3" t="s">
        <v>6728</v>
      </c>
      <c r="C231" s="3" t="s">
        <v>6729</v>
      </c>
      <c r="D231" s="3" t="s">
        <v>6730</v>
      </c>
      <c r="E231" s="3" t="s">
        <v>6731</v>
      </c>
      <c r="F231" s="3">
        <v>4</v>
      </c>
      <c r="G231" s="3">
        <v>4</v>
      </c>
      <c r="H231" s="3" t="s">
        <v>60</v>
      </c>
      <c r="I231" s="3" t="s">
        <v>7375</v>
      </c>
    </row>
    <row r="232" spans="1:9" ht="33.75" customHeight="1" x14ac:dyDescent="0.25">
      <c r="A232" s="2" t="s">
        <v>677</v>
      </c>
      <c r="B232" s="2" t="s">
        <v>6734</v>
      </c>
      <c r="C232" s="2" t="s">
        <v>6735</v>
      </c>
      <c r="D232" s="2" t="s">
        <v>6736</v>
      </c>
      <c r="E232" s="2" t="s">
        <v>6737</v>
      </c>
      <c r="F232" s="2">
        <v>4</v>
      </c>
      <c r="G232" s="2">
        <v>4</v>
      </c>
      <c r="H232" s="2" t="s">
        <v>60</v>
      </c>
      <c r="I232" s="2" t="s">
        <v>7375</v>
      </c>
    </row>
    <row r="233" spans="1:9" ht="33.75" customHeight="1" x14ac:dyDescent="0.25">
      <c r="A233" s="3" t="s">
        <v>1494</v>
      </c>
      <c r="B233" s="3" t="s">
        <v>6739</v>
      </c>
      <c r="C233" s="3" t="s">
        <v>6740</v>
      </c>
      <c r="D233" s="3" t="s">
        <v>6741</v>
      </c>
      <c r="E233" s="3" t="s">
        <v>6742</v>
      </c>
      <c r="F233" s="3">
        <v>4</v>
      </c>
      <c r="G233" s="3">
        <v>4</v>
      </c>
      <c r="H233" s="3" t="s">
        <v>60</v>
      </c>
      <c r="I233" s="3" t="s">
        <v>7375</v>
      </c>
    </row>
    <row r="234" spans="1:9" ht="33.75" customHeight="1" x14ac:dyDescent="0.25">
      <c r="A234" s="2" t="s">
        <v>1795</v>
      </c>
      <c r="B234" s="2" t="s">
        <v>6745</v>
      </c>
      <c r="C234" s="2" t="s">
        <v>6746</v>
      </c>
      <c r="D234" s="2" t="s">
        <v>6747</v>
      </c>
      <c r="E234" s="2" t="s">
        <v>6748</v>
      </c>
      <c r="F234" s="2">
        <v>4</v>
      </c>
      <c r="G234" s="2">
        <v>4</v>
      </c>
      <c r="H234" s="2" t="s">
        <v>60</v>
      </c>
      <c r="I234" s="2" t="s">
        <v>7375</v>
      </c>
    </row>
    <row r="235" spans="1:9" ht="33.75" customHeight="1" x14ac:dyDescent="0.25">
      <c r="A235" s="3" t="s">
        <v>4135</v>
      </c>
      <c r="B235" s="3" t="s">
        <v>6752</v>
      </c>
      <c r="C235" s="3" t="s">
        <v>6753</v>
      </c>
      <c r="D235" s="3" t="s">
        <v>6754</v>
      </c>
      <c r="E235" s="3" t="s">
        <v>6755</v>
      </c>
      <c r="F235" s="3">
        <v>4</v>
      </c>
      <c r="G235" s="3">
        <v>4</v>
      </c>
      <c r="H235" s="3" t="s">
        <v>60</v>
      </c>
      <c r="I235" s="3" t="s">
        <v>7375</v>
      </c>
    </row>
    <row r="236" spans="1:9" ht="33.75" customHeight="1" x14ac:dyDescent="0.25">
      <c r="A236" s="2" t="s">
        <v>1967</v>
      </c>
      <c r="B236" s="2" t="s">
        <v>6759</v>
      </c>
      <c r="C236" s="2" t="s">
        <v>6760</v>
      </c>
      <c r="D236" s="2" t="s">
        <v>6761</v>
      </c>
      <c r="E236" s="2" t="s">
        <v>6762</v>
      </c>
      <c r="F236" s="2">
        <v>4</v>
      </c>
      <c r="G236" s="2">
        <v>4</v>
      </c>
      <c r="H236" s="2" t="s">
        <v>60</v>
      </c>
      <c r="I236" s="2" t="s">
        <v>7375</v>
      </c>
    </row>
    <row r="237" spans="1:9" ht="33.75" customHeight="1" x14ac:dyDescent="0.25">
      <c r="A237" s="3" t="s">
        <v>1560</v>
      </c>
      <c r="B237" s="3" t="s">
        <v>6766</v>
      </c>
      <c r="C237" s="3" t="s">
        <v>6767</v>
      </c>
      <c r="D237" s="3" t="s">
        <v>6768</v>
      </c>
      <c r="E237" s="3" t="s">
        <v>6769</v>
      </c>
      <c r="F237" s="3">
        <v>4</v>
      </c>
      <c r="G237" s="3">
        <v>4</v>
      </c>
      <c r="H237" s="3" t="s">
        <v>60</v>
      </c>
      <c r="I237" s="3" t="s">
        <v>7375</v>
      </c>
    </row>
    <row r="238" spans="1:9" ht="33.75" customHeight="1" x14ac:dyDescent="0.25">
      <c r="A238" s="2" t="s">
        <v>2458</v>
      </c>
      <c r="B238" s="2" t="s">
        <v>6772</v>
      </c>
      <c r="C238" s="2" t="s">
        <v>6773</v>
      </c>
      <c r="D238" s="2" t="s">
        <v>6774</v>
      </c>
      <c r="E238" s="2" t="s">
        <v>6775</v>
      </c>
      <c r="F238" s="2">
        <v>4</v>
      </c>
      <c r="G238" s="2">
        <v>4</v>
      </c>
      <c r="H238" s="2" t="s">
        <v>60</v>
      </c>
      <c r="I238" s="2" t="s">
        <v>7375</v>
      </c>
    </row>
    <row r="239" spans="1:9" ht="33.75" customHeight="1" x14ac:dyDescent="0.25">
      <c r="A239" s="3" t="s">
        <v>422</v>
      </c>
      <c r="B239" s="3" t="s">
        <v>6780</v>
      </c>
      <c r="C239" s="3" t="s">
        <v>6781</v>
      </c>
      <c r="D239" s="3" t="s">
        <v>6782</v>
      </c>
      <c r="E239" s="3" t="s">
        <v>6783</v>
      </c>
      <c r="F239" s="3">
        <v>4</v>
      </c>
      <c r="G239" s="3">
        <v>4</v>
      </c>
      <c r="H239" s="3" t="s">
        <v>60</v>
      </c>
      <c r="I239" s="3" t="s">
        <v>7375</v>
      </c>
    </row>
    <row r="240" spans="1:9" ht="33.75" customHeight="1" x14ac:dyDescent="0.25">
      <c r="A240" s="2" t="s">
        <v>214</v>
      </c>
      <c r="B240" s="2" t="s">
        <v>6788</v>
      </c>
      <c r="C240" s="2" t="s">
        <v>6789</v>
      </c>
      <c r="D240" s="2" t="s">
        <v>6790</v>
      </c>
      <c r="E240" s="2" t="s">
        <v>6791</v>
      </c>
      <c r="F240" s="2">
        <v>4</v>
      </c>
      <c r="G240" s="2">
        <v>4</v>
      </c>
      <c r="H240" s="2" t="s">
        <v>60</v>
      </c>
      <c r="I240" s="2" t="s">
        <v>7375</v>
      </c>
    </row>
    <row r="241" spans="1:9" ht="33.75" customHeight="1" x14ac:dyDescent="0.25">
      <c r="A241" s="3" t="s">
        <v>1928</v>
      </c>
      <c r="B241" s="3" t="s">
        <v>6795</v>
      </c>
      <c r="C241" s="3" t="s">
        <v>6796</v>
      </c>
      <c r="D241" s="3" t="s">
        <v>6797</v>
      </c>
      <c r="E241" s="3" t="s">
        <v>6798</v>
      </c>
      <c r="F241" s="3">
        <v>4</v>
      </c>
      <c r="G241" s="3">
        <v>4</v>
      </c>
      <c r="H241" s="3" t="s">
        <v>60</v>
      </c>
      <c r="I241" s="3" t="s">
        <v>7375</v>
      </c>
    </row>
    <row r="242" spans="1:9" ht="33.75" customHeight="1" x14ac:dyDescent="0.25">
      <c r="A242" s="2" t="s">
        <v>2288</v>
      </c>
      <c r="B242" s="2" t="s">
        <v>6800</v>
      </c>
      <c r="C242" s="2" t="s">
        <v>6801</v>
      </c>
      <c r="D242" s="2" t="s">
        <v>6802</v>
      </c>
      <c r="E242" s="2" t="s">
        <v>6803</v>
      </c>
      <c r="F242" s="2">
        <v>4</v>
      </c>
      <c r="G242" s="2">
        <v>4</v>
      </c>
      <c r="H242" s="2" t="s">
        <v>60</v>
      </c>
      <c r="I242" s="2" t="s">
        <v>7375</v>
      </c>
    </row>
    <row r="243" spans="1:9" ht="33.75" customHeight="1" x14ac:dyDescent="0.25">
      <c r="A243" s="3" t="s">
        <v>1944</v>
      </c>
      <c r="B243" s="3" t="s">
        <v>6806</v>
      </c>
      <c r="C243" s="3" t="s">
        <v>6807</v>
      </c>
      <c r="D243" s="3" t="s">
        <v>6808</v>
      </c>
      <c r="E243" s="3" t="s">
        <v>6809</v>
      </c>
      <c r="F243" s="3">
        <v>4</v>
      </c>
      <c r="G243" s="3">
        <v>4</v>
      </c>
      <c r="H243" s="3" t="s">
        <v>60</v>
      </c>
      <c r="I243" s="3" t="s">
        <v>7375</v>
      </c>
    </row>
    <row r="244" spans="1:9" ht="33.75" customHeight="1" x14ac:dyDescent="0.25">
      <c r="A244" s="2" t="s">
        <v>2300</v>
      </c>
      <c r="B244" s="2" t="s">
        <v>6811</v>
      </c>
      <c r="C244" s="2" t="s">
        <v>6812</v>
      </c>
      <c r="D244" s="2" t="s">
        <v>6813</v>
      </c>
      <c r="E244" s="2" t="s">
        <v>6814</v>
      </c>
      <c r="F244" s="2">
        <v>4</v>
      </c>
      <c r="G244" s="2">
        <v>4</v>
      </c>
      <c r="H244" s="2" t="s">
        <v>60</v>
      </c>
      <c r="I244" s="2" t="s">
        <v>7375</v>
      </c>
    </row>
    <row r="245" spans="1:9" ht="33.75" customHeight="1" x14ac:dyDescent="0.25">
      <c r="A245" s="3" t="s">
        <v>3168</v>
      </c>
      <c r="B245" s="3" t="s">
        <v>6818</v>
      </c>
      <c r="C245" s="3" t="s">
        <v>6819</v>
      </c>
      <c r="D245" s="3" t="s">
        <v>6820</v>
      </c>
      <c r="E245" s="3" t="s">
        <v>6821</v>
      </c>
      <c r="F245" s="3">
        <v>4</v>
      </c>
      <c r="G245" s="3">
        <v>4</v>
      </c>
      <c r="H245" s="3" t="s">
        <v>60</v>
      </c>
      <c r="I245" s="3" t="s">
        <v>7375</v>
      </c>
    </row>
    <row r="246" spans="1:9" ht="33.75" customHeight="1" x14ac:dyDescent="0.25">
      <c r="A246" s="2" t="s">
        <v>2282</v>
      </c>
      <c r="B246" s="2" t="s">
        <v>6825</v>
      </c>
      <c r="C246" s="2" t="s">
        <v>6826</v>
      </c>
      <c r="D246" s="2" t="s">
        <v>6827</v>
      </c>
      <c r="E246" s="2" t="s">
        <v>6828</v>
      </c>
      <c r="F246" s="2">
        <v>4</v>
      </c>
      <c r="G246" s="2">
        <v>4</v>
      </c>
      <c r="H246" s="2" t="s">
        <v>60</v>
      </c>
      <c r="I246" s="2" t="s">
        <v>7375</v>
      </c>
    </row>
    <row r="247" spans="1:9" ht="33.75" customHeight="1" x14ac:dyDescent="0.25">
      <c r="A247" s="3" t="s">
        <v>4129</v>
      </c>
      <c r="B247" s="3" t="s">
        <v>6832</v>
      </c>
      <c r="C247" s="3" t="s">
        <v>6833</v>
      </c>
      <c r="D247" s="3" t="s">
        <v>6834</v>
      </c>
      <c r="E247" s="3" t="s">
        <v>6835</v>
      </c>
      <c r="F247" s="3">
        <v>4</v>
      </c>
      <c r="G247" s="3">
        <v>4</v>
      </c>
      <c r="H247" s="3" t="s">
        <v>60</v>
      </c>
      <c r="I247" s="3" t="s">
        <v>7375</v>
      </c>
    </row>
    <row r="248" spans="1:9" ht="33.75" customHeight="1" x14ac:dyDescent="0.25">
      <c r="A248" s="2" t="s">
        <v>1644</v>
      </c>
      <c r="B248" s="2" t="s">
        <v>6840</v>
      </c>
      <c r="C248" s="2" t="s">
        <v>6841</v>
      </c>
      <c r="D248" s="2" t="s">
        <v>6842</v>
      </c>
      <c r="E248" s="2" t="s">
        <v>6843</v>
      </c>
      <c r="F248" s="2">
        <v>4</v>
      </c>
      <c r="G248" s="2">
        <v>4</v>
      </c>
      <c r="H248" s="2" t="s">
        <v>60</v>
      </c>
      <c r="I248" s="2" t="s">
        <v>7375</v>
      </c>
    </row>
    <row r="249" spans="1:9" ht="33.75" customHeight="1" x14ac:dyDescent="0.25">
      <c r="A249" s="3" t="s">
        <v>3305</v>
      </c>
      <c r="B249" s="3" t="s">
        <v>6848</v>
      </c>
      <c r="C249" s="3" t="s">
        <v>6849</v>
      </c>
      <c r="D249" s="3" t="s">
        <v>6850</v>
      </c>
      <c r="E249" s="3" t="s">
        <v>6851</v>
      </c>
      <c r="F249" s="3">
        <v>4</v>
      </c>
      <c r="G249" s="3">
        <v>4</v>
      </c>
      <c r="H249" s="3" t="s">
        <v>60</v>
      </c>
      <c r="I249" s="3" t="s">
        <v>7375</v>
      </c>
    </row>
    <row r="250" spans="1:9" ht="33.75" customHeight="1" x14ac:dyDescent="0.25">
      <c r="A250" s="2" t="s">
        <v>1008</v>
      </c>
      <c r="B250" s="2" t="s">
        <v>6856</v>
      </c>
      <c r="C250" s="2" t="s">
        <v>6857</v>
      </c>
      <c r="D250" s="2" t="s">
        <v>6858</v>
      </c>
      <c r="E250" s="2" t="s">
        <v>6859</v>
      </c>
      <c r="F250" s="2">
        <v>4</v>
      </c>
      <c r="G250" s="2">
        <v>4</v>
      </c>
      <c r="H250" s="2" t="s">
        <v>60</v>
      </c>
      <c r="I250" s="2" t="s">
        <v>7375</v>
      </c>
    </row>
    <row r="251" spans="1:9" ht="33.75" customHeight="1" x14ac:dyDescent="0.25">
      <c r="A251" s="3" t="s">
        <v>414</v>
      </c>
      <c r="B251" s="3" t="s">
        <v>6864</v>
      </c>
      <c r="C251" s="3" t="s">
        <v>6865</v>
      </c>
      <c r="D251" s="3" t="s">
        <v>6866</v>
      </c>
      <c r="E251" s="3" t="s">
        <v>6867</v>
      </c>
      <c r="F251" s="3">
        <v>4</v>
      </c>
      <c r="G251" s="3">
        <v>4</v>
      </c>
      <c r="H251" s="3" t="s">
        <v>60</v>
      </c>
      <c r="I251" s="3" t="s">
        <v>7375</v>
      </c>
    </row>
    <row r="252" spans="1:9" ht="33.75" customHeight="1" x14ac:dyDescent="0.25">
      <c r="A252" s="2" t="s">
        <v>1453</v>
      </c>
      <c r="B252" s="2" t="s">
        <v>6872</v>
      </c>
      <c r="C252" s="2" t="s">
        <v>6873</v>
      </c>
      <c r="D252" s="2" t="s">
        <v>6874</v>
      </c>
      <c r="E252" s="2" t="s">
        <v>6875</v>
      </c>
      <c r="F252" s="2">
        <v>4</v>
      </c>
      <c r="G252" s="2">
        <v>4</v>
      </c>
      <c r="H252" s="2" t="s">
        <v>60</v>
      </c>
      <c r="I252" s="2" t="s">
        <v>7375</v>
      </c>
    </row>
    <row r="253" spans="1:9" ht="33.75" customHeight="1" x14ac:dyDescent="0.25">
      <c r="A253" s="3" t="s">
        <v>948</v>
      </c>
      <c r="B253" s="3" t="s">
        <v>6879</v>
      </c>
      <c r="C253" s="3" t="s">
        <v>6880</v>
      </c>
      <c r="D253" s="3" t="s">
        <v>6881</v>
      </c>
      <c r="E253" s="3" t="s">
        <v>6882</v>
      </c>
      <c r="F253" s="3">
        <v>4</v>
      </c>
      <c r="G253" s="3">
        <v>4</v>
      </c>
      <c r="H253" s="3" t="s">
        <v>60</v>
      </c>
      <c r="I253" s="3" t="s">
        <v>7375</v>
      </c>
    </row>
    <row r="254" spans="1:9" ht="33.75" customHeight="1" x14ac:dyDescent="0.25">
      <c r="A254" s="2" t="s">
        <v>669</v>
      </c>
      <c r="B254" s="2" t="s">
        <v>6887</v>
      </c>
      <c r="C254" s="2" t="s">
        <v>6888</v>
      </c>
      <c r="D254" s="2" t="s">
        <v>6889</v>
      </c>
      <c r="E254" s="2" t="s">
        <v>6890</v>
      </c>
      <c r="F254" s="2">
        <v>4</v>
      </c>
      <c r="G254" s="2">
        <v>4</v>
      </c>
      <c r="H254" s="2" t="s">
        <v>60</v>
      </c>
      <c r="I254" s="2" t="s">
        <v>7375</v>
      </c>
    </row>
    <row r="255" spans="1:9" ht="33.75" customHeight="1" x14ac:dyDescent="0.25">
      <c r="A255" s="3" t="s">
        <v>695</v>
      </c>
      <c r="B255" s="3" t="s">
        <v>6895</v>
      </c>
      <c r="C255" s="3" t="s">
        <v>6896</v>
      </c>
      <c r="D255" s="3" t="s">
        <v>6897</v>
      </c>
      <c r="E255" s="3" t="s">
        <v>6898</v>
      </c>
      <c r="F255" s="3">
        <v>4</v>
      </c>
      <c r="G255" s="3">
        <v>4</v>
      </c>
      <c r="H255" s="3" t="s">
        <v>60</v>
      </c>
      <c r="I255" s="3" t="s">
        <v>7375</v>
      </c>
    </row>
    <row r="256" spans="1:9" ht="33.75" customHeight="1" x14ac:dyDescent="0.25">
      <c r="A256" s="2" t="s">
        <v>1236</v>
      </c>
      <c r="B256" s="2" t="s">
        <v>6903</v>
      </c>
      <c r="C256" s="2" t="s">
        <v>6904</v>
      </c>
      <c r="D256" s="2" t="s">
        <v>6905</v>
      </c>
      <c r="E256" s="2" t="s">
        <v>6906</v>
      </c>
      <c r="F256" s="2">
        <v>4</v>
      </c>
      <c r="G256" s="2">
        <v>4</v>
      </c>
      <c r="H256" s="2" t="s">
        <v>60</v>
      </c>
      <c r="I256" s="2" t="s">
        <v>7375</v>
      </c>
    </row>
    <row r="257" spans="1:9" ht="33.75" customHeight="1" x14ac:dyDescent="0.25">
      <c r="A257" s="3" t="s">
        <v>3234</v>
      </c>
      <c r="B257" s="3" t="s">
        <v>6911</v>
      </c>
      <c r="C257" s="3" t="s">
        <v>6912</v>
      </c>
      <c r="D257" s="3" t="s">
        <v>6913</v>
      </c>
      <c r="E257" s="3" t="s">
        <v>6914</v>
      </c>
      <c r="F257" s="3">
        <v>4</v>
      </c>
      <c r="G257" s="3">
        <v>4</v>
      </c>
      <c r="H257" s="3" t="s">
        <v>60</v>
      </c>
      <c r="I257" s="3" t="s">
        <v>7375</v>
      </c>
    </row>
    <row r="258" spans="1:9" ht="33.75" customHeight="1" x14ac:dyDescent="0.25">
      <c r="A258" s="2" t="s">
        <v>608</v>
      </c>
      <c r="B258" s="2" t="s">
        <v>6918</v>
      </c>
      <c r="C258" s="2" t="s">
        <v>6919</v>
      </c>
      <c r="D258" s="2" t="s">
        <v>6920</v>
      </c>
      <c r="E258" s="2" t="s">
        <v>6921</v>
      </c>
      <c r="F258" s="2">
        <v>4</v>
      </c>
      <c r="G258" s="2">
        <v>4</v>
      </c>
      <c r="H258" s="2" t="s">
        <v>60</v>
      </c>
      <c r="I258" s="2" t="s">
        <v>7375</v>
      </c>
    </row>
    <row r="259" spans="1:9" ht="33.75" customHeight="1" x14ac:dyDescent="0.25">
      <c r="A259" s="3" t="s">
        <v>720</v>
      </c>
      <c r="B259" s="3" t="s">
        <v>6925</v>
      </c>
      <c r="C259" s="3" t="s">
        <v>6926</v>
      </c>
      <c r="D259" s="3" t="s">
        <v>6927</v>
      </c>
      <c r="E259" s="3" t="s">
        <v>6928</v>
      </c>
      <c r="F259" s="3">
        <v>4</v>
      </c>
      <c r="G259" s="3">
        <v>4</v>
      </c>
      <c r="H259" s="3" t="s">
        <v>60</v>
      </c>
      <c r="I259" s="3" t="s">
        <v>7375</v>
      </c>
    </row>
    <row r="260" spans="1:9" ht="33.75" customHeight="1" x14ac:dyDescent="0.25">
      <c r="A260" s="2" t="s">
        <v>3749</v>
      </c>
      <c r="B260" s="2" t="s">
        <v>6932</v>
      </c>
      <c r="C260" s="2" t="s">
        <v>6933</v>
      </c>
      <c r="D260" s="2" t="s">
        <v>6934</v>
      </c>
      <c r="E260" s="2" t="s">
        <v>6935</v>
      </c>
      <c r="F260" s="2">
        <v>4</v>
      </c>
      <c r="G260" s="2">
        <v>4</v>
      </c>
      <c r="H260" s="2" t="s">
        <v>60</v>
      </c>
      <c r="I260" s="2" t="s">
        <v>7375</v>
      </c>
    </row>
    <row r="261" spans="1:9" ht="33.75" customHeight="1" x14ac:dyDescent="0.25">
      <c r="A261" s="3" t="s">
        <v>1222</v>
      </c>
      <c r="B261" s="3" t="s">
        <v>6940</v>
      </c>
      <c r="C261" s="3" t="s">
        <v>6941</v>
      </c>
      <c r="D261" s="3" t="s">
        <v>6942</v>
      </c>
      <c r="E261" s="3" t="s">
        <v>6943</v>
      </c>
      <c r="F261" s="3">
        <v>4</v>
      </c>
      <c r="G261" s="3">
        <v>4</v>
      </c>
      <c r="H261" s="3" t="s">
        <v>60</v>
      </c>
      <c r="I261" s="3" t="s">
        <v>7375</v>
      </c>
    </row>
    <row r="262" spans="1:9" ht="33.75" customHeight="1" x14ac:dyDescent="0.25">
      <c r="A262" s="2" t="s">
        <v>2214</v>
      </c>
      <c r="B262" s="2" t="s">
        <v>6947</v>
      </c>
      <c r="C262" s="2" t="s">
        <v>6948</v>
      </c>
      <c r="D262" s="2" t="s">
        <v>6949</v>
      </c>
      <c r="E262" s="2" t="s">
        <v>6950</v>
      </c>
      <c r="F262" s="2">
        <v>4</v>
      </c>
      <c r="G262" s="2">
        <v>4</v>
      </c>
      <c r="H262" s="2" t="s">
        <v>60</v>
      </c>
      <c r="I262" s="2" t="s">
        <v>7375</v>
      </c>
    </row>
    <row r="263" spans="1:9" ht="33.75" customHeight="1" x14ac:dyDescent="0.25">
      <c r="A263" s="3" t="s">
        <v>1189</v>
      </c>
      <c r="B263" s="3" t="s">
        <v>6955</v>
      </c>
      <c r="C263" s="3" t="s">
        <v>6956</v>
      </c>
      <c r="D263" s="3" t="s">
        <v>6957</v>
      </c>
      <c r="E263" s="3" t="s">
        <v>6958</v>
      </c>
      <c r="F263" s="3">
        <v>4</v>
      </c>
      <c r="G263" s="3">
        <v>4</v>
      </c>
      <c r="H263" s="3" t="s">
        <v>60</v>
      </c>
      <c r="I263" s="3" t="s">
        <v>7375</v>
      </c>
    </row>
    <row r="264" spans="1:9" ht="33.75" customHeight="1" x14ac:dyDescent="0.25">
      <c r="A264" s="2" t="s">
        <v>2634</v>
      </c>
      <c r="B264" s="2" t="s">
        <v>6963</v>
      </c>
      <c r="C264" s="2" t="s">
        <v>6964</v>
      </c>
      <c r="D264" s="2" t="s">
        <v>6965</v>
      </c>
      <c r="E264" s="2" t="s">
        <v>6966</v>
      </c>
      <c r="F264" s="2">
        <v>4</v>
      </c>
      <c r="G264" s="2">
        <v>4</v>
      </c>
      <c r="H264" s="2" t="s">
        <v>60</v>
      </c>
      <c r="I264" s="2" t="s">
        <v>7375</v>
      </c>
    </row>
    <row r="265" spans="1:9" ht="33.75" customHeight="1" x14ac:dyDescent="0.25">
      <c r="A265" s="3" t="s">
        <v>2373</v>
      </c>
      <c r="B265" s="3" t="s">
        <v>6971</v>
      </c>
      <c r="C265" s="3" t="s">
        <v>6972</v>
      </c>
      <c r="D265" s="3" t="s">
        <v>6973</v>
      </c>
      <c r="E265" s="3" t="s">
        <v>6974</v>
      </c>
      <c r="F265" s="3">
        <v>4</v>
      </c>
      <c r="G265" s="3">
        <v>4</v>
      </c>
      <c r="H265" s="3" t="s">
        <v>60</v>
      </c>
      <c r="I265" s="3" t="s">
        <v>7375</v>
      </c>
    </row>
    <row r="266" spans="1:9" ht="33.75" customHeight="1" x14ac:dyDescent="0.25">
      <c r="A266" s="2" t="s">
        <v>864</v>
      </c>
      <c r="B266" s="2" t="s">
        <v>6979</v>
      </c>
      <c r="C266" s="2" t="s">
        <v>6980</v>
      </c>
      <c r="D266" s="2" t="s">
        <v>6981</v>
      </c>
      <c r="E266" s="2" t="s">
        <v>6982</v>
      </c>
      <c r="F266" s="2">
        <v>4</v>
      </c>
      <c r="G266" s="2">
        <v>4</v>
      </c>
      <c r="H266" s="2" t="s">
        <v>60</v>
      </c>
      <c r="I266" s="2" t="s">
        <v>7375</v>
      </c>
    </row>
    <row r="267" spans="1:9" ht="33.75" customHeight="1" x14ac:dyDescent="0.25">
      <c r="A267" s="3" t="s">
        <v>1741</v>
      </c>
      <c r="B267" s="3" t="s">
        <v>6986</v>
      </c>
      <c r="C267" s="3" t="s">
        <v>6987</v>
      </c>
      <c r="D267" s="3" t="s">
        <v>6988</v>
      </c>
      <c r="E267" s="3" t="s">
        <v>6989</v>
      </c>
      <c r="F267" s="3">
        <v>4</v>
      </c>
      <c r="G267" s="3">
        <v>4</v>
      </c>
      <c r="H267" s="3" t="s">
        <v>60</v>
      </c>
      <c r="I267" s="3" t="s">
        <v>7375</v>
      </c>
    </row>
    <row r="268" spans="1:9" ht="33.75" customHeight="1" x14ac:dyDescent="0.25">
      <c r="A268" s="2" t="s">
        <v>2037</v>
      </c>
      <c r="B268" s="2" t="s">
        <v>6994</v>
      </c>
      <c r="C268" s="2" t="s">
        <v>6995</v>
      </c>
      <c r="D268" s="2" t="s">
        <v>6996</v>
      </c>
      <c r="E268" s="2" t="s">
        <v>6997</v>
      </c>
      <c r="F268" s="2">
        <v>4</v>
      </c>
      <c r="G268" s="2">
        <v>4</v>
      </c>
      <c r="H268" s="2" t="s">
        <v>60</v>
      </c>
      <c r="I268" s="2" t="s">
        <v>7375</v>
      </c>
    </row>
    <row r="269" spans="1:9" ht="33.75" customHeight="1" x14ac:dyDescent="0.25">
      <c r="A269" s="3" t="s">
        <v>3349</v>
      </c>
      <c r="B269" s="3" t="s">
        <v>7001</v>
      </c>
      <c r="C269" s="3" t="s">
        <v>7002</v>
      </c>
      <c r="D269" s="3" t="s">
        <v>7003</v>
      </c>
      <c r="E269" s="3" t="s">
        <v>7004</v>
      </c>
      <c r="F269" s="3">
        <v>4</v>
      </c>
      <c r="G269" s="3">
        <v>4</v>
      </c>
      <c r="H269" s="3" t="s">
        <v>60</v>
      </c>
      <c r="I269" s="3" t="s">
        <v>7375</v>
      </c>
    </row>
    <row r="270" spans="1:9" ht="33.75" customHeight="1" x14ac:dyDescent="0.25">
      <c r="A270" s="2" t="s">
        <v>340</v>
      </c>
      <c r="B270" s="2" t="s">
        <v>7008</v>
      </c>
      <c r="C270" s="2" t="s">
        <v>7009</v>
      </c>
      <c r="D270" s="2" t="s">
        <v>7010</v>
      </c>
      <c r="E270" s="2" t="s">
        <v>7011</v>
      </c>
      <c r="F270" s="2">
        <v>4</v>
      </c>
      <c r="G270" s="2">
        <v>4</v>
      </c>
      <c r="H270" s="2" t="s">
        <v>60</v>
      </c>
      <c r="I270" s="2" t="s">
        <v>7375</v>
      </c>
    </row>
    <row r="271" spans="1:9" ht="33.75" customHeight="1" x14ac:dyDescent="0.25">
      <c r="A271" s="3" t="s">
        <v>2454</v>
      </c>
      <c r="B271" s="3" t="s">
        <v>7014</v>
      </c>
      <c r="C271" s="3" t="s">
        <v>7015</v>
      </c>
      <c r="D271" s="3" t="s">
        <v>7016</v>
      </c>
      <c r="E271" s="3" t="s">
        <v>7017</v>
      </c>
      <c r="F271" s="3">
        <v>4</v>
      </c>
      <c r="G271" s="3">
        <v>4</v>
      </c>
      <c r="H271" s="3" t="s">
        <v>60</v>
      </c>
      <c r="I271" s="3" t="s">
        <v>7375</v>
      </c>
    </row>
    <row r="272" spans="1:9" ht="33.75" customHeight="1" x14ac:dyDescent="0.25">
      <c r="A272" s="2" t="s">
        <v>2450</v>
      </c>
      <c r="B272" s="2" t="s">
        <v>7020</v>
      </c>
      <c r="C272" s="2" t="s">
        <v>7021</v>
      </c>
      <c r="D272" s="2" t="s">
        <v>7022</v>
      </c>
      <c r="E272" s="2" t="s">
        <v>7023</v>
      </c>
      <c r="F272" s="2">
        <v>4</v>
      </c>
      <c r="G272" s="2">
        <v>4</v>
      </c>
      <c r="H272" s="2" t="s">
        <v>60</v>
      </c>
      <c r="I272" s="2" t="s">
        <v>7375</v>
      </c>
    </row>
    <row r="273" spans="1:9" ht="33.75" customHeight="1" x14ac:dyDescent="0.25">
      <c r="A273" s="3" t="s">
        <v>2401</v>
      </c>
      <c r="B273" s="3" t="s">
        <v>7028</v>
      </c>
      <c r="C273" s="3" t="s">
        <v>7029</v>
      </c>
      <c r="D273" s="3" t="s">
        <v>7030</v>
      </c>
      <c r="E273" s="3" t="s">
        <v>7031</v>
      </c>
      <c r="F273" s="3">
        <v>4</v>
      </c>
      <c r="G273" s="3">
        <v>4</v>
      </c>
      <c r="H273" s="3" t="s">
        <v>60</v>
      </c>
      <c r="I273" s="3" t="s">
        <v>7375</v>
      </c>
    </row>
    <row r="274" spans="1:9" ht="33.75" customHeight="1" x14ac:dyDescent="0.25">
      <c r="A274" s="2" t="s">
        <v>2033</v>
      </c>
      <c r="B274" s="2" t="s">
        <v>7035</v>
      </c>
      <c r="C274" s="2" t="s">
        <v>7036</v>
      </c>
      <c r="D274" s="2" t="s">
        <v>7037</v>
      </c>
      <c r="E274" s="2" t="s">
        <v>7038</v>
      </c>
      <c r="F274" s="2">
        <v>4</v>
      </c>
      <c r="G274" s="2">
        <v>4</v>
      </c>
      <c r="H274" s="2" t="s">
        <v>60</v>
      </c>
      <c r="I274" s="2" t="s">
        <v>7375</v>
      </c>
    </row>
    <row r="275" spans="1:9" ht="33.75" customHeight="1" x14ac:dyDescent="0.25">
      <c r="A275" s="3" t="s">
        <v>3765</v>
      </c>
      <c r="B275" s="3" t="s">
        <v>7042</v>
      </c>
      <c r="C275" s="3" t="s">
        <v>7043</v>
      </c>
      <c r="D275" s="3" t="s">
        <v>7044</v>
      </c>
      <c r="E275" s="3" t="s">
        <v>7045</v>
      </c>
      <c r="F275" s="3">
        <v>4</v>
      </c>
      <c r="G275" s="3">
        <v>4</v>
      </c>
      <c r="H275" s="3" t="s">
        <v>60</v>
      </c>
      <c r="I275" s="3" t="s">
        <v>7375</v>
      </c>
    </row>
    <row r="276" spans="1:9" ht="33.75" customHeight="1" x14ac:dyDescent="0.25">
      <c r="A276" s="2" t="s">
        <v>1360</v>
      </c>
      <c r="B276" s="2" t="s">
        <v>7049</v>
      </c>
      <c r="C276" s="2" t="s">
        <v>7050</v>
      </c>
      <c r="D276" s="2" t="s">
        <v>7051</v>
      </c>
      <c r="E276" s="2" t="s">
        <v>7052</v>
      </c>
      <c r="F276" s="2">
        <v>4</v>
      </c>
      <c r="G276" s="2">
        <v>4</v>
      </c>
      <c r="H276" s="2" t="s">
        <v>60</v>
      </c>
      <c r="I276" s="2" t="s">
        <v>7375</v>
      </c>
    </row>
    <row r="277" spans="1:9" ht="33.75" customHeight="1" x14ac:dyDescent="0.25">
      <c r="A277" s="3" t="s">
        <v>2210</v>
      </c>
      <c r="B277" s="3" t="s">
        <v>7056</v>
      </c>
      <c r="C277" s="3" t="s">
        <v>7057</v>
      </c>
      <c r="D277" s="3" t="s">
        <v>7058</v>
      </c>
      <c r="E277" s="3" t="s">
        <v>7059</v>
      </c>
      <c r="F277" s="3">
        <v>4</v>
      </c>
      <c r="G277" s="3">
        <v>4</v>
      </c>
      <c r="H277" s="3" t="s">
        <v>60</v>
      </c>
      <c r="I277" s="3" t="s">
        <v>7375</v>
      </c>
    </row>
    <row r="278" spans="1:9" ht="33.75" customHeight="1" x14ac:dyDescent="0.25">
      <c r="A278" s="2" t="s">
        <v>382</v>
      </c>
      <c r="B278" s="2" t="s">
        <v>7064</v>
      </c>
      <c r="C278" s="2" t="s">
        <v>7065</v>
      </c>
      <c r="D278" s="2" t="s">
        <v>7066</v>
      </c>
      <c r="E278" s="2" t="s">
        <v>7067</v>
      </c>
      <c r="F278" s="2">
        <v>4</v>
      </c>
      <c r="G278" s="2">
        <v>4</v>
      </c>
      <c r="H278" s="2" t="s">
        <v>60</v>
      </c>
      <c r="I278" s="2" t="s">
        <v>7375</v>
      </c>
    </row>
    <row r="279" spans="1:9" ht="33.75" customHeight="1" x14ac:dyDescent="0.25">
      <c r="A279" s="3" t="s">
        <v>681</v>
      </c>
      <c r="B279" s="3" t="s">
        <v>7072</v>
      </c>
      <c r="C279" s="3" t="s">
        <v>7073</v>
      </c>
      <c r="D279" s="3" t="s">
        <v>7074</v>
      </c>
      <c r="E279" s="3" t="s">
        <v>7075</v>
      </c>
      <c r="F279" s="3">
        <v>4</v>
      </c>
      <c r="G279" s="3">
        <v>4</v>
      </c>
      <c r="H279" s="3" t="s">
        <v>60</v>
      </c>
      <c r="I279" s="3" t="s">
        <v>7375</v>
      </c>
    </row>
    <row r="280" spans="1:9" ht="33.75" customHeight="1" x14ac:dyDescent="0.25">
      <c r="A280" s="2" t="s">
        <v>1572</v>
      </c>
      <c r="B280" s="2" t="s">
        <v>7080</v>
      </c>
      <c r="C280" s="2" t="s">
        <v>7081</v>
      </c>
      <c r="D280" s="2" t="s">
        <v>7082</v>
      </c>
      <c r="E280" s="2" t="s">
        <v>7083</v>
      </c>
      <c r="F280" s="2">
        <v>4</v>
      </c>
      <c r="G280" s="2">
        <v>4</v>
      </c>
      <c r="H280" s="2" t="s">
        <v>60</v>
      </c>
      <c r="I280" s="2" t="s">
        <v>7375</v>
      </c>
    </row>
    <row r="281" spans="1:9" ht="33.75" customHeight="1" x14ac:dyDescent="0.25">
      <c r="A281" s="3" t="s">
        <v>3531</v>
      </c>
      <c r="B281" s="3" t="s">
        <v>7086</v>
      </c>
      <c r="C281" s="3" t="s">
        <v>7087</v>
      </c>
      <c r="D281" s="3" t="s">
        <v>7088</v>
      </c>
      <c r="E281" s="3" t="s">
        <v>7089</v>
      </c>
      <c r="F281" s="3">
        <v>4</v>
      </c>
      <c r="G281" s="3">
        <v>4</v>
      </c>
      <c r="H281" s="3" t="s">
        <v>60</v>
      </c>
      <c r="I281" s="3" t="s">
        <v>7375</v>
      </c>
    </row>
    <row r="282" spans="1:9" ht="33.75" customHeight="1" x14ac:dyDescent="0.25">
      <c r="A282" s="2" t="s">
        <v>1959</v>
      </c>
      <c r="B282" s="2" t="s">
        <v>7092</v>
      </c>
      <c r="C282" s="2" t="s">
        <v>7093</v>
      </c>
      <c r="D282" s="2" t="s">
        <v>7094</v>
      </c>
      <c r="E282" s="2" t="s">
        <v>7095</v>
      </c>
      <c r="F282" s="2">
        <v>4</v>
      </c>
      <c r="G282" s="2">
        <v>4</v>
      </c>
      <c r="H282" s="2" t="s">
        <v>60</v>
      </c>
      <c r="I282" s="2" t="s">
        <v>7375</v>
      </c>
    </row>
    <row r="283" spans="1:9" ht="33.75" customHeight="1" x14ac:dyDescent="0.25">
      <c r="A283" s="3" t="s">
        <v>1963</v>
      </c>
      <c r="B283" s="3" t="s">
        <v>7098</v>
      </c>
      <c r="C283" s="3" t="s">
        <v>7099</v>
      </c>
      <c r="D283" s="3" t="s">
        <v>7100</v>
      </c>
      <c r="E283" s="3" t="s">
        <v>7101</v>
      </c>
      <c r="F283" s="3">
        <v>4</v>
      </c>
      <c r="G283" s="3">
        <v>4</v>
      </c>
      <c r="H283" s="3" t="s">
        <v>60</v>
      </c>
      <c r="I283" s="3" t="s">
        <v>7375</v>
      </c>
    </row>
    <row r="284" spans="1:9" ht="33.75" customHeight="1" x14ac:dyDescent="0.25">
      <c r="A284" s="2" t="s">
        <v>966</v>
      </c>
      <c r="B284" s="2" t="s">
        <v>7105</v>
      </c>
      <c r="C284" s="2" t="s">
        <v>7106</v>
      </c>
      <c r="D284" s="2" t="s">
        <v>7107</v>
      </c>
      <c r="E284" s="2" t="s">
        <v>7108</v>
      </c>
      <c r="F284" s="2">
        <v>4</v>
      </c>
      <c r="G284" s="2">
        <v>4</v>
      </c>
      <c r="H284" s="2" t="s">
        <v>60</v>
      </c>
      <c r="I284" s="2" t="s">
        <v>7375</v>
      </c>
    </row>
    <row r="285" spans="1:9" ht="33.75" customHeight="1" x14ac:dyDescent="0.25">
      <c r="A285" s="3" t="s">
        <v>2222</v>
      </c>
      <c r="B285" s="3" t="s">
        <v>7112</v>
      </c>
      <c r="C285" s="3" t="s">
        <v>7113</v>
      </c>
      <c r="D285" s="3" t="s">
        <v>7114</v>
      </c>
      <c r="E285" s="3" t="s">
        <v>7115</v>
      </c>
      <c r="F285" s="3">
        <v>4</v>
      </c>
      <c r="G285" s="3">
        <v>4</v>
      </c>
      <c r="H285" s="3" t="s">
        <v>60</v>
      </c>
      <c r="I285" s="3" t="s">
        <v>7375</v>
      </c>
    </row>
    <row r="286" spans="1:9" ht="33.75" customHeight="1" x14ac:dyDescent="0.25">
      <c r="A286" s="2" t="s">
        <v>390</v>
      </c>
      <c r="B286" s="2" t="s">
        <v>7120</v>
      </c>
      <c r="C286" s="2" t="s">
        <v>7121</v>
      </c>
      <c r="D286" s="2" t="s">
        <v>7122</v>
      </c>
      <c r="E286" s="2" t="s">
        <v>7123</v>
      </c>
      <c r="F286" s="2">
        <v>4</v>
      </c>
      <c r="G286" s="2">
        <v>4</v>
      </c>
      <c r="H286" s="2" t="s">
        <v>60</v>
      </c>
      <c r="I286" s="2" t="s">
        <v>7375</v>
      </c>
    </row>
    <row r="287" spans="1:9" ht="33.75" customHeight="1" x14ac:dyDescent="0.25">
      <c r="A287" s="3" t="s">
        <v>714</v>
      </c>
      <c r="B287" s="3" t="s">
        <v>7128</v>
      </c>
      <c r="C287" s="3" t="s">
        <v>7129</v>
      </c>
      <c r="D287" s="3" t="s">
        <v>7130</v>
      </c>
      <c r="E287" s="3" t="s">
        <v>7131</v>
      </c>
      <c r="F287" s="3">
        <v>4</v>
      </c>
      <c r="G287" s="3">
        <v>4</v>
      </c>
      <c r="H287" s="3" t="s">
        <v>60</v>
      </c>
      <c r="I287" s="3" t="s">
        <v>7375</v>
      </c>
    </row>
    <row r="288" spans="1:9" ht="33.75" customHeight="1" x14ac:dyDescent="0.25">
      <c r="A288" s="2" t="s">
        <v>1578</v>
      </c>
      <c r="B288" s="2" t="s">
        <v>7136</v>
      </c>
      <c r="C288" s="2" t="s">
        <v>7137</v>
      </c>
      <c r="D288" s="2" t="s">
        <v>7138</v>
      </c>
      <c r="E288" s="2" t="s">
        <v>7139</v>
      </c>
      <c r="F288" s="2">
        <v>4</v>
      </c>
      <c r="G288" s="2">
        <v>4</v>
      </c>
      <c r="H288" s="2" t="s">
        <v>60</v>
      </c>
      <c r="I288" s="2" t="s">
        <v>7375</v>
      </c>
    </row>
  </sheetData>
  <autoFilter ref="A1:I288" xr:uid="{00000000-0009-0000-0000-000009000000}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2" customWidth="1"/>
    <col min="3" max="3" width="27" customWidth="1"/>
  </cols>
  <sheetData>
    <row r="1" spans="1:3" ht="21.95" customHeight="1" x14ac:dyDescent="0.25">
      <c r="A1" s="1" t="s">
        <v>7387</v>
      </c>
      <c r="B1" s="1" t="s">
        <v>48</v>
      </c>
      <c r="C1" s="1" t="s">
        <v>7388</v>
      </c>
    </row>
    <row r="2" spans="1:3" ht="45" customHeight="1" x14ac:dyDescent="0.25">
      <c r="A2" s="2" t="s">
        <v>7389</v>
      </c>
      <c r="B2" s="2" t="s">
        <v>7390</v>
      </c>
      <c r="C2" s="2" t="s">
        <v>7391</v>
      </c>
    </row>
    <row r="3" spans="1:3" ht="45" customHeight="1" x14ac:dyDescent="0.25">
      <c r="A3" s="3" t="s">
        <v>7392</v>
      </c>
      <c r="B3" s="3" t="s">
        <v>7390</v>
      </c>
      <c r="C3" s="3" t="s">
        <v>7391</v>
      </c>
    </row>
  </sheetData>
  <autoFilter ref="A1:C3" xr:uid="{00000000-0009-0000-0000-00000A000000}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12" customWidth="1"/>
    <col min="5" max="5" width="16" customWidth="1"/>
  </cols>
  <sheetData>
    <row r="1" spans="1:5" ht="21.95" customHeight="1" x14ac:dyDescent="0.25">
      <c r="A1" s="1" t="s">
        <v>7393</v>
      </c>
      <c r="B1" s="1" t="s">
        <v>7394</v>
      </c>
      <c r="C1" s="1" t="s">
        <v>7395</v>
      </c>
      <c r="D1" s="1" t="s">
        <v>7396</v>
      </c>
      <c r="E1" s="1" t="s">
        <v>7397</v>
      </c>
    </row>
    <row r="2" spans="1:5" ht="45" customHeight="1" x14ac:dyDescent="0.25">
      <c r="A2" s="2" t="s">
        <v>7398</v>
      </c>
      <c r="B2" s="2" t="s">
        <v>7399</v>
      </c>
      <c r="C2" s="2" t="s">
        <v>7400</v>
      </c>
      <c r="D2" s="2" t="s">
        <v>7401</v>
      </c>
      <c r="E2" s="2" t="s">
        <v>7402</v>
      </c>
    </row>
  </sheetData>
  <autoFilter ref="A1:E2" xr:uid="{00000000-0009-0000-0000-00000B000000}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</cols>
  <sheetData>
    <row r="1" spans="1:2" ht="21.95" customHeight="1" x14ac:dyDescent="0.25">
      <c r="A1" s="1" t="s">
        <v>7403</v>
      </c>
      <c r="B1" s="1" t="s">
        <v>48</v>
      </c>
    </row>
    <row r="2" spans="1:2" ht="33.75" customHeight="1" x14ac:dyDescent="0.25">
      <c r="A2" s="2" t="s">
        <v>7404</v>
      </c>
      <c r="B2" s="2" t="s">
        <v>7405</v>
      </c>
    </row>
    <row r="3" spans="1:2" ht="22.5" customHeight="1" x14ac:dyDescent="0.25">
      <c r="A3" s="3" t="s">
        <v>7406</v>
      </c>
      <c r="B3" s="3" t="s">
        <v>7405</v>
      </c>
    </row>
    <row r="4" spans="1:2" ht="22.5" customHeight="1" x14ac:dyDescent="0.25">
      <c r="A4" s="2" t="s">
        <v>7407</v>
      </c>
      <c r="B4" s="2" t="s">
        <v>7405</v>
      </c>
    </row>
    <row r="5" spans="1:2" ht="33.75" customHeight="1" x14ac:dyDescent="0.25">
      <c r="A5" s="3" t="s">
        <v>7408</v>
      </c>
      <c r="B5" s="3" t="s">
        <v>7405</v>
      </c>
    </row>
  </sheetData>
  <autoFilter ref="A1:B5" xr:uid="{00000000-0009-0000-0000-00000C000000}"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</cols>
  <sheetData>
    <row r="1" spans="1:3" ht="21.95" customHeight="1" x14ac:dyDescent="0.25">
      <c r="A1" s="1" t="s">
        <v>7409</v>
      </c>
      <c r="B1" s="1" t="s">
        <v>7410</v>
      </c>
      <c r="C1" s="1" t="s">
        <v>48</v>
      </c>
    </row>
    <row r="2" spans="1:3" ht="33.75" customHeight="1" x14ac:dyDescent="0.25">
      <c r="A2" s="2" t="s">
        <v>7411</v>
      </c>
      <c r="B2" s="2" t="s">
        <v>7412</v>
      </c>
      <c r="C2" s="2" t="s">
        <v>7413</v>
      </c>
    </row>
    <row r="3" spans="1:3" ht="45" customHeight="1" x14ac:dyDescent="0.25">
      <c r="A3" s="3" t="s">
        <v>7414</v>
      </c>
      <c r="B3" s="3" t="s">
        <v>7415</v>
      </c>
      <c r="C3" s="3" t="s">
        <v>7413</v>
      </c>
    </row>
    <row r="4" spans="1:3" ht="56.25" customHeight="1" x14ac:dyDescent="0.25">
      <c r="A4" s="2" t="s">
        <v>7416</v>
      </c>
      <c r="B4" s="2" t="s">
        <v>7417</v>
      </c>
      <c r="C4" s="2" t="s">
        <v>7413</v>
      </c>
    </row>
    <row r="5" spans="1:3" ht="33.75" customHeight="1" x14ac:dyDescent="0.25">
      <c r="A5" s="3" t="s">
        <v>7418</v>
      </c>
      <c r="B5" s="3" t="s">
        <v>7419</v>
      </c>
      <c r="C5" s="3" t="s">
        <v>7413</v>
      </c>
    </row>
    <row r="6" spans="1:3" ht="33.75" customHeight="1" x14ac:dyDescent="0.25">
      <c r="A6" s="2" t="s">
        <v>7420</v>
      </c>
      <c r="B6" s="2" t="s">
        <v>7421</v>
      </c>
      <c r="C6" s="2" t="s">
        <v>7413</v>
      </c>
    </row>
    <row r="7" spans="1:3" ht="56.25" customHeight="1" x14ac:dyDescent="0.25">
      <c r="A7" s="3" t="s">
        <v>7422</v>
      </c>
      <c r="B7" s="3" t="s">
        <v>7423</v>
      </c>
      <c r="C7" s="3" t="s">
        <v>7413</v>
      </c>
    </row>
  </sheetData>
  <autoFilter ref="A1:C7" xr:uid="{00000000-0009-0000-0000-00000D000000}"/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</cols>
  <sheetData>
    <row r="1" spans="1:3" ht="21.95" customHeight="1" x14ac:dyDescent="0.25">
      <c r="A1" s="1" t="s">
        <v>7424</v>
      </c>
      <c r="B1" s="1" t="s">
        <v>47</v>
      </c>
      <c r="C1" s="1" t="s">
        <v>48</v>
      </c>
    </row>
    <row r="2" spans="1:3" x14ac:dyDescent="0.25">
      <c r="A2" s="2" t="s">
        <v>7425</v>
      </c>
      <c r="B2" s="2" t="s">
        <v>60</v>
      </c>
      <c r="C2" s="2" t="s">
        <v>7426</v>
      </c>
    </row>
  </sheetData>
  <autoFilter ref="A1:C2" xr:uid="{00000000-0009-0000-0000-00000E000000}"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</cols>
  <sheetData>
    <row r="1" spans="1:2" ht="21.95" customHeight="1" x14ac:dyDescent="0.25">
      <c r="A1" s="1" t="s">
        <v>7427</v>
      </c>
      <c r="B1" s="1" t="s">
        <v>7428</v>
      </c>
    </row>
    <row r="2" spans="1:2" ht="45" customHeight="1" x14ac:dyDescent="0.25">
      <c r="A2" s="2" t="s">
        <v>7429</v>
      </c>
      <c r="B2" s="2" t="s">
        <v>7430</v>
      </c>
    </row>
  </sheetData>
  <autoFilter ref="A1:B2" xr:uid="{00000000-0009-0000-0000-00000F000000}"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3" width="12" customWidth="1"/>
  </cols>
  <sheetData>
    <row r="1" spans="1:3" ht="21.95" customHeight="1" x14ac:dyDescent="0.25">
      <c r="A1" s="1" t="s">
        <v>7431</v>
      </c>
      <c r="B1" s="1" t="s">
        <v>47</v>
      </c>
      <c r="C1" s="1" t="s">
        <v>7432</v>
      </c>
    </row>
    <row r="2" spans="1:3" ht="22.5" customHeight="1" x14ac:dyDescent="0.25">
      <c r="A2" s="2" t="s">
        <v>4374</v>
      </c>
      <c r="B2" s="2" t="s">
        <v>60</v>
      </c>
      <c r="C2" s="2" t="s">
        <v>7433</v>
      </c>
    </row>
    <row r="3" spans="1:3" ht="22.5" customHeight="1" x14ac:dyDescent="0.25">
      <c r="A3" s="3" t="s">
        <v>292</v>
      </c>
      <c r="B3" s="3" t="s">
        <v>60</v>
      </c>
      <c r="C3" s="3" t="s">
        <v>7433</v>
      </c>
    </row>
    <row r="4" spans="1:3" ht="22.5" customHeight="1" x14ac:dyDescent="0.25">
      <c r="A4" s="2" t="s">
        <v>3878</v>
      </c>
      <c r="B4" s="2" t="s">
        <v>60</v>
      </c>
      <c r="C4" s="2" t="s">
        <v>7433</v>
      </c>
    </row>
    <row r="5" spans="1:3" ht="22.5" customHeight="1" x14ac:dyDescent="0.25">
      <c r="A5" s="3" t="s">
        <v>4259</v>
      </c>
      <c r="B5" s="3" t="s">
        <v>60</v>
      </c>
      <c r="C5" s="3" t="s">
        <v>7433</v>
      </c>
    </row>
    <row r="6" spans="1:3" ht="22.5" customHeight="1" x14ac:dyDescent="0.25">
      <c r="A6" s="2" t="s">
        <v>2536</v>
      </c>
      <c r="B6" s="2" t="s">
        <v>60</v>
      </c>
      <c r="C6" s="2" t="s">
        <v>7433</v>
      </c>
    </row>
    <row r="7" spans="1:3" ht="22.5" customHeight="1" x14ac:dyDescent="0.25">
      <c r="A7" s="3" t="s">
        <v>156</v>
      </c>
      <c r="B7" s="3" t="s">
        <v>60</v>
      </c>
      <c r="C7" s="3" t="s">
        <v>7433</v>
      </c>
    </row>
    <row r="8" spans="1:3" ht="22.5" customHeight="1" x14ac:dyDescent="0.25">
      <c r="A8" s="2" t="s">
        <v>3866</v>
      </c>
      <c r="B8" s="2" t="s">
        <v>60</v>
      </c>
      <c r="C8" s="2" t="s">
        <v>7433</v>
      </c>
    </row>
    <row r="9" spans="1:3" ht="22.5" customHeight="1" x14ac:dyDescent="0.25">
      <c r="A9" s="3" t="s">
        <v>188</v>
      </c>
      <c r="B9" s="3" t="s">
        <v>60</v>
      </c>
      <c r="C9" s="3" t="s">
        <v>7433</v>
      </c>
    </row>
    <row r="10" spans="1:3" ht="22.5" customHeight="1" x14ac:dyDescent="0.25">
      <c r="A10" s="2" t="s">
        <v>4183</v>
      </c>
      <c r="B10" s="2" t="s">
        <v>60</v>
      </c>
      <c r="C10" s="2" t="s">
        <v>7433</v>
      </c>
    </row>
    <row r="11" spans="1:3" ht="22.5" customHeight="1" x14ac:dyDescent="0.25">
      <c r="A11" s="3" t="s">
        <v>566</v>
      </c>
      <c r="B11" s="3" t="s">
        <v>60</v>
      </c>
      <c r="C11" s="3" t="s">
        <v>7433</v>
      </c>
    </row>
  </sheetData>
  <autoFilter ref="A1:C11" xr:uid="{00000000-0009-0000-0000-000010000000}"/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</cols>
  <sheetData>
    <row r="1" spans="1:2" ht="21.95" customHeight="1" x14ac:dyDescent="0.25">
      <c r="A1" s="1" t="s">
        <v>7434</v>
      </c>
      <c r="B1" s="1" t="s">
        <v>7435</v>
      </c>
    </row>
    <row r="2" spans="1:2" ht="101.25" customHeight="1" x14ac:dyDescent="0.25">
      <c r="A2" s="2" t="s">
        <v>7436</v>
      </c>
      <c r="B2" s="2" t="s">
        <v>7437</v>
      </c>
    </row>
    <row r="3" spans="1:2" ht="135" customHeight="1" x14ac:dyDescent="0.25">
      <c r="A3" s="3" t="s">
        <v>7438</v>
      </c>
      <c r="B3" s="3" t="s">
        <v>7439</v>
      </c>
    </row>
    <row r="4" spans="1:2" ht="22.5" customHeight="1" x14ac:dyDescent="0.25">
      <c r="A4" s="2" t="s">
        <v>7440</v>
      </c>
      <c r="B4" s="2">
        <v>287</v>
      </c>
    </row>
    <row r="5" spans="1:2" x14ac:dyDescent="0.25">
      <c r="A5" s="3" t="s">
        <v>7441</v>
      </c>
      <c r="B5" s="3" t="s">
        <v>5067</v>
      </c>
    </row>
    <row r="6" spans="1:2" x14ac:dyDescent="0.25">
      <c r="A6" s="2" t="s">
        <v>7442</v>
      </c>
      <c r="B6" s="2" t="s">
        <v>5068</v>
      </c>
    </row>
    <row r="7" spans="1:2" x14ac:dyDescent="0.25">
      <c r="A7" s="3" t="s">
        <v>7443</v>
      </c>
      <c r="B7" s="3" t="s">
        <v>5069</v>
      </c>
    </row>
    <row r="8" spans="1:2" x14ac:dyDescent="0.25">
      <c r="A8" s="2" t="s">
        <v>7444</v>
      </c>
      <c r="B8" s="2" t="s">
        <v>5070</v>
      </c>
    </row>
  </sheetData>
  <autoFilter ref="A1:B8" xr:uid="{00000000-0009-0000-0000-000011000000}"/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</cols>
  <sheetData>
    <row r="1" spans="1:2" ht="21.95" customHeight="1" x14ac:dyDescent="0.25">
      <c r="A1" s="1" t="s">
        <v>7445</v>
      </c>
      <c r="B1" s="1" t="s">
        <v>7435</v>
      </c>
    </row>
    <row r="2" spans="1:2" ht="22.5" customHeight="1" x14ac:dyDescent="0.25">
      <c r="A2" s="2" t="s">
        <v>7446</v>
      </c>
      <c r="B2" s="2">
        <v>2046</v>
      </c>
    </row>
    <row r="3" spans="1:2" ht="22.5" customHeight="1" x14ac:dyDescent="0.25">
      <c r="A3" s="3" t="s">
        <v>7447</v>
      </c>
      <c r="B3" s="3">
        <v>2004</v>
      </c>
    </row>
    <row r="4" spans="1:2" ht="22.5" customHeight="1" x14ac:dyDescent="0.25">
      <c r="A4" s="2" t="s">
        <v>7448</v>
      </c>
      <c r="B4" s="2">
        <v>42</v>
      </c>
    </row>
    <row r="5" spans="1:2" ht="33.75" customHeight="1" x14ac:dyDescent="0.25">
      <c r="A5" s="3" t="s">
        <v>7449</v>
      </c>
      <c r="B5" s="3">
        <v>287</v>
      </c>
    </row>
    <row r="6" spans="1:2" x14ac:dyDescent="0.25">
      <c r="A6" s="2" t="s">
        <v>7385</v>
      </c>
      <c r="B6" s="2">
        <v>1148</v>
      </c>
    </row>
    <row r="7" spans="1:2" x14ac:dyDescent="0.25">
      <c r="A7" s="3" t="s">
        <v>7386</v>
      </c>
      <c r="B7" s="3">
        <v>1148</v>
      </c>
    </row>
    <row r="8" spans="1:2" x14ac:dyDescent="0.25">
      <c r="A8" s="2" t="s">
        <v>7450</v>
      </c>
      <c r="B8" s="2" t="s">
        <v>19</v>
      </c>
    </row>
    <row r="9" spans="1:2" ht="22.5" customHeight="1" x14ac:dyDescent="0.25">
      <c r="A9" s="3" t="s">
        <v>7451</v>
      </c>
      <c r="B9" s="3">
        <v>0</v>
      </c>
    </row>
    <row r="10" spans="1:2" x14ac:dyDescent="0.25">
      <c r="A10" s="2" t="s">
        <v>7452</v>
      </c>
      <c r="B10" s="2" t="s">
        <v>16</v>
      </c>
    </row>
  </sheetData>
  <autoFilter ref="A1:B10" xr:uid="{00000000-0009-0000-0000-000012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19</vt:i4>
      </vt:variant>
    </vt:vector>
  </HeadingPairs>
  <TitlesOfParts>
    <vt:vector size="19" baseType="lpstr">
      <vt:lpstr>00_HOME</vt:lpstr>
      <vt:lpstr>SEARCH</vt:lpstr>
      <vt:lpstr>SEARCH_DATA</vt:lpstr>
      <vt:lpstr>PRODUCT_MASTER</vt:lpstr>
      <vt:lpstr>CONFIG_MASTER</vt:lpstr>
      <vt:lpstr>BOM_MASTER</vt:lpstr>
      <vt:lpstr>COMPONENT_MASTER</vt:lpstr>
      <vt:lpstr>DOCUMENT_CENTER</vt:lpstr>
      <vt:lpstr>DOMESTIC_DATA_GAP</vt:lpstr>
      <vt:lpstr>DOCUMENT_REGISTER</vt:lpstr>
      <vt:lpstr>OPTIONAL_EVIDENCE</vt:lpstr>
      <vt:lpstr>SIGNATORY</vt:lpstr>
      <vt:lpstr>TEMPLATE_CONTROL</vt:lpstr>
      <vt:lpstr>CHANGE_CONTROL</vt:lpstr>
      <vt:lpstr>GENERATION_QUEUE</vt:lpstr>
      <vt:lpstr>GENERATION_LOG</vt:lpstr>
      <vt:lpstr>REVISION_HISTORY</vt:lpstr>
      <vt:lpstr>SYSTEM_SETTINGS</vt:lpstr>
      <vt:lpstr>QA_DASHBOARD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Burcu Şimşek</cp:lastModifiedBy>
  <dcterms:created xsi:type="dcterms:W3CDTF">2026-08-11T19:20:42Z</dcterms:created>
  <dcterms:modified xsi:type="dcterms:W3CDTF">2026-08-11T19:48:31Z</dcterms:modified>
</cp:coreProperties>
</file>