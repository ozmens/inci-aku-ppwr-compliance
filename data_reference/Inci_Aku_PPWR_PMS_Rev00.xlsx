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sheets/sheet50.xml" ContentType="application/vnd.openxmlformats-officedocument.spreadsheetml.worksheet+xml"/>
  <Override PartName="/xl/tables/table47.xml" ContentType="application/vnd.openxmlformats-officedocument.spreadsheetml.table+xml"/>
  <Override PartName="/xl/worksheets/sheet51.xml" ContentType="application/vnd.openxmlformats-officedocument.spreadsheetml.worksheet+xml"/>
  <Override PartName="/xl/tables/table48.xml" ContentType="application/vnd.openxmlformats-officedocument.spreadsheetml.table+xml"/>
  <Override PartName="/xl/worksheets/sheet52.xml" ContentType="application/vnd.openxmlformats-officedocument.spreadsheetml.worksheet+xml"/>
  <Override PartName="/xl/tables/table49.xml" ContentType="application/vnd.openxmlformats-officedocument.spreadsheetml.table+xml"/>
  <Override PartName="/xl/worksheets/sheet53.xml" ContentType="application/vnd.openxmlformats-officedocument.spreadsheetml.worksheet+xml"/>
  <Override PartName="/xl/tables/table50.xml" ContentType="application/vnd.openxmlformats-officedocument.spreadsheetml.table+xml"/>
  <Override PartName="/xl/worksheets/sheet54.xml" ContentType="application/vnd.openxmlformats-officedocument.spreadsheetml.worksheet+xml"/>
  <Override PartName="/xl/tables/table51.xml" ContentType="application/vnd.openxmlformats-officedocument.spreadsheetml.table+xml"/>
  <Override PartName="/xl/worksheets/sheet55.xml" ContentType="application/vnd.openxmlformats-officedocument.spreadsheetml.worksheet+xml"/>
  <Override PartName="/xl/tables/table52.xml" ContentType="application/vnd.openxmlformats-officedocument.spreadsheetml.table+xml"/>
  <Override PartName="/xl/worksheets/sheet56.xml" ContentType="application/vnd.openxmlformats-officedocument.spreadsheetml.worksheet+xml"/>
  <Override PartName="/xl/tables/table53.xml" ContentType="application/vnd.openxmlformats-officedocument.spreadsheetml.table+xml"/>
  <Override PartName="/xl/worksheets/sheet57.xml" ContentType="application/vnd.openxmlformats-officedocument.spreadsheetml.worksheet+xml"/>
  <Override PartName="/xl/tables/table54.xml" ContentType="application/vnd.openxmlformats-officedocument.spreadsheetml.table+xml"/>
  <Override PartName="/xl/worksheets/sheet58.xml" ContentType="application/vnd.openxmlformats-officedocument.spreadsheetml.worksheet+xml"/>
  <Override PartName="/xl/tables/table55.xml" ContentType="application/vnd.openxmlformats-officedocument.spreadsheetml.table+xml"/>
  <Override PartName="/xl/worksheets/sheet59.xml" ContentType="application/vnd.openxmlformats-officedocument.spreadsheetml.worksheet+xml"/>
  <Override PartName="/xl/tables/table5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AV" sheetId="2" state="visible" r:id="rId2"/>
    <sheet name="SEARCH" sheetId="3" state="visible" r:id="rId3"/>
    <sheet name="SYS_WORKBOOK_INFO" sheetId="4" state="hidden" r:id="rId4"/>
    <sheet name="SYS_PARAMETER" sheetId="5" state="hidden" r:id="rId5"/>
    <sheet name="LKP_STATUS" sheetId="6" state="visible" r:id="rId6"/>
    <sheet name="LKP_UOM" sheetId="7" state="visible" r:id="rId7"/>
    <sheet name="LKP_PACKAGING_LEVEL" sheetId="8" state="visible" r:id="rId8"/>
    <sheet name="LKP_PACKAGING_FUNCTION" sheetId="9" state="visible" r:id="rId9"/>
    <sheet name="LKP_COMPONENT_TYPE" sheetId="10" state="visible" r:id="rId10"/>
    <sheet name="LKP_MATERIAL_FAMILY" sheetId="11" state="visible" r:id="rId11"/>
    <sheet name="LKP_PPWR_MATERIAL_CATEGORY" sheetId="12" state="visible" r:id="rId12"/>
    <sheet name="LKP_MATERIAL" sheetId="13" state="visible" r:id="rId13"/>
    <sheet name="LKP_RECYCLABILITY_CLASS" sheetId="14" state="visible" r:id="rId14"/>
    <sheet name="LKP_OWNERSHIP_TYPE" sheetId="15" state="visible" r:id="rId15"/>
    <sheet name="LKP_TRANSPORT_UNIT_TYPE" sheetId="16" state="visible" r:id="rId16"/>
    <sheet name="LKP_LINE_ROLE" sheetId="17" state="visible" r:id="rId17"/>
    <sheet name="LKP_PRODUCT_CATEGORY" sheetId="18" state="visible" r:id="rId18"/>
    <sheet name="LKP_COUNTRY" sheetId="19" state="visible" r:id="rId19"/>
    <sheet name="LKP_TRANSPORT_MODE" sheetId="20" state="visible" r:id="rId20"/>
    <sheet name="LKP_INCOTERM" sheetId="21" state="visible" r:id="rId21"/>
    <sheet name="LKP_STATEMENT_TYPE" sheetId="22" state="visible" r:id="rId22"/>
    <sheet name="LKP_DOCUMENT_TYPE" sheetId="23" state="visible" r:id="rId23"/>
    <sheet name="LKP_SCENARIO_TYPE" sheetId="24" state="visible" r:id="rId24"/>
    <sheet name="LEGAL_ENTITY" sheetId="25" state="visible" r:id="rId25"/>
    <sheet name="PERSON" sheetId="26" state="visible" r:id="rId26"/>
    <sheet name="SUPPLIER" sheetId="27" state="visible" r:id="rId27"/>
    <sheet name="CUSTOMER" sheetId="28" state="visible" r:id="rId28"/>
    <sheet name="PLANT" sheetId="29" state="visible" r:id="rId29"/>
    <sheet name="PRODUCT" sheetId="30" state="visible" r:id="rId30"/>
    <sheet name="COMPONENT" sheetId="31" state="visible" r:id="rId31"/>
    <sheet name="COMPONENT_MATERIAL" sheetId="32" state="visible" r:id="rId32"/>
    <sheet name="PACKAGING_CONFIGURATION" sheetId="33" state="visible" r:id="rId33"/>
    <sheet name="PACKAGING_CONFIGURATION_LINE" sheetId="34" state="visible" r:id="rId34"/>
    <sheet name="TRANSPORT_CONFIGURATION" sheetId="35" state="visible" r:id="rId35"/>
    <sheet name="TRANSPORT_CONFIGURATION_LINE" sheetId="36" state="visible" r:id="rId36"/>
    <sheet name="COMMERCIAL_SCENARIO" sheetId="37" state="visible" r:id="rId37"/>
    <sheet name="SHIPMENT" sheetId="38" state="visible" r:id="rId38"/>
    <sheet name="SHIPMENT_LINE" sheetId="39" state="visible" r:id="rId39"/>
    <sheet name="TECHNICAL_FILE" sheetId="40" state="visible" r:id="rId40"/>
    <sheet name="DECLARATION_OF_CONFORMITY" sheetId="41" state="visible" r:id="rId41"/>
    <sheet name="STATEMENT" sheetId="42" state="visible" r:id="rId42"/>
    <sheet name="STATEMENT_SHIPMENT" sheetId="43" state="visible" r:id="rId43"/>
    <sheet name="STATEMENT_LINE" sheetId="44" state="visible" r:id="rId44"/>
    <sheet name="DOCUMENT_LIBRARY" sheetId="45" state="visible" r:id="rId45"/>
    <sheet name="DOCUMENT_LINK" sheetId="46" state="visible" r:id="rId46"/>
    <sheet name="SYS_RELATIONSHIPS" sheetId="47" state="hidden" r:id="rId47"/>
    <sheet name="ENG_MATERIAL_WEIGHT" sheetId="48" state="visible" r:id="rId48"/>
    <sheet name="ENG_PACKAGING_WEIGHT" sheetId="49" state="visible" r:id="rId49"/>
    <sheet name="ENG_TRANSPORT_WEIGHT" sheetId="50" state="visible" r:id="rId50"/>
    <sheet name="ENG_SHIPMENT_WEIGHT" sheetId="51" state="visible" r:id="rId51"/>
    <sheet name="ENG_PLASTIC_SUMMARY" sheetId="52" state="visible" r:id="rId52"/>
    <sheet name="ENG_PAPER_SUMMARY" sheetId="53" state="visible" r:id="rId53"/>
    <sheet name="ENG_WOOD_SUMMARY" sheetId="54" state="visible" r:id="rId54"/>
    <sheet name="ENG_STATEMENT" sheetId="55" state="visible" r:id="rId55"/>
    <sheet name="ENG_TECHNICAL_FILE" sheetId="56" state="visible" r:id="rId56"/>
    <sheet name="ENG_DECLARATION" sheetId="57" state="visible" r:id="rId57"/>
    <sheet name="ENG_IMPACT_ANALYSIS" sheetId="58" state="visible" r:id="rId58"/>
    <sheet name="ENG_VALIDATION" sheetId="59" state="visible" r:id="rId59"/>
  </sheets>
  <definedNames>
    <definedName name="NR_INFO_KEY">'SYS_WORKBOOK_INFO'!$A$2:$A$1048576</definedName>
    <definedName name="NR_PARAMETER_ID">'SYS_PARAMETER'!$A$2:$A$1048576</definedName>
    <definedName name="NR_STATUS_ID">'LKP_STATUS'!$A$2:$A$1048576</definedName>
    <definedName name="NR_UOM_ID">'LKP_UOM'!$A$2:$A$1048576</definedName>
    <definedName name="NR_PACKAGING_LEVEL_ID">'LKP_PACKAGING_LEVEL'!$A$2:$A$1048576</definedName>
    <definedName name="NR_PACKAGING_FUNCTION_ID">'LKP_PACKAGING_FUNCTION'!$A$2:$A$1048576</definedName>
    <definedName name="NR_COMPONENT_TYPE_ID">'LKP_COMPONENT_TYPE'!$A$2:$A$1048576</definedName>
    <definedName name="NR_MATERIAL_FAMILY_ID">'LKP_MATERIAL_FAMILY'!$A$2:$A$1048576</definedName>
    <definedName name="NR_PPWR_MATERIAL_CATEGORY_ID">'LKP_PPWR_MATERIAL_CATEGORY'!$A$2:$A$1048576</definedName>
    <definedName name="NR_MATERIAL_ID">'LKP_MATERIAL'!$A$2:$A$1048576</definedName>
    <definedName name="NR_RECYCLABILITY_CLASS_ID">'LKP_RECYCLABILITY_CLASS'!$A$2:$A$1048576</definedName>
    <definedName name="NR_OWNERSHIP_TYPE_ID">'LKP_OWNERSHIP_TYPE'!$A$2:$A$1048576</definedName>
    <definedName name="NR_TRANSPORT_UNIT_TYPE_ID">'LKP_TRANSPORT_UNIT_TYPE'!$A$2:$A$1048576</definedName>
    <definedName name="NR_LINE_ROLE_ID">'LKP_LINE_ROLE'!$A$2:$A$1048576</definedName>
    <definedName name="NR_PRODUCT_CATEGORY_ID">'LKP_PRODUCT_CATEGORY'!$A$2:$A$1048576</definedName>
    <definedName name="NR_COUNTRY_ID">'LKP_COUNTRY'!$A$2:$A$1048576</definedName>
    <definedName name="NR_TRANSPORT_MODE_ID">'LKP_TRANSPORT_MODE'!$A$2:$A$1048576</definedName>
    <definedName name="NR_INCOTERM_ID">'LKP_INCOTERM'!$A$2:$A$1048576</definedName>
    <definedName name="NR_STATEMENT_TYPE_ID">'LKP_STATEMENT_TYPE'!$A$2:$A$1048576</definedName>
    <definedName name="NR_DOCUMENT_TYPE_ID">'LKP_DOCUMENT_TYPE'!$A$2:$A$1048576</definedName>
    <definedName name="NR_SCENARIO_TYPE_ID">'LKP_SCENARIO_TYPE'!$A$2:$A$1048576</definedName>
    <definedName name="NR_LEGAL_ENTITY_ID">'LEGAL_ENTITY'!$A$2:$A$1048576</definedName>
    <definedName name="NR_PERSON_ID">'PERSON'!$A$2:$A$1048576</definedName>
    <definedName name="NR_SUPPLIER_ID">'SUPPLIER'!$A$2:$A$1048576</definedName>
    <definedName name="NR_CUSTOMER_ID">'CUSTOMER'!$A$2:$A$1048576</definedName>
    <definedName name="NR_PLANT_ID">'PLANT'!$A$2:$A$1048576</definedName>
    <definedName name="NR_PRODUCT_ID">'PRODUCT'!$A$2:$A$1048576</definedName>
    <definedName name="NR_COMPONENT_ID">'COMPONENT'!$A$2:$A$1048576</definedName>
    <definedName name="NR_COMPONENT_MATERIAL_ID">'COMPONENT_MATERIAL'!$A$2:$A$1048576</definedName>
    <definedName name="NR_PACKAGING_CONFIGURATION_ID">'PACKAGING_CONFIGURATION'!$A$2:$A$1048576</definedName>
    <definedName name="NR_PACKAGING_CONFIGURATION_LINE_ID">'PACKAGING_CONFIGURATION_LINE'!$A$2:$A$1048576</definedName>
    <definedName name="NR_TRANSPORT_CONFIGURATION_ID">'TRANSPORT_CONFIGURATION'!$A$2:$A$1048576</definedName>
    <definedName name="NR_TRANSPORT_CONFIGURATION_LINE_ID">'TRANSPORT_CONFIGURATION_LINE'!$A$2:$A$1048576</definedName>
    <definedName name="NR_COMMERCIAL_SCENARIO_ID">'COMMERCIAL_SCENARIO'!$A$2:$A$1048576</definedName>
    <definedName name="NR_SHIPMENT_ID">'SHIPMENT'!$A$2:$A$1048576</definedName>
    <definedName name="NR_SHIPMENT_LINE_ID">'SHIPMENT_LINE'!$A$2:$A$1048576</definedName>
    <definedName name="NR_TECHNICAL_FILE_ID">'TECHNICAL_FILE'!$A$2:$A$1048576</definedName>
    <definedName name="NR_DECLARATION_OF_CONFORMITY_ID">'DECLARATION_OF_CONFORMITY'!$A$2:$A$1048576</definedName>
    <definedName name="NR_STATEMENT_ID">'STATEMENT'!$A$2:$A$1048576</definedName>
    <definedName name="NR_STATEMENT_SHIPMENT_ID">'STATEMENT_SHIPMENT'!$A$2:$A$1048576</definedName>
    <definedName name="NR_STATEMENT_LINE_ID">'STATEMENT_LINE'!$A$2:$A$1048576</definedName>
    <definedName name="NR_DOCUMENT_ID">'DOCUMENT_LIBRARY'!$A$2:$A$1048576</definedName>
    <definedName name="NR_DOCUMENT_LINK_ID">'DOCUMENT_LINK'!$A$2:$A$1048576</definedName>
    <definedName name="NR_RELATIONSHIP_ID">'SYS_RELATIONSHIPS'!$A$2:$A$1048576</definedName>
    <definedName name="NR_SEARCH_TERM">'SEARCH'!$B$4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A2540"/>
      <sz val="20"/>
    </font>
    <font>
      <name val="Calibri"/>
      <color rgb="005D6D7E"/>
      <sz val="10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0A2540"/>
      <sz val="11"/>
    </font>
    <font>
      <name val="Calibri"/>
      <b val="1"/>
      <color rgb="000A2540"/>
      <sz val="16"/>
    </font>
    <font>
      <name val="Calibri"/>
      <b val="1"/>
      <color rgb="000563C1"/>
      <sz val="11"/>
      <u val="single"/>
    </font>
  </fonts>
  <fills count="8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FFF4CC"/>
      </patternFill>
    </fill>
    <fill>
      <patternFill patternType="solid">
        <fgColor rgb="00F4F7FA"/>
      </patternFill>
    </fill>
    <fill>
      <patternFill patternType="solid">
        <fgColor rgb="00D6EAF8"/>
      </patternFill>
    </fill>
    <fill>
      <patternFill patternType="solid">
        <fgColor rgb="00EEF2F5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BFCFD9"/>
      </left>
      <right style="thin">
        <color rgb="00BFCFD9"/>
      </right>
      <top style="thin">
        <color rgb="00BFCFD9"/>
      </top>
      <bottom style="thin">
        <color rgb="00BFCF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2" fillId="4" borderId="0" pivotButton="0" quotePrefix="0" xfId="0"/>
    <xf numFmtId="0" fontId="3" fillId="4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6" fillId="6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Protection="1" pivotButton="0" quotePrefix="0" xfId="0">
      <protection locked="0" hidden="0"/>
    </xf>
    <xf numFmtId="0" fontId="5" fillId="0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3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7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5B7B1"/>
        </patternFill>
      </fill>
    </dxf>
    <dxf>
      <fill>
        <patternFill patternType="solid">
          <fgColor rgb="00F9E79F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ables/table1.xml><?xml version="1.0" encoding="utf-8"?>
<table xmlns="http://schemas.openxmlformats.org/spreadsheetml/2006/main" id="1" name="T_SYS_WORKBOOK_INFO" displayName="T_SYS_WORKBOOK_INFO" ref="A1:C8" headerRowCount="1">
  <autoFilter ref="A1:C8"/>
  <tableColumns count="3">
    <tableColumn id="1" name="INFO_KEY"/>
    <tableColumn id="2" name="INFO_VALUE"/>
    <tableColumn id="3" name="UPD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YS_PARAMETER" displayName="T_SYS_PARAMETER" ref="A1:D4" headerRowCount="1">
  <autoFilter ref="A1:D4"/>
  <tableColumns count="4">
    <tableColumn id="1" name="PARAMETER_ID"/>
    <tableColumn id="2" name="PARAMETER_CODE"/>
    <tableColumn id="3" name="PARAMETER_VALUE"/>
    <tableColumn id="4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LKP_STATUS" displayName="T_LKP_STATUS" ref="A1:F2" headerRowCount="1">
  <autoFilter ref="A1:F2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LKP_UOM" displayName="T_LKP_UOM" ref="A1:D2" headerRowCount="1">
  <autoFilter ref="A1:D2"/>
  <tableColumns count="4">
    <tableColumn id="1" name="UOM_ID"/>
    <tableColumn id="2" name="UOM_CODE"/>
    <tableColumn id="3" name="UOM_NAME"/>
    <tableColumn id="4" name="UOM_DIMEN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LKP_PACKAGING_LEVEL" displayName="T_LKP_PACKAGING_LEVEL" ref="A1:D2" headerRowCount="1">
  <autoFilter ref="A1:D2"/>
  <tableColumns count="4">
    <tableColumn id="1" name="PACKAGING_LEVEL_ID"/>
    <tableColumn id="2" name="PACKAGING_LEVEL_CODE"/>
    <tableColumn id="3" name="PACKAGING_LEVEL_NAME"/>
    <tableColumn id="4" name="SORT_ORD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LKP_PACKAGING_FUNCTION" displayName="T_LKP_PACKAGING_FUNCTION" ref="A1:C2" headerRowCount="1">
  <autoFilter ref="A1:C2"/>
  <tableColumns count="3">
    <tableColumn id="1" name="PACKAGING_FUNCTION_ID"/>
    <tableColumn id="2" name="PACKAGING_FUNCTION_CODE"/>
    <tableColumn id="3" name="PACKAGING_FUNCTION_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LKP_COMPONENT_TYPE" displayName="T_LKP_COMPONENT_TYPE" ref="A1:D2" headerRowCount="1">
  <autoFilter ref="A1:D2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LKP_MATERIAL_FAMILY" displayName="T_LKP_MATERIAL_FAMILY" ref="A1:C2" headerRowCount="1">
  <autoFilter ref="A1:C2"/>
  <tableColumns count="3">
    <tableColumn id="1" name="MATERIAL_FAMILY_ID"/>
    <tableColumn id="2" name="MATERIAL_FAMILY_CODE"/>
    <tableColumn id="3" name="MATERIAL_FAMILY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LKP_PPWR_MATERIAL_CATEGORY" displayName="T_LKP_PPWR_MATERIAL_CATEGORY" ref="A1:C2" headerRowCount="1">
  <autoFilter ref="A1:C2"/>
  <tableColumns count="3">
    <tableColumn id="1" name="PPWR_MATERIAL_CATEGORY_ID"/>
    <tableColumn id="2" name="PPWR_MATERIAL_CATEGORY_CODE"/>
    <tableColumn id="3" name="PPWR_MATERIAL_CATEGORY_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LKP_MATERIAL" displayName="T_LKP_MATERIAL" ref="A1:G2" headerRowCount="1">
  <autoFilter ref="A1:G2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LKP_RECYCLABILITY_CLASS" displayName="T_LKP_RECYCLABILITY_CLASS" ref="A1:C2" headerRowCount="1">
  <autoFilter ref="A1:C2"/>
  <tableColumns count="3">
    <tableColumn id="1" name="RECYCLABILITY_CLASS_ID"/>
    <tableColumn id="2" name="RECYCLABILITY_CLASS_CODE"/>
    <tableColumn id="3" name="RECYCLABILITY_CLASS_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LKP_OWNERSHIP_TYPE" displayName="T_LKP_OWNERSHIP_TYPE" ref="A1:C2" headerRowCount="1">
  <autoFilter ref="A1:C2"/>
  <tableColumns count="3">
    <tableColumn id="1" name="OWNERSHIP_TYPE_ID"/>
    <tableColumn id="2" name="OWNERSHIP_TYPE_CODE"/>
    <tableColumn id="3" name="OWNERSHIP_TYPE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LKP_TRANSPORT_UNIT_TYPE" displayName="T_LKP_TRANSPORT_UNIT_TYPE" ref="A1:C2" headerRowCount="1">
  <autoFilter ref="A1:C2"/>
  <tableColumns count="3">
    <tableColumn id="1" name="TRANSPORT_UNIT_TYPE_ID"/>
    <tableColumn id="2" name="TRANSPORT_UNIT_TYPE_CODE"/>
    <tableColumn id="3" name="TRANSPORT_UNIT_TYPE_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LKP_LINE_ROLE" displayName="T_LKP_LINE_ROLE" ref="A1:C2" headerRowCount="1">
  <autoFilter ref="A1:C2"/>
  <tableColumns count="3">
    <tableColumn id="1" name="LINE_ROLE_ID"/>
    <tableColumn id="2" name="LINE_ROLE_CODE"/>
    <tableColumn id="3" name="LINE_ROLE_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LKP_PRODUCT_CATEGORY" displayName="T_LKP_PRODUCT_CATEGORY" ref="A1:C2" headerRowCount="1">
  <autoFilter ref="A1:C2"/>
  <tableColumns count="3">
    <tableColumn id="1" name="PRODUCT_CATEGORY_ID"/>
    <tableColumn id="2" name="PRODUCT_CATEGORY_CODE"/>
    <tableColumn id="3" name="PRODUCT_CATEGORY_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LKP_COUNTRY" displayName="T_LKP_COUNTRY" ref="A1:E2" headerRowCount="1">
  <autoFilter ref="A1:E2"/>
  <tableColumns count="5">
    <tableColumn id="1" name="COUNTRY_ID"/>
    <tableColumn id="2" name="ISO2"/>
    <tableColumn id="3" name="ISO3"/>
    <tableColumn id="4" name="COUNTRY_NAME"/>
    <tableColumn id="5" name="IS_EU_MARKE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LKP_TRANSPORT_MODE" displayName="T_LKP_TRANSPORT_MODE" ref="A1:C2" headerRowCount="1">
  <autoFilter ref="A1:C2"/>
  <tableColumns count="3">
    <tableColumn id="1" name="TRANSPORT_MODE_ID"/>
    <tableColumn id="2" name="TRANSPORT_MODE_CODE"/>
    <tableColumn id="3" name="TRANSPORT_MODE_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LKP_INCOTERM" displayName="T_LKP_INCOTERM" ref="A1:C2" headerRowCount="1">
  <autoFilter ref="A1:C2"/>
  <tableColumns count="3">
    <tableColumn id="1" name="INCOTERM_ID"/>
    <tableColumn id="2" name="INCOTERM_CODE"/>
    <tableColumn id="3" name="INCOTERM_NAM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LKP_STATEMENT_TYPE" displayName="T_LKP_STATEMENT_TYPE" ref="A1:C2" headerRowCount="1">
  <autoFilter ref="A1:C2"/>
  <tableColumns count="3">
    <tableColumn id="1" name="STATEMENT_TYPE_ID"/>
    <tableColumn id="2" name="STATEMENT_TYPE_CODE"/>
    <tableColumn id="3" name="STATEMENT_TYPE_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LKP_DOCUMENT_TYPE" displayName="T_LKP_DOCUMENT_TYPE" ref="A1:C2" headerRowCount="1">
  <autoFilter ref="A1:C2"/>
  <tableColumns count="3">
    <tableColumn id="1" name="DOCUMENT_TYPE_ID"/>
    <tableColumn id="2" name="DOCUMENT_TYPE_CODE"/>
    <tableColumn id="3" name="DOCUMENT_TYPE_NA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LKP_SCENARIO_TYPE" displayName="T_LKP_SCENARIO_TYPE" ref="A1:C2" headerRowCount="1">
  <autoFilter ref="A1:C2"/>
  <tableColumns count="3">
    <tableColumn id="1" name="SCENARIO_TYPE_ID"/>
    <tableColumn id="2" name="SCENARIO_TYPE_CODE"/>
    <tableColumn id="3" name="SCENARIO_TYPE_NAM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PRODUCT" displayName="T_PRODUCT" ref="A1:O2" headerRowCount="1">
  <autoFilter ref="A1:O2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COMPONENT" displayName="T_COMPONENT" ref="A1:W2" headerRowCount="1">
  <autoFilter ref="A1:W2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COMPONENT_MATERIAL" displayName="T_COMPONENT_MATERIAL" ref="A1:F2" headerRowCount="1">
  <autoFilter ref="A1:F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PACKAGING_CONFIGURATION" displayName="T_PACKAGING_CONFIGURATION" ref="A1:L2" headerRowCount="1">
  <autoFilter ref="A1:L2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PACKAGING_CONFIGURATION_LINE" displayName="T_PACKAGING_CONFIGURATION_LINE" ref="A1:H2" headerRowCount="1">
  <autoFilter ref="A1:H2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TRANSPORT_CONFIGURATION" displayName="T_TRANSPORT_CONFIGURATION" ref="A1:Q2" headerRowCount="1">
  <autoFilter ref="A1:Q2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TRANSPORT_CONFIGURATION_LINE" displayName="T_TRANSPORT_CONFIGURATION_LINE" ref="A1:G2" headerRowCount="1">
  <autoFilter ref="A1:G2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COMMERCIAL_SCENARIO" displayName="T_COMMERCIAL_SCENARIO" ref="A1:P2" headerRowCount="1">
  <autoFilter ref="A1:P2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TECHNICAL_FILE" displayName="T_TECHNICAL_FILE" ref="A1:R2" headerRowCount="1">
  <autoFilter ref="A1:R2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DECLARATION_OF_CONFORMITY" displayName="T_DECLARATION_OF_CONFORMITY" ref="A1:S2" headerRowCount="1">
  <autoFilter ref="A1:S2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STATEMENT" displayName="T_STATEMENT" ref="A1:N2" headerRowCount="1">
  <autoFilter ref="A1:N2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DOCUMENT_LIBRARY" displayName="T_DOCUMENT_LIBRARY" ref="A1:K2" headerRowCount="1">
  <autoFilter ref="A1:K2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DOCUMENT_LINK" displayName="T_DOCUMENT_LINK" ref="A1:K2" headerRowCount="1">
  <autoFilter ref="A1:K2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SYS_RELATIONSHIPS" displayName="T_SYS_RELATIONSHIPS" ref="A1:H91" headerRowCount="1">
  <autoFilter ref="A1:H91"/>
  <tableColumns count="8">
    <tableColumn id="1" name="RELATIONSHIP_ID"/>
    <tableColumn id="2" name="FROM_TABLE"/>
    <tableColumn id="3" name="FROM_COLUMN"/>
    <tableColumn id="4" name="TO_TABLE"/>
    <tableColumn id="5" name="TO_COLUMN"/>
    <tableColumn id="6" name="TO_NAMED_RANGE"/>
    <tableColumn id="7" name="IS_REQUIRED"/>
    <tableColumn id="8" name="RELATIONSHIP_COD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ENG_MATERIAL_WEIGHT" displayName="T_ENG_MATERIAL_WEIGHT" ref="A1:I51" headerRowCount="1">
  <autoFilter ref="A1:I51"/>
  <tableColumns count="9">
    <tableColumn id="1" name="ROW_INDEX"/>
    <tableColumn id="2" name="COMPONENT_MATERIAL_ID"/>
    <tableColumn id="3" name="COMPONENT_ID"/>
    <tableColumn id="4" name="MATERIAL_ID"/>
    <tableColumn id="5" name="SHARE_PCT"/>
    <tableColumn id="6" name="UNIT_WEIGHT_G"/>
    <tableColumn id="7" name="MATERIAL_WEIGHT_G"/>
    <tableColumn id="8" name="MATERIAL_FAMILY_ID"/>
    <tableColumn id="9" name="MATERIAL_FAMILY_COD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ENG_PACKAGING_WEIGHT" displayName="T_ENG_PACKAGING_WEIGHT" ref="A1:H51" headerRowCount="1">
  <autoFilter ref="A1:H51"/>
  <tableColumns count="8">
    <tableColumn id="1" name="ROW_INDEX"/>
    <tableColumn id="2" name="PACKAGING_CONFIGURATION_LINE_ID"/>
    <tableColumn id="3" name="PACKAGING_CONFIGURATION_ID"/>
    <tableColumn id="4" name="COMPONENT_ID"/>
    <tableColumn id="5" name="QUANTITY"/>
    <tableColumn id="6" name="IS_OPTIONAL"/>
    <tableColumn id="7" name="UNIT_WEIGHT_G"/>
    <tableColumn id="8" name="LINE_WEIGHT_G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ENG_TRANSPORT_WEIGHT" displayName="T_ENG_TRANSPORT_WEIGHT" ref="A1:G51" headerRowCount="1">
  <autoFilter ref="A1:G51"/>
  <tableColumns count="7">
    <tableColumn id="1" name="ROW_INDEX"/>
    <tableColumn id="2" name="TRANSPORT_CONFIGURATION_LINE_ID"/>
    <tableColumn id="3" name="TRANSPORT_CONFIGURATION_ID"/>
    <tableColumn id="4" name="COMPONENT_ID"/>
    <tableColumn id="5" name="QUANTITY_PER_TRANSPORT_UNIT"/>
    <tableColumn id="6" name="UNIT_WEIGHT_G"/>
    <tableColumn id="7" name="LINE_WEIGHT_G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ENG_SHIPMENT_WEIGHT" displayName="T_ENG_SHIPMENT_WEIGHT" ref="A1:O51" headerRowCount="1">
  <autoFilter ref="A1:O51"/>
  <tableColumns count="15">
    <tableColumn id="1" name="ROW_INDEX"/>
    <tableColumn id="2" name="SHIPMENT_ID"/>
    <tableColumn id="3" name="SHIPMENT_NUMBER"/>
    <tableColumn id="4" name="QTY_PRODUCT_UNITS"/>
    <tableColumn id="5" name="PACKAGING_CONFIGURATION_ID"/>
    <tableColumn id="6" name="TRANSPORT_CONFIGURATION_ID"/>
    <tableColumn id="7" name="UNITS_PER_LAYER"/>
    <tableColumn id="8" name="LAYERS_PER_UNIT"/>
    <tableColumn id="9" name="CONTAINER_PAYLOAD_UNITS"/>
    <tableColumn id="10" name="UNITS_PER_TRANSPORT_UNIT"/>
    <tableColumn id="11" name="PACKAGING_WEIGHT_PER_UNIT_G"/>
    <tableColumn id="12" name="TRANSPORT_WEIGHT_PER_UNIT_G"/>
    <tableColumn id="13" name="TOTAL_WEIGHT_PER_UNIT_G"/>
    <tableColumn id="14" name="SHIPMENT_PACKAGING_WEIGHT_G"/>
    <tableColumn id="15" name="SHIPMENT_PACKAGING_WEIGHT_KG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ENG_PLASTIC_SUMMARY" displayName="T_ENG_PLASTIC_SUMMARY" ref="A1:E2" headerRowCount="1">
  <autoFilter ref="A1:E2"/>
  <tableColumns count="5">
    <tableColumn id="1" name="MATERIAL_FAMILY_CODE"/>
    <tableColumn id="2" name="LINE_COUNT"/>
    <tableColumn id="3" name="TOTAL_MATERIAL_WEIGHT_G"/>
    <tableColumn id="4" name="TOTAL_MATERIAL_WEIGHT_KG"/>
    <tableColumn id="5" name="SHARE_OF_ALL_MATERIAL_PCT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ENG_PAPER_SUMMARY" displayName="T_ENG_PAPER_SUMMARY" ref="A1:E2" headerRowCount="1">
  <autoFilter ref="A1:E2"/>
  <tableColumns count="5">
    <tableColumn id="1" name="MATERIAL_FAMILY_CODE"/>
    <tableColumn id="2" name="LINE_COUNT"/>
    <tableColumn id="3" name="TOTAL_MATERIAL_WEIGHT_G"/>
    <tableColumn id="4" name="TOTAL_MATERIAL_WEIGHT_KG"/>
    <tableColumn id="5" name="SHARE_OF_ALL_MATERIAL_PCT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ENG_WOOD_SUMMARY" displayName="T_ENG_WOOD_SUMMARY" ref="A1:E2" headerRowCount="1">
  <autoFilter ref="A1:E2"/>
  <tableColumns count="5">
    <tableColumn id="1" name="MATERIAL_FAMILY_CODE"/>
    <tableColumn id="2" name="LINE_COUNT"/>
    <tableColumn id="3" name="TOTAL_MATERIAL_WEIGHT_G"/>
    <tableColumn id="4" name="TOTAL_MATERIAL_WEIGHT_KG"/>
    <tableColumn id="5" name="SHARE_OF_ALL_MATERIAL_PCT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ENG_STATEMENT" displayName="T_ENG_STATEMENT" ref="A1:L51" headerRowCount="1">
  <autoFilter ref="A1:L51"/>
  <tableColumns count="12">
    <tableColumn id="1" name="ROW_INDEX"/>
    <tableColumn id="2" name="STATEMENT_ID"/>
    <tableColumn id="3" name="STATEMENT_CODE"/>
    <tableColumn id="4" name="MATERIAL_ID"/>
    <tableColumn id="5" name="PACKAGING_LEVEL_ID"/>
    <tableColumn id="6" name="OWNERSHIP_TYPE_ID"/>
    <tableColumn id="7" name="FROZEN_TOTAL_WEIGHT_KG"/>
    <tableColumn id="8" name="RECOMPUTED_WEIGHT_G"/>
    <tableColumn id="9" name="RECOMPUTED_WEIGHT_KG"/>
    <tableColumn id="10" name="VARIANCE_KG"/>
    <tableColumn id="11" name="SOURCE_SHIPMENT_COUNT"/>
    <tableColumn id="12" name="RECONCILE_STATU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ENG_TECHNICAL_FILE" displayName="T_ENG_TECHNICAL_FILE" ref="A1:J51" headerRowCount="1">
  <autoFilter ref="A1:J51"/>
  <tableColumns count="10">
    <tableColumn id="1" name="ROW_INDEX"/>
    <tableColumn id="2" name="TECHNICAL_FILE_ID"/>
    <tableColumn id="3" name="TECHNICAL_FILE_CODE"/>
    <tableColumn id="4" name="SUBJECT_COUNT"/>
    <tableColumn id="5" name="HAS_EXACTLY_ONE_SUBJECT"/>
    <tableColumn id="6" name="DOCUMENT_LINK_COUNT"/>
    <tableColumn id="7" name="HAS_DOCUMENT"/>
    <tableColumn id="8" name="STATUS_ID"/>
    <tableColumn id="9" name="COMPLETENESS_SCORE"/>
    <tableColumn id="10" name="ENGINE_STATU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ENG_DECLARATION" displayName="T_ENG_DECLARATION" ref="A1:K51" headerRowCount="1">
  <autoFilter ref="A1:K51"/>
  <tableColumns count="11">
    <tableColumn id="1" name="ROW_INDEX"/>
    <tableColumn id="2" name="DECLARATION_OF_CONFORMITY_ID"/>
    <tableColumn id="3" name="DOC_NUMBER"/>
    <tableColumn id="4" name="HAS_LEGAL_ENTITY"/>
    <tableColumn id="5" name="HAS_TECHNICAL_FILE"/>
    <tableColumn id="6" name="HAS_RESPONSIBLE_PERSON"/>
    <tableColumn id="7" name="SCOPE_COUNT"/>
    <tableColumn id="8" name="HAS_SCOPE"/>
    <tableColumn id="9" name="DOCUMENT_LINK_COUNT"/>
    <tableColumn id="10" name="COMPLETENESS_SCORE"/>
    <tableColumn id="11" name="ENGINE_STATU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ENG_IMPACT_ANALYSIS" displayName="T_ENG_IMPACT_ANALYSIS" ref="A1:L51" headerRowCount="1">
  <autoFilter ref="A1:L51"/>
  <tableColumns count="12">
    <tableColumn id="1" name="ROW_INDEX"/>
    <tableColumn id="2" name="COMPONENT_ID"/>
    <tableColumn id="3" name="COMPONENT_CODE"/>
    <tableColumn id="4" name="WEIGHT_G"/>
    <tableColumn id="5" name="USED_IN_PKG_LINES"/>
    <tableColumn id="6" name="USED_IN_TRN_LINES"/>
    <tableColumn id="7" name="AFFECTED_PACKAGING_CONFIGS"/>
    <tableColumn id="8" name="AFFECTED_TRANSPORT_CONFIGS"/>
    <tableColumn id="9" name="AFFECTED_SCENARIOS"/>
    <tableColumn id="10" name="AFFECTED_SHIPMENTS"/>
    <tableColumn id="11" name="IMPACT_SCORE"/>
    <tableColumn id="12" name="IMPACT_LEVEL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ENG_VALIDATION" displayName="T_ENG_VALIDATION" ref="A1:E19" headerRowCount="1">
  <autoFilter ref="A1:E19"/>
  <tableColumns count="5">
    <tableColumn id="1" name="ROW_INDEX"/>
    <tableColumn id="2" name="RULE_ID"/>
    <tableColumn id="3" name="RULE_NAME"/>
    <tableColumn id="4" name="RESULT"/>
    <tableColumn id="5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NAV!A1" TargetMode="External" Id="rId1" /><Relationship Type="http://schemas.openxmlformats.org/officeDocument/2006/relationships/hyperlink" Target="#SEARCH!A1" TargetMode="External" Id="rId2" /><Relationship Type="http://schemas.openxmlformats.org/officeDocument/2006/relationships/hyperlink" Target="#ENG_VALIDATION!A1" TargetMode="External" Id="rId3" /><Relationship Type="http://schemas.openxmlformats.org/officeDocument/2006/relationships/hyperlink" Target="#ENG_IMPACT_ANALYSIS!A1" TargetMode="External" Id="rId4" /><Relationship Type="http://schemas.openxmlformats.org/officeDocument/2006/relationships/hyperlink" Target="#COMPONENT!A1" TargetMode="External" Id="rId5" /><Relationship Type="http://schemas.openxmlformats.org/officeDocument/2006/relationships/hyperlink" Target="#SHIPMENT!A1" TargetMode="External" Id="rId6" /><Relationship Type="http://schemas.openxmlformats.org/officeDocument/2006/relationships/hyperlink" Target="#STATEMENT!A1" TargetMode="External" Id="rId7" /><Relationship Type="http://schemas.openxmlformats.org/officeDocument/2006/relationships/hyperlink" Target="#DECLARATION_OF_CONFORMITY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#SEARCH!A1" TargetMode="External" Id="rId2" /><Relationship Type="http://schemas.openxmlformats.org/officeDocument/2006/relationships/hyperlink" Target="#PRODUCT!A1" TargetMode="External" Id="rId3" /><Relationship Type="http://schemas.openxmlformats.org/officeDocument/2006/relationships/hyperlink" Target="#COMPONENT!A1" TargetMode="External" Id="rId4" /><Relationship Type="http://schemas.openxmlformats.org/officeDocument/2006/relationships/hyperlink" Target="#COMPONENT_MATERIAL!A1" TargetMode="External" Id="rId5" /><Relationship Type="http://schemas.openxmlformats.org/officeDocument/2006/relationships/hyperlink" Target="#PACKAGING_CONFIGURATION!A1" TargetMode="External" Id="rId6" /><Relationship Type="http://schemas.openxmlformats.org/officeDocument/2006/relationships/hyperlink" Target="#PACKAGING_CONFIGURATION_LINE!A1" TargetMode="External" Id="rId7" /><Relationship Type="http://schemas.openxmlformats.org/officeDocument/2006/relationships/hyperlink" Target="#TRANSPORT_CONFIGURATION!A1" TargetMode="External" Id="rId8" /><Relationship Type="http://schemas.openxmlformats.org/officeDocument/2006/relationships/hyperlink" Target="#TRANSPORT_CONFIGURATION_LINE!A1" TargetMode="External" Id="rId9" /><Relationship Type="http://schemas.openxmlformats.org/officeDocument/2006/relationships/hyperlink" Target="#COMMERCIAL_SCENARIO!A1" TargetMode="External" Id="rId10" /><Relationship Type="http://schemas.openxmlformats.org/officeDocument/2006/relationships/hyperlink" Target="#SHIPMENT!A1" TargetMode="External" Id="rId11" /><Relationship Type="http://schemas.openxmlformats.org/officeDocument/2006/relationships/hyperlink" Target="#SHIPMENT_LINE!A1" TargetMode="External" Id="rId12" /><Relationship Type="http://schemas.openxmlformats.org/officeDocument/2006/relationships/hyperlink" Target="#TECHNICAL_FILE!A1" TargetMode="External" Id="rId13" /><Relationship Type="http://schemas.openxmlformats.org/officeDocument/2006/relationships/hyperlink" Target="#DECLARATION_OF_CONFORMITY!A1" TargetMode="External" Id="rId14" /><Relationship Type="http://schemas.openxmlformats.org/officeDocument/2006/relationships/hyperlink" Target="#STATEMENT!A1" TargetMode="External" Id="rId15" /><Relationship Type="http://schemas.openxmlformats.org/officeDocument/2006/relationships/hyperlink" Target="#STATEMENT_SHIPMENT!A1" TargetMode="External" Id="rId16" /><Relationship Type="http://schemas.openxmlformats.org/officeDocument/2006/relationships/hyperlink" Target="#STATEMENT_LINE!A1" TargetMode="External" Id="rId17" /><Relationship Type="http://schemas.openxmlformats.org/officeDocument/2006/relationships/hyperlink" Target="#DOCUMENT_LIBRARY!A1" TargetMode="External" Id="rId18" /><Relationship Type="http://schemas.openxmlformats.org/officeDocument/2006/relationships/hyperlink" Target="#DOCUMENT_LINK!A1" TargetMode="External" Id="rId19" /><Relationship Type="http://schemas.openxmlformats.org/officeDocument/2006/relationships/hyperlink" Target="#ENG_MATERIAL_WEIGHT!A1" TargetMode="External" Id="rId20" /><Relationship Type="http://schemas.openxmlformats.org/officeDocument/2006/relationships/hyperlink" Target="#ENG_PACKAGING_WEIGHT!A1" TargetMode="External" Id="rId21" /><Relationship Type="http://schemas.openxmlformats.org/officeDocument/2006/relationships/hyperlink" Target="#ENG_TRANSPORT_WEIGHT!A1" TargetMode="External" Id="rId22" /><Relationship Type="http://schemas.openxmlformats.org/officeDocument/2006/relationships/hyperlink" Target="#ENG_SHIPMENT_WEIGHT!A1" TargetMode="External" Id="rId23" /><Relationship Type="http://schemas.openxmlformats.org/officeDocument/2006/relationships/hyperlink" Target="#ENG_PLASTIC_SUMMARY!A1" TargetMode="External" Id="rId24" /><Relationship Type="http://schemas.openxmlformats.org/officeDocument/2006/relationships/hyperlink" Target="#ENG_PAPER_SUMMARY!A1" TargetMode="External" Id="rId25" /><Relationship Type="http://schemas.openxmlformats.org/officeDocument/2006/relationships/hyperlink" Target="#ENG_WOOD_SUMMARY!A1" TargetMode="External" Id="rId26" /><Relationship Type="http://schemas.openxmlformats.org/officeDocument/2006/relationships/hyperlink" Target="#ENG_STATEMENT!A1" TargetMode="External" Id="rId27" /><Relationship Type="http://schemas.openxmlformats.org/officeDocument/2006/relationships/hyperlink" Target="#ENG_TECHNICAL_FILE!A1" TargetMode="External" Id="rId28" /><Relationship Type="http://schemas.openxmlformats.org/officeDocument/2006/relationships/hyperlink" Target="#ENG_DECLARATION!A1" TargetMode="External" Id="rId29" /><Relationship Type="http://schemas.openxmlformats.org/officeDocument/2006/relationships/hyperlink" Target="#ENG_IMPACT_ANALYSIS!A1" TargetMode="External" Id="rId30" /><Relationship Type="http://schemas.openxmlformats.org/officeDocument/2006/relationships/hyperlink" Target="#ENG_VALIDATION!A1" TargetMode="External" Id="rId31" /><Relationship Type="http://schemas.openxmlformats.org/officeDocument/2006/relationships/hyperlink" Target="#LKP_STATUS!A1" TargetMode="External" Id="rId32" /><Relationship Type="http://schemas.openxmlformats.org/officeDocument/2006/relationships/hyperlink" Target="#LKP_UOM!A1" TargetMode="External" Id="rId33" /><Relationship Type="http://schemas.openxmlformats.org/officeDocument/2006/relationships/hyperlink" Target="#LKP_PACKAGING_LEVEL!A1" TargetMode="External" Id="rId34" /><Relationship Type="http://schemas.openxmlformats.org/officeDocument/2006/relationships/hyperlink" Target="#LKP_PACKAGING_FUNCTION!A1" TargetMode="External" Id="rId35" /><Relationship Type="http://schemas.openxmlformats.org/officeDocument/2006/relationships/hyperlink" Target="#LKP_COMPONENT_TYPE!A1" TargetMode="External" Id="rId36" /><Relationship Type="http://schemas.openxmlformats.org/officeDocument/2006/relationships/hyperlink" Target="#LKP_MATERIAL_FAMILY!A1" TargetMode="External" Id="rId37" /><Relationship Type="http://schemas.openxmlformats.org/officeDocument/2006/relationships/hyperlink" Target="#LKP_PPWR_MATERIAL_CATEGORY!A1" TargetMode="External" Id="rId38" /><Relationship Type="http://schemas.openxmlformats.org/officeDocument/2006/relationships/hyperlink" Target="#LKP_MATERIAL!A1" TargetMode="External" Id="rId39" /><Relationship Type="http://schemas.openxmlformats.org/officeDocument/2006/relationships/hyperlink" Target="#LKP_RECYCLABILITY_CLASS!A1" TargetMode="External" Id="rId40" /><Relationship Type="http://schemas.openxmlformats.org/officeDocument/2006/relationships/hyperlink" Target="#LKP_OWNERSHIP_TYPE!A1" TargetMode="External" Id="rId41" /><Relationship Type="http://schemas.openxmlformats.org/officeDocument/2006/relationships/hyperlink" Target="#LKP_TRANSPORT_UNIT_TYPE!A1" TargetMode="External" Id="rId42" /><Relationship Type="http://schemas.openxmlformats.org/officeDocument/2006/relationships/hyperlink" Target="#LKP_LINE_ROLE!A1" TargetMode="External" Id="rId43" /><Relationship Type="http://schemas.openxmlformats.org/officeDocument/2006/relationships/hyperlink" Target="#LKP_PRODUCT_CATEGORY!A1" TargetMode="External" Id="rId44" /><Relationship Type="http://schemas.openxmlformats.org/officeDocument/2006/relationships/hyperlink" Target="#LKP_COUNTRY!A1" TargetMode="External" Id="rId45" /><Relationship Type="http://schemas.openxmlformats.org/officeDocument/2006/relationships/hyperlink" Target="#LKP_TRANSPORT_MODE!A1" TargetMode="External" Id="rId46" /><Relationship Type="http://schemas.openxmlformats.org/officeDocument/2006/relationships/hyperlink" Target="#LKP_INCOTERM!A1" TargetMode="External" Id="rId47" /><Relationship Type="http://schemas.openxmlformats.org/officeDocument/2006/relationships/hyperlink" Target="#LKP_STATEMENT_TYPE!A1" TargetMode="External" Id="rId48" /><Relationship Type="http://schemas.openxmlformats.org/officeDocument/2006/relationships/hyperlink" Target="#LKP_DOCUMENT_TYPE!A1" TargetMode="External" Id="rId49" /><Relationship Type="http://schemas.openxmlformats.org/officeDocument/2006/relationships/hyperlink" Target="#LKP_SCENARIO_TYPE!A1" TargetMode="External" Id="rId50" /><Relationship Type="http://schemas.openxmlformats.org/officeDocument/2006/relationships/hyperlink" Target="#LEGAL_ENTITY!A1" TargetMode="External" Id="rId51" /><Relationship Type="http://schemas.openxmlformats.org/officeDocument/2006/relationships/hyperlink" Target="#PERSON!A1" TargetMode="External" Id="rId52" /><Relationship Type="http://schemas.openxmlformats.org/officeDocument/2006/relationships/hyperlink" Target="#SUPPLIER!A1" TargetMode="External" Id="rId53" /><Relationship Type="http://schemas.openxmlformats.org/officeDocument/2006/relationships/hyperlink" Target="#CUSTOMER!A1" TargetMode="External" Id="rId54" /><Relationship Type="http://schemas.openxmlformats.org/officeDocument/2006/relationships/hyperlink" Target="#PLANT!A1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#NAV!A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6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7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8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9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0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1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2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3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4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5.xm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6.xm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7.xm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8.xm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19.xm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0.xm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1.xm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2.xm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3.xm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4.xm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5.xm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6.xm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7.xm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8.xm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29.xm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0.xm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1.xml" Id="rId2" /></Relationships>
</file>

<file path=xl/worksheets/_rels/sheet3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2.xml" Id="rId2" /></Relationships>
</file>

<file path=xl/worksheets/_rels/sheet3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3.xml" Id="rId2" /></Relationships>
</file>

<file path=xl/worksheets/_rels/sheet3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4.xml" Id="rId2" /></Relationships>
</file>

<file path=xl/worksheets/_rels/sheet3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5.xml" Id="rId2" /></Relationships>
</file>

<file path=xl/worksheets/_rels/sheet3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6.xml" Id="rId2" /></Relationships>
</file>

<file path=xl/worksheets/_rels/sheet4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7.xml" Id="rId2" /></Relationships>
</file>

<file path=xl/worksheets/_rels/sheet4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8.xml" Id="rId2" /></Relationships>
</file>

<file path=xl/worksheets/_rels/sheet4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39.xml" Id="rId2" /></Relationships>
</file>

<file path=xl/worksheets/_rels/sheet4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0.xml" Id="rId2" /></Relationships>
</file>

<file path=xl/worksheets/_rels/sheet4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1.xml" Id="rId2" /></Relationships>
</file>

<file path=xl/worksheets/_rels/sheet4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2.xml" Id="rId2" /></Relationships>
</file>

<file path=xl/worksheets/_rels/sheet4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3.xml" Id="rId2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5.xml" Id="rId2" /></Relationships>
</file>

<file path=xl/worksheets/_rels/sheet4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6.xml" Id="rId2" /></Relationships>
</file>

<file path=xl/worksheets/_rels/sheet50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7.xml" Id="rId2" /></Relationships>
</file>

<file path=xl/worksheets/_rels/sheet51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8.xml" Id="rId2" /></Relationships>
</file>

<file path=xl/worksheets/_rels/sheet5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49.xml" Id="rId2" /></Relationships>
</file>

<file path=xl/worksheets/_rels/sheet5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0.xml" Id="rId2" /></Relationships>
</file>

<file path=xl/worksheets/_rels/sheet5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1.xml" Id="rId2" /></Relationships>
</file>

<file path=xl/worksheets/_rels/sheet5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2.xml" Id="rId2" /></Relationships>
</file>

<file path=xl/worksheets/_rels/sheet5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3.xml" Id="rId2" /></Relationships>
</file>

<file path=xl/worksheets/_rels/sheet57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4.xml" Id="rId2" /></Relationships>
</file>

<file path=xl/worksheets/_rels/sheet58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5.xml" Id="rId2" /></Relationships>
</file>

<file path=xl/worksheets/_rels/sheet59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table" Target="/xl/tables/table5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A2" s="1" t="n"/>
      <c r="B2" s="2" t="inlineStr">
        <is>
          <t>İNCI AKÜ  |  PPWR Packaging Information Management System</t>
        </is>
      </c>
      <c r="I2" s="1" t="n"/>
      <c r="J2" s="1" t="n"/>
      <c r="K2" s="1" t="n"/>
    </row>
    <row r="3">
      <c r="A3" s="1" t="n"/>
      <c r="B3" s="3" t="inlineStr">
        <is>
          <t>Workbook Inci_Aku_PPWR_PMS_Rev00.xlsx  ·  Schema 1.0.0  ·  Native Excel UI (No VBA)</t>
        </is>
      </c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t>CELL LEGEND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User Input</t>
        </is>
      </c>
      <c r="C6" s="3" t="inlineStr">
        <is>
          <t>Editable master / transactional data</t>
        </is>
      </c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6" t="inlineStr">
        <is>
          <t>Calculation</t>
        </is>
      </c>
      <c r="C7" s="3" t="inlineStr">
        <is>
          <t>Engine formulas (locked)</t>
        </is>
      </c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7" t="inlineStr">
        <is>
          <t>Protected</t>
        </is>
      </c>
      <c r="C8" s="3" t="inlineStr">
        <is>
          <t>Headers / system / technical</t>
        </is>
      </c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4" t="inlineStr">
        <is>
          <t>OPERATIONS SNAPSHOT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8" t="inlineStr">
        <is>
          <t>Components</t>
        </is>
      </c>
      <c r="C11" s="1" t="n"/>
      <c r="D11" s="8" t="inlineStr">
        <is>
          <t>Products</t>
        </is>
      </c>
      <c r="E11" s="1" t="n"/>
      <c r="F11" s="8" t="inlineStr">
        <is>
          <t>Scenarios</t>
        </is>
      </c>
      <c r="G11" s="1" t="n"/>
      <c r="H11" s="8" t="inlineStr">
        <is>
          <t>Shipments</t>
        </is>
      </c>
      <c r="I11" s="1" t="n"/>
      <c r="J11" s="1" t="n"/>
      <c r="K11" s="1" t="n"/>
    </row>
    <row r="12" ht="22" customHeight="1">
      <c r="A12" s="1" t="n"/>
      <c r="B12" s="9">
        <f>COUNTA(T_COMPONENT[COMPONENT_ID])</f>
        <v/>
      </c>
      <c r="C12" s="1" t="n"/>
      <c r="D12" s="9">
        <f>COUNTA(T_PRODUCT[PRODUCT_ID])</f>
        <v/>
      </c>
      <c r="E12" s="1" t="n"/>
      <c r="F12" s="9">
        <f>COUNTA(T_COMMERCIAL_SCENARIO[COMMERCIAL_SCENARIO_ID])</f>
        <v/>
      </c>
      <c r="G12" s="1" t="n"/>
      <c r="H12" s="9">
        <f>COUNTA(T_SHIPMENT[SHIPMENT_ID])</f>
        <v/>
      </c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8" t="inlineStr">
        <is>
          <t>Pkg Configs</t>
        </is>
      </c>
      <c r="C14" s="1" t="n"/>
      <c r="D14" s="8" t="inlineStr">
        <is>
          <t>Transport Configs</t>
        </is>
      </c>
      <c r="E14" s="1" t="n"/>
      <c r="F14" s="8" t="inlineStr">
        <is>
          <t>Statements</t>
        </is>
      </c>
      <c r="G14" s="1" t="n"/>
      <c r="H14" s="8" t="inlineStr">
        <is>
          <t>DoCs</t>
        </is>
      </c>
      <c r="I14" s="1" t="n"/>
      <c r="J14" s="1" t="n"/>
      <c r="K14" s="1" t="n"/>
    </row>
    <row r="15" ht="22" customHeight="1">
      <c r="A15" s="1" t="n"/>
      <c r="B15" s="9">
        <f>COUNTA(T_PACKAGING_CONFIGURATION[PACKAGING_CONFIGURATION_ID])</f>
        <v/>
      </c>
      <c r="C15" s="1" t="n"/>
      <c r="D15" s="9">
        <f>COUNTA(T_TRANSPORT_CONFIGURATION[TRANSPORT_CONFIGURATION_ID])</f>
        <v/>
      </c>
      <c r="E15" s="1" t="n"/>
      <c r="F15" s="9">
        <f>COUNTA(T_STATEMENT[STATEMENT_ID])</f>
        <v/>
      </c>
      <c r="G15" s="1" t="n"/>
      <c r="H15" s="9">
        <f>COUNTA(T_DECLARATION_OF_CONFORMITY[DECLARATION_OF_CONFORMITY_ID])</f>
        <v/>
      </c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4" t="inlineStr">
        <is>
          <t>VALIDATION ENGINE</t>
        </is>
      </c>
      <c r="C17" s="1" t="n"/>
      <c r="D17" s="1" t="n"/>
      <c r="E17" s="4" t="inlineStr">
        <is>
          <t>MATERIAL SUMMARIES (kg)</t>
        </is>
      </c>
      <c r="F17" s="1" t="n"/>
      <c r="G17" s="1" t="n"/>
      <c r="H17" s="1" t="n"/>
      <c r="I17" s="1" t="n"/>
      <c r="J17" s="1" t="n"/>
      <c r="K17" s="1" t="n"/>
    </row>
    <row r="18">
      <c r="A18" s="1" t="n"/>
      <c r="B18" s="10" t="inlineStr">
        <is>
          <t>OK</t>
        </is>
      </c>
      <c r="C18" s="9">
        <f>COUNTIF(T_ENG_VALIDATION[RESULT],"OK")</f>
        <v/>
      </c>
      <c r="D18" s="1" t="n"/>
      <c r="E18" s="10" t="inlineStr">
        <is>
          <t>Plastic</t>
        </is>
      </c>
      <c r="F18" s="11">
        <f>IFERROR(INDEX(T_ENG_PLASTIC_SUMMARY[TOTAL_MATERIAL_WEIGHT_KG],1),0)</f>
        <v/>
      </c>
      <c r="G18" s="1" t="n"/>
      <c r="H18" s="1" t="n"/>
      <c r="I18" s="1" t="n"/>
      <c r="J18" s="1" t="n"/>
      <c r="K18" s="1" t="n"/>
    </row>
    <row r="19">
      <c r="A19" s="1" t="n"/>
      <c r="B19" s="10" t="inlineStr">
        <is>
          <t>ERROR</t>
        </is>
      </c>
      <c r="C19" s="9">
        <f>COUNTIF(T_ENG_VALIDATION[RESULT],"ERROR")</f>
        <v/>
      </c>
      <c r="D19" s="1" t="n"/>
      <c r="E19" s="10" t="inlineStr">
        <is>
          <t>Paper</t>
        </is>
      </c>
      <c r="F19" s="11">
        <f>IFERROR(INDEX(T_ENG_PAPER_SUMMARY[TOTAL_MATERIAL_WEIGHT_KG],1),0)</f>
        <v/>
      </c>
      <c r="G19" s="1" t="n"/>
      <c r="H19" s="1" t="n"/>
      <c r="I19" s="1" t="n"/>
      <c r="J19" s="1" t="n"/>
      <c r="K19" s="1" t="n"/>
    </row>
    <row r="20">
      <c r="A20" s="1" t="n"/>
      <c r="B20" s="10" t="inlineStr">
        <is>
          <t>WARN</t>
        </is>
      </c>
      <c r="C20" s="9">
        <f>COUNTIF(T_ENG_VALIDATION[RESULT],"WARN")</f>
        <v/>
      </c>
      <c r="D20" s="1" t="n"/>
      <c r="E20" s="10" t="inlineStr">
        <is>
          <t>Wood</t>
        </is>
      </c>
      <c r="F20" s="11">
        <f>IFERROR(INDEX(T_ENG_WOOD_SUMMARY[TOTAL_MATERIAL_WEIGHT_KG],1),0)</f>
        <v/>
      </c>
      <c r="G20" s="1" t="n"/>
      <c r="H20" s="1" t="n"/>
      <c r="I20" s="1" t="n"/>
      <c r="J20" s="1" t="n"/>
      <c r="K20" s="1" t="n"/>
    </row>
    <row r="21">
      <c r="A21" s="1" t="n"/>
      <c r="B21" s="10" t="inlineStr">
        <is>
          <t>PENDING</t>
        </is>
      </c>
      <c r="C21" s="9">
        <f>COUNTIF(T_ENG_VALIDATION[RESULT],"PENDING")</f>
        <v/>
      </c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4" t="inlineStr">
        <is>
          <t>QUICK NAVIGATION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2" t="inlineStr">
        <is>
          <t>Navigation Hub</t>
        </is>
      </c>
      <c r="C24" s="1" t="n"/>
      <c r="D24" s="12" t="inlineStr">
        <is>
          <t>Search</t>
        </is>
      </c>
      <c r="E24" s="1" t="n"/>
      <c r="F24" s="12" t="inlineStr">
        <is>
          <t>Validation</t>
        </is>
      </c>
      <c r="G24" s="1" t="n"/>
      <c r="H24" s="12" t="inlineStr">
        <is>
          <t>Impact</t>
        </is>
      </c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2" t="inlineStr">
        <is>
          <t>Components</t>
        </is>
      </c>
      <c r="C26" s="1" t="n"/>
      <c r="D26" s="12" t="inlineStr">
        <is>
          <t>Shipments</t>
        </is>
      </c>
      <c r="E26" s="1" t="n"/>
      <c r="F26" s="12" t="inlineStr">
        <is>
          <t>Statements</t>
        </is>
      </c>
      <c r="G26" s="1" t="n"/>
      <c r="H26" s="12" t="inlineStr">
        <is>
          <t>Declarations</t>
        </is>
      </c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3" t="inlineStr">
        <is>
          <t>Tips: Use table column filters on every data sheet · Search sheet for FILTER-based lookup · Yellow = input · Blue = calculation · Engines are protected</t>
        </is>
      </c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3">
    <mergeCell ref="B3:H3"/>
    <mergeCell ref="B2:H2"/>
    <mergeCell ref="B28:H28"/>
  </mergeCells>
  <conditionalFormatting sqref="C19">
    <cfRule type="cellIs" priority="1" operator="greaterThan" dxfId="0">
      <formula>0</formula>
    </cfRule>
  </conditionalFormatting>
  <conditionalFormatting sqref="C18">
    <cfRule type="cellIs" priority="2" operator="greaterThan" dxfId="1">
      <formula>0</formula>
    </cfRule>
  </conditionalFormatting>
  <hyperlinks>
    <hyperlink xmlns:r="http://schemas.openxmlformats.org/officeDocument/2006/relationships" ref="B24" r:id="rId1"/>
    <hyperlink xmlns:r="http://schemas.openxmlformats.org/officeDocument/2006/relationships" ref="D24" r:id="rId2"/>
    <hyperlink xmlns:r="http://schemas.openxmlformats.org/officeDocument/2006/relationships" ref="F24" r:id="rId3"/>
    <hyperlink xmlns:r="http://schemas.openxmlformats.org/officeDocument/2006/relationships" ref="H24" r:id="rId4"/>
    <hyperlink xmlns:r="http://schemas.openxmlformats.org/officeDocument/2006/relationships" ref="B26" r:id="rId5"/>
    <hyperlink xmlns:r="http://schemas.openxmlformats.org/officeDocument/2006/relationships" ref="D26" r:id="rId6"/>
    <hyperlink xmlns:r="http://schemas.openxmlformats.org/officeDocument/2006/relationships" ref="F26" r:id="rId7"/>
    <hyperlink xmlns:r="http://schemas.openxmlformats.org/officeDocument/2006/relationships" ref="H2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3" t="inlineStr">
        <is>
          <t>PIMS NAVIGATION</t>
        </is>
      </c>
    </row>
    <row r="2">
      <c r="A2" s="14" t="inlineStr">
        <is>
          <t>Click a button to jump (native hyperlinks — no VBA)</t>
        </is>
      </c>
    </row>
    <row r="4">
      <c r="A4" s="15" t="inlineStr">
        <is>
          <t>HOME</t>
        </is>
      </c>
    </row>
    <row r="5">
      <c r="A5" s="12" t="inlineStr">
        <is>
          <t>Dashboard</t>
        </is>
      </c>
      <c r="B5" s="12" t="inlineStr">
        <is>
          <t>Search</t>
        </is>
      </c>
    </row>
    <row r="7">
      <c r="A7" s="15" t="inlineStr">
        <is>
          <t>MASTERS</t>
        </is>
      </c>
    </row>
    <row r="8">
      <c r="A8" s="12" t="inlineStr">
        <is>
          <t>PRODUCT</t>
        </is>
      </c>
      <c r="B8" s="12" t="inlineStr">
        <is>
          <t>COMPONENT</t>
        </is>
      </c>
      <c r="C8" s="12" t="inlineStr">
        <is>
          <t>COMPONENT_MATERIAL</t>
        </is>
      </c>
    </row>
    <row r="10">
      <c r="A10" s="15" t="inlineStr">
        <is>
          <t>CONFIGURATIONS</t>
        </is>
      </c>
    </row>
    <row r="11">
      <c r="A11" s="12" t="inlineStr">
        <is>
          <t>PACKAGING_CONFIGURATION</t>
        </is>
      </c>
      <c r="B11" s="12" t="inlineStr">
        <is>
          <t>PACKAGING_CONFIGURATION_LINE</t>
        </is>
      </c>
      <c r="C11" s="12" t="inlineStr">
        <is>
          <t>TRANSPORT_CONFIGURATION</t>
        </is>
      </c>
      <c r="D11" s="12" t="inlineStr">
        <is>
          <t>TRANSPORT_CONFIGURATION_LINE</t>
        </is>
      </c>
    </row>
    <row r="14">
      <c r="A14" s="15" t="inlineStr">
        <is>
          <t>OPERATIONS</t>
        </is>
      </c>
    </row>
    <row r="15">
      <c r="A15" s="12" t="inlineStr">
        <is>
          <t>COMMERCIAL_SCENARIO</t>
        </is>
      </c>
      <c r="B15" s="12" t="inlineStr">
        <is>
          <t>SHIPMENT</t>
        </is>
      </c>
      <c r="C15" s="12" t="inlineStr">
        <is>
          <t>SHIPMENT_LINE</t>
        </is>
      </c>
    </row>
    <row r="17">
      <c r="A17" s="15" t="inlineStr">
        <is>
          <t>COMPLIANCE</t>
        </is>
      </c>
    </row>
    <row r="18">
      <c r="A18" s="12" t="inlineStr">
        <is>
          <t>TECHNICAL_FILE</t>
        </is>
      </c>
      <c r="B18" s="12" t="inlineStr">
        <is>
          <t>DECLARATION_OF_CONFORMITY</t>
        </is>
      </c>
      <c r="C18" s="12" t="inlineStr">
        <is>
          <t>STATEMENT</t>
        </is>
      </c>
      <c r="D18" s="12" t="inlineStr">
        <is>
          <t>STATEMENT_SHIPMENT</t>
        </is>
      </c>
    </row>
    <row r="19">
      <c r="A19" s="12" t="inlineStr">
        <is>
          <t>STATEMENT_LINE</t>
        </is>
      </c>
      <c r="B19" s="12" t="inlineStr">
        <is>
          <t>DOCUMENT_LIBRARY</t>
        </is>
      </c>
      <c r="C19" s="12" t="inlineStr">
        <is>
          <t>DOCUMENT_LINK</t>
        </is>
      </c>
    </row>
    <row r="21">
      <c r="A21" s="15" t="inlineStr">
        <is>
          <t>ENGINES</t>
        </is>
      </c>
    </row>
    <row r="22">
      <c r="A22" s="12" t="inlineStr">
        <is>
          <t>ENG_MATERIAL_WEIGHT</t>
        </is>
      </c>
      <c r="B22" s="12" t="inlineStr">
        <is>
          <t>ENG_PACKAGING_WEIGHT</t>
        </is>
      </c>
      <c r="C22" s="12" t="inlineStr">
        <is>
          <t>ENG_TRANSPORT_WEIGHT</t>
        </is>
      </c>
      <c r="D22" s="12" t="inlineStr">
        <is>
          <t>ENG_SHIPMENT_WEIGHT</t>
        </is>
      </c>
    </row>
    <row r="23">
      <c r="A23" s="12" t="inlineStr">
        <is>
          <t>ENG_PLASTIC_SUMMARY</t>
        </is>
      </c>
      <c r="B23" s="12" t="inlineStr">
        <is>
          <t>ENG_PAPER_SUMMARY</t>
        </is>
      </c>
      <c r="C23" s="12" t="inlineStr">
        <is>
          <t>ENG_WOOD_SUMMARY</t>
        </is>
      </c>
      <c r="D23" s="12" t="inlineStr">
        <is>
          <t>ENG_STATEMENT</t>
        </is>
      </c>
    </row>
    <row r="24">
      <c r="A24" s="12" t="inlineStr">
        <is>
          <t>ENG_TECHNICAL_FILE</t>
        </is>
      </c>
      <c r="B24" s="12" t="inlineStr">
        <is>
          <t>ENG_DECLARATION</t>
        </is>
      </c>
      <c r="C24" s="12" t="inlineStr">
        <is>
          <t>ENG_IMPACT_ANALYSIS</t>
        </is>
      </c>
      <c r="D24" s="12" t="inlineStr">
        <is>
          <t>ENG_VALIDATION</t>
        </is>
      </c>
    </row>
    <row r="27">
      <c r="A27" s="15" t="inlineStr">
        <is>
          <t>LOOKUPS</t>
        </is>
      </c>
    </row>
    <row r="28">
      <c r="A28" s="12" t="inlineStr">
        <is>
          <t>LKP_STATUS</t>
        </is>
      </c>
      <c r="B28" s="12" t="inlineStr">
        <is>
          <t>LKP_UOM</t>
        </is>
      </c>
      <c r="C28" s="12" t="inlineStr">
        <is>
          <t>LKP_PACKAGING_LEVEL</t>
        </is>
      </c>
      <c r="D28" s="12" t="inlineStr">
        <is>
          <t>LKP_PACKAGING_FUNCTION</t>
        </is>
      </c>
    </row>
    <row r="29">
      <c r="A29" s="12" t="inlineStr">
        <is>
          <t>LKP_COMPONENT_TYPE</t>
        </is>
      </c>
      <c r="B29" s="12" t="inlineStr">
        <is>
          <t>LKP_MATERIAL_FAMILY</t>
        </is>
      </c>
      <c r="C29" s="12" t="inlineStr">
        <is>
          <t>LKP_PPWR_MATERIAL_CATEGORY</t>
        </is>
      </c>
      <c r="D29" s="12" t="inlineStr">
        <is>
          <t>LKP_MATERIAL</t>
        </is>
      </c>
    </row>
    <row r="30">
      <c r="A30" s="12" t="inlineStr">
        <is>
          <t>LKP_RECYCLABILITY_CLASS</t>
        </is>
      </c>
      <c r="B30" s="12" t="inlineStr">
        <is>
          <t>LKP_OWNERSHIP_TYPE</t>
        </is>
      </c>
      <c r="C30" s="12" t="inlineStr">
        <is>
          <t>LKP_TRANSPORT_UNIT_TYPE</t>
        </is>
      </c>
      <c r="D30" s="12" t="inlineStr">
        <is>
          <t>LKP_LINE_ROLE</t>
        </is>
      </c>
    </row>
    <row r="31">
      <c r="A31" s="12" t="inlineStr">
        <is>
          <t>LKP_PRODUCT_CATEGORY</t>
        </is>
      </c>
      <c r="B31" s="12" t="inlineStr">
        <is>
          <t>LKP_COUNTRY</t>
        </is>
      </c>
      <c r="C31" s="12" t="inlineStr">
        <is>
          <t>LKP_TRANSPORT_MODE</t>
        </is>
      </c>
      <c r="D31" s="12" t="inlineStr">
        <is>
          <t>LKP_INCOTERM</t>
        </is>
      </c>
    </row>
    <row r="32">
      <c r="A32" s="12" t="inlineStr">
        <is>
          <t>LKP_STATEMENT_TYPE</t>
        </is>
      </c>
      <c r="B32" s="12" t="inlineStr">
        <is>
          <t>LKP_DOCUMENT_TYPE</t>
        </is>
      </c>
      <c r="C32" s="12" t="inlineStr">
        <is>
          <t>LKP_SCENARIO_TYPE</t>
        </is>
      </c>
    </row>
    <row r="34">
      <c r="A34" s="15" t="inlineStr">
        <is>
          <t>ORGANIZATION</t>
        </is>
      </c>
    </row>
    <row r="35">
      <c r="A35" s="12" t="inlineStr">
        <is>
          <t>LEGAL_ENTITY</t>
        </is>
      </c>
      <c r="B35" s="12" t="inlineStr">
        <is>
          <t>PERSON</t>
        </is>
      </c>
      <c r="C35" s="12" t="inlineStr">
        <is>
          <t>SUPPLIER</t>
        </is>
      </c>
      <c r="D35" s="12" t="inlineStr">
        <is>
          <t>CUSTOMER</t>
        </is>
      </c>
    </row>
    <row r="36">
      <c r="A36" s="12" t="inlineStr">
        <is>
          <t>PLANT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A5" r:id="rId1"/>
    <hyperlink xmlns:r="http://schemas.openxmlformats.org/officeDocument/2006/relationships" ref="B5" r:id="rId2"/>
    <hyperlink xmlns:r="http://schemas.openxmlformats.org/officeDocument/2006/relationships" ref="A8" r:id="rId3"/>
    <hyperlink xmlns:r="http://schemas.openxmlformats.org/officeDocument/2006/relationships" ref="B8" r:id="rId4"/>
    <hyperlink xmlns:r="http://schemas.openxmlformats.org/officeDocument/2006/relationships" ref="C8" r:id="rId5"/>
    <hyperlink xmlns:r="http://schemas.openxmlformats.org/officeDocument/2006/relationships" ref="A11" r:id="rId6"/>
    <hyperlink xmlns:r="http://schemas.openxmlformats.org/officeDocument/2006/relationships" ref="B11" r:id="rId7"/>
    <hyperlink xmlns:r="http://schemas.openxmlformats.org/officeDocument/2006/relationships" ref="C11" r:id="rId8"/>
    <hyperlink xmlns:r="http://schemas.openxmlformats.org/officeDocument/2006/relationships" ref="D11" r:id="rId9"/>
    <hyperlink xmlns:r="http://schemas.openxmlformats.org/officeDocument/2006/relationships" ref="A15" r:id="rId10"/>
    <hyperlink xmlns:r="http://schemas.openxmlformats.org/officeDocument/2006/relationships" ref="B15" r:id="rId11"/>
    <hyperlink xmlns:r="http://schemas.openxmlformats.org/officeDocument/2006/relationships" ref="C15" r:id="rId12"/>
    <hyperlink xmlns:r="http://schemas.openxmlformats.org/officeDocument/2006/relationships" ref="A18" r:id="rId13"/>
    <hyperlink xmlns:r="http://schemas.openxmlformats.org/officeDocument/2006/relationships" ref="B18" r:id="rId14"/>
    <hyperlink xmlns:r="http://schemas.openxmlformats.org/officeDocument/2006/relationships" ref="C18" r:id="rId15"/>
    <hyperlink xmlns:r="http://schemas.openxmlformats.org/officeDocument/2006/relationships" ref="D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C19" r:id="rId19"/>
    <hyperlink xmlns:r="http://schemas.openxmlformats.org/officeDocument/2006/relationships" ref="A22" r:id="rId20"/>
    <hyperlink xmlns:r="http://schemas.openxmlformats.org/officeDocument/2006/relationships" ref="B22" r:id="rId21"/>
    <hyperlink xmlns:r="http://schemas.openxmlformats.org/officeDocument/2006/relationships" ref="C22" r:id="rId22"/>
    <hyperlink xmlns:r="http://schemas.openxmlformats.org/officeDocument/2006/relationships" ref="D22" r:id="rId23"/>
    <hyperlink xmlns:r="http://schemas.openxmlformats.org/officeDocument/2006/relationships" ref="A23" r:id="rId24"/>
    <hyperlink xmlns:r="http://schemas.openxmlformats.org/officeDocument/2006/relationships" ref="B23" r:id="rId25"/>
    <hyperlink xmlns:r="http://schemas.openxmlformats.org/officeDocument/2006/relationships" ref="C23" r:id="rId26"/>
    <hyperlink xmlns:r="http://schemas.openxmlformats.org/officeDocument/2006/relationships" ref="D23" r:id="rId27"/>
    <hyperlink xmlns:r="http://schemas.openxmlformats.org/officeDocument/2006/relationships" ref="A24" r:id="rId28"/>
    <hyperlink xmlns:r="http://schemas.openxmlformats.org/officeDocument/2006/relationships" ref="B24" r:id="rId29"/>
    <hyperlink xmlns:r="http://schemas.openxmlformats.org/officeDocument/2006/relationships" ref="C24" r:id="rId30"/>
    <hyperlink xmlns:r="http://schemas.openxmlformats.org/officeDocument/2006/relationships" ref="D24" r:id="rId31"/>
    <hyperlink xmlns:r="http://schemas.openxmlformats.org/officeDocument/2006/relationships" ref="A28" r:id="rId32"/>
    <hyperlink xmlns:r="http://schemas.openxmlformats.org/officeDocument/2006/relationships" ref="B28" r:id="rId33"/>
    <hyperlink xmlns:r="http://schemas.openxmlformats.org/officeDocument/2006/relationships" ref="C28" r:id="rId34"/>
    <hyperlink xmlns:r="http://schemas.openxmlformats.org/officeDocument/2006/relationships" ref="D28" r:id="rId35"/>
    <hyperlink xmlns:r="http://schemas.openxmlformats.org/officeDocument/2006/relationships" ref="A29" r:id="rId36"/>
    <hyperlink xmlns:r="http://schemas.openxmlformats.org/officeDocument/2006/relationships" ref="B29" r:id="rId37"/>
    <hyperlink xmlns:r="http://schemas.openxmlformats.org/officeDocument/2006/relationships" ref="C29" r:id="rId38"/>
    <hyperlink xmlns:r="http://schemas.openxmlformats.org/officeDocument/2006/relationships" ref="D29" r:id="rId39"/>
    <hyperlink xmlns:r="http://schemas.openxmlformats.org/officeDocument/2006/relationships" ref="A30" r:id="rId40"/>
    <hyperlink xmlns:r="http://schemas.openxmlformats.org/officeDocument/2006/relationships" ref="B30" r:id="rId41"/>
    <hyperlink xmlns:r="http://schemas.openxmlformats.org/officeDocument/2006/relationships" ref="C30" r:id="rId42"/>
    <hyperlink xmlns:r="http://schemas.openxmlformats.org/officeDocument/2006/relationships" ref="D30" r:id="rId43"/>
    <hyperlink xmlns:r="http://schemas.openxmlformats.org/officeDocument/2006/relationships" ref="A31" r:id="rId44"/>
    <hyperlink xmlns:r="http://schemas.openxmlformats.org/officeDocument/2006/relationships" ref="B31" r:id="rId45"/>
    <hyperlink xmlns:r="http://schemas.openxmlformats.org/officeDocument/2006/relationships" ref="C31" r:id="rId46"/>
    <hyperlink xmlns:r="http://schemas.openxmlformats.org/officeDocument/2006/relationships" ref="D31" r:id="rId47"/>
    <hyperlink xmlns:r="http://schemas.openxmlformats.org/officeDocument/2006/relationships" ref="A32" r:id="rId48"/>
    <hyperlink xmlns:r="http://schemas.openxmlformats.org/officeDocument/2006/relationships" ref="B32" r:id="rId49"/>
    <hyperlink xmlns:r="http://schemas.openxmlformats.org/officeDocument/2006/relationships" ref="C32" r:id="rId50"/>
    <hyperlink xmlns:r="http://schemas.openxmlformats.org/officeDocument/2006/relationships" ref="A35" r:id="rId51"/>
    <hyperlink xmlns:r="http://schemas.openxmlformats.org/officeDocument/2006/relationships" ref="B35" r:id="rId52"/>
    <hyperlink xmlns:r="http://schemas.openxmlformats.org/officeDocument/2006/relationships" ref="C35" r:id="rId53"/>
    <hyperlink xmlns:r="http://schemas.openxmlformats.org/officeDocument/2006/relationships" ref="D35" r:id="rId54"/>
    <hyperlink xmlns:r="http://schemas.openxmlformats.org/officeDocument/2006/relationships" ref="A3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0" customWidth="1" min="3" max="3"/>
  </cols>
  <sheetData>
    <row r="1">
      <c r="A1" s="13" t="inlineStr">
        <is>
          <t>PIMS SEARCH</t>
        </is>
      </c>
    </row>
    <row r="2">
      <c r="A2" s="14" t="inlineStr">
        <is>
          <t>Type a search term in the yellow cell. Results use native FILTER (Microsoft 365). Table AutoFilters remain available on every data sheet.</t>
        </is>
      </c>
    </row>
    <row r="4">
      <c r="A4" s="16" t="inlineStr">
        <is>
          <t>SEARCH_TERM</t>
        </is>
      </c>
      <c r="B4" s="17" t="inlineStr"/>
      <c r="C4" s="14" t="inlineStr">
        <is>
          <t>← user input</t>
        </is>
      </c>
    </row>
    <row r="6">
      <c r="A6" s="15" t="inlineStr">
        <is>
          <t>COMPONENT MATCHES</t>
        </is>
      </c>
    </row>
    <row r="7">
      <c r="A7" s="18">
        <f>IF(NR_SEARCH_TERM="","(enter search term)",IFERROR(FILTER(HSTACK(T_COMPONENT[COMPONENT_ID],T_COMPONENT[COMPONENT_CODE],T_COMPONENT[COMPONENT_NAME]),(ISNUMBER(SEARCH(NR_SEARCH_TERM,T_COMPONENT[COMPONENT_CODE]&amp;"")))+(ISNUMBER(SEARCH(NR_SEARCH_TERM,T_COMPONENT[COMPONENT_NAME]&amp;"")))),"(no matches)"))</f>
        <v/>
      </c>
    </row>
    <row r="9">
      <c r="A9" s="15" t="inlineStr">
        <is>
          <t>PRODUCT MATCHES</t>
        </is>
      </c>
    </row>
    <row r="10">
      <c r="A10">
        <f>IF(NR_SEARCH_TERM="","(enter search term)",IFERROR(FILTER(HSTACK(T_PRODUCT[PRODUCT_ID],T_PRODUCT[PRODUCT_CODE],T_PRODUCT[PRODUCT_NAME]),(ISNUMBER(SEARCH(NR_SEARCH_TERM,T_PRODUCT[PRODUCT_CODE]&amp;"")))+(ISNUMBER(SEARCH(NR_SEARCH_TERM,T_PRODUCT[PRODUCT_NAME]&amp;"")))),"(no matches)"))</f>
        <v/>
      </c>
    </row>
    <row r="12">
      <c r="A12" s="15" t="inlineStr">
        <is>
          <t>SHIPMENT MATCHES</t>
        </is>
      </c>
    </row>
    <row r="13">
      <c r="A13">
        <f>IF(NR_SEARCH_TERM="","(enter search term)",IFERROR(FILTER(HSTACK(T_SHIPMENT[SHIPMENT_ID],T_SHIPMENT[SHIPMENT_NUMBER]),ISNUMBER(SEARCH(NR_SEARCH_TERM,T_SHIPMENT[SHIPMENT_NUMBER]&amp;""))),"(no matches)"))</f>
        <v/>
      </c>
    </row>
    <row r="15">
      <c r="A15" s="15" t="inlineStr">
        <is>
          <t>SCENARIO MATCHES</t>
        </is>
      </c>
    </row>
    <row r="16">
      <c r="A16">
        <f>IF(NR_SEARCH_TERM="","(enter search term)",IFERROR(FILTER(HSTACK(T_COMMERCIAL_SCENARIO[COMMERCIAL_SCENARIO_ID],T_COMMERCIAL_SCENARIO[COMMERCIAL_SCENARIO_CODE],T_COMMERCIAL_SCENARIO[COMMERCIAL_SCENARIO_NAME]),(ISNUMBER(SEARCH(NR_SEARCH_TERM,T_COMMERCIAL_SCENARIO[COMMERCIAL_SCENARIO_CODE]&amp;"")))+(ISNUMBER(SEARCH(NR_SEARCH_TERM,T_COMMERCIAL_SCENARIO[COMMERCIAL_SCENARIO_NAME]&amp;"")))),"(no matches)"))</f>
        <v/>
      </c>
    </row>
    <row r="18">
      <c r="A18" s="14" t="inlineStr">
        <is>
          <t>ALTERNATE: Use dropdown filters on Excel Tables (filter arrows in header row).</t>
        </is>
      </c>
    </row>
    <row r="20">
      <c r="A20" s="12" t="inlineStr">
        <is>
          <t>Dashboard</t>
        </is>
      </c>
      <c r="B20" s="12" t="inlineStr">
        <is>
          <t>Navigation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mergeCells count="1">
    <mergeCell ref="A2:F2"/>
  </mergeCells>
  <hyperlinks>
    <hyperlink xmlns:r="http://schemas.openxmlformats.org/officeDocument/2006/relationships" ref="A20" r:id="rId1"/>
    <hyperlink xmlns:r="http://schemas.openxmlformats.org/officeDocument/2006/relationships" ref="B20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>
      <c r="A1" s="12" t="inlineStr">
        <is>
          <t>INFO_KEY</t>
        </is>
      </c>
      <c r="B1" s="12" t="inlineStr">
        <is>
          <t>INFO_VALUE</t>
        </is>
      </c>
      <c r="C1" s="12" t="inlineStr">
        <is>
          <t>UPDATED_AT</t>
        </is>
      </c>
      <c r="E1" s="19" t="inlineStr">
        <is>
          <t>Dashboard</t>
        </is>
      </c>
    </row>
    <row r="2">
      <c r="A2" s="20" t="inlineStr">
        <is>
          <t>SCHEMA_VERSION</t>
        </is>
      </c>
      <c r="B2" s="20" t="inlineStr">
        <is>
          <t>1.0.0</t>
        </is>
      </c>
      <c r="C2" s="20" t="inlineStr">
        <is>
          <t>2026-08-02T06:08:04Z</t>
        </is>
      </c>
    </row>
    <row r="3">
      <c r="A3" s="20" t="inlineStr">
        <is>
          <t>WORKBOOK_NAME</t>
        </is>
      </c>
      <c r="B3" s="20" t="inlineStr">
        <is>
          <t>Inci_Aku_PPWR_PMS_Rev00.xlsx</t>
        </is>
      </c>
      <c r="C3" s="20" t="inlineStr">
        <is>
          <t>2026-08-02T06:08:04Z</t>
        </is>
      </c>
    </row>
    <row r="4">
      <c r="A4" s="20" t="inlineStr">
        <is>
          <t>PROJECT_NAME</t>
        </is>
      </c>
      <c r="B4" s="20" t="inlineStr">
        <is>
          <t>Inci_Aku_PPWR_PIMS</t>
        </is>
      </c>
      <c r="C4" s="20" t="inlineStr">
        <is>
          <t>2026-08-02T06:08:04Z</t>
        </is>
      </c>
    </row>
    <row r="5">
      <c r="A5" s="20" t="inlineStr">
        <is>
          <t>REVISION</t>
        </is>
      </c>
      <c r="B5" s="20" t="inlineStr">
        <is>
          <t>Rev00</t>
        </is>
      </c>
      <c r="C5" s="20" t="inlineStr">
        <is>
          <t>2026-08-02T06:08:04Z</t>
        </is>
      </c>
    </row>
    <row r="6">
      <c r="A6" s="20" t="inlineStr">
        <is>
          <t>GENERATED_AT_UTC</t>
        </is>
      </c>
      <c r="B6" s="20" t="inlineStr">
        <is>
          <t>2026-08-02T06:08:04Z</t>
        </is>
      </c>
      <c r="C6" s="20" t="inlineStr">
        <is>
          <t>2026-08-02T06:08:04Z</t>
        </is>
      </c>
    </row>
    <row r="7">
      <c r="A7" s="20" t="inlineStr">
        <is>
          <t>EXCEL_ENGINE</t>
        </is>
      </c>
      <c r="B7" s="20" t="inlineStr">
        <is>
          <t>openpyxl</t>
        </is>
      </c>
      <c r="C7" s="20" t="inlineStr">
        <is>
          <t>2026-08-02T06:08:04Z</t>
        </is>
      </c>
    </row>
    <row r="8">
      <c r="A8" s="20" t="inlineStr">
        <is>
          <t>TECH_SHEET_PROTECTION</t>
        </is>
      </c>
      <c r="B8" s="20" t="inlineStr">
        <is>
          <t>ENABLED</t>
        </is>
      </c>
      <c r="C8" s="20" t="inlineStr">
        <is>
          <t>2026-08-02T06:08:04Z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5" customWidth="1" min="4" max="4"/>
  </cols>
  <sheetData>
    <row r="1">
      <c r="A1" s="12" t="inlineStr">
        <is>
          <t>PARAMETER_ID</t>
        </is>
      </c>
      <c r="B1" s="12" t="inlineStr">
        <is>
          <t>PARAMETER_CODE</t>
        </is>
      </c>
      <c r="C1" s="12" t="inlineStr">
        <is>
          <t>PARAMETER_VALUE</t>
        </is>
      </c>
      <c r="D1" s="12" t="inlineStr">
        <is>
          <t>DESCRIPTION</t>
        </is>
      </c>
      <c r="F1" s="19" t="inlineStr">
        <is>
          <t>Dashboard</t>
        </is>
      </c>
    </row>
    <row r="2">
      <c r="A2" s="20" t="n">
        <v>1</v>
      </c>
      <c r="B2" s="20" t="inlineStr">
        <is>
          <t>WEIGHT_UOM</t>
        </is>
      </c>
      <c r="C2" s="20" t="inlineStr">
        <is>
          <t>G</t>
        </is>
      </c>
      <c r="D2" s="20" t="inlineStr">
        <is>
          <t>Mass unit for COMPONENT.WEIGHT_G</t>
        </is>
      </c>
    </row>
    <row r="3">
      <c r="A3" s="20" t="n">
        <v>2</v>
      </c>
      <c r="B3" s="20" t="inlineStr">
        <is>
          <t>TRANSPORT_ALLOCATION_METHOD</t>
        </is>
      </c>
      <c r="C3" s="20" t="inlineStr">
        <is>
          <t>PER_PRODUCT_UNIT</t>
        </is>
      </c>
      <c r="D3" s="20" t="inlineStr">
        <is>
          <t>How transport-line weight allocates to product units</t>
        </is>
      </c>
    </row>
    <row r="4">
      <c r="A4" s="20" t="n">
        <v>3</v>
      </c>
      <c r="B4" s="20" t="inlineStr">
        <is>
          <t>MATERIAL_SHARE_TOLERANCE_PCT</t>
        </is>
      </c>
      <c r="C4" s="20" t="inlineStr">
        <is>
          <t>0.5</t>
        </is>
      </c>
      <c r="D4" s="20" t="inlineStr">
        <is>
          <t>Allowed deviation from 100% material shares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7" customWidth="1" min="4" max="4"/>
    <col width="15" customWidth="1" min="5" max="5"/>
    <col width="14" customWidth="1" min="6" max="6"/>
  </cols>
  <sheetData>
    <row r="1">
      <c r="A1" s="12" t="inlineStr">
        <is>
          <t>STATUS_ID</t>
        </is>
      </c>
      <c r="B1" s="12" t="inlineStr">
        <is>
          <t>STATUS_CODE</t>
        </is>
      </c>
      <c r="C1" s="12" t="inlineStr">
        <is>
          <t>STATUS_NAME</t>
        </is>
      </c>
      <c r="D1" s="12" t="inlineStr">
        <is>
          <t>STATUS_DOMAIN</t>
        </is>
      </c>
      <c r="E1" s="12" t="inlineStr">
        <is>
          <t>IS_EDITABLE</t>
        </is>
      </c>
      <c r="F1" s="12" t="inlineStr">
        <is>
          <t>SORT_ORDER</t>
        </is>
      </c>
      <c r="H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2" t="inlineStr">
        <is>
          <t>UOM_ID</t>
        </is>
      </c>
      <c r="B1" s="12" t="inlineStr">
        <is>
          <t>UOM_CODE</t>
        </is>
      </c>
      <c r="C1" s="12" t="inlineStr">
        <is>
          <t>UOM_NAME</t>
        </is>
      </c>
      <c r="D1" s="12" t="inlineStr">
        <is>
          <t>UOM_DIMENSION</t>
        </is>
      </c>
      <c r="F1" s="19" t="inlineStr">
        <is>
          <t>Dashboard</t>
        </is>
      </c>
    </row>
    <row r="2">
      <c r="A2" s="21" t="n"/>
      <c r="B2" s="21" t="n"/>
      <c r="C2" s="21" t="n"/>
      <c r="D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14" customWidth="1" min="4" max="4"/>
  </cols>
  <sheetData>
    <row r="1">
      <c r="A1" s="12" t="inlineStr">
        <is>
          <t>PACKAGING_LEVEL_ID</t>
        </is>
      </c>
      <c r="B1" s="12" t="inlineStr">
        <is>
          <t>PACKAGING_LEVEL_CODE</t>
        </is>
      </c>
      <c r="C1" s="12" t="inlineStr">
        <is>
          <t>PACKAGING_LEVEL_NAME</t>
        </is>
      </c>
      <c r="D1" s="12" t="inlineStr">
        <is>
          <t>SORT_ORDER</t>
        </is>
      </c>
      <c r="F1" s="19" t="inlineStr">
        <is>
          <t>Dashboard</t>
        </is>
      </c>
    </row>
    <row r="2">
      <c r="A2" s="21" t="n"/>
      <c r="B2" s="21" t="n"/>
      <c r="C2" s="21" t="n"/>
      <c r="D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2" t="inlineStr">
        <is>
          <t>PACKAGING_FUNCTION_ID</t>
        </is>
      </c>
      <c r="B1" s="12" t="inlineStr">
        <is>
          <t>PACKAGING_FUNCTION_CODE</t>
        </is>
      </c>
      <c r="C1" s="12" t="inlineStr">
        <is>
          <t>PACKAGING_FUNCTION_NAME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30" customWidth="1" min="4" max="4"/>
  </cols>
  <sheetData>
    <row r="1">
      <c r="A1" s="12" t="inlineStr">
        <is>
          <t>COMPONENT_TYPE_ID</t>
        </is>
      </c>
      <c r="B1" s="12" t="inlineStr">
        <is>
          <t>COMPONENT_TYPE_CODE</t>
        </is>
      </c>
      <c r="C1" s="12" t="inlineStr">
        <is>
          <t>COMPONENT_TYPE_NAME</t>
        </is>
      </c>
      <c r="D1" s="12" t="inlineStr">
        <is>
          <t>DEFAULT_PACKAGING_LEVEL_ID</t>
        </is>
      </c>
      <c r="F1" s="19" t="inlineStr">
        <is>
          <t>Dashboard</t>
        </is>
      </c>
    </row>
    <row r="2">
      <c r="A2" s="21" t="n"/>
      <c r="B2" s="21" t="n"/>
      <c r="C2" s="21" t="n"/>
      <c r="D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1">
    <dataValidation sqref="D2:D1048576" showDropDown="0" showInputMessage="0" showErrorMessage="1" allowBlank="1" errorTitle="Invalid FK" error="Value must exist in NR_PACKAGING_LEVEL_ID" promptTitle="Foreign Key" prompt="Select DEFAULT_PACKAGING_LEVEL_ID from NR_PACKAGING_LEVEL_ID" type="list">
      <formula1>=NR_PACKAGING_LEVEL_ID</formula1>
    </dataValidation>
  </dataValidations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12" t="inlineStr">
        <is>
          <t>MATERIAL_FAMILY_ID</t>
        </is>
      </c>
      <c r="B1" s="12" t="inlineStr">
        <is>
          <t>MATERIAL_FAMILY_CODE</t>
        </is>
      </c>
      <c r="C1" s="12" t="inlineStr">
        <is>
          <t>MATERIAL_FAMILY_NAME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12" t="inlineStr">
        <is>
          <t>PPWR_MATERIAL_CATEGORY_ID</t>
        </is>
      </c>
      <c r="B1" s="12" t="inlineStr">
        <is>
          <t>PPWR_MATERIAL_CATEGORY_CODE</t>
        </is>
      </c>
      <c r="C1" s="12" t="inlineStr">
        <is>
          <t>PPWR_MATERIAL_CATEGORY_NAME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2" customWidth="1" min="4" max="4"/>
    <col width="29" customWidth="1" min="5" max="5"/>
    <col width="16" customWidth="1" min="6" max="6"/>
    <col width="12" customWidth="1" min="7" max="7"/>
  </cols>
  <sheetData>
    <row r="1">
      <c r="A1" s="12" t="inlineStr">
        <is>
          <t>MATERIAL_ID</t>
        </is>
      </c>
      <c r="B1" s="12" t="inlineStr">
        <is>
          <t>MATERIAL_CODE</t>
        </is>
      </c>
      <c r="C1" s="12" t="inlineStr">
        <is>
          <t>MATERIAL_NAME</t>
        </is>
      </c>
      <c r="D1" s="12" t="inlineStr">
        <is>
          <t>MATERIAL_FAMILY_ID</t>
        </is>
      </c>
      <c r="E1" s="12" t="inlineStr">
        <is>
          <t>PPWR_MATERIAL_CATEGORY_ID</t>
        </is>
      </c>
      <c r="F1" s="12" t="inlineStr">
        <is>
          <t>IS_COMPOSITE</t>
        </is>
      </c>
      <c r="G1" s="12" t="inlineStr">
        <is>
          <t>NOTES</t>
        </is>
      </c>
      <c r="I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D2:D1048576" showDropDown="0" showInputMessage="0" showErrorMessage="1" allowBlank="1" errorTitle="Invalid FK" error="Value must exist in NR_MATERIAL_FAMILY_ID" promptTitle="Foreign Key" prompt="Select MATERIAL_FAMILY_ID from NR_MATERIAL_FAMILY_ID" type="list">
      <formula1>=NR_MATERIAL_FAMILY_ID</formula1>
    </dataValidation>
    <dataValidation sqref="E2:E1048576" showDropDown="0" showInputMessage="0" showErrorMessage="1" allowBlank="1" errorTitle="Invalid FK" error="Value must exist in NR_PPWR_MATERIAL_CATEGORY_ID" promptTitle="Foreign Key" prompt="Select PPWR_MATERIAL_CATEGORY_ID from NR_PPWR_MATERIAL_CATEGORY_ID" type="list">
      <formula1>=NR_PPWR_MATERIAL_CATEGORY_ID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12" t="inlineStr">
        <is>
          <t>RECYCLABILITY_CLASS_ID</t>
        </is>
      </c>
      <c r="B1" s="12" t="inlineStr">
        <is>
          <t>RECYCLABILITY_CLASS_CODE</t>
        </is>
      </c>
      <c r="C1" s="12" t="inlineStr">
        <is>
          <t>RECYCLABILITY_CLASS_NAME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12" t="inlineStr">
        <is>
          <t>OWNERSHIP_TYPE_ID</t>
        </is>
      </c>
      <c r="B1" s="12" t="inlineStr">
        <is>
          <t>OWNERSHIP_TYPE_CODE</t>
        </is>
      </c>
      <c r="C1" s="12" t="inlineStr">
        <is>
          <t>OWNERSHIP_TYPE_NAME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12" t="inlineStr">
        <is>
          <t>TRANSPORT_UNIT_TYPE_ID</t>
        </is>
      </c>
      <c r="B1" s="12" t="inlineStr">
        <is>
          <t>TRANSPORT_UNIT_TYPE_CODE</t>
        </is>
      </c>
      <c r="C1" s="12" t="inlineStr">
        <is>
          <t>TRANSPORT_UNIT_TYPE_NAME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2" t="inlineStr">
        <is>
          <t>LINE_ROLE_ID</t>
        </is>
      </c>
      <c r="B1" s="12" t="inlineStr">
        <is>
          <t>LINE_ROLE_CODE</t>
        </is>
      </c>
      <c r="C1" s="12" t="inlineStr">
        <is>
          <t>LINE_ROLE_NAME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12" t="inlineStr">
        <is>
          <t>PRODUCT_CATEGORY_ID</t>
        </is>
      </c>
      <c r="B1" s="12" t="inlineStr">
        <is>
          <t>PRODUCT_CATEGORY_CODE</t>
        </is>
      </c>
      <c r="C1" s="12" t="inlineStr">
        <is>
          <t>PRODUCT_CATEGORY_NAME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>
      <c r="A1" s="12" t="inlineStr">
        <is>
          <t>COUNTRY_ID</t>
        </is>
      </c>
      <c r="B1" s="12" t="inlineStr">
        <is>
          <t>ISO2</t>
        </is>
      </c>
      <c r="C1" s="12" t="inlineStr">
        <is>
          <t>ISO3</t>
        </is>
      </c>
      <c r="D1" s="12" t="inlineStr">
        <is>
          <t>COUNTRY_NAME</t>
        </is>
      </c>
      <c r="E1" s="12" t="inlineStr">
        <is>
          <t>IS_EU_MARKET</t>
        </is>
      </c>
      <c r="G1" s="19" t="inlineStr">
        <is>
          <t>Dashboard</t>
        </is>
      </c>
    </row>
    <row r="2">
      <c r="A2" s="21" t="n"/>
      <c r="B2" s="21" t="n"/>
      <c r="C2" s="21" t="n"/>
      <c r="D2" s="21" t="n"/>
      <c r="E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12" t="inlineStr">
        <is>
          <t>TRANSPORT_MODE_ID</t>
        </is>
      </c>
      <c r="B1" s="12" t="inlineStr">
        <is>
          <t>TRANSPORT_MODE_CODE</t>
        </is>
      </c>
      <c r="C1" s="12" t="inlineStr">
        <is>
          <t>TRANSPORT_MODE_NAME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12" t="inlineStr">
        <is>
          <t>INCOTERM_ID</t>
        </is>
      </c>
      <c r="B1" s="12" t="inlineStr">
        <is>
          <t>INCOTERM_CODE</t>
        </is>
      </c>
      <c r="C1" s="12" t="inlineStr">
        <is>
          <t>INCOTERM_NAME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12" t="inlineStr">
        <is>
          <t>STATEMENT_TYPE_ID</t>
        </is>
      </c>
      <c r="B1" s="12" t="inlineStr">
        <is>
          <t>STATEMENT_TYPE_CODE</t>
        </is>
      </c>
      <c r="C1" s="12" t="inlineStr">
        <is>
          <t>STATEMENT_TYPE_NAME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12" t="inlineStr">
        <is>
          <t>DOCUMENT_TYPE_ID</t>
        </is>
      </c>
      <c r="B1" s="12" t="inlineStr">
        <is>
          <t>DOCUMENT_TYPE_CODE</t>
        </is>
      </c>
      <c r="C1" s="12" t="inlineStr">
        <is>
          <t>DOCUMENT_TYPE_NAME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12" t="inlineStr">
        <is>
          <t>SCENARIO_TYPE_ID</t>
        </is>
      </c>
      <c r="B1" s="12" t="inlineStr">
        <is>
          <t>SCENARIO_TYPE_CODE</t>
        </is>
      </c>
      <c r="C1" s="12" t="inlineStr">
        <is>
          <t>SCENARIO_TYPE_NAME</t>
        </is>
      </c>
      <c r="E1" s="19" t="inlineStr">
        <is>
          <t>Dashboard</t>
        </is>
      </c>
    </row>
    <row r="2">
      <c r="A2" s="21" t="n"/>
      <c r="B2" s="21" t="n"/>
      <c r="C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4" customWidth="1" min="4" max="4"/>
    <col width="13" customWidth="1" min="5" max="5"/>
    <col width="12" customWidth="1" min="6" max="6"/>
  </cols>
  <sheetData>
    <row r="1">
      <c r="A1" s="12" t="inlineStr">
        <is>
          <t>LEGAL_ENTITY_ID</t>
        </is>
      </c>
      <c r="B1" s="12" t="inlineStr">
        <is>
          <t>LEGAL_ENTITY_CODE</t>
        </is>
      </c>
      <c r="C1" s="12" t="inlineStr">
        <is>
          <t>LEGAL_ENTITY_NAME</t>
        </is>
      </c>
      <c r="D1" s="12" t="inlineStr">
        <is>
          <t>COUNTRY_ID</t>
        </is>
      </c>
      <c r="E1" s="12" t="inlineStr">
        <is>
          <t>STATUS_ID</t>
        </is>
      </c>
      <c r="F1" s="12" t="inlineStr">
        <is>
          <t>NOTES</t>
        </is>
      </c>
      <c r="H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D2:D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E2:E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3" customWidth="1" min="5" max="5"/>
    <col width="13" customWidth="1" min="6" max="6"/>
  </cols>
  <sheetData>
    <row r="1">
      <c r="A1" s="12" t="inlineStr">
        <is>
          <t>PERSON_ID</t>
        </is>
      </c>
      <c r="B1" s="12" t="inlineStr">
        <is>
          <t>PERSON_CODE</t>
        </is>
      </c>
      <c r="C1" s="12" t="inlineStr">
        <is>
          <t>FULL_NAME</t>
        </is>
      </c>
      <c r="D1" s="12" t="inlineStr">
        <is>
          <t>EMAIL</t>
        </is>
      </c>
      <c r="E1" s="12" t="inlineStr">
        <is>
          <t>JOB_TITLE</t>
        </is>
      </c>
      <c r="F1" s="12" t="inlineStr">
        <is>
          <t>STATUS_ID</t>
        </is>
      </c>
      <c r="H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1">
    <dataValidation sqref="F2:F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3" customWidth="1" min="5" max="5"/>
    <col width="16" customWidth="1" min="6" max="6"/>
    <col width="12" customWidth="1" min="7" max="7"/>
  </cols>
  <sheetData>
    <row r="1">
      <c r="A1" s="12" t="inlineStr">
        <is>
          <t>SUPPLIER_ID</t>
        </is>
      </c>
      <c r="B1" s="12" t="inlineStr">
        <is>
          <t>SUPPLIER_CODE</t>
        </is>
      </c>
      <c r="C1" s="12" t="inlineStr">
        <is>
          <t>SUPPLIER_NAME</t>
        </is>
      </c>
      <c r="D1" s="12" t="inlineStr">
        <is>
          <t>COUNTRY_ID</t>
        </is>
      </c>
      <c r="E1" s="12" t="inlineStr">
        <is>
          <t>STATUS_ID</t>
        </is>
      </c>
      <c r="F1" s="12" t="inlineStr">
        <is>
          <t>EXTERNAL_REF</t>
        </is>
      </c>
      <c r="G1" s="12" t="inlineStr">
        <is>
          <t>NOTES</t>
        </is>
      </c>
      <c r="I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D2:D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E2:E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3" customWidth="1" min="5" max="5"/>
    <col width="16" customWidth="1" min="6" max="6"/>
    <col width="12" customWidth="1" min="7" max="7"/>
  </cols>
  <sheetData>
    <row r="1">
      <c r="A1" s="12" t="inlineStr">
        <is>
          <t>CUSTOMER_ID</t>
        </is>
      </c>
      <c r="B1" s="12" t="inlineStr">
        <is>
          <t>CUSTOMER_CODE</t>
        </is>
      </c>
      <c r="C1" s="12" t="inlineStr">
        <is>
          <t>CUSTOMER_NAME</t>
        </is>
      </c>
      <c r="D1" s="12" t="inlineStr">
        <is>
          <t>COUNTRY_ID</t>
        </is>
      </c>
      <c r="E1" s="12" t="inlineStr">
        <is>
          <t>STATUS_ID</t>
        </is>
      </c>
      <c r="F1" s="12" t="inlineStr">
        <is>
          <t>EXTERNAL_REF</t>
        </is>
      </c>
      <c r="G1" s="12" t="inlineStr">
        <is>
          <t>NOTES</t>
        </is>
      </c>
      <c r="I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D2:D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E2:E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4" customWidth="1" min="5" max="5"/>
    <col width="13" customWidth="1" min="6" max="6"/>
    <col width="16" customWidth="1" min="7" max="7"/>
  </cols>
  <sheetData>
    <row r="1">
      <c r="A1" s="12" t="inlineStr">
        <is>
          <t>PLANT_ID</t>
        </is>
      </c>
      <c r="B1" s="12" t="inlineStr">
        <is>
          <t>PLANT_CODE</t>
        </is>
      </c>
      <c r="C1" s="12" t="inlineStr">
        <is>
          <t>PLANT_NAME</t>
        </is>
      </c>
      <c r="D1" s="12" t="inlineStr">
        <is>
          <t>LEGAL_ENTITY_ID</t>
        </is>
      </c>
      <c r="E1" s="12" t="inlineStr">
        <is>
          <t>COUNTRY_ID</t>
        </is>
      </c>
      <c r="F1" s="12" t="inlineStr">
        <is>
          <t>STATUS_ID</t>
        </is>
      </c>
      <c r="G1" s="12" t="inlineStr">
        <is>
          <t>EXTERNAL_REF</t>
        </is>
      </c>
      <c r="I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3">
    <dataValidation sqref="D2:D1048576" showDropDown="0" showInputMessage="0" showErrorMessage="1" allowBlank="1" errorTitle="Invalid FK" error="Value must exist in NR_LEGAL_ENTITY_ID" promptTitle="Foreign Key" prompt="Select LEGAL_ENTITY_ID from NR_LEGAL_ENTITY_ID" type="list">
      <formula1>=NR_LEGAL_ENTITY_ID</formula1>
    </dataValidation>
    <dataValidation sqref="E2:E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F2:F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3" customWidth="1" min="4" max="4"/>
    <col width="16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6" customWidth="1" min="11" max="11"/>
    <col width="16" customWidth="1" min="12" max="12"/>
    <col width="12" customWidth="1" min="13" max="13"/>
    <col width="14" customWidth="1" min="14" max="14"/>
    <col width="14" customWidth="1" min="15" max="15"/>
  </cols>
  <sheetData>
    <row r="1">
      <c r="A1" s="12" t="inlineStr">
        <is>
          <t>PRODUCT_ID</t>
        </is>
      </c>
      <c r="B1" s="12" t="inlineStr">
        <is>
          <t>PRODUCT_CODE</t>
        </is>
      </c>
      <c r="C1" s="12" t="inlineStr">
        <is>
          <t>PRODUCT_NAME</t>
        </is>
      </c>
      <c r="D1" s="12" t="inlineStr">
        <is>
          <t>PRODUCT_CATEGORY_ID</t>
        </is>
      </c>
      <c r="E1" s="12" t="inlineStr">
        <is>
          <t>NET_WEIGHT_G</t>
        </is>
      </c>
      <c r="F1" s="12" t="inlineStr">
        <is>
          <t>LENGTH_MM</t>
        </is>
      </c>
      <c r="G1" s="12" t="inlineStr">
        <is>
          <t>WIDTH_MM</t>
        </is>
      </c>
      <c r="H1" s="12" t="inlineStr">
        <is>
          <t>HEIGHT_MM</t>
        </is>
      </c>
      <c r="I1" s="12" t="inlineStr">
        <is>
          <t>STATUS_ID</t>
        </is>
      </c>
      <c r="J1" s="12" t="inlineStr">
        <is>
          <t>EFFECTIVE_FROM</t>
        </is>
      </c>
      <c r="K1" s="12" t="inlineStr">
        <is>
          <t>EFFECTIVE_TO</t>
        </is>
      </c>
      <c r="L1" s="12" t="inlineStr">
        <is>
          <t>EXTERNAL_REF</t>
        </is>
      </c>
      <c r="M1" s="12" t="inlineStr">
        <is>
          <t>NOTES</t>
        </is>
      </c>
      <c r="N1" s="12" t="inlineStr">
        <is>
          <t>CREATED_AT</t>
        </is>
      </c>
      <c r="O1" s="12" t="inlineStr">
        <is>
          <t>UPDATED_AT</t>
        </is>
      </c>
      <c r="Q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D2:D1048576" showDropDown="0" showInputMessage="0" showErrorMessage="1" allowBlank="1" errorTitle="Invalid FK" error="Value must exist in NR_PRODUCT_CATEGORY_ID" promptTitle="Foreign Key" prompt="Select PRODUCT_CATEGORY_ID from NR_PRODUCT_CATEGORY_ID" type="list">
      <formula1>=NR_PRODUCT_CATEGORY_ID</formula1>
    </dataValidation>
    <dataValidation sqref="I2:I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Q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1" customWidth="1" min="4" max="4"/>
    <col width="22" customWidth="1" min="5" max="5"/>
    <col width="25" customWidth="1" min="6" max="6"/>
    <col width="21" customWidth="1" min="7" max="7"/>
    <col width="15" customWidth="1" min="8" max="8"/>
    <col width="12" customWidth="1" min="9" max="9"/>
    <col width="13" customWidth="1" min="10" max="10"/>
    <col width="12" customWidth="1" min="11" max="11"/>
    <col width="13" customWidth="1" min="12" max="12"/>
    <col width="24" customWidth="1" min="13" max="13"/>
    <col width="26" customWidth="1" min="14" max="14"/>
    <col width="22" customWidth="1" min="15" max="15"/>
    <col width="12" customWidth="1" min="16" max="16"/>
    <col width="13" customWidth="1" min="17" max="17"/>
    <col width="18" customWidth="1" min="18" max="18"/>
    <col width="16" customWidth="1" min="19" max="19"/>
    <col width="16" customWidth="1" min="20" max="20"/>
    <col width="12" customWidth="1" min="21" max="21"/>
    <col width="14" customWidth="1" min="22" max="22"/>
    <col width="14" customWidth="1" min="23" max="23"/>
  </cols>
  <sheetData>
    <row r="1">
      <c r="A1" s="12" t="inlineStr">
        <is>
          <t>COMPONENT_ID</t>
        </is>
      </c>
      <c r="B1" s="12" t="inlineStr">
        <is>
          <t>COMPONENT_CODE</t>
        </is>
      </c>
      <c r="C1" s="12" t="inlineStr">
        <is>
          <t>COMPONENT_NAME</t>
        </is>
      </c>
      <c r="D1" s="12" t="inlineStr">
        <is>
          <t>COMPONENT_TYPE_ID</t>
        </is>
      </c>
      <c r="E1" s="12" t="inlineStr">
        <is>
          <t>PACKAGING_LEVEL_ID</t>
        </is>
      </c>
      <c r="F1" s="12" t="inlineStr">
        <is>
          <t>PACKAGING_FUNCTION_ID</t>
        </is>
      </c>
      <c r="G1" s="12" t="inlineStr">
        <is>
          <t>OWNERSHIP_TYPE_ID</t>
        </is>
      </c>
      <c r="H1" s="12" t="inlineStr">
        <is>
          <t>SUPPLIER_ID</t>
        </is>
      </c>
      <c r="I1" s="12" t="inlineStr">
        <is>
          <t>WEIGHT_G</t>
        </is>
      </c>
      <c r="J1" s="12" t="inlineStr">
        <is>
          <t>LENGTH_MM</t>
        </is>
      </c>
      <c r="K1" s="12" t="inlineStr">
        <is>
          <t>WIDTH_MM</t>
        </is>
      </c>
      <c r="L1" s="12" t="inlineStr">
        <is>
          <t>HEIGHT_MM</t>
        </is>
      </c>
      <c r="M1" s="12" t="inlineStr">
        <is>
          <t>RECYCLED_CONTENT_PCT</t>
        </is>
      </c>
      <c r="N1" s="12" t="inlineStr">
        <is>
          <t>RECYCLABILITY_CLASS_ID</t>
        </is>
      </c>
      <c r="O1" s="12" t="inlineStr">
        <is>
          <t>REUSE_CYCLE_TARGET</t>
        </is>
      </c>
      <c r="P1" s="12" t="inlineStr">
        <is>
          <t>SPEC_REF</t>
        </is>
      </c>
      <c r="Q1" s="12" t="inlineStr">
        <is>
          <t>STATUS_ID</t>
        </is>
      </c>
      <c r="R1" s="12" t="inlineStr">
        <is>
          <t>EFFECTIVE_FROM</t>
        </is>
      </c>
      <c r="S1" s="12" t="inlineStr">
        <is>
          <t>EFFECTIVE_TO</t>
        </is>
      </c>
      <c r="T1" s="12" t="inlineStr">
        <is>
          <t>EXTERNAL_REF</t>
        </is>
      </c>
      <c r="U1" s="12" t="inlineStr">
        <is>
          <t>NOTES</t>
        </is>
      </c>
      <c r="V1" s="12" t="inlineStr">
        <is>
          <t>CREATED_AT</t>
        </is>
      </c>
      <c r="W1" s="12" t="inlineStr">
        <is>
          <t>UPDATED_AT</t>
        </is>
      </c>
      <c r="Y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7">
    <dataValidation sqref="D2:D1048576" showDropDown="0" showInputMessage="0" showErrorMessage="1" allowBlank="1" errorTitle="Invalid FK" error="Value must exist in NR_COMPONENT_TYPE_ID" promptTitle="Foreign Key" prompt="Select COMPONENT_TYPE_ID from NR_COMPONENT_TYPE_ID" type="list">
      <formula1>=NR_COMPONENT_TYPE_ID</formula1>
    </dataValidation>
    <dataValidation sqref="E2:E1048576" showDropDown="0" showInputMessage="0" showErrorMessage="1" allowBlank="1" errorTitle="Invalid FK" error="Value must exist in NR_PACKAGING_LEVEL_ID" promptTitle="Foreign Key" prompt="Select PACKAGING_LEVEL_ID from NR_PACKAGING_LEVEL_ID" type="list">
      <formula1>=NR_PACKAGING_LEVEL_ID</formula1>
    </dataValidation>
    <dataValidation sqref="F2:F1048576" showDropDown="0" showInputMessage="0" showErrorMessage="1" allowBlank="1" errorTitle="Invalid FK" error="Value must exist in NR_PACKAGING_FUNCTION_ID" promptTitle="Foreign Key" prompt="Select PACKAGING_FUNCTION_ID from NR_PACKAGING_FUNCTION_ID" type="list">
      <formula1>=NR_PACKAGING_FUNCTION_ID</formula1>
    </dataValidation>
    <dataValidation sqref="G2:G1048576" showDropDown="0" showInputMessage="0" showErrorMessage="1" allowBlank="1" errorTitle="Invalid FK" error="Value must exist in NR_OWNERSHIP_TYPE_ID" promptTitle="Foreign Key" prompt="Select OWNERSHIP_TYPE_ID from NR_OWNERSHIP_TYPE_ID" type="list">
      <formula1>=NR_OWNERSHIP_TYPE_ID</formula1>
    </dataValidation>
    <dataValidation sqref="H2:H1048576" showDropDown="0" showInputMessage="0" showErrorMessage="1" allowBlank="1" errorTitle="Invalid FK" error="Value must exist in NR_SUPPLIER_ID" promptTitle="Foreign Key" prompt="Select SUPPLIER_ID from NR_SUPPLIER_ID" type="list">
      <formula1>=NR_SUPPLIER_ID</formula1>
    </dataValidation>
    <dataValidation sqref="N2:N1048576" showDropDown="0" showInputMessage="0" showErrorMessage="1" allowBlank="1" errorTitle="Invalid FK" error="Value must exist in NR_RECYCLABILITY_CLASS_ID" promptTitle="Foreign Key" prompt="Select RECYCLABILITY_CLASS_ID from NR_RECYCLABILITY_CLASS_ID" type="list">
      <formula1>=NR_RECYCLABILITY_CLASS_ID</formula1>
    </dataValidation>
    <dataValidation sqref="Q2:Q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Y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3" customWidth="1" min="4" max="4"/>
    <col width="14" customWidth="1" min="5" max="5"/>
    <col width="12" customWidth="1" min="6" max="6"/>
  </cols>
  <sheetData>
    <row r="1">
      <c r="A1" s="12" t="inlineStr">
        <is>
          <t>COMPONENT_MATERIAL_ID</t>
        </is>
      </c>
      <c r="B1" s="12" t="inlineStr">
        <is>
          <t>COMPONENT_ID</t>
        </is>
      </c>
      <c r="C1" s="12" t="inlineStr">
        <is>
          <t>MATERIAL_ID</t>
        </is>
      </c>
      <c r="D1" s="12" t="inlineStr">
        <is>
          <t>SHARE_PCT</t>
        </is>
      </c>
      <c r="E1" s="12" t="inlineStr">
        <is>
          <t>SORT_ORDER</t>
        </is>
      </c>
      <c r="F1" s="12" t="inlineStr">
        <is>
          <t>NOTES</t>
        </is>
      </c>
      <c r="H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B2:B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C2:C1048576" showDropDown="0" showInputMessage="0" showErrorMessage="1" allowBlank="1" errorTitle="Invalid FK" error="Value must exist in NR_MATERIAL_ID" promptTitle="Foreign Key" prompt="Select MATERIAL_ID from NR_MATERIAL_ID" type="list">
      <formula1>=NR_MATERIAL_ID</formula1>
    </dataValidation>
  </dataValidations>
  <hyperlinks>
    <hyperlink xmlns:r="http://schemas.openxmlformats.org/officeDocument/2006/relationships" ref="H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5" customWidth="1" min="3" max="3"/>
    <col width="32" customWidth="1" min="4" max="4"/>
    <col width="15" customWidth="1" min="5" max="5"/>
    <col width="17" customWidth="1" min="6" max="6"/>
    <col width="13" customWidth="1" min="7" max="7"/>
    <col width="18" customWidth="1" min="8" max="8"/>
    <col width="16" customWidth="1" min="9" max="9"/>
    <col width="12" customWidth="1" min="10" max="10"/>
    <col width="14" customWidth="1" min="11" max="11"/>
    <col width="14" customWidth="1" min="12" max="12"/>
  </cols>
  <sheetData>
    <row r="1">
      <c r="A1" s="12" t="inlineStr">
        <is>
          <t>PACKAGING_CONFIGURATION_ID</t>
        </is>
      </c>
      <c r="B1" s="12" t="inlineStr">
        <is>
          <t>CONFIG_GROUP_CODE</t>
        </is>
      </c>
      <c r="C1" s="12" t="inlineStr">
        <is>
          <t>REVISION_NO</t>
        </is>
      </c>
      <c r="D1" s="12" t="inlineStr">
        <is>
          <t>PACKAGING_CONFIGURATION_NAME</t>
        </is>
      </c>
      <c r="E1" s="12" t="inlineStr">
        <is>
          <t>DESCRIPTION</t>
        </is>
      </c>
      <c r="F1" s="12" t="inlineStr">
        <is>
          <t>SUPERSEDES_ID</t>
        </is>
      </c>
      <c r="G1" s="12" t="inlineStr">
        <is>
          <t>STATUS_ID</t>
        </is>
      </c>
      <c r="H1" s="12" t="inlineStr">
        <is>
          <t>EFFECTIVE_FROM</t>
        </is>
      </c>
      <c r="I1" s="12" t="inlineStr">
        <is>
          <t>EFFECTIVE_TO</t>
        </is>
      </c>
      <c r="J1" s="12" t="inlineStr">
        <is>
          <t>NOTES</t>
        </is>
      </c>
      <c r="K1" s="12" t="inlineStr">
        <is>
          <t>CREATED_AT</t>
        </is>
      </c>
      <c r="L1" s="12" t="inlineStr">
        <is>
          <t>UPDATED_AT</t>
        </is>
      </c>
      <c r="N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F2:F1048576" showDropDown="0" showInputMessage="0" showErrorMessage="1" allowBlank="1" errorTitle="Invalid FK" error="Value must exist in NR_PACKAGING_CONFIGURATION_ID" promptTitle="Foreign Key" prompt="Select SUPERSEDES_ID from NR_PACKAGING_CONFIGURATION_ID" type="list">
      <formula1>=NR_PACKAGING_CONFIGURATION_ID</formula1>
    </dataValidation>
    <dataValidation sqref="G2:G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2" customWidth="1" min="4" max="4"/>
    <col width="16" customWidth="1" min="5" max="5"/>
    <col width="14" customWidth="1" min="6" max="6"/>
    <col width="15" customWidth="1" min="7" max="7"/>
    <col width="12" customWidth="1" min="8" max="8"/>
  </cols>
  <sheetData>
    <row r="1">
      <c r="A1" s="12" t="inlineStr">
        <is>
          <t>PACKAGING_CONFIGURATION_LINE_ID</t>
        </is>
      </c>
      <c r="B1" s="12" t="inlineStr">
        <is>
          <t>PACKAGING_CONFIGURATION_ID</t>
        </is>
      </c>
      <c r="C1" s="12" t="inlineStr">
        <is>
          <t>COMPONENT_ID</t>
        </is>
      </c>
      <c r="D1" s="12" t="inlineStr">
        <is>
          <t>QUANTITY</t>
        </is>
      </c>
      <c r="E1" s="12" t="inlineStr">
        <is>
          <t>LINE_ROLE_ID</t>
        </is>
      </c>
      <c r="F1" s="12" t="inlineStr">
        <is>
          <t>SORT_ORDER</t>
        </is>
      </c>
      <c r="G1" s="12" t="inlineStr">
        <is>
          <t>IS_OPTIONAL</t>
        </is>
      </c>
      <c r="H1" s="12" t="inlineStr">
        <is>
          <t>NOTES</t>
        </is>
      </c>
      <c r="J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3">
    <dataValidation sqref="B2:B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E2:E1048576" showDropDown="0" showInputMessage="0" showErrorMessage="1" allowBlank="1" errorTitle="Invalid FK" error="Value must exist in NR_LINE_ROLE_ID" promptTitle="Foreign Key" prompt="Select LINE_ROLE_ID from NR_LINE_ROLE_ID" type="list">
      <formula1>=NR_LINE_ROLE_ID</formula1>
    </dataValidation>
  </dataValidations>
  <hyperlinks>
    <hyperlink xmlns:r="http://schemas.openxmlformats.org/officeDocument/2006/relationships" ref="J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5" customWidth="1" min="3" max="3"/>
    <col width="32" customWidth="1" min="4" max="4"/>
    <col width="30" customWidth="1" min="5" max="5"/>
    <col width="26" customWidth="1" min="6" max="6"/>
    <col width="19" customWidth="1" min="7" max="7"/>
    <col width="19" customWidth="1" min="8" max="8"/>
    <col width="27" customWidth="1" min="9" max="9"/>
    <col width="23" customWidth="1" min="10" max="10"/>
    <col width="17" customWidth="1" min="11" max="11"/>
    <col width="13" customWidth="1" min="12" max="12"/>
    <col width="18" customWidth="1" min="13" max="13"/>
    <col width="16" customWidth="1" min="14" max="14"/>
    <col width="12" customWidth="1" min="15" max="15"/>
    <col width="14" customWidth="1" min="16" max="16"/>
    <col width="14" customWidth="1" min="17" max="17"/>
  </cols>
  <sheetData>
    <row r="1">
      <c r="A1" s="12" t="inlineStr">
        <is>
          <t>TRANSPORT_CONFIGURATION_ID</t>
        </is>
      </c>
      <c r="B1" s="12" t="inlineStr">
        <is>
          <t>CONFIG_GROUP_CODE</t>
        </is>
      </c>
      <c r="C1" s="12" t="inlineStr">
        <is>
          <t>REVISION_NO</t>
        </is>
      </c>
      <c r="D1" s="12" t="inlineStr">
        <is>
          <t>TRANSPORT_CONFIGURATION_NAME</t>
        </is>
      </c>
      <c r="E1" s="12" t="inlineStr">
        <is>
          <t>PACKAGING_CONFIGURATION_ID</t>
        </is>
      </c>
      <c r="F1" s="12" t="inlineStr">
        <is>
          <t>TRANSPORT_UNIT_TYPE_ID</t>
        </is>
      </c>
      <c r="G1" s="12" t="inlineStr">
        <is>
          <t>UNITS_PER_LAYER</t>
        </is>
      </c>
      <c r="H1" s="12" t="inlineStr">
        <is>
          <t>LAYERS_PER_UNIT</t>
        </is>
      </c>
      <c r="I1" s="12" t="inlineStr">
        <is>
          <t>CONTAINER_PAYLOAD_UNITS</t>
        </is>
      </c>
      <c r="J1" s="12" t="inlineStr">
        <is>
          <t>MAX_GROSS_WEIGHT_KG</t>
        </is>
      </c>
      <c r="K1" s="12" t="inlineStr">
        <is>
          <t>SUPERSEDES_ID</t>
        </is>
      </c>
      <c r="L1" s="12" t="inlineStr">
        <is>
          <t>STATUS_ID</t>
        </is>
      </c>
      <c r="M1" s="12" t="inlineStr">
        <is>
          <t>EFFECTIVE_FROM</t>
        </is>
      </c>
      <c r="N1" s="12" t="inlineStr">
        <is>
          <t>EFFECTIVE_TO</t>
        </is>
      </c>
      <c r="O1" s="12" t="inlineStr">
        <is>
          <t>NOTES</t>
        </is>
      </c>
      <c r="P1" s="12" t="inlineStr">
        <is>
          <t>CREATED_AT</t>
        </is>
      </c>
      <c r="Q1" s="12" t="inlineStr">
        <is>
          <t>UPDATED_AT</t>
        </is>
      </c>
      <c r="S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4">
    <dataValidation sqref="E2:E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F2:F1048576" showDropDown="0" showInputMessage="0" showErrorMessage="1" allowBlank="1" errorTitle="Invalid FK" error="Value must exist in NR_TRANSPORT_UNIT_TYPE_ID" promptTitle="Foreign Key" prompt="Select TRANSPORT_UNIT_TYPE_ID from NR_TRANSPORT_UNIT_TYPE_ID" type="list">
      <formula1>=NR_TRANSPORT_UNIT_TYPE_ID</formula1>
    </dataValidation>
    <dataValidation sqref="K2:K1048576" showDropDown="0" showInputMessage="0" showErrorMessage="1" allowBlank="1" errorTitle="Invalid FK" error="Value must exist in NR_TRANSPORT_CONFIGURATION_ID" promptTitle="Foreign Key" prompt="Select SUPERSEDES_ID from NR_TRANSPORT_CONFIGURATION_ID" type="list">
      <formula1>=NR_TRANSPORT_CONFIGURATION_ID</formula1>
    </dataValidation>
    <dataValidation sqref="L2:L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S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31" customWidth="1" min="4" max="4"/>
    <col width="16" customWidth="1" min="5" max="5"/>
    <col width="14" customWidth="1" min="6" max="6"/>
    <col width="12" customWidth="1" min="7" max="7"/>
  </cols>
  <sheetData>
    <row r="1">
      <c r="A1" s="12" t="inlineStr">
        <is>
          <t>TRANSPORT_CONFIGURATION_LINE_ID</t>
        </is>
      </c>
      <c r="B1" s="12" t="inlineStr">
        <is>
          <t>TRANSPORT_CONFIGURATION_ID</t>
        </is>
      </c>
      <c r="C1" s="12" t="inlineStr">
        <is>
          <t>COMPONENT_ID</t>
        </is>
      </c>
      <c r="D1" s="12" t="inlineStr">
        <is>
          <t>QUANTITY_PER_TRANSPORT_UNIT</t>
        </is>
      </c>
      <c r="E1" s="12" t="inlineStr">
        <is>
          <t>LINE_ROLE_ID</t>
        </is>
      </c>
      <c r="F1" s="12" t="inlineStr">
        <is>
          <t>SORT_ORDER</t>
        </is>
      </c>
      <c r="G1" s="12" t="inlineStr">
        <is>
          <t>NOTES</t>
        </is>
      </c>
      <c r="I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3">
    <dataValidation sqref="B2:B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E2:E1048576" showDropDown="0" showInputMessage="0" showErrorMessage="1" allowBlank="1" errorTitle="Invalid FK" error="Value must exist in NR_LINE_ROLE_ID" promptTitle="Foreign Key" prompt="Select LINE_ROLE_ID from NR_LINE_ROLE_ID" type="list">
      <formula1>=NR_LINE_ROLE_ID</formula1>
    </dataValidation>
  </dataValidations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0" customWidth="1" min="4" max="4"/>
    <col width="14" customWidth="1" min="5" max="5"/>
    <col width="30" customWidth="1" min="6" max="6"/>
    <col width="15" customWidth="1" min="7" max="7"/>
    <col width="26" customWidth="1" min="8" max="8"/>
    <col width="15" customWidth="1" min="9" max="9"/>
    <col width="21" customWidth="1" min="10" max="10"/>
    <col width="13" customWidth="1" min="11" max="11"/>
    <col width="14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12" t="inlineStr">
        <is>
          <t>COMMERCIAL_SCENARIO_ID</t>
        </is>
      </c>
      <c r="B1" s="12" t="inlineStr">
        <is>
          <t>COMMERCIAL_SCENARIO_CODE</t>
        </is>
      </c>
      <c r="C1" s="12" t="inlineStr">
        <is>
          <t>COMMERCIAL_SCENARIO_NAME</t>
        </is>
      </c>
      <c r="D1" s="12" t="inlineStr">
        <is>
          <t>SCENARIO_TYPE_ID</t>
        </is>
      </c>
      <c r="E1" s="12" t="inlineStr">
        <is>
          <t>PRODUCT_ID</t>
        </is>
      </c>
      <c r="F1" s="12" t="inlineStr">
        <is>
          <t>TRANSPORT_CONFIGURATION_ID</t>
        </is>
      </c>
      <c r="G1" s="12" t="inlineStr">
        <is>
          <t>CUSTOMER_ID</t>
        </is>
      </c>
      <c r="H1" s="12" t="inlineStr">
        <is>
          <t>DESTINATION_COUNTRY_ID</t>
        </is>
      </c>
      <c r="I1" s="12" t="inlineStr">
        <is>
          <t>INCOTERM_ID</t>
        </is>
      </c>
      <c r="J1" s="12" t="inlineStr">
        <is>
          <t>TRANSPORT_MODE_ID</t>
        </is>
      </c>
      <c r="K1" s="12" t="inlineStr">
        <is>
          <t>STATUS_ID</t>
        </is>
      </c>
      <c r="L1" s="12" t="inlineStr">
        <is>
          <t>VALID_FROM</t>
        </is>
      </c>
      <c r="M1" s="12" t="inlineStr">
        <is>
          <t>VALID_TO</t>
        </is>
      </c>
      <c r="N1" s="12" t="inlineStr">
        <is>
          <t>NOTES</t>
        </is>
      </c>
      <c r="O1" s="12" t="inlineStr">
        <is>
          <t>CREATED_AT</t>
        </is>
      </c>
      <c r="P1" s="12" t="inlineStr">
        <is>
          <t>UPDATED_AT</t>
        </is>
      </c>
      <c r="R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8">
    <dataValidation sqref="D2:D1048576" showDropDown="0" showInputMessage="0" showErrorMessage="1" allowBlank="1" errorTitle="Invalid FK" error="Value must exist in NR_SCENARIO_TYPE_ID" promptTitle="Foreign Key" prompt="Select SCENARIO_TYPE_ID from NR_SCENARIO_TYPE_ID" type="list">
      <formula1>=NR_SCENARIO_TYPE_ID</formula1>
    </dataValidation>
    <dataValidation sqref="E2:E1048576" showDropDown="0" showInputMessage="0" showErrorMessage="1" allowBlank="1" errorTitle="Invalid FK" error="Value must exist in NR_PRODUCT_ID" promptTitle="Foreign Key" prompt="Select PRODUCT_ID from NR_PRODUCT_ID" type="list">
      <formula1>=NR_PRODUCT_ID</formula1>
    </dataValidation>
    <dataValidation sqref="F2:F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G2:G1048576" showDropDown="0" showInputMessage="0" showErrorMessage="1" allowBlank="1" errorTitle="Invalid FK" error="Value must exist in NR_CUSTOMER_ID" promptTitle="Foreign Key" prompt="Select CUSTOMER_ID from NR_CUSTOMER_ID" type="list">
      <formula1>=NR_CUSTOMER_ID</formula1>
    </dataValidation>
    <dataValidation sqref="H2:H1048576" showDropDown="0" showInputMessage="0" showErrorMessage="1" allowBlank="1" errorTitle="Invalid FK" error="Value must exist in NR_COUNTRY_ID" promptTitle="Foreign Key" prompt="Select DESTINATION_COUNTRY_ID from NR_COUNTRY_ID" type="list">
      <formula1>=NR_COUNTRY_ID</formula1>
    </dataValidation>
    <dataValidation sqref="I2:I1048576" showDropDown="0" showInputMessage="0" showErrorMessage="1" allowBlank="1" errorTitle="Invalid FK" error="Value must exist in NR_INCOTERM_ID" promptTitle="Foreign Key" prompt="Select INCOTERM_ID from NR_INCOTERM_ID" type="list">
      <formula1>=NR_INCOTERM_ID</formula1>
    </dataValidation>
    <dataValidation sqref="J2:J1048576" showDropDown="0" showInputMessage="0" showErrorMessage="1" allowBlank="1" errorTitle="Invalid FK" error="Value must exist in NR_TRANSPORT_MODE_ID" promptTitle="Foreign Key" prompt="Select TRANSPORT_MODE_ID from NR_TRANSPORT_MODE_ID" type="list">
      <formula1>=NR_TRANSPORT_MODE_ID</formula1>
    </dataValidation>
    <dataValidation sqref="K2:K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R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6" customWidth="1" min="3" max="3"/>
    <col width="12" customWidth="1" min="4" max="4"/>
    <col width="13" customWidth="1" min="5" max="5"/>
    <col width="21" customWidth="1" min="6" max="6"/>
    <col width="30" customWidth="1" min="7" max="7"/>
    <col width="30" customWidth="1" min="8" max="8"/>
    <col width="26" customWidth="1" min="9" max="9"/>
    <col width="21" customWidth="1" min="10" max="10"/>
    <col width="13" customWidth="1" min="11" max="11"/>
    <col width="16" customWidth="1" min="12" max="12"/>
    <col width="12" customWidth="1" min="13" max="13"/>
    <col width="16" customWidth="1" min="14" max="14"/>
    <col width="14" customWidth="1" min="15" max="15"/>
    <col width="14" customWidth="1" min="16" max="16"/>
  </cols>
  <sheetData>
    <row r="1">
      <c r="A1" s="12" t="inlineStr">
        <is>
          <t>SHIPMENT_ID</t>
        </is>
      </c>
      <c r="B1" s="12" t="inlineStr">
        <is>
          <t>SHIPMENT_NUMBER</t>
        </is>
      </c>
      <c r="C1" s="12" t="inlineStr">
        <is>
          <t>COMMERCIAL_SCENARIO_ID</t>
        </is>
      </c>
      <c r="D1" s="12" t="inlineStr">
        <is>
          <t>PLANT_ID</t>
        </is>
      </c>
      <c r="E1" s="12" t="inlineStr">
        <is>
          <t>SHIP_DATE</t>
        </is>
      </c>
      <c r="F1" s="12" t="inlineStr">
        <is>
          <t>QTY_PRODUCT_UNITS</t>
        </is>
      </c>
      <c r="G1" s="12" t="inlineStr">
        <is>
          <t>PACKAGING_CONFIGURATION_ID</t>
        </is>
      </c>
      <c r="H1" s="12" t="inlineStr">
        <is>
          <t>TRANSPORT_CONFIGURATION_ID</t>
        </is>
      </c>
      <c r="I1" s="12" t="inlineStr">
        <is>
          <t>DESTINATION_COUNTRY_ID</t>
        </is>
      </c>
      <c r="J1" s="12" t="inlineStr">
        <is>
          <t>TRANSPORT_MODE_ID</t>
        </is>
      </c>
      <c r="K1" s="12" t="inlineStr">
        <is>
          <t>STATUS_ID</t>
        </is>
      </c>
      <c r="L1" s="12" t="inlineStr">
        <is>
          <t>EXTERNAL_REF</t>
        </is>
      </c>
      <c r="M1" s="12" t="inlineStr">
        <is>
          <t>NOTES</t>
        </is>
      </c>
      <c r="N1" s="12" t="inlineStr">
        <is>
          <t>CONFIRMED_AT</t>
        </is>
      </c>
      <c r="O1" s="12" t="inlineStr">
        <is>
          <t>CREATED_AT</t>
        </is>
      </c>
      <c r="P1" s="12" t="inlineStr">
        <is>
          <t>UPDATED_AT</t>
        </is>
      </c>
      <c r="R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7">
    <dataValidation sqref="C2:C1048576" showDropDown="0" showInputMessage="0" showErrorMessage="1" allowBlank="1" errorTitle="Invalid FK" error="Value must exist in NR_COMMERCIAL_SCENARIO_ID" promptTitle="Foreign Key" prompt="Select COMMERCIAL_SCENARIO_ID from NR_COMMERCIAL_SCENARIO_ID" type="list">
      <formula1>=NR_COMMERCIAL_SCENARIO_ID</formula1>
    </dataValidation>
    <dataValidation sqref="D2:D1048576" showDropDown="0" showInputMessage="0" showErrorMessage="1" allowBlank="1" errorTitle="Invalid FK" error="Value must exist in NR_PLANT_ID" promptTitle="Foreign Key" prompt="Select PLANT_ID from NR_PLANT_ID" type="list">
      <formula1>=NR_PLANT_ID</formula1>
    </dataValidation>
    <dataValidation sqref="G2:G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H2:H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I2:I1048576" showDropDown="0" showInputMessage="0" showErrorMessage="1" allowBlank="1" errorTitle="Invalid FK" error="Value must exist in NR_COUNTRY_ID" promptTitle="Foreign Key" prompt="Select DESTINATION_COUNTRY_ID from NR_COUNTRY_ID" type="list">
      <formula1>=NR_COUNTRY_ID</formula1>
    </dataValidation>
    <dataValidation sqref="J2:J1048576" showDropDown="0" showInputMessage="0" showErrorMessage="1" allowBlank="1" errorTitle="Invalid FK" error="Value must exist in NR_TRANSPORT_MODE_ID" promptTitle="Foreign Key" prompt="Select TRANSPORT_MODE_ID from NR_TRANSPORT_MODE_ID" type="list">
      <formula1>=NR_TRANSPORT_MODE_ID</formula1>
    </dataValidation>
    <dataValidation sqref="K2:K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R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5" customWidth="1" min="4" max="4"/>
    <col width="22" customWidth="1" min="5" max="5"/>
    <col width="25" customWidth="1" min="6" max="6"/>
    <col width="21" customWidth="1" min="7" max="7"/>
    <col width="17" customWidth="1" min="8" max="8"/>
    <col width="12" customWidth="1" min="9" max="9"/>
    <col width="24" customWidth="1" min="10" max="10"/>
    <col width="16" customWidth="1" min="11" max="11"/>
    <col width="12" customWidth="1" min="12" max="12"/>
  </cols>
  <sheetData>
    <row r="1">
      <c r="A1" s="12" t="inlineStr">
        <is>
          <t>SHIPMENT_LINE_ID</t>
        </is>
      </c>
      <c r="B1" s="12" t="inlineStr">
        <is>
          <t>SHIPMENT_ID</t>
        </is>
      </c>
      <c r="C1" s="12" t="inlineStr">
        <is>
          <t>COMPONENT_ID</t>
        </is>
      </c>
      <c r="D1" s="12" t="inlineStr">
        <is>
          <t>MATERIAL_ID</t>
        </is>
      </c>
      <c r="E1" s="12" t="inlineStr">
        <is>
          <t>PACKAGING_LEVEL_ID</t>
        </is>
      </c>
      <c r="F1" s="12" t="inlineStr">
        <is>
          <t>PACKAGING_FUNCTION_ID</t>
        </is>
      </c>
      <c r="G1" s="12" t="inlineStr">
        <is>
          <t>OWNERSHIP_TYPE_ID</t>
        </is>
      </c>
      <c r="H1" s="12" t="inlineStr">
        <is>
          <t>COMPONENT_QTY</t>
        </is>
      </c>
      <c r="I1" s="12" t="inlineStr">
        <is>
          <t>WEIGHT_G</t>
        </is>
      </c>
      <c r="J1" s="12" t="inlineStr">
        <is>
          <t>RECYCLED_CONTENT_PCT</t>
        </is>
      </c>
      <c r="K1" s="12" t="inlineStr">
        <is>
          <t>SOURCE_LAYER</t>
        </is>
      </c>
      <c r="L1" s="12" t="inlineStr">
        <is>
          <t>NOTES</t>
        </is>
      </c>
      <c r="N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6">
    <dataValidation sqref="B2:B1048576" showDropDown="0" showInputMessage="0" showErrorMessage="1" allowBlank="1" errorTitle="Invalid FK" error="Value must exist in NR_SHIPMENT_ID" promptTitle="Foreign Key" prompt="Select SHIPMENT_ID from NR_SHIPMENT_ID" type="list">
      <formula1>=NR_SHIPMENT_ID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D2:D1048576" showDropDown="0" showInputMessage="0" showErrorMessage="1" allowBlank="1" errorTitle="Invalid FK" error="Value must exist in NR_MATERIAL_ID" promptTitle="Foreign Key" prompt="Select MATERIAL_ID from NR_MATERIAL_ID" type="list">
      <formula1>=NR_MATERIAL_ID</formula1>
    </dataValidation>
    <dataValidation sqref="E2:E1048576" showDropDown="0" showInputMessage="0" showErrorMessage="1" allowBlank="1" errorTitle="Invalid FK" error="Value must exist in NR_PACKAGING_LEVEL_ID" promptTitle="Foreign Key" prompt="Select PACKAGING_LEVEL_ID from NR_PACKAGING_LEVEL_ID" type="list">
      <formula1>=NR_PACKAGING_LEVEL_ID</formula1>
    </dataValidation>
    <dataValidation sqref="F2:F1048576" showDropDown="0" showInputMessage="0" showErrorMessage="1" allowBlank="1" errorTitle="Invalid FK" error="Value must exist in NR_PACKAGING_FUNCTION_ID" promptTitle="Foreign Key" prompt="Select PACKAGING_FUNCTION_ID from NR_PACKAGING_FUNCTION_ID" type="list">
      <formula1>=NR_PACKAGING_FUNCTION_ID</formula1>
    </dataValidation>
    <dataValidation sqref="G2:G1048576" showDropDown="0" showInputMessage="0" showErrorMessage="1" allowBlank="1" errorTitle="Invalid FK" error="Value must exist in NR_OWNERSHIP_TYPE_ID" promptTitle="Foreign Key" prompt="Select OWNERSHIP_TYPE_ID from NR_OWNERSHIP_TYPE_ID" type="list">
      <formula1>=NR_OWNERSHIP_TYPE_ID</formula1>
    </dataValidation>
  </dataValidations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6" customWidth="1" min="4" max="4"/>
    <col width="30" customWidth="1" min="5" max="5"/>
    <col width="30" customWidth="1" min="6" max="6"/>
    <col width="15" customWidth="1" min="7" max="7"/>
    <col width="19" customWidth="1" min="8" max="8"/>
    <col width="25" customWidth="1" min="9" max="9"/>
    <col width="30" customWidth="1" min="10" max="10"/>
    <col width="30" customWidth="1" min="11" max="11"/>
    <col width="19" customWidth="1" min="12" max="12"/>
    <col width="13" customWidth="1" min="13" max="13"/>
    <col width="18" customWidth="1" min="14" max="14"/>
    <col width="16" customWidth="1" min="15" max="15"/>
    <col width="12" customWidth="1" min="16" max="16"/>
    <col width="14" customWidth="1" min="17" max="17"/>
    <col width="14" customWidth="1" min="18" max="18"/>
  </cols>
  <sheetData>
    <row r="1">
      <c r="A1" s="12" t="inlineStr">
        <is>
          <t>TECHNICAL_FILE_ID</t>
        </is>
      </c>
      <c r="B1" s="12" t="inlineStr">
        <is>
          <t>TECHNICAL_FILE_CODE</t>
        </is>
      </c>
      <c r="C1" s="12" t="inlineStr">
        <is>
          <t>TITLE</t>
        </is>
      </c>
      <c r="D1" s="12" t="inlineStr">
        <is>
          <t>COMPONENT_ID</t>
        </is>
      </c>
      <c r="E1" s="12" t="inlineStr">
        <is>
          <t>PACKAGING_CONFIGURATION_ID</t>
        </is>
      </c>
      <c r="F1" s="12" t="inlineStr">
        <is>
          <t>TRANSPORT_CONFIGURATION_ID</t>
        </is>
      </c>
      <c r="G1" s="12" t="inlineStr">
        <is>
          <t>REVISION_NO</t>
        </is>
      </c>
      <c r="H1" s="12" t="inlineStr">
        <is>
          <t>ASSESSMENT_DATE</t>
        </is>
      </c>
      <c r="I1" s="12" t="inlineStr">
        <is>
          <t>RECYCLABILITY_SUMMARY</t>
        </is>
      </c>
      <c r="J1" s="12" t="inlineStr">
        <is>
          <t>SUBSTANCE_OF_CONCERN_NOTES</t>
        </is>
      </c>
      <c r="K1" s="12" t="inlineStr">
        <is>
          <t>DESIGN_FOR_RECYCLING_NOTES</t>
        </is>
      </c>
      <c r="L1" s="12" t="inlineStr">
        <is>
          <t>OWNER_PERSON_ID</t>
        </is>
      </c>
      <c r="M1" s="12" t="inlineStr">
        <is>
          <t>STATUS_ID</t>
        </is>
      </c>
      <c r="N1" s="12" t="inlineStr">
        <is>
          <t>EFFECTIVE_FROM</t>
        </is>
      </c>
      <c r="O1" s="12" t="inlineStr">
        <is>
          <t>EFFECTIVE_TO</t>
        </is>
      </c>
      <c r="P1" s="12" t="inlineStr">
        <is>
          <t>NOTES</t>
        </is>
      </c>
      <c r="Q1" s="12" t="inlineStr">
        <is>
          <t>CREATED_AT</t>
        </is>
      </c>
      <c r="R1" s="12" t="inlineStr">
        <is>
          <t>UPDATED_AT</t>
        </is>
      </c>
      <c r="T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5">
    <dataValidation sqref="D2:D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E2:E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F2:F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L2:L1048576" showDropDown="0" showInputMessage="0" showErrorMessage="1" allowBlank="1" errorTitle="Invalid FK" error="Value must exist in NR_PERSON_ID" promptTitle="Foreign Key" prompt="Select OWNER_PERSON_ID from NR_PERSON_ID" type="list">
      <formula1>=NR_PERSON_ID</formula1>
    </dataValidation>
    <dataValidation sqref="M2:M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T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4" customWidth="1" min="5" max="5"/>
    <col width="30" customWidth="1" min="6" max="6"/>
    <col width="30" customWidth="1" min="7" max="7"/>
    <col width="21" customWidth="1" min="8" max="8"/>
    <col width="25" customWidth="1" min="9" max="9"/>
    <col width="24" customWidth="1" min="10" max="10"/>
    <col width="24" customWidth="1" min="11" max="11"/>
    <col width="14" customWidth="1" min="12" max="12"/>
    <col width="15" customWidth="1" min="13" max="13"/>
    <col width="15" customWidth="1" min="14" max="14"/>
    <col width="13" customWidth="1" min="15" max="15"/>
    <col width="15" customWidth="1" min="16" max="16"/>
    <col width="12" customWidth="1" min="17" max="17"/>
    <col width="14" customWidth="1" min="18" max="18"/>
    <col width="14" customWidth="1" min="19" max="19"/>
  </cols>
  <sheetData>
    <row r="1">
      <c r="A1" s="12" t="inlineStr">
        <is>
          <t>DECLARATION_OF_CONFORMITY_ID</t>
        </is>
      </c>
      <c r="B1" s="12" t="inlineStr">
        <is>
          <t>DOC_NUMBER</t>
        </is>
      </c>
      <c r="C1" s="12" t="inlineStr">
        <is>
          <t>TITLE</t>
        </is>
      </c>
      <c r="D1" s="12" t="inlineStr">
        <is>
          <t>LEGAL_ENTITY_ID</t>
        </is>
      </c>
      <c r="E1" s="12" t="inlineStr">
        <is>
          <t>PRODUCT_ID</t>
        </is>
      </c>
      <c r="F1" s="12" t="inlineStr">
        <is>
          <t>PACKAGING_CONFIGURATION_ID</t>
        </is>
      </c>
      <c r="G1" s="12" t="inlineStr">
        <is>
          <t>TRANSPORT_CONFIGURATION_ID</t>
        </is>
      </c>
      <c r="H1" s="12" t="inlineStr">
        <is>
          <t>TECHNICAL_FILE_ID</t>
        </is>
      </c>
      <c r="I1" s="12" t="inlineStr">
        <is>
          <t>RESPONSIBLE_PERSON_ID</t>
        </is>
      </c>
      <c r="J1" s="12" t="inlineStr">
        <is>
          <t>REGULATION_REFERENCE</t>
        </is>
      </c>
      <c r="K1" s="12" t="inlineStr">
        <is>
          <t>CONFORMITY_STATEMENT</t>
        </is>
      </c>
      <c r="L1" s="12" t="inlineStr">
        <is>
          <t>ISSUE_DATE</t>
        </is>
      </c>
      <c r="M1" s="12" t="inlineStr">
        <is>
          <t>VALID_UNTIL</t>
        </is>
      </c>
      <c r="N1" s="12" t="inlineStr">
        <is>
          <t>REVISION_NO</t>
        </is>
      </c>
      <c r="O1" s="12" t="inlineStr">
        <is>
          <t>STATUS_ID</t>
        </is>
      </c>
      <c r="P1" s="12" t="inlineStr">
        <is>
          <t>APPROVED_AT</t>
        </is>
      </c>
      <c r="Q1" s="12" t="inlineStr">
        <is>
          <t>NOTES</t>
        </is>
      </c>
      <c r="R1" s="12" t="inlineStr">
        <is>
          <t>CREATED_AT</t>
        </is>
      </c>
      <c r="S1" s="12" t="inlineStr">
        <is>
          <t>UPDATED_AT</t>
        </is>
      </c>
      <c r="U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7">
    <dataValidation sqref="D2:D1048576" showDropDown="0" showInputMessage="0" showErrorMessage="1" allowBlank="1" errorTitle="Invalid FK" error="Value must exist in NR_LEGAL_ENTITY_ID" promptTitle="Foreign Key" prompt="Select LEGAL_ENTITY_ID from NR_LEGAL_ENTITY_ID" type="list">
      <formula1>=NR_LEGAL_ENTITY_ID</formula1>
    </dataValidation>
    <dataValidation sqref="E2:E1048576" showDropDown="0" showInputMessage="0" showErrorMessage="1" allowBlank="1" errorTitle="Invalid FK" error="Value must exist in NR_PRODUCT_ID" promptTitle="Foreign Key" prompt="Select PRODUCT_ID from NR_PRODUCT_ID" type="list">
      <formula1>=NR_PRODUCT_ID</formula1>
    </dataValidation>
    <dataValidation sqref="F2:F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G2:G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H2:H1048576" showDropDown="0" showInputMessage="0" showErrorMessage="1" allowBlank="1" errorTitle="Invalid FK" error="Value must exist in NR_TECHNICAL_FILE_ID" promptTitle="Foreign Key" prompt="Select TECHNICAL_FILE_ID from NR_TECHNICAL_FILE_ID" type="list">
      <formula1>=NR_TECHNICAL_FILE_ID</formula1>
    </dataValidation>
    <dataValidation sqref="I2:I1048576" showDropDown="0" showInputMessage="0" showErrorMessage="1" allowBlank="1" errorTitle="Invalid FK" error="Value must exist in NR_PERSON_ID" promptTitle="Foreign Key" prompt="Select RESPONSIBLE_PERSON_ID from NR_PERSON_ID" type="list">
      <formula1>=NR_PERSON_ID</formula1>
    </dataValidation>
    <dataValidation sqref="O2:O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U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4" customWidth="1" min="5" max="5"/>
    <col width="15" customWidth="1" min="6" max="6"/>
    <col width="16" customWidth="1" min="7" max="7"/>
    <col width="15" customWidth="1" min="8" max="8"/>
    <col width="13" customWidth="1" min="9" max="9"/>
    <col width="13" customWidth="1" min="10" max="10"/>
    <col width="16" customWidth="1" min="11" max="11"/>
    <col width="25" customWidth="1" min="12" max="12"/>
    <col width="15" customWidth="1" min="13" max="13"/>
    <col width="12" customWidth="1" min="14" max="14"/>
  </cols>
  <sheetData>
    <row r="1">
      <c r="A1" s="12" t="inlineStr">
        <is>
          <t>STATEMENT_ID</t>
        </is>
      </c>
      <c r="B1" s="12" t="inlineStr">
        <is>
          <t>STATEMENT_CODE</t>
        </is>
      </c>
      <c r="C1" s="12" t="inlineStr">
        <is>
          <t>STATEMENT_TYPE_ID</t>
        </is>
      </c>
      <c r="D1" s="12" t="inlineStr">
        <is>
          <t>LEGAL_ENTITY_ID</t>
        </is>
      </c>
      <c r="E1" s="12" t="inlineStr">
        <is>
          <t>COUNTRY_ID</t>
        </is>
      </c>
      <c r="F1" s="12" t="inlineStr">
        <is>
          <t>PERIOD_YEAR</t>
        </is>
      </c>
      <c r="G1" s="12" t="inlineStr">
        <is>
          <t>PERIOD_MONTH</t>
        </is>
      </c>
      <c r="H1" s="12" t="inlineStr">
        <is>
          <t>PERIOD_FROM</t>
        </is>
      </c>
      <c r="I1" s="12" t="inlineStr">
        <is>
          <t>PERIOD_TO</t>
        </is>
      </c>
      <c r="J1" s="12" t="inlineStr">
        <is>
          <t>STATUS_ID</t>
        </is>
      </c>
      <c r="K1" s="12" t="inlineStr">
        <is>
          <t>GENERATED_AT</t>
        </is>
      </c>
      <c r="L1" s="12" t="inlineStr">
        <is>
          <t>APPROVED_BY_PERSON_ID</t>
        </is>
      </c>
      <c r="M1" s="12" t="inlineStr">
        <is>
          <t>APPROVED_AT</t>
        </is>
      </c>
      <c r="N1" s="12" t="inlineStr">
        <is>
          <t>NOTES</t>
        </is>
      </c>
      <c r="P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5">
    <dataValidation sqref="C2:C1048576" showDropDown="0" showInputMessage="0" showErrorMessage="1" allowBlank="1" errorTitle="Invalid FK" error="Value must exist in NR_STATEMENT_TYPE_ID" promptTitle="Foreign Key" prompt="Select STATEMENT_TYPE_ID from NR_STATEMENT_TYPE_ID" type="list">
      <formula1>=NR_STATEMENT_TYPE_ID</formula1>
    </dataValidation>
    <dataValidation sqref="D2:D1048576" showDropDown="0" showInputMessage="0" showErrorMessage="1" allowBlank="1" errorTitle="Invalid FK" error="Value must exist in NR_LEGAL_ENTITY_ID" promptTitle="Foreign Key" prompt="Select LEGAL_ENTITY_ID from NR_LEGAL_ENTITY_ID" type="list">
      <formula1>=NR_LEGAL_ENTITY_ID</formula1>
    </dataValidation>
    <dataValidation sqref="E2:E1048576" showDropDown="0" showInputMessage="0" showErrorMessage="1" allowBlank="1" errorTitle="Invalid FK" error="Value must exist in NR_COUNTRY_ID" promptTitle="Foreign Key" prompt="Select COUNTRY_ID from NR_COUNTRY_ID" type="list">
      <formula1>=NR_COUNTRY_ID</formula1>
    </dataValidation>
    <dataValidation sqref="J2:J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  <dataValidation sqref="L2:L1048576" showDropDown="0" showInputMessage="0" showErrorMessage="1" allowBlank="1" errorTitle="Invalid FK" error="Value must exist in NR_PERSON_ID" promptTitle="Foreign Key" prompt="Select APPROVED_BY_PERSON_ID from NR_PERSON_ID" type="list">
      <formula1>=NR_PERSON_ID</formula1>
    </dataValidation>
  </dataValidations>
  <hyperlinks>
    <hyperlink xmlns:r="http://schemas.openxmlformats.org/officeDocument/2006/relationships" ref="P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5" customWidth="1" min="4" max="4"/>
  </cols>
  <sheetData>
    <row r="1">
      <c r="A1" s="12" t="inlineStr">
        <is>
          <t>STATEMENT_SHIPMENT_ID</t>
        </is>
      </c>
      <c r="B1" s="12" t="inlineStr">
        <is>
          <t>STATEMENT_ID</t>
        </is>
      </c>
      <c r="C1" s="12" t="inlineStr">
        <is>
          <t>SHIPMENT_ID</t>
        </is>
      </c>
      <c r="D1" s="12" t="inlineStr">
        <is>
          <t>INCLUDED_AT</t>
        </is>
      </c>
      <c r="F1" s="19" t="inlineStr">
        <is>
          <t>Dashboard</t>
        </is>
      </c>
    </row>
    <row r="2">
      <c r="A2" s="21" t="n"/>
      <c r="B2" s="21" t="n"/>
      <c r="C2" s="21" t="n"/>
      <c r="D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B2:B1048576" showDropDown="0" showInputMessage="0" showErrorMessage="1" allowBlank="1" errorTitle="Invalid FK" error="Value must exist in NR_STATEMENT_ID" promptTitle="Foreign Key" prompt="Select STATEMENT_ID from NR_STATEMENT_ID" type="list">
      <formula1>=NR_STATEMENT_ID</formula1>
    </dataValidation>
    <dataValidation sqref="C2:C1048576" showDropDown="0" showInputMessage="0" showErrorMessage="1" allowBlank="1" errorTitle="Invalid FK" error="Value must exist in NR_SHIPMENT_ID" promptTitle="Foreign Key" prompt="Select SHIPMENT_ID from NR_SHIPMENT_ID" type="list">
      <formula1>=NR_SHIPMENT_ID</formula1>
    </dataValidation>
  </dataValidations>
  <hyperlinks>
    <hyperlink xmlns:r="http://schemas.openxmlformats.org/officeDocument/2006/relationships" ref="F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2" customWidth="1" min="4" max="4"/>
    <col width="21" customWidth="1" min="5" max="5"/>
    <col width="19" customWidth="1" min="6" max="6"/>
    <col width="30" customWidth="1" min="7" max="7"/>
    <col width="25" customWidth="1" min="8" max="8"/>
    <col width="12" customWidth="1" min="9" max="9"/>
  </cols>
  <sheetData>
    <row r="1">
      <c r="A1" s="12" t="inlineStr">
        <is>
          <t>STATEMENT_LINE_ID</t>
        </is>
      </c>
      <c r="B1" s="12" t="inlineStr">
        <is>
          <t>STATEMENT_ID</t>
        </is>
      </c>
      <c r="C1" s="12" t="inlineStr">
        <is>
          <t>MATERIAL_ID</t>
        </is>
      </c>
      <c r="D1" s="12" t="inlineStr">
        <is>
          <t>PACKAGING_LEVEL_ID</t>
        </is>
      </c>
      <c r="E1" s="12" t="inlineStr">
        <is>
          <t>OWNERSHIP_TYPE_ID</t>
        </is>
      </c>
      <c r="F1" s="12" t="inlineStr">
        <is>
          <t>TOTAL_WEIGHT_KG</t>
        </is>
      </c>
      <c r="G1" s="12" t="inlineStr">
        <is>
          <t>RECYCLED_CONTENT_WEIGHT_KG</t>
        </is>
      </c>
      <c r="H1" s="12" t="inlineStr">
        <is>
          <t>SOURCE_SHIPMENT_COUNT</t>
        </is>
      </c>
      <c r="I1" s="12" t="inlineStr">
        <is>
          <t>NOTES</t>
        </is>
      </c>
      <c r="K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4">
    <dataValidation sqref="B2:B1048576" showDropDown="0" showInputMessage="0" showErrorMessage="1" allowBlank="1" errorTitle="Invalid FK" error="Value must exist in NR_STATEMENT_ID" promptTitle="Foreign Key" prompt="Select STATEMENT_ID from NR_STATEMENT_ID" type="list">
      <formula1>=NR_STATEMENT_ID</formula1>
    </dataValidation>
    <dataValidation sqref="C2:C1048576" showDropDown="0" showInputMessage="0" showErrorMessage="1" allowBlank="1" errorTitle="Invalid FK" error="Value must exist in NR_MATERIAL_ID" promptTitle="Foreign Key" prompt="Select MATERIAL_ID from NR_MATERIAL_ID" type="list">
      <formula1>=NR_MATERIAL_ID</formula1>
    </dataValidation>
    <dataValidation sqref="D2:D1048576" showDropDown="0" showInputMessage="0" showErrorMessage="1" allowBlank="1" errorTitle="Invalid FK" error="Value must exist in NR_PACKAGING_LEVEL_ID" promptTitle="Foreign Key" prompt="Select PACKAGING_LEVEL_ID from NR_PACKAGING_LEVEL_ID" type="list">
      <formula1>=NR_PACKAGING_LEVEL_ID</formula1>
    </dataValidation>
    <dataValidation sqref="E2:E1048576" showDropDown="0" showInputMessage="0" showErrorMessage="1" allowBlank="1" errorTitle="Invalid FK" error="Value must exist in NR_OWNERSHIP_TYPE_ID" promptTitle="Foreign Key" prompt="Select OWNERSHIP_TYPE_ID from NR_OWNERSHIP_TYPE_ID" type="list">
      <formula1>=NR_OWNERSHIP_TYPE_ID</formula1>
    </dataValidation>
  </dataValidations>
  <hyperlinks>
    <hyperlink xmlns:r="http://schemas.openxmlformats.org/officeDocument/2006/relationships" ref="K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20" customWidth="1" min="4" max="4"/>
    <col width="12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4" customWidth="1" min="11" max="11"/>
  </cols>
  <sheetData>
    <row r="1">
      <c r="A1" s="12" t="inlineStr">
        <is>
          <t>DOCUMENT_ID</t>
        </is>
      </c>
      <c r="B1" s="12" t="inlineStr">
        <is>
          <t>DOCUMENT_CODE</t>
        </is>
      </c>
      <c r="C1" s="12" t="inlineStr">
        <is>
          <t>DOCUMENT_TITLE</t>
        </is>
      </c>
      <c r="D1" s="12" t="inlineStr">
        <is>
          <t>DOCUMENT_TYPE_ID</t>
        </is>
      </c>
      <c r="E1" s="12" t="inlineStr">
        <is>
          <t>FILE_URI</t>
        </is>
      </c>
      <c r="F1" s="12" t="inlineStr">
        <is>
          <t>FILE_HASH</t>
        </is>
      </c>
      <c r="G1" s="12" t="inlineStr">
        <is>
          <t>ISSUE_DATE</t>
        </is>
      </c>
      <c r="H1" s="12" t="inlineStr">
        <is>
          <t>STATUS_ID</t>
        </is>
      </c>
      <c r="I1" s="12" t="inlineStr">
        <is>
          <t>NOTES</t>
        </is>
      </c>
      <c r="J1" s="12" t="inlineStr">
        <is>
          <t>CREATED_AT</t>
        </is>
      </c>
      <c r="K1" s="12" t="inlineStr">
        <is>
          <t>UPDATED_AT</t>
        </is>
      </c>
      <c r="M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2">
    <dataValidation sqref="D2:D1048576" showDropDown="0" showInputMessage="0" showErrorMessage="1" allowBlank="1" errorTitle="Invalid FK" error="Value must exist in NR_DOCUMENT_TYPE_ID" promptTitle="Foreign Key" prompt="Select DOCUMENT_TYPE_ID from NR_DOCUMENT_TYPE_ID" type="list">
      <formula1>=NR_DOCUMENT_TYPE_ID</formula1>
    </dataValidation>
    <dataValidation sqref="H2:H1048576" showDropDown="0" showInputMessage="0" showErrorMessage="1" allowBlank="1" errorTitle="Invalid FK" error="Value must exist in NR_STATUS_ID" promptTitle="Foreign Key" prompt="Select STATUS_ID from NR_STATUS_ID" type="list">
      <formula1>=NR_STATUS_ID</formula1>
    </dataValidation>
  </dataValidations>
  <hyperlinks>
    <hyperlink xmlns:r="http://schemas.openxmlformats.org/officeDocument/2006/relationships" ref="M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4" customWidth="1" min="4" max="4"/>
    <col width="30" customWidth="1" min="5" max="5"/>
    <col width="30" customWidth="1" min="6" max="6"/>
    <col width="21" customWidth="1" min="7" max="7"/>
    <col width="32" customWidth="1" min="8" max="8"/>
    <col width="16" customWidth="1" min="9" max="9"/>
    <col width="14" customWidth="1" min="10" max="10"/>
    <col width="12" customWidth="1" min="11" max="11"/>
  </cols>
  <sheetData>
    <row r="1">
      <c r="A1" s="12" t="inlineStr">
        <is>
          <t>DOCUMENT_LINK_ID</t>
        </is>
      </c>
      <c r="B1" s="12" t="inlineStr">
        <is>
          <t>DOCUMENT_ID</t>
        </is>
      </c>
      <c r="C1" s="12" t="inlineStr">
        <is>
          <t>COMPONENT_ID</t>
        </is>
      </c>
      <c r="D1" s="12" t="inlineStr">
        <is>
          <t>PRODUCT_ID</t>
        </is>
      </c>
      <c r="E1" s="12" t="inlineStr">
        <is>
          <t>PACKAGING_CONFIGURATION_ID</t>
        </is>
      </c>
      <c r="F1" s="12" t="inlineStr">
        <is>
          <t>TRANSPORT_CONFIGURATION_ID</t>
        </is>
      </c>
      <c r="G1" s="12" t="inlineStr">
        <is>
          <t>TECHNICAL_FILE_ID</t>
        </is>
      </c>
      <c r="H1" s="12" t="inlineStr">
        <is>
          <t>DECLARATION_OF_CONFORMITY_ID</t>
        </is>
      </c>
      <c r="I1" s="12" t="inlineStr">
        <is>
          <t>STATEMENT_ID</t>
        </is>
      </c>
      <c r="J1" s="12" t="inlineStr">
        <is>
          <t>SORT_ORDER</t>
        </is>
      </c>
      <c r="K1" s="12" t="inlineStr">
        <is>
          <t>NOTES</t>
        </is>
      </c>
      <c r="M1" s="19" t="inlineStr">
        <is>
          <t>Dashboard</t>
        </is>
      </c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dataValidations count="8">
    <dataValidation sqref="B2:B1048576" showDropDown="0" showInputMessage="0" showErrorMessage="1" allowBlank="1" errorTitle="Invalid FK" error="Value must exist in NR_DOCUMENT_ID" promptTitle="Foreign Key" prompt="Select DOCUMENT_ID from NR_DOCUMENT_ID" type="list">
      <formula1>=NR_DOCUMENT_ID</formula1>
    </dataValidation>
    <dataValidation sqref="C2:C1048576" showDropDown="0" showInputMessage="0" showErrorMessage="1" allowBlank="1" errorTitle="Invalid FK" error="Value must exist in NR_COMPONENT_ID" promptTitle="Foreign Key" prompt="Select COMPONENT_ID from NR_COMPONENT_ID" type="list">
      <formula1>=NR_COMPONENT_ID</formula1>
    </dataValidation>
    <dataValidation sqref="D2:D1048576" showDropDown="0" showInputMessage="0" showErrorMessage="1" allowBlank="1" errorTitle="Invalid FK" error="Value must exist in NR_PRODUCT_ID" promptTitle="Foreign Key" prompt="Select PRODUCT_ID from NR_PRODUCT_ID" type="list">
      <formula1>=NR_PRODUCT_ID</formula1>
    </dataValidation>
    <dataValidation sqref="E2:E1048576" showDropDown="0" showInputMessage="0" showErrorMessage="1" allowBlank="1" errorTitle="Invalid FK" error="Value must exist in NR_PACKAGING_CONFIGURATION_ID" promptTitle="Foreign Key" prompt="Select PACKAGING_CONFIGURATION_ID from NR_PACKAGING_CONFIGURATION_ID" type="list">
      <formula1>=NR_PACKAGING_CONFIGURATION_ID</formula1>
    </dataValidation>
    <dataValidation sqref="F2:F1048576" showDropDown="0" showInputMessage="0" showErrorMessage="1" allowBlank="1" errorTitle="Invalid FK" error="Value must exist in NR_TRANSPORT_CONFIGURATION_ID" promptTitle="Foreign Key" prompt="Select TRANSPORT_CONFIGURATION_ID from NR_TRANSPORT_CONFIGURATION_ID" type="list">
      <formula1>=NR_TRANSPORT_CONFIGURATION_ID</formula1>
    </dataValidation>
    <dataValidation sqref="G2:G1048576" showDropDown="0" showInputMessage="0" showErrorMessage="1" allowBlank="1" errorTitle="Invalid FK" error="Value must exist in NR_TECHNICAL_FILE_ID" promptTitle="Foreign Key" prompt="Select TECHNICAL_FILE_ID from NR_TECHNICAL_FILE_ID" type="list">
      <formula1>=NR_TECHNICAL_FILE_ID</formula1>
    </dataValidation>
    <dataValidation sqref="H2:H1048576" showDropDown="0" showInputMessage="0" showErrorMessage="1" allowBlank="1" errorTitle="Invalid FK" error="Value must exist in NR_DECLARATION_OF_CONFORMITY_ID" promptTitle="Foreign Key" prompt="Select DECLARATION_OF_CONFORMITY_ID from NR_DECLARATION_OF_CONFORMITY_ID" type="list">
      <formula1>=NR_DECLARATION_OF_CONFORMITY_ID</formula1>
    </dataValidation>
    <dataValidation sqref="I2:I1048576" showDropDown="0" showInputMessage="0" showErrorMessage="1" allowBlank="1" errorTitle="Invalid FK" error="Value must exist in NR_STATEMENT_ID" promptTitle="Foreign Key" prompt="Select STATEMENT_ID from NR_STATEMENT_ID" type="list">
      <formula1>=NR_STATEMENT_ID</formula1>
    </dataValidation>
  </dataValidations>
  <hyperlinks>
    <hyperlink xmlns:r="http://schemas.openxmlformats.org/officeDocument/2006/relationships" ref="M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RELATIONSHIP_ID</t>
        </is>
      </c>
      <c r="B1" s="12" t="inlineStr">
        <is>
          <t>FROM_TABLE</t>
        </is>
      </c>
      <c r="C1" s="12" t="inlineStr">
        <is>
          <t>FROM_COLUMN</t>
        </is>
      </c>
      <c r="D1" s="12" t="inlineStr">
        <is>
          <t>TO_TABLE</t>
        </is>
      </c>
      <c r="E1" s="12" t="inlineStr">
        <is>
          <t>TO_COLUMN</t>
        </is>
      </c>
      <c r="F1" s="12" t="inlineStr">
        <is>
          <t>TO_NAMED_RANGE</t>
        </is>
      </c>
      <c r="G1" s="12" t="inlineStr">
        <is>
          <t>IS_REQUIRED</t>
        </is>
      </c>
      <c r="H1" s="12" t="inlineStr">
        <is>
          <t>RELATIONSHIP_CODE</t>
        </is>
      </c>
    </row>
    <row r="2">
      <c r="A2" s="10" t="n">
        <v>1</v>
      </c>
      <c r="B2" s="10" t="inlineStr">
        <is>
          <t>LKP_COMPONENT_TYPE</t>
        </is>
      </c>
      <c r="C2" s="10" t="inlineStr">
        <is>
          <t>DEFAULT_PACKAGING_LEVEL_ID</t>
        </is>
      </c>
      <c r="D2" s="10" t="inlineStr">
        <is>
          <t>LKP_PACKAGING_LEVEL</t>
        </is>
      </c>
      <c r="E2" s="10" t="inlineStr">
        <is>
          <t>PACKAGING_LEVEL_ID</t>
        </is>
      </c>
      <c r="F2" s="10" t="inlineStr">
        <is>
          <t>NR_PACKAGING_LEVEL_ID</t>
        </is>
      </c>
      <c r="G2" s="10" t="inlineStr">
        <is>
          <t>N</t>
        </is>
      </c>
      <c r="H2" s="10" t="inlineStr">
        <is>
          <t>FK_LKP_COMPONENT_TYPE_DEFAULT_PACKAGING_LEVEL_ID</t>
        </is>
      </c>
    </row>
    <row r="3">
      <c r="A3" s="10" t="n">
        <v>2</v>
      </c>
      <c r="B3" s="10" t="inlineStr">
        <is>
          <t>LKP_MATERIAL</t>
        </is>
      </c>
      <c r="C3" s="10" t="inlineStr">
        <is>
          <t>MATERIAL_FAMILY_ID</t>
        </is>
      </c>
      <c r="D3" s="10" t="inlineStr">
        <is>
          <t>LKP_MATERIAL_FAMILY</t>
        </is>
      </c>
      <c r="E3" s="10" t="inlineStr">
        <is>
          <t>MATERIAL_FAMILY_ID</t>
        </is>
      </c>
      <c r="F3" s="10" t="inlineStr">
        <is>
          <t>NR_MATERIAL_FAMILY_ID</t>
        </is>
      </c>
      <c r="G3" s="10" t="inlineStr">
        <is>
          <t>Y</t>
        </is>
      </c>
      <c r="H3" s="10" t="inlineStr">
        <is>
          <t>FK_LKP_MATERIAL_MATERIAL_FAMILY_ID</t>
        </is>
      </c>
    </row>
    <row r="4">
      <c r="A4" s="10" t="n">
        <v>3</v>
      </c>
      <c r="B4" s="10" t="inlineStr">
        <is>
          <t>LKP_MATERIAL</t>
        </is>
      </c>
      <c r="C4" s="10" t="inlineStr">
        <is>
          <t>PPWR_MATERIAL_CATEGORY_ID</t>
        </is>
      </c>
      <c r="D4" s="10" t="inlineStr">
        <is>
          <t>LKP_PPWR_MATERIAL_CATEGORY</t>
        </is>
      </c>
      <c r="E4" s="10" t="inlineStr">
        <is>
          <t>PPWR_MATERIAL_CATEGORY_ID</t>
        </is>
      </c>
      <c r="F4" s="10" t="inlineStr">
        <is>
          <t>NR_PPWR_MATERIAL_CATEGORY_ID</t>
        </is>
      </c>
      <c r="G4" s="10" t="inlineStr">
        <is>
          <t>N</t>
        </is>
      </c>
      <c r="H4" s="10" t="inlineStr">
        <is>
          <t>FK_LKP_MATERIAL_PPWR_MATERIAL_CATEGORY_ID</t>
        </is>
      </c>
    </row>
    <row r="5">
      <c r="A5" s="10" t="n">
        <v>4</v>
      </c>
      <c r="B5" s="10" t="inlineStr">
        <is>
          <t>LEGAL_ENTITY</t>
        </is>
      </c>
      <c r="C5" s="10" t="inlineStr">
        <is>
          <t>COUNTRY_ID</t>
        </is>
      </c>
      <c r="D5" s="10" t="inlineStr">
        <is>
          <t>LKP_COUNTRY</t>
        </is>
      </c>
      <c r="E5" s="10" t="inlineStr">
        <is>
          <t>COUNTRY_ID</t>
        </is>
      </c>
      <c r="F5" s="10" t="inlineStr">
        <is>
          <t>NR_COUNTRY_ID</t>
        </is>
      </c>
      <c r="G5" s="10" t="inlineStr">
        <is>
          <t>Y</t>
        </is>
      </c>
      <c r="H5" s="10" t="inlineStr">
        <is>
          <t>FK_LEGAL_ENTITY_COUNTRY_ID</t>
        </is>
      </c>
    </row>
    <row r="6">
      <c r="A6" s="10" t="n">
        <v>5</v>
      </c>
      <c r="B6" s="10" t="inlineStr">
        <is>
          <t>LEGAL_ENTITY</t>
        </is>
      </c>
      <c r="C6" s="10" t="inlineStr">
        <is>
          <t>STATUS_ID</t>
        </is>
      </c>
      <c r="D6" s="10" t="inlineStr">
        <is>
          <t>LKP_STATUS</t>
        </is>
      </c>
      <c r="E6" s="10" t="inlineStr">
        <is>
          <t>STATUS_ID</t>
        </is>
      </c>
      <c r="F6" s="10" t="inlineStr">
        <is>
          <t>NR_STATUS_ID</t>
        </is>
      </c>
      <c r="G6" s="10" t="inlineStr">
        <is>
          <t>Y</t>
        </is>
      </c>
      <c r="H6" s="10" t="inlineStr">
        <is>
          <t>FK_LEGAL_ENTITY_STATUS_ID</t>
        </is>
      </c>
    </row>
    <row r="7">
      <c r="A7" s="10" t="n">
        <v>6</v>
      </c>
      <c r="B7" s="10" t="inlineStr">
        <is>
          <t>PERSON</t>
        </is>
      </c>
      <c r="C7" s="10" t="inlineStr">
        <is>
          <t>STATUS_ID</t>
        </is>
      </c>
      <c r="D7" s="10" t="inlineStr">
        <is>
          <t>LKP_STATUS</t>
        </is>
      </c>
      <c r="E7" s="10" t="inlineStr">
        <is>
          <t>STATUS_ID</t>
        </is>
      </c>
      <c r="F7" s="10" t="inlineStr">
        <is>
          <t>NR_STATUS_ID</t>
        </is>
      </c>
      <c r="G7" s="10" t="inlineStr">
        <is>
          <t>Y</t>
        </is>
      </c>
      <c r="H7" s="10" t="inlineStr">
        <is>
          <t>FK_PERSON_STATUS_ID</t>
        </is>
      </c>
    </row>
    <row r="8">
      <c r="A8" s="10" t="n">
        <v>7</v>
      </c>
      <c r="B8" s="10" t="inlineStr">
        <is>
          <t>SUPPLIER</t>
        </is>
      </c>
      <c r="C8" s="10" t="inlineStr">
        <is>
          <t>COUNTRY_ID</t>
        </is>
      </c>
      <c r="D8" s="10" t="inlineStr">
        <is>
          <t>LKP_COUNTRY</t>
        </is>
      </c>
      <c r="E8" s="10" t="inlineStr">
        <is>
          <t>COUNTRY_ID</t>
        </is>
      </c>
      <c r="F8" s="10" t="inlineStr">
        <is>
          <t>NR_COUNTRY_ID</t>
        </is>
      </c>
      <c r="G8" s="10" t="inlineStr">
        <is>
          <t>N</t>
        </is>
      </c>
      <c r="H8" s="10" t="inlineStr">
        <is>
          <t>FK_SUPPLIER_COUNTRY_ID</t>
        </is>
      </c>
    </row>
    <row r="9">
      <c r="A9" s="10" t="n">
        <v>8</v>
      </c>
      <c r="B9" s="10" t="inlineStr">
        <is>
          <t>SUPPLIER</t>
        </is>
      </c>
      <c r="C9" s="10" t="inlineStr">
        <is>
          <t>STATUS_ID</t>
        </is>
      </c>
      <c r="D9" s="10" t="inlineStr">
        <is>
          <t>LKP_STATUS</t>
        </is>
      </c>
      <c r="E9" s="10" t="inlineStr">
        <is>
          <t>STATUS_ID</t>
        </is>
      </c>
      <c r="F9" s="10" t="inlineStr">
        <is>
          <t>NR_STATUS_ID</t>
        </is>
      </c>
      <c r="G9" s="10" t="inlineStr">
        <is>
          <t>Y</t>
        </is>
      </c>
      <c r="H9" s="10" t="inlineStr">
        <is>
          <t>FK_SUPPLIER_STATUS_ID</t>
        </is>
      </c>
    </row>
    <row r="10">
      <c r="A10" s="10" t="n">
        <v>9</v>
      </c>
      <c r="B10" s="10" t="inlineStr">
        <is>
          <t>CUSTOMER</t>
        </is>
      </c>
      <c r="C10" s="10" t="inlineStr">
        <is>
          <t>COUNTRY_ID</t>
        </is>
      </c>
      <c r="D10" s="10" t="inlineStr">
        <is>
          <t>LKP_COUNTRY</t>
        </is>
      </c>
      <c r="E10" s="10" t="inlineStr">
        <is>
          <t>COUNTRY_ID</t>
        </is>
      </c>
      <c r="F10" s="10" t="inlineStr">
        <is>
          <t>NR_COUNTRY_ID</t>
        </is>
      </c>
      <c r="G10" s="10" t="inlineStr">
        <is>
          <t>N</t>
        </is>
      </c>
      <c r="H10" s="10" t="inlineStr">
        <is>
          <t>FK_CUSTOMER_COUNTRY_ID</t>
        </is>
      </c>
    </row>
    <row r="11">
      <c r="A11" s="10" t="n">
        <v>10</v>
      </c>
      <c r="B11" s="10" t="inlineStr">
        <is>
          <t>CUSTOMER</t>
        </is>
      </c>
      <c r="C11" s="10" t="inlineStr">
        <is>
          <t>STATUS_ID</t>
        </is>
      </c>
      <c r="D11" s="10" t="inlineStr">
        <is>
          <t>LKP_STATUS</t>
        </is>
      </c>
      <c r="E11" s="10" t="inlineStr">
        <is>
          <t>STATUS_ID</t>
        </is>
      </c>
      <c r="F11" s="10" t="inlineStr">
        <is>
          <t>NR_STATUS_ID</t>
        </is>
      </c>
      <c r="G11" s="10" t="inlineStr">
        <is>
          <t>Y</t>
        </is>
      </c>
      <c r="H11" s="10" t="inlineStr">
        <is>
          <t>FK_CUSTOMER_STATUS_ID</t>
        </is>
      </c>
    </row>
    <row r="12">
      <c r="A12" s="10" t="n">
        <v>11</v>
      </c>
      <c r="B12" s="10" t="inlineStr">
        <is>
          <t>PLANT</t>
        </is>
      </c>
      <c r="C12" s="10" t="inlineStr">
        <is>
          <t>LEGAL_ENTITY_ID</t>
        </is>
      </c>
      <c r="D12" s="10" t="inlineStr">
        <is>
          <t>LEGAL_ENTITY</t>
        </is>
      </c>
      <c r="E12" s="10" t="inlineStr">
        <is>
          <t>LEGAL_ENTITY_ID</t>
        </is>
      </c>
      <c r="F12" s="10" t="inlineStr">
        <is>
          <t>NR_LEGAL_ENTITY_ID</t>
        </is>
      </c>
      <c r="G12" s="10" t="inlineStr">
        <is>
          <t>Y</t>
        </is>
      </c>
      <c r="H12" s="10" t="inlineStr">
        <is>
          <t>FK_PLANT_LEGAL_ENTITY_ID</t>
        </is>
      </c>
    </row>
    <row r="13">
      <c r="A13" s="10" t="n">
        <v>12</v>
      </c>
      <c r="B13" s="10" t="inlineStr">
        <is>
          <t>PLANT</t>
        </is>
      </c>
      <c r="C13" s="10" t="inlineStr">
        <is>
          <t>COUNTRY_ID</t>
        </is>
      </c>
      <c r="D13" s="10" t="inlineStr">
        <is>
          <t>LKP_COUNTRY</t>
        </is>
      </c>
      <c r="E13" s="10" t="inlineStr">
        <is>
          <t>COUNTRY_ID</t>
        </is>
      </c>
      <c r="F13" s="10" t="inlineStr">
        <is>
          <t>NR_COUNTRY_ID</t>
        </is>
      </c>
      <c r="G13" s="10" t="inlineStr">
        <is>
          <t>Y</t>
        </is>
      </c>
      <c r="H13" s="10" t="inlineStr">
        <is>
          <t>FK_PLANT_COUNTRY_ID</t>
        </is>
      </c>
    </row>
    <row r="14">
      <c r="A14" s="10" t="n">
        <v>13</v>
      </c>
      <c r="B14" s="10" t="inlineStr">
        <is>
          <t>PLANT</t>
        </is>
      </c>
      <c r="C14" s="10" t="inlineStr">
        <is>
          <t>STATUS_ID</t>
        </is>
      </c>
      <c r="D14" s="10" t="inlineStr">
        <is>
          <t>LKP_STATUS</t>
        </is>
      </c>
      <c r="E14" s="10" t="inlineStr">
        <is>
          <t>STATUS_ID</t>
        </is>
      </c>
      <c r="F14" s="10" t="inlineStr">
        <is>
          <t>NR_STATUS_ID</t>
        </is>
      </c>
      <c r="G14" s="10" t="inlineStr">
        <is>
          <t>Y</t>
        </is>
      </c>
      <c r="H14" s="10" t="inlineStr">
        <is>
          <t>FK_PLANT_STATUS_ID</t>
        </is>
      </c>
    </row>
    <row r="15">
      <c r="A15" s="10" t="n">
        <v>14</v>
      </c>
      <c r="B15" s="10" t="inlineStr">
        <is>
          <t>PRODUCT</t>
        </is>
      </c>
      <c r="C15" s="10" t="inlineStr">
        <is>
          <t>PRODUCT_CATEGORY_ID</t>
        </is>
      </c>
      <c r="D15" s="10" t="inlineStr">
        <is>
          <t>LKP_PRODUCT_CATEGORY</t>
        </is>
      </c>
      <c r="E15" s="10" t="inlineStr">
        <is>
          <t>PRODUCT_CATEGORY_ID</t>
        </is>
      </c>
      <c r="F15" s="10" t="inlineStr">
        <is>
          <t>NR_PRODUCT_CATEGORY_ID</t>
        </is>
      </c>
      <c r="G15" s="10" t="inlineStr">
        <is>
          <t>Y</t>
        </is>
      </c>
      <c r="H15" s="10" t="inlineStr">
        <is>
          <t>FK_PRODUCT_PRODUCT_CATEGORY_ID</t>
        </is>
      </c>
    </row>
    <row r="16">
      <c r="A16" s="10" t="n">
        <v>15</v>
      </c>
      <c r="B16" s="10" t="inlineStr">
        <is>
          <t>PRODUCT</t>
        </is>
      </c>
      <c r="C16" s="10" t="inlineStr">
        <is>
          <t>STATUS_ID</t>
        </is>
      </c>
      <c r="D16" s="10" t="inlineStr">
        <is>
          <t>LKP_STATUS</t>
        </is>
      </c>
      <c r="E16" s="10" t="inlineStr">
        <is>
          <t>STATUS_ID</t>
        </is>
      </c>
      <c r="F16" s="10" t="inlineStr">
        <is>
          <t>NR_STATUS_ID</t>
        </is>
      </c>
      <c r="G16" s="10" t="inlineStr">
        <is>
          <t>Y</t>
        </is>
      </c>
      <c r="H16" s="10" t="inlineStr">
        <is>
          <t>FK_PRODUCT_STATUS_ID</t>
        </is>
      </c>
    </row>
    <row r="17">
      <c r="A17" s="10" t="n">
        <v>16</v>
      </c>
      <c r="B17" s="10" t="inlineStr">
        <is>
          <t>COMPONENT</t>
        </is>
      </c>
      <c r="C17" s="10" t="inlineStr">
        <is>
          <t>COMPONENT_TYPE_ID</t>
        </is>
      </c>
      <c r="D17" s="10" t="inlineStr">
        <is>
          <t>LKP_COMPONENT_TYPE</t>
        </is>
      </c>
      <c r="E17" s="10" t="inlineStr">
        <is>
          <t>COMPONENT_TYPE_ID</t>
        </is>
      </c>
      <c r="F17" s="10" t="inlineStr">
        <is>
          <t>NR_COMPONENT_TYPE_ID</t>
        </is>
      </c>
      <c r="G17" s="10" t="inlineStr">
        <is>
          <t>Y</t>
        </is>
      </c>
      <c r="H17" s="10" t="inlineStr">
        <is>
          <t>FK_COMPONENT_COMPONENT_TYPE_ID</t>
        </is>
      </c>
    </row>
    <row r="18">
      <c r="A18" s="10" t="n">
        <v>17</v>
      </c>
      <c r="B18" s="10" t="inlineStr">
        <is>
          <t>COMPONENT</t>
        </is>
      </c>
      <c r="C18" s="10" t="inlineStr">
        <is>
          <t>PACKAGING_LEVEL_ID</t>
        </is>
      </c>
      <c r="D18" s="10" t="inlineStr">
        <is>
          <t>LKP_PACKAGING_LEVEL</t>
        </is>
      </c>
      <c r="E18" s="10" t="inlineStr">
        <is>
          <t>PACKAGING_LEVEL_ID</t>
        </is>
      </c>
      <c r="F18" s="10" t="inlineStr">
        <is>
          <t>NR_PACKAGING_LEVEL_ID</t>
        </is>
      </c>
      <c r="G18" s="10" t="inlineStr">
        <is>
          <t>Y</t>
        </is>
      </c>
      <c r="H18" s="10" t="inlineStr">
        <is>
          <t>FK_COMPONENT_PACKAGING_LEVEL_ID</t>
        </is>
      </c>
    </row>
    <row r="19">
      <c r="A19" s="10" t="n">
        <v>18</v>
      </c>
      <c r="B19" s="10" t="inlineStr">
        <is>
          <t>COMPONENT</t>
        </is>
      </c>
      <c r="C19" s="10" t="inlineStr">
        <is>
          <t>PACKAGING_FUNCTION_ID</t>
        </is>
      </c>
      <c r="D19" s="10" t="inlineStr">
        <is>
          <t>LKP_PACKAGING_FUNCTION</t>
        </is>
      </c>
      <c r="E19" s="10" t="inlineStr">
        <is>
          <t>PACKAGING_FUNCTION_ID</t>
        </is>
      </c>
      <c r="F19" s="10" t="inlineStr">
        <is>
          <t>NR_PACKAGING_FUNCTION_ID</t>
        </is>
      </c>
      <c r="G19" s="10" t="inlineStr">
        <is>
          <t>Y</t>
        </is>
      </c>
      <c r="H19" s="10" t="inlineStr">
        <is>
          <t>FK_COMPONENT_PACKAGING_FUNCTION_ID</t>
        </is>
      </c>
    </row>
    <row r="20">
      <c r="A20" s="10" t="n">
        <v>19</v>
      </c>
      <c r="B20" s="10" t="inlineStr">
        <is>
          <t>COMPONENT</t>
        </is>
      </c>
      <c r="C20" s="10" t="inlineStr">
        <is>
          <t>OWNERSHIP_TYPE_ID</t>
        </is>
      </c>
      <c r="D20" s="10" t="inlineStr">
        <is>
          <t>LKP_OWNERSHIP_TYPE</t>
        </is>
      </c>
      <c r="E20" s="10" t="inlineStr">
        <is>
          <t>OWNERSHIP_TYPE_ID</t>
        </is>
      </c>
      <c r="F20" s="10" t="inlineStr">
        <is>
          <t>NR_OWNERSHIP_TYPE_ID</t>
        </is>
      </c>
      <c r="G20" s="10" t="inlineStr">
        <is>
          <t>Y</t>
        </is>
      </c>
      <c r="H20" s="10" t="inlineStr">
        <is>
          <t>FK_COMPONENT_OWNERSHIP_TYPE_ID</t>
        </is>
      </c>
    </row>
    <row r="21">
      <c r="A21" s="10" t="n">
        <v>20</v>
      </c>
      <c r="B21" s="10" t="inlineStr">
        <is>
          <t>COMPONENT</t>
        </is>
      </c>
      <c r="C21" s="10" t="inlineStr">
        <is>
          <t>SUPPLIER_ID</t>
        </is>
      </c>
      <c r="D21" s="10" t="inlineStr">
        <is>
          <t>SUPPLIER</t>
        </is>
      </c>
      <c r="E21" s="10" t="inlineStr">
        <is>
          <t>SUPPLIER_ID</t>
        </is>
      </c>
      <c r="F21" s="10" t="inlineStr">
        <is>
          <t>NR_SUPPLIER_ID</t>
        </is>
      </c>
      <c r="G21" s="10" t="inlineStr">
        <is>
          <t>N</t>
        </is>
      </c>
      <c r="H21" s="10" t="inlineStr">
        <is>
          <t>FK_COMPONENT_SUPPLIER_ID</t>
        </is>
      </c>
    </row>
    <row r="22">
      <c r="A22" s="10" t="n">
        <v>21</v>
      </c>
      <c r="B22" s="10" t="inlineStr">
        <is>
          <t>COMPONENT</t>
        </is>
      </c>
      <c r="C22" s="10" t="inlineStr">
        <is>
          <t>RECYCLABILITY_CLASS_ID</t>
        </is>
      </c>
      <c r="D22" s="10" t="inlineStr">
        <is>
          <t>LKP_RECYCLABILITY_CLASS</t>
        </is>
      </c>
      <c r="E22" s="10" t="inlineStr">
        <is>
          <t>RECYCLABILITY_CLASS_ID</t>
        </is>
      </c>
      <c r="F22" s="10" t="inlineStr">
        <is>
          <t>NR_RECYCLABILITY_CLASS_ID</t>
        </is>
      </c>
      <c r="G22" s="10" t="inlineStr">
        <is>
          <t>N</t>
        </is>
      </c>
      <c r="H22" s="10" t="inlineStr">
        <is>
          <t>FK_COMPONENT_RECYCLABILITY_CLASS_ID</t>
        </is>
      </c>
    </row>
    <row r="23">
      <c r="A23" s="10" t="n">
        <v>22</v>
      </c>
      <c r="B23" s="10" t="inlineStr">
        <is>
          <t>COMPONENT</t>
        </is>
      </c>
      <c r="C23" s="10" t="inlineStr">
        <is>
          <t>STATUS_ID</t>
        </is>
      </c>
      <c r="D23" s="10" t="inlineStr">
        <is>
          <t>LKP_STATUS</t>
        </is>
      </c>
      <c r="E23" s="10" t="inlineStr">
        <is>
          <t>STATUS_ID</t>
        </is>
      </c>
      <c r="F23" s="10" t="inlineStr">
        <is>
          <t>NR_STATUS_ID</t>
        </is>
      </c>
      <c r="G23" s="10" t="inlineStr">
        <is>
          <t>Y</t>
        </is>
      </c>
      <c r="H23" s="10" t="inlineStr">
        <is>
          <t>FK_COMPONENT_STATUS_ID</t>
        </is>
      </c>
    </row>
    <row r="24">
      <c r="A24" s="10" t="n">
        <v>23</v>
      </c>
      <c r="B24" s="10" t="inlineStr">
        <is>
          <t>COMPONENT_MATERIAL</t>
        </is>
      </c>
      <c r="C24" s="10" t="inlineStr">
        <is>
          <t>COMPONENT_ID</t>
        </is>
      </c>
      <c r="D24" s="10" t="inlineStr">
        <is>
          <t>COMPONENT</t>
        </is>
      </c>
      <c r="E24" s="10" t="inlineStr">
        <is>
          <t>COMPONENT_ID</t>
        </is>
      </c>
      <c r="F24" s="10" t="inlineStr">
        <is>
          <t>NR_COMPONENT_ID</t>
        </is>
      </c>
      <c r="G24" s="10" t="inlineStr">
        <is>
          <t>Y</t>
        </is>
      </c>
      <c r="H24" s="10" t="inlineStr">
        <is>
          <t>FK_COMPONENT_MATERIAL_COMPONENT_ID</t>
        </is>
      </c>
    </row>
    <row r="25">
      <c r="A25" s="10" t="n">
        <v>24</v>
      </c>
      <c r="B25" s="10" t="inlineStr">
        <is>
          <t>COMPONENT_MATERIAL</t>
        </is>
      </c>
      <c r="C25" s="10" t="inlineStr">
        <is>
          <t>MATERIAL_ID</t>
        </is>
      </c>
      <c r="D25" s="10" t="inlineStr">
        <is>
          <t>LKP_MATERIAL</t>
        </is>
      </c>
      <c r="E25" s="10" t="inlineStr">
        <is>
          <t>MATERIAL_ID</t>
        </is>
      </c>
      <c r="F25" s="10" t="inlineStr">
        <is>
          <t>NR_MATERIAL_ID</t>
        </is>
      </c>
      <c r="G25" s="10" t="inlineStr">
        <is>
          <t>Y</t>
        </is>
      </c>
      <c r="H25" s="10" t="inlineStr">
        <is>
          <t>FK_COMPONENT_MATERIAL_MATERIAL_ID</t>
        </is>
      </c>
    </row>
    <row r="26">
      <c r="A26" s="10" t="n">
        <v>25</v>
      </c>
      <c r="B26" s="10" t="inlineStr">
        <is>
          <t>PACKAGING_CONFIGURATION</t>
        </is>
      </c>
      <c r="C26" s="10" t="inlineStr">
        <is>
          <t>SUPERSEDES_ID</t>
        </is>
      </c>
      <c r="D26" s="10" t="inlineStr">
        <is>
          <t>PACKAGING_CONFIGURATION</t>
        </is>
      </c>
      <c r="E26" s="10" t="inlineStr">
        <is>
          <t>PACKAGING_CONFIGURATION_ID</t>
        </is>
      </c>
      <c r="F26" s="10" t="inlineStr">
        <is>
          <t>NR_PACKAGING_CONFIGURATION_ID</t>
        </is>
      </c>
      <c r="G26" s="10" t="inlineStr">
        <is>
          <t>N</t>
        </is>
      </c>
      <c r="H26" s="10" t="inlineStr">
        <is>
          <t>FK_PACKAGING_CONFIGURATION_SUPERSEDES_ID</t>
        </is>
      </c>
    </row>
    <row r="27">
      <c r="A27" s="10" t="n">
        <v>26</v>
      </c>
      <c r="B27" s="10" t="inlineStr">
        <is>
          <t>PACKAGING_CONFIGURATION</t>
        </is>
      </c>
      <c r="C27" s="10" t="inlineStr">
        <is>
          <t>STATUS_ID</t>
        </is>
      </c>
      <c r="D27" s="10" t="inlineStr">
        <is>
          <t>LKP_STATUS</t>
        </is>
      </c>
      <c r="E27" s="10" t="inlineStr">
        <is>
          <t>STATUS_ID</t>
        </is>
      </c>
      <c r="F27" s="10" t="inlineStr">
        <is>
          <t>NR_STATUS_ID</t>
        </is>
      </c>
      <c r="G27" s="10" t="inlineStr">
        <is>
          <t>Y</t>
        </is>
      </c>
      <c r="H27" s="10" t="inlineStr">
        <is>
          <t>FK_PACKAGING_CONFIGURATION_STATUS_ID</t>
        </is>
      </c>
    </row>
    <row r="28">
      <c r="A28" s="10" t="n">
        <v>27</v>
      </c>
      <c r="B28" s="10" t="inlineStr">
        <is>
          <t>PACKAGING_CONFIGURATION_LINE</t>
        </is>
      </c>
      <c r="C28" s="10" t="inlineStr">
        <is>
          <t>PACKAGING_CONFIGURATION_ID</t>
        </is>
      </c>
      <c r="D28" s="10" t="inlineStr">
        <is>
          <t>PACKAGING_CONFIGURATION</t>
        </is>
      </c>
      <c r="E28" s="10" t="inlineStr">
        <is>
          <t>PACKAGING_CONFIGURATION_ID</t>
        </is>
      </c>
      <c r="F28" s="10" t="inlineStr">
        <is>
          <t>NR_PACKAGING_CONFIGURATION_ID</t>
        </is>
      </c>
      <c r="G28" s="10" t="inlineStr">
        <is>
          <t>Y</t>
        </is>
      </c>
      <c r="H28" s="10" t="inlineStr">
        <is>
          <t>FK_PACKAGING_CONFIGURATION_LINE_PACKAGING_CONFIGURATION_ID</t>
        </is>
      </c>
    </row>
    <row r="29">
      <c r="A29" s="10" t="n">
        <v>28</v>
      </c>
      <c r="B29" s="10" t="inlineStr">
        <is>
          <t>PACKAGING_CONFIGURATION_LINE</t>
        </is>
      </c>
      <c r="C29" s="10" t="inlineStr">
        <is>
          <t>COMPONENT_ID</t>
        </is>
      </c>
      <c r="D29" s="10" t="inlineStr">
        <is>
          <t>COMPONENT</t>
        </is>
      </c>
      <c r="E29" s="10" t="inlineStr">
        <is>
          <t>COMPONENT_ID</t>
        </is>
      </c>
      <c r="F29" s="10" t="inlineStr">
        <is>
          <t>NR_COMPONENT_ID</t>
        </is>
      </c>
      <c r="G29" s="10" t="inlineStr">
        <is>
          <t>Y</t>
        </is>
      </c>
      <c r="H29" s="10" t="inlineStr">
        <is>
          <t>FK_PACKAGING_CONFIGURATION_LINE_COMPONENT_ID</t>
        </is>
      </c>
    </row>
    <row r="30">
      <c r="A30" s="10" t="n">
        <v>29</v>
      </c>
      <c r="B30" s="10" t="inlineStr">
        <is>
          <t>PACKAGING_CONFIGURATION_LINE</t>
        </is>
      </c>
      <c r="C30" s="10" t="inlineStr">
        <is>
          <t>LINE_ROLE_ID</t>
        </is>
      </c>
      <c r="D30" s="10" t="inlineStr">
        <is>
          <t>LKP_LINE_ROLE</t>
        </is>
      </c>
      <c r="E30" s="10" t="inlineStr">
        <is>
          <t>LINE_ROLE_ID</t>
        </is>
      </c>
      <c r="F30" s="10" t="inlineStr">
        <is>
          <t>NR_LINE_ROLE_ID</t>
        </is>
      </c>
      <c r="G30" s="10" t="inlineStr">
        <is>
          <t>Y</t>
        </is>
      </c>
      <c r="H30" s="10" t="inlineStr">
        <is>
          <t>FK_PACKAGING_CONFIGURATION_LINE_LINE_ROLE_ID</t>
        </is>
      </c>
    </row>
    <row r="31">
      <c r="A31" s="10" t="n">
        <v>30</v>
      </c>
      <c r="B31" s="10" t="inlineStr">
        <is>
          <t>TRANSPORT_CONFIGURATION</t>
        </is>
      </c>
      <c r="C31" s="10" t="inlineStr">
        <is>
          <t>PACKAGING_CONFIGURATION_ID</t>
        </is>
      </c>
      <c r="D31" s="10" t="inlineStr">
        <is>
          <t>PACKAGING_CONFIGURATION</t>
        </is>
      </c>
      <c r="E31" s="10" t="inlineStr">
        <is>
          <t>PACKAGING_CONFIGURATION_ID</t>
        </is>
      </c>
      <c r="F31" s="10" t="inlineStr">
        <is>
          <t>NR_PACKAGING_CONFIGURATION_ID</t>
        </is>
      </c>
      <c r="G31" s="10" t="inlineStr">
        <is>
          <t>Y</t>
        </is>
      </c>
      <c r="H31" s="10" t="inlineStr">
        <is>
          <t>FK_TRANSPORT_CONFIGURATION_PACKAGING_CONFIGURATION_ID</t>
        </is>
      </c>
    </row>
    <row r="32">
      <c r="A32" s="10" t="n">
        <v>31</v>
      </c>
      <c r="B32" s="10" t="inlineStr">
        <is>
          <t>TRANSPORT_CONFIGURATION</t>
        </is>
      </c>
      <c r="C32" s="10" t="inlineStr">
        <is>
          <t>TRANSPORT_UNIT_TYPE_ID</t>
        </is>
      </c>
      <c r="D32" s="10" t="inlineStr">
        <is>
          <t>LKP_TRANSPORT_UNIT_TYPE</t>
        </is>
      </c>
      <c r="E32" s="10" t="inlineStr">
        <is>
          <t>TRANSPORT_UNIT_TYPE_ID</t>
        </is>
      </c>
      <c r="F32" s="10" t="inlineStr">
        <is>
          <t>NR_TRANSPORT_UNIT_TYPE_ID</t>
        </is>
      </c>
      <c r="G32" s="10" t="inlineStr">
        <is>
          <t>Y</t>
        </is>
      </c>
      <c r="H32" s="10" t="inlineStr">
        <is>
          <t>FK_TRANSPORT_CONFIGURATION_TRANSPORT_UNIT_TYPE_ID</t>
        </is>
      </c>
    </row>
    <row r="33">
      <c r="A33" s="10" t="n">
        <v>32</v>
      </c>
      <c r="B33" s="10" t="inlineStr">
        <is>
          <t>TRANSPORT_CONFIGURATION</t>
        </is>
      </c>
      <c r="C33" s="10" t="inlineStr">
        <is>
          <t>SUPERSEDES_ID</t>
        </is>
      </c>
      <c r="D33" s="10" t="inlineStr">
        <is>
          <t>TRANSPORT_CONFIGURATION</t>
        </is>
      </c>
      <c r="E33" s="10" t="inlineStr">
        <is>
          <t>TRANSPORT_CONFIGURATION_ID</t>
        </is>
      </c>
      <c r="F33" s="10" t="inlineStr">
        <is>
          <t>NR_TRANSPORT_CONFIGURATION_ID</t>
        </is>
      </c>
      <c r="G33" s="10" t="inlineStr">
        <is>
          <t>N</t>
        </is>
      </c>
      <c r="H33" s="10" t="inlineStr">
        <is>
          <t>FK_TRANSPORT_CONFIGURATION_SUPERSEDES_ID</t>
        </is>
      </c>
    </row>
    <row r="34">
      <c r="A34" s="10" t="n">
        <v>33</v>
      </c>
      <c r="B34" s="10" t="inlineStr">
        <is>
          <t>TRANSPORT_CONFIGURATION</t>
        </is>
      </c>
      <c r="C34" s="10" t="inlineStr">
        <is>
          <t>STATUS_ID</t>
        </is>
      </c>
      <c r="D34" s="10" t="inlineStr">
        <is>
          <t>LKP_STATUS</t>
        </is>
      </c>
      <c r="E34" s="10" t="inlineStr">
        <is>
          <t>STATUS_ID</t>
        </is>
      </c>
      <c r="F34" s="10" t="inlineStr">
        <is>
          <t>NR_STATUS_ID</t>
        </is>
      </c>
      <c r="G34" s="10" t="inlineStr">
        <is>
          <t>Y</t>
        </is>
      </c>
      <c r="H34" s="10" t="inlineStr">
        <is>
          <t>FK_TRANSPORT_CONFIGURATION_STATUS_ID</t>
        </is>
      </c>
    </row>
    <row r="35">
      <c r="A35" s="10" t="n">
        <v>34</v>
      </c>
      <c r="B35" s="10" t="inlineStr">
        <is>
          <t>TRANSPORT_CONFIGURATION_LINE</t>
        </is>
      </c>
      <c r="C35" s="10" t="inlineStr">
        <is>
          <t>TRANSPORT_CONFIGURATION_ID</t>
        </is>
      </c>
      <c r="D35" s="10" t="inlineStr">
        <is>
          <t>TRANSPORT_CONFIGURATION</t>
        </is>
      </c>
      <c r="E35" s="10" t="inlineStr">
        <is>
          <t>TRANSPORT_CONFIGURATION_ID</t>
        </is>
      </c>
      <c r="F35" s="10" t="inlineStr">
        <is>
          <t>NR_TRANSPORT_CONFIGURATION_ID</t>
        </is>
      </c>
      <c r="G35" s="10" t="inlineStr">
        <is>
          <t>Y</t>
        </is>
      </c>
      <c r="H35" s="10" t="inlineStr">
        <is>
          <t>FK_TRANSPORT_CONFIGURATION_LINE_TRANSPORT_CONFIGURATION_ID</t>
        </is>
      </c>
    </row>
    <row r="36">
      <c r="A36" s="10" t="n">
        <v>35</v>
      </c>
      <c r="B36" s="10" t="inlineStr">
        <is>
          <t>TRANSPORT_CONFIGURATION_LINE</t>
        </is>
      </c>
      <c r="C36" s="10" t="inlineStr">
        <is>
          <t>COMPONENT_ID</t>
        </is>
      </c>
      <c r="D36" s="10" t="inlineStr">
        <is>
          <t>COMPONENT</t>
        </is>
      </c>
      <c r="E36" s="10" t="inlineStr">
        <is>
          <t>COMPONENT_ID</t>
        </is>
      </c>
      <c r="F36" s="10" t="inlineStr">
        <is>
          <t>NR_COMPONENT_ID</t>
        </is>
      </c>
      <c r="G36" s="10" t="inlineStr">
        <is>
          <t>Y</t>
        </is>
      </c>
      <c r="H36" s="10" t="inlineStr">
        <is>
          <t>FK_TRANSPORT_CONFIGURATION_LINE_COMPONENT_ID</t>
        </is>
      </c>
    </row>
    <row r="37">
      <c r="A37" s="10" t="n">
        <v>36</v>
      </c>
      <c r="B37" s="10" t="inlineStr">
        <is>
          <t>TRANSPORT_CONFIGURATION_LINE</t>
        </is>
      </c>
      <c r="C37" s="10" t="inlineStr">
        <is>
          <t>LINE_ROLE_ID</t>
        </is>
      </c>
      <c r="D37" s="10" t="inlineStr">
        <is>
          <t>LKP_LINE_ROLE</t>
        </is>
      </c>
      <c r="E37" s="10" t="inlineStr">
        <is>
          <t>LINE_ROLE_ID</t>
        </is>
      </c>
      <c r="F37" s="10" t="inlineStr">
        <is>
          <t>NR_LINE_ROLE_ID</t>
        </is>
      </c>
      <c r="G37" s="10" t="inlineStr">
        <is>
          <t>Y</t>
        </is>
      </c>
      <c r="H37" s="10" t="inlineStr">
        <is>
          <t>FK_TRANSPORT_CONFIGURATION_LINE_LINE_ROLE_ID</t>
        </is>
      </c>
    </row>
    <row r="38">
      <c r="A38" s="10" t="n">
        <v>37</v>
      </c>
      <c r="B38" s="10" t="inlineStr">
        <is>
          <t>COMMERCIAL_SCENARIO</t>
        </is>
      </c>
      <c r="C38" s="10" t="inlineStr">
        <is>
          <t>SCENARIO_TYPE_ID</t>
        </is>
      </c>
      <c r="D38" s="10" t="inlineStr">
        <is>
          <t>LKP_SCENARIO_TYPE</t>
        </is>
      </c>
      <c r="E38" s="10" t="inlineStr">
        <is>
          <t>SCENARIO_TYPE_ID</t>
        </is>
      </c>
      <c r="F38" s="10" t="inlineStr">
        <is>
          <t>NR_SCENARIO_TYPE_ID</t>
        </is>
      </c>
      <c r="G38" s="10" t="inlineStr">
        <is>
          <t>Y</t>
        </is>
      </c>
      <c r="H38" s="10" t="inlineStr">
        <is>
          <t>FK_COMMERCIAL_SCENARIO_SCENARIO_TYPE_ID</t>
        </is>
      </c>
    </row>
    <row r="39">
      <c r="A39" s="10" t="n">
        <v>38</v>
      </c>
      <c r="B39" s="10" t="inlineStr">
        <is>
          <t>COMMERCIAL_SCENARIO</t>
        </is>
      </c>
      <c r="C39" s="10" t="inlineStr">
        <is>
          <t>PRODUCT_ID</t>
        </is>
      </c>
      <c r="D39" s="10" t="inlineStr">
        <is>
          <t>PRODUCT</t>
        </is>
      </c>
      <c r="E39" s="10" t="inlineStr">
        <is>
          <t>PRODUCT_ID</t>
        </is>
      </c>
      <c r="F39" s="10" t="inlineStr">
        <is>
          <t>NR_PRODUCT_ID</t>
        </is>
      </c>
      <c r="G39" s="10" t="inlineStr">
        <is>
          <t>Y</t>
        </is>
      </c>
      <c r="H39" s="10" t="inlineStr">
        <is>
          <t>FK_COMMERCIAL_SCENARIO_PRODUCT_ID</t>
        </is>
      </c>
    </row>
    <row r="40">
      <c r="A40" s="10" t="n">
        <v>39</v>
      </c>
      <c r="B40" s="10" t="inlineStr">
        <is>
          <t>COMMERCIAL_SCENARIO</t>
        </is>
      </c>
      <c r="C40" s="10" t="inlineStr">
        <is>
          <t>TRANSPORT_CONFIGURATION_ID</t>
        </is>
      </c>
      <c r="D40" s="10" t="inlineStr">
        <is>
          <t>TRANSPORT_CONFIGURATION</t>
        </is>
      </c>
      <c r="E40" s="10" t="inlineStr">
        <is>
          <t>TRANSPORT_CONFIGURATION_ID</t>
        </is>
      </c>
      <c r="F40" s="10" t="inlineStr">
        <is>
          <t>NR_TRANSPORT_CONFIGURATION_ID</t>
        </is>
      </c>
      <c r="G40" s="10" t="inlineStr">
        <is>
          <t>Y</t>
        </is>
      </c>
      <c r="H40" s="10" t="inlineStr">
        <is>
          <t>FK_COMMERCIAL_SCENARIO_TRANSPORT_CONFIGURATION_ID</t>
        </is>
      </c>
    </row>
    <row r="41">
      <c r="A41" s="10" t="n">
        <v>40</v>
      </c>
      <c r="B41" s="10" t="inlineStr">
        <is>
          <t>COMMERCIAL_SCENARIO</t>
        </is>
      </c>
      <c r="C41" s="10" t="inlineStr">
        <is>
          <t>CUSTOMER_ID</t>
        </is>
      </c>
      <c r="D41" s="10" t="inlineStr">
        <is>
          <t>CUSTOMER</t>
        </is>
      </c>
      <c r="E41" s="10" t="inlineStr">
        <is>
          <t>CUSTOMER_ID</t>
        </is>
      </c>
      <c r="F41" s="10" t="inlineStr">
        <is>
          <t>NR_CUSTOMER_ID</t>
        </is>
      </c>
      <c r="G41" s="10" t="inlineStr">
        <is>
          <t>N</t>
        </is>
      </c>
      <c r="H41" s="10" t="inlineStr">
        <is>
          <t>FK_COMMERCIAL_SCENARIO_CUSTOMER_ID</t>
        </is>
      </c>
    </row>
    <row r="42">
      <c r="A42" s="10" t="n">
        <v>41</v>
      </c>
      <c r="B42" s="10" t="inlineStr">
        <is>
          <t>COMMERCIAL_SCENARIO</t>
        </is>
      </c>
      <c r="C42" s="10" t="inlineStr">
        <is>
          <t>DESTINATION_COUNTRY_ID</t>
        </is>
      </c>
      <c r="D42" s="10" t="inlineStr">
        <is>
          <t>LKP_COUNTRY</t>
        </is>
      </c>
      <c r="E42" s="10" t="inlineStr">
        <is>
          <t>COUNTRY_ID</t>
        </is>
      </c>
      <c r="F42" s="10" t="inlineStr">
        <is>
          <t>NR_COUNTRY_ID</t>
        </is>
      </c>
      <c r="G42" s="10" t="inlineStr">
        <is>
          <t>Y</t>
        </is>
      </c>
      <c r="H42" s="10" t="inlineStr">
        <is>
          <t>FK_COMMERCIAL_SCENARIO_DESTINATION_COUNTRY_ID</t>
        </is>
      </c>
    </row>
    <row r="43">
      <c r="A43" s="10" t="n">
        <v>42</v>
      </c>
      <c r="B43" s="10" t="inlineStr">
        <is>
          <t>COMMERCIAL_SCENARIO</t>
        </is>
      </c>
      <c r="C43" s="10" t="inlineStr">
        <is>
          <t>INCOTERM_ID</t>
        </is>
      </c>
      <c r="D43" s="10" t="inlineStr">
        <is>
          <t>LKP_INCOTERM</t>
        </is>
      </c>
      <c r="E43" s="10" t="inlineStr">
        <is>
          <t>INCOTERM_ID</t>
        </is>
      </c>
      <c r="F43" s="10" t="inlineStr">
        <is>
          <t>NR_INCOTERM_ID</t>
        </is>
      </c>
      <c r="G43" s="10" t="inlineStr">
        <is>
          <t>N</t>
        </is>
      </c>
      <c r="H43" s="10" t="inlineStr">
        <is>
          <t>FK_COMMERCIAL_SCENARIO_INCOTERM_ID</t>
        </is>
      </c>
    </row>
    <row r="44">
      <c r="A44" s="10" t="n">
        <v>43</v>
      </c>
      <c r="B44" s="10" t="inlineStr">
        <is>
          <t>COMMERCIAL_SCENARIO</t>
        </is>
      </c>
      <c r="C44" s="10" t="inlineStr">
        <is>
          <t>TRANSPORT_MODE_ID</t>
        </is>
      </c>
      <c r="D44" s="10" t="inlineStr">
        <is>
          <t>LKP_TRANSPORT_MODE</t>
        </is>
      </c>
      <c r="E44" s="10" t="inlineStr">
        <is>
          <t>TRANSPORT_MODE_ID</t>
        </is>
      </c>
      <c r="F44" s="10" t="inlineStr">
        <is>
          <t>NR_TRANSPORT_MODE_ID</t>
        </is>
      </c>
      <c r="G44" s="10" t="inlineStr">
        <is>
          <t>N</t>
        </is>
      </c>
      <c r="H44" s="10" t="inlineStr">
        <is>
          <t>FK_COMMERCIAL_SCENARIO_TRANSPORT_MODE_ID</t>
        </is>
      </c>
    </row>
    <row r="45">
      <c r="A45" s="10" t="n">
        <v>44</v>
      </c>
      <c r="B45" s="10" t="inlineStr">
        <is>
          <t>COMMERCIAL_SCENARIO</t>
        </is>
      </c>
      <c r="C45" s="10" t="inlineStr">
        <is>
          <t>STATUS_ID</t>
        </is>
      </c>
      <c r="D45" s="10" t="inlineStr">
        <is>
          <t>LKP_STATUS</t>
        </is>
      </c>
      <c r="E45" s="10" t="inlineStr">
        <is>
          <t>STATUS_ID</t>
        </is>
      </c>
      <c r="F45" s="10" t="inlineStr">
        <is>
          <t>NR_STATUS_ID</t>
        </is>
      </c>
      <c r="G45" s="10" t="inlineStr">
        <is>
          <t>Y</t>
        </is>
      </c>
      <c r="H45" s="10" t="inlineStr">
        <is>
          <t>FK_COMMERCIAL_SCENARIO_STATUS_ID</t>
        </is>
      </c>
    </row>
    <row r="46">
      <c r="A46" s="10" t="n">
        <v>45</v>
      </c>
      <c r="B46" s="10" t="inlineStr">
        <is>
          <t>SHIPMENT</t>
        </is>
      </c>
      <c r="C46" s="10" t="inlineStr">
        <is>
          <t>COMMERCIAL_SCENARIO_ID</t>
        </is>
      </c>
      <c r="D46" s="10" t="inlineStr">
        <is>
          <t>COMMERCIAL_SCENARIO</t>
        </is>
      </c>
      <c r="E46" s="10" t="inlineStr">
        <is>
          <t>COMMERCIAL_SCENARIO_ID</t>
        </is>
      </c>
      <c r="F46" s="10" t="inlineStr">
        <is>
          <t>NR_COMMERCIAL_SCENARIO_ID</t>
        </is>
      </c>
      <c r="G46" s="10" t="inlineStr">
        <is>
          <t>Y</t>
        </is>
      </c>
      <c r="H46" s="10" t="inlineStr">
        <is>
          <t>FK_SHIPMENT_COMMERCIAL_SCENARIO_ID</t>
        </is>
      </c>
    </row>
    <row r="47">
      <c r="A47" s="10" t="n">
        <v>46</v>
      </c>
      <c r="B47" s="10" t="inlineStr">
        <is>
          <t>SHIPMENT</t>
        </is>
      </c>
      <c r="C47" s="10" t="inlineStr">
        <is>
          <t>PLANT_ID</t>
        </is>
      </c>
      <c r="D47" s="10" t="inlineStr">
        <is>
          <t>PLANT</t>
        </is>
      </c>
      <c r="E47" s="10" t="inlineStr">
        <is>
          <t>PLANT_ID</t>
        </is>
      </c>
      <c r="F47" s="10" t="inlineStr">
        <is>
          <t>NR_PLANT_ID</t>
        </is>
      </c>
      <c r="G47" s="10" t="inlineStr">
        <is>
          <t>Y</t>
        </is>
      </c>
      <c r="H47" s="10" t="inlineStr">
        <is>
          <t>FK_SHIPMENT_PLANT_ID</t>
        </is>
      </c>
    </row>
    <row r="48">
      <c r="A48" s="10" t="n">
        <v>47</v>
      </c>
      <c r="B48" s="10" t="inlineStr">
        <is>
          <t>SHIPMENT</t>
        </is>
      </c>
      <c r="C48" s="10" t="inlineStr">
        <is>
          <t>PACKAGING_CONFIGURATION_ID</t>
        </is>
      </c>
      <c r="D48" s="10" t="inlineStr">
        <is>
          <t>PACKAGING_CONFIGURATION</t>
        </is>
      </c>
      <c r="E48" s="10" t="inlineStr">
        <is>
          <t>PACKAGING_CONFIGURATION_ID</t>
        </is>
      </c>
      <c r="F48" s="10" t="inlineStr">
        <is>
          <t>NR_PACKAGING_CONFIGURATION_ID</t>
        </is>
      </c>
      <c r="G48" s="10" t="inlineStr">
        <is>
          <t>Y</t>
        </is>
      </c>
      <c r="H48" s="10" t="inlineStr">
        <is>
          <t>FK_SHIPMENT_PACKAGING_CONFIGURATION_ID</t>
        </is>
      </c>
    </row>
    <row r="49">
      <c r="A49" s="10" t="n">
        <v>48</v>
      </c>
      <c r="B49" s="10" t="inlineStr">
        <is>
          <t>SHIPMENT</t>
        </is>
      </c>
      <c r="C49" s="10" t="inlineStr">
        <is>
          <t>TRANSPORT_CONFIGURATION_ID</t>
        </is>
      </c>
      <c r="D49" s="10" t="inlineStr">
        <is>
          <t>TRANSPORT_CONFIGURATION</t>
        </is>
      </c>
      <c r="E49" s="10" t="inlineStr">
        <is>
          <t>TRANSPORT_CONFIGURATION_ID</t>
        </is>
      </c>
      <c r="F49" s="10" t="inlineStr">
        <is>
          <t>NR_TRANSPORT_CONFIGURATION_ID</t>
        </is>
      </c>
      <c r="G49" s="10" t="inlineStr">
        <is>
          <t>Y</t>
        </is>
      </c>
      <c r="H49" s="10" t="inlineStr">
        <is>
          <t>FK_SHIPMENT_TRANSPORT_CONFIGURATION_ID</t>
        </is>
      </c>
    </row>
    <row r="50">
      <c r="A50" s="10" t="n">
        <v>49</v>
      </c>
      <c r="B50" s="10" t="inlineStr">
        <is>
          <t>SHIPMENT</t>
        </is>
      </c>
      <c r="C50" s="10" t="inlineStr">
        <is>
          <t>DESTINATION_COUNTRY_ID</t>
        </is>
      </c>
      <c r="D50" s="10" t="inlineStr">
        <is>
          <t>LKP_COUNTRY</t>
        </is>
      </c>
      <c r="E50" s="10" t="inlineStr">
        <is>
          <t>COUNTRY_ID</t>
        </is>
      </c>
      <c r="F50" s="10" t="inlineStr">
        <is>
          <t>NR_COUNTRY_ID</t>
        </is>
      </c>
      <c r="G50" s="10" t="inlineStr">
        <is>
          <t>N</t>
        </is>
      </c>
      <c r="H50" s="10" t="inlineStr">
        <is>
          <t>FK_SHIPMENT_DESTINATION_COUNTRY_ID</t>
        </is>
      </c>
    </row>
    <row r="51">
      <c r="A51" s="10" t="n">
        <v>50</v>
      </c>
      <c r="B51" s="10" t="inlineStr">
        <is>
          <t>SHIPMENT</t>
        </is>
      </c>
      <c r="C51" s="10" t="inlineStr">
        <is>
          <t>TRANSPORT_MODE_ID</t>
        </is>
      </c>
      <c r="D51" s="10" t="inlineStr">
        <is>
          <t>LKP_TRANSPORT_MODE</t>
        </is>
      </c>
      <c r="E51" s="10" t="inlineStr">
        <is>
          <t>TRANSPORT_MODE_ID</t>
        </is>
      </c>
      <c r="F51" s="10" t="inlineStr">
        <is>
          <t>NR_TRANSPORT_MODE_ID</t>
        </is>
      </c>
      <c r="G51" s="10" t="inlineStr">
        <is>
          <t>N</t>
        </is>
      </c>
      <c r="H51" s="10" t="inlineStr">
        <is>
          <t>FK_SHIPMENT_TRANSPORT_MODE_ID</t>
        </is>
      </c>
    </row>
    <row r="52">
      <c r="A52" s="10" t="n">
        <v>51</v>
      </c>
      <c r="B52" s="10" t="inlineStr">
        <is>
          <t>SHIPMENT</t>
        </is>
      </c>
      <c r="C52" s="10" t="inlineStr">
        <is>
          <t>STATUS_ID</t>
        </is>
      </c>
      <c r="D52" s="10" t="inlineStr">
        <is>
          <t>LKP_STATUS</t>
        </is>
      </c>
      <c r="E52" s="10" t="inlineStr">
        <is>
          <t>STATUS_ID</t>
        </is>
      </c>
      <c r="F52" s="10" t="inlineStr">
        <is>
          <t>NR_STATUS_ID</t>
        </is>
      </c>
      <c r="G52" s="10" t="inlineStr">
        <is>
          <t>Y</t>
        </is>
      </c>
      <c r="H52" s="10" t="inlineStr">
        <is>
          <t>FK_SHIPMENT_STATUS_ID</t>
        </is>
      </c>
    </row>
    <row r="53">
      <c r="A53" s="10" t="n">
        <v>52</v>
      </c>
      <c r="B53" s="10" t="inlineStr">
        <is>
          <t>SHIPMENT_LINE</t>
        </is>
      </c>
      <c r="C53" s="10" t="inlineStr">
        <is>
          <t>SHIPMENT_ID</t>
        </is>
      </c>
      <c r="D53" s="10" t="inlineStr">
        <is>
          <t>SHIPMENT</t>
        </is>
      </c>
      <c r="E53" s="10" t="inlineStr">
        <is>
          <t>SHIPMENT_ID</t>
        </is>
      </c>
      <c r="F53" s="10" t="inlineStr">
        <is>
          <t>NR_SHIPMENT_ID</t>
        </is>
      </c>
      <c r="G53" s="10" t="inlineStr">
        <is>
          <t>Y</t>
        </is>
      </c>
      <c r="H53" s="10" t="inlineStr">
        <is>
          <t>FK_SHIPMENT_LINE_SHIPMENT_ID</t>
        </is>
      </c>
    </row>
    <row r="54">
      <c r="A54" s="10" t="n">
        <v>53</v>
      </c>
      <c r="B54" s="10" t="inlineStr">
        <is>
          <t>SHIPMENT_LINE</t>
        </is>
      </c>
      <c r="C54" s="10" t="inlineStr">
        <is>
          <t>COMPONENT_ID</t>
        </is>
      </c>
      <c r="D54" s="10" t="inlineStr">
        <is>
          <t>COMPONENT</t>
        </is>
      </c>
      <c r="E54" s="10" t="inlineStr">
        <is>
          <t>COMPONENT_ID</t>
        </is>
      </c>
      <c r="F54" s="10" t="inlineStr">
        <is>
          <t>NR_COMPONENT_ID</t>
        </is>
      </c>
      <c r="G54" s="10" t="inlineStr">
        <is>
          <t>Y</t>
        </is>
      </c>
      <c r="H54" s="10" t="inlineStr">
        <is>
          <t>FK_SHIPMENT_LINE_COMPONENT_ID</t>
        </is>
      </c>
    </row>
    <row r="55">
      <c r="A55" s="10" t="n">
        <v>54</v>
      </c>
      <c r="B55" s="10" t="inlineStr">
        <is>
          <t>SHIPMENT_LINE</t>
        </is>
      </c>
      <c r="C55" s="10" t="inlineStr">
        <is>
          <t>MATERIAL_ID</t>
        </is>
      </c>
      <c r="D55" s="10" t="inlineStr">
        <is>
          <t>LKP_MATERIAL</t>
        </is>
      </c>
      <c r="E55" s="10" t="inlineStr">
        <is>
          <t>MATERIAL_ID</t>
        </is>
      </c>
      <c r="F55" s="10" t="inlineStr">
        <is>
          <t>NR_MATERIAL_ID</t>
        </is>
      </c>
      <c r="G55" s="10" t="inlineStr">
        <is>
          <t>Y</t>
        </is>
      </c>
      <c r="H55" s="10" t="inlineStr">
        <is>
          <t>FK_SHIPMENT_LINE_MATERIAL_ID</t>
        </is>
      </c>
    </row>
    <row r="56">
      <c r="A56" s="10" t="n">
        <v>55</v>
      </c>
      <c r="B56" s="10" t="inlineStr">
        <is>
          <t>SHIPMENT_LINE</t>
        </is>
      </c>
      <c r="C56" s="10" t="inlineStr">
        <is>
          <t>PACKAGING_LEVEL_ID</t>
        </is>
      </c>
      <c r="D56" s="10" t="inlineStr">
        <is>
          <t>LKP_PACKAGING_LEVEL</t>
        </is>
      </c>
      <c r="E56" s="10" t="inlineStr">
        <is>
          <t>PACKAGING_LEVEL_ID</t>
        </is>
      </c>
      <c r="F56" s="10" t="inlineStr">
        <is>
          <t>NR_PACKAGING_LEVEL_ID</t>
        </is>
      </c>
      <c r="G56" s="10" t="inlineStr">
        <is>
          <t>Y</t>
        </is>
      </c>
      <c r="H56" s="10" t="inlineStr">
        <is>
          <t>FK_SHIPMENT_LINE_PACKAGING_LEVEL_ID</t>
        </is>
      </c>
    </row>
    <row r="57">
      <c r="A57" s="10" t="n">
        <v>56</v>
      </c>
      <c r="B57" s="10" t="inlineStr">
        <is>
          <t>SHIPMENT_LINE</t>
        </is>
      </c>
      <c r="C57" s="10" t="inlineStr">
        <is>
          <t>PACKAGING_FUNCTION_ID</t>
        </is>
      </c>
      <c r="D57" s="10" t="inlineStr">
        <is>
          <t>LKP_PACKAGING_FUNCTION</t>
        </is>
      </c>
      <c r="E57" s="10" t="inlineStr">
        <is>
          <t>PACKAGING_FUNCTION_ID</t>
        </is>
      </c>
      <c r="F57" s="10" t="inlineStr">
        <is>
          <t>NR_PACKAGING_FUNCTION_ID</t>
        </is>
      </c>
      <c r="G57" s="10" t="inlineStr">
        <is>
          <t>Y</t>
        </is>
      </c>
      <c r="H57" s="10" t="inlineStr">
        <is>
          <t>FK_SHIPMENT_LINE_PACKAGING_FUNCTION_ID</t>
        </is>
      </c>
    </row>
    <row r="58">
      <c r="A58" s="10" t="n">
        <v>57</v>
      </c>
      <c r="B58" s="10" t="inlineStr">
        <is>
          <t>SHIPMENT_LINE</t>
        </is>
      </c>
      <c r="C58" s="10" t="inlineStr">
        <is>
          <t>OWNERSHIP_TYPE_ID</t>
        </is>
      </c>
      <c r="D58" s="10" t="inlineStr">
        <is>
          <t>LKP_OWNERSHIP_TYPE</t>
        </is>
      </c>
      <c r="E58" s="10" t="inlineStr">
        <is>
          <t>OWNERSHIP_TYPE_ID</t>
        </is>
      </c>
      <c r="F58" s="10" t="inlineStr">
        <is>
          <t>NR_OWNERSHIP_TYPE_ID</t>
        </is>
      </c>
      <c r="G58" s="10" t="inlineStr">
        <is>
          <t>Y</t>
        </is>
      </c>
      <c r="H58" s="10" t="inlineStr">
        <is>
          <t>FK_SHIPMENT_LINE_OWNERSHIP_TYPE_ID</t>
        </is>
      </c>
    </row>
    <row r="59">
      <c r="A59" s="10" t="n">
        <v>58</v>
      </c>
      <c r="B59" s="10" t="inlineStr">
        <is>
          <t>TECHNICAL_FILE</t>
        </is>
      </c>
      <c r="C59" s="10" t="inlineStr">
        <is>
          <t>COMPONENT_ID</t>
        </is>
      </c>
      <c r="D59" s="10" t="inlineStr">
        <is>
          <t>COMPONENT</t>
        </is>
      </c>
      <c r="E59" s="10" t="inlineStr">
        <is>
          <t>COMPONENT_ID</t>
        </is>
      </c>
      <c r="F59" s="10" t="inlineStr">
        <is>
          <t>NR_COMPONENT_ID</t>
        </is>
      </c>
      <c r="G59" s="10" t="inlineStr">
        <is>
          <t>N</t>
        </is>
      </c>
      <c r="H59" s="10" t="inlineStr">
        <is>
          <t>FK_TECHNICAL_FILE_COMPONENT_ID</t>
        </is>
      </c>
    </row>
    <row r="60">
      <c r="A60" s="10" t="n">
        <v>59</v>
      </c>
      <c r="B60" s="10" t="inlineStr">
        <is>
          <t>TECHNICAL_FILE</t>
        </is>
      </c>
      <c r="C60" s="10" t="inlineStr">
        <is>
          <t>PACKAGING_CONFIGURATION_ID</t>
        </is>
      </c>
      <c r="D60" s="10" t="inlineStr">
        <is>
          <t>PACKAGING_CONFIGURATION</t>
        </is>
      </c>
      <c r="E60" s="10" t="inlineStr">
        <is>
          <t>PACKAGING_CONFIGURATION_ID</t>
        </is>
      </c>
      <c r="F60" s="10" t="inlineStr">
        <is>
          <t>NR_PACKAGING_CONFIGURATION_ID</t>
        </is>
      </c>
      <c r="G60" s="10" t="inlineStr">
        <is>
          <t>N</t>
        </is>
      </c>
      <c r="H60" s="10" t="inlineStr">
        <is>
          <t>FK_TECHNICAL_FILE_PACKAGING_CONFIGURATION_ID</t>
        </is>
      </c>
    </row>
    <row r="61">
      <c r="A61" s="10" t="n">
        <v>60</v>
      </c>
      <c r="B61" s="10" t="inlineStr">
        <is>
          <t>TECHNICAL_FILE</t>
        </is>
      </c>
      <c r="C61" s="10" t="inlineStr">
        <is>
          <t>TRANSPORT_CONFIGURATION_ID</t>
        </is>
      </c>
      <c r="D61" s="10" t="inlineStr">
        <is>
          <t>TRANSPORT_CONFIGURATION</t>
        </is>
      </c>
      <c r="E61" s="10" t="inlineStr">
        <is>
          <t>TRANSPORT_CONFIGURATION_ID</t>
        </is>
      </c>
      <c r="F61" s="10" t="inlineStr">
        <is>
          <t>NR_TRANSPORT_CONFIGURATION_ID</t>
        </is>
      </c>
      <c r="G61" s="10" t="inlineStr">
        <is>
          <t>N</t>
        </is>
      </c>
      <c r="H61" s="10" t="inlineStr">
        <is>
          <t>FK_TECHNICAL_FILE_TRANSPORT_CONFIGURATION_ID</t>
        </is>
      </c>
    </row>
    <row r="62">
      <c r="A62" s="10" t="n">
        <v>61</v>
      </c>
      <c r="B62" s="10" t="inlineStr">
        <is>
          <t>TECHNICAL_FILE</t>
        </is>
      </c>
      <c r="C62" s="10" t="inlineStr">
        <is>
          <t>OWNER_PERSON_ID</t>
        </is>
      </c>
      <c r="D62" s="10" t="inlineStr">
        <is>
          <t>PERSON</t>
        </is>
      </c>
      <c r="E62" s="10" t="inlineStr">
        <is>
          <t>PERSON_ID</t>
        </is>
      </c>
      <c r="F62" s="10" t="inlineStr">
        <is>
          <t>NR_PERSON_ID</t>
        </is>
      </c>
      <c r="G62" s="10" t="inlineStr">
        <is>
          <t>N</t>
        </is>
      </c>
      <c r="H62" s="10" t="inlineStr">
        <is>
          <t>FK_TECHNICAL_FILE_OWNER_PERSON_ID</t>
        </is>
      </c>
    </row>
    <row r="63">
      <c r="A63" s="10" t="n">
        <v>62</v>
      </c>
      <c r="B63" s="10" t="inlineStr">
        <is>
          <t>TECHNICAL_FILE</t>
        </is>
      </c>
      <c r="C63" s="10" t="inlineStr">
        <is>
          <t>STATUS_ID</t>
        </is>
      </c>
      <c r="D63" s="10" t="inlineStr">
        <is>
          <t>LKP_STATUS</t>
        </is>
      </c>
      <c r="E63" s="10" t="inlineStr">
        <is>
          <t>STATUS_ID</t>
        </is>
      </c>
      <c r="F63" s="10" t="inlineStr">
        <is>
          <t>NR_STATUS_ID</t>
        </is>
      </c>
      <c r="G63" s="10" t="inlineStr">
        <is>
          <t>Y</t>
        </is>
      </c>
      <c r="H63" s="10" t="inlineStr">
        <is>
          <t>FK_TECHNICAL_FILE_STATUS_ID</t>
        </is>
      </c>
    </row>
    <row r="64">
      <c r="A64" s="10" t="n">
        <v>63</v>
      </c>
      <c r="B64" s="10" t="inlineStr">
        <is>
          <t>DECLARATION_OF_CONFORMITY</t>
        </is>
      </c>
      <c r="C64" s="10" t="inlineStr">
        <is>
          <t>LEGAL_ENTITY_ID</t>
        </is>
      </c>
      <c r="D64" s="10" t="inlineStr">
        <is>
          <t>LEGAL_ENTITY</t>
        </is>
      </c>
      <c r="E64" s="10" t="inlineStr">
        <is>
          <t>LEGAL_ENTITY_ID</t>
        </is>
      </c>
      <c r="F64" s="10" t="inlineStr">
        <is>
          <t>NR_LEGAL_ENTITY_ID</t>
        </is>
      </c>
      <c r="G64" s="10" t="inlineStr">
        <is>
          <t>Y</t>
        </is>
      </c>
      <c r="H64" s="10" t="inlineStr">
        <is>
          <t>FK_DECLARATION_OF_CONFORMITY_LEGAL_ENTITY_ID</t>
        </is>
      </c>
    </row>
    <row r="65">
      <c r="A65" s="10" t="n">
        <v>64</v>
      </c>
      <c r="B65" s="10" t="inlineStr">
        <is>
          <t>DECLARATION_OF_CONFORMITY</t>
        </is>
      </c>
      <c r="C65" s="10" t="inlineStr">
        <is>
          <t>PRODUCT_ID</t>
        </is>
      </c>
      <c r="D65" s="10" t="inlineStr">
        <is>
          <t>PRODUCT</t>
        </is>
      </c>
      <c r="E65" s="10" t="inlineStr">
        <is>
          <t>PRODUCT_ID</t>
        </is>
      </c>
      <c r="F65" s="10" t="inlineStr">
        <is>
          <t>NR_PRODUCT_ID</t>
        </is>
      </c>
      <c r="G65" s="10" t="inlineStr">
        <is>
          <t>N</t>
        </is>
      </c>
      <c r="H65" s="10" t="inlineStr">
        <is>
          <t>FK_DECLARATION_OF_CONFORMITY_PRODUCT_ID</t>
        </is>
      </c>
    </row>
    <row r="66">
      <c r="A66" s="10" t="n">
        <v>65</v>
      </c>
      <c r="B66" s="10" t="inlineStr">
        <is>
          <t>DECLARATION_OF_CONFORMITY</t>
        </is>
      </c>
      <c r="C66" s="10" t="inlineStr">
        <is>
          <t>PACKAGING_CONFIGURATION_ID</t>
        </is>
      </c>
      <c r="D66" s="10" t="inlineStr">
        <is>
          <t>PACKAGING_CONFIGURATION</t>
        </is>
      </c>
      <c r="E66" s="10" t="inlineStr">
        <is>
          <t>PACKAGING_CONFIGURATION_ID</t>
        </is>
      </c>
      <c r="F66" s="10" t="inlineStr">
        <is>
          <t>NR_PACKAGING_CONFIGURATION_ID</t>
        </is>
      </c>
      <c r="G66" s="10" t="inlineStr">
        <is>
          <t>N</t>
        </is>
      </c>
      <c r="H66" s="10" t="inlineStr">
        <is>
          <t>FK_DECLARATION_OF_CONFORMITY_PACKAGING_CONFIGURATION_ID</t>
        </is>
      </c>
    </row>
    <row r="67">
      <c r="A67" s="10" t="n">
        <v>66</v>
      </c>
      <c r="B67" s="10" t="inlineStr">
        <is>
          <t>DECLARATION_OF_CONFORMITY</t>
        </is>
      </c>
      <c r="C67" s="10" t="inlineStr">
        <is>
          <t>TRANSPORT_CONFIGURATION_ID</t>
        </is>
      </c>
      <c r="D67" s="10" t="inlineStr">
        <is>
          <t>TRANSPORT_CONFIGURATION</t>
        </is>
      </c>
      <c r="E67" s="10" t="inlineStr">
        <is>
          <t>TRANSPORT_CONFIGURATION_ID</t>
        </is>
      </c>
      <c r="F67" s="10" t="inlineStr">
        <is>
          <t>NR_TRANSPORT_CONFIGURATION_ID</t>
        </is>
      </c>
      <c r="G67" s="10" t="inlineStr">
        <is>
          <t>N</t>
        </is>
      </c>
      <c r="H67" s="10" t="inlineStr">
        <is>
          <t>FK_DECLARATION_OF_CONFORMITY_TRANSPORT_CONFIGURATION_ID</t>
        </is>
      </c>
    </row>
    <row r="68">
      <c r="A68" s="10" t="n">
        <v>67</v>
      </c>
      <c r="B68" s="10" t="inlineStr">
        <is>
          <t>DECLARATION_OF_CONFORMITY</t>
        </is>
      </c>
      <c r="C68" s="10" t="inlineStr">
        <is>
          <t>TECHNICAL_FILE_ID</t>
        </is>
      </c>
      <c r="D68" s="10" t="inlineStr">
        <is>
          <t>TECHNICAL_FILE</t>
        </is>
      </c>
      <c r="E68" s="10" t="inlineStr">
        <is>
          <t>TECHNICAL_FILE_ID</t>
        </is>
      </c>
      <c r="F68" s="10" t="inlineStr">
        <is>
          <t>NR_TECHNICAL_FILE_ID</t>
        </is>
      </c>
      <c r="G68" s="10" t="inlineStr">
        <is>
          <t>Y</t>
        </is>
      </c>
      <c r="H68" s="10" t="inlineStr">
        <is>
          <t>FK_DECLARATION_OF_CONFORMITY_TECHNICAL_FILE_ID</t>
        </is>
      </c>
    </row>
    <row r="69">
      <c r="A69" s="10" t="n">
        <v>68</v>
      </c>
      <c r="B69" s="10" t="inlineStr">
        <is>
          <t>DECLARATION_OF_CONFORMITY</t>
        </is>
      </c>
      <c r="C69" s="10" t="inlineStr">
        <is>
          <t>RESPONSIBLE_PERSON_ID</t>
        </is>
      </c>
      <c r="D69" s="10" t="inlineStr">
        <is>
          <t>PERSON</t>
        </is>
      </c>
      <c r="E69" s="10" t="inlineStr">
        <is>
          <t>PERSON_ID</t>
        </is>
      </c>
      <c r="F69" s="10" t="inlineStr">
        <is>
          <t>NR_PERSON_ID</t>
        </is>
      </c>
      <c r="G69" s="10" t="inlineStr">
        <is>
          <t>Y</t>
        </is>
      </c>
      <c r="H69" s="10" t="inlineStr">
        <is>
          <t>FK_DECLARATION_OF_CONFORMITY_RESPONSIBLE_PERSON_ID</t>
        </is>
      </c>
    </row>
    <row r="70">
      <c r="A70" s="10" t="n">
        <v>69</v>
      </c>
      <c r="B70" s="10" t="inlineStr">
        <is>
          <t>DECLARATION_OF_CONFORMITY</t>
        </is>
      </c>
      <c r="C70" s="10" t="inlineStr">
        <is>
          <t>STATUS_ID</t>
        </is>
      </c>
      <c r="D70" s="10" t="inlineStr">
        <is>
          <t>LKP_STATUS</t>
        </is>
      </c>
      <c r="E70" s="10" t="inlineStr">
        <is>
          <t>STATUS_ID</t>
        </is>
      </c>
      <c r="F70" s="10" t="inlineStr">
        <is>
          <t>NR_STATUS_ID</t>
        </is>
      </c>
      <c r="G70" s="10" t="inlineStr">
        <is>
          <t>Y</t>
        </is>
      </c>
      <c r="H70" s="10" t="inlineStr">
        <is>
          <t>FK_DECLARATION_OF_CONFORMITY_STATUS_ID</t>
        </is>
      </c>
    </row>
    <row r="71">
      <c r="A71" s="10" t="n">
        <v>70</v>
      </c>
      <c r="B71" s="10" t="inlineStr">
        <is>
          <t>STATEMENT</t>
        </is>
      </c>
      <c r="C71" s="10" t="inlineStr">
        <is>
          <t>STATEMENT_TYPE_ID</t>
        </is>
      </c>
      <c r="D71" s="10" t="inlineStr">
        <is>
          <t>LKP_STATEMENT_TYPE</t>
        </is>
      </c>
      <c r="E71" s="10" t="inlineStr">
        <is>
          <t>STATEMENT_TYPE_ID</t>
        </is>
      </c>
      <c r="F71" s="10" t="inlineStr">
        <is>
          <t>NR_STATEMENT_TYPE_ID</t>
        </is>
      </c>
      <c r="G71" s="10" t="inlineStr">
        <is>
          <t>Y</t>
        </is>
      </c>
      <c r="H71" s="10" t="inlineStr">
        <is>
          <t>FK_STATEMENT_STATEMENT_TYPE_ID</t>
        </is>
      </c>
    </row>
    <row r="72">
      <c r="A72" s="10" t="n">
        <v>71</v>
      </c>
      <c r="B72" s="10" t="inlineStr">
        <is>
          <t>STATEMENT</t>
        </is>
      </c>
      <c r="C72" s="10" t="inlineStr">
        <is>
          <t>LEGAL_ENTITY_ID</t>
        </is>
      </c>
      <c r="D72" s="10" t="inlineStr">
        <is>
          <t>LEGAL_ENTITY</t>
        </is>
      </c>
      <c r="E72" s="10" t="inlineStr">
        <is>
          <t>LEGAL_ENTITY_ID</t>
        </is>
      </c>
      <c r="F72" s="10" t="inlineStr">
        <is>
          <t>NR_LEGAL_ENTITY_ID</t>
        </is>
      </c>
      <c r="G72" s="10" t="inlineStr">
        <is>
          <t>Y</t>
        </is>
      </c>
      <c r="H72" s="10" t="inlineStr">
        <is>
          <t>FK_STATEMENT_LEGAL_ENTITY_ID</t>
        </is>
      </c>
    </row>
    <row r="73">
      <c r="A73" s="10" t="n">
        <v>72</v>
      </c>
      <c r="B73" s="10" t="inlineStr">
        <is>
          <t>STATEMENT</t>
        </is>
      </c>
      <c r="C73" s="10" t="inlineStr">
        <is>
          <t>COUNTRY_ID</t>
        </is>
      </c>
      <c r="D73" s="10" t="inlineStr">
        <is>
          <t>LKP_COUNTRY</t>
        </is>
      </c>
      <c r="E73" s="10" t="inlineStr">
        <is>
          <t>COUNTRY_ID</t>
        </is>
      </c>
      <c r="F73" s="10" t="inlineStr">
        <is>
          <t>NR_COUNTRY_ID</t>
        </is>
      </c>
      <c r="G73" s="10" t="inlineStr">
        <is>
          <t>Y</t>
        </is>
      </c>
      <c r="H73" s="10" t="inlineStr">
        <is>
          <t>FK_STATEMENT_COUNTRY_ID</t>
        </is>
      </c>
    </row>
    <row r="74">
      <c r="A74" s="10" t="n">
        <v>73</v>
      </c>
      <c r="B74" s="10" t="inlineStr">
        <is>
          <t>STATEMENT</t>
        </is>
      </c>
      <c r="C74" s="10" t="inlineStr">
        <is>
          <t>STATUS_ID</t>
        </is>
      </c>
      <c r="D74" s="10" t="inlineStr">
        <is>
          <t>LKP_STATUS</t>
        </is>
      </c>
      <c r="E74" s="10" t="inlineStr">
        <is>
          <t>STATUS_ID</t>
        </is>
      </c>
      <c r="F74" s="10" t="inlineStr">
        <is>
          <t>NR_STATUS_ID</t>
        </is>
      </c>
      <c r="G74" s="10" t="inlineStr">
        <is>
          <t>Y</t>
        </is>
      </c>
      <c r="H74" s="10" t="inlineStr">
        <is>
          <t>FK_STATEMENT_STATUS_ID</t>
        </is>
      </c>
    </row>
    <row r="75">
      <c r="A75" s="10" t="n">
        <v>74</v>
      </c>
      <c r="B75" s="10" t="inlineStr">
        <is>
          <t>STATEMENT</t>
        </is>
      </c>
      <c r="C75" s="10" t="inlineStr">
        <is>
          <t>APPROVED_BY_PERSON_ID</t>
        </is>
      </c>
      <c r="D75" s="10" t="inlineStr">
        <is>
          <t>PERSON</t>
        </is>
      </c>
      <c r="E75" s="10" t="inlineStr">
        <is>
          <t>PERSON_ID</t>
        </is>
      </c>
      <c r="F75" s="10" t="inlineStr">
        <is>
          <t>NR_PERSON_ID</t>
        </is>
      </c>
      <c r="G75" s="10" t="inlineStr">
        <is>
          <t>N</t>
        </is>
      </c>
      <c r="H75" s="10" t="inlineStr">
        <is>
          <t>FK_STATEMENT_APPROVED_BY_PERSON_ID</t>
        </is>
      </c>
    </row>
    <row r="76">
      <c r="A76" s="10" t="n">
        <v>75</v>
      </c>
      <c r="B76" s="10" t="inlineStr">
        <is>
          <t>STATEMENT_SHIPMENT</t>
        </is>
      </c>
      <c r="C76" s="10" t="inlineStr">
        <is>
          <t>STATEMENT_ID</t>
        </is>
      </c>
      <c r="D76" s="10" t="inlineStr">
        <is>
          <t>STATEMENT</t>
        </is>
      </c>
      <c r="E76" s="10" t="inlineStr">
        <is>
          <t>STATEMENT_ID</t>
        </is>
      </c>
      <c r="F76" s="10" t="inlineStr">
        <is>
          <t>NR_STATEMENT_ID</t>
        </is>
      </c>
      <c r="G76" s="10" t="inlineStr">
        <is>
          <t>Y</t>
        </is>
      </c>
      <c r="H76" s="10" t="inlineStr">
        <is>
          <t>FK_STATEMENT_SHIPMENT_STATEMENT_ID</t>
        </is>
      </c>
    </row>
    <row r="77">
      <c r="A77" s="10" t="n">
        <v>76</v>
      </c>
      <c r="B77" s="10" t="inlineStr">
        <is>
          <t>STATEMENT_SHIPMENT</t>
        </is>
      </c>
      <c r="C77" s="10" t="inlineStr">
        <is>
          <t>SHIPMENT_ID</t>
        </is>
      </c>
      <c r="D77" s="10" t="inlineStr">
        <is>
          <t>SHIPMENT</t>
        </is>
      </c>
      <c r="E77" s="10" t="inlineStr">
        <is>
          <t>SHIPMENT_ID</t>
        </is>
      </c>
      <c r="F77" s="10" t="inlineStr">
        <is>
          <t>NR_SHIPMENT_ID</t>
        </is>
      </c>
      <c r="G77" s="10" t="inlineStr">
        <is>
          <t>Y</t>
        </is>
      </c>
      <c r="H77" s="10" t="inlineStr">
        <is>
          <t>FK_STATEMENT_SHIPMENT_SHIPMENT_ID</t>
        </is>
      </c>
    </row>
    <row r="78">
      <c r="A78" s="10" t="n">
        <v>77</v>
      </c>
      <c r="B78" s="10" t="inlineStr">
        <is>
          <t>STATEMENT_LINE</t>
        </is>
      </c>
      <c r="C78" s="10" t="inlineStr">
        <is>
          <t>STATEMENT_ID</t>
        </is>
      </c>
      <c r="D78" s="10" t="inlineStr">
        <is>
          <t>STATEMENT</t>
        </is>
      </c>
      <c r="E78" s="10" t="inlineStr">
        <is>
          <t>STATEMENT_ID</t>
        </is>
      </c>
      <c r="F78" s="10" t="inlineStr">
        <is>
          <t>NR_STATEMENT_ID</t>
        </is>
      </c>
      <c r="G78" s="10" t="inlineStr">
        <is>
          <t>Y</t>
        </is>
      </c>
      <c r="H78" s="10" t="inlineStr">
        <is>
          <t>FK_STATEMENT_LINE_STATEMENT_ID</t>
        </is>
      </c>
    </row>
    <row r="79">
      <c r="A79" s="10" t="n">
        <v>78</v>
      </c>
      <c r="B79" s="10" t="inlineStr">
        <is>
          <t>STATEMENT_LINE</t>
        </is>
      </c>
      <c r="C79" s="10" t="inlineStr">
        <is>
          <t>MATERIAL_ID</t>
        </is>
      </c>
      <c r="D79" s="10" t="inlineStr">
        <is>
          <t>LKP_MATERIAL</t>
        </is>
      </c>
      <c r="E79" s="10" t="inlineStr">
        <is>
          <t>MATERIAL_ID</t>
        </is>
      </c>
      <c r="F79" s="10" t="inlineStr">
        <is>
          <t>NR_MATERIAL_ID</t>
        </is>
      </c>
      <c r="G79" s="10" t="inlineStr">
        <is>
          <t>Y</t>
        </is>
      </c>
      <c r="H79" s="10" t="inlineStr">
        <is>
          <t>FK_STATEMENT_LINE_MATERIAL_ID</t>
        </is>
      </c>
    </row>
    <row r="80">
      <c r="A80" s="10" t="n">
        <v>79</v>
      </c>
      <c r="B80" s="10" t="inlineStr">
        <is>
          <t>STATEMENT_LINE</t>
        </is>
      </c>
      <c r="C80" s="10" t="inlineStr">
        <is>
          <t>PACKAGING_LEVEL_ID</t>
        </is>
      </c>
      <c r="D80" s="10" t="inlineStr">
        <is>
          <t>LKP_PACKAGING_LEVEL</t>
        </is>
      </c>
      <c r="E80" s="10" t="inlineStr">
        <is>
          <t>PACKAGING_LEVEL_ID</t>
        </is>
      </c>
      <c r="F80" s="10" t="inlineStr">
        <is>
          <t>NR_PACKAGING_LEVEL_ID</t>
        </is>
      </c>
      <c r="G80" s="10" t="inlineStr">
        <is>
          <t>Y</t>
        </is>
      </c>
      <c r="H80" s="10" t="inlineStr">
        <is>
          <t>FK_STATEMENT_LINE_PACKAGING_LEVEL_ID</t>
        </is>
      </c>
    </row>
    <row r="81">
      <c r="A81" s="10" t="n">
        <v>80</v>
      </c>
      <c r="B81" s="10" t="inlineStr">
        <is>
          <t>STATEMENT_LINE</t>
        </is>
      </c>
      <c r="C81" s="10" t="inlineStr">
        <is>
          <t>OWNERSHIP_TYPE_ID</t>
        </is>
      </c>
      <c r="D81" s="10" t="inlineStr">
        <is>
          <t>LKP_OWNERSHIP_TYPE</t>
        </is>
      </c>
      <c r="E81" s="10" t="inlineStr">
        <is>
          <t>OWNERSHIP_TYPE_ID</t>
        </is>
      </c>
      <c r="F81" s="10" t="inlineStr">
        <is>
          <t>NR_OWNERSHIP_TYPE_ID</t>
        </is>
      </c>
      <c r="G81" s="10" t="inlineStr">
        <is>
          <t>Y</t>
        </is>
      </c>
      <c r="H81" s="10" t="inlineStr">
        <is>
          <t>FK_STATEMENT_LINE_OWNERSHIP_TYPE_ID</t>
        </is>
      </c>
    </row>
    <row r="82">
      <c r="A82" s="10" t="n">
        <v>81</v>
      </c>
      <c r="B82" s="10" t="inlineStr">
        <is>
          <t>DOCUMENT_LIBRARY</t>
        </is>
      </c>
      <c r="C82" s="10" t="inlineStr">
        <is>
          <t>DOCUMENT_TYPE_ID</t>
        </is>
      </c>
      <c r="D82" s="10" t="inlineStr">
        <is>
          <t>LKP_DOCUMENT_TYPE</t>
        </is>
      </c>
      <c r="E82" s="10" t="inlineStr">
        <is>
          <t>DOCUMENT_TYPE_ID</t>
        </is>
      </c>
      <c r="F82" s="10" t="inlineStr">
        <is>
          <t>NR_DOCUMENT_TYPE_ID</t>
        </is>
      </c>
      <c r="G82" s="10" t="inlineStr">
        <is>
          <t>Y</t>
        </is>
      </c>
      <c r="H82" s="10" t="inlineStr">
        <is>
          <t>FK_DOCUMENT_LIBRARY_DOCUMENT_TYPE_ID</t>
        </is>
      </c>
    </row>
    <row r="83">
      <c r="A83" s="10" t="n">
        <v>82</v>
      </c>
      <c r="B83" s="10" t="inlineStr">
        <is>
          <t>DOCUMENT_LIBRARY</t>
        </is>
      </c>
      <c r="C83" s="10" t="inlineStr">
        <is>
          <t>STATUS_ID</t>
        </is>
      </c>
      <c r="D83" s="10" t="inlineStr">
        <is>
          <t>LKP_STATUS</t>
        </is>
      </c>
      <c r="E83" s="10" t="inlineStr">
        <is>
          <t>STATUS_ID</t>
        </is>
      </c>
      <c r="F83" s="10" t="inlineStr">
        <is>
          <t>NR_STATUS_ID</t>
        </is>
      </c>
      <c r="G83" s="10" t="inlineStr">
        <is>
          <t>Y</t>
        </is>
      </c>
      <c r="H83" s="10" t="inlineStr">
        <is>
          <t>FK_DOCUMENT_LIBRARY_STATUS_ID</t>
        </is>
      </c>
    </row>
    <row r="84">
      <c r="A84" s="10" t="n">
        <v>83</v>
      </c>
      <c r="B84" s="10" t="inlineStr">
        <is>
          <t>DOCUMENT_LINK</t>
        </is>
      </c>
      <c r="C84" s="10" t="inlineStr">
        <is>
          <t>DOCUMENT_ID</t>
        </is>
      </c>
      <c r="D84" s="10" t="inlineStr">
        <is>
          <t>DOCUMENT_LIBRARY</t>
        </is>
      </c>
      <c r="E84" s="10" t="inlineStr">
        <is>
          <t>DOCUMENT_ID</t>
        </is>
      </c>
      <c r="F84" s="10" t="inlineStr">
        <is>
          <t>NR_DOCUMENT_ID</t>
        </is>
      </c>
      <c r="G84" s="10" t="inlineStr">
        <is>
          <t>Y</t>
        </is>
      </c>
      <c r="H84" s="10" t="inlineStr">
        <is>
          <t>FK_DOCUMENT_LINK_DOCUMENT_ID</t>
        </is>
      </c>
    </row>
    <row r="85">
      <c r="A85" s="10" t="n">
        <v>84</v>
      </c>
      <c r="B85" s="10" t="inlineStr">
        <is>
          <t>DOCUMENT_LINK</t>
        </is>
      </c>
      <c r="C85" s="10" t="inlineStr">
        <is>
          <t>COMPONENT_ID</t>
        </is>
      </c>
      <c r="D85" s="10" t="inlineStr">
        <is>
          <t>COMPONENT</t>
        </is>
      </c>
      <c r="E85" s="10" t="inlineStr">
        <is>
          <t>COMPONENT_ID</t>
        </is>
      </c>
      <c r="F85" s="10" t="inlineStr">
        <is>
          <t>NR_COMPONENT_ID</t>
        </is>
      </c>
      <c r="G85" s="10" t="inlineStr">
        <is>
          <t>N</t>
        </is>
      </c>
      <c r="H85" s="10" t="inlineStr">
        <is>
          <t>FK_DOCUMENT_LINK_COMPONENT_ID</t>
        </is>
      </c>
    </row>
    <row r="86">
      <c r="A86" s="10" t="n">
        <v>85</v>
      </c>
      <c r="B86" s="10" t="inlineStr">
        <is>
          <t>DOCUMENT_LINK</t>
        </is>
      </c>
      <c r="C86" s="10" t="inlineStr">
        <is>
          <t>PRODUCT_ID</t>
        </is>
      </c>
      <c r="D86" s="10" t="inlineStr">
        <is>
          <t>PRODUCT</t>
        </is>
      </c>
      <c r="E86" s="10" t="inlineStr">
        <is>
          <t>PRODUCT_ID</t>
        </is>
      </c>
      <c r="F86" s="10" t="inlineStr">
        <is>
          <t>NR_PRODUCT_ID</t>
        </is>
      </c>
      <c r="G86" s="10" t="inlineStr">
        <is>
          <t>N</t>
        </is>
      </c>
      <c r="H86" s="10" t="inlineStr">
        <is>
          <t>FK_DOCUMENT_LINK_PRODUCT_ID</t>
        </is>
      </c>
    </row>
    <row r="87">
      <c r="A87" s="10" t="n">
        <v>86</v>
      </c>
      <c r="B87" s="10" t="inlineStr">
        <is>
          <t>DOCUMENT_LINK</t>
        </is>
      </c>
      <c r="C87" s="10" t="inlineStr">
        <is>
          <t>PACKAGING_CONFIGURATION_ID</t>
        </is>
      </c>
      <c r="D87" s="10" t="inlineStr">
        <is>
          <t>PACKAGING_CONFIGURATION</t>
        </is>
      </c>
      <c r="E87" s="10" t="inlineStr">
        <is>
          <t>PACKAGING_CONFIGURATION_ID</t>
        </is>
      </c>
      <c r="F87" s="10" t="inlineStr">
        <is>
          <t>NR_PACKAGING_CONFIGURATION_ID</t>
        </is>
      </c>
      <c r="G87" s="10" t="inlineStr">
        <is>
          <t>N</t>
        </is>
      </c>
      <c r="H87" s="10" t="inlineStr">
        <is>
          <t>FK_DOCUMENT_LINK_PACKAGING_CONFIGURATION_ID</t>
        </is>
      </c>
    </row>
    <row r="88">
      <c r="A88" s="10" t="n">
        <v>87</v>
      </c>
      <c r="B88" s="10" t="inlineStr">
        <is>
          <t>DOCUMENT_LINK</t>
        </is>
      </c>
      <c r="C88" s="10" t="inlineStr">
        <is>
          <t>TRANSPORT_CONFIGURATION_ID</t>
        </is>
      </c>
      <c r="D88" s="10" t="inlineStr">
        <is>
          <t>TRANSPORT_CONFIGURATION</t>
        </is>
      </c>
      <c r="E88" s="10" t="inlineStr">
        <is>
          <t>TRANSPORT_CONFIGURATION_ID</t>
        </is>
      </c>
      <c r="F88" s="10" t="inlineStr">
        <is>
          <t>NR_TRANSPORT_CONFIGURATION_ID</t>
        </is>
      </c>
      <c r="G88" s="10" t="inlineStr">
        <is>
          <t>N</t>
        </is>
      </c>
      <c r="H88" s="10" t="inlineStr">
        <is>
          <t>FK_DOCUMENT_LINK_TRANSPORT_CONFIGURATION_ID</t>
        </is>
      </c>
    </row>
    <row r="89">
      <c r="A89" s="10" t="n">
        <v>88</v>
      </c>
      <c r="B89" s="10" t="inlineStr">
        <is>
          <t>DOCUMENT_LINK</t>
        </is>
      </c>
      <c r="C89" s="10" t="inlineStr">
        <is>
          <t>TECHNICAL_FILE_ID</t>
        </is>
      </c>
      <c r="D89" s="10" t="inlineStr">
        <is>
          <t>TECHNICAL_FILE</t>
        </is>
      </c>
      <c r="E89" s="10" t="inlineStr">
        <is>
          <t>TECHNICAL_FILE_ID</t>
        </is>
      </c>
      <c r="F89" s="10" t="inlineStr">
        <is>
          <t>NR_TECHNICAL_FILE_ID</t>
        </is>
      </c>
      <c r="G89" s="10" t="inlineStr">
        <is>
          <t>N</t>
        </is>
      </c>
      <c r="H89" s="10" t="inlineStr">
        <is>
          <t>FK_DOCUMENT_LINK_TECHNICAL_FILE_ID</t>
        </is>
      </c>
    </row>
    <row r="90">
      <c r="A90" s="10" t="n">
        <v>89</v>
      </c>
      <c r="B90" s="10" t="inlineStr">
        <is>
          <t>DOCUMENT_LINK</t>
        </is>
      </c>
      <c r="C90" s="10" t="inlineStr">
        <is>
          <t>DECLARATION_OF_CONFORMITY_ID</t>
        </is>
      </c>
      <c r="D90" s="10" t="inlineStr">
        <is>
          <t>DECLARATION_OF_CONFORMITY</t>
        </is>
      </c>
      <c r="E90" s="10" t="inlineStr">
        <is>
          <t>DECLARATION_OF_CONFORMITY_ID</t>
        </is>
      </c>
      <c r="F90" s="10" t="inlineStr">
        <is>
          <t>NR_DECLARATION_OF_CONFORMITY_ID</t>
        </is>
      </c>
      <c r="G90" s="10" t="inlineStr">
        <is>
          <t>N</t>
        </is>
      </c>
      <c r="H90" s="10" t="inlineStr">
        <is>
          <t>FK_DOCUMENT_LINK_DECLARATION_OF_CONFORMITY_ID</t>
        </is>
      </c>
    </row>
    <row r="91">
      <c r="A91" s="10" t="n">
        <v>90</v>
      </c>
      <c r="B91" s="10" t="inlineStr">
        <is>
          <t>DOCUMENT_LINK</t>
        </is>
      </c>
      <c r="C91" s="10" t="inlineStr">
        <is>
          <t>STATEMENT_ID</t>
        </is>
      </c>
      <c r="D91" s="10" t="inlineStr">
        <is>
          <t>STATEMENT</t>
        </is>
      </c>
      <c r="E91" s="10" t="inlineStr">
        <is>
          <t>STATEMENT_ID</t>
        </is>
      </c>
      <c r="F91" s="10" t="inlineStr">
        <is>
          <t>NR_STATEMENT_ID</t>
        </is>
      </c>
      <c r="G91" s="10" t="inlineStr">
        <is>
          <t>N</t>
        </is>
      </c>
      <c r="H91" s="10" t="inlineStr">
        <is>
          <t>FK_DOCUMENT_LINK_STATEMENT_ID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7FF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15" customWidth="1" min="4" max="4"/>
    <col width="13" customWidth="1" min="5" max="5"/>
    <col width="17" customWidth="1" min="6" max="6"/>
    <col width="21" customWidth="1" min="7" max="7"/>
    <col width="22" customWidth="1" min="8" max="8"/>
    <col width="24" customWidth="1" min="9" max="9"/>
  </cols>
  <sheetData>
    <row r="1">
      <c r="A1" s="12" t="inlineStr">
        <is>
          <t>ROW_INDEX</t>
        </is>
      </c>
      <c r="B1" s="12" t="inlineStr">
        <is>
          <t>COMPONENT_MATERIAL_ID</t>
        </is>
      </c>
      <c r="C1" s="12" t="inlineStr">
        <is>
          <t>COMPONENT_ID</t>
        </is>
      </c>
      <c r="D1" s="12" t="inlineStr">
        <is>
          <t>MATERIAL_ID</t>
        </is>
      </c>
      <c r="E1" s="12" t="inlineStr">
        <is>
          <t>SHARE_PCT</t>
        </is>
      </c>
      <c r="F1" s="12" t="inlineStr">
        <is>
          <t>UNIT_WEIGHT_G</t>
        </is>
      </c>
      <c r="G1" s="12" t="inlineStr">
        <is>
          <t>MATERIAL_WEIGHT_G</t>
        </is>
      </c>
      <c r="H1" s="12" t="inlineStr">
        <is>
          <t>MATERIAL_FAMILY_ID</t>
        </is>
      </c>
      <c r="I1" s="12" t="inlineStr">
        <is>
          <t>MATERIAL_FAMILY_CODE</t>
        </is>
      </c>
      <c r="K1" s="19" t="inlineStr">
        <is>
          <t>Dashboard</t>
        </is>
      </c>
    </row>
    <row r="2">
      <c r="A2" s="20" t="n">
        <v>1</v>
      </c>
      <c r="B2" s="20">
        <f>IFERROR(INDEX(T_COMPONENT_MATERIAL[COMPONENT_MATERIAL_ID],[@ROW_INDEX]),"")</f>
        <v/>
      </c>
      <c r="C2" s="20">
        <f>IFERROR(INDEX(T_COMPONENT_MATERIAL[COMPONENT_ID],[@ROW_INDEX]),"")</f>
        <v/>
      </c>
      <c r="D2" s="20">
        <f>IFERROR(INDEX(T_COMPONENT_MATERIAL[MATERIAL_ID],[@ROW_INDEX]),"")</f>
        <v/>
      </c>
      <c r="E2" s="20">
        <f>IFERROR(INDEX(T_COMPONENT_MATERIAL[SHARE_PCT],[@ROW_INDEX]),"")</f>
        <v/>
      </c>
      <c r="F2" s="20">
        <f>IF([@COMPONENT_ID]="","",IFERROR(INDEX(T_COMPONENT[WEIGHT_G],MATCH([@COMPONENT_ID],T_COMPONENT[COMPONENT_ID],0)),""))</f>
        <v/>
      </c>
      <c r="G2" s="20">
        <f>IF(OR([@UNIT_WEIGHT_G]="",[@SHARE_PCT]=""),"",[@UNIT_WEIGHT_G]*[@SHARE_PCT]/100)</f>
        <v/>
      </c>
      <c r="H2" s="20">
        <f>IF([@MATERIAL_ID]="","",IFERROR(INDEX(T_LKP_MATERIAL[MATERIAL_FAMILY_ID],MATCH([@MATERIAL_ID],T_LKP_MATERIAL[MATERIAL_ID],0)),""))</f>
        <v/>
      </c>
      <c r="I2" s="20">
        <f>IF([@MATERIAL_FAMILY_ID]="","",IFERROR(INDEX(T_LKP_MATERIAL_FAMILY[MATERIAL_FAMILY_CODE],MATCH([@MATERIAL_FAMILY_ID],T_LKP_MATERIAL_FAMILY[MATERIAL_FAMILY_ID],0)),""))</f>
        <v/>
      </c>
    </row>
    <row r="3">
      <c r="A3" s="20" t="n">
        <v>2</v>
      </c>
      <c r="B3" s="20">
        <f>IFERROR(INDEX(T_COMPONENT_MATERIAL[COMPONENT_MATERIAL_ID],[@ROW_INDEX]),"")</f>
        <v/>
      </c>
      <c r="C3" s="20">
        <f>IFERROR(INDEX(T_COMPONENT_MATERIAL[COMPONENT_ID],[@ROW_INDEX]),"")</f>
        <v/>
      </c>
      <c r="D3" s="20">
        <f>IFERROR(INDEX(T_COMPONENT_MATERIAL[MATERIAL_ID],[@ROW_INDEX]),"")</f>
        <v/>
      </c>
      <c r="E3" s="20">
        <f>IFERROR(INDEX(T_COMPONENT_MATERIAL[SHARE_PCT],[@ROW_INDEX]),"")</f>
        <v/>
      </c>
      <c r="F3" s="20">
        <f>IF([@COMPONENT_ID]="","",IFERROR(INDEX(T_COMPONENT[WEIGHT_G],MATCH([@COMPONENT_ID],T_COMPONENT[COMPONENT_ID],0)),""))</f>
        <v/>
      </c>
      <c r="G3" s="20">
        <f>IF(OR([@UNIT_WEIGHT_G]="",[@SHARE_PCT]=""),"",[@UNIT_WEIGHT_G]*[@SHARE_PCT]/100)</f>
        <v/>
      </c>
      <c r="H3" s="20">
        <f>IF([@MATERIAL_ID]="","",IFERROR(INDEX(T_LKP_MATERIAL[MATERIAL_FAMILY_ID],MATCH([@MATERIAL_ID],T_LKP_MATERIAL[MATERIAL_ID],0)),""))</f>
        <v/>
      </c>
      <c r="I3" s="20">
        <f>IF([@MATERIAL_FAMILY_ID]="","",IFERROR(INDEX(T_LKP_MATERIAL_FAMILY[MATERIAL_FAMILY_CODE],MATCH([@MATERIAL_FAMILY_ID],T_LKP_MATERIAL_FAMILY[MATERIAL_FAMILY_ID],0)),""))</f>
        <v/>
      </c>
    </row>
    <row r="4">
      <c r="A4" s="20" t="n">
        <v>3</v>
      </c>
      <c r="B4" s="20">
        <f>IFERROR(INDEX(T_COMPONENT_MATERIAL[COMPONENT_MATERIAL_ID],[@ROW_INDEX]),"")</f>
        <v/>
      </c>
      <c r="C4" s="20">
        <f>IFERROR(INDEX(T_COMPONENT_MATERIAL[COMPONENT_ID],[@ROW_INDEX]),"")</f>
        <v/>
      </c>
      <c r="D4" s="20">
        <f>IFERROR(INDEX(T_COMPONENT_MATERIAL[MATERIAL_ID],[@ROW_INDEX]),"")</f>
        <v/>
      </c>
      <c r="E4" s="20">
        <f>IFERROR(INDEX(T_COMPONENT_MATERIAL[SHARE_PCT],[@ROW_INDEX]),"")</f>
        <v/>
      </c>
      <c r="F4" s="20">
        <f>IF([@COMPONENT_ID]="","",IFERROR(INDEX(T_COMPONENT[WEIGHT_G],MATCH([@COMPONENT_ID],T_COMPONENT[COMPONENT_ID],0)),""))</f>
        <v/>
      </c>
      <c r="G4" s="20">
        <f>IF(OR([@UNIT_WEIGHT_G]="",[@SHARE_PCT]=""),"",[@UNIT_WEIGHT_G]*[@SHARE_PCT]/100)</f>
        <v/>
      </c>
      <c r="H4" s="20">
        <f>IF([@MATERIAL_ID]="","",IFERROR(INDEX(T_LKP_MATERIAL[MATERIAL_FAMILY_ID],MATCH([@MATERIAL_ID],T_LKP_MATERIAL[MATERIAL_ID],0)),""))</f>
        <v/>
      </c>
      <c r="I4" s="20">
        <f>IF([@MATERIAL_FAMILY_ID]="","",IFERROR(INDEX(T_LKP_MATERIAL_FAMILY[MATERIAL_FAMILY_CODE],MATCH([@MATERIAL_FAMILY_ID],T_LKP_MATERIAL_FAMILY[MATERIAL_FAMILY_ID],0)),""))</f>
        <v/>
      </c>
    </row>
    <row r="5">
      <c r="A5" s="20" t="n">
        <v>4</v>
      </c>
      <c r="B5" s="20">
        <f>IFERROR(INDEX(T_COMPONENT_MATERIAL[COMPONENT_MATERIAL_ID],[@ROW_INDEX]),"")</f>
        <v/>
      </c>
      <c r="C5" s="20">
        <f>IFERROR(INDEX(T_COMPONENT_MATERIAL[COMPONENT_ID],[@ROW_INDEX]),"")</f>
        <v/>
      </c>
      <c r="D5" s="20">
        <f>IFERROR(INDEX(T_COMPONENT_MATERIAL[MATERIAL_ID],[@ROW_INDEX]),"")</f>
        <v/>
      </c>
      <c r="E5" s="20">
        <f>IFERROR(INDEX(T_COMPONENT_MATERIAL[SHARE_PCT],[@ROW_INDEX]),"")</f>
        <v/>
      </c>
      <c r="F5" s="20">
        <f>IF([@COMPONENT_ID]="","",IFERROR(INDEX(T_COMPONENT[WEIGHT_G],MATCH([@COMPONENT_ID],T_COMPONENT[COMPONENT_ID],0)),""))</f>
        <v/>
      </c>
      <c r="G5" s="20">
        <f>IF(OR([@UNIT_WEIGHT_G]="",[@SHARE_PCT]=""),"",[@UNIT_WEIGHT_G]*[@SHARE_PCT]/100)</f>
        <v/>
      </c>
      <c r="H5" s="20">
        <f>IF([@MATERIAL_ID]="","",IFERROR(INDEX(T_LKP_MATERIAL[MATERIAL_FAMILY_ID],MATCH([@MATERIAL_ID],T_LKP_MATERIAL[MATERIAL_ID],0)),""))</f>
        <v/>
      </c>
      <c r="I5" s="20">
        <f>IF([@MATERIAL_FAMILY_ID]="","",IFERROR(INDEX(T_LKP_MATERIAL_FAMILY[MATERIAL_FAMILY_CODE],MATCH([@MATERIAL_FAMILY_ID],T_LKP_MATERIAL_FAMILY[MATERIAL_FAMILY_ID],0)),""))</f>
        <v/>
      </c>
    </row>
    <row r="6">
      <c r="A6" s="20" t="n">
        <v>5</v>
      </c>
      <c r="B6" s="20">
        <f>IFERROR(INDEX(T_COMPONENT_MATERIAL[COMPONENT_MATERIAL_ID],[@ROW_INDEX]),"")</f>
        <v/>
      </c>
      <c r="C6" s="20">
        <f>IFERROR(INDEX(T_COMPONENT_MATERIAL[COMPONENT_ID],[@ROW_INDEX]),"")</f>
        <v/>
      </c>
      <c r="D6" s="20">
        <f>IFERROR(INDEX(T_COMPONENT_MATERIAL[MATERIAL_ID],[@ROW_INDEX]),"")</f>
        <v/>
      </c>
      <c r="E6" s="20">
        <f>IFERROR(INDEX(T_COMPONENT_MATERIAL[SHARE_PCT],[@ROW_INDEX]),"")</f>
        <v/>
      </c>
      <c r="F6" s="20">
        <f>IF([@COMPONENT_ID]="","",IFERROR(INDEX(T_COMPONENT[WEIGHT_G],MATCH([@COMPONENT_ID],T_COMPONENT[COMPONENT_ID],0)),""))</f>
        <v/>
      </c>
      <c r="G6" s="20">
        <f>IF(OR([@UNIT_WEIGHT_G]="",[@SHARE_PCT]=""),"",[@UNIT_WEIGHT_G]*[@SHARE_PCT]/100)</f>
        <v/>
      </c>
      <c r="H6" s="20">
        <f>IF([@MATERIAL_ID]="","",IFERROR(INDEX(T_LKP_MATERIAL[MATERIAL_FAMILY_ID],MATCH([@MATERIAL_ID],T_LKP_MATERIAL[MATERIAL_ID],0)),""))</f>
        <v/>
      </c>
      <c r="I6" s="20">
        <f>IF([@MATERIAL_FAMILY_ID]="","",IFERROR(INDEX(T_LKP_MATERIAL_FAMILY[MATERIAL_FAMILY_CODE],MATCH([@MATERIAL_FAMILY_ID],T_LKP_MATERIAL_FAMILY[MATERIAL_FAMILY_ID],0)),""))</f>
        <v/>
      </c>
    </row>
    <row r="7">
      <c r="A7" s="20" t="n">
        <v>6</v>
      </c>
      <c r="B7" s="20">
        <f>IFERROR(INDEX(T_COMPONENT_MATERIAL[COMPONENT_MATERIAL_ID],[@ROW_INDEX]),"")</f>
        <v/>
      </c>
      <c r="C7" s="20">
        <f>IFERROR(INDEX(T_COMPONENT_MATERIAL[COMPONENT_ID],[@ROW_INDEX]),"")</f>
        <v/>
      </c>
      <c r="D7" s="20">
        <f>IFERROR(INDEX(T_COMPONENT_MATERIAL[MATERIAL_ID],[@ROW_INDEX]),"")</f>
        <v/>
      </c>
      <c r="E7" s="20">
        <f>IFERROR(INDEX(T_COMPONENT_MATERIAL[SHARE_PCT],[@ROW_INDEX]),"")</f>
        <v/>
      </c>
      <c r="F7" s="20">
        <f>IF([@COMPONENT_ID]="","",IFERROR(INDEX(T_COMPONENT[WEIGHT_G],MATCH([@COMPONENT_ID],T_COMPONENT[COMPONENT_ID],0)),""))</f>
        <v/>
      </c>
      <c r="G7" s="20">
        <f>IF(OR([@UNIT_WEIGHT_G]="",[@SHARE_PCT]=""),"",[@UNIT_WEIGHT_G]*[@SHARE_PCT]/100)</f>
        <v/>
      </c>
      <c r="H7" s="20">
        <f>IF([@MATERIAL_ID]="","",IFERROR(INDEX(T_LKP_MATERIAL[MATERIAL_FAMILY_ID],MATCH([@MATERIAL_ID],T_LKP_MATERIAL[MATERIAL_ID],0)),""))</f>
        <v/>
      </c>
      <c r="I7" s="20">
        <f>IF([@MATERIAL_FAMILY_ID]="","",IFERROR(INDEX(T_LKP_MATERIAL_FAMILY[MATERIAL_FAMILY_CODE],MATCH([@MATERIAL_FAMILY_ID],T_LKP_MATERIAL_FAMILY[MATERIAL_FAMILY_ID],0)),""))</f>
        <v/>
      </c>
    </row>
    <row r="8">
      <c r="A8" s="20" t="n">
        <v>7</v>
      </c>
      <c r="B8" s="20">
        <f>IFERROR(INDEX(T_COMPONENT_MATERIAL[COMPONENT_MATERIAL_ID],[@ROW_INDEX]),"")</f>
        <v/>
      </c>
      <c r="C8" s="20">
        <f>IFERROR(INDEX(T_COMPONENT_MATERIAL[COMPONENT_ID],[@ROW_INDEX]),"")</f>
        <v/>
      </c>
      <c r="D8" s="20">
        <f>IFERROR(INDEX(T_COMPONENT_MATERIAL[MATERIAL_ID],[@ROW_INDEX]),"")</f>
        <v/>
      </c>
      <c r="E8" s="20">
        <f>IFERROR(INDEX(T_COMPONENT_MATERIAL[SHARE_PCT],[@ROW_INDEX]),"")</f>
        <v/>
      </c>
      <c r="F8" s="20">
        <f>IF([@COMPONENT_ID]="","",IFERROR(INDEX(T_COMPONENT[WEIGHT_G],MATCH([@COMPONENT_ID],T_COMPONENT[COMPONENT_ID],0)),""))</f>
        <v/>
      </c>
      <c r="G8" s="20">
        <f>IF(OR([@UNIT_WEIGHT_G]="",[@SHARE_PCT]=""),"",[@UNIT_WEIGHT_G]*[@SHARE_PCT]/100)</f>
        <v/>
      </c>
      <c r="H8" s="20">
        <f>IF([@MATERIAL_ID]="","",IFERROR(INDEX(T_LKP_MATERIAL[MATERIAL_FAMILY_ID],MATCH([@MATERIAL_ID],T_LKP_MATERIAL[MATERIAL_ID],0)),""))</f>
        <v/>
      </c>
      <c r="I8" s="20">
        <f>IF([@MATERIAL_FAMILY_ID]="","",IFERROR(INDEX(T_LKP_MATERIAL_FAMILY[MATERIAL_FAMILY_CODE],MATCH([@MATERIAL_FAMILY_ID],T_LKP_MATERIAL_FAMILY[MATERIAL_FAMILY_ID],0)),""))</f>
        <v/>
      </c>
    </row>
    <row r="9">
      <c r="A9" s="20" t="n">
        <v>8</v>
      </c>
      <c r="B9" s="20">
        <f>IFERROR(INDEX(T_COMPONENT_MATERIAL[COMPONENT_MATERIAL_ID],[@ROW_INDEX]),"")</f>
        <v/>
      </c>
      <c r="C9" s="20">
        <f>IFERROR(INDEX(T_COMPONENT_MATERIAL[COMPONENT_ID],[@ROW_INDEX]),"")</f>
        <v/>
      </c>
      <c r="D9" s="20">
        <f>IFERROR(INDEX(T_COMPONENT_MATERIAL[MATERIAL_ID],[@ROW_INDEX]),"")</f>
        <v/>
      </c>
      <c r="E9" s="20">
        <f>IFERROR(INDEX(T_COMPONENT_MATERIAL[SHARE_PCT],[@ROW_INDEX]),"")</f>
        <v/>
      </c>
      <c r="F9" s="20">
        <f>IF([@COMPONENT_ID]="","",IFERROR(INDEX(T_COMPONENT[WEIGHT_G],MATCH([@COMPONENT_ID],T_COMPONENT[COMPONENT_ID],0)),""))</f>
        <v/>
      </c>
      <c r="G9" s="20">
        <f>IF(OR([@UNIT_WEIGHT_G]="",[@SHARE_PCT]=""),"",[@UNIT_WEIGHT_G]*[@SHARE_PCT]/100)</f>
        <v/>
      </c>
      <c r="H9" s="20">
        <f>IF([@MATERIAL_ID]="","",IFERROR(INDEX(T_LKP_MATERIAL[MATERIAL_FAMILY_ID],MATCH([@MATERIAL_ID],T_LKP_MATERIAL[MATERIAL_ID],0)),""))</f>
        <v/>
      </c>
      <c r="I9" s="20">
        <f>IF([@MATERIAL_FAMILY_ID]="","",IFERROR(INDEX(T_LKP_MATERIAL_FAMILY[MATERIAL_FAMILY_CODE],MATCH([@MATERIAL_FAMILY_ID],T_LKP_MATERIAL_FAMILY[MATERIAL_FAMILY_ID],0)),""))</f>
        <v/>
      </c>
    </row>
    <row r="10">
      <c r="A10" s="20" t="n">
        <v>9</v>
      </c>
      <c r="B10" s="20">
        <f>IFERROR(INDEX(T_COMPONENT_MATERIAL[COMPONENT_MATERIAL_ID],[@ROW_INDEX]),"")</f>
        <v/>
      </c>
      <c r="C10" s="20">
        <f>IFERROR(INDEX(T_COMPONENT_MATERIAL[COMPONENT_ID],[@ROW_INDEX]),"")</f>
        <v/>
      </c>
      <c r="D10" s="20">
        <f>IFERROR(INDEX(T_COMPONENT_MATERIAL[MATERIAL_ID],[@ROW_INDEX]),"")</f>
        <v/>
      </c>
      <c r="E10" s="20">
        <f>IFERROR(INDEX(T_COMPONENT_MATERIAL[SHARE_PCT],[@ROW_INDEX]),"")</f>
        <v/>
      </c>
      <c r="F10" s="20">
        <f>IF([@COMPONENT_ID]="","",IFERROR(INDEX(T_COMPONENT[WEIGHT_G],MATCH([@COMPONENT_ID],T_COMPONENT[COMPONENT_ID],0)),""))</f>
        <v/>
      </c>
      <c r="G10" s="20">
        <f>IF(OR([@UNIT_WEIGHT_G]="",[@SHARE_PCT]=""),"",[@UNIT_WEIGHT_G]*[@SHARE_PCT]/100)</f>
        <v/>
      </c>
      <c r="H10" s="20">
        <f>IF([@MATERIAL_ID]="","",IFERROR(INDEX(T_LKP_MATERIAL[MATERIAL_FAMILY_ID],MATCH([@MATERIAL_ID],T_LKP_MATERIAL[MATERIAL_ID],0)),""))</f>
        <v/>
      </c>
      <c r="I10" s="20">
        <f>IF([@MATERIAL_FAMILY_ID]="","",IFERROR(INDEX(T_LKP_MATERIAL_FAMILY[MATERIAL_FAMILY_CODE],MATCH([@MATERIAL_FAMILY_ID],T_LKP_MATERIAL_FAMILY[MATERIAL_FAMILY_ID],0)),""))</f>
        <v/>
      </c>
    </row>
    <row r="11">
      <c r="A11" s="20" t="n">
        <v>10</v>
      </c>
      <c r="B11" s="20">
        <f>IFERROR(INDEX(T_COMPONENT_MATERIAL[COMPONENT_MATERIAL_ID],[@ROW_INDEX]),"")</f>
        <v/>
      </c>
      <c r="C11" s="20">
        <f>IFERROR(INDEX(T_COMPONENT_MATERIAL[COMPONENT_ID],[@ROW_INDEX]),"")</f>
        <v/>
      </c>
      <c r="D11" s="20">
        <f>IFERROR(INDEX(T_COMPONENT_MATERIAL[MATERIAL_ID],[@ROW_INDEX]),"")</f>
        <v/>
      </c>
      <c r="E11" s="20">
        <f>IFERROR(INDEX(T_COMPONENT_MATERIAL[SHARE_PCT],[@ROW_INDEX]),"")</f>
        <v/>
      </c>
      <c r="F11" s="20">
        <f>IF([@COMPONENT_ID]="","",IFERROR(INDEX(T_COMPONENT[WEIGHT_G],MATCH([@COMPONENT_ID],T_COMPONENT[COMPONENT_ID],0)),""))</f>
        <v/>
      </c>
      <c r="G11" s="20">
        <f>IF(OR([@UNIT_WEIGHT_G]="",[@SHARE_PCT]=""),"",[@UNIT_WEIGHT_G]*[@SHARE_PCT]/100)</f>
        <v/>
      </c>
      <c r="H11" s="20">
        <f>IF([@MATERIAL_ID]="","",IFERROR(INDEX(T_LKP_MATERIAL[MATERIAL_FAMILY_ID],MATCH([@MATERIAL_ID],T_LKP_MATERIAL[MATERIAL_ID],0)),""))</f>
        <v/>
      </c>
      <c r="I11" s="20">
        <f>IF([@MATERIAL_FAMILY_ID]="","",IFERROR(INDEX(T_LKP_MATERIAL_FAMILY[MATERIAL_FAMILY_CODE],MATCH([@MATERIAL_FAMILY_ID],T_LKP_MATERIAL_FAMILY[MATERIAL_FAMILY_ID],0)),""))</f>
        <v/>
      </c>
    </row>
    <row r="12">
      <c r="A12" s="20" t="n">
        <v>11</v>
      </c>
      <c r="B12" s="20">
        <f>IFERROR(INDEX(T_COMPONENT_MATERIAL[COMPONENT_MATERIAL_ID],[@ROW_INDEX]),"")</f>
        <v/>
      </c>
      <c r="C12" s="20">
        <f>IFERROR(INDEX(T_COMPONENT_MATERIAL[COMPONENT_ID],[@ROW_INDEX]),"")</f>
        <v/>
      </c>
      <c r="D12" s="20">
        <f>IFERROR(INDEX(T_COMPONENT_MATERIAL[MATERIAL_ID],[@ROW_INDEX]),"")</f>
        <v/>
      </c>
      <c r="E12" s="20">
        <f>IFERROR(INDEX(T_COMPONENT_MATERIAL[SHARE_PCT],[@ROW_INDEX]),"")</f>
        <v/>
      </c>
      <c r="F12" s="20">
        <f>IF([@COMPONENT_ID]="","",IFERROR(INDEX(T_COMPONENT[WEIGHT_G],MATCH([@COMPONENT_ID],T_COMPONENT[COMPONENT_ID],0)),""))</f>
        <v/>
      </c>
      <c r="G12" s="20">
        <f>IF(OR([@UNIT_WEIGHT_G]="",[@SHARE_PCT]=""),"",[@UNIT_WEIGHT_G]*[@SHARE_PCT]/100)</f>
        <v/>
      </c>
      <c r="H12" s="20">
        <f>IF([@MATERIAL_ID]="","",IFERROR(INDEX(T_LKP_MATERIAL[MATERIAL_FAMILY_ID],MATCH([@MATERIAL_ID],T_LKP_MATERIAL[MATERIAL_ID],0)),""))</f>
        <v/>
      </c>
      <c r="I12" s="20">
        <f>IF([@MATERIAL_FAMILY_ID]="","",IFERROR(INDEX(T_LKP_MATERIAL_FAMILY[MATERIAL_FAMILY_CODE],MATCH([@MATERIAL_FAMILY_ID],T_LKP_MATERIAL_FAMILY[MATERIAL_FAMILY_ID],0)),""))</f>
        <v/>
      </c>
    </row>
    <row r="13">
      <c r="A13" s="20" t="n">
        <v>12</v>
      </c>
      <c r="B13" s="20">
        <f>IFERROR(INDEX(T_COMPONENT_MATERIAL[COMPONENT_MATERIAL_ID],[@ROW_INDEX]),"")</f>
        <v/>
      </c>
      <c r="C13" s="20">
        <f>IFERROR(INDEX(T_COMPONENT_MATERIAL[COMPONENT_ID],[@ROW_INDEX]),"")</f>
        <v/>
      </c>
      <c r="D13" s="20">
        <f>IFERROR(INDEX(T_COMPONENT_MATERIAL[MATERIAL_ID],[@ROW_INDEX]),"")</f>
        <v/>
      </c>
      <c r="E13" s="20">
        <f>IFERROR(INDEX(T_COMPONENT_MATERIAL[SHARE_PCT],[@ROW_INDEX]),"")</f>
        <v/>
      </c>
      <c r="F13" s="20">
        <f>IF([@COMPONENT_ID]="","",IFERROR(INDEX(T_COMPONENT[WEIGHT_G],MATCH([@COMPONENT_ID],T_COMPONENT[COMPONENT_ID],0)),""))</f>
        <v/>
      </c>
      <c r="G13" s="20">
        <f>IF(OR([@UNIT_WEIGHT_G]="",[@SHARE_PCT]=""),"",[@UNIT_WEIGHT_G]*[@SHARE_PCT]/100)</f>
        <v/>
      </c>
      <c r="H13" s="20">
        <f>IF([@MATERIAL_ID]="","",IFERROR(INDEX(T_LKP_MATERIAL[MATERIAL_FAMILY_ID],MATCH([@MATERIAL_ID],T_LKP_MATERIAL[MATERIAL_ID],0)),""))</f>
        <v/>
      </c>
      <c r="I13" s="20">
        <f>IF([@MATERIAL_FAMILY_ID]="","",IFERROR(INDEX(T_LKP_MATERIAL_FAMILY[MATERIAL_FAMILY_CODE],MATCH([@MATERIAL_FAMILY_ID],T_LKP_MATERIAL_FAMILY[MATERIAL_FAMILY_ID],0)),""))</f>
        <v/>
      </c>
    </row>
    <row r="14">
      <c r="A14" s="20" t="n">
        <v>13</v>
      </c>
      <c r="B14" s="20">
        <f>IFERROR(INDEX(T_COMPONENT_MATERIAL[COMPONENT_MATERIAL_ID],[@ROW_INDEX]),"")</f>
        <v/>
      </c>
      <c r="C14" s="20">
        <f>IFERROR(INDEX(T_COMPONENT_MATERIAL[COMPONENT_ID],[@ROW_INDEX]),"")</f>
        <v/>
      </c>
      <c r="D14" s="20">
        <f>IFERROR(INDEX(T_COMPONENT_MATERIAL[MATERIAL_ID],[@ROW_INDEX]),"")</f>
        <v/>
      </c>
      <c r="E14" s="20">
        <f>IFERROR(INDEX(T_COMPONENT_MATERIAL[SHARE_PCT],[@ROW_INDEX]),"")</f>
        <v/>
      </c>
      <c r="F14" s="20">
        <f>IF([@COMPONENT_ID]="","",IFERROR(INDEX(T_COMPONENT[WEIGHT_G],MATCH([@COMPONENT_ID],T_COMPONENT[COMPONENT_ID],0)),""))</f>
        <v/>
      </c>
      <c r="G14" s="20">
        <f>IF(OR([@UNIT_WEIGHT_G]="",[@SHARE_PCT]=""),"",[@UNIT_WEIGHT_G]*[@SHARE_PCT]/100)</f>
        <v/>
      </c>
      <c r="H14" s="20">
        <f>IF([@MATERIAL_ID]="","",IFERROR(INDEX(T_LKP_MATERIAL[MATERIAL_FAMILY_ID],MATCH([@MATERIAL_ID],T_LKP_MATERIAL[MATERIAL_ID],0)),""))</f>
        <v/>
      </c>
      <c r="I14" s="20">
        <f>IF([@MATERIAL_FAMILY_ID]="","",IFERROR(INDEX(T_LKP_MATERIAL_FAMILY[MATERIAL_FAMILY_CODE],MATCH([@MATERIAL_FAMILY_ID],T_LKP_MATERIAL_FAMILY[MATERIAL_FAMILY_ID],0)),""))</f>
        <v/>
      </c>
    </row>
    <row r="15">
      <c r="A15" s="20" t="n">
        <v>14</v>
      </c>
      <c r="B15" s="20">
        <f>IFERROR(INDEX(T_COMPONENT_MATERIAL[COMPONENT_MATERIAL_ID],[@ROW_INDEX]),"")</f>
        <v/>
      </c>
      <c r="C15" s="20">
        <f>IFERROR(INDEX(T_COMPONENT_MATERIAL[COMPONENT_ID],[@ROW_INDEX]),"")</f>
        <v/>
      </c>
      <c r="D15" s="20">
        <f>IFERROR(INDEX(T_COMPONENT_MATERIAL[MATERIAL_ID],[@ROW_INDEX]),"")</f>
        <v/>
      </c>
      <c r="E15" s="20">
        <f>IFERROR(INDEX(T_COMPONENT_MATERIAL[SHARE_PCT],[@ROW_INDEX]),"")</f>
        <v/>
      </c>
      <c r="F15" s="20">
        <f>IF([@COMPONENT_ID]="","",IFERROR(INDEX(T_COMPONENT[WEIGHT_G],MATCH([@COMPONENT_ID],T_COMPONENT[COMPONENT_ID],0)),""))</f>
        <v/>
      </c>
      <c r="G15" s="20">
        <f>IF(OR([@UNIT_WEIGHT_G]="",[@SHARE_PCT]=""),"",[@UNIT_WEIGHT_G]*[@SHARE_PCT]/100)</f>
        <v/>
      </c>
      <c r="H15" s="20">
        <f>IF([@MATERIAL_ID]="","",IFERROR(INDEX(T_LKP_MATERIAL[MATERIAL_FAMILY_ID],MATCH([@MATERIAL_ID],T_LKP_MATERIAL[MATERIAL_ID],0)),""))</f>
        <v/>
      </c>
      <c r="I15" s="20">
        <f>IF([@MATERIAL_FAMILY_ID]="","",IFERROR(INDEX(T_LKP_MATERIAL_FAMILY[MATERIAL_FAMILY_CODE],MATCH([@MATERIAL_FAMILY_ID],T_LKP_MATERIAL_FAMILY[MATERIAL_FAMILY_ID],0)),""))</f>
        <v/>
      </c>
    </row>
    <row r="16">
      <c r="A16" s="20" t="n">
        <v>15</v>
      </c>
      <c r="B16" s="20">
        <f>IFERROR(INDEX(T_COMPONENT_MATERIAL[COMPONENT_MATERIAL_ID],[@ROW_INDEX]),"")</f>
        <v/>
      </c>
      <c r="C16" s="20">
        <f>IFERROR(INDEX(T_COMPONENT_MATERIAL[COMPONENT_ID],[@ROW_INDEX]),"")</f>
        <v/>
      </c>
      <c r="D16" s="20">
        <f>IFERROR(INDEX(T_COMPONENT_MATERIAL[MATERIAL_ID],[@ROW_INDEX]),"")</f>
        <v/>
      </c>
      <c r="E16" s="20">
        <f>IFERROR(INDEX(T_COMPONENT_MATERIAL[SHARE_PCT],[@ROW_INDEX]),"")</f>
        <v/>
      </c>
      <c r="F16" s="20">
        <f>IF([@COMPONENT_ID]="","",IFERROR(INDEX(T_COMPONENT[WEIGHT_G],MATCH([@COMPONENT_ID],T_COMPONENT[COMPONENT_ID],0)),""))</f>
        <v/>
      </c>
      <c r="G16" s="20">
        <f>IF(OR([@UNIT_WEIGHT_G]="",[@SHARE_PCT]=""),"",[@UNIT_WEIGHT_G]*[@SHARE_PCT]/100)</f>
        <v/>
      </c>
      <c r="H16" s="20">
        <f>IF([@MATERIAL_ID]="","",IFERROR(INDEX(T_LKP_MATERIAL[MATERIAL_FAMILY_ID],MATCH([@MATERIAL_ID],T_LKP_MATERIAL[MATERIAL_ID],0)),""))</f>
        <v/>
      </c>
      <c r="I16" s="20">
        <f>IF([@MATERIAL_FAMILY_ID]="","",IFERROR(INDEX(T_LKP_MATERIAL_FAMILY[MATERIAL_FAMILY_CODE],MATCH([@MATERIAL_FAMILY_ID],T_LKP_MATERIAL_FAMILY[MATERIAL_FAMILY_ID],0)),""))</f>
        <v/>
      </c>
    </row>
    <row r="17">
      <c r="A17" s="20" t="n">
        <v>16</v>
      </c>
      <c r="B17" s="20">
        <f>IFERROR(INDEX(T_COMPONENT_MATERIAL[COMPONENT_MATERIAL_ID],[@ROW_INDEX]),"")</f>
        <v/>
      </c>
      <c r="C17" s="20">
        <f>IFERROR(INDEX(T_COMPONENT_MATERIAL[COMPONENT_ID],[@ROW_INDEX]),"")</f>
        <v/>
      </c>
      <c r="D17" s="20">
        <f>IFERROR(INDEX(T_COMPONENT_MATERIAL[MATERIAL_ID],[@ROW_INDEX]),"")</f>
        <v/>
      </c>
      <c r="E17" s="20">
        <f>IFERROR(INDEX(T_COMPONENT_MATERIAL[SHARE_PCT],[@ROW_INDEX]),"")</f>
        <v/>
      </c>
      <c r="F17" s="20">
        <f>IF([@COMPONENT_ID]="","",IFERROR(INDEX(T_COMPONENT[WEIGHT_G],MATCH([@COMPONENT_ID],T_COMPONENT[COMPONENT_ID],0)),""))</f>
        <v/>
      </c>
      <c r="G17" s="20">
        <f>IF(OR([@UNIT_WEIGHT_G]="",[@SHARE_PCT]=""),"",[@UNIT_WEIGHT_G]*[@SHARE_PCT]/100)</f>
        <v/>
      </c>
      <c r="H17" s="20">
        <f>IF([@MATERIAL_ID]="","",IFERROR(INDEX(T_LKP_MATERIAL[MATERIAL_FAMILY_ID],MATCH([@MATERIAL_ID],T_LKP_MATERIAL[MATERIAL_ID],0)),""))</f>
        <v/>
      </c>
      <c r="I17" s="20">
        <f>IF([@MATERIAL_FAMILY_ID]="","",IFERROR(INDEX(T_LKP_MATERIAL_FAMILY[MATERIAL_FAMILY_CODE],MATCH([@MATERIAL_FAMILY_ID],T_LKP_MATERIAL_FAMILY[MATERIAL_FAMILY_ID],0)),""))</f>
        <v/>
      </c>
    </row>
    <row r="18">
      <c r="A18" s="20" t="n">
        <v>17</v>
      </c>
      <c r="B18" s="20">
        <f>IFERROR(INDEX(T_COMPONENT_MATERIAL[COMPONENT_MATERIAL_ID],[@ROW_INDEX]),"")</f>
        <v/>
      </c>
      <c r="C18" s="20">
        <f>IFERROR(INDEX(T_COMPONENT_MATERIAL[COMPONENT_ID],[@ROW_INDEX]),"")</f>
        <v/>
      </c>
      <c r="D18" s="20">
        <f>IFERROR(INDEX(T_COMPONENT_MATERIAL[MATERIAL_ID],[@ROW_INDEX]),"")</f>
        <v/>
      </c>
      <c r="E18" s="20">
        <f>IFERROR(INDEX(T_COMPONENT_MATERIAL[SHARE_PCT],[@ROW_INDEX]),"")</f>
        <v/>
      </c>
      <c r="F18" s="20">
        <f>IF([@COMPONENT_ID]="","",IFERROR(INDEX(T_COMPONENT[WEIGHT_G],MATCH([@COMPONENT_ID],T_COMPONENT[COMPONENT_ID],0)),""))</f>
        <v/>
      </c>
      <c r="G18" s="20">
        <f>IF(OR([@UNIT_WEIGHT_G]="",[@SHARE_PCT]=""),"",[@UNIT_WEIGHT_G]*[@SHARE_PCT]/100)</f>
        <v/>
      </c>
      <c r="H18" s="20">
        <f>IF([@MATERIAL_ID]="","",IFERROR(INDEX(T_LKP_MATERIAL[MATERIAL_FAMILY_ID],MATCH([@MATERIAL_ID],T_LKP_MATERIAL[MATERIAL_ID],0)),""))</f>
        <v/>
      </c>
      <c r="I18" s="20">
        <f>IF([@MATERIAL_FAMILY_ID]="","",IFERROR(INDEX(T_LKP_MATERIAL_FAMILY[MATERIAL_FAMILY_CODE],MATCH([@MATERIAL_FAMILY_ID],T_LKP_MATERIAL_FAMILY[MATERIAL_FAMILY_ID],0)),""))</f>
        <v/>
      </c>
    </row>
    <row r="19">
      <c r="A19" s="20" t="n">
        <v>18</v>
      </c>
      <c r="B19" s="20">
        <f>IFERROR(INDEX(T_COMPONENT_MATERIAL[COMPONENT_MATERIAL_ID],[@ROW_INDEX]),"")</f>
        <v/>
      </c>
      <c r="C19" s="20">
        <f>IFERROR(INDEX(T_COMPONENT_MATERIAL[COMPONENT_ID],[@ROW_INDEX]),"")</f>
        <v/>
      </c>
      <c r="D19" s="20">
        <f>IFERROR(INDEX(T_COMPONENT_MATERIAL[MATERIAL_ID],[@ROW_INDEX]),"")</f>
        <v/>
      </c>
      <c r="E19" s="20">
        <f>IFERROR(INDEX(T_COMPONENT_MATERIAL[SHARE_PCT],[@ROW_INDEX]),"")</f>
        <v/>
      </c>
      <c r="F19" s="20">
        <f>IF([@COMPONENT_ID]="","",IFERROR(INDEX(T_COMPONENT[WEIGHT_G],MATCH([@COMPONENT_ID],T_COMPONENT[COMPONENT_ID],0)),""))</f>
        <v/>
      </c>
      <c r="G19" s="20">
        <f>IF(OR([@UNIT_WEIGHT_G]="",[@SHARE_PCT]=""),"",[@UNIT_WEIGHT_G]*[@SHARE_PCT]/100)</f>
        <v/>
      </c>
      <c r="H19" s="20">
        <f>IF([@MATERIAL_ID]="","",IFERROR(INDEX(T_LKP_MATERIAL[MATERIAL_FAMILY_ID],MATCH([@MATERIAL_ID],T_LKP_MATERIAL[MATERIAL_ID],0)),""))</f>
        <v/>
      </c>
      <c r="I19" s="20">
        <f>IF([@MATERIAL_FAMILY_ID]="","",IFERROR(INDEX(T_LKP_MATERIAL_FAMILY[MATERIAL_FAMILY_CODE],MATCH([@MATERIAL_FAMILY_ID],T_LKP_MATERIAL_FAMILY[MATERIAL_FAMILY_ID],0)),""))</f>
        <v/>
      </c>
    </row>
    <row r="20">
      <c r="A20" s="20" t="n">
        <v>19</v>
      </c>
      <c r="B20" s="20">
        <f>IFERROR(INDEX(T_COMPONENT_MATERIAL[COMPONENT_MATERIAL_ID],[@ROW_INDEX]),"")</f>
        <v/>
      </c>
      <c r="C20" s="20">
        <f>IFERROR(INDEX(T_COMPONENT_MATERIAL[COMPONENT_ID],[@ROW_INDEX]),"")</f>
        <v/>
      </c>
      <c r="D20" s="20">
        <f>IFERROR(INDEX(T_COMPONENT_MATERIAL[MATERIAL_ID],[@ROW_INDEX]),"")</f>
        <v/>
      </c>
      <c r="E20" s="20">
        <f>IFERROR(INDEX(T_COMPONENT_MATERIAL[SHARE_PCT],[@ROW_INDEX]),"")</f>
        <v/>
      </c>
      <c r="F20" s="20">
        <f>IF([@COMPONENT_ID]="","",IFERROR(INDEX(T_COMPONENT[WEIGHT_G],MATCH([@COMPONENT_ID],T_COMPONENT[COMPONENT_ID],0)),""))</f>
        <v/>
      </c>
      <c r="G20" s="20">
        <f>IF(OR([@UNIT_WEIGHT_G]="",[@SHARE_PCT]=""),"",[@UNIT_WEIGHT_G]*[@SHARE_PCT]/100)</f>
        <v/>
      </c>
      <c r="H20" s="20">
        <f>IF([@MATERIAL_ID]="","",IFERROR(INDEX(T_LKP_MATERIAL[MATERIAL_FAMILY_ID],MATCH([@MATERIAL_ID],T_LKP_MATERIAL[MATERIAL_ID],0)),""))</f>
        <v/>
      </c>
      <c r="I20" s="20">
        <f>IF([@MATERIAL_FAMILY_ID]="","",IFERROR(INDEX(T_LKP_MATERIAL_FAMILY[MATERIAL_FAMILY_CODE],MATCH([@MATERIAL_FAMILY_ID],T_LKP_MATERIAL_FAMILY[MATERIAL_FAMILY_ID],0)),""))</f>
        <v/>
      </c>
    </row>
    <row r="21">
      <c r="A21" s="20" t="n">
        <v>20</v>
      </c>
      <c r="B21" s="20">
        <f>IFERROR(INDEX(T_COMPONENT_MATERIAL[COMPONENT_MATERIAL_ID],[@ROW_INDEX]),"")</f>
        <v/>
      </c>
      <c r="C21" s="20">
        <f>IFERROR(INDEX(T_COMPONENT_MATERIAL[COMPONENT_ID],[@ROW_INDEX]),"")</f>
        <v/>
      </c>
      <c r="D21" s="20">
        <f>IFERROR(INDEX(T_COMPONENT_MATERIAL[MATERIAL_ID],[@ROW_INDEX]),"")</f>
        <v/>
      </c>
      <c r="E21" s="20">
        <f>IFERROR(INDEX(T_COMPONENT_MATERIAL[SHARE_PCT],[@ROW_INDEX]),"")</f>
        <v/>
      </c>
      <c r="F21" s="20">
        <f>IF([@COMPONENT_ID]="","",IFERROR(INDEX(T_COMPONENT[WEIGHT_G],MATCH([@COMPONENT_ID],T_COMPONENT[COMPONENT_ID],0)),""))</f>
        <v/>
      </c>
      <c r="G21" s="20">
        <f>IF(OR([@UNIT_WEIGHT_G]="",[@SHARE_PCT]=""),"",[@UNIT_WEIGHT_G]*[@SHARE_PCT]/100)</f>
        <v/>
      </c>
      <c r="H21" s="20">
        <f>IF([@MATERIAL_ID]="","",IFERROR(INDEX(T_LKP_MATERIAL[MATERIAL_FAMILY_ID],MATCH([@MATERIAL_ID],T_LKP_MATERIAL[MATERIAL_ID],0)),""))</f>
        <v/>
      </c>
      <c r="I21" s="20">
        <f>IF([@MATERIAL_FAMILY_ID]="","",IFERROR(INDEX(T_LKP_MATERIAL_FAMILY[MATERIAL_FAMILY_CODE],MATCH([@MATERIAL_FAMILY_ID],T_LKP_MATERIAL_FAMILY[MATERIAL_FAMILY_ID],0)),""))</f>
        <v/>
      </c>
    </row>
    <row r="22">
      <c r="A22" s="20" t="n">
        <v>21</v>
      </c>
      <c r="B22" s="20">
        <f>IFERROR(INDEX(T_COMPONENT_MATERIAL[COMPONENT_MATERIAL_ID],[@ROW_INDEX]),"")</f>
        <v/>
      </c>
      <c r="C22" s="20">
        <f>IFERROR(INDEX(T_COMPONENT_MATERIAL[COMPONENT_ID],[@ROW_INDEX]),"")</f>
        <v/>
      </c>
      <c r="D22" s="20">
        <f>IFERROR(INDEX(T_COMPONENT_MATERIAL[MATERIAL_ID],[@ROW_INDEX]),"")</f>
        <v/>
      </c>
      <c r="E22" s="20">
        <f>IFERROR(INDEX(T_COMPONENT_MATERIAL[SHARE_PCT],[@ROW_INDEX]),"")</f>
        <v/>
      </c>
      <c r="F22" s="20">
        <f>IF([@COMPONENT_ID]="","",IFERROR(INDEX(T_COMPONENT[WEIGHT_G],MATCH([@COMPONENT_ID],T_COMPONENT[COMPONENT_ID],0)),""))</f>
        <v/>
      </c>
      <c r="G22" s="20">
        <f>IF(OR([@UNIT_WEIGHT_G]="",[@SHARE_PCT]=""),"",[@UNIT_WEIGHT_G]*[@SHARE_PCT]/100)</f>
        <v/>
      </c>
      <c r="H22" s="20">
        <f>IF([@MATERIAL_ID]="","",IFERROR(INDEX(T_LKP_MATERIAL[MATERIAL_FAMILY_ID],MATCH([@MATERIAL_ID],T_LKP_MATERIAL[MATERIAL_ID],0)),""))</f>
        <v/>
      </c>
      <c r="I22" s="20">
        <f>IF([@MATERIAL_FAMILY_ID]="","",IFERROR(INDEX(T_LKP_MATERIAL_FAMILY[MATERIAL_FAMILY_CODE],MATCH([@MATERIAL_FAMILY_ID],T_LKP_MATERIAL_FAMILY[MATERIAL_FAMILY_ID],0)),""))</f>
        <v/>
      </c>
    </row>
    <row r="23">
      <c r="A23" s="20" t="n">
        <v>22</v>
      </c>
      <c r="B23" s="20">
        <f>IFERROR(INDEX(T_COMPONENT_MATERIAL[COMPONENT_MATERIAL_ID],[@ROW_INDEX]),"")</f>
        <v/>
      </c>
      <c r="C23" s="20">
        <f>IFERROR(INDEX(T_COMPONENT_MATERIAL[COMPONENT_ID],[@ROW_INDEX]),"")</f>
        <v/>
      </c>
      <c r="D23" s="20">
        <f>IFERROR(INDEX(T_COMPONENT_MATERIAL[MATERIAL_ID],[@ROW_INDEX]),"")</f>
        <v/>
      </c>
      <c r="E23" s="20">
        <f>IFERROR(INDEX(T_COMPONENT_MATERIAL[SHARE_PCT],[@ROW_INDEX]),"")</f>
        <v/>
      </c>
      <c r="F23" s="20">
        <f>IF([@COMPONENT_ID]="","",IFERROR(INDEX(T_COMPONENT[WEIGHT_G],MATCH([@COMPONENT_ID],T_COMPONENT[COMPONENT_ID],0)),""))</f>
        <v/>
      </c>
      <c r="G23" s="20">
        <f>IF(OR([@UNIT_WEIGHT_G]="",[@SHARE_PCT]=""),"",[@UNIT_WEIGHT_G]*[@SHARE_PCT]/100)</f>
        <v/>
      </c>
      <c r="H23" s="20">
        <f>IF([@MATERIAL_ID]="","",IFERROR(INDEX(T_LKP_MATERIAL[MATERIAL_FAMILY_ID],MATCH([@MATERIAL_ID],T_LKP_MATERIAL[MATERIAL_ID],0)),""))</f>
        <v/>
      </c>
      <c r="I23" s="20">
        <f>IF([@MATERIAL_FAMILY_ID]="","",IFERROR(INDEX(T_LKP_MATERIAL_FAMILY[MATERIAL_FAMILY_CODE],MATCH([@MATERIAL_FAMILY_ID],T_LKP_MATERIAL_FAMILY[MATERIAL_FAMILY_ID],0)),""))</f>
        <v/>
      </c>
    </row>
    <row r="24">
      <c r="A24" s="20" t="n">
        <v>23</v>
      </c>
      <c r="B24" s="20">
        <f>IFERROR(INDEX(T_COMPONENT_MATERIAL[COMPONENT_MATERIAL_ID],[@ROW_INDEX]),"")</f>
        <v/>
      </c>
      <c r="C24" s="20">
        <f>IFERROR(INDEX(T_COMPONENT_MATERIAL[COMPONENT_ID],[@ROW_INDEX]),"")</f>
        <v/>
      </c>
      <c r="D24" s="20">
        <f>IFERROR(INDEX(T_COMPONENT_MATERIAL[MATERIAL_ID],[@ROW_INDEX]),"")</f>
        <v/>
      </c>
      <c r="E24" s="20">
        <f>IFERROR(INDEX(T_COMPONENT_MATERIAL[SHARE_PCT],[@ROW_INDEX]),"")</f>
        <v/>
      </c>
      <c r="F24" s="20">
        <f>IF([@COMPONENT_ID]="","",IFERROR(INDEX(T_COMPONENT[WEIGHT_G],MATCH([@COMPONENT_ID],T_COMPONENT[COMPONENT_ID],0)),""))</f>
        <v/>
      </c>
      <c r="G24" s="20">
        <f>IF(OR([@UNIT_WEIGHT_G]="",[@SHARE_PCT]=""),"",[@UNIT_WEIGHT_G]*[@SHARE_PCT]/100)</f>
        <v/>
      </c>
      <c r="H24" s="20">
        <f>IF([@MATERIAL_ID]="","",IFERROR(INDEX(T_LKP_MATERIAL[MATERIAL_FAMILY_ID],MATCH([@MATERIAL_ID],T_LKP_MATERIAL[MATERIAL_ID],0)),""))</f>
        <v/>
      </c>
      <c r="I24" s="20">
        <f>IF([@MATERIAL_FAMILY_ID]="","",IFERROR(INDEX(T_LKP_MATERIAL_FAMILY[MATERIAL_FAMILY_CODE],MATCH([@MATERIAL_FAMILY_ID],T_LKP_MATERIAL_FAMILY[MATERIAL_FAMILY_ID],0)),""))</f>
        <v/>
      </c>
    </row>
    <row r="25">
      <c r="A25" s="20" t="n">
        <v>24</v>
      </c>
      <c r="B25" s="20">
        <f>IFERROR(INDEX(T_COMPONENT_MATERIAL[COMPONENT_MATERIAL_ID],[@ROW_INDEX]),"")</f>
        <v/>
      </c>
      <c r="C25" s="20">
        <f>IFERROR(INDEX(T_COMPONENT_MATERIAL[COMPONENT_ID],[@ROW_INDEX]),"")</f>
        <v/>
      </c>
      <c r="D25" s="20">
        <f>IFERROR(INDEX(T_COMPONENT_MATERIAL[MATERIAL_ID],[@ROW_INDEX]),"")</f>
        <v/>
      </c>
      <c r="E25" s="20">
        <f>IFERROR(INDEX(T_COMPONENT_MATERIAL[SHARE_PCT],[@ROW_INDEX]),"")</f>
        <v/>
      </c>
      <c r="F25" s="20">
        <f>IF([@COMPONENT_ID]="","",IFERROR(INDEX(T_COMPONENT[WEIGHT_G],MATCH([@COMPONENT_ID],T_COMPONENT[COMPONENT_ID],0)),""))</f>
        <v/>
      </c>
      <c r="G25" s="20">
        <f>IF(OR([@UNIT_WEIGHT_G]="",[@SHARE_PCT]=""),"",[@UNIT_WEIGHT_G]*[@SHARE_PCT]/100)</f>
        <v/>
      </c>
      <c r="H25" s="20">
        <f>IF([@MATERIAL_ID]="","",IFERROR(INDEX(T_LKP_MATERIAL[MATERIAL_FAMILY_ID],MATCH([@MATERIAL_ID],T_LKP_MATERIAL[MATERIAL_ID],0)),""))</f>
        <v/>
      </c>
      <c r="I25" s="20">
        <f>IF([@MATERIAL_FAMILY_ID]="","",IFERROR(INDEX(T_LKP_MATERIAL_FAMILY[MATERIAL_FAMILY_CODE],MATCH([@MATERIAL_FAMILY_ID],T_LKP_MATERIAL_FAMILY[MATERIAL_FAMILY_ID],0)),""))</f>
        <v/>
      </c>
    </row>
    <row r="26">
      <c r="A26" s="20" t="n">
        <v>25</v>
      </c>
      <c r="B26" s="20">
        <f>IFERROR(INDEX(T_COMPONENT_MATERIAL[COMPONENT_MATERIAL_ID],[@ROW_INDEX]),"")</f>
        <v/>
      </c>
      <c r="C26" s="20">
        <f>IFERROR(INDEX(T_COMPONENT_MATERIAL[COMPONENT_ID],[@ROW_INDEX]),"")</f>
        <v/>
      </c>
      <c r="D26" s="20">
        <f>IFERROR(INDEX(T_COMPONENT_MATERIAL[MATERIAL_ID],[@ROW_INDEX]),"")</f>
        <v/>
      </c>
      <c r="E26" s="20">
        <f>IFERROR(INDEX(T_COMPONENT_MATERIAL[SHARE_PCT],[@ROW_INDEX]),"")</f>
        <v/>
      </c>
      <c r="F26" s="20">
        <f>IF([@COMPONENT_ID]="","",IFERROR(INDEX(T_COMPONENT[WEIGHT_G],MATCH([@COMPONENT_ID],T_COMPONENT[COMPONENT_ID],0)),""))</f>
        <v/>
      </c>
      <c r="G26" s="20">
        <f>IF(OR([@UNIT_WEIGHT_G]="",[@SHARE_PCT]=""),"",[@UNIT_WEIGHT_G]*[@SHARE_PCT]/100)</f>
        <v/>
      </c>
      <c r="H26" s="20">
        <f>IF([@MATERIAL_ID]="","",IFERROR(INDEX(T_LKP_MATERIAL[MATERIAL_FAMILY_ID],MATCH([@MATERIAL_ID],T_LKP_MATERIAL[MATERIAL_ID],0)),""))</f>
        <v/>
      </c>
      <c r="I26" s="20">
        <f>IF([@MATERIAL_FAMILY_ID]="","",IFERROR(INDEX(T_LKP_MATERIAL_FAMILY[MATERIAL_FAMILY_CODE],MATCH([@MATERIAL_FAMILY_ID],T_LKP_MATERIAL_FAMILY[MATERIAL_FAMILY_ID],0)),""))</f>
        <v/>
      </c>
    </row>
    <row r="27">
      <c r="A27" s="20" t="n">
        <v>26</v>
      </c>
      <c r="B27" s="20">
        <f>IFERROR(INDEX(T_COMPONENT_MATERIAL[COMPONENT_MATERIAL_ID],[@ROW_INDEX]),"")</f>
        <v/>
      </c>
      <c r="C27" s="20">
        <f>IFERROR(INDEX(T_COMPONENT_MATERIAL[COMPONENT_ID],[@ROW_INDEX]),"")</f>
        <v/>
      </c>
      <c r="D27" s="20">
        <f>IFERROR(INDEX(T_COMPONENT_MATERIAL[MATERIAL_ID],[@ROW_INDEX]),"")</f>
        <v/>
      </c>
      <c r="E27" s="20">
        <f>IFERROR(INDEX(T_COMPONENT_MATERIAL[SHARE_PCT],[@ROW_INDEX]),"")</f>
        <v/>
      </c>
      <c r="F27" s="20">
        <f>IF([@COMPONENT_ID]="","",IFERROR(INDEX(T_COMPONENT[WEIGHT_G],MATCH([@COMPONENT_ID],T_COMPONENT[COMPONENT_ID],0)),""))</f>
        <v/>
      </c>
      <c r="G27" s="20">
        <f>IF(OR([@UNIT_WEIGHT_G]="",[@SHARE_PCT]=""),"",[@UNIT_WEIGHT_G]*[@SHARE_PCT]/100)</f>
        <v/>
      </c>
      <c r="H27" s="20">
        <f>IF([@MATERIAL_ID]="","",IFERROR(INDEX(T_LKP_MATERIAL[MATERIAL_FAMILY_ID],MATCH([@MATERIAL_ID],T_LKP_MATERIAL[MATERIAL_ID],0)),""))</f>
        <v/>
      </c>
      <c r="I27" s="20">
        <f>IF([@MATERIAL_FAMILY_ID]="","",IFERROR(INDEX(T_LKP_MATERIAL_FAMILY[MATERIAL_FAMILY_CODE],MATCH([@MATERIAL_FAMILY_ID],T_LKP_MATERIAL_FAMILY[MATERIAL_FAMILY_ID],0)),""))</f>
        <v/>
      </c>
    </row>
    <row r="28">
      <c r="A28" s="20" t="n">
        <v>27</v>
      </c>
      <c r="B28" s="20">
        <f>IFERROR(INDEX(T_COMPONENT_MATERIAL[COMPONENT_MATERIAL_ID],[@ROW_INDEX]),"")</f>
        <v/>
      </c>
      <c r="C28" s="20">
        <f>IFERROR(INDEX(T_COMPONENT_MATERIAL[COMPONENT_ID],[@ROW_INDEX]),"")</f>
        <v/>
      </c>
      <c r="D28" s="20">
        <f>IFERROR(INDEX(T_COMPONENT_MATERIAL[MATERIAL_ID],[@ROW_INDEX]),"")</f>
        <v/>
      </c>
      <c r="E28" s="20">
        <f>IFERROR(INDEX(T_COMPONENT_MATERIAL[SHARE_PCT],[@ROW_INDEX]),"")</f>
        <v/>
      </c>
      <c r="F28" s="20">
        <f>IF([@COMPONENT_ID]="","",IFERROR(INDEX(T_COMPONENT[WEIGHT_G],MATCH([@COMPONENT_ID],T_COMPONENT[COMPONENT_ID],0)),""))</f>
        <v/>
      </c>
      <c r="G28" s="20">
        <f>IF(OR([@UNIT_WEIGHT_G]="",[@SHARE_PCT]=""),"",[@UNIT_WEIGHT_G]*[@SHARE_PCT]/100)</f>
        <v/>
      </c>
      <c r="H28" s="20">
        <f>IF([@MATERIAL_ID]="","",IFERROR(INDEX(T_LKP_MATERIAL[MATERIAL_FAMILY_ID],MATCH([@MATERIAL_ID],T_LKP_MATERIAL[MATERIAL_ID],0)),""))</f>
        <v/>
      </c>
      <c r="I28" s="20">
        <f>IF([@MATERIAL_FAMILY_ID]="","",IFERROR(INDEX(T_LKP_MATERIAL_FAMILY[MATERIAL_FAMILY_CODE],MATCH([@MATERIAL_FAMILY_ID],T_LKP_MATERIAL_FAMILY[MATERIAL_FAMILY_ID],0)),""))</f>
        <v/>
      </c>
    </row>
    <row r="29">
      <c r="A29" s="20" t="n">
        <v>28</v>
      </c>
      <c r="B29" s="20">
        <f>IFERROR(INDEX(T_COMPONENT_MATERIAL[COMPONENT_MATERIAL_ID],[@ROW_INDEX]),"")</f>
        <v/>
      </c>
      <c r="C29" s="20">
        <f>IFERROR(INDEX(T_COMPONENT_MATERIAL[COMPONENT_ID],[@ROW_INDEX]),"")</f>
        <v/>
      </c>
      <c r="D29" s="20">
        <f>IFERROR(INDEX(T_COMPONENT_MATERIAL[MATERIAL_ID],[@ROW_INDEX]),"")</f>
        <v/>
      </c>
      <c r="E29" s="20">
        <f>IFERROR(INDEX(T_COMPONENT_MATERIAL[SHARE_PCT],[@ROW_INDEX]),"")</f>
        <v/>
      </c>
      <c r="F29" s="20">
        <f>IF([@COMPONENT_ID]="","",IFERROR(INDEX(T_COMPONENT[WEIGHT_G],MATCH([@COMPONENT_ID],T_COMPONENT[COMPONENT_ID],0)),""))</f>
        <v/>
      </c>
      <c r="G29" s="20">
        <f>IF(OR([@UNIT_WEIGHT_G]="",[@SHARE_PCT]=""),"",[@UNIT_WEIGHT_G]*[@SHARE_PCT]/100)</f>
        <v/>
      </c>
      <c r="H29" s="20">
        <f>IF([@MATERIAL_ID]="","",IFERROR(INDEX(T_LKP_MATERIAL[MATERIAL_FAMILY_ID],MATCH([@MATERIAL_ID],T_LKP_MATERIAL[MATERIAL_ID],0)),""))</f>
        <v/>
      </c>
      <c r="I29" s="20">
        <f>IF([@MATERIAL_FAMILY_ID]="","",IFERROR(INDEX(T_LKP_MATERIAL_FAMILY[MATERIAL_FAMILY_CODE],MATCH([@MATERIAL_FAMILY_ID],T_LKP_MATERIAL_FAMILY[MATERIAL_FAMILY_ID],0)),""))</f>
        <v/>
      </c>
    </row>
    <row r="30">
      <c r="A30" s="20" t="n">
        <v>29</v>
      </c>
      <c r="B30" s="20">
        <f>IFERROR(INDEX(T_COMPONENT_MATERIAL[COMPONENT_MATERIAL_ID],[@ROW_INDEX]),"")</f>
        <v/>
      </c>
      <c r="C30" s="20">
        <f>IFERROR(INDEX(T_COMPONENT_MATERIAL[COMPONENT_ID],[@ROW_INDEX]),"")</f>
        <v/>
      </c>
      <c r="D30" s="20">
        <f>IFERROR(INDEX(T_COMPONENT_MATERIAL[MATERIAL_ID],[@ROW_INDEX]),"")</f>
        <v/>
      </c>
      <c r="E30" s="20">
        <f>IFERROR(INDEX(T_COMPONENT_MATERIAL[SHARE_PCT],[@ROW_INDEX]),"")</f>
        <v/>
      </c>
      <c r="F30" s="20">
        <f>IF([@COMPONENT_ID]="","",IFERROR(INDEX(T_COMPONENT[WEIGHT_G],MATCH([@COMPONENT_ID],T_COMPONENT[COMPONENT_ID],0)),""))</f>
        <v/>
      </c>
      <c r="G30" s="20">
        <f>IF(OR([@UNIT_WEIGHT_G]="",[@SHARE_PCT]=""),"",[@UNIT_WEIGHT_G]*[@SHARE_PCT]/100)</f>
        <v/>
      </c>
      <c r="H30" s="20">
        <f>IF([@MATERIAL_ID]="","",IFERROR(INDEX(T_LKP_MATERIAL[MATERIAL_FAMILY_ID],MATCH([@MATERIAL_ID],T_LKP_MATERIAL[MATERIAL_ID],0)),""))</f>
        <v/>
      </c>
      <c r="I30" s="20">
        <f>IF([@MATERIAL_FAMILY_ID]="","",IFERROR(INDEX(T_LKP_MATERIAL_FAMILY[MATERIAL_FAMILY_CODE],MATCH([@MATERIAL_FAMILY_ID],T_LKP_MATERIAL_FAMILY[MATERIAL_FAMILY_ID],0)),""))</f>
        <v/>
      </c>
    </row>
    <row r="31">
      <c r="A31" s="20" t="n">
        <v>30</v>
      </c>
      <c r="B31" s="20">
        <f>IFERROR(INDEX(T_COMPONENT_MATERIAL[COMPONENT_MATERIAL_ID],[@ROW_INDEX]),"")</f>
        <v/>
      </c>
      <c r="C31" s="20">
        <f>IFERROR(INDEX(T_COMPONENT_MATERIAL[COMPONENT_ID],[@ROW_INDEX]),"")</f>
        <v/>
      </c>
      <c r="D31" s="20">
        <f>IFERROR(INDEX(T_COMPONENT_MATERIAL[MATERIAL_ID],[@ROW_INDEX]),"")</f>
        <v/>
      </c>
      <c r="E31" s="20">
        <f>IFERROR(INDEX(T_COMPONENT_MATERIAL[SHARE_PCT],[@ROW_INDEX]),"")</f>
        <v/>
      </c>
      <c r="F31" s="20">
        <f>IF([@COMPONENT_ID]="","",IFERROR(INDEX(T_COMPONENT[WEIGHT_G],MATCH([@COMPONENT_ID],T_COMPONENT[COMPONENT_ID],0)),""))</f>
        <v/>
      </c>
      <c r="G31" s="20">
        <f>IF(OR([@UNIT_WEIGHT_G]="",[@SHARE_PCT]=""),"",[@UNIT_WEIGHT_G]*[@SHARE_PCT]/100)</f>
        <v/>
      </c>
      <c r="H31" s="20">
        <f>IF([@MATERIAL_ID]="","",IFERROR(INDEX(T_LKP_MATERIAL[MATERIAL_FAMILY_ID],MATCH([@MATERIAL_ID],T_LKP_MATERIAL[MATERIAL_ID],0)),""))</f>
        <v/>
      </c>
      <c r="I31" s="20">
        <f>IF([@MATERIAL_FAMILY_ID]="","",IFERROR(INDEX(T_LKP_MATERIAL_FAMILY[MATERIAL_FAMILY_CODE],MATCH([@MATERIAL_FAMILY_ID],T_LKP_MATERIAL_FAMILY[MATERIAL_FAMILY_ID],0)),""))</f>
        <v/>
      </c>
    </row>
    <row r="32">
      <c r="A32" s="20" t="n">
        <v>31</v>
      </c>
      <c r="B32" s="20">
        <f>IFERROR(INDEX(T_COMPONENT_MATERIAL[COMPONENT_MATERIAL_ID],[@ROW_INDEX]),"")</f>
        <v/>
      </c>
      <c r="C32" s="20">
        <f>IFERROR(INDEX(T_COMPONENT_MATERIAL[COMPONENT_ID],[@ROW_INDEX]),"")</f>
        <v/>
      </c>
      <c r="D32" s="20">
        <f>IFERROR(INDEX(T_COMPONENT_MATERIAL[MATERIAL_ID],[@ROW_INDEX]),"")</f>
        <v/>
      </c>
      <c r="E32" s="20">
        <f>IFERROR(INDEX(T_COMPONENT_MATERIAL[SHARE_PCT],[@ROW_INDEX]),"")</f>
        <v/>
      </c>
      <c r="F32" s="20">
        <f>IF([@COMPONENT_ID]="","",IFERROR(INDEX(T_COMPONENT[WEIGHT_G],MATCH([@COMPONENT_ID],T_COMPONENT[COMPONENT_ID],0)),""))</f>
        <v/>
      </c>
      <c r="G32" s="20">
        <f>IF(OR([@UNIT_WEIGHT_G]="",[@SHARE_PCT]=""),"",[@UNIT_WEIGHT_G]*[@SHARE_PCT]/100)</f>
        <v/>
      </c>
      <c r="H32" s="20">
        <f>IF([@MATERIAL_ID]="","",IFERROR(INDEX(T_LKP_MATERIAL[MATERIAL_FAMILY_ID],MATCH([@MATERIAL_ID],T_LKP_MATERIAL[MATERIAL_ID],0)),""))</f>
        <v/>
      </c>
      <c r="I32" s="20">
        <f>IF([@MATERIAL_FAMILY_ID]="","",IFERROR(INDEX(T_LKP_MATERIAL_FAMILY[MATERIAL_FAMILY_CODE],MATCH([@MATERIAL_FAMILY_ID],T_LKP_MATERIAL_FAMILY[MATERIAL_FAMILY_ID],0)),""))</f>
        <v/>
      </c>
    </row>
    <row r="33">
      <c r="A33" s="20" t="n">
        <v>32</v>
      </c>
      <c r="B33" s="20">
        <f>IFERROR(INDEX(T_COMPONENT_MATERIAL[COMPONENT_MATERIAL_ID],[@ROW_INDEX]),"")</f>
        <v/>
      </c>
      <c r="C33" s="20">
        <f>IFERROR(INDEX(T_COMPONENT_MATERIAL[COMPONENT_ID],[@ROW_INDEX]),"")</f>
        <v/>
      </c>
      <c r="D33" s="20">
        <f>IFERROR(INDEX(T_COMPONENT_MATERIAL[MATERIAL_ID],[@ROW_INDEX]),"")</f>
        <v/>
      </c>
      <c r="E33" s="20">
        <f>IFERROR(INDEX(T_COMPONENT_MATERIAL[SHARE_PCT],[@ROW_INDEX]),"")</f>
        <v/>
      </c>
      <c r="F33" s="20">
        <f>IF([@COMPONENT_ID]="","",IFERROR(INDEX(T_COMPONENT[WEIGHT_G],MATCH([@COMPONENT_ID],T_COMPONENT[COMPONENT_ID],0)),""))</f>
        <v/>
      </c>
      <c r="G33" s="20">
        <f>IF(OR([@UNIT_WEIGHT_G]="",[@SHARE_PCT]=""),"",[@UNIT_WEIGHT_G]*[@SHARE_PCT]/100)</f>
        <v/>
      </c>
      <c r="H33" s="20">
        <f>IF([@MATERIAL_ID]="","",IFERROR(INDEX(T_LKP_MATERIAL[MATERIAL_FAMILY_ID],MATCH([@MATERIAL_ID],T_LKP_MATERIAL[MATERIAL_ID],0)),""))</f>
        <v/>
      </c>
      <c r="I33" s="20">
        <f>IF([@MATERIAL_FAMILY_ID]="","",IFERROR(INDEX(T_LKP_MATERIAL_FAMILY[MATERIAL_FAMILY_CODE],MATCH([@MATERIAL_FAMILY_ID],T_LKP_MATERIAL_FAMILY[MATERIAL_FAMILY_ID],0)),""))</f>
        <v/>
      </c>
    </row>
    <row r="34">
      <c r="A34" s="20" t="n">
        <v>33</v>
      </c>
      <c r="B34" s="20">
        <f>IFERROR(INDEX(T_COMPONENT_MATERIAL[COMPONENT_MATERIAL_ID],[@ROW_INDEX]),"")</f>
        <v/>
      </c>
      <c r="C34" s="20">
        <f>IFERROR(INDEX(T_COMPONENT_MATERIAL[COMPONENT_ID],[@ROW_INDEX]),"")</f>
        <v/>
      </c>
      <c r="D34" s="20">
        <f>IFERROR(INDEX(T_COMPONENT_MATERIAL[MATERIAL_ID],[@ROW_INDEX]),"")</f>
        <v/>
      </c>
      <c r="E34" s="20">
        <f>IFERROR(INDEX(T_COMPONENT_MATERIAL[SHARE_PCT],[@ROW_INDEX]),"")</f>
        <v/>
      </c>
      <c r="F34" s="20">
        <f>IF([@COMPONENT_ID]="","",IFERROR(INDEX(T_COMPONENT[WEIGHT_G],MATCH([@COMPONENT_ID],T_COMPONENT[COMPONENT_ID],0)),""))</f>
        <v/>
      </c>
      <c r="G34" s="20">
        <f>IF(OR([@UNIT_WEIGHT_G]="",[@SHARE_PCT]=""),"",[@UNIT_WEIGHT_G]*[@SHARE_PCT]/100)</f>
        <v/>
      </c>
      <c r="H34" s="20">
        <f>IF([@MATERIAL_ID]="","",IFERROR(INDEX(T_LKP_MATERIAL[MATERIAL_FAMILY_ID],MATCH([@MATERIAL_ID],T_LKP_MATERIAL[MATERIAL_ID],0)),""))</f>
        <v/>
      </c>
      <c r="I34" s="20">
        <f>IF([@MATERIAL_FAMILY_ID]="","",IFERROR(INDEX(T_LKP_MATERIAL_FAMILY[MATERIAL_FAMILY_CODE],MATCH([@MATERIAL_FAMILY_ID],T_LKP_MATERIAL_FAMILY[MATERIAL_FAMILY_ID],0)),""))</f>
        <v/>
      </c>
    </row>
    <row r="35">
      <c r="A35" s="20" t="n">
        <v>34</v>
      </c>
      <c r="B35" s="20">
        <f>IFERROR(INDEX(T_COMPONENT_MATERIAL[COMPONENT_MATERIAL_ID],[@ROW_INDEX]),"")</f>
        <v/>
      </c>
      <c r="C35" s="20">
        <f>IFERROR(INDEX(T_COMPONENT_MATERIAL[COMPONENT_ID],[@ROW_INDEX]),"")</f>
        <v/>
      </c>
      <c r="D35" s="20">
        <f>IFERROR(INDEX(T_COMPONENT_MATERIAL[MATERIAL_ID],[@ROW_INDEX]),"")</f>
        <v/>
      </c>
      <c r="E35" s="20">
        <f>IFERROR(INDEX(T_COMPONENT_MATERIAL[SHARE_PCT],[@ROW_INDEX]),"")</f>
        <v/>
      </c>
      <c r="F35" s="20">
        <f>IF([@COMPONENT_ID]="","",IFERROR(INDEX(T_COMPONENT[WEIGHT_G],MATCH([@COMPONENT_ID],T_COMPONENT[COMPONENT_ID],0)),""))</f>
        <v/>
      </c>
      <c r="G35" s="20">
        <f>IF(OR([@UNIT_WEIGHT_G]="",[@SHARE_PCT]=""),"",[@UNIT_WEIGHT_G]*[@SHARE_PCT]/100)</f>
        <v/>
      </c>
      <c r="H35" s="20">
        <f>IF([@MATERIAL_ID]="","",IFERROR(INDEX(T_LKP_MATERIAL[MATERIAL_FAMILY_ID],MATCH([@MATERIAL_ID],T_LKP_MATERIAL[MATERIAL_ID],0)),""))</f>
        <v/>
      </c>
      <c r="I35" s="20">
        <f>IF([@MATERIAL_FAMILY_ID]="","",IFERROR(INDEX(T_LKP_MATERIAL_FAMILY[MATERIAL_FAMILY_CODE],MATCH([@MATERIAL_FAMILY_ID],T_LKP_MATERIAL_FAMILY[MATERIAL_FAMILY_ID],0)),""))</f>
        <v/>
      </c>
    </row>
    <row r="36">
      <c r="A36" s="20" t="n">
        <v>35</v>
      </c>
      <c r="B36" s="20">
        <f>IFERROR(INDEX(T_COMPONENT_MATERIAL[COMPONENT_MATERIAL_ID],[@ROW_INDEX]),"")</f>
        <v/>
      </c>
      <c r="C36" s="20">
        <f>IFERROR(INDEX(T_COMPONENT_MATERIAL[COMPONENT_ID],[@ROW_INDEX]),"")</f>
        <v/>
      </c>
      <c r="D36" s="20">
        <f>IFERROR(INDEX(T_COMPONENT_MATERIAL[MATERIAL_ID],[@ROW_INDEX]),"")</f>
        <v/>
      </c>
      <c r="E36" s="20">
        <f>IFERROR(INDEX(T_COMPONENT_MATERIAL[SHARE_PCT],[@ROW_INDEX]),"")</f>
        <v/>
      </c>
      <c r="F36" s="20">
        <f>IF([@COMPONENT_ID]="","",IFERROR(INDEX(T_COMPONENT[WEIGHT_G],MATCH([@COMPONENT_ID],T_COMPONENT[COMPONENT_ID],0)),""))</f>
        <v/>
      </c>
      <c r="G36" s="20">
        <f>IF(OR([@UNIT_WEIGHT_G]="",[@SHARE_PCT]=""),"",[@UNIT_WEIGHT_G]*[@SHARE_PCT]/100)</f>
        <v/>
      </c>
      <c r="H36" s="20">
        <f>IF([@MATERIAL_ID]="","",IFERROR(INDEX(T_LKP_MATERIAL[MATERIAL_FAMILY_ID],MATCH([@MATERIAL_ID],T_LKP_MATERIAL[MATERIAL_ID],0)),""))</f>
        <v/>
      </c>
      <c r="I36" s="20">
        <f>IF([@MATERIAL_FAMILY_ID]="","",IFERROR(INDEX(T_LKP_MATERIAL_FAMILY[MATERIAL_FAMILY_CODE],MATCH([@MATERIAL_FAMILY_ID],T_LKP_MATERIAL_FAMILY[MATERIAL_FAMILY_ID],0)),""))</f>
        <v/>
      </c>
    </row>
    <row r="37">
      <c r="A37" s="20" t="n">
        <v>36</v>
      </c>
      <c r="B37" s="20">
        <f>IFERROR(INDEX(T_COMPONENT_MATERIAL[COMPONENT_MATERIAL_ID],[@ROW_INDEX]),"")</f>
        <v/>
      </c>
      <c r="C37" s="20">
        <f>IFERROR(INDEX(T_COMPONENT_MATERIAL[COMPONENT_ID],[@ROW_INDEX]),"")</f>
        <v/>
      </c>
      <c r="D37" s="20">
        <f>IFERROR(INDEX(T_COMPONENT_MATERIAL[MATERIAL_ID],[@ROW_INDEX]),"")</f>
        <v/>
      </c>
      <c r="E37" s="20">
        <f>IFERROR(INDEX(T_COMPONENT_MATERIAL[SHARE_PCT],[@ROW_INDEX]),"")</f>
        <v/>
      </c>
      <c r="F37" s="20">
        <f>IF([@COMPONENT_ID]="","",IFERROR(INDEX(T_COMPONENT[WEIGHT_G],MATCH([@COMPONENT_ID],T_COMPONENT[COMPONENT_ID],0)),""))</f>
        <v/>
      </c>
      <c r="G37" s="20">
        <f>IF(OR([@UNIT_WEIGHT_G]="",[@SHARE_PCT]=""),"",[@UNIT_WEIGHT_G]*[@SHARE_PCT]/100)</f>
        <v/>
      </c>
      <c r="H37" s="20">
        <f>IF([@MATERIAL_ID]="","",IFERROR(INDEX(T_LKP_MATERIAL[MATERIAL_FAMILY_ID],MATCH([@MATERIAL_ID],T_LKP_MATERIAL[MATERIAL_ID],0)),""))</f>
        <v/>
      </c>
      <c r="I37" s="20">
        <f>IF([@MATERIAL_FAMILY_ID]="","",IFERROR(INDEX(T_LKP_MATERIAL_FAMILY[MATERIAL_FAMILY_CODE],MATCH([@MATERIAL_FAMILY_ID],T_LKP_MATERIAL_FAMILY[MATERIAL_FAMILY_ID],0)),""))</f>
        <v/>
      </c>
    </row>
    <row r="38">
      <c r="A38" s="20" t="n">
        <v>37</v>
      </c>
      <c r="B38" s="20">
        <f>IFERROR(INDEX(T_COMPONENT_MATERIAL[COMPONENT_MATERIAL_ID],[@ROW_INDEX]),"")</f>
        <v/>
      </c>
      <c r="C38" s="20">
        <f>IFERROR(INDEX(T_COMPONENT_MATERIAL[COMPONENT_ID],[@ROW_INDEX]),"")</f>
        <v/>
      </c>
      <c r="D38" s="20">
        <f>IFERROR(INDEX(T_COMPONENT_MATERIAL[MATERIAL_ID],[@ROW_INDEX]),"")</f>
        <v/>
      </c>
      <c r="E38" s="20">
        <f>IFERROR(INDEX(T_COMPONENT_MATERIAL[SHARE_PCT],[@ROW_INDEX]),"")</f>
        <v/>
      </c>
      <c r="F38" s="20">
        <f>IF([@COMPONENT_ID]="","",IFERROR(INDEX(T_COMPONENT[WEIGHT_G],MATCH([@COMPONENT_ID],T_COMPONENT[COMPONENT_ID],0)),""))</f>
        <v/>
      </c>
      <c r="G38" s="20">
        <f>IF(OR([@UNIT_WEIGHT_G]="",[@SHARE_PCT]=""),"",[@UNIT_WEIGHT_G]*[@SHARE_PCT]/100)</f>
        <v/>
      </c>
      <c r="H38" s="20">
        <f>IF([@MATERIAL_ID]="","",IFERROR(INDEX(T_LKP_MATERIAL[MATERIAL_FAMILY_ID],MATCH([@MATERIAL_ID],T_LKP_MATERIAL[MATERIAL_ID],0)),""))</f>
        <v/>
      </c>
      <c r="I38" s="20">
        <f>IF([@MATERIAL_FAMILY_ID]="","",IFERROR(INDEX(T_LKP_MATERIAL_FAMILY[MATERIAL_FAMILY_CODE],MATCH([@MATERIAL_FAMILY_ID],T_LKP_MATERIAL_FAMILY[MATERIAL_FAMILY_ID],0)),""))</f>
        <v/>
      </c>
    </row>
    <row r="39">
      <c r="A39" s="20" t="n">
        <v>38</v>
      </c>
      <c r="B39" s="20">
        <f>IFERROR(INDEX(T_COMPONENT_MATERIAL[COMPONENT_MATERIAL_ID],[@ROW_INDEX]),"")</f>
        <v/>
      </c>
      <c r="C39" s="20">
        <f>IFERROR(INDEX(T_COMPONENT_MATERIAL[COMPONENT_ID],[@ROW_INDEX]),"")</f>
        <v/>
      </c>
      <c r="D39" s="20">
        <f>IFERROR(INDEX(T_COMPONENT_MATERIAL[MATERIAL_ID],[@ROW_INDEX]),"")</f>
        <v/>
      </c>
      <c r="E39" s="20">
        <f>IFERROR(INDEX(T_COMPONENT_MATERIAL[SHARE_PCT],[@ROW_INDEX]),"")</f>
        <v/>
      </c>
      <c r="F39" s="20">
        <f>IF([@COMPONENT_ID]="","",IFERROR(INDEX(T_COMPONENT[WEIGHT_G],MATCH([@COMPONENT_ID],T_COMPONENT[COMPONENT_ID],0)),""))</f>
        <v/>
      </c>
      <c r="G39" s="20">
        <f>IF(OR([@UNIT_WEIGHT_G]="",[@SHARE_PCT]=""),"",[@UNIT_WEIGHT_G]*[@SHARE_PCT]/100)</f>
        <v/>
      </c>
      <c r="H39" s="20">
        <f>IF([@MATERIAL_ID]="","",IFERROR(INDEX(T_LKP_MATERIAL[MATERIAL_FAMILY_ID],MATCH([@MATERIAL_ID],T_LKP_MATERIAL[MATERIAL_ID],0)),""))</f>
        <v/>
      </c>
      <c r="I39" s="20">
        <f>IF([@MATERIAL_FAMILY_ID]="","",IFERROR(INDEX(T_LKP_MATERIAL_FAMILY[MATERIAL_FAMILY_CODE],MATCH([@MATERIAL_FAMILY_ID],T_LKP_MATERIAL_FAMILY[MATERIAL_FAMILY_ID],0)),""))</f>
        <v/>
      </c>
    </row>
    <row r="40">
      <c r="A40" s="20" t="n">
        <v>39</v>
      </c>
      <c r="B40" s="20">
        <f>IFERROR(INDEX(T_COMPONENT_MATERIAL[COMPONENT_MATERIAL_ID],[@ROW_INDEX]),"")</f>
        <v/>
      </c>
      <c r="C40" s="20">
        <f>IFERROR(INDEX(T_COMPONENT_MATERIAL[COMPONENT_ID],[@ROW_INDEX]),"")</f>
        <v/>
      </c>
      <c r="D40" s="20">
        <f>IFERROR(INDEX(T_COMPONENT_MATERIAL[MATERIAL_ID],[@ROW_INDEX]),"")</f>
        <v/>
      </c>
      <c r="E40" s="20">
        <f>IFERROR(INDEX(T_COMPONENT_MATERIAL[SHARE_PCT],[@ROW_INDEX]),"")</f>
        <v/>
      </c>
      <c r="F40" s="20">
        <f>IF([@COMPONENT_ID]="","",IFERROR(INDEX(T_COMPONENT[WEIGHT_G],MATCH([@COMPONENT_ID],T_COMPONENT[COMPONENT_ID],0)),""))</f>
        <v/>
      </c>
      <c r="G40" s="20">
        <f>IF(OR([@UNIT_WEIGHT_G]="",[@SHARE_PCT]=""),"",[@UNIT_WEIGHT_G]*[@SHARE_PCT]/100)</f>
        <v/>
      </c>
      <c r="H40" s="20">
        <f>IF([@MATERIAL_ID]="","",IFERROR(INDEX(T_LKP_MATERIAL[MATERIAL_FAMILY_ID],MATCH([@MATERIAL_ID],T_LKP_MATERIAL[MATERIAL_ID],0)),""))</f>
        <v/>
      </c>
      <c r="I40" s="20">
        <f>IF([@MATERIAL_FAMILY_ID]="","",IFERROR(INDEX(T_LKP_MATERIAL_FAMILY[MATERIAL_FAMILY_CODE],MATCH([@MATERIAL_FAMILY_ID],T_LKP_MATERIAL_FAMILY[MATERIAL_FAMILY_ID],0)),""))</f>
        <v/>
      </c>
    </row>
    <row r="41">
      <c r="A41" s="20" t="n">
        <v>40</v>
      </c>
      <c r="B41" s="20">
        <f>IFERROR(INDEX(T_COMPONENT_MATERIAL[COMPONENT_MATERIAL_ID],[@ROW_INDEX]),"")</f>
        <v/>
      </c>
      <c r="C41" s="20">
        <f>IFERROR(INDEX(T_COMPONENT_MATERIAL[COMPONENT_ID],[@ROW_INDEX]),"")</f>
        <v/>
      </c>
      <c r="D41" s="20">
        <f>IFERROR(INDEX(T_COMPONENT_MATERIAL[MATERIAL_ID],[@ROW_INDEX]),"")</f>
        <v/>
      </c>
      <c r="E41" s="20">
        <f>IFERROR(INDEX(T_COMPONENT_MATERIAL[SHARE_PCT],[@ROW_INDEX]),"")</f>
        <v/>
      </c>
      <c r="F41" s="20">
        <f>IF([@COMPONENT_ID]="","",IFERROR(INDEX(T_COMPONENT[WEIGHT_G],MATCH([@COMPONENT_ID],T_COMPONENT[COMPONENT_ID],0)),""))</f>
        <v/>
      </c>
      <c r="G41" s="20">
        <f>IF(OR([@UNIT_WEIGHT_G]="",[@SHARE_PCT]=""),"",[@UNIT_WEIGHT_G]*[@SHARE_PCT]/100)</f>
        <v/>
      </c>
      <c r="H41" s="20">
        <f>IF([@MATERIAL_ID]="","",IFERROR(INDEX(T_LKP_MATERIAL[MATERIAL_FAMILY_ID],MATCH([@MATERIAL_ID],T_LKP_MATERIAL[MATERIAL_ID],0)),""))</f>
        <v/>
      </c>
      <c r="I41" s="20">
        <f>IF([@MATERIAL_FAMILY_ID]="","",IFERROR(INDEX(T_LKP_MATERIAL_FAMILY[MATERIAL_FAMILY_CODE],MATCH([@MATERIAL_FAMILY_ID],T_LKP_MATERIAL_FAMILY[MATERIAL_FAMILY_ID],0)),""))</f>
        <v/>
      </c>
    </row>
    <row r="42">
      <c r="A42" s="20" t="n">
        <v>41</v>
      </c>
      <c r="B42" s="20">
        <f>IFERROR(INDEX(T_COMPONENT_MATERIAL[COMPONENT_MATERIAL_ID],[@ROW_INDEX]),"")</f>
        <v/>
      </c>
      <c r="C42" s="20">
        <f>IFERROR(INDEX(T_COMPONENT_MATERIAL[COMPONENT_ID],[@ROW_INDEX]),"")</f>
        <v/>
      </c>
      <c r="D42" s="20">
        <f>IFERROR(INDEX(T_COMPONENT_MATERIAL[MATERIAL_ID],[@ROW_INDEX]),"")</f>
        <v/>
      </c>
      <c r="E42" s="20">
        <f>IFERROR(INDEX(T_COMPONENT_MATERIAL[SHARE_PCT],[@ROW_INDEX]),"")</f>
        <v/>
      </c>
      <c r="F42" s="20">
        <f>IF([@COMPONENT_ID]="","",IFERROR(INDEX(T_COMPONENT[WEIGHT_G],MATCH([@COMPONENT_ID],T_COMPONENT[COMPONENT_ID],0)),""))</f>
        <v/>
      </c>
      <c r="G42" s="20">
        <f>IF(OR([@UNIT_WEIGHT_G]="",[@SHARE_PCT]=""),"",[@UNIT_WEIGHT_G]*[@SHARE_PCT]/100)</f>
        <v/>
      </c>
      <c r="H42" s="20">
        <f>IF([@MATERIAL_ID]="","",IFERROR(INDEX(T_LKP_MATERIAL[MATERIAL_FAMILY_ID],MATCH([@MATERIAL_ID],T_LKP_MATERIAL[MATERIAL_ID],0)),""))</f>
        <v/>
      </c>
      <c r="I42" s="20">
        <f>IF([@MATERIAL_FAMILY_ID]="","",IFERROR(INDEX(T_LKP_MATERIAL_FAMILY[MATERIAL_FAMILY_CODE],MATCH([@MATERIAL_FAMILY_ID],T_LKP_MATERIAL_FAMILY[MATERIAL_FAMILY_ID],0)),""))</f>
        <v/>
      </c>
    </row>
    <row r="43">
      <c r="A43" s="20" t="n">
        <v>42</v>
      </c>
      <c r="B43" s="20">
        <f>IFERROR(INDEX(T_COMPONENT_MATERIAL[COMPONENT_MATERIAL_ID],[@ROW_INDEX]),"")</f>
        <v/>
      </c>
      <c r="C43" s="20">
        <f>IFERROR(INDEX(T_COMPONENT_MATERIAL[COMPONENT_ID],[@ROW_INDEX]),"")</f>
        <v/>
      </c>
      <c r="D43" s="20">
        <f>IFERROR(INDEX(T_COMPONENT_MATERIAL[MATERIAL_ID],[@ROW_INDEX]),"")</f>
        <v/>
      </c>
      <c r="E43" s="20">
        <f>IFERROR(INDEX(T_COMPONENT_MATERIAL[SHARE_PCT],[@ROW_INDEX]),"")</f>
        <v/>
      </c>
      <c r="F43" s="20">
        <f>IF([@COMPONENT_ID]="","",IFERROR(INDEX(T_COMPONENT[WEIGHT_G],MATCH([@COMPONENT_ID],T_COMPONENT[COMPONENT_ID],0)),""))</f>
        <v/>
      </c>
      <c r="G43" s="20">
        <f>IF(OR([@UNIT_WEIGHT_G]="",[@SHARE_PCT]=""),"",[@UNIT_WEIGHT_G]*[@SHARE_PCT]/100)</f>
        <v/>
      </c>
      <c r="H43" s="20">
        <f>IF([@MATERIAL_ID]="","",IFERROR(INDEX(T_LKP_MATERIAL[MATERIAL_FAMILY_ID],MATCH([@MATERIAL_ID],T_LKP_MATERIAL[MATERIAL_ID],0)),""))</f>
        <v/>
      </c>
      <c r="I43" s="20">
        <f>IF([@MATERIAL_FAMILY_ID]="","",IFERROR(INDEX(T_LKP_MATERIAL_FAMILY[MATERIAL_FAMILY_CODE],MATCH([@MATERIAL_FAMILY_ID],T_LKP_MATERIAL_FAMILY[MATERIAL_FAMILY_ID],0)),""))</f>
        <v/>
      </c>
    </row>
    <row r="44">
      <c r="A44" s="20" t="n">
        <v>43</v>
      </c>
      <c r="B44" s="20">
        <f>IFERROR(INDEX(T_COMPONENT_MATERIAL[COMPONENT_MATERIAL_ID],[@ROW_INDEX]),"")</f>
        <v/>
      </c>
      <c r="C44" s="20">
        <f>IFERROR(INDEX(T_COMPONENT_MATERIAL[COMPONENT_ID],[@ROW_INDEX]),"")</f>
        <v/>
      </c>
      <c r="D44" s="20">
        <f>IFERROR(INDEX(T_COMPONENT_MATERIAL[MATERIAL_ID],[@ROW_INDEX]),"")</f>
        <v/>
      </c>
      <c r="E44" s="20">
        <f>IFERROR(INDEX(T_COMPONENT_MATERIAL[SHARE_PCT],[@ROW_INDEX]),"")</f>
        <v/>
      </c>
      <c r="F44" s="20">
        <f>IF([@COMPONENT_ID]="","",IFERROR(INDEX(T_COMPONENT[WEIGHT_G],MATCH([@COMPONENT_ID],T_COMPONENT[COMPONENT_ID],0)),""))</f>
        <v/>
      </c>
      <c r="G44" s="20">
        <f>IF(OR([@UNIT_WEIGHT_G]="",[@SHARE_PCT]=""),"",[@UNIT_WEIGHT_G]*[@SHARE_PCT]/100)</f>
        <v/>
      </c>
      <c r="H44" s="20">
        <f>IF([@MATERIAL_ID]="","",IFERROR(INDEX(T_LKP_MATERIAL[MATERIAL_FAMILY_ID],MATCH([@MATERIAL_ID],T_LKP_MATERIAL[MATERIAL_ID],0)),""))</f>
        <v/>
      </c>
      <c r="I44" s="20">
        <f>IF([@MATERIAL_FAMILY_ID]="","",IFERROR(INDEX(T_LKP_MATERIAL_FAMILY[MATERIAL_FAMILY_CODE],MATCH([@MATERIAL_FAMILY_ID],T_LKP_MATERIAL_FAMILY[MATERIAL_FAMILY_ID],0)),""))</f>
        <v/>
      </c>
    </row>
    <row r="45">
      <c r="A45" s="20" t="n">
        <v>44</v>
      </c>
      <c r="B45" s="20">
        <f>IFERROR(INDEX(T_COMPONENT_MATERIAL[COMPONENT_MATERIAL_ID],[@ROW_INDEX]),"")</f>
        <v/>
      </c>
      <c r="C45" s="20">
        <f>IFERROR(INDEX(T_COMPONENT_MATERIAL[COMPONENT_ID],[@ROW_INDEX]),"")</f>
        <v/>
      </c>
      <c r="D45" s="20">
        <f>IFERROR(INDEX(T_COMPONENT_MATERIAL[MATERIAL_ID],[@ROW_INDEX]),"")</f>
        <v/>
      </c>
      <c r="E45" s="20">
        <f>IFERROR(INDEX(T_COMPONENT_MATERIAL[SHARE_PCT],[@ROW_INDEX]),"")</f>
        <v/>
      </c>
      <c r="F45" s="20">
        <f>IF([@COMPONENT_ID]="","",IFERROR(INDEX(T_COMPONENT[WEIGHT_G],MATCH([@COMPONENT_ID],T_COMPONENT[COMPONENT_ID],0)),""))</f>
        <v/>
      </c>
      <c r="G45" s="20">
        <f>IF(OR([@UNIT_WEIGHT_G]="",[@SHARE_PCT]=""),"",[@UNIT_WEIGHT_G]*[@SHARE_PCT]/100)</f>
        <v/>
      </c>
      <c r="H45" s="20">
        <f>IF([@MATERIAL_ID]="","",IFERROR(INDEX(T_LKP_MATERIAL[MATERIAL_FAMILY_ID],MATCH([@MATERIAL_ID],T_LKP_MATERIAL[MATERIAL_ID],0)),""))</f>
        <v/>
      </c>
      <c r="I45" s="20">
        <f>IF([@MATERIAL_FAMILY_ID]="","",IFERROR(INDEX(T_LKP_MATERIAL_FAMILY[MATERIAL_FAMILY_CODE],MATCH([@MATERIAL_FAMILY_ID],T_LKP_MATERIAL_FAMILY[MATERIAL_FAMILY_ID],0)),""))</f>
        <v/>
      </c>
    </row>
    <row r="46">
      <c r="A46" s="20" t="n">
        <v>45</v>
      </c>
      <c r="B46" s="20">
        <f>IFERROR(INDEX(T_COMPONENT_MATERIAL[COMPONENT_MATERIAL_ID],[@ROW_INDEX]),"")</f>
        <v/>
      </c>
      <c r="C46" s="20">
        <f>IFERROR(INDEX(T_COMPONENT_MATERIAL[COMPONENT_ID],[@ROW_INDEX]),"")</f>
        <v/>
      </c>
      <c r="D46" s="20">
        <f>IFERROR(INDEX(T_COMPONENT_MATERIAL[MATERIAL_ID],[@ROW_INDEX]),"")</f>
        <v/>
      </c>
      <c r="E46" s="20">
        <f>IFERROR(INDEX(T_COMPONENT_MATERIAL[SHARE_PCT],[@ROW_INDEX]),"")</f>
        <v/>
      </c>
      <c r="F46" s="20">
        <f>IF([@COMPONENT_ID]="","",IFERROR(INDEX(T_COMPONENT[WEIGHT_G],MATCH([@COMPONENT_ID],T_COMPONENT[COMPONENT_ID],0)),""))</f>
        <v/>
      </c>
      <c r="G46" s="20">
        <f>IF(OR([@UNIT_WEIGHT_G]="",[@SHARE_PCT]=""),"",[@UNIT_WEIGHT_G]*[@SHARE_PCT]/100)</f>
        <v/>
      </c>
      <c r="H46" s="20">
        <f>IF([@MATERIAL_ID]="","",IFERROR(INDEX(T_LKP_MATERIAL[MATERIAL_FAMILY_ID],MATCH([@MATERIAL_ID],T_LKP_MATERIAL[MATERIAL_ID],0)),""))</f>
        <v/>
      </c>
      <c r="I46" s="20">
        <f>IF([@MATERIAL_FAMILY_ID]="","",IFERROR(INDEX(T_LKP_MATERIAL_FAMILY[MATERIAL_FAMILY_CODE],MATCH([@MATERIAL_FAMILY_ID],T_LKP_MATERIAL_FAMILY[MATERIAL_FAMILY_ID],0)),""))</f>
        <v/>
      </c>
    </row>
    <row r="47">
      <c r="A47" s="20" t="n">
        <v>46</v>
      </c>
      <c r="B47" s="20">
        <f>IFERROR(INDEX(T_COMPONENT_MATERIAL[COMPONENT_MATERIAL_ID],[@ROW_INDEX]),"")</f>
        <v/>
      </c>
      <c r="C47" s="20">
        <f>IFERROR(INDEX(T_COMPONENT_MATERIAL[COMPONENT_ID],[@ROW_INDEX]),"")</f>
        <v/>
      </c>
      <c r="D47" s="20">
        <f>IFERROR(INDEX(T_COMPONENT_MATERIAL[MATERIAL_ID],[@ROW_INDEX]),"")</f>
        <v/>
      </c>
      <c r="E47" s="20">
        <f>IFERROR(INDEX(T_COMPONENT_MATERIAL[SHARE_PCT],[@ROW_INDEX]),"")</f>
        <v/>
      </c>
      <c r="F47" s="20">
        <f>IF([@COMPONENT_ID]="","",IFERROR(INDEX(T_COMPONENT[WEIGHT_G],MATCH([@COMPONENT_ID],T_COMPONENT[COMPONENT_ID],0)),""))</f>
        <v/>
      </c>
      <c r="G47" s="20">
        <f>IF(OR([@UNIT_WEIGHT_G]="",[@SHARE_PCT]=""),"",[@UNIT_WEIGHT_G]*[@SHARE_PCT]/100)</f>
        <v/>
      </c>
      <c r="H47" s="20">
        <f>IF([@MATERIAL_ID]="","",IFERROR(INDEX(T_LKP_MATERIAL[MATERIAL_FAMILY_ID],MATCH([@MATERIAL_ID],T_LKP_MATERIAL[MATERIAL_ID],0)),""))</f>
        <v/>
      </c>
      <c r="I47" s="20">
        <f>IF([@MATERIAL_FAMILY_ID]="","",IFERROR(INDEX(T_LKP_MATERIAL_FAMILY[MATERIAL_FAMILY_CODE],MATCH([@MATERIAL_FAMILY_ID],T_LKP_MATERIAL_FAMILY[MATERIAL_FAMILY_ID],0)),""))</f>
        <v/>
      </c>
    </row>
    <row r="48">
      <c r="A48" s="20" t="n">
        <v>47</v>
      </c>
      <c r="B48" s="20">
        <f>IFERROR(INDEX(T_COMPONENT_MATERIAL[COMPONENT_MATERIAL_ID],[@ROW_INDEX]),"")</f>
        <v/>
      </c>
      <c r="C48" s="20">
        <f>IFERROR(INDEX(T_COMPONENT_MATERIAL[COMPONENT_ID],[@ROW_INDEX]),"")</f>
        <v/>
      </c>
      <c r="D48" s="20">
        <f>IFERROR(INDEX(T_COMPONENT_MATERIAL[MATERIAL_ID],[@ROW_INDEX]),"")</f>
        <v/>
      </c>
      <c r="E48" s="20">
        <f>IFERROR(INDEX(T_COMPONENT_MATERIAL[SHARE_PCT],[@ROW_INDEX]),"")</f>
        <v/>
      </c>
      <c r="F48" s="20">
        <f>IF([@COMPONENT_ID]="","",IFERROR(INDEX(T_COMPONENT[WEIGHT_G],MATCH([@COMPONENT_ID],T_COMPONENT[COMPONENT_ID],0)),""))</f>
        <v/>
      </c>
      <c r="G48" s="20">
        <f>IF(OR([@UNIT_WEIGHT_G]="",[@SHARE_PCT]=""),"",[@UNIT_WEIGHT_G]*[@SHARE_PCT]/100)</f>
        <v/>
      </c>
      <c r="H48" s="20">
        <f>IF([@MATERIAL_ID]="","",IFERROR(INDEX(T_LKP_MATERIAL[MATERIAL_FAMILY_ID],MATCH([@MATERIAL_ID],T_LKP_MATERIAL[MATERIAL_ID],0)),""))</f>
        <v/>
      </c>
      <c r="I48" s="20">
        <f>IF([@MATERIAL_FAMILY_ID]="","",IFERROR(INDEX(T_LKP_MATERIAL_FAMILY[MATERIAL_FAMILY_CODE],MATCH([@MATERIAL_FAMILY_ID],T_LKP_MATERIAL_FAMILY[MATERIAL_FAMILY_ID],0)),""))</f>
        <v/>
      </c>
    </row>
    <row r="49">
      <c r="A49" s="20" t="n">
        <v>48</v>
      </c>
      <c r="B49" s="20">
        <f>IFERROR(INDEX(T_COMPONENT_MATERIAL[COMPONENT_MATERIAL_ID],[@ROW_INDEX]),"")</f>
        <v/>
      </c>
      <c r="C49" s="20">
        <f>IFERROR(INDEX(T_COMPONENT_MATERIAL[COMPONENT_ID],[@ROW_INDEX]),"")</f>
        <v/>
      </c>
      <c r="D49" s="20">
        <f>IFERROR(INDEX(T_COMPONENT_MATERIAL[MATERIAL_ID],[@ROW_INDEX]),"")</f>
        <v/>
      </c>
      <c r="E49" s="20">
        <f>IFERROR(INDEX(T_COMPONENT_MATERIAL[SHARE_PCT],[@ROW_INDEX]),"")</f>
        <v/>
      </c>
      <c r="F49" s="20">
        <f>IF([@COMPONENT_ID]="","",IFERROR(INDEX(T_COMPONENT[WEIGHT_G],MATCH([@COMPONENT_ID],T_COMPONENT[COMPONENT_ID],0)),""))</f>
        <v/>
      </c>
      <c r="G49" s="20">
        <f>IF(OR([@UNIT_WEIGHT_G]="",[@SHARE_PCT]=""),"",[@UNIT_WEIGHT_G]*[@SHARE_PCT]/100)</f>
        <v/>
      </c>
      <c r="H49" s="20">
        <f>IF([@MATERIAL_ID]="","",IFERROR(INDEX(T_LKP_MATERIAL[MATERIAL_FAMILY_ID],MATCH([@MATERIAL_ID],T_LKP_MATERIAL[MATERIAL_ID],0)),""))</f>
        <v/>
      </c>
      <c r="I49" s="20">
        <f>IF([@MATERIAL_FAMILY_ID]="","",IFERROR(INDEX(T_LKP_MATERIAL_FAMILY[MATERIAL_FAMILY_CODE],MATCH([@MATERIAL_FAMILY_ID],T_LKP_MATERIAL_FAMILY[MATERIAL_FAMILY_ID],0)),""))</f>
        <v/>
      </c>
    </row>
    <row r="50">
      <c r="A50" s="20" t="n">
        <v>49</v>
      </c>
      <c r="B50" s="20">
        <f>IFERROR(INDEX(T_COMPONENT_MATERIAL[COMPONENT_MATERIAL_ID],[@ROW_INDEX]),"")</f>
        <v/>
      </c>
      <c r="C50" s="20">
        <f>IFERROR(INDEX(T_COMPONENT_MATERIAL[COMPONENT_ID],[@ROW_INDEX]),"")</f>
        <v/>
      </c>
      <c r="D50" s="20">
        <f>IFERROR(INDEX(T_COMPONENT_MATERIAL[MATERIAL_ID],[@ROW_INDEX]),"")</f>
        <v/>
      </c>
      <c r="E50" s="20">
        <f>IFERROR(INDEX(T_COMPONENT_MATERIAL[SHARE_PCT],[@ROW_INDEX]),"")</f>
        <v/>
      </c>
      <c r="F50" s="20">
        <f>IF([@COMPONENT_ID]="","",IFERROR(INDEX(T_COMPONENT[WEIGHT_G],MATCH([@COMPONENT_ID],T_COMPONENT[COMPONENT_ID],0)),""))</f>
        <v/>
      </c>
      <c r="G50" s="20">
        <f>IF(OR([@UNIT_WEIGHT_G]="",[@SHARE_PCT]=""),"",[@UNIT_WEIGHT_G]*[@SHARE_PCT]/100)</f>
        <v/>
      </c>
      <c r="H50" s="20">
        <f>IF([@MATERIAL_ID]="","",IFERROR(INDEX(T_LKP_MATERIAL[MATERIAL_FAMILY_ID],MATCH([@MATERIAL_ID],T_LKP_MATERIAL[MATERIAL_ID],0)),""))</f>
        <v/>
      </c>
      <c r="I50" s="20">
        <f>IF([@MATERIAL_FAMILY_ID]="","",IFERROR(INDEX(T_LKP_MATERIAL_FAMILY[MATERIAL_FAMILY_CODE],MATCH([@MATERIAL_FAMILY_ID],T_LKP_MATERIAL_FAMILY[MATERIAL_FAMILY_ID],0)),""))</f>
        <v/>
      </c>
    </row>
    <row r="51">
      <c r="A51" s="20" t="n">
        <v>50</v>
      </c>
      <c r="B51" s="20">
        <f>IFERROR(INDEX(T_COMPONENT_MATERIAL[COMPONENT_MATERIAL_ID],[@ROW_INDEX]),"")</f>
        <v/>
      </c>
      <c r="C51" s="20">
        <f>IFERROR(INDEX(T_COMPONENT_MATERIAL[COMPONENT_ID],[@ROW_INDEX]),"")</f>
        <v/>
      </c>
      <c r="D51" s="20">
        <f>IFERROR(INDEX(T_COMPONENT_MATERIAL[MATERIAL_ID],[@ROW_INDEX]),"")</f>
        <v/>
      </c>
      <c r="E51" s="20">
        <f>IFERROR(INDEX(T_COMPONENT_MATERIAL[SHARE_PCT],[@ROW_INDEX]),"")</f>
        <v/>
      </c>
      <c r="F51" s="20">
        <f>IF([@COMPONENT_ID]="","",IFERROR(INDEX(T_COMPONENT[WEIGHT_G],MATCH([@COMPONENT_ID],T_COMPONENT[COMPONENT_ID],0)),""))</f>
        <v/>
      </c>
      <c r="G51" s="20">
        <f>IF(OR([@UNIT_WEIGHT_G]="",[@SHARE_PCT]=""),"",[@UNIT_WEIGHT_G]*[@SHARE_PCT]/100)</f>
        <v/>
      </c>
      <c r="H51" s="20">
        <f>IF([@MATERIAL_ID]="","",IFERROR(INDEX(T_LKP_MATERIAL[MATERIAL_FAMILY_ID],MATCH([@MATERIAL_ID],T_LKP_MATERIAL[MATERIAL_ID],0)),""))</f>
        <v/>
      </c>
      <c r="I51" s="20">
        <f>IF([@MATERIAL_FAMILY_ID]="","",IFERROR(INDEX(T_LKP_MATERIAL_FAMILY[MATERIAL_FAMILY_CODE],MATCH([@MATERIAL_FAMILY_ID],T_LKP_MATERIAL_FAMILY[MATERIAL_FAMILY_ID],0)),""))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K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6" customWidth="1" min="4" max="4"/>
    <col width="12" customWidth="1" min="5" max="5"/>
    <col width="15" customWidth="1" min="6" max="6"/>
    <col width="17" customWidth="1" min="7" max="7"/>
    <col width="17" customWidth="1" min="8" max="8"/>
  </cols>
  <sheetData>
    <row r="1">
      <c r="A1" s="12" t="inlineStr">
        <is>
          <t>ROW_INDEX</t>
        </is>
      </c>
      <c r="B1" s="12" t="inlineStr">
        <is>
          <t>PACKAGING_CONFIGURATION_LINE_ID</t>
        </is>
      </c>
      <c r="C1" s="12" t="inlineStr">
        <is>
          <t>PACKAGING_CONFIGURATION_ID</t>
        </is>
      </c>
      <c r="D1" s="12" t="inlineStr">
        <is>
          <t>COMPONENT_ID</t>
        </is>
      </c>
      <c r="E1" s="12" t="inlineStr">
        <is>
          <t>QUANTITY</t>
        </is>
      </c>
      <c r="F1" s="12" t="inlineStr">
        <is>
          <t>IS_OPTIONAL</t>
        </is>
      </c>
      <c r="G1" s="12" t="inlineStr">
        <is>
          <t>UNIT_WEIGHT_G</t>
        </is>
      </c>
      <c r="H1" s="12" t="inlineStr">
        <is>
          <t>LINE_WEIGHT_G</t>
        </is>
      </c>
      <c r="J1" s="19" t="inlineStr">
        <is>
          <t>Dashboard</t>
        </is>
      </c>
    </row>
    <row r="2">
      <c r="A2" s="20" t="n">
        <v>1</v>
      </c>
      <c r="B2" s="20">
        <f>IFERROR(INDEX(T_PACKAGING_CONFIGURATION_LINE[PACKAGING_CONFIGURATION_LINE_ID],[@ROW_INDEX]),"")</f>
        <v/>
      </c>
      <c r="C2" s="20">
        <f>IFERROR(INDEX(T_PACKAGING_CONFIGURATION_LINE[PACKAGING_CONFIGURATION_ID],[@ROW_INDEX]),"")</f>
        <v/>
      </c>
      <c r="D2" s="20">
        <f>IFERROR(INDEX(T_PACKAGING_CONFIGURATION_LINE[COMPONENT_ID],[@ROW_INDEX]),"")</f>
        <v/>
      </c>
      <c r="E2" s="20">
        <f>IFERROR(INDEX(T_PACKAGING_CONFIGURATION_LINE[QUANTITY],[@ROW_INDEX]),"")</f>
        <v/>
      </c>
      <c r="F2" s="20">
        <f>IFERROR(INDEX(T_PACKAGING_CONFIGURATION_LINE[IS_OPTIONAL],[@ROW_INDEX]),"")</f>
        <v/>
      </c>
      <c r="G2" s="20">
        <f>IF([@COMPONENT_ID]="","",IFERROR(INDEX(T_COMPONENT[WEIGHT_G],MATCH([@COMPONENT_ID],T_COMPONENT[COMPONENT_ID],0)),""))</f>
        <v/>
      </c>
      <c r="H2" s="20">
        <f>IF(OR([@QUANTITY]="",[@UNIT_WEIGHT_G]=""),"",IF([@IS_OPTIONAL]=TRUE,0,[@QUANTITY]*[@UNIT_WEIGHT_G]))</f>
        <v/>
      </c>
    </row>
    <row r="3">
      <c r="A3" s="20" t="n">
        <v>2</v>
      </c>
      <c r="B3" s="20">
        <f>IFERROR(INDEX(T_PACKAGING_CONFIGURATION_LINE[PACKAGING_CONFIGURATION_LINE_ID],[@ROW_INDEX]),"")</f>
        <v/>
      </c>
      <c r="C3" s="20">
        <f>IFERROR(INDEX(T_PACKAGING_CONFIGURATION_LINE[PACKAGING_CONFIGURATION_ID],[@ROW_INDEX]),"")</f>
        <v/>
      </c>
      <c r="D3" s="20">
        <f>IFERROR(INDEX(T_PACKAGING_CONFIGURATION_LINE[COMPONENT_ID],[@ROW_INDEX]),"")</f>
        <v/>
      </c>
      <c r="E3" s="20">
        <f>IFERROR(INDEX(T_PACKAGING_CONFIGURATION_LINE[QUANTITY],[@ROW_INDEX]),"")</f>
        <v/>
      </c>
      <c r="F3" s="20">
        <f>IFERROR(INDEX(T_PACKAGING_CONFIGURATION_LINE[IS_OPTIONAL],[@ROW_INDEX]),"")</f>
        <v/>
      </c>
      <c r="G3" s="20">
        <f>IF([@COMPONENT_ID]="","",IFERROR(INDEX(T_COMPONENT[WEIGHT_G],MATCH([@COMPONENT_ID],T_COMPONENT[COMPONENT_ID],0)),""))</f>
        <v/>
      </c>
      <c r="H3" s="20">
        <f>IF(OR([@QUANTITY]="",[@UNIT_WEIGHT_G]=""),"",IF([@IS_OPTIONAL]=TRUE,0,[@QUANTITY]*[@UNIT_WEIGHT_G]))</f>
        <v/>
      </c>
    </row>
    <row r="4">
      <c r="A4" s="20" t="n">
        <v>3</v>
      </c>
      <c r="B4" s="20">
        <f>IFERROR(INDEX(T_PACKAGING_CONFIGURATION_LINE[PACKAGING_CONFIGURATION_LINE_ID],[@ROW_INDEX]),"")</f>
        <v/>
      </c>
      <c r="C4" s="20">
        <f>IFERROR(INDEX(T_PACKAGING_CONFIGURATION_LINE[PACKAGING_CONFIGURATION_ID],[@ROW_INDEX]),"")</f>
        <v/>
      </c>
      <c r="D4" s="20">
        <f>IFERROR(INDEX(T_PACKAGING_CONFIGURATION_LINE[COMPONENT_ID],[@ROW_INDEX]),"")</f>
        <v/>
      </c>
      <c r="E4" s="20">
        <f>IFERROR(INDEX(T_PACKAGING_CONFIGURATION_LINE[QUANTITY],[@ROW_INDEX]),"")</f>
        <v/>
      </c>
      <c r="F4" s="20">
        <f>IFERROR(INDEX(T_PACKAGING_CONFIGURATION_LINE[IS_OPTIONAL],[@ROW_INDEX]),"")</f>
        <v/>
      </c>
      <c r="G4" s="20">
        <f>IF([@COMPONENT_ID]="","",IFERROR(INDEX(T_COMPONENT[WEIGHT_G],MATCH([@COMPONENT_ID],T_COMPONENT[COMPONENT_ID],0)),""))</f>
        <v/>
      </c>
      <c r="H4" s="20">
        <f>IF(OR([@QUANTITY]="",[@UNIT_WEIGHT_G]=""),"",IF([@IS_OPTIONAL]=TRUE,0,[@QUANTITY]*[@UNIT_WEIGHT_G]))</f>
        <v/>
      </c>
    </row>
    <row r="5">
      <c r="A5" s="20" t="n">
        <v>4</v>
      </c>
      <c r="B5" s="20">
        <f>IFERROR(INDEX(T_PACKAGING_CONFIGURATION_LINE[PACKAGING_CONFIGURATION_LINE_ID],[@ROW_INDEX]),"")</f>
        <v/>
      </c>
      <c r="C5" s="20">
        <f>IFERROR(INDEX(T_PACKAGING_CONFIGURATION_LINE[PACKAGING_CONFIGURATION_ID],[@ROW_INDEX]),"")</f>
        <v/>
      </c>
      <c r="D5" s="20">
        <f>IFERROR(INDEX(T_PACKAGING_CONFIGURATION_LINE[COMPONENT_ID],[@ROW_INDEX]),"")</f>
        <v/>
      </c>
      <c r="E5" s="20">
        <f>IFERROR(INDEX(T_PACKAGING_CONFIGURATION_LINE[QUANTITY],[@ROW_INDEX]),"")</f>
        <v/>
      </c>
      <c r="F5" s="20">
        <f>IFERROR(INDEX(T_PACKAGING_CONFIGURATION_LINE[IS_OPTIONAL],[@ROW_INDEX]),"")</f>
        <v/>
      </c>
      <c r="G5" s="20">
        <f>IF([@COMPONENT_ID]="","",IFERROR(INDEX(T_COMPONENT[WEIGHT_G],MATCH([@COMPONENT_ID],T_COMPONENT[COMPONENT_ID],0)),""))</f>
        <v/>
      </c>
      <c r="H5" s="20">
        <f>IF(OR([@QUANTITY]="",[@UNIT_WEIGHT_G]=""),"",IF([@IS_OPTIONAL]=TRUE,0,[@QUANTITY]*[@UNIT_WEIGHT_G]))</f>
        <v/>
      </c>
    </row>
    <row r="6">
      <c r="A6" s="20" t="n">
        <v>5</v>
      </c>
      <c r="B6" s="20">
        <f>IFERROR(INDEX(T_PACKAGING_CONFIGURATION_LINE[PACKAGING_CONFIGURATION_LINE_ID],[@ROW_INDEX]),"")</f>
        <v/>
      </c>
      <c r="C6" s="20">
        <f>IFERROR(INDEX(T_PACKAGING_CONFIGURATION_LINE[PACKAGING_CONFIGURATION_ID],[@ROW_INDEX]),"")</f>
        <v/>
      </c>
      <c r="D6" s="20">
        <f>IFERROR(INDEX(T_PACKAGING_CONFIGURATION_LINE[COMPONENT_ID],[@ROW_INDEX]),"")</f>
        <v/>
      </c>
      <c r="E6" s="20">
        <f>IFERROR(INDEX(T_PACKAGING_CONFIGURATION_LINE[QUANTITY],[@ROW_INDEX]),"")</f>
        <v/>
      </c>
      <c r="F6" s="20">
        <f>IFERROR(INDEX(T_PACKAGING_CONFIGURATION_LINE[IS_OPTIONAL],[@ROW_INDEX]),"")</f>
        <v/>
      </c>
      <c r="G6" s="20">
        <f>IF([@COMPONENT_ID]="","",IFERROR(INDEX(T_COMPONENT[WEIGHT_G],MATCH([@COMPONENT_ID],T_COMPONENT[COMPONENT_ID],0)),""))</f>
        <v/>
      </c>
      <c r="H6" s="20">
        <f>IF(OR([@QUANTITY]="",[@UNIT_WEIGHT_G]=""),"",IF([@IS_OPTIONAL]=TRUE,0,[@QUANTITY]*[@UNIT_WEIGHT_G]))</f>
        <v/>
      </c>
    </row>
    <row r="7">
      <c r="A7" s="20" t="n">
        <v>6</v>
      </c>
      <c r="B7" s="20">
        <f>IFERROR(INDEX(T_PACKAGING_CONFIGURATION_LINE[PACKAGING_CONFIGURATION_LINE_ID],[@ROW_INDEX]),"")</f>
        <v/>
      </c>
      <c r="C7" s="20">
        <f>IFERROR(INDEX(T_PACKAGING_CONFIGURATION_LINE[PACKAGING_CONFIGURATION_ID],[@ROW_INDEX]),"")</f>
        <v/>
      </c>
      <c r="D7" s="20">
        <f>IFERROR(INDEX(T_PACKAGING_CONFIGURATION_LINE[COMPONENT_ID],[@ROW_INDEX]),"")</f>
        <v/>
      </c>
      <c r="E7" s="20">
        <f>IFERROR(INDEX(T_PACKAGING_CONFIGURATION_LINE[QUANTITY],[@ROW_INDEX]),"")</f>
        <v/>
      </c>
      <c r="F7" s="20">
        <f>IFERROR(INDEX(T_PACKAGING_CONFIGURATION_LINE[IS_OPTIONAL],[@ROW_INDEX]),"")</f>
        <v/>
      </c>
      <c r="G7" s="20">
        <f>IF([@COMPONENT_ID]="","",IFERROR(INDEX(T_COMPONENT[WEIGHT_G],MATCH([@COMPONENT_ID],T_COMPONENT[COMPONENT_ID],0)),""))</f>
        <v/>
      </c>
      <c r="H7" s="20">
        <f>IF(OR([@QUANTITY]="",[@UNIT_WEIGHT_G]=""),"",IF([@IS_OPTIONAL]=TRUE,0,[@QUANTITY]*[@UNIT_WEIGHT_G]))</f>
        <v/>
      </c>
    </row>
    <row r="8">
      <c r="A8" s="20" t="n">
        <v>7</v>
      </c>
      <c r="B8" s="20">
        <f>IFERROR(INDEX(T_PACKAGING_CONFIGURATION_LINE[PACKAGING_CONFIGURATION_LINE_ID],[@ROW_INDEX]),"")</f>
        <v/>
      </c>
      <c r="C8" s="20">
        <f>IFERROR(INDEX(T_PACKAGING_CONFIGURATION_LINE[PACKAGING_CONFIGURATION_ID],[@ROW_INDEX]),"")</f>
        <v/>
      </c>
      <c r="D8" s="20">
        <f>IFERROR(INDEX(T_PACKAGING_CONFIGURATION_LINE[COMPONENT_ID],[@ROW_INDEX]),"")</f>
        <v/>
      </c>
      <c r="E8" s="20">
        <f>IFERROR(INDEX(T_PACKAGING_CONFIGURATION_LINE[QUANTITY],[@ROW_INDEX]),"")</f>
        <v/>
      </c>
      <c r="F8" s="20">
        <f>IFERROR(INDEX(T_PACKAGING_CONFIGURATION_LINE[IS_OPTIONAL],[@ROW_INDEX]),"")</f>
        <v/>
      </c>
      <c r="G8" s="20">
        <f>IF([@COMPONENT_ID]="","",IFERROR(INDEX(T_COMPONENT[WEIGHT_G],MATCH([@COMPONENT_ID],T_COMPONENT[COMPONENT_ID],0)),""))</f>
        <v/>
      </c>
      <c r="H8" s="20">
        <f>IF(OR([@QUANTITY]="",[@UNIT_WEIGHT_G]=""),"",IF([@IS_OPTIONAL]=TRUE,0,[@QUANTITY]*[@UNIT_WEIGHT_G]))</f>
        <v/>
      </c>
    </row>
    <row r="9">
      <c r="A9" s="20" t="n">
        <v>8</v>
      </c>
      <c r="B9" s="20">
        <f>IFERROR(INDEX(T_PACKAGING_CONFIGURATION_LINE[PACKAGING_CONFIGURATION_LINE_ID],[@ROW_INDEX]),"")</f>
        <v/>
      </c>
      <c r="C9" s="20">
        <f>IFERROR(INDEX(T_PACKAGING_CONFIGURATION_LINE[PACKAGING_CONFIGURATION_ID],[@ROW_INDEX]),"")</f>
        <v/>
      </c>
      <c r="D9" s="20">
        <f>IFERROR(INDEX(T_PACKAGING_CONFIGURATION_LINE[COMPONENT_ID],[@ROW_INDEX]),"")</f>
        <v/>
      </c>
      <c r="E9" s="20">
        <f>IFERROR(INDEX(T_PACKAGING_CONFIGURATION_LINE[QUANTITY],[@ROW_INDEX]),"")</f>
        <v/>
      </c>
      <c r="F9" s="20">
        <f>IFERROR(INDEX(T_PACKAGING_CONFIGURATION_LINE[IS_OPTIONAL],[@ROW_INDEX]),"")</f>
        <v/>
      </c>
      <c r="G9" s="20">
        <f>IF([@COMPONENT_ID]="","",IFERROR(INDEX(T_COMPONENT[WEIGHT_G],MATCH([@COMPONENT_ID],T_COMPONENT[COMPONENT_ID],0)),""))</f>
        <v/>
      </c>
      <c r="H9" s="20">
        <f>IF(OR([@QUANTITY]="",[@UNIT_WEIGHT_G]=""),"",IF([@IS_OPTIONAL]=TRUE,0,[@QUANTITY]*[@UNIT_WEIGHT_G]))</f>
        <v/>
      </c>
    </row>
    <row r="10">
      <c r="A10" s="20" t="n">
        <v>9</v>
      </c>
      <c r="B10" s="20">
        <f>IFERROR(INDEX(T_PACKAGING_CONFIGURATION_LINE[PACKAGING_CONFIGURATION_LINE_ID],[@ROW_INDEX]),"")</f>
        <v/>
      </c>
      <c r="C10" s="20">
        <f>IFERROR(INDEX(T_PACKAGING_CONFIGURATION_LINE[PACKAGING_CONFIGURATION_ID],[@ROW_INDEX]),"")</f>
        <v/>
      </c>
      <c r="D10" s="20">
        <f>IFERROR(INDEX(T_PACKAGING_CONFIGURATION_LINE[COMPONENT_ID],[@ROW_INDEX]),"")</f>
        <v/>
      </c>
      <c r="E10" s="20">
        <f>IFERROR(INDEX(T_PACKAGING_CONFIGURATION_LINE[QUANTITY],[@ROW_INDEX]),"")</f>
        <v/>
      </c>
      <c r="F10" s="20">
        <f>IFERROR(INDEX(T_PACKAGING_CONFIGURATION_LINE[IS_OPTIONAL],[@ROW_INDEX]),"")</f>
        <v/>
      </c>
      <c r="G10" s="20">
        <f>IF([@COMPONENT_ID]="","",IFERROR(INDEX(T_COMPONENT[WEIGHT_G],MATCH([@COMPONENT_ID],T_COMPONENT[COMPONENT_ID],0)),""))</f>
        <v/>
      </c>
      <c r="H10" s="20">
        <f>IF(OR([@QUANTITY]="",[@UNIT_WEIGHT_G]=""),"",IF([@IS_OPTIONAL]=TRUE,0,[@QUANTITY]*[@UNIT_WEIGHT_G]))</f>
        <v/>
      </c>
    </row>
    <row r="11">
      <c r="A11" s="20" t="n">
        <v>10</v>
      </c>
      <c r="B11" s="20">
        <f>IFERROR(INDEX(T_PACKAGING_CONFIGURATION_LINE[PACKAGING_CONFIGURATION_LINE_ID],[@ROW_INDEX]),"")</f>
        <v/>
      </c>
      <c r="C11" s="20">
        <f>IFERROR(INDEX(T_PACKAGING_CONFIGURATION_LINE[PACKAGING_CONFIGURATION_ID],[@ROW_INDEX]),"")</f>
        <v/>
      </c>
      <c r="D11" s="20">
        <f>IFERROR(INDEX(T_PACKAGING_CONFIGURATION_LINE[COMPONENT_ID],[@ROW_INDEX]),"")</f>
        <v/>
      </c>
      <c r="E11" s="20">
        <f>IFERROR(INDEX(T_PACKAGING_CONFIGURATION_LINE[QUANTITY],[@ROW_INDEX]),"")</f>
        <v/>
      </c>
      <c r="F11" s="20">
        <f>IFERROR(INDEX(T_PACKAGING_CONFIGURATION_LINE[IS_OPTIONAL],[@ROW_INDEX]),"")</f>
        <v/>
      </c>
      <c r="G11" s="20">
        <f>IF([@COMPONENT_ID]="","",IFERROR(INDEX(T_COMPONENT[WEIGHT_G],MATCH([@COMPONENT_ID],T_COMPONENT[COMPONENT_ID],0)),""))</f>
        <v/>
      </c>
      <c r="H11" s="20">
        <f>IF(OR([@QUANTITY]="",[@UNIT_WEIGHT_G]=""),"",IF([@IS_OPTIONAL]=TRUE,0,[@QUANTITY]*[@UNIT_WEIGHT_G]))</f>
        <v/>
      </c>
    </row>
    <row r="12">
      <c r="A12" s="20" t="n">
        <v>11</v>
      </c>
      <c r="B12" s="20">
        <f>IFERROR(INDEX(T_PACKAGING_CONFIGURATION_LINE[PACKAGING_CONFIGURATION_LINE_ID],[@ROW_INDEX]),"")</f>
        <v/>
      </c>
      <c r="C12" s="20">
        <f>IFERROR(INDEX(T_PACKAGING_CONFIGURATION_LINE[PACKAGING_CONFIGURATION_ID],[@ROW_INDEX]),"")</f>
        <v/>
      </c>
      <c r="D12" s="20">
        <f>IFERROR(INDEX(T_PACKAGING_CONFIGURATION_LINE[COMPONENT_ID],[@ROW_INDEX]),"")</f>
        <v/>
      </c>
      <c r="E12" s="20">
        <f>IFERROR(INDEX(T_PACKAGING_CONFIGURATION_LINE[QUANTITY],[@ROW_INDEX]),"")</f>
        <v/>
      </c>
      <c r="F12" s="20">
        <f>IFERROR(INDEX(T_PACKAGING_CONFIGURATION_LINE[IS_OPTIONAL],[@ROW_INDEX]),"")</f>
        <v/>
      </c>
      <c r="G12" s="20">
        <f>IF([@COMPONENT_ID]="","",IFERROR(INDEX(T_COMPONENT[WEIGHT_G],MATCH([@COMPONENT_ID],T_COMPONENT[COMPONENT_ID],0)),""))</f>
        <v/>
      </c>
      <c r="H12" s="20">
        <f>IF(OR([@QUANTITY]="",[@UNIT_WEIGHT_G]=""),"",IF([@IS_OPTIONAL]=TRUE,0,[@QUANTITY]*[@UNIT_WEIGHT_G]))</f>
        <v/>
      </c>
    </row>
    <row r="13">
      <c r="A13" s="20" t="n">
        <v>12</v>
      </c>
      <c r="B13" s="20">
        <f>IFERROR(INDEX(T_PACKAGING_CONFIGURATION_LINE[PACKAGING_CONFIGURATION_LINE_ID],[@ROW_INDEX]),"")</f>
        <v/>
      </c>
      <c r="C13" s="20">
        <f>IFERROR(INDEX(T_PACKAGING_CONFIGURATION_LINE[PACKAGING_CONFIGURATION_ID],[@ROW_INDEX]),"")</f>
        <v/>
      </c>
      <c r="D13" s="20">
        <f>IFERROR(INDEX(T_PACKAGING_CONFIGURATION_LINE[COMPONENT_ID],[@ROW_INDEX]),"")</f>
        <v/>
      </c>
      <c r="E13" s="20">
        <f>IFERROR(INDEX(T_PACKAGING_CONFIGURATION_LINE[QUANTITY],[@ROW_INDEX]),"")</f>
        <v/>
      </c>
      <c r="F13" s="20">
        <f>IFERROR(INDEX(T_PACKAGING_CONFIGURATION_LINE[IS_OPTIONAL],[@ROW_INDEX]),"")</f>
        <v/>
      </c>
      <c r="G13" s="20">
        <f>IF([@COMPONENT_ID]="","",IFERROR(INDEX(T_COMPONENT[WEIGHT_G],MATCH([@COMPONENT_ID],T_COMPONENT[COMPONENT_ID],0)),""))</f>
        <v/>
      </c>
      <c r="H13" s="20">
        <f>IF(OR([@QUANTITY]="",[@UNIT_WEIGHT_G]=""),"",IF([@IS_OPTIONAL]=TRUE,0,[@QUANTITY]*[@UNIT_WEIGHT_G]))</f>
        <v/>
      </c>
    </row>
    <row r="14">
      <c r="A14" s="20" t="n">
        <v>13</v>
      </c>
      <c r="B14" s="20">
        <f>IFERROR(INDEX(T_PACKAGING_CONFIGURATION_LINE[PACKAGING_CONFIGURATION_LINE_ID],[@ROW_INDEX]),"")</f>
        <v/>
      </c>
      <c r="C14" s="20">
        <f>IFERROR(INDEX(T_PACKAGING_CONFIGURATION_LINE[PACKAGING_CONFIGURATION_ID],[@ROW_INDEX]),"")</f>
        <v/>
      </c>
      <c r="D14" s="20">
        <f>IFERROR(INDEX(T_PACKAGING_CONFIGURATION_LINE[COMPONENT_ID],[@ROW_INDEX]),"")</f>
        <v/>
      </c>
      <c r="E14" s="20">
        <f>IFERROR(INDEX(T_PACKAGING_CONFIGURATION_LINE[QUANTITY],[@ROW_INDEX]),"")</f>
        <v/>
      </c>
      <c r="F14" s="20">
        <f>IFERROR(INDEX(T_PACKAGING_CONFIGURATION_LINE[IS_OPTIONAL],[@ROW_INDEX]),"")</f>
        <v/>
      </c>
      <c r="G14" s="20">
        <f>IF([@COMPONENT_ID]="","",IFERROR(INDEX(T_COMPONENT[WEIGHT_G],MATCH([@COMPONENT_ID],T_COMPONENT[COMPONENT_ID],0)),""))</f>
        <v/>
      </c>
      <c r="H14" s="20">
        <f>IF(OR([@QUANTITY]="",[@UNIT_WEIGHT_G]=""),"",IF([@IS_OPTIONAL]=TRUE,0,[@QUANTITY]*[@UNIT_WEIGHT_G]))</f>
        <v/>
      </c>
    </row>
    <row r="15">
      <c r="A15" s="20" t="n">
        <v>14</v>
      </c>
      <c r="B15" s="20">
        <f>IFERROR(INDEX(T_PACKAGING_CONFIGURATION_LINE[PACKAGING_CONFIGURATION_LINE_ID],[@ROW_INDEX]),"")</f>
        <v/>
      </c>
      <c r="C15" s="20">
        <f>IFERROR(INDEX(T_PACKAGING_CONFIGURATION_LINE[PACKAGING_CONFIGURATION_ID],[@ROW_INDEX]),"")</f>
        <v/>
      </c>
      <c r="D15" s="20">
        <f>IFERROR(INDEX(T_PACKAGING_CONFIGURATION_LINE[COMPONENT_ID],[@ROW_INDEX]),"")</f>
        <v/>
      </c>
      <c r="E15" s="20">
        <f>IFERROR(INDEX(T_PACKAGING_CONFIGURATION_LINE[QUANTITY],[@ROW_INDEX]),"")</f>
        <v/>
      </c>
      <c r="F15" s="20">
        <f>IFERROR(INDEX(T_PACKAGING_CONFIGURATION_LINE[IS_OPTIONAL],[@ROW_INDEX]),"")</f>
        <v/>
      </c>
      <c r="G15" s="20">
        <f>IF([@COMPONENT_ID]="","",IFERROR(INDEX(T_COMPONENT[WEIGHT_G],MATCH([@COMPONENT_ID],T_COMPONENT[COMPONENT_ID],0)),""))</f>
        <v/>
      </c>
      <c r="H15" s="20">
        <f>IF(OR([@QUANTITY]="",[@UNIT_WEIGHT_G]=""),"",IF([@IS_OPTIONAL]=TRUE,0,[@QUANTITY]*[@UNIT_WEIGHT_G]))</f>
        <v/>
      </c>
    </row>
    <row r="16">
      <c r="A16" s="20" t="n">
        <v>15</v>
      </c>
      <c r="B16" s="20">
        <f>IFERROR(INDEX(T_PACKAGING_CONFIGURATION_LINE[PACKAGING_CONFIGURATION_LINE_ID],[@ROW_INDEX]),"")</f>
        <v/>
      </c>
      <c r="C16" s="20">
        <f>IFERROR(INDEX(T_PACKAGING_CONFIGURATION_LINE[PACKAGING_CONFIGURATION_ID],[@ROW_INDEX]),"")</f>
        <v/>
      </c>
      <c r="D16" s="20">
        <f>IFERROR(INDEX(T_PACKAGING_CONFIGURATION_LINE[COMPONENT_ID],[@ROW_INDEX]),"")</f>
        <v/>
      </c>
      <c r="E16" s="20">
        <f>IFERROR(INDEX(T_PACKAGING_CONFIGURATION_LINE[QUANTITY],[@ROW_INDEX]),"")</f>
        <v/>
      </c>
      <c r="F16" s="20">
        <f>IFERROR(INDEX(T_PACKAGING_CONFIGURATION_LINE[IS_OPTIONAL],[@ROW_INDEX]),"")</f>
        <v/>
      </c>
      <c r="G16" s="20">
        <f>IF([@COMPONENT_ID]="","",IFERROR(INDEX(T_COMPONENT[WEIGHT_G],MATCH([@COMPONENT_ID],T_COMPONENT[COMPONENT_ID],0)),""))</f>
        <v/>
      </c>
      <c r="H16" s="20">
        <f>IF(OR([@QUANTITY]="",[@UNIT_WEIGHT_G]=""),"",IF([@IS_OPTIONAL]=TRUE,0,[@QUANTITY]*[@UNIT_WEIGHT_G]))</f>
        <v/>
      </c>
    </row>
    <row r="17">
      <c r="A17" s="20" t="n">
        <v>16</v>
      </c>
      <c r="B17" s="20">
        <f>IFERROR(INDEX(T_PACKAGING_CONFIGURATION_LINE[PACKAGING_CONFIGURATION_LINE_ID],[@ROW_INDEX]),"")</f>
        <v/>
      </c>
      <c r="C17" s="20">
        <f>IFERROR(INDEX(T_PACKAGING_CONFIGURATION_LINE[PACKAGING_CONFIGURATION_ID],[@ROW_INDEX]),"")</f>
        <v/>
      </c>
      <c r="D17" s="20">
        <f>IFERROR(INDEX(T_PACKAGING_CONFIGURATION_LINE[COMPONENT_ID],[@ROW_INDEX]),"")</f>
        <v/>
      </c>
      <c r="E17" s="20">
        <f>IFERROR(INDEX(T_PACKAGING_CONFIGURATION_LINE[QUANTITY],[@ROW_INDEX]),"")</f>
        <v/>
      </c>
      <c r="F17" s="20">
        <f>IFERROR(INDEX(T_PACKAGING_CONFIGURATION_LINE[IS_OPTIONAL],[@ROW_INDEX]),"")</f>
        <v/>
      </c>
      <c r="G17" s="20">
        <f>IF([@COMPONENT_ID]="","",IFERROR(INDEX(T_COMPONENT[WEIGHT_G],MATCH([@COMPONENT_ID],T_COMPONENT[COMPONENT_ID],0)),""))</f>
        <v/>
      </c>
      <c r="H17" s="20">
        <f>IF(OR([@QUANTITY]="",[@UNIT_WEIGHT_G]=""),"",IF([@IS_OPTIONAL]=TRUE,0,[@QUANTITY]*[@UNIT_WEIGHT_G]))</f>
        <v/>
      </c>
    </row>
    <row r="18">
      <c r="A18" s="20" t="n">
        <v>17</v>
      </c>
      <c r="B18" s="20">
        <f>IFERROR(INDEX(T_PACKAGING_CONFIGURATION_LINE[PACKAGING_CONFIGURATION_LINE_ID],[@ROW_INDEX]),"")</f>
        <v/>
      </c>
      <c r="C18" s="20">
        <f>IFERROR(INDEX(T_PACKAGING_CONFIGURATION_LINE[PACKAGING_CONFIGURATION_ID],[@ROW_INDEX]),"")</f>
        <v/>
      </c>
      <c r="D18" s="20">
        <f>IFERROR(INDEX(T_PACKAGING_CONFIGURATION_LINE[COMPONENT_ID],[@ROW_INDEX]),"")</f>
        <v/>
      </c>
      <c r="E18" s="20">
        <f>IFERROR(INDEX(T_PACKAGING_CONFIGURATION_LINE[QUANTITY],[@ROW_INDEX]),"")</f>
        <v/>
      </c>
      <c r="F18" s="20">
        <f>IFERROR(INDEX(T_PACKAGING_CONFIGURATION_LINE[IS_OPTIONAL],[@ROW_INDEX]),"")</f>
        <v/>
      </c>
      <c r="G18" s="20">
        <f>IF([@COMPONENT_ID]="","",IFERROR(INDEX(T_COMPONENT[WEIGHT_G],MATCH([@COMPONENT_ID],T_COMPONENT[COMPONENT_ID],0)),""))</f>
        <v/>
      </c>
      <c r="H18" s="20">
        <f>IF(OR([@QUANTITY]="",[@UNIT_WEIGHT_G]=""),"",IF([@IS_OPTIONAL]=TRUE,0,[@QUANTITY]*[@UNIT_WEIGHT_G]))</f>
        <v/>
      </c>
    </row>
    <row r="19">
      <c r="A19" s="20" t="n">
        <v>18</v>
      </c>
      <c r="B19" s="20">
        <f>IFERROR(INDEX(T_PACKAGING_CONFIGURATION_LINE[PACKAGING_CONFIGURATION_LINE_ID],[@ROW_INDEX]),"")</f>
        <v/>
      </c>
      <c r="C19" s="20">
        <f>IFERROR(INDEX(T_PACKAGING_CONFIGURATION_LINE[PACKAGING_CONFIGURATION_ID],[@ROW_INDEX]),"")</f>
        <v/>
      </c>
      <c r="D19" s="20">
        <f>IFERROR(INDEX(T_PACKAGING_CONFIGURATION_LINE[COMPONENT_ID],[@ROW_INDEX]),"")</f>
        <v/>
      </c>
      <c r="E19" s="20">
        <f>IFERROR(INDEX(T_PACKAGING_CONFIGURATION_LINE[QUANTITY],[@ROW_INDEX]),"")</f>
        <v/>
      </c>
      <c r="F19" s="20">
        <f>IFERROR(INDEX(T_PACKAGING_CONFIGURATION_LINE[IS_OPTIONAL],[@ROW_INDEX]),"")</f>
        <v/>
      </c>
      <c r="G19" s="20">
        <f>IF([@COMPONENT_ID]="","",IFERROR(INDEX(T_COMPONENT[WEIGHT_G],MATCH([@COMPONENT_ID],T_COMPONENT[COMPONENT_ID],0)),""))</f>
        <v/>
      </c>
      <c r="H19" s="20">
        <f>IF(OR([@QUANTITY]="",[@UNIT_WEIGHT_G]=""),"",IF([@IS_OPTIONAL]=TRUE,0,[@QUANTITY]*[@UNIT_WEIGHT_G]))</f>
        <v/>
      </c>
    </row>
    <row r="20">
      <c r="A20" s="20" t="n">
        <v>19</v>
      </c>
      <c r="B20" s="20">
        <f>IFERROR(INDEX(T_PACKAGING_CONFIGURATION_LINE[PACKAGING_CONFIGURATION_LINE_ID],[@ROW_INDEX]),"")</f>
        <v/>
      </c>
      <c r="C20" s="20">
        <f>IFERROR(INDEX(T_PACKAGING_CONFIGURATION_LINE[PACKAGING_CONFIGURATION_ID],[@ROW_INDEX]),"")</f>
        <v/>
      </c>
      <c r="D20" s="20">
        <f>IFERROR(INDEX(T_PACKAGING_CONFIGURATION_LINE[COMPONENT_ID],[@ROW_INDEX]),"")</f>
        <v/>
      </c>
      <c r="E20" s="20">
        <f>IFERROR(INDEX(T_PACKAGING_CONFIGURATION_LINE[QUANTITY],[@ROW_INDEX]),"")</f>
        <v/>
      </c>
      <c r="F20" s="20">
        <f>IFERROR(INDEX(T_PACKAGING_CONFIGURATION_LINE[IS_OPTIONAL],[@ROW_INDEX]),"")</f>
        <v/>
      </c>
      <c r="G20" s="20">
        <f>IF([@COMPONENT_ID]="","",IFERROR(INDEX(T_COMPONENT[WEIGHT_G],MATCH([@COMPONENT_ID],T_COMPONENT[COMPONENT_ID],0)),""))</f>
        <v/>
      </c>
      <c r="H20" s="20">
        <f>IF(OR([@QUANTITY]="",[@UNIT_WEIGHT_G]=""),"",IF([@IS_OPTIONAL]=TRUE,0,[@QUANTITY]*[@UNIT_WEIGHT_G]))</f>
        <v/>
      </c>
    </row>
    <row r="21">
      <c r="A21" s="20" t="n">
        <v>20</v>
      </c>
      <c r="B21" s="20">
        <f>IFERROR(INDEX(T_PACKAGING_CONFIGURATION_LINE[PACKAGING_CONFIGURATION_LINE_ID],[@ROW_INDEX]),"")</f>
        <v/>
      </c>
      <c r="C21" s="20">
        <f>IFERROR(INDEX(T_PACKAGING_CONFIGURATION_LINE[PACKAGING_CONFIGURATION_ID],[@ROW_INDEX]),"")</f>
        <v/>
      </c>
      <c r="D21" s="20">
        <f>IFERROR(INDEX(T_PACKAGING_CONFIGURATION_LINE[COMPONENT_ID],[@ROW_INDEX]),"")</f>
        <v/>
      </c>
      <c r="E21" s="20">
        <f>IFERROR(INDEX(T_PACKAGING_CONFIGURATION_LINE[QUANTITY],[@ROW_INDEX]),"")</f>
        <v/>
      </c>
      <c r="F21" s="20">
        <f>IFERROR(INDEX(T_PACKAGING_CONFIGURATION_LINE[IS_OPTIONAL],[@ROW_INDEX]),"")</f>
        <v/>
      </c>
      <c r="G21" s="20">
        <f>IF([@COMPONENT_ID]="","",IFERROR(INDEX(T_COMPONENT[WEIGHT_G],MATCH([@COMPONENT_ID],T_COMPONENT[COMPONENT_ID],0)),""))</f>
        <v/>
      </c>
      <c r="H21" s="20">
        <f>IF(OR([@QUANTITY]="",[@UNIT_WEIGHT_G]=""),"",IF([@IS_OPTIONAL]=TRUE,0,[@QUANTITY]*[@UNIT_WEIGHT_G]))</f>
        <v/>
      </c>
    </row>
    <row r="22">
      <c r="A22" s="20" t="n">
        <v>21</v>
      </c>
      <c r="B22" s="20">
        <f>IFERROR(INDEX(T_PACKAGING_CONFIGURATION_LINE[PACKAGING_CONFIGURATION_LINE_ID],[@ROW_INDEX]),"")</f>
        <v/>
      </c>
      <c r="C22" s="20">
        <f>IFERROR(INDEX(T_PACKAGING_CONFIGURATION_LINE[PACKAGING_CONFIGURATION_ID],[@ROW_INDEX]),"")</f>
        <v/>
      </c>
      <c r="D22" s="20">
        <f>IFERROR(INDEX(T_PACKAGING_CONFIGURATION_LINE[COMPONENT_ID],[@ROW_INDEX]),"")</f>
        <v/>
      </c>
      <c r="E22" s="20">
        <f>IFERROR(INDEX(T_PACKAGING_CONFIGURATION_LINE[QUANTITY],[@ROW_INDEX]),"")</f>
        <v/>
      </c>
      <c r="F22" s="20">
        <f>IFERROR(INDEX(T_PACKAGING_CONFIGURATION_LINE[IS_OPTIONAL],[@ROW_INDEX]),"")</f>
        <v/>
      </c>
      <c r="G22" s="20">
        <f>IF([@COMPONENT_ID]="","",IFERROR(INDEX(T_COMPONENT[WEIGHT_G],MATCH([@COMPONENT_ID],T_COMPONENT[COMPONENT_ID],0)),""))</f>
        <v/>
      </c>
      <c r="H22" s="20">
        <f>IF(OR([@QUANTITY]="",[@UNIT_WEIGHT_G]=""),"",IF([@IS_OPTIONAL]=TRUE,0,[@QUANTITY]*[@UNIT_WEIGHT_G]))</f>
        <v/>
      </c>
    </row>
    <row r="23">
      <c r="A23" s="20" t="n">
        <v>22</v>
      </c>
      <c r="B23" s="20">
        <f>IFERROR(INDEX(T_PACKAGING_CONFIGURATION_LINE[PACKAGING_CONFIGURATION_LINE_ID],[@ROW_INDEX]),"")</f>
        <v/>
      </c>
      <c r="C23" s="20">
        <f>IFERROR(INDEX(T_PACKAGING_CONFIGURATION_LINE[PACKAGING_CONFIGURATION_ID],[@ROW_INDEX]),"")</f>
        <v/>
      </c>
      <c r="D23" s="20">
        <f>IFERROR(INDEX(T_PACKAGING_CONFIGURATION_LINE[COMPONENT_ID],[@ROW_INDEX]),"")</f>
        <v/>
      </c>
      <c r="E23" s="20">
        <f>IFERROR(INDEX(T_PACKAGING_CONFIGURATION_LINE[QUANTITY],[@ROW_INDEX]),"")</f>
        <v/>
      </c>
      <c r="F23" s="20">
        <f>IFERROR(INDEX(T_PACKAGING_CONFIGURATION_LINE[IS_OPTIONAL],[@ROW_INDEX]),"")</f>
        <v/>
      </c>
      <c r="G23" s="20">
        <f>IF([@COMPONENT_ID]="","",IFERROR(INDEX(T_COMPONENT[WEIGHT_G],MATCH([@COMPONENT_ID],T_COMPONENT[COMPONENT_ID],0)),""))</f>
        <v/>
      </c>
      <c r="H23" s="20">
        <f>IF(OR([@QUANTITY]="",[@UNIT_WEIGHT_G]=""),"",IF([@IS_OPTIONAL]=TRUE,0,[@QUANTITY]*[@UNIT_WEIGHT_G]))</f>
        <v/>
      </c>
    </row>
    <row r="24">
      <c r="A24" s="20" t="n">
        <v>23</v>
      </c>
      <c r="B24" s="20">
        <f>IFERROR(INDEX(T_PACKAGING_CONFIGURATION_LINE[PACKAGING_CONFIGURATION_LINE_ID],[@ROW_INDEX]),"")</f>
        <v/>
      </c>
      <c r="C24" s="20">
        <f>IFERROR(INDEX(T_PACKAGING_CONFIGURATION_LINE[PACKAGING_CONFIGURATION_ID],[@ROW_INDEX]),"")</f>
        <v/>
      </c>
      <c r="D24" s="20">
        <f>IFERROR(INDEX(T_PACKAGING_CONFIGURATION_LINE[COMPONENT_ID],[@ROW_INDEX]),"")</f>
        <v/>
      </c>
      <c r="E24" s="20">
        <f>IFERROR(INDEX(T_PACKAGING_CONFIGURATION_LINE[QUANTITY],[@ROW_INDEX]),"")</f>
        <v/>
      </c>
      <c r="F24" s="20">
        <f>IFERROR(INDEX(T_PACKAGING_CONFIGURATION_LINE[IS_OPTIONAL],[@ROW_INDEX]),"")</f>
        <v/>
      </c>
      <c r="G24" s="20">
        <f>IF([@COMPONENT_ID]="","",IFERROR(INDEX(T_COMPONENT[WEIGHT_G],MATCH([@COMPONENT_ID],T_COMPONENT[COMPONENT_ID],0)),""))</f>
        <v/>
      </c>
      <c r="H24" s="20">
        <f>IF(OR([@QUANTITY]="",[@UNIT_WEIGHT_G]=""),"",IF([@IS_OPTIONAL]=TRUE,0,[@QUANTITY]*[@UNIT_WEIGHT_G]))</f>
        <v/>
      </c>
    </row>
    <row r="25">
      <c r="A25" s="20" t="n">
        <v>24</v>
      </c>
      <c r="B25" s="20">
        <f>IFERROR(INDEX(T_PACKAGING_CONFIGURATION_LINE[PACKAGING_CONFIGURATION_LINE_ID],[@ROW_INDEX]),"")</f>
        <v/>
      </c>
      <c r="C25" s="20">
        <f>IFERROR(INDEX(T_PACKAGING_CONFIGURATION_LINE[PACKAGING_CONFIGURATION_ID],[@ROW_INDEX]),"")</f>
        <v/>
      </c>
      <c r="D25" s="20">
        <f>IFERROR(INDEX(T_PACKAGING_CONFIGURATION_LINE[COMPONENT_ID],[@ROW_INDEX]),"")</f>
        <v/>
      </c>
      <c r="E25" s="20">
        <f>IFERROR(INDEX(T_PACKAGING_CONFIGURATION_LINE[QUANTITY],[@ROW_INDEX]),"")</f>
        <v/>
      </c>
      <c r="F25" s="20">
        <f>IFERROR(INDEX(T_PACKAGING_CONFIGURATION_LINE[IS_OPTIONAL],[@ROW_INDEX]),"")</f>
        <v/>
      </c>
      <c r="G25" s="20">
        <f>IF([@COMPONENT_ID]="","",IFERROR(INDEX(T_COMPONENT[WEIGHT_G],MATCH([@COMPONENT_ID],T_COMPONENT[COMPONENT_ID],0)),""))</f>
        <v/>
      </c>
      <c r="H25" s="20">
        <f>IF(OR([@QUANTITY]="",[@UNIT_WEIGHT_G]=""),"",IF([@IS_OPTIONAL]=TRUE,0,[@QUANTITY]*[@UNIT_WEIGHT_G]))</f>
        <v/>
      </c>
    </row>
    <row r="26">
      <c r="A26" s="20" t="n">
        <v>25</v>
      </c>
      <c r="B26" s="20">
        <f>IFERROR(INDEX(T_PACKAGING_CONFIGURATION_LINE[PACKAGING_CONFIGURATION_LINE_ID],[@ROW_INDEX]),"")</f>
        <v/>
      </c>
      <c r="C26" s="20">
        <f>IFERROR(INDEX(T_PACKAGING_CONFIGURATION_LINE[PACKAGING_CONFIGURATION_ID],[@ROW_INDEX]),"")</f>
        <v/>
      </c>
      <c r="D26" s="20">
        <f>IFERROR(INDEX(T_PACKAGING_CONFIGURATION_LINE[COMPONENT_ID],[@ROW_INDEX]),"")</f>
        <v/>
      </c>
      <c r="E26" s="20">
        <f>IFERROR(INDEX(T_PACKAGING_CONFIGURATION_LINE[QUANTITY],[@ROW_INDEX]),"")</f>
        <v/>
      </c>
      <c r="F26" s="20">
        <f>IFERROR(INDEX(T_PACKAGING_CONFIGURATION_LINE[IS_OPTIONAL],[@ROW_INDEX]),"")</f>
        <v/>
      </c>
      <c r="G26" s="20">
        <f>IF([@COMPONENT_ID]="","",IFERROR(INDEX(T_COMPONENT[WEIGHT_G],MATCH([@COMPONENT_ID],T_COMPONENT[COMPONENT_ID],0)),""))</f>
        <v/>
      </c>
      <c r="H26" s="20">
        <f>IF(OR([@QUANTITY]="",[@UNIT_WEIGHT_G]=""),"",IF([@IS_OPTIONAL]=TRUE,0,[@QUANTITY]*[@UNIT_WEIGHT_G]))</f>
        <v/>
      </c>
    </row>
    <row r="27">
      <c r="A27" s="20" t="n">
        <v>26</v>
      </c>
      <c r="B27" s="20">
        <f>IFERROR(INDEX(T_PACKAGING_CONFIGURATION_LINE[PACKAGING_CONFIGURATION_LINE_ID],[@ROW_INDEX]),"")</f>
        <v/>
      </c>
      <c r="C27" s="20">
        <f>IFERROR(INDEX(T_PACKAGING_CONFIGURATION_LINE[PACKAGING_CONFIGURATION_ID],[@ROW_INDEX]),"")</f>
        <v/>
      </c>
      <c r="D27" s="20">
        <f>IFERROR(INDEX(T_PACKAGING_CONFIGURATION_LINE[COMPONENT_ID],[@ROW_INDEX]),"")</f>
        <v/>
      </c>
      <c r="E27" s="20">
        <f>IFERROR(INDEX(T_PACKAGING_CONFIGURATION_LINE[QUANTITY],[@ROW_INDEX]),"")</f>
        <v/>
      </c>
      <c r="F27" s="20">
        <f>IFERROR(INDEX(T_PACKAGING_CONFIGURATION_LINE[IS_OPTIONAL],[@ROW_INDEX]),"")</f>
        <v/>
      </c>
      <c r="G27" s="20">
        <f>IF([@COMPONENT_ID]="","",IFERROR(INDEX(T_COMPONENT[WEIGHT_G],MATCH([@COMPONENT_ID],T_COMPONENT[COMPONENT_ID],0)),""))</f>
        <v/>
      </c>
      <c r="H27" s="20">
        <f>IF(OR([@QUANTITY]="",[@UNIT_WEIGHT_G]=""),"",IF([@IS_OPTIONAL]=TRUE,0,[@QUANTITY]*[@UNIT_WEIGHT_G]))</f>
        <v/>
      </c>
    </row>
    <row r="28">
      <c r="A28" s="20" t="n">
        <v>27</v>
      </c>
      <c r="B28" s="20">
        <f>IFERROR(INDEX(T_PACKAGING_CONFIGURATION_LINE[PACKAGING_CONFIGURATION_LINE_ID],[@ROW_INDEX]),"")</f>
        <v/>
      </c>
      <c r="C28" s="20">
        <f>IFERROR(INDEX(T_PACKAGING_CONFIGURATION_LINE[PACKAGING_CONFIGURATION_ID],[@ROW_INDEX]),"")</f>
        <v/>
      </c>
      <c r="D28" s="20">
        <f>IFERROR(INDEX(T_PACKAGING_CONFIGURATION_LINE[COMPONENT_ID],[@ROW_INDEX]),"")</f>
        <v/>
      </c>
      <c r="E28" s="20">
        <f>IFERROR(INDEX(T_PACKAGING_CONFIGURATION_LINE[QUANTITY],[@ROW_INDEX]),"")</f>
        <v/>
      </c>
      <c r="F28" s="20">
        <f>IFERROR(INDEX(T_PACKAGING_CONFIGURATION_LINE[IS_OPTIONAL],[@ROW_INDEX]),"")</f>
        <v/>
      </c>
      <c r="G28" s="20">
        <f>IF([@COMPONENT_ID]="","",IFERROR(INDEX(T_COMPONENT[WEIGHT_G],MATCH([@COMPONENT_ID],T_COMPONENT[COMPONENT_ID],0)),""))</f>
        <v/>
      </c>
      <c r="H28" s="20">
        <f>IF(OR([@QUANTITY]="",[@UNIT_WEIGHT_G]=""),"",IF([@IS_OPTIONAL]=TRUE,0,[@QUANTITY]*[@UNIT_WEIGHT_G]))</f>
        <v/>
      </c>
    </row>
    <row r="29">
      <c r="A29" s="20" t="n">
        <v>28</v>
      </c>
      <c r="B29" s="20">
        <f>IFERROR(INDEX(T_PACKAGING_CONFIGURATION_LINE[PACKAGING_CONFIGURATION_LINE_ID],[@ROW_INDEX]),"")</f>
        <v/>
      </c>
      <c r="C29" s="20">
        <f>IFERROR(INDEX(T_PACKAGING_CONFIGURATION_LINE[PACKAGING_CONFIGURATION_ID],[@ROW_INDEX]),"")</f>
        <v/>
      </c>
      <c r="D29" s="20">
        <f>IFERROR(INDEX(T_PACKAGING_CONFIGURATION_LINE[COMPONENT_ID],[@ROW_INDEX]),"")</f>
        <v/>
      </c>
      <c r="E29" s="20">
        <f>IFERROR(INDEX(T_PACKAGING_CONFIGURATION_LINE[QUANTITY],[@ROW_INDEX]),"")</f>
        <v/>
      </c>
      <c r="F29" s="20">
        <f>IFERROR(INDEX(T_PACKAGING_CONFIGURATION_LINE[IS_OPTIONAL],[@ROW_INDEX]),"")</f>
        <v/>
      </c>
      <c r="G29" s="20">
        <f>IF([@COMPONENT_ID]="","",IFERROR(INDEX(T_COMPONENT[WEIGHT_G],MATCH([@COMPONENT_ID],T_COMPONENT[COMPONENT_ID],0)),""))</f>
        <v/>
      </c>
      <c r="H29" s="20">
        <f>IF(OR([@QUANTITY]="",[@UNIT_WEIGHT_G]=""),"",IF([@IS_OPTIONAL]=TRUE,0,[@QUANTITY]*[@UNIT_WEIGHT_G]))</f>
        <v/>
      </c>
    </row>
    <row r="30">
      <c r="A30" s="20" t="n">
        <v>29</v>
      </c>
      <c r="B30" s="20">
        <f>IFERROR(INDEX(T_PACKAGING_CONFIGURATION_LINE[PACKAGING_CONFIGURATION_LINE_ID],[@ROW_INDEX]),"")</f>
        <v/>
      </c>
      <c r="C30" s="20">
        <f>IFERROR(INDEX(T_PACKAGING_CONFIGURATION_LINE[PACKAGING_CONFIGURATION_ID],[@ROW_INDEX]),"")</f>
        <v/>
      </c>
      <c r="D30" s="20">
        <f>IFERROR(INDEX(T_PACKAGING_CONFIGURATION_LINE[COMPONENT_ID],[@ROW_INDEX]),"")</f>
        <v/>
      </c>
      <c r="E30" s="20">
        <f>IFERROR(INDEX(T_PACKAGING_CONFIGURATION_LINE[QUANTITY],[@ROW_INDEX]),"")</f>
        <v/>
      </c>
      <c r="F30" s="20">
        <f>IFERROR(INDEX(T_PACKAGING_CONFIGURATION_LINE[IS_OPTIONAL],[@ROW_INDEX]),"")</f>
        <v/>
      </c>
      <c r="G30" s="20">
        <f>IF([@COMPONENT_ID]="","",IFERROR(INDEX(T_COMPONENT[WEIGHT_G],MATCH([@COMPONENT_ID],T_COMPONENT[COMPONENT_ID],0)),""))</f>
        <v/>
      </c>
      <c r="H30" s="20">
        <f>IF(OR([@QUANTITY]="",[@UNIT_WEIGHT_G]=""),"",IF([@IS_OPTIONAL]=TRUE,0,[@QUANTITY]*[@UNIT_WEIGHT_G]))</f>
        <v/>
      </c>
    </row>
    <row r="31">
      <c r="A31" s="20" t="n">
        <v>30</v>
      </c>
      <c r="B31" s="20">
        <f>IFERROR(INDEX(T_PACKAGING_CONFIGURATION_LINE[PACKAGING_CONFIGURATION_LINE_ID],[@ROW_INDEX]),"")</f>
        <v/>
      </c>
      <c r="C31" s="20">
        <f>IFERROR(INDEX(T_PACKAGING_CONFIGURATION_LINE[PACKAGING_CONFIGURATION_ID],[@ROW_INDEX]),"")</f>
        <v/>
      </c>
      <c r="D31" s="20">
        <f>IFERROR(INDEX(T_PACKAGING_CONFIGURATION_LINE[COMPONENT_ID],[@ROW_INDEX]),"")</f>
        <v/>
      </c>
      <c r="E31" s="20">
        <f>IFERROR(INDEX(T_PACKAGING_CONFIGURATION_LINE[QUANTITY],[@ROW_INDEX]),"")</f>
        <v/>
      </c>
      <c r="F31" s="20">
        <f>IFERROR(INDEX(T_PACKAGING_CONFIGURATION_LINE[IS_OPTIONAL],[@ROW_INDEX]),"")</f>
        <v/>
      </c>
      <c r="G31" s="20">
        <f>IF([@COMPONENT_ID]="","",IFERROR(INDEX(T_COMPONENT[WEIGHT_G],MATCH([@COMPONENT_ID],T_COMPONENT[COMPONENT_ID],0)),""))</f>
        <v/>
      </c>
      <c r="H31" s="20">
        <f>IF(OR([@QUANTITY]="",[@UNIT_WEIGHT_G]=""),"",IF([@IS_OPTIONAL]=TRUE,0,[@QUANTITY]*[@UNIT_WEIGHT_G]))</f>
        <v/>
      </c>
    </row>
    <row r="32">
      <c r="A32" s="20" t="n">
        <v>31</v>
      </c>
      <c r="B32" s="20">
        <f>IFERROR(INDEX(T_PACKAGING_CONFIGURATION_LINE[PACKAGING_CONFIGURATION_LINE_ID],[@ROW_INDEX]),"")</f>
        <v/>
      </c>
      <c r="C32" s="20">
        <f>IFERROR(INDEX(T_PACKAGING_CONFIGURATION_LINE[PACKAGING_CONFIGURATION_ID],[@ROW_INDEX]),"")</f>
        <v/>
      </c>
      <c r="D32" s="20">
        <f>IFERROR(INDEX(T_PACKAGING_CONFIGURATION_LINE[COMPONENT_ID],[@ROW_INDEX]),"")</f>
        <v/>
      </c>
      <c r="E32" s="20">
        <f>IFERROR(INDEX(T_PACKAGING_CONFIGURATION_LINE[QUANTITY],[@ROW_INDEX]),"")</f>
        <v/>
      </c>
      <c r="F32" s="20">
        <f>IFERROR(INDEX(T_PACKAGING_CONFIGURATION_LINE[IS_OPTIONAL],[@ROW_INDEX]),"")</f>
        <v/>
      </c>
      <c r="G32" s="20">
        <f>IF([@COMPONENT_ID]="","",IFERROR(INDEX(T_COMPONENT[WEIGHT_G],MATCH([@COMPONENT_ID],T_COMPONENT[COMPONENT_ID],0)),""))</f>
        <v/>
      </c>
      <c r="H32" s="20">
        <f>IF(OR([@QUANTITY]="",[@UNIT_WEIGHT_G]=""),"",IF([@IS_OPTIONAL]=TRUE,0,[@QUANTITY]*[@UNIT_WEIGHT_G]))</f>
        <v/>
      </c>
    </row>
    <row r="33">
      <c r="A33" s="20" t="n">
        <v>32</v>
      </c>
      <c r="B33" s="20">
        <f>IFERROR(INDEX(T_PACKAGING_CONFIGURATION_LINE[PACKAGING_CONFIGURATION_LINE_ID],[@ROW_INDEX]),"")</f>
        <v/>
      </c>
      <c r="C33" s="20">
        <f>IFERROR(INDEX(T_PACKAGING_CONFIGURATION_LINE[PACKAGING_CONFIGURATION_ID],[@ROW_INDEX]),"")</f>
        <v/>
      </c>
      <c r="D33" s="20">
        <f>IFERROR(INDEX(T_PACKAGING_CONFIGURATION_LINE[COMPONENT_ID],[@ROW_INDEX]),"")</f>
        <v/>
      </c>
      <c r="E33" s="20">
        <f>IFERROR(INDEX(T_PACKAGING_CONFIGURATION_LINE[QUANTITY],[@ROW_INDEX]),"")</f>
        <v/>
      </c>
      <c r="F33" s="20">
        <f>IFERROR(INDEX(T_PACKAGING_CONFIGURATION_LINE[IS_OPTIONAL],[@ROW_INDEX]),"")</f>
        <v/>
      </c>
      <c r="G33" s="20">
        <f>IF([@COMPONENT_ID]="","",IFERROR(INDEX(T_COMPONENT[WEIGHT_G],MATCH([@COMPONENT_ID],T_COMPONENT[COMPONENT_ID],0)),""))</f>
        <v/>
      </c>
      <c r="H33" s="20">
        <f>IF(OR([@QUANTITY]="",[@UNIT_WEIGHT_G]=""),"",IF([@IS_OPTIONAL]=TRUE,0,[@QUANTITY]*[@UNIT_WEIGHT_G]))</f>
        <v/>
      </c>
    </row>
    <row r="34">
      <c r="A34" s="20" t="n">
        <v>33</v>
      </c>
      <c r="B34" s="20">
        <f>IFERROR(INDEX(T_PACKAGING_CONFIGURATION_LINE[PACKAGING_CONFIGURATION_LINE_ID],[@ROW_INDEX]),"")</f>
        <v/>
      </c>
      <c r="C34" s="20">
        <f>IFERROR(INDEX(T_PACKAGING_CONFIGURATION_LINE[PACKAGING_CONFIGURATION_ID],[@ROW_INDEX]),"")</f>
        <v/>
      </c>
      <c r="D34" s="20">
        <f>IFERROR(INDEX(T_PACKAGING_CONFIGURATION_LINE[COMPONENT_ID],[@ROW_INDEX]),"")</f>
        <v/>
      </c>
      <c r="E34" s="20">
        <f>IFERROR(INDEX(T_PACKAGING_CONFIGURATION_LINE[QUANTITY],[@ROW_INDEX]),"")</f>
        <v/>
      </c>
      <c r="F34" s="20">
        <f>IFERROR(INDEX(T_PACKAGING_CONFIGURATION_LINE[IS_OPTIONAL],[@ROW_INDEX]),"")</f>
        <v/>
      </c>
      <c r="G34" s="20">
        <f>IF([@COMPONENT_ID]="","",IFERROR(INDEX(T_COMPONENT[WEIGHT_G],MATCH([@COMPONENT_ID],T_COMPONENT[COMPONENT_ID],0)),""))</f>
        <v/>
      </c>
      <c r="H34" s="20">
        <f>IF(OR([@QUANTITY]="",[@UNIT_WEIGHT_G]=""),"",IF([@IS_OPTIONAL]=TRUE,0,[@QUANTITY]*[@UNIT_WEIGHT_G]))</f>
        <v/>
      </c>
    </row>
    <row r="35">
      <c r="A35" s="20" t="n">
        <v>34</v>
      </c>
      <c r="B35" s="20">
        <f>IFERROR(INDEX(T_PACKAGING_CONFIGURATION_LINE[PACKAGING_CONFIGURATION_LINE_ID],[@ROW_INDEX]),"")</f>
        <v/>
      </c>
      <c r="C35" s="20">
        <f>IFERROR(INDEX(T_PACKAGING_CONFIGURATION_LINE[PACKAGING_CONFIGURATION_ID],[@ROW_INDEX]),"")</f>
        <v/>
      </c>
      <c r="D35" s="20">
        <f>IFERROR(INDEX(T_PACKAGING_CONFIGURATION_LINE[COMPONENT_ID],[@ROW_INDEX]),"")</f>
        <v/>
      </c>
      <c r="E35" s="20">
        <f>IFERROR(INDEX(T_PACKAGING_CONFIGURATION_LINE[QUANTITY],[@ROW_INDEX]),"")</f>
        <v/>
      </c>
      <c r="F35" s="20">
        <f>IFERROR(INDEX(T_PACKAGING_CONFIGURATION_LINE[IS_OPTIONAL],[@ROW_INDEX]),"")</f>
        <v/>
      </c>
      <c r="G35" s="20">
        <f>IF([@COMPONENT_ID]="","",IFERROR(INDEX(T_COMPONENT[WEIGHT_G],MATCH([@COMPONENT_ID],T_COMPONENT[COMPONENT_ID],0)),""))</f>
        <v/>
      </c>
      <c r="H35" s="20">
        <f>IF(OR([@QUANTITY]="",[@UNIT_WEIGHT_G]=""),"",IF([@IS_OPTIONAL]=TRUE,0,[@QUANTITY]*[@UNIT_WEIGHT_G]))</f>
        <v/>
      </c>
    </row>
    <row r="36">
      <c r="A36" s="20" t="n">
        <v>35</v>
      </c>
      <c r="B36" s="20">
        <f>IFERROR(INDEX(T_PACKAGING_CONFIGURATION_LINE[PACKAGING_CONFIGURATION_LINE_ID],[@ROW_INDEX]),"")</f>
        <v/>
      </c>
      <c r="C36" s="20">
        <f>IFERROR(INDEX(T_PACKAGING_CONFIGURATION_LINE[PACKAGING_CONFIGURATION_ID],[@ROW_INDEX]),"")</f>
        <v/>
      </c>
      <c r="D36" s="20">
        <f>IFERROR(INDEX(T_PACKAGING_CONFIGURATION_LINE[COMPONENT_ID],[@ROW_INDEX]),"")</f>
        <v/>
      </c>
      <c r="E36" s="20">
        <f>IFERROR(INDEX(T_PACKAGING_CONFIGURATION_LINE[QUANTITY],[@ROW_INDEX]),"")</f>
        <v/>
      </c>
      <c r="F36" s="20">
        <f>IFERROR(INDEX(T_PACKAGING_CONFIGURATION_LINE[IS_OPTIONAL],[@ROW_INDEX]),"")</f>
        <v/>
      </c>
      <c r="G36" s="20">
        <f>IF([@COMPONENT_ID]="","",IFERROR(INDEX(T_COMPONENT[WEIGHT_G],MATCH([@COMPONENT_ID],T_COMPONENT[COMPONENT_ID],0)),""))</f>
        <v/>
      </c>
      <c r="H36" s="20">
        <f>IF(OR([@QUANTITY]="",[@UNIT_WEIGHT_G]=""),"",IF([@IS_OPTIONAL]=TRUE,0,[@QUANTITY]*[@UNIT_WEIGHT_G]))</f>
        <v/>
      </c>
    </row>
    <row r="37">
      <c r="A37" s="20" t="n">
        <v>36</v>
      </c>
      <c r="B37" s="20">
        <f>IFERROR(INDEX(T_PACKAGING_CONFIGURATION_LINE[PACKAGING_CONFIGURATION_LINE_ID],[@ROW_INDEX]),"")</f>
        <v/>
      </c>
      <c r="C37" s="20">
        <f>IFERROR(INDEX(T_PACKAGING_CONFIGURATION_LINE[PACKAGING_CONFIGURATION_ID],[@ROW_INDEX]),"")</f>
        <v/>
      </c>
      <c r="D37" s="20">
        <f>IFERROR(INDEX(T_PACKAGING_CONFIGURATION_LINE[COMPONENT_ID],[@ROW_INDEX]),"")</f>
        <v/>
      </c>
      <c r="E37" s="20">
        <f>IFERROR(INDEX(T_PACKAGING_CONFIGURATION_LINE[QUANTITY],[@ROW_INDEX]),"")</f>
        <v/>
      </c>
      <c r="F37" s="20">
        <f>IFERROR(INDEX(T_PACKAGING_CONFIGURATION_LINE[IS_OPTIONAL],[@ROW_INDEX]),"")</f>
        <v/>
      </c>
      <c r="G37" s="20">
        <f>IF([@COMPONENT_ID]="","",IFERROR(INDEX(T_COMPONENT[WEIGHT_G],MATCH([@COMPONENT_ID],T_COMPONENT[COMPONENT_ID],0)),""))</f>
        <v/>
      </c>
      <c r="H37" s="20">
        <f>IF(OR([@QUANTITY]="",[@UNIT_WEIGHT_G]=""),"",IF([@IS_OPTIONAL]=TRUE,0,[@QUANTITY]*[@UNIT_WEIGHT_G]))</f>
        <v/>
      </c>
    </row>
    <row r="38">
      <c r="A38" s="20" t="n">
        <v>37</v>
      </c>
      <c r="B38" s="20">
        <f>IFERROR(INDEX(T_PACKAGING_CONFIGURATION_LINE[PACKAGING_CONFIGURATION_LINE_ID],[@ROW_INDEX]),"")</f>
        <v/>
      </c>
      <c r="C38" s="20">
        <f>IFERROR(INDEX(T_PACKAGING_CONFIGURATION_LINE[PACKAGING_CONFIGURATION_ID],[@ROW_INDEX]),"")</f>
        <v/>
      </c>
      <c r="D38" s="20">
        <f>IFERROR(INDEX(T_PACKAGING_CONFIGURATION_LINE[COMPONENT_ID],[@ROW_INDEX]),"")</f>
        <v/>
      </c>
      <c r="E38" s="20">
        <f>IFERROR(INDEX(T_PACKAGING_CONFIGURATION_LINE[QUANTITY],[@ROW_INDEX]),"")</f>
        <v/>
      </c>
      <c r="F38" s="20">
        <f>IFERROR(INDEX(T_PACKAGING_CONFIGURATION_LINE[IS_OPTIONAL],[@ROW_INDEX]),"")</f>
        <v/>
      </c>
      <c r="G38" s="20">
        <f>IF([@COMPONENT_ID]="","",IFERROR(INDEX(T_COMPONENT[WEIGHT_G],MATCH([@COMPONENT_ID],T_COMPONENT[COMPONENT_ID],0)),""))</f>
        <v/>
      </c>
      <c r="H38" s="20">
        <f>IF(OR([@QUANTITY]="",[@UNIT_WEIGHT_G]=""),"",IF([@IS_OPTIONAL]=TRUE,0,[@QUANTITY]*[@UNIT_WEIGHT_G]))</f>
        <v/>
      </c>
    </row>
    <row r="39">
      <c r="A39" s="20" t="n">
        <v>38</v>
      </c>
      <c r="B39" s="20">
        <f>IFERROR(INDEX(T_PACKAGING_CONFIGURATION_LINE[PACKAGING_CONFIGURATION_LINE_ID],[@ROW_INDEX]),"")</f>
        <v/>
      </c>
      <c r="C39" s="20">
        <f>IFERROR(INDEX(T_PACKAGING_CONFIGURATION_LINE[PACKAGING_CONFIGURATION_ID],[@ROW_INDEX]),"")</f>
        <v/>
      </c>
      <c r="D39" s="20">
        <f>IFERROR(INDEX(T_PACKAGING_CONFIGURATION_LINE[COMPONENT_ID],[@ROW_INDEX]),"")</f>
        <v/>
      </c>
      <c r="E39" s="20">
        <f>IFERROR(INDEX(T_PACKAGING_CONFIGURATION_LINE[QUANTITY],[@ROW_INDEX]),"")</f>
        <v/>
      </c>
      <c r="F39" s="20">
        <f>IFERROR(INDEX(T_PACKAGING_CONFIGURATION_LINE[IS_OPTIONAL],[@ROW_INDEX]),"")</f>
        <v/>
      </c>
      <c r="G39" s="20">
        <f>IF([@COMPONENT_ID]="","",IFERROR(INDEX(T_COMPONENT[WEIGHT_G],MATCH([@COMPONENT_ID],T_COMPONENT[COMPONENT_ID],0)),""))</f>
        <v/>
      </c>
      <c r="H39" s="20">
        <f>IF(OR([@QUANTITY]="",[@UNIT_WEIGHT_G]=""),"",IF([@IS_OPTIONAL]=TRUE,0,[@QUANTITY]*[@UNIT_WEIGHT_G]))</f>
        <v/>
      </c>
    </row>
    <row r="40">
      <c r="A40" s="20" t="n">
        <v>39</v>
      </c>
      <c r="B40" s="20">
        <f>IFERROR(INDEX(T_PACKAGING_CONFIGURATION_LINE[PACKAGING_CONFIGURATION_LINE_ID],[@ROW_INDEX]),"")</f>
        <v/>
      </c>
      <c r="C40" s="20">
        <f>IFERROR(INDEX(T_PACKAGING_CONFIGURATION_LINE[PACKAGING_CONFIGURATION_ID],[@ROW_INDEX]),"")</f>
        <v/>
      </c>
      <c r="D40" s="20">
        <f>IFERROR(INDEX(T_PACKAGING_CONFIGURATION_LINE[COMPONENT_ID],[@ROW_INDEX]),"")</f>
        <v/>
      </c>
      <c r="E40" s="20">
        <f>IFERROR(INDEX(T_PACKAGING_CONFIGURATION_LINE[QUANTITY],[@ROW_INDEX]),"")</f>
        <v/>
      </c>
      <c r="F40" s="20">
        <f>IFERROR(INDEX(T_PACKAGING_CONFIGURATION_LINE[IS_OPTIONAL],[@ROW_INDEX]),"")</f>
        <v/>
      </c>
      <c r="G40" s="20">
        <f>IF([@COMPONENT_ID]="","",IFERROR(INDEX(T_COMPONENT[WEIGHT_G],MATCH([@COMPONENT_ID],T_COMPONENT[COMPONENT_ID],0)),""))</f>
        <v/>
      </c>
      <c r="H40" s="20">
        <f>IF(OR([@QUANTITY]="",[@UNIT_WEIGHT_G]=""),"",IF([@IS_OPTIONAL]=TRUE,0,[@QUANTITY]*[@UNIT_WEIGHT_G]))</f>
        <v/>
      </c>
    </row>
    <row r="41">
      <c r="A41" s="20" t="n">
        <v>40</v>
      </c>
      <c r="B41" s="20">
        <f>IFERROR(INDEX(T_PACKAGING_CONFIGURATION_LINE[PACKAGING_CONFIGURATION_LINE_ID],[@ROW_INDEX]),"")</f>
        <v/>
      </c>
      <c r="C41" s="20">
        <f>IFERROR(INDEX(T_PACKAGING_CONFIGURATION_LINE[PACKAGING_CONFIGURATION_ID],[@ROW_INDEX]),"")</f>
        <v/>
      </c>
      <c r="D41" s="20">
        <f>IFERROR(INDEX(T_PACKAGING_CONFIGURATION_LINE[COMPONENT_ID],[@ROW_INDEX]),"")</f>
        <v/>
      </c>
      <c r="E41" s="20">
        <f>IFERROR(INDEX(T_PACKAGING_CONFIGURATION_LINE[QUANTITY],[@ROW_INDEX]),"")</f>
        <v/>
      </c>
      <c r="F41" s="20">
        <f>IFERROR(INDEX(T_PACKAGING_CONFIGURATION_LINE[IS_OPTIONAL],[@ROW_INDEX]),"")</f>
        <v/>
      </c>
      <c r="G41" s="20">
        <f>IF([@COMPONENT_ID]="","",IFERROR(INDEX(T_COMPONENT[WEIGHT_G],MATCH([@COMPONENT_ID],T_COMPONENT[COMPONENT_ID],0)),""))</f>
        <v/>
      </c>
      <c r="H41" s="20">
        <f>IF(OR([@QUANTITY]="",[@UNIT_WEIGHT_G]=""),"",IF([@IS_OPTIONAL]=TRUE,0,[@QUANTITY]*[@UNIT_WEIGHT_G]))</f>
        <v/>
      </c>
    </row>
    <row r="42">
      <c r="A42" s="20" t="n">
        <v>41</v>
      </c>
      <c r="B42" s="20">
        <f>IFERROR(INDEX(T_PACKAGING_CONFIGURATION_LINE[PACKAGING_CONFIGURATION_LINE_ID],[@ROW_INDEX]),"")</f>
        <v/>
      </c>
      <c r="C42" s="20">
        <f>IFERROR(INDEX(T_PACKAGING_CONFIGURATION_LINE[PACKAGING_CONFIGURATION_ID],[@ROW_INDEX]),"")</f>
        <v/>
      </c>
      <c r="D42" s="20">
        <f>IFERROR(INDEX(T_PACKAGING_CONFIGURATION_LINE[COMPONENT_ID],[@ROW_INDEX]),"")</f>
        <v/>
      </c>
      <c r="E42" s="20">
        <f>IFERROR(INDEX(T_PACKAGING_CONFIGURATION_LINE[QUANTITY],[@ROW_INDEX]),"")</f>
        <v/>
      </c>
      <c r="F42" s="20">
        <f>IFERROR(INDEX(T_PACKAGING_CONFIGURATION_LINE[IS_OPTIONAL],[@ROW_INDEX]),"")</f>
        <v/>
      </c>
      <c r="G42" s="20">
        <f>IF([@COMPONENT_ID]="","",IFERROR(INDEX(T_COMPONENT[WEIGHT_G],MATCH([@COMPONENT_ID],T_COMPONENT[COMPONENT_ID],0)),""))</f>
        <v/>
      </c>
      <c r="H42" s="20">
        <f>IF(OR([@QUANTITY]="",[@UNIT_WEIGHT_G]=""),"",IF([@IS_OPTIONAL]=TRUE,0,[@QUANTITY]*[@UNIT_WEIGHT_G]))</f>
        <v/>
      </c>
    </row>
    <row r="43">
      <c r="A43" s="20" t="n">
        <v>42</v>
      </c>
      <c r="B43" s="20">
        <f>IFERROR(INDEX(T_PACKAGING_CONFIGURATION_LINE[PACKAGING_CONFIGURATION_LINE_ID],[@ROW_INDEX]),"")</f>
        <v/>
      </c>
      <c r="C43" s="20">
        <f>IFERROR(INDEX(T_PACKAGING_CONFIGURATION_LINE[PACKAGING_CONFIGURATION_ID],[@ROW_INDEX]),"")</f>
        <v/>
      </c>
      <c r="D43" s="20">
        <f>IFERROR(INDEX(T_PACKAGING_CONFIGURATION_LINE[COMPONENT_ID],[@ROW_INDEX]),"")</f>
        <v/>
      </c>
      <c r="E43" s="20">
        <f>IFERROR(INDEX(T_PACKAGING_CONFIGURATION_LINE[QUANTITY],[@ROW_INDEX]),"")</f>
        <v/>
      </c>
      <c r="F43" s="20">
        <f>IFERROR(INDEX(T_PACKAGING_CONFIGURATION_LINE[IS_OPTIONAL],[@ROW_INDEX]),"")</f>
        <v/>
      </c>
      <c r="G43" s="20">
        <f>IF([@COMPONENT_ID]="","",IFERROR(INDEX(T_COMPONENT[WEIGHT_G],MATCH([@COMPONENT_ID],T_COMPONENT[COMPONENT_ID],0)),""))</f>
        <v/>
      </c>
      <c r="H43" s="20">
        <f>IF(OR([@QUANTITY]="",[@UNIT_WEIGHT_G]=""),"",IF([@IS_OPTIONAL]=TRUE,0,[@QUANTITY]*[@UNIT_WEIGHT_G]))</f>
        <v/>
      </c>
    </row>
    <row r="44">
      <c r="A44" s="20" t="n">
        <v>43</v>
      </c>
      <c r="B44" s="20">
        <f>IFERROR(INDEX(T_PACKAGING_CONFIGURATION_LINE[PACKAGING_CONFIGURATION_LINE_ID],[@ROW_INDEX]),"")</f>
        <v/>
      </c>
      <c r="C44" s="20">
        <f>IFERROR(INDEX(T_PACKAGING_CONFIGURATION_LINE[PACKAGING_CONFIGURATION_ID],[@ROW_INDEX]),"")</f>
        <v/>
      </c>
      <c r="D44" s="20">
        <f>IFERROR(INDEX(T_PACKAGING_CONFIGURATION_LINE[COMPONENT_ID],[@ROW_INDEX]),"")</f>
        <v/>
      </c>
      <c r="E44" s="20">
        <f>IFERROR(INDEX(T_PACKAGING_CONFIGURATION_LINE[QUANTITY],[@ROW_INDEX]),"")</f>
        <v/>
      </c>
      <c r="F44" s="20">
        <f>IFERROR(INDEX(T_PACKAGING_CONFIGURATION_LINE[IS_OPTIONAL],[@ROW_INDEX]),"")</f>
        <v/>
      </c>
      <c r="G44" s="20">
        <f>IF([@COMPONENT_ID]="","",IFERROR(INDEX(T_COMPONENT[WEIGHT_G],MATCH([@COMPONENT_ID],T_COMPONENT[COMPONENT_ID],0)),""))</f>
        <v/>
      </c>
      <c r="H44" s="20">
        <f>IF(OR([@QUANTITY]="",[@UNIT_WEIGHT_G]=""),"",IF([@IS_OPTIONAL]=TRUE,0,[@QUANTITY]*[@UNIT_WEIGHT_G]))</f>
        <v/>
      </c>
    </row>
    <row r="45">
      <c r="A45" s="20" t="n">
        <v>44</v>
      </c>
      <c r="B45" s="20">
        <f>IFERROR(INDEX(T_PACKAGING_CONFIGURATION_LINE[PACKAGING_CONFIGURATION_LINE_ID],[@ROW_INDEX]),"")</f>
        <v/>
      </c>
      <c r="C45" s="20">
        <f>IFERROR(INDEX(T_PACKAGING_CONFIGURATION_LINE[PACKAGING_CONFIGURATION_ID],[@ROW_INDEX]),"")</f>
        <v/>
      </c>
      <c r="D45" s="20">
        <f>IFERROR(INDEX(T_PACKAGING_CONFIGURATION_LINE[COMPONENT_ID],[@ROW_INDEX]),"")</f>
        <v/>
      </c>
      <c r="E45" s="20">
        <f>IFERROR(INDEX(T_PACKAGING_CONFIGURATION_LINE[QUANTITY],[@ROW_INDEX]),"")</f>
        <v/>
      </c>
      <c r="F45" s="20">
        <f>IFERROR(INDEX(T_PACKAGING_CONFIGURATION_LINE[IS_OPTIONAL],[@ROW_INDEX]),"")</f>
        <v/>
      </c>
      <c r="G45" s="20">
        <f>IF([@COMPONENT_ID]="","",IFERROR(INDEX(T_COMPONENT[WEIGHT_G],MATCH([@COMPONENT_ID],T_COMPONENT[COMPONENT_ID],0)),""))</f>
        <v/>
      </c>
      <c r="H45" s="20">
        <f>IF(OR([@QUANTITY]="",[@UNIT_WEIGHT_G]=""),"",IF([@IS_OPTIONAL]=TRUE,0,[@QUANTITY]*[@UNIT_WEIGHT_G]))</f>
        <v/>
      </c>
    </row>
    <row r="46">
      <c r="A46" s="20" t="n">
        <v>45</v>
      </c>
      <c r="B46" s="20">
        <f>IFERROR(INDEX(T_PACKAGING_CONFIGURATION_LINE[PACKAGING_CONFIGURATION_LINE_ID],[@ROW_INDEX]),"")</f>
        <v/>
      </c>
      <c r="C46" s="20">
        <f>IFERROR(INDEX(T_PACKAGING_CONFIGURATION_LINE[PACKAGING_CONFIGURATION_ID],[@ROW_INDEX]),"")</f>
        <v/>
      </c>
      <c r="D46" s="20">
        <f>IFERROR(INDEX(T_PACKAGING_CONFIGURATION_LINE[COMPONENT_ID],[@ROW_INDEX]),"")</f>
        <v/>
      </c>
      <c r="E46" s="20">
        <f>IFERROR(INDEX(T_PACKAGING_CONFIGURATION_LINE[QUANTITY],[@ROW_INDEX]),"")</f>
        <v/>
      </c>
      <c r="F46" s="20">
        <f>IFERROR(INDEX(T_PACKAGING_CONFIGURATION_LINE[IS_OPTIONAL],[@ROW_INDEX]),"")</f>
        <v/>
      </c>
      <c r="G46" s="20">
        <f>IF([@COMPONENT_ID]="","",IFERROR(INDEX(T_COMPONENT[WEIGHT_G],MATCH([@COMPONENT_ID],T_COMPONENT[COMPONENT_ID],0)),""))</f>
        <v/>
      </c>
      <c r="H46" s="20">
        <f>IF(OR([@QUANTITY]="",[@UNIT_WEIGHT_G]=""),"",IF([@IS_OPTIONAL]=TRUE,0,[@QUANTITY]*[@UNIT_WEIGHT_G]))</f>
        <v/>
      </c>
    </row>
    <row r="47">
      <c r="A47" s="20" t="n">
        <v>46</v>
      </c>
      <c r="B47" s="20">
        <f>IFERROR(INDEX(T_PACKAGING_CONFIGURATION_LINE[PACKAGING_CONFIGURATION_LINE_ID],[@ROW_INDEX]),"")</f>
        <v/>
      </c>
      <c r="C47" s="20">
        <f>IFERROR(INDEX(T_PACKAGING_CONFIGURATION_LINE[PACKAGING_CONFIGURATION_ID],[@ROW_INDEX]),"")</f>
        <v/>
      </c>
      <c r="D47" s="20">
        <f>IFERROR(INDEX(T_PACKAGING_CONFIGURATION_LINE[COMPONENT_ID],[@ROW_INDEX]),"")</f>
        <v/>
      </c>
      <c r="E47" s="20">
        <f>IFERROR(INDEX(T_PACKAGING_CONFIGURATION_LINE[QUANTITY],[@ROW_INDEX]),"")</f>
        <v/>
      </c>
      <c r="F47" s="20">
        <f>IFERROR(INDEX(T_PACKAGING_CONFIGURATION_LINE[IS_OPTIONAL],[@ROW_INDEX]),"")</f>
        <v/>
      </c>
      <c r="G47" s="20">
        <f>IF([@COMPONENT_ID]="","",IFERROR(INDEX(T_COMPONENT[WEIGHT_G],MATCH([@COMPONENT_ID],T_COMPONENT[COMPONENT_ID],0)),""))</f>
        <v/>
      </c>
      <c r="H47" s="20">
        <f>IF(OR([@QUANTITY]="",[@UNIT_WEIGHT_G]=""),"",IF([@IS_OPTIONAL]=TRUE,0,[@QUANTITY]*[@UNIT_WEIGHT_G]))</f>
        <v/>
      </c>
    </row>
    <row r="48">
      <c r="A48" s="20" t="n">
        <v>47</v>
      </c>
      <c r="B48" s="20">
        <f>IFERROR(INDEX(T_PACKAGING_CONFIGURATION_LINE[PACKAGING_CONFIGURATION_LINE_ID],[@ROW_INDEX]),"")</f>
        <v/>
      </c>
      <c r="C48" s="20">
        <f>IFERROR(INDEX(T_PACKAGING_CONFIGURATION_LINE[PACKAGING_CONFIGURATION_ID],[@ROW_INDEX]),"")</f>
        <v/>
      </c>
      <c r="D48" s="20">
        <f>IFERROR(INDEX(T_PACKAGING_CONFIGURATION_LINE[COMPONENT_ID],[@ROW_INDEX]),"")</f>
        <v/>
      </c>
      <c r="E48" s="20">
        <f>IFERROR(INDEX(T_PACKAGING_CONFIGURATION_LINE[QUANTITY],[@ROW_INDEX]),"")</f>
        <v/>
      </c>
      <c r="F48" s="20">
        <f>IFERROR(INDEX(T_PACKAGING_CONFIGURATION_LINE[IS_OPTIONAL],[@ROW_INDEX]),"")</f>
        <v/>
      </c>
      <c r="G48" s="20">
        <f>IF([@COMPONENT_ID]="","",IFERROR(INDEX(T_COMPONENT[WEIGHT_G],MATCH([@COMPONENT_ID],T_COMPONENT[COMPONENT_ID],0)),""))</f>
        <v/>
      </c>
      <c r="H48" s="20">
        <f>IF(OR([@QUANTITY]="",[@UNIT_WEIGHT_G]=""),"",IF([@IS_OPTIONAL]=TRUE,0,[@QUANTITY]*[@UNIT_WEIGHT_G]))</f>
        <v/>
      </c>
    </row>
    <row r="49">
      <c r="A49" s="20" t="n">
        <v>48</v>
      </c>
      <c r="B49" s="20">
        <f>IFERROR(INDEX(T_PACKAGING_CONFIGURATION_LINE[PACKAGING_CONFIGURATION_LINE_ID],[@ROW_INDEX]),"")</f>
        <v/>
      </c>
      <c r="C49" s="20">
        <f>IFERROR(INDEX(T_PACKAGING_CONFIGURATION_LINE[PACKAGING_CONFIGURATION_ID],[@ROW_INDEX]),"")</f>
        <v/>
      </c>
      <c r="D49" s="20">
        <f>IFERROR(INDEX(T_PACKAGING_CONFIGURATION_LINE[COMPONENT_ID],[@ROW_INDEX]),"")</f>
        <v/>
      </c>
      <c r="E49" s="20">
        <f>IFERROR(INDEX(T_PACKAGING_CONFIGURATION_LINE[QUANTITY],[@ROW_INDEX]),"")</f>
        <v/>
      </c>
      <c r="F49" s="20">
        <f>IFERROR(INDEX(T_PACKAGING_CONFIGURATION_LINE[IS_OPTIONAL],[@ROW_INDEX]),"")</f>
        <v/>
      </c>
      <c r="G49" s="20">
        <f>IF([@COMPONENT_ID]="","",IFERROR(INDEX(T_COMPONENT[WEIGHT_G],MATCH([@COMPONENT_ID],T_COMPONENT[COMPONENT_ID],0)),""))</f>
        <v/>
      </c>
      <c r="H49" s="20">
        <f>IF(OR([@QUANTITY]="",[@UNIT_WEIGHT_G]=""),"",IF([@IS_OPTIONAL]=TRUE,0,[@QUANTITY]*[@UNIT_WEIGHT_G]))</f>
        <v/>
      </c>
    </row>
    <row r="50">
      <c r="A50" s="20" t="n">
        <v>49</v>
      </c>
      <c r="B50" s="20">
        <f>IFERROR(INDEX(T_PACKAGING_CONFIGURATION_LINE[PACKAGING_CONFIGURATION_LINE_ID],[@ROW_INDEX]),"")</f>
        <v/>
      </c>
      <c r="C50" s="20">
        <f>IFERROR(INDEX(T_PACKAGING_CONFIGURATION_LINE[PACKAGING_CONFIGURATION_ID],[@ROW_INDEX]),"")</f>
        <v/>
      </c>
      <c r="D50" s="20">
        <f>IFERROR(INDEX(T_PACKAGING_CONFIGURATION_LINE[COMPONENT_ID],[@ROW_INDEX]),"")</f>
        <v/>
      </c>
      <c r="E50" s="20">
        <f>IFERROR(INDEX(T_PACKAGING_CONFIGURATION_LINE[QUANTITY],[@ROW_INDEX]),"")</f>
        <v/>
      </c>
      <c r="F50" s="20">
        <f>IFERROR(INDEX(T_PACKAGING_CONFIGURATION_LINE[IS_OPTIONAL],[@ROW_INDEX]),"")</f>
        <v/>
      </c>
      <c r="G50" s="20">
        <f>IF([@COMPONENT_ID]="","",IFERROR(INDEX(T_COMPONENT[WEIGHT_G],MATCH([@COMPONENT_ID],T_COMPONENT[COMPONENT_ID],0)),""))</f>
        <v/>
      </c>
      <c r="H50" s="20">
        <f>IF(OR([@QUANTITY]="",[@UNIT_WEIGHT_G]=""),"",IF([@IS_OPTIONAL]=TRUE,0,[@QUANTITY]*[@UNIT_WEIGHT_G]))</f>
        <v/>
      </c>
    </row>
    <row r="51">
      <c r="A51" s="20" t="n">
        <v>50</v>
      </c>
      <c r="B51" s="20">
        <f>IFERROR(INDEX(T_PACKAGING_CONFIGURATION_LINE[PACKAGING_CONFIGURATION_LINE_ID],[@ROW_INDEX]),"")</f>
        <v/>
      </c>
      <c r="C51" s="20">
        <f>IFERROR(INDEX(T_PACKAGING_CONFIGURATION_LINE[PACKAGING_CONFIGURATION_ID],[@ROW_INDEX]),"")</f>
        <v/>
      </c>
      <c r="D51" s="20">
        <f>IFERROR(INDEX(T_PACKAGING_CONFIGURATION_LINE[COMPONENT_ID],[@ROW_INDEX]),"")</f>
        <v/>
      </c>
      <c r="E51" s="20">
        <f>IFERROR(INDEX(T_PACKAGING_CONFIGURATION_LINE[QUANTITY],[@ROW_INDEX]),"")</f>
        <v/>
      </c>
      <c r="F51" s="20">
        <f>IFERROR(INDEX(T_PACKAGING_CONFIGURATION_LINE[IS_OPTIONAL],[@ROW_INDEX]),"")</f>
        <v/>
      </c>
      <c r="G51" s="20">
        <f>IF([@COMPONENT_ID]="","",IFERROR(INDEX(T_COMPONENT[WEIGHT_G],MATCH([@COMPONENT_ID],T_COMPONENT[COMPONENT_ID],0)),""))</f>
        <v/>
      </c>
      <c r="H51" s="20">
        <f>IF(OR([@QUANTITY]="",[@UNIT_WEIGHT_G]=""),"",IF([@IS_OPTIONAL]=TRUE,0,[@QUANTITY]*[@UNIT_WEIGHT_G]))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J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6" customWidth="1" min="4" max="4"/>
    <col width="31" customWidth="1" min="5" max="5"/>
    <col width="17" customWidth="1" min="6" max="6"/>
    <col width="17" customWidth="1" min="7" max="7"/>
  </cols>
  <sheetData>
    <row r="1">
      <c r="A1" s="12" t="inlineStr">
        <is>
          <t>ROW_INDEX</t>
        </is>
      </c>
      <c r="B1" s="12" t="inlineStr">
        <is>
          <t>TRANSPORT_CONFIGURATION_LINE_ID</t>
        </is>
      </c>
      <c r="C1" s="12" t="inlineStr">
        <is>
          <t>TRANSPORT_CONFIGURATION_ID</t>
        </is>
      </c>
      <c r="D1" s="12" t="inlineStr">
        <is>
          <t>COMPONENT_ID</t>
        </is>
      </c>
      <c r="E1" s="12" t="inlineStr">
        <is>
          <t>QUANTITY_PER_TRANSPORT_UNIT</t>
        </is>
      </c>
      <c r="F1" s="12" t="inlineStr">
        <is>
          <t>UNIT_WEIGHT_G</t>
        </is>
      </c>
      <c r="G1" s="12" t="inlineStr">
        <is>
          <t>LINE_WEIGHT_G</t>
        </is>
      </c>
      <c r="I1" s="19" t="inlineStr">
        <is>
          <t>Dashboard</t>
        </is>
      </c>
    </row>
    <row r="2">
      <c r="A2" s="20" t="n">
        <v>1</v>
      </c>
      <c r="B2" s="20">
        <f>IFERROR(INDEX(T_TRANSPORT_CONFIGURATION_LINE[TRANSPORT_CONFIGURATION_LINE_ID],[@ROW_INDEX]),"")</f>
        <v/>
      </c>
      <c r="C2" s="20">
        <f>IFERROR(INDEX(T_TRANSPORT_CONFIGURATION_LINE[TRANSPORT_CONFIGURATION_ID],[@ROW_INDEX]),"")</f>
        <v/>
      </c>
      <c r="D2" s="20">
        <f>IFERROR(INDEX(T_TRANSPORT_CONFIGURATION_LINE[COMPONENT_ID],[@ROW_INDEX]),"")</f>
        <v/>
      </c>
      <c r="E2" s="20">
        <f>IFERROR(INDEX(T_TRANSPORT_CONFIGURATION_LINE[QUANTITY_PER_TRANSPORT_UNIT],[@ROW_INDEX]),"")</f>
        <v/>
      </c>
      <c r="F2" s="20">
        <f>IF([@COMPONENT_ID]="","",IFERROR(INDEX(T_COMPONENT[WEIGHT_G],MATCH([@COMPONENT_ID],T_COMPONENT[COMPONENT_ID],0)),""))</f>
        <v/>
      </c>
      <c r="G2" s="20">
        <f>IF(OR([@QUANTITY_PER_TRANSPORT_UNIT]="",[@UNIT_WEIGHT_G]=""),"",[@QUANTITY_PER_TRANSPORT_UNIT]*[@UNIT_WEIGHT_G])</f>
        <v/>
      </c>
    </row>
    <row r="3">
      <c r="A3" s="20" t="n">
        <v>2</v>
      </c>
      <c r="B3" s="20">
        <f>IFERROR(INDEX(T_TRANSPORT_CONFIGURATION_LINE[TRANSPORT_CONFIGURATION_LINE_ID],[@ROW_INDEX]),"")</f>
        <v/>
      </c>
      <c r="C3" s="20">
        <f>IFERROR(INDEX(T_TRANSPORT_CONFIGURATION_LINE[TRANSPORT_CONFIGURATION_ID],[@ROW_INDEX]),"")</f>
        <v/>
      </c>
      <c r="D3" s="20">
        <f>IFERROR(INDEX(T_TRANSPORT_CONFIGURATION_LINE[COMPONENT_ID],[@ROW_INDEX]),"")</f>
        <v/>
      </c>
      <c r="E3" s="20">
        <f>IFERROR(INDEX(T_TRANSPORT_CONFIGURATION_LINE[QUANTITY_PER_TRANSPORT_UNIT],[@ROW_INDEX]),"")</f>
        <v/>
      </c>
      <c r="F3" s="20">
        <f>IF([@COMPONENT_ID]="","",IFERROR(INDEX(T_COMPONENT[WEIGHT_G],MATCH([@COMPONENT_ID],T_COMPONENT[COMPONENT_ID],0)),""))</f>
        <v/>
      </c>
      <c r="G3" s="20">
        <f>IF(OR([@QUANTITY_PER_TRANSPORT_UNIT]="",[@UNIT_WEIGHT_G]=""),"",[@QUANTITY_PER_TRANSPORT_UNIT]*[@UNIT_WEIGHT_G])</f>
        <v/>
      </c>
    </row>
    <row r="4">
      <c r="A4" s="20" t="n">
        <v>3</v>
      </c>
      <c r="B4" s="20">
        <f>IFERROR(INDEX(T_TRANSPORT_CONFIGURATION_LINE[TRANSPORT_CONFIGURATION_LINE_ID],[@ROW_INDEX]),"")</f>
        <v/>
      </c>
      <c r="C4" s="20">
        <f>IFERROR(INDEX(T_TRANSPORT_CONFIGURATION_LINE[TRANSPORT_CONFIGURATION_ID],[@ROW_INDEX]),"")</f>
        <v/>
      </c>
      <c r="D4" s="20">
        <f>IFERROR(INDEX(T_TRANSPORT_CONFIGURATION_LINE[COMPONENT_ID],[@ROW_INDEX]),"")</f>
        <v/>
      </c>
      <c r="E4" s="20">
        <f>IFERROR(INDEX(T_TRANSPORT_CONFIGURATION_LINE[QUANTITY_PER_TRANSPORT_UNIT],[@ROW_INDEX]),"")</f>
        <v/>
      </c>
      <c r="F4" s="20">
        <f>IF([@COMPONENT_ID]="","",IFERROR(INDEX(T_COMPONENT[WEIGHT_G],MATCH([@COMPONENT_ID],T_COMPONENT[COMPONENT_ID],0)),""))</f>
        <v/>
      </c>
      <c r="G4" s="20">
        <f>IF(OR([@QUANTITY_PER_TRANSPORT_UNIT]="",[@UNIT_WEIGHT_G]=""),"",[@QUANTITY_PER_TRANSPORT_UNIT]*[@UNIT_WEIGHT_G])</f>
        <v/>
      </c>
    </row>
    <row r="5">
      <c r="A5" s="20" t="n">
        <v>4</v>
      </c>
      <c r="B5" s="20">
        <f>IFERROR(INDEX(T_TRANSPORT_CONFIGURATION_LINE[TRANSPORT_CONFIGURATION_LINE_ID],[@ROW_INDEX]),"")</f>
        <v/>
      </c>
      <c r="C5" s="20">
        <f>IFERROR(INDEX(T_TRANSPORT_CONFIGURATION_LINE[TRANSPORT_CONFIGURATION_ID],[@ROW_INDEX]),"")</f>
        <v/>
      </c>
      <c r="D5" s="20">
        <f>IFERROR(INDEX(T_TRANSPORT_CONFIGURATION_LINE[COMPONENT_ID],[@ROW_INDEX]),"")</f>
        <v/>
      </c>
      <c r="E5" s="20">
        <f>IFERROR(INDEX(T_TRANSPORT_CONFIGURATION_LINE[QUANTITY_PER_TRANSPORT_UNIT],[@ROW_INDEX]),"")</f>
        <v/>
      </c>
      <c r="F5" s="20">
        <f>IF([@COMPONENT_ID]="","",IFERROR(INDEX(T_COMPONENT[WEIGHT_G],MATCH([@COMPONENT_ID],T_COMPONENT[COMPONENT_ID],0)),""))</f>
        <v/>
      </c>
      <c r="G5" s="20">
        <f>IF(OR([@QUANTITY_PER_TRANSPORT_UNIT]="",[@UNIT_WEIGHT_G]=""),"",[@QUANTITY_PER_TRANSPORT_UNIT]*[@UNIT_WEIGHT_G])</f>
        <v/>
      </c>
    </row>
    <row r="6">
      <c r="A6" s="20" t="n">
        <v>5</v>
      </c>
      <c r="B6" s="20">
        <f>IFERROR(INDEX(T_TRANSPORT_CONFIGURATION_LINE[TRANSPORT_CONFIGURATION_LINE_ID],[@ROW_INDEX]),"")</f>
        <v/>
      </c>
      <c r="C6" s="20">
        <f>IFERROR(INDEX(T_TRANSPORT_CONFIGURATION_LINE[TRANSPORT_CONFIGURATION_ID],[@ROW_INDEX]),"")</f>
        <v/>
      </c>
      <c r="D6" s="20">
        <f>IFERROR(INDEX(T_TRANSPORT_CONFIGURATION_LINE[COMPONENT_ID],[@ROW_INDEX]),"")</f>
        <v/>
      </c>
      <c r="E6" s="20">
        <f>IFERROR(INDEX(T_TRANSPORT_CONFIGURATION_LINE[QUANTITY_PER_TRANSPORT_UNIT],[@ROW_INDEX]),"")</f>
        <v/>
      </c>
      <c r="F6" s="20">
        <f>IF([@COMPONENT_ID]="","",IFERROR(INDEX(T_COMPONENT[WEIGHT_G],MATCH([@COMPONENT_ID],T_COMPONENT[COMPONENT_ID],0)),""))</f>
        <v/>
      </c>
      <c r="G6" s="20">
        <f>IF(OR([@QUANTITY_PER_TRANSPORT_UNIT]="",[@UNIT_WEIGHT_G]=""),"",[@QUANTITY_PER_TRANSPORT_UNIT]*[@UNIT_WEIGHT_G])</f>
        <v/>
      </c>
    </row>
    <row r="7">
      <c r="A7" s="20" t="n">
        <v>6</v>
      </c>
      <c r="B7" s="20">
        <f>IFERROR(INDEX(T_TRANSPORT_CONFIGURATION_LINE[TRANSPORT_CONFIGURATION_LINE_ID],[@ROW_INDEX]),"")</f>
        <v/>
      </c>
      <c r="C7" s="20">
        <f>IFERROR(INDEX(T_TRANSPORT_CONFIGURATION_LINE[TRANSPORT_CONFIGURATION_ID],[@ROW_INDEX]),"")</f>
        <v/>
      </c>
      <c r="D7" s="20">
        <f>IFERROR(INDEX(T_TRANSPORT_CONFIGURATION_LINE[COMPONENT_ID],[@ROW_INDEX]),"")</f>
        <v/>
      </c>
      <c r="E7" s="20">
        <f>IFERROR(INDEX(T_TRANSPORT_CONFIGURATION_LINE[QUANTITY_PER_TRANSPORT_UNIT],[@ROW_INDEX]),"")</f>
        <v/>
      </c>
      <c r="F7" s="20">
        <f>IF([@COMPONENT_ID]="","",IFERROR(INDEX(T_COMPONENT[WEIGHT_G],MATCH([@COMPONENT_ID],T_COMPONENT[COMPONENT_ID],0)),""))</f>
        <v/>
      </c>
      <c r="G7" s="20">
        <f>IF(OR([@QUANTITY_PER_TRANSPORT_UNIT]="",[@UNIT_WEIGHT_G]=""),"",[@QUANTITY_PER_TRANSPORT_UNIT]*[@UNIT_WEIGHT_G])</f>
        <v/>
      </c>
    </row>
    <row r="8">
      <c r="A8" s="20" t="n">
        <v>7</v>
      </c>
      <c r="B8" s="20">
        <f>IFERROR(INDEX(T_TRANSPORT_CONFIGURATION_LINE[TRANSPORT_CONFIGURATION_LINE_ID],[@ROW_INDEX]),"")</f>
        <v/>
      </c>
      <c r="C8" s="20">
        <f>IFERROR(INDEX(T_TRANSPORT_CONFIGURATION_LINE[TRANSPORT_CONFIGURATION_ID],[@ROW_INDEX]),"")</f>
        <v/>
      </c>
      <c r="D8" s="20">
        <f>IFERROR(INDEX(T_TRANSPORT_CONFIGURATION_LINE[COMPONENT_ID],[@ROW_INDEX]),"")</f>
        <v/>
      </c>
      <c r="E8" s="20">
        <f>IFERROR(INDEX(T_TRANSPORT_CONFIGURATION_LINE[QUANTITY_PER_TRANSPORT_UNIT],[@ROW_INDEX]),"")</f>
        <v/>
      </c>
      <c r="F8" s="20">
        <f>IF([@COMPONENT_ID]="","",IFERROR(INDEX(T_COMPONENT[WEIGHT_G],MATCH([@COMPONENT_ID],T_COMPONENT[COMPONENT_ID],0)),""))</f>
        <v/>
      </c>
      <c r="G8" s="20">
        <f>IF(OR([@QUANTITY_PER_TRANSPORT_UNIT]="",[@UNIT_WEIGHT_G]=""),"",[@QUANTITY_PER_TRANSPORT_UNIT]*[@UNIT_WEIGHT_G])</f>
        <v/>
      </c>
    </row>
    <row r="9">
      <c r="A9" s="20" t="n">
        <v>8</v>
      </c>
      <c r="B9" s="20">
        <f>IFERROR(INDEX(T_TRANSPORT_CONFIGURATION_LINE[TRANSPORT_CONFIGURATION_LINE_ID],[@ROW_INDEX]),"")</f>
        <v/>
      </c>
      <c r="C9" s="20">
        <f>IFERROR(INDEX(T_TRANSPORT_CONFIGURATION_LINE[TRANSPORT_CONFIGURATION_ID],[@ROW_INDEX]),"")</f>
        <v/>
      </c>
      <c r="D9" s="20">
        <f>IFERROR(INDEX(T_TRANSPORT_CONFIGURATION_LINE[COMPONENT_ID],[@ROW_INDEX]),"")</f>
        <v/>
      </c>
      <c r="E9" s="20">
        <f>IFERROR(INDEX(T_TRANSPORT_CONFIGURATION_LINE[QUANTITY_PER_TRANSPORT_UNIT],[@ROW_INDEX]),"")</f>
        <v/>
      </c>
      <c r="F9" s="20">
        <f>IF([@COMPONENT_ID]="","",IFERROR(INDEX(T_COMPONENT[WEIGHT_G],MATCH([@COMPONENT_ID],T_COMPONENT[COMPONENT_ID],0)),""))</f>
        <v/>
      </c>
      <c r="G9" s="20">
        <f>IF(OR([@QUANTITY_PER_TRANSPORT_UNIT]="",[@UNIT_WEIGHT_G]=""),"",[@QUANTITY_PER_TRANSPORT_UNIT]*[@UNIT_WEIGHT_G])</f>
        <v/>
      </c>
    </row>
    <row r="10">
      <c r="A10" s="20" t="n">
        <v>9</v>
      </c>
      <c r="B10" s="20">
        <f>IFERROR(INDEX(T_TRANSPORT_CONFIGURATION_LINE[TRANSPORT_CONFIGURATION_LINE_ID],[@ROW_INDEX]),"")</f>
        <v/>
      </c>
      <c r="C10" s="20">
        <f>IFERROR(INDEX(T_TRANSPORT_CONFIGURATION_LINE[TRANSPORT_CONFIGURATION_ID],[@ROW_INDEX]),"")</f>
        <v/>
      </c>
      <c r="D10" s="20">
        <f>IFERROR(INDEX(T_TRANSPORT_CONFIGURATION_LINE[COMPONENT_ID],[@ROW_INDEX]),"")</f>
        <v/>
      </c>
      <c r="E10" s="20">
        <f>IFERROR(INDEX(T_TRANSPORT_CONFIGURATION_LINE[QUANTITY_PER_TRANSPORT_UNIT],[@ROW_INDEX]),"")</f>
        <v/>
      </c>
      <c r="F10" s="20">
        <f>IF([@COMPONENT_ID]="","",IFERROR(INDEX(T_COMPONENT[WEIGHT_G],MATCH([@COMPONENT_ID],T_COMPONENT[COMPONENT_ID],0)),""))</f>
        <v/>
      </c>
      <c r="G10" s="20">
        <f>IF(OR([@QUANTITY_PER_TRANSPORT_UNIT]="",[@UNIT_WEIGHT_G]=""),"",[@QUANTITY_PER_TRANSPORT_UNIT]*[@UNIT_WEIGHT_G])</f>
        <v/>
      </c>
    </row>
    <row r="11">
      <c r="A11" s="20" t="n">
        <v>10</v>
      </c>
      <c r="B11" s="20">
        <f>IFERROR(INDEX(T_TRANSPORT_CONFIGURATION_LINE[TRANSPORT_CONFIGURATION_LINE_ID],[@ROW_INDEX]),"")</f>
        <v/>
      </c>
      <c r="C11" s="20">
        <f>IFERROR(INDEX(T_TRANSPORT_CONFIGURATION_LINE[TRANSPORT_CONFIGURATION_ID],[@ROW_INDEX]),"")</f>
        <v/>
      </c>
      <c r="D11" s="20">
        <f>IFERROR(INDEX(T_TRANSPORT_CONFIGURATION_LINE[COMPONENT_ID],[@ROW_INDEX]),"")</f>
        <v/>
      </c>
      <c r="E11" s="20">
        <f>IFERROR(INDEX(T_TRANSPORT_CONFIGURATION_LINE[QUANTITY_PER_TRANSPORT_UNIT],[@ROW_INDEX]),"")</f>
        <v/>
      </c>
      <c r="F11" s="20">
        <f>IF([@COMPONENT_ID]="","",IFERROR(INDEX(T_COMPONENT[WEIGHT_G],MATCH([@COMPONENT_ID],T_COMPONENT[COMPONENT_ID],0)),""))</f>
        <v/>
      </c>
      <c r="G11" s="20">
        <f>IF(OR([@QUANTITY_PER_TRANSPORT_UNIT]="",[@UNIT_WEIGHT_G]=""),"",[@QUANTITY_PER_TRANSPORT_UNIT]*[@UNIT_WEIGHT_G])</f>
        <v/>
      </c>
    </row>
    <row r="12">
      <c r="A12" s="20" t="n">
        <v>11</v>
      </c>
      <c r="B12" s="20">
        <f>IFERROR(INDEX(T_TRANSPORT_CONFIGURATION_LINE[TRANSPORT_CONFIGURATION_LINE_ID],[@ROW_INDEX]),"")</f>
        <v/>
      </c>
      <c r="C12" s="20">
        <f>IFERROR(INDEX(T_TRANSPORT_CONFIGURATION_LINE[TRANSPORT_CONFIGURATION_ID],[@ROW_INDEX]),"")</f>
        <v/>
      </c>
      <c r="D12" s="20">
        <f>IFERROR(INDEX(T_TRANSPORT_CONFIGURATION_LINE[COMPONENT_ID],[@ROW_INDEX]),"")</f>
        <v/>
      </c>
      <c r="E12" s="20">
        <f>IFERROR(INDEX(T_TRANSPORT_CONFIGURATION_LINE[QUANTITY_PER_TRANSPORT_UNIT],[@ROW_INDEX]),"")</f>
        <v/>
      </c>
      <c r="F12" s="20">
        <f>IF([@COMPONENT_ID]="","",IFERROR(INDEX(T_COMPONENT[WEIGHT_G],MATCH([@COMPONENT_ID],T_COMPONENT[COMPONENT_ID],0)),""))</f>
        <v/>
      </c>
      <c r="G12" s="20">
        <f>IF(OR([@QUANTITY_PER_TRANSPORT_UNIT]="",[@UNIT_WEIGHT_G]=""),"",[@QUANTITY_PER_TRANSPORT_UNIT]*[@UNIT_WEIGHT_G])</f>
        <v/>
      </c>
    </row>
    <row r="13">
      <c r="A13" s="20" t="n">
        <v>12</v>
      </c>
      <c r="B13" s="20">
        <f>IFERROR(INDEX(T_TRANSPORT_CONFIGURATION_LINE[TRANSPORT_CONFIGURATION_LINE_ID],[@ROW_INDEX]),"")</f>
        <v/>
      </c>
      <c r="C13" s="20">
        <f>IFERROR(INDEX(T_TRANSPORT_CONFIGURATION_LINE[TRANSPORT_CONFIGURATION_ID],[@ROW_INDEX]),"")</f>
        <v/>
      </c>
      <c r="D13" s="20">
        <f>IFERROR(INDEX(T_TRANSPORT_CONFIGURATION_LINE[COMPONENT_ID],[@ROW_INDEX]),"")</f>
        <v/>
      </c>
      <c r="E13" s="20">
        <f>IFERROR(INDEX(T_TRANSPORT_CONFIGURATION_LINE[QUANTITY_PER_TRANSPORT_UNIT],[@ROW_INDEX]),"")</f>
        <v/>
      </c>
      <c r="F13" s="20">
        <f>IF([@COMPONENT_ID]="","",IFERROR(INDEX(T_COMPONENT[WEIGHT_G],MATCH([@COMPONENT_ID],T_COMPONENT[COMPONENT_ID],0)),""))</f>
        <v/>
      </c>
      <c r="G13" s="20">
        <f>IF(OR([@QUANTITY_PER_TRANSPORT_UNIT]="",[@UNIT_WEIGHT_G]=""),"",[@QUANTITY_PER_TRANSPORT_UNIT]*[@UNIT_WEIGHT_G])</f>
        <v/>
      </c>
    </row>
    <row r="14">
      <c r="A14" s="20" t="n">
        <v>13</v>
      </c>
      <c r="B14" s="20">
        <f>IFERROR(INDEX(T_TRANSPORT_CONFIGURATION_LINE[TRANSPORT_CONFIGURATION_LINE_ID],[@ROW_INDEX]),"")</f>
        <v/>
      </c>
      <c r="C14" s="20">
        <f>IFERROR(INDEX(T_TRANSPORT_CONFIGURATION_LINE[TRANSPORT_CONFIGURATION_ID],[@ROW_INDEX]),"")</f>
        <v/>
      </c>
      <c r="D14" s="20">
        <f>IFERROR(INDEX(T_TRANSPORT_CONFIGURATION_LINE[COMPONENT_ID],[@ROW_INDEX]),"")</f>
        <v/>
      </c>
      <c r="E14" s="20">
        <f>IFERROR(INDEX(T_TRANSPORT_CONFIGURATION_LINE[QUANTITY_PER_TRANSPORT_UNIT],[@ROW_INDEX]),"")</f>
        <v/>
      </c>
      <c r="F14" s="20">
        <f>IF([@COMPONENT_ID]="","",IFERROR(INDEX(T_COMPONENT[WEIGHT_G],MATCH([@COMPONENT_ID],T_COMPONENT[COMPONENT_ID],0)),""))</f>
        <v/>
      </c>
      <c r="G14" s="20">
        <f>IF(OR([@QUANTITY_PER_TRANSPORT_UNIT]="",[@UNIT_WEIGHT_G]=""),"",[@QUANTITY_PER_TRANSPORT_UNIT]*[@UNIT_WEIGHT_G])</f>
        <v/>
      </c>
    </row>
    <row r="15">
      <c r="A15" s="20" t="n">
        <v>14</v>
      </c>
      <c r="B15" s="20">
        <f>IFERROR(INDEX(T_TRANSPORT_CONFIGURATION_LINE[TRANSPORT_CONFIGURATION_LINE_ID],[@ROW_INDEX]),"")</f>
        <v/>
      </c>
      <c r="C15" s="20">
        <f>IFERROR(INDEX(T_TRANSPORT_CONFIGURATION_LINE[TRANSPORT_CONFIGURATION_ID],[@ROW_INDEX]),"")</f>
        <v/>
      </c>
      <c r="D15" s="20">
        <f>IFERROR(INDEX(T_TRANSPORT_CONFIGURATION_LINE[COMPONENT_ID],[@ROW_INDEX]),"")</f>
        <v/>
      </c>
      <c r="E15" s="20">
        <f>IFERROR(INDEX(T_TRANSPORT_CONFIGURATION_LINE[QUANTITY_PER_TRANSPORT_UNIT],[@ROW_INDEX]),"")</f>
        <v/>
      </c>
      <c r="F15" s="20">
        <f>IF([@COMPONENT_ID]="","",IFERROR(INDEX(T_COMPONENT[WEIGHT_G],MATCH([@COMPONENT_ID],T_COMPONENT[COMPONENT_ID],0)),""))</f>
        <v/>
      </c>
      <c r="G15" s="20">
        <f>IF(OR([@QUANTITY_PER_TRANSPORT_UNIT]="",[@UNIT_WEIGHT_G]=""),"",[@QUANTITY_PER_TRANSPORT_UNIT]*[@UNIT_WEIGHT_G])</f>
        <v/>
      </c>
    </row>
    <row r="16">
      <c r="A16" s="20" t="n">
        <v>15</v>
      </c>
      <c r="B16" s="20">
        <f>IFERROR(INDEX(T_TRANSPORT_CONFIGURATION_LINE[TRANSPORT_CONFIGURATION_LINE_ID],[@ROW_INDEX]),"")</f>
        <v/>
      </c>
      <c r="C16" s="20">
        <f>IFERROR(INDEX(T_TRANSPORT_CONFIGURATION_LINE[TRANSPORT_CONFIGURATION_ID],[@ROW_INDEX]),"")</f>
        <v/>
      </c>
      <c r="D16" s="20">
        <f>IFERROR(INDEX(T_TRANSPORT_CONFIGURATION_LINE[COMPONENT_ID],[@ROW_INDEX]),"")</f>
        <v/>
      </c>
      <c r="E16" s="20">
        <f>IFERROR(INDEX(T_TRANSPORT_CONFIGURATION_LINE[QUANTITY_PER_TRANSPORT_UNIT],[@ROW_INDEX]),"")</f>
        <v/>
      </c>
      <c r="F16" s="20">
        <f>IF([@COMPONENT_ID]="","",IFERROR(INDEX(T_COMPONENT[WEIGHT_G],MATCH([@COMPONENT_ID],T_COMPONENT[COMPONENT_ID],0)),""))</f>
        <v/>
      </c>
      <c r="G16" s="20">
        <f>IF(OR([@QUANTITY_PER_TRANSPORT_UNIT]="",[@UNIT_WEIGHT_G]=""),"",[@QUANTITY_PER_TRANSPORT_UNIT]*[@UNIT_WEIGHT_G])</f>
        <v/>
      </c>
    </row>
    <row r="17">
      <c r="A17" s="20" t="n">
        <v>16</v>
      </c>
      <c r="B17" s="20">
        <f>IFERROR(INDEX(T_TRANSPORT_CONFIGURATION_LINE[TRANSPORT_CONFIGURATION_LINE_ID],[@ROW_INDEX]),"")</f>
        <v/>
      </c>
      <c r="C17" s="20">
        <f>IFERROR(INDEX(T_TRANSPORT_CONFIGURATION_LINE[TRANSPORT_CONFIGURATION_ID],[@ROW_INDEX]),"")</f>
        <v/>
      </c>
      <c r="D17" s="20">
        <f>IFERROR(INDEX(T_TRANSPORT_CONFIGURATION_LINE[COMPONENT_ID],[@ROW_INDEX]),"")</f>
        <v/>
      </c>
      <c r="E17" s="20">
        <f>IFERROR(INDEX(T_TRANSPORT_CONFIGURATION_LINE[QUANTITY_PER_TRANSPORT_UNIT],[@ROW_INDEX]),"")</f>
        <v/>
      </c>
      <c r="F17" s="20">
        <f>IF([@COMPONENT_ID]="","",IFERROR(INDEX(T_COMPONENT[WEIGHT_G],MATCH([@COMPONENT_ID],T_COMPONENT[COMPONENT_ID],0)),""))</f>
        <v/>
      </c>
      <c r="G17" s="20">
        <f>IF(OR([@QUANTITY_PER_TRANSPORT_UNIT]="",[@UNIT_WEIGHT_G]=""),"",[@QUANTITY_PER_TRANSPORT_UNIT]*[@UNIT_WEIGHT_G])</f>
        <v/>
      </c>
    </row>
    <row r="18">
      <c r="A18" s="20" t="n">
        <v>17</v>
      </c>
      <c r="B18" s="20">
        <f>IFERROR(INDEX(T_TRANSPORT_CONFIGURATION_LINE[TRANSPORT_CONFIGURATION_LINE_ID],[@ROW_INDEX]),"")</f>
        <v/>
      </c>
      <c r="C18" s="20">
        <f>IFERROR(INDEX(T_TRANSPORT_CONFIGURATION_LINE[TRANSPORT_CONFIGURATION_ID],[@ROW_INDEX]),"")</f>
        <v/>
      </c>
      <c r="D18" s="20">
        <f>IFERROR(INDEX(T_TRANSPORT_CONFIGURATION_LINE[COMPONENT_ID],[@ROW_INDEX]),"")</f>
        <v/>
      </c>
      <c r="E18" s="20">
        <f>IFERROR(INDEX(T_TRANSPORT_CONFIGURATION_LINE[QUANTITY_PER_TRANSPORT_UNIT],[@ROW_INDEX]),"")</f>
        <v/>
      </c>
      <c r="F18" s="20">
        <f>IF([@COMPONENT_ID]="","",IFERROR(INDEX(T_COMPONENT[WEIGHT_G],MATCH([@COMPONENT_ID],T_COMPONENT[COMPONENT_ID],0)),""))</f>
        <v/>
      </c>
      <c r="G18" s="20">
        <f>IF(OR([@QUANTITY_PER_TRANSPORT_UNIT]="",[@UNIT_WEIGHT_G]=""),"",[@QUANTITY_PER_TRANSPORT_UNIT]*[@UNIT_WEIGHT_G])</f>
        <v/>
      </c>
    </row>
    <row r="19">
      <c r="A19" s="20" t="n">
        <v>18</v>
      </c>
      <c r="B19" s="20">
        <f>IFERROR(INDEX(T_TRANSPORT_CONFIGURATION_LINE[TRANSPORT_CONFIGURATION_LINE_ID],[@ROW_INDEX]),"")</f>
        <v/>
      </c>
      <c r="C19" s="20">
        <f>IFERROR(INDEX(T_TRANSPORT_CONFIGURATION_LINE[TRANSPORT_CONFIGURATION_ID],[@ROW_INDEX]),"")</f>
        <v/>
      </c>
      <c r="D19" s="20">
        <f>IFERROR(INDEX(T_TRANSPORT_CONFIGURATION_LINE[COMPONENT_ID],[@ROW_INDEX]),"")</f>
        <v/>
      </c>
      <c r="E19" s="20">
        <f>IFERROR(INDEX(T_TRANSPORT_CONFIGURATION_LINE[QUANTITY_PER_TRANSPORT_UNIT],[@ROW_INDEX]),"")</f>
        <v/>
      </c>
      <c r="F19" s="20">
        <f>IF([@COMPONENT_ID]="","",IFERROR(INDEX(T_COMPONENT[WEIGHT_G],MATCH([@COMPONENT_ID],T_COMPONENT[COMPONENT_ID],0)),""))</f>
        <v/>
      </c>
      <c r="G19" s="20">
        <f>IF(OR([@QUANTITY_PER_TRANSPORT_UNIT]="",[@UNIT_WEIGHT_G]=""),"",[@QUANTITY_PER_TRANSPORT_UNIT]*[@UNIT_WEIGHT_G])</f>
        <v/>
      </c>
    </row>
    <row r="20">
      <c r="A20" s="20" t="n">
        <v>19</v>
      </c>
      <c r="B20" s="20">
        <f>IFERROR(INDEX(T_TRANSPORT_CONFIGURATION_LINE[TRANSPORT_CONFIGURATION_LINE_ID],[@ROW_INDEX]),"")</f>
        <v/>
      </c>
      <c r="C20" s="20">
        <f>IFERROR(INDEX(T_TRANSPORT_CONFIGURATION_LINE[TRANSPORT_CONFIGURATION_ID],[@ROW_INDEX]),"")</f>
        <v/>
      </c>
      <c r="D20" s="20">
        <f>IFERROR(INDEX(T_TRANSPORT_CONFIGURATION_LINE[COMPONENT_ID],[@ROW_INDEX]),"")</f>
        <v/>
      </c>
      <c r="E20" s="20">
        <f>IFERROR(INDEX(T_TRANSPORT_CONFIGURATION_LINE[QUANTITY_PER_TRANSPORT_UNIT],[@ROW_INDEX]),"")</f>
        <v/>
      </c>
      <c r="F20" s="20">
        <f>IF([@COMPONENT_ID]="","",IFERROR(INDEX(T_COMPONENT[WEIGHT_G],MATCH([@COMPONENT_ID],T_COMPONENT[COMPONENT_ID],0)),""))</f>
        <v/>
      </c>
      <c r="G20" s="20">
        <f>IF(OR([@QUANTITY_PER_TRANSPORT_UNIT]="",[@UNIT_WEIGHT_G]=""),"",[@QUANTITY_PER_TRANSPORT_UNIT]*[@UNIT_WEIGHT_G])</f>
        <v/>
      </c>
    </row>
    <row r="21">
      <c r="A21" s="20" t="n">
        <v>20</v>
      </c>
      <c r="B21" s="20">
        <f>IFERROR(INDEX(T_TRANSPORT_CONFIGURATION_LINE[TRANSPORT_CONFIGURATION_LINE_ID],[@ROW_INDEX]),"")</f>
        <v/>
      </c>
      <c r="C21" s="20">
        <f>IFERROR(INDEX(T_TRANSPORT_CONFIGURATION_LINE[TRANSPORT_CONFIGURATION_ID],[@ROW_INDEX]),"")</f>
        <v/>
      </c>
      <c r="D21" s="20">
        <f>IFERROR(INDEX(T_TRANSPORT_CONFIGURATION_LINE[COMPONENT_ID],[@ROW_INDEX]),"")</f>
        <v/>
      </c>
      <c r="E21" s="20">
        <f>IFERROR(INDEX(T_TRANSPORT_CONFIGURATION_LINE[QUANTITY_PER_TRANSPORT_UNIT],[@ROW_INDEX]),"")</f>
        <v/>
      </c>
      <c r="F21" s="20">
        <f>IF([@COMPONENT_ID]="","",IFERROR(INDEX(T_COMPONENT[WEIGHT_G],MATCH([@COMPONENT_ID],T_COMPONENT[COMPONENT_ID],0)),""))</f>
        <v/>
      </c>
      <c r="G21" s="20">
        <f>IF(OR([@QUANTITY_PER_TRANSPORT_UNIT]="",[@UNIT_WEIGHT_G]=""),"",[@QUANTITY_PER_TRANSPORT_UNIT]*[@UNIT_WEIGHT_G])</f>
        <v/>
      </c>
    </row>
    <row r="22">
      <c r="A22" s="20" t="n">
        <v>21</v>
      </c>
      <c r="B22" s="20">
        <f>IFERROR(INDEX(T_TRANSPORT_CONFIGURATION_LINE[TRANSPORT_CONFIGURATION_LINE_ID],[@ROW_INDEX]),"")</f>
        <v/>
      </c>
      <c r="C22" s="20">
        <f>IFERROR(INDEX(T_TRANSPORT_CONFIGURATION_LINE[TRANSPORT_CONFIGURATION_ID],[@ROW_INDEX]),"")</f>
        <v/>
      </c>
      <c r="D22" s="20">
        <f>IFERROR(INDEX(T_TRANSPORT_CONFIGURATION_LINE[COMPONENT_ID],[@ROW_INDEX]),"")</f>
        <v/>
      </c>
      <c r="E22" s="20">
        <f>IFERROR(INDEX(T_TRANSPORT_CONFIGURATION_LINE[QUANTITY_PER_TRANSPORT_UNIT],[@ROW_INDEX]),"")</f>
        <v/>
      </c>
      <c r="F22" s="20">
        <f>IF([@COMPONENT_ID]="","",IFERROR(INDEX(T_COMPONENT[WEIGHT_G],MATCH([@COMPONENT_ID],T_COMPONENT[COMPONENT_ID],0)),""))</f>
        <v/>
      </c>
      <c r="G22" s="20">
        <f>IF(OR([@QUANTITY_PER_TRANSPORT_UNIT]="",[@UNIT_WEIGHT_G]=""),"",[@QUANTITY_PER_TRANSPORT_UNIT]*[@UNIT_WEIGHT_G])</f>
        <v/>
      </c>
    </row>
    <row r="23">
      <c r="A23" s="20" t="n">
        <v>22</v>
      </c>
      <c r="B23" s="20">
        <f>IFERROR(INDEX(T_TRANSPORT_CONFIGURATION_LINE[TRANSPORT_CONFIGURATION_LINE_ID],[@ROW_INDEX]),"")</f>
        <v/>
      </c>
      <c r="C23" s="20">
        <f>IFERROR(INDEX(T_TRANSPORT_CONFIGURATION_LINE[TRANSPORT_CONFIGURATION_ID],[@ROW_INDEX]),"")</f>
        <v/>
      </c>
      <c r="D23" s="20">
        <f>IFERROR(INDEX(T_TRANSPORT_CONFIGURATION_LINE[COMPONENT_ID],[@ROW_INDEX]),"")</f>
        <v/>
      </c>
      <c r="E23" s="20">
        <f>IFERROR(INDEX(T_TRANSPORT_CONFIGURATION_LINE[QUANTITY_PER_TRANSPORT_UNIT],[@ROW_INDEX]),"")</f>
        <v/>
      </c>
      <c r="F23" s="20">
        <f>IF([@COMPONENT_ID]="","",IFERROR(INDEX(T_COMPONENT[WEIGHT_G],MATCH([@COMPONENT_ID],T_COMPONENT[COMPONENT_ID],0)),""))</f>
        <v/>
      </c>
      <c r="G23" s="20">
        <f>IF(OR([@QUANTITY_PER_TRANSPORT_UNIT]="",[@UNIT_WEIGHT_G]=""),"",[@QUANTITY_PER_TRANSPORT_UNIT]*[@UNIT_WEIGHT_G])</f>
        <v/>
      </c>
    </row>
    <row r="24">
      <c r="A24" s="20" t="n">
        <v>23</v>
      </c>
      <c r="B24" s="20">
        <f>IFERROR(INDEX(T_TRANSPORT_CONFIGURATION_LINE[TRANSPORT_CONFIGURATION_LINE_ID],[@ROW_INDEX]),"")</f>
        <v/>
      </c>
      <c r="C24" s="20">
        <f>IFERROR(INDEX(T_TRANSPORT_CONFIGURATION_LINE[TRANSPORT_CONFIGURATION_ID],[@ROW_INDEX]),"")</f>
        <v/>
      </c>
      <c r="D24" s="20">
        <f>IFERROR(INDEX(T_TRANSPORT_CONFIGURATION_LINE[COMPONENT_ID],[@ROW_INDEX]),"")</f>
        <v/>
      </c>
      <c r="E24" s="20">
        <f>IFERROR(INDEX(T_TRANSPORT_CONFIGURATION_LINE[QUANTITY_PER_TRANSPORT_UNIT],[@ROW_INDEX]),"")</f>
        <v/>
      </c>
      <c r="F24" s="20">
        <f>IF([@COMPONENT_ID]="","",IFERROR(INDEX(T_COMPONENT[WEIGHT_G],MATCH([@COMPONENT_ID],T_COMPONENT[COMPONENT_ID],0)),""))</f>
        <v/>
      </c>
      <c r="G24" s="20">
        <f>IF(OR([@QUANTITY_PER_TRANSPORT_UNIT]="",[@UNIT_WEIGHT_G]=""),"",[@QUANTITY_PER_TRANSPORT_UNIT]*[@UNIT_WEIGHT_G])</f>
        <v/>
      </c>
    </row>
    <row r="25">
      <c r="A25" s="20" t="n">
        <v>24</v>
      </c>
      <c r="B25" s="20">
        <f>IFERROR(INDEX(T_TRANSPORT_CONFIGURATION_LINE[TRANSPORT_CONFIGURATION_LINE_ID],[@ROW_INDEX]),"")</f>
        <v/>
      </c>
      <c r="C25" s="20">
        <f>IFERROR(INDEX(T_TRANSPORT_CONFIGURATION_LINE[TRANSPORT_CONFIGURATION_ID],[@ROW_INDEX]),"")</f>
        <v/>
      </c>
      <c r="D25" s="20">
        <f>IFERROR(INDEX(T_TRANSPORT_CONFIGURATION_LINE[COMPONENT_ID],[@ROW_INDEX]),"")</f>
        <v/>
      </c>
      <c r="E25" s="20">
        <f>IFERROR(INDEX(T_TRANSPORT_CONFIGURATION_LINE[QUANTITY_PER_TRANSPORT_UNIT],[@ROW_INDEX]),"")</f>
        <v/>
      </c>
      <c r="F25" s="20">
        <f>IF([@COMPONENT_ID]="","",IFERROR(INDEX(T_COMPONENT[WEIGHT_G],MATCH([@COMPONENT_ID],T_COMPONENT[COMPONENT_ID],0)),""))</f>
        <v/>
      </c>
      <c r="G25" s="20">
        <f>IF(OR([@QUANTITY_PER_TRANSPORT_UNIT]="",[@UNIT_WEIGHT_G]=""),"",[@QUANTITY_PER_TRANSPORT_UNIT]*[@UNIT_WEIGHT_G])</f>
        <v/>
      </c>
    </row>
    <row r="26">
      <c r="A26" s="20" t="n">
        <v>25</v>
      </c>
      <c r="B26" s="20">
        <f>IFERROR(INDEX(T_TRANSPORT_CONFIGURATION_LINE[TRANSPORT_CONFIGURATION_LINE_ID],[@ROW_INDEX]),"")</f>
        <v/>
      </c>
      <c r="C26" s="20">
        <f>IFERROR(INDEX(T_TRANSPORT_CONFIGURATION_LINE[TRANSPORT_CONFIGURATION_ID],[@ROW_INDEX]),"")</f>
        <v/>
      </c>
      <c r="D26" s="20">
        <f>IFERROR(INDEX(T_TRANSPORT_CONFIGURATION_LINE[COMPONENT_ID],[@ROW_INDEX]),"")</f>
        <v/>
      </c>
      <c r="E26" s="20">
        <f>IFERROR(INDEX(T_TRANSPORT_CONFIGURATION_LINE[QUANTITY_PER_TRANSPORT_UNIT],[@ROW_INDEX]),"")</f>
        <v/>
      </c>
      <c r="F26" s="20">
        <f>IF([@COMPONENT_ID]="","",IFERROR(INDEX(T_COMPONENT[WEIGHT_G],MATCH([@COMPONENT_ID],T_COMPONENT[COMPONENT_ID],0)),""))</f>
        <v/>
      </c>
      <c r="G26" s="20">
        <f>IF(OR([@QUANTITY_PER_TRANSPORT_UNIT]="",[@UNIT_WEIGHT_G]=""),"",[@QUANTITY_PER_TRANSPORT_UNIT]*[@UNIT_WEIGHT_G])</f>
        <v/>
      </c>
    </row>
    <row r="27">
      <c r="A27" s="20" t="n">
        <v>26</v>
      </c>
      <c r="B27" s="20">
        <f>IFERROR(INDEX(T_TRANSPORT_CONFIGURATION_LINE[TRANSPORT_CONFIGURATION_LINE_ID],[@ROW_INDEX]),"")</f>
        <v/>
      </c>
      <c r="C27" s="20">
        <f>IFERROR(INDEX(T_TRANSPORT_CONFIGURATION_LINE[TRANSPORT_CONFIGURATION_ID],[@ROW_INDEX]),"")</f>
        <v/>
      </c>
      <c r="D27" s="20">
        <f>IFERROR(INDEX(T_TRANSPORT_CONFIGURATION_LINE[COMPONENT_ID],[@ROW_INDEX]),"")</f>
        <v/>
      </c>
      <c r="E27" s="20">
        <f>IFERROR(INDEX(T_TRANSPORT_CONFIGURATION_LINE[QUANTITY_PER_TRANSPORT_UNIT],[@ROW_INDEX]),"")</f>
        <v/>
      </c>
      <c r="F27" s="20">
        <f>IF([@COMPONENT_ID]="","",IFERROR(INDEX(T_COMPONENT[WEIGHT_G],MATCH([@COMPONENT_ID],T_COMPONENT[COMPONENT_ID],0)),""))</f>
        <v/>
      </c>
      <c r="G27" s="20">
        <f>IF(OR([@QUANTITY_PER_TRANSPORT_UNIT]="",[@UNIT_WEIGHT_G]=""),"",[@QUANTITY_PER_TRANSPORT_UNIT]*[@UNIT_WEIGHT_G])</f>
        <v/>
      </c>
    </row>
    <row r="28">
      <c r="A28" s="20" t="n">
        <v>27</v>
      </c>
      <c r="B28" s="20">
        <f>IFERROR(INDEX(T_TRANSPORT_CONFIGURATION_LINE[TRANSPORT_CONFIGURATION_LINE_ID],[@ROW_INDEX]),"")</f>
        <v/>
      </c>
      <c r="C28" s="20">
        <f>IFERROR(INDEX(T_TRANSPORT_CONFIGURATION_LINE[TRANSPORT_CONFIGURATION_ID],[@ROW_INDEX]),"")</f>
        <v/>
      </c>
      <c r="D28" s="20">
        <f>IFERROR(INDEX(T_TRANSPORT_CONFIGURATION_LINE[COMPONENT_ID],[@ROW_INDEX]),"")</f>
        <v/>
      </c>
      <c r="E28" s="20">
        <f>IFERROR(INDEX(T_TRANSPORT_CONFIGURATION_LINE[QUANTITY_PER_TRANSPORT_UNIT],[@ROW_INDEX]),"")</f>
        <v/>
      </c>
      <c r="F28" s="20">
        <f>IF([@COMPONENT_ID]="","",IFERROR(INDEX(T_COMPONENT[WEIGHT_G],MATCH([@COMPONENT_ID],T_COMPONENT[COMPONENT_ID],0)),""))</f>
        <v/>
      </c>
      <c r="G28" s="20">
        <f>IF(OR([@QUANTITY_PER_TRANSPORT_UNIT]="",[@UNIT_WEIGHT_G]=""),"",[@QUANTITY_PER_TRANSPORT_UNIT]*[@UNIT_WEIGHT_G])</f>
        <v/>
      </c>
    </row>
    <row r="29">
      <c r="A29" s="20" t="n">
        <v>28</v>
      </c>
      <c r="B29" s="20">
        <f>IFERROR(INDEX(T_TRANSPORT_CONFIGURATION_LINE[TRANSPORT_CONFIGURATION_LINE_ID],[@ROW_INDEX]),"")</f>
        <v/>
      </c>
      <c r="C29" s="20">
        <f>IFERROR(INDEX(T_TRANSPORT_CONFIGURATION_LINE[TRANSPORT_CONFIGURATION_ID],[@ROW_INDEX]),"")</f>
        <v/>
      </c>
      <c r="D29" s="20">
        <f>IFERROR(INDEX(T_TRANSPORT_CONFIGURATION_LINE[COMPONENT_ID],[@ROW_INDEX]),"")</f>
        <v/>
      </c>
      <c r="E29" s="20">
        <f>IFERROR(INDEX(T_TRANSPORT_CONFIGURATION_LINE[QUANTITY_PER_TRANSPORT_UNIT],[@ROW_INDEX]),"")</f>
        <v/>
      </c>
      <c r="F29" s="20">
        <f>IF([@COMPONENT_ID]="","",IFERROR(INDEX(T_COMPONENT[WEIGHT_G],MATCH([@COMPONENT_ID],T_COMPONENT[COMPONENT_ID],0)),""))</f>
        <v/>
      </c>
      <c r="G29" s="20">
        <f>IF(OR([@QUANTITY_PER_TRANSPORT_UNIT]="",[@UNIT_WEIGHT_G]=""),"",[@QUANTITY_PER_TRANSPORT_UNIT]*[@UNIT_WEIGHT_G])</f>
        <v/>
      </c>
    </row>
    <row r="30">
      <c r="A30" s="20" t="n">
        <v>29</v>
      </c>
      <c r="B30" s="20">
        <f>IFERROR(INDEX(T_TRANSPORT_CONFIGURATION_LINE[TRANSPORT_CONFIGURATION_LINE_ID],[@ROW_INDEX]),"")</f>
        <v/>
      </c>
      <c r="C30" s="20">
        <f>IFERROR(INDEX(T_TRANSPORT_CONFIGURATION_LINE[TRANSPORT_CONFIGURATION_ID],[@ROW_INDEX]),"")</f>
        <v/>
      </c>
      <c r="D30" s="20">
        <f>IFERROR(INDEX(T_TRANSPORT_CONFIGURATION_LINE[COMPONENT_ID],[@ROW_INDEX]),"")</f>
        <v/>
      </c>
      <c r="E30" s="20">
        <f>IFERROR(INDEX(T_TRANSPORT_CONFIGURATION_LINE[QUANTITY_PER_TRANSPORT_UNIT],[@ROW_INDEX]),"")</f>
        <v/>
      </c>
      <c r="F30" s="20">
        <f>IF([@COMPONENT_ID]="","",IFERROR(INDEX(T_COMPONENT[WEIGHT_G],MATCH([@COMPONENT_ID],T_COMPONENT[COMPONENT_ID],0)),""))</f>
        <v/>
      </c>
      <c r="G30" s="20">
        <f>IF(OR([@QUANTITY_PER_TRANSPORT_UNIT]="",[@UNIT_WEIGHT_G]=""),"",[@QUANTITY_PER_TRANSPORT_UNIT]*[@UNIT_WEIGHT_G])</f>
        <v/>
      </c>
    </row>
    <row r="31">
      <c r="A31" s="20" t="n">
        <v>30</v>
      </c>
      <c r="B31" s="20">
        <f>IFERROR(INDEX(T_TRANSPORT_CONFIGURATION_LINE[TRANSPORT_CONFIGURATION_LINE_ID],[@ROW_INDEX]),"")</f>
        <v/>
      </c>
      <c r="C31" s="20">
        <f>IFERROR(INDEX(T_TRANSPORT_CONFIGURATION_LINE[TRANSPORT_CONFIGURATION_ID],[@ROW_INDEX]),"")</f>
        <v/>
      </c>
      <c r="D31" s="20">
        <f>IFERROR(INDEX(T_TRANSPORT_CONFIGURATION_LINE[COMPONENT_ID],[@ROW_INDEX]),"")</f>
        <v/>
      </c>
      <c r="E31" s="20">
        <f>IFERROR(INDEX(T_TRANSPORT_CONFIGURATION_LINE[QUANTITY_PER_TRANSPORT_UNIT],[@ROW_INDEX]),"")</f>
        <v/>
      </c>
      <c r="F31" s="20">
        <f>IF([@COMPONENT_ID]="","",IFERROR(INDEX(T_COMPONENT[WEIGHT_G],MATCH([@COMPONENT_ID],T_COMPONENT[COMPONENT_ID],0)),""))</f>
        <v/>
      </c>
      <c r="G31" s="20">
        <f>IF(OR([@QUANTITY_PER_TRANSPORT_UNIT]="",[@UNIT_WEIGHT_G]=""),"",[@QUANTITY_PER_TRANSPORT_UNIT]*[@UNIT_WEIGHT_G])</f>
        <v/>
      </c>
    </row>
    <row r="32">
      <c r="A32" s="20" t="n">
        <v>31</v>
      </c>
      <c r="B32" s="20">
        <f>IFERROR(INDEX(T_TRANSPORT_CONFIGURATION_LINE[TRANSPORT_CONFIGURATION_LINE_ID],[@ROW_INDEX]),"")</f>
        <v/>
      </c>
      <c r="C32" s="20">
        <f>IFERROR(INDEX(T_TRANSPORT_CONFIGURATION_LINE[TRANSPORT_CONFIGURATION_ID],[@ROW_INDEX]),"")</f>
        <v/>
      </c>
      <c r="D32" s="20">
        <f>IFERROR(INDEX(T_TRANSPORT_CONFIGURATION_LINE[COMPONENT_ID],[@ROW_INDEX]),"")</f>
        <v/>
      </c>
      <c r="E32" s="20">
        <f>IFERROR(INDEX(T_TRANSPORT_CONFIGURATION_LINE[QUANTITY_PER_TRANSPORT_UNIT],[@ROW_INDEX]),"")</f>
        <v/>
      </c>
      <c r="F32" s="20">
        <f>IF([@COMPONENT_ID]="","",IFERROR(INDEX(T_COMPONENT[WEIGHT_G],MATCH([@COMPONENT_ID],T_COMPONENT[COMPONENT_ID],0)),""))</f>
        <v/>
      </c>
      <c r="G32" s="20">
        <f>IF(OR([@QUANTITY_PER_TRANSPORT_UNIT]="",[@UNIT_WEIGHT_G]=""),"",[@QUANTITY_PER_TRANSPORT_UNIT]*[@UNIT_WEIGHT_G])</f>
        <v/>
      </c>
    </row>
    <row r="33">
      <c r="A33" s="20" t="n">
        <v>32</v>
      </c>
      <c r="B33" s="20">
        <f>IFERROR(INDEX(T_TRANSPORT_CONFIGURATION_LINE[TRANSPORT_CONFIGURATION_LINE_ID],[@ROW_INDEX]),"")</f>
        <v/>
      </c>
      <c r="C33" s="20">
        <f>IFERROR(INDEX(T_TRANSPORT_CONFIGURATION_LINE[TRANSPORT_CONFIGURATION_ID],[@ROW_INDEX]),"")</f>
        <v/>
      </c>
      <c r="D33" s="20">
        <f>IFERROR(INDEX(T_TRANSPORT_CONFIGURATION_LINE[COMPONENT_ID],[@ROW_INDEX]),"")</f>
        <v/>
      </c>
      <c r="E33" s="20">
        <f>IFERROR(INDEX(T_TRANSPORT_CONFIGURATION_LINE[QUANTITY_PER_TRANSPORT_UNIT],[@ROW_INDEX]),"")</f>
        <v/>
      </c>
      <c r="F33" s="20">
        <f>IF([@COMPONENT_ID]="","",IFERROR(INDEX(T_COMPONENT[WEIGHT_G],MATCH([@COMPONENT_ID],T_COMPONENT[COMPONENT_ID],0)),""))</f>
        <v/>
      </c>
      <c r="G33" s="20">
        <f>IF(OR([@QUANTITY_PER_TRANSPORT_UNIT]="",[@UNIT_WEIGHT_G]=""),"",[@QUANTITY_PER_TRANSPORT_UNIT]*[@UNIT_WEIGHT_G])</f>
        <v/>
      </c>
    </row>
    <row r="34">
      <c r="A34" s="20" t="n">
        <v>33</v>
      </c>
      <c r="B34" s="20">
        <f>IFERROR(INDEX(T_TRANSPORT_CONFIGURATION_LINE[TRANSPORT_CONFIGURATION_LINE_ID],[@ROW_INDEX]),"")</f>
        <v/>
      </c>
      <c r="C34" s="20">
        <f>IFERROR(INDEX(T_TRANSPORT_CONFIGURATION_LINE[TRANSPORT_CONFIGURATION_ID],[@ROW_INDEX]),"")</f>
        <v/>
      </c>
      <c r="D34" s="20">
        <f>IFERROR(INDEX(T_TRANSPORT_CONFIGURATION_LINE[COMPONENT_ID],[@ROW_INDEX]),"")</f>
        <v/>
      </c>
      <c r="E34" s="20">
        <f>IFERROR(INDEX(T_TRANSPORT_CONFIGURATION_LINE[QUANTITY_PER_TRANSPORT_UNIT],[@ROW_INDEX]),"")</f>
        <v/>
      </c>
      <c r="F34" s="20">
        <f>IF([@COMPONENT_ID]="","",IFERROR(INDEX(T_COMPONENT[WEIGHT_G],MATCH([@COMPONENT_ID],T_COMPONENT[COMPONENT_ID],0)),""))</f>
        <v/>
      </c>
      <c r="G34" s="20">
        <f>IF(OR([@QUANTITY_PER_TRANSPORT_UNIT]="",[@UNIT_WEIGHT_G]=""),"",[@QUANTITY_PER_TRANSPORT_UNIT]*[@UNIT_WEIGHT_G])</f>
        <v/>
      </c>
    </row>
    <row r="35">
      <c r="A35" s="20" t="n">
        <v>34</v>
      </c>
      <c r="B35" s="20">
        <f>IFERROR(INDEX(T_TRANSPORT_CONFIGURATION_LINE[TRANSPORT_CONFIGURATION_LINE_ID],[@ROW_INDEX]),"")</f>
        <v/>
      </c>
      <c r="C35" s="20">
        <f>IFERROR(INDEX(T_TRANSPORT_CONFIGURATION_LINE[TRANSPORT_CONFIGURATION_ID],[@ROW_INDEX]),"")</f>
        <v/>
      </c>
      <c r="D35" s="20">
        <f>IFERROR(INDEX(T_TRANSPORT_CONFIGURATION_LINE[COMPONENT_ID],[@ROW_INDEX]),"")</f>
        <v/>
      </c>
      <c r="E35" s="20">
        <f>IFERROR(INDEX(T_TRANSPORT_CONFIGURATION_LINE[QUANTITY_PER_TRANSPORT_UNIT],[@ROW_INDEX]),"")</f>
        <v/>
      </c>
      <c r="F35" s="20">
        <f>IF([@COMPONENT_ID]="","",IFERROR(INDEX(T_COMPONENT[WEIGHT_G],MATCH([@COMPONENT_ID],T_COMPONENT[COMPONENT_ID],0)),""))</f>
        <v/>
      </c>
      <c r="G35" s="20">
        <f>IF(OR([@QUANTITY_PER_TRANSPORT_UNIT]="",[@UNIT_WEIGHT_G]=""),"",[@QUANTITY_PER_TRANSPORT_UNIT]*[@UNIT_WEIGHT_G])</f>
        <v/>
      </c>
    </row>
    <row r="36">
      <c r="A36" s="20" t="n">
        <v>35</v>
      </c>
      <c r="B36" s="20">
        <f>IFERROR(INDEX(T_TRANSPORT_CONFIGURATION_LINE[TRANSPORT_CONFIGURATION_LINE_ID],[@ROW_INDEX]),"")</f>
        <v/>
      </c>
      <c r="C36" s="20">
        <f>IFERROR(INDEX(T_TRANSPORT_CONFIGURATION_LINE[TRANSPORT_CONFIGURATION_ID],[@ROW_INDEX]),"")</f>
        <v/>
      </c>
      <c r="D36" s="20">
        <f>IFERROR(INDEX(T_TRANSPORT_CONFIGURATION_LINE[COMPONENT_ID],[@ROW_INDEX]),"")</f>
        <v/>
      </c>
      <c r="E36" s="20">
        <f>IFERROR(INDEX(T_TRANSPORT_CONFIGURATION_LINE[QUANTITY_PER_TRANSPORT_UNIT],[@ROW_INDEX]),"")</f>
        <v/>
      </c>
      <c r="F36" s="20">
        <f>IF([@COMPONENT_ID]="","",IFERROR(INDEX(T_COMPONENT[WEIGHT_G],MATCH([@COMPONENT_ID],T_COMPONENT[COMPONENT_ID],0)),""))</f>
        <v/>
      </c>
      <c r="G36" s="20">
        <f>IF(OR([@QUANTITY_PER_TRANSPORT_UNIT]="",[@UNIT_WEIGHT_G]=""),"",[@QUANTITY_PER_TRANSPORT_UNIT]*[@UNIT_WEIGHT_G])</f>
        <v/>
      </c>
    </row>
    <row r="37">
      <c r="A37" s="20" t="n">
        <v>36</v>
      </c>
      <c r="B37" s="20">
        <f>IFERROR(INDEX(T_TRANSPORT_CONFIGURATION_LINE[TRANSPORT_CONFIGURATION_LINE_ID],[@ROW_INDEX]),"")</f>
        <v/>
      </c>
      <c r="C37" s="20">
        <f>IFERROR(INDEX(T_TRANSPORT_CONFIGURATION_LINE[TRANSPORT_CONFIGURATION_ID],[@ROW_INDEX]),"")</f>
        <v/>
      </c>
      <c r="D37" s="20">
        <f>IFERROR(INDEX(T_TRANSPORT_CONFIGURATION_LINE[COMPONENT_ID],[@ROW_INDEX]),"")</f>
        <v/>
      </c>
      <c r="E37" s="20">
        <f>IFERROR(INDEX(T_TRANSPORT_CONFIGURATION_LINE[QUANTITY_PER_TRANSPORT_UNIT],[@ROW_INDEX]),"")</f>
        <v/>
      </c>
      <c r="F37" s="20">
        <f>IF([@COMPONENT_ID]="","",IFERROR(INDEX(T_COMPONENT[WEIGHT_G],MATCH([@COMPONENT_ID],T_COMPONENT[COMPONENT_ID],0)),""))</f>
        <v/>
      </c>
      <c r="G37" s="20">
        <f>IF(OR([@QUANTITY_PER_TRANSPORT_UNIT]="",[@UNIT_WEIGHT_G]=""),"",[@QUANTITY_PER_TRANSPORT_UNIT]*[@UNIT_WEIGHT_G])</f>
        <v/>
      </c>
    </row>
    <row r="38">
      <c r="A38" s="20" t="n">
        <v>37</v>
      </c>
      <c r="B38" s="20">
        <f>IFERROR(INDEX(T_TRANSPORT_CONFIGURATION_LINE[TRANSPORT_CONFIGURATION_LINE_ID],[@ROW_INDEX]),"")</f>
        <v/>
      </c>
      <c r="C38" s="20">
        <f>IFERROR(INDEX(T_TRANSPORT_CONFIGURATION_LINE[TRANSPORT_CONFIGURATION_ID],[@ROW_INDEX]),"")</f>
        <v/>
      </c>
      <c r="D38" s="20">
        <f>IFERROR(INDEX(T_TRANSPORT_CONFIGURATION_LINE[COMPONENT_ID],[@ROW_INDEX]),"")</f>
        <v/>
      </c>
      <c r="E38" s="20">
        <f>IFERROR(INDEX(T_TRANSPORT_CONFIGURATION_LINE[QUANTITY_PER_TRANSPORT_UNIT],[@ROW_INDEX]),"")</f>
        <v/>
      </c>
      <c r="F38" s="20">
        <f>IF([@COMPONENT_ID]="","",IFERROR(INDEX(T_COMPONENT[WEIGHT_G],MATCH([@COMPONENT_ID],T_COMPONENT[COMPONENT_ID],0)),""))</f>
        <v/>
      </c>
      <c r="G38" s="20">
        <f>IF(OR([@QUANTITY_PER_TRANSPORT_UNIT]="",[@UNIT_WEIGHT_G]=""),"",[@QUANTITY_PER_TRANSPORT_UNIT]*[@UNIT_WEIGHT_G])</f>
        <v/>
      </c>
    </row>
    <row r="39">
      <c r="A39" s="20" t="n">
        <v>38</v>
      </c>
      <c r="B39" s="20">
        <f>IFERROR(INDEX(T_TRANSPORT_CONFIGURATION_LINE[TRANSPORT_CONFIGURATION_LINE_ID],[@ROW_INDEX]),"")</f>
        <v/>
      </c>
      <c r="C39" s="20">
        <f>IFERROR(INDEX(T_TRANSPORT_CONFIGURATION_LINE[TRANSPORT_CONFIGURATION_ID],[@ROW_INDEX]),"")</f>
        <v/>
      </c>
      <c r="D39" s="20">
        <f>IFERROR(INDEX(T_TRANSPORT_CONFIGURATION_LINE[COMPONENT_ID],[@ROW_INDEX]),"")</f>
        <v/>
      </c>
      <c r="E39" s="20">
        <f>IFERROR(INDEX(T_TRANSPORT_CONFIGURATION_LINE[QUANTITY_PER_TRANSPORT_UNIT],[@ROW_INDEX]),"")</f>
        <v/>
      </c>
      <c r="F39" s="20">
        <f>IF([@COMPONENT_ID]="","",IFERROR(INDEX(T_COMPONENT[WEIGHT_G],MATCH([@COMPONENT_ID],T_COMPONENT[COMPONENT_ID],0)),""))</f>
        <v/>
      </c>
      <c r="G39" s="20">
        <f>IF(OR([@QUANTITY_PER_TRANSPORT_UNIT]="",[@UNIT_WEIGHT_G]=""),"",[@QUANTITY_PER_TRANSPORT_UNIT]*[@UNIT_WEIGHT_G])</f>
        <v/>
      </c>
    </row>
    <row r="40">
      <c r="A40" s="20" t="n">
        <v>39</v>
      </c>
      <c r="B40" s="20">
        <f>IFERROR(INDEX(T_TRANSPORT_CONFIGURATION_LINE[TRANSPORT_CONFIGURATION_LINE_ID],[@ROW_INDEX]),"")</f>
        <v/>
      </c>
      <c r="C40" s="20">
        <f>IFERROR(INDEX(T_TRANSPORT_CONFIGURATION_LINE[TRANSPORT_CONFIGURATION_ID],[@ROW_INDEX]),"")</f>
        <v/>
      </c>
      <c r="D40" s="20">
        <f>IFERROR(INDEX(T_TRANSPORT_CONFIGURATION_LINE[COMPONENT_ID],[@ROW_INDEX]),"")</f>
        <v/>
      </c>
      <c r="E40" s="20">
        <f>IFERROR(INDEX(T_TRANSPORT_CONFIGURATION_LINE[QUANTITY_PER_TRANSPORT_UNIT],[@ROW_INDEX]),"")</f>
        <v/>
      </c>
      <c r="F40" s="20">
        <f>IF([@COMPONENT_ID]="","",IFERROR(INDEX(T_COMPONENT[WEIGHT_G],MATCH([@COMPONENT_ID],T_COMPONENT[COMPONENT_ID],0)),""))</f>
        <v/>
      </c>
      <c r="G40" s="20">
        <f>IF(OR([@QUANTITY_PER_TRANSPORT_UNIT]="",[@UNIT_WEIGHT_G]=""),"",[@QUANTITY_PER_TRANSPORT_UNIT]*[@UNIT_WEIGHT_G])</f>
        <v/>
      </c>
    </row>
    <row r="41">
      <c r="A41" s="20" t="n">
        <v>40</v>
      </c>
      <c r="B41" s="20">
        <f>IFERROR(INDEX(T_TRANSPORT_CONFIGURATION_LINE[TRANSPORT_CONFIGURATION_LINE_ID],[@ROW_INDEX]),"")</f>
        <v/>
      </c>
      <c r="C41" s="20">
        <f>IFERROR(INDEX(T_TRANSPORT_CONFIGURATION_LINE[TRANSPORT_CONFIGURATION_ID],[@ROW_INDEX]),"")</f>
        <v/>
      </c>
      <c r="D41" s="20">
        <f>IFERROR(INDEX(T_TRANSPORT_CONFIGURATION_LINE[COMPONENT_ID],[@ROW_INDEX]),"")</f>
        <v/>
      </c>
      <c r="E41" s="20">
        <f>IFERROR(INDEX(T_TRANSPORT_CONFIGURATION_LINE[QUANTITY_PER_TRANSPORT_UNIT],[@ROW_INDEX]),"")</f>
        <v/>
      </c>
      <c r="F41" s="20">
        <f>IF([@COMPONENT_ID]="","",IFERROR(INDEX(T_COMPONENT[WEIGHT_G],MATCH([@COMPONENT_ID],T_COMPONENT[COMPONENT_ID],0)),""))</f>
        <v/>
      </c>
      <c r="G41" s="20">
        <f>IF(OR([@QUANTITY_PER_TRANSPORT_UNIT]="",[@UNIT_WEIGHT_G]=""),"",[@QUANTITY_PER_TRANSPORT_UNIT]*[@UNIT_WEIGHT_G])</f>
        <v/>
      </c>
    </row>
    <row r="42">
      <c r="A42" s="20" t="n">
        <v>41</v>
      </c>
      <c r="B42" s="20">
        <f>IFERROR(INDEX(T_TRANSPORT_CONFIGURATION_LINE[TRANSPORT_CONFIGURATION_LINE_ID],[@ROW_INDEX]),"")</f>
        <v/>
      </c>
      <c r="C42" s="20">
        <f>IFERROR(INDEX(T_TRANSPORT_CONFIGURATION_LINE[TRANSPORT_CONFIGURATION_ID],[@ROW_INDEX]),"")</f>
        <v/>
      </c>
      <c r="D42" s="20">
        <f>IFERROR(INDEX(T_TRANSPORT_CONFIGURATION_LINE[COMPONENT_ID],[@ROW_INDEX]),"")</f>
        <v/>
      </c>
      <c r="E42" s="20">
        <f>IFERROR(INDEX(T_TRANSPORT_CONFIGURATION_LINE[QUANTITY_PER_TRANSPORT_UNIT],[@ROW_INDEX]),"")</f>
        <v/>
      </c>
      <c r="F42" s="20">
        <f>IF([@COMPONENT_ID]="","",IFERROR(INDEX(T_COMPONENT[WEIGHT_G],MATCH([@COMPONENT_ID],T_COMPONENT[COMPONENT_ID],0)),""))</f>
        <v/>
      </c>
      <c r="G42" s="20">
        <f>IF(OR([@QUANTITY_PER_TRANSPORT_UNIT]="",[@UNIT_WEIGHT_G]=""),"",[@QUANTITY_PER_TRANSPORT_UNIT]*[@UNIT_WEIGHT_G])</f>
        <v/>
      </c>
    </row>
    <row r="43">
      <c r="A43" s="20" t="n">
        <v>42</v>
      </c>
      <c r="B43" s="20">
        <f>IFERROR(INDEX(T_TRANSPORT_CONFIGURATION_LINE[TRANSPORT_CONFIGURATION_LINE_ID],[@ROW_INDEX]),"")</f>
        <v/>
      </c>
      <c r="C43" s="20">
        <f>IFERROR(INDEX(T_TRANSPORT_CONFIGURATION_LINE[TRANSPORT_CONFIGURATION_ID],[@ROW_INDEX]),"")</f>
        <v/>
      </c>
      <c r="D43" s="20">
        <f>IFERROR(INDEX(T_TRANSPORT_CONFIGURATION_LINE[COMPONENT_ID],[@ROW_INDEX]),"")</f>
        <v/>
      </c>
      <c r="E43" s="20">
        <f>IFERROR(INDEX(T_TRANSPORT_CONFIGURATION_LINE[QUANTITY_PER_TRANSPORT_UNIT],[@ROW_INDEX]),"")</f>
        <v/>
      </c>
      <c r="F43" s="20">
        <f>IF([@COMPONENT_ID]="","",IFERROR(INDEX(T_COMPONENT[WEIGHT_G],MATCH([@COMPONENT_ID],T_COMPONENT[COMPONENT_ID],0)),""))</f>
        <v/>
      </c>
      <c r="G43" s="20">
        <f>IF(OR([@QUANTITY_PER_TRANSPORT_UNIT]="",[@UNIT_WEIGHT_G]=""),"",[@QUANTITY_PER_TRANSPORT_UNIT]*[@UNIT_WEIGHT_G])</f>
        <v/>
      </c>
    </row>
    <row r="44">
      <c r="A44" s="20" t="n">
        <v>43</v>
      </c>
      <c r="B44" s="20">
        <f>IFERROR(INDEX(T_TRANSPORT_CONFIGURATION_LINE[TRANSPORT_CONFIGURATION_LINE_ID],[@ROW_INDEX]),"")</f>
        <v/>
      </c>
      <c r="C44" s="20">
        <f>IFERROR(INDEX(T_TRANSPORT_CONFIGURATION_LINE[TRANSPORT_CONFIGURATION_ID],[@ROW_INDEX]),"")</f>
        <v/>
      </c>
      <c r="D44" s="20">
        <f>IFERROR(INDEX(T_TRANSPORT_CONFIGURATION_LINE[COMPONENT_ID],[@ROW_INDEX]),"")</f>
        <v/>
      </c>
      <c r="E44" s="20">
        <f>IFERROR(INDEX(T_TRANSPORT_CONFIGURATION_LINE[QUANTITY_PER_TRANSPORT_UNIT],[@ROW_INDEX]),"")</f>
        <v/>
      </c>
      <c r="F44" s="20">
        <f>IF([@COMPONENT_ID]="","",IFERROR(INDEX(T_COMPONENT[WEIGHT_G],MATCH([@COMPONENT_ID],T_COMPONENT[COMPONENT_ID],0)),""))</f>
        <v/>
      </c>
      <c r="G44" s="20">
        <f>IF(OR([@QUANTITY_PER_TRANSPORT_UNIT]="",[@UNIT_WEIGHT_G]=""),"",[@QUANTITY_PER_TRANSPORT_UNIT]*[@UNIT_WEIGHT_G])</f>
        <v/>
      </c>
    </row>
    <row r="45">
      <c r="A45" s="20" t="n">
        <v>44</v>
      </c>
      <c r="B45" s="20">
        <f>IFERROR(INDEX(T_TRANSPORT_CONFIGURATION_LINE[TRANSPORT_CONFIGURATION_LINE_ID],[@ROW_INDEX]),"")</f>
        <v/>
      </c>
      <c r="C45" s="20">
        <f>IFERROR(INDEX(T_TRANSPORT_CONFIGURATION_LINE[TRANSPORT_CONFIGURATION_ID],[@ROW_INDEX]),"")</f>
        <v/>
      </c>
      <c r="D45" s="20">
        <f>IFERROR(INDEX(T_TRANSPORT_CONFIGURATION_LINE[COMPONENT_ID],[@ROW_INDEX]),"")</f>
        <v/>
      </c>
      <c r="E45" s="20">
        <f>IFERROR(INDEX(T_TRANSPORT_CONFIGURATION_LINE[QUANTITY_PER_TRANSPORT_UNIT],[@ROW_INDEX]),"")</f>
        <v/>
      </c>
      <c r="F45" s="20">
        <f>IF([@COMPONENT_ID]="","",IFERROR(INDEX(T_COMPONENT[WEIGHT_G],MATCH([@COMPONENT_ID],T_COMPONENT[COMPONENT_ID],0)),""))</f>
        <v/>
      </c>
      <c r="G45" s="20">
        <f>IF(OR([@QUANTITY_PER_TRANSPORT_UNIT]="",[@UNIT_WEIGHT_G]=""),"",[@QUANTITY_PER_TRANSPORT_UNIT]*[@UNIT_WEIGHT_G])</f>
        <v/>
      </c>
    </row>
    <row r="46">
      <c r="A46" s="20" t="n">
        <v>45</v>
      </c>
      <c r="B46" s="20">
        <f>IFERROR(INDEX(T_TRANSPORT_CONFIGURATION_LINE[TRANSPORT_CONFIGURATION_LINE_ID],[@ROW_INDEX]),"")</f>
        <v/>
      </c>
      <c r="C46" s="20">
        <f>IFERROR(INDEX(T_TRANSPORT_CONFIGURATION_LINE[TRANSPORT_CONFIGURATION_ID],[@ROW_INDEX]),"")</f>
        <v/>
      </c>
      <c r="D46" s="20">
        <f>IFERROR(INDEX(T_TRANSPORT_CONFIGURATION_LINE[COMPONENT_ID],[@ROW_INDEX]),"")</f>
        <v/>
      </c>
      <c r="E46" s="20">
        <f>IFERROR(INDEX(T_TRANSPORT_CONFIGURATION_LINE[QUANTITY_PER_TRANSPORT_UNIT],[@ROW_INDEX]),"")</f>
        <v/>
      </c>
      <c r="F46" s="20">
        <f>IF([@COMPONENT_ID]="","",IFERROR(INDEX(T_COMPONENT[WEIGHT_G],MATCH([@COMPONENT_ID],T_COMPONENT[COMPONENT_ID],0)),""))</f>
        <v/>
      </c>
      <c r="G46" s="20">
        <f>IF(OR([@QUANTITY_PER_TRANSPORT_UNIT]="",[@UNIT_WEIGHT_G]=""),"",[@QUANTITY_PER_TRANSPORT_UNIT]*[@UNIT_WEIGHT_G])</f>
        <v/>
      </c>
    </row>
    <row r="47">
      <c r="A47" s="20" t="n">
        <v>46</v>
      </c>
      <c r="B47" s="20">
        <f>IFERROR(INDEX(T_TRANSPORT_CONFIGURATION_LINE[TRANSPORT_CONFIGURATION_LINE_ID],[@ROW_INDEX]),"")</f>
        <v/>
      </c>
      <c r="C47" s="20">
        <f>IFERROR(INDEX(T_TRANSPORT_CONFIGURATION_LINE[TRANSPORT_CONFIGURATION_ID],[@ROW_INDEX]),"")</f>
        <v/>
      </c>
      <c r="D47" s="20">
        <f>IFERROR(INDEX(T_TRANSPORT_CONFIGURATION_LINE[COMPONENT_ID],[@ROW_INDEX]),"")</f>
        <v/>
      </c>
      <c r="E47" s="20">
        <f>IFERROR(INDEX(T_TRANSPORT_CONFIGURATION_LINE[QUANTITY_PER_TRANSPORT_UNIT],[@ROW_INDEX]),"")</f>
        <v/>
      </c>
      <c r="F47" s="20">
        <f>IF([@COMPONENT_ID]="","",IFERROR(INDEX(T_COMPONENT[WEIGHT_G],MATCH([@COMPONENT_ID],T_COMPONENT[COMPONENT_ID],0)),""))</f>
        <v/>
      </c>
      <c r="G47" s="20">
        <f>IF(OR([@QUANTITY_PER_TRANSPORT_UNIT]="",[@UNIT_WEIGHT_G]=""),"",[@QUANTITY_PER_TRANSPORT_UNIT]*[@UNIT_WEIGHT_G])</f>
        <v/>
      </c>
    </row>
    <row r="48">
      <c r="A48" s="20" t="n">
        <v>47</v>
      </c>
      <c r="B48" s="20">
        <f>IFERROR(INDEX(T_TRANSPORT_CONFIGURATION_LINE[TRANSPORT_CONFIGURATION_LINE_ID],[@ROW_INDEX]),"")</f>
        <v/>
      </c>
      <c r="C48" s="20">
        <f>IFERROR(INDEX(T_TRANSPORT_CONFIGURATION_LINE[TRANSPORT_CONFIGURATION_ID],[@ROW_INDEX]),"")</f>
        <v/>
      </c>
      <c r="D48" s="20">
        <f>IFERROR(INDEX(T_TRANSPORT_CONFIGURATION_LINE[COMPONENT_ID],[@ROW_INDEX]),"")</f>
        <v/>
      </c>
      <c r="E48" s="20">
        <f>IFERROR(INDEX(T_TRANSPORT_CONFIGURATION_LINE[QUANTITY_PER_TRANSPORT_UNIT],[@ROW_INDEX]),"")</f>
        <v/>
      </c>
      <c r="F48" s="20">
        <f>IF([@COMPONENT_ID]="","",IFERROR(INDEX(T_COMPONENT[WEIGHT_G],MATCH([@COMPONENT_ID],T_COMPONENT[COMPONENT_ID],0)),""))</f>
        <v/>
      </c>
      <c r="G48" s="20">
        <f>IF(OR([@QUANTITY_PER_TRANSPORT_UNIT]="",[@UNIT_WEIGHT_G]=""),"",[@QUANTITY_PER_TRANSPORT_UNIT]*[@UNIT_WEIGHT_G])</f>
        <v/>
      </c>
    </row>
    <row r="49">
      <c r="A49" s="20" t="n">
        <v>48</v>
      </c>
      <c r="B49" s="20">
        <f>IFERROR(INDEX(T_TRANSPORT_CONFIGURATION_LINE[TRANSPORT_CONFIGURATION_LINE_ID],[@ROW_INDEX]),"")</f>
        <v/>
      </c>
      <c r="C49" s="20">
        <f>IFERROR(INDEX(T_TRANSPORT_CONFIGURATION_LINE[TRANSPORT_CONFIGURATION_ID],[@ROW_INDEX]),"")</f>
        <v/>
      </c>
      <c r="D49" s="20">
        <f>IFERROR(INDEX(T_TRANSPORT_CONFIGURATION_LINE[COMPONENT_ID],[@ROW_INDEX]),"")</f>
        <v/>
      </c>
      <c r="E49" s="20">
        <f>IFERROR(INDEX(T_TRANSPORT_CONFIGURATION_LINE[QUANTITY_PER_TRANSPORT_UNIT],[@ROW_INDEX]),"")</f>
        <v/>
      </c>
      <c r="F49" s="20">
        <f>IF([@COMPONENT_ID]="","",IFERROR(INDEX(T_COMPONENT[WEIGHT_G],MATCH([@COMPONENT_ID],T_COMPONENT[COMPONENT_ID],0)),""))</f>
        <v/>
      </c>
      <c r="G49" s="20">
        <f>IF(OR([@QUANTITY_PER_TRANSPORT_UNIT]="",[@UNIT_WEIGHT_G]=""),"",[@QUANTITY_PER_TRANSPORT_UNIT]*[@UNIT_WEIGHT_G])</f>
        <v/>
      </c>
    </row>
    <row r="50">
      <c r="A50" s="20" t="n">
        <v>49</v>
      </c>
      <c r="B50" s="20">
        <f>IFERROR(INDEX(T_TRANSPORT_CONFIGURATION_LINE[TRANSPORT_CONFIGURATION_LINE_ID],[@ROW_INDEX]),"")</f>
        <v/>
      </c>
      <c r="C50" s="20">
        <f>IFERROR(INDEX(T_TRANSPORT_CONFIGURATION_LINE[TRANSPORT_CONFIGURATION_ID],[@ROW_INDEX]),"")</f>
        <v/>
      </c>
      <c r="D50" s="20">
        <f>IFERROR(INDEX(T_TRANSPORT_CONFIGURATION_LINE[COMPONENT_ID],[@ROW_INDEX]),"")</f>
        <v/>
      </c>
      <c r="E50" s="20">
        <f>IFERROR(INDEX(T_TRANSPORT_CONFIGURATION_LINE[QUANTITY_PER_TRANSPORT_UNIT],[@ROW_INDEX]),"")</f>
        <v/>
      </c>
      <c r="F50" s="20">
        <f>IF([@COMPONENT_ID]="","",IFERROR(INDEX(T_COMPONENT[WEIGHT_G],MATCH([@COMPONENT_ID],T_COMPONENT[COMPONENT_ID],0)),""))</f>
        <v/>
      </c>
      <c r="G50" s="20">
        <f>IF(OR([@QUANTITY_PER_TRANSPORT_UNIT]="",[@UNIT_WEIGHT_G]=""),"",[@QUANTITY_PER_TRANSPORT_UNIT]*[@UNIT_WEIGHT_G])</f>
        <v/>
      </c>
    </row>
    <row r="51">
      <c r="A51" s="20" t="n">
        <v>50</v>
      </c>
      <c r="B51" s="20">
        <f>IFERROR(INDEX(T_TRANSPORT_CONFIGURATION_LINE[TRANSPORT_CONFIGURATION_LINE_ID],[@ROW_INDEX]),"")</f>
        <v/>
      </c>
      <c r="C51" s="20">
        <f>IFERROR(INDEX(T_TRANSPORT_CONFIGURATION_LINE[TRANSPORT_CONFIGURATION_ID],[@ROW_INDEX]),"")</f>
        <v/>
      </c>
      <c r="D51" s="20">
        <f>IFERROR(INDEX(T_TRANSPORT_CONFIGURATION_LINE[COMPONENT_ID],[@ROW_INDEX]),"")</f>
        <v/>
      </c>
      <c r="E51" s="20">
        <f>IFERROR(INDEX(T_TRANSPORT_CONFIGURATION_LINE[QUANTITY_PER_TRANSPORT_UNIT],[@ROW_INDEX]),"")</f>
        <v/>
      </c>
      <c r="F51" s="20">
        <f>IF([@COMPONENT_ID]="","",IFERROR(INDEX(T_COMPONENT[WEIGHT_G],MATCH([@COMPONENT_ID],T_COMPONENT[COMPONENT_ID],0)),""))</f>
        <v/>
      </c>
      <c r="G51" s="20">
        <f>IF(OR([@QUANTITY_PER_TRANSPORT_UNIT]="",[@UNIT_WEIGHT_G]=""),"",[@QUANTITY_PER_TRANSPORT_UNIT]*[@UNIT_WEIGHT_G])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I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21" customWidth="1" min="4" max="4"/>
    <col width="30" customWidth="1" min="5" max="5"/>
    <col width="30" customWidth="1" min="6" max="6"/>
    <col width="19" customWidth="1" min="7" max="7"/>
    <col width="19" customWidth="1" min="8" max="8"/>
    <col width="27" customWidth="1" min="9" max="9"/>
    <col width="28" customWidth="1" min="10" max="10"/>
    <col width="31" customWidth="1" min="11" max="11"/>
    <col width="31" customWidth="1" min="12" max="12"/>
    <col width="27" customWidth="1" min="13" max="13"/>
    <col width="31" customWidth="1" min="14" max="14"/>
    <col width="32" customWidth="1" min="15" max="15"/>
  </cols>
  <sheetData>
    <row r="1">
      <c r="A1" s="12" t="inlineStr">
        <is>
          <t>ROW_INDEX</t>
        </is>
      </c>
      <c r="B1" s="12" t="inlineStr">
        <is>
          <t>SHIPMENT_ID</t>
        </is>
      </c>
      <c r="C1" s="12" t="inlineStr">
        <is>
          <t>SHIPMENT_NUMBER</t>
        </is>
      </c>
      <c r="D1" s="12" t="inlineStr">
        <is>
          <t>QTY_PRODUCT_UNITS</t>
        </is>
      </c>
      <c r="E1" s="12" t="inlineStr">
        <is>
          <t>PACKAGING_CONFIGURATION_ID</t>
        </is>
      </c>
      <c r="F1" s="12" t="inlineStr">
        <is>
          <t>TRANSPORT_CONFIGURATION_ID</t>
        </is>
      </c>
      <c r="G1" s="12" t="inlineStr">
        <is>
          <t>UNITS_PER_LAYER</t>
        </is>
      </c>
      <c r="H1" s="12" t="inlineStr">
        <is>
          <t>LAYERS_PER_UNIT</t>
        </is>
      </c>
      <c r="I1" s="12" t="inlineStr">
        <is>
          <t>CONTAINER_PAYLOAD_UNITS</t>
        </is>
      </c>
      <c r="J1" s="12" t="inlineStr">
        <is>
          <t>UNITS_PER_TRANSPORT_UNIT</t>
        </is>
      </c>
      <c r="K1" s="12" t="inlineStr">
        <is>
          <t>PACKAGING_WEIGHT_PER_UNIT_G</t>
        </is>
      </c>
      <c r="L1" s="12" t="inlineStr">
        <is>
          <t>TRANSPORT_WEIGHT_PER_UNIT_G</t>
        </is>
      </c>
      <c r="M1" s="12" t="inlineStr">
        <is>
          <t>TOTAL_WEIGHT_PER_UNIT_G</t>
        </is>
      </c>
      <c r="N1" s="12" t="inlineStr">
        <is>
          <t>SHIPMENT_PACKAGING_WEIGHT_G</t>
        </is>
      </c>
      <c r="O1" s="12" t="inlineStr">
        <is>
          <t>SHIPMENT_PACKAGING_WEIGHT_KG</t>
        </is>
      </c>
      <c r="Q1" s="19" t="inlineStr">
        <is>
          <t>Dashboard</t>
        </is>
      </c>
    </row>
    <row r="2">
      <c r="A2" s="20" t="n">
        <v>1</v>
      </c>
      <c r="B2" s="20">
        <f>IFERROR(INDEX(T_SHIPMENT[SHIPMENT_ID],[@ROW_INDEX]),"")</f>
        <v/>
      </c>
      <c r="C2" s="20">
        <f>IFERROR(INDEX(T_SHIPMENT[SHIPMENT_NUMBER],[@ROW_INDEX]),"")</f>
        <v/>
      </c>
      <c r="D2" s="20">
        <f>IFERROR(INDEX(T_SHIPMENT[QTY_PRODUCT_UNITS],[@ROW_INDEX]),"")</f>
        <v/>
      </c>
      <c r="E2" s="20">
        <f>IFERROR(INDEX(T_SHIPMENT[PACKAGING_CONFIGURATION_ID],[@ROW_INDEX]),"")</f>
        <v/>
      </c>
      <c r="F2" s="20">
        <f>IFERROR(INDEX(T_SHIPMENT[TRANSPORT_CONFIGURATION_ID],[@ROW_INDEX]),"")</f>
        <v/>
      </c>
      <c r="G2" s="20">
        <f>IF([@TRANSPORT_CONFIGURATION_ID]="","",IFERROR(INDEX(T_TRANSPORT_CONFIGURATION[UNITS_PER_LAYER],MATCH([@TRANSPORT_CONFIGURATION_ID],T_TRANSPORT_CONFIGURATION[TRANSPORT_CONFIGURATION_ID],0)),""))</f>
        <v/>
      </c>
      <c r="H2" s="20">
        <f>IF([@TRANSPORT_CONFIGURATION_ID]="","",IFERROR(INDEX(T_TRANSPORT_CONFIGURATION[LAYERS_PER_UNIT],MATCH([@TRANSPORT_CONFIGURATION_ID],T_TRANSPORT_CONFIGURATION[TRANSPORT_CONFIGURATION_ID],0)),""))</f>
        <v/>
      </c>
      <c r="I2" s="20">
        <f>IF([@TRANSPORT_CONFIGURATION_ID]="","",IFERROR(INDEX(T_TRANSPORT_CONFIGURATION[CONTAINER_PAYLOAD_UNITS],MATCH([@TRANSPORT_CONFIGURATION_ID],T_TRANSPORT_CONFIGURATION[TRANSPORT_CONFIGURATION_ID],0)),""))</f>
        <v/>
      </c>
      <c r="J2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" s="20">
        <f>IF([@PACKAGING_CONFIGURATION_ID]="","",SUMIF(T_ENG_PACKAGING_WEIGHT[PACKAGING_CONFIGURATION_ID],[@PACKAGING_CONFIGURATION_ID],T_ENG_PACKAGING_WEIGHT[LINE_WEIGHT_G]))</f>
        <v/>
      </c>
      <c r="L2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" s="20">
        <f>IF(OR([@PACKAGING_WEIGHT_PER_UNIT_G]="",[@TRANSPORT_WEIGHT_PER_UNIT_G]=""),IF([@PACKAGING_WEIGHT_PER_UNIT_G]="","",[@PACKAGING_WEIGHT_PER_UNIT_G]),[@PACKAGING_WEIGHT_PER_UNIT_G]+[@TRANSPORT_WEIGHT_PER_UNIT_G])</f>
        <v/>
      </c>
      <c r="N2" s="20">
        <f>IF(OR([@TOTAL_WEIGHT_PER_UNIT_G]="",[@QTY_PRODUCT_UNITS]=""),"",[@TOTAL_WEIGHT_PER_UNIT_G]*[@QTY_PRODUCT_UNITS])</f>
        <v/>
      </c>
      <c r="O2" s="20">
        <f>IF([@SHIPMENT_PACKAGING_WEIGHT_G]="","",[@SHIPMENT_PACKAGING_WEIGHT_G]/1000)</f>
        <v/>
      </c>
    </row>
    <row r="3">
      <c r="A3" s="20" t="n">
        <v>2</v>
      </c>
      <c r="B3" s="20">
        <f>IFERROR(INDEX(T_SHIPMENT[SHIPMENT_ID],[@ROW_INDEX]),"")</f>
        <v/>
      </c>
      <c r="C3" s="20">
        <f>IFERROR(INDEX(T_SHIPMENT[SHIPMENT_NUMBER],[@ROW_INDEX]),"")</f>
        <v/>
      </c>
      <c r="D3" s="20">
        <f>IFERROR(INDEX(T_SHIPMENT[QTY_PRODUCT_UNITS],[@ROW_INDEX]),"")</f>
        <v/>
      </c>
      <c r="E3" s="20">
        <f>IFERROR(INDEX(T_SHIPMENT[PACKAGING_CONFIGURATION_ID],[@ROW_INDEX]),"")</f>
        <v/>
      </c>
      <c r="F3" s="20">
        <f>IFERROR(INDEX(T_SHIPMENT[TRANSPORT_CONFIGURATION_ID],[@ROW_INDEX]),"")</f>
        <v/>
      </c>
      <c r="G3" s="20">
        <f>IF([@TRANSPORT_CONFIGURATION_ID]="","",IFERROR(INDEX(T_TRANSPORT_CONFIGURATION[UNITS_PER_LAYER],MATCH([@TRANSPORT_CONFIGURATION_ID],T_TRANSPORT_CONFIGURATION[TRANSPORT_CONFIGURATION_ID],0)),""))</f>
        <v/>
      </c>
      <c r="H3" s="20">
        <f>IF([@TRANSPORT_CONFIGURATION_ID]="","",IFERROR(INDEX(T_TRANSPORT_CONFIGURATION[LAYERS_PER_UNIT],MATCH([@TRANSPORT_CONFIGURATION_ID],T_TRANSPORT_CONFIGURATION[TRANSPORT_CONFIGURATION_ID],0)),""))</f>
        <v/>
      </c>
      <c r="I3" s="20">
        <f>IF([@TRANSPORT_CONFIGURATION_ID]="","",IFERROR(INDEX(T_TRANSPORT_CONFIGURATION[CONTAINER_PAYLOAD_UNITS],MATCH([@TRANSPORT_CONFIGURATION_ID],T_TRANSPORT_CONFIGURATION[TRANSPORT_CONFIGURATION_ID],0)),""))</f>
        <v/>
      </c>
      <c r="J3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" s="20">
        <f>IF([@PACKAGING_CONFIGURATION_ID]="","",SUMIF(T_ENG_PACKAGING_WEIGHT[PACKAGING_CONFIGURATION_ID],[@PACKAGING_CONFIGURATION_ID],T_ENG_PACKAGING_WEIGHT[LINE_WEIGHT_G]))</f>
        <v/>
      </c>
      <c r="L3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" s="20">
        <f>IF(OR([@PACKAGING_WEIGHT_PER_UNIT_G]="",[@TRANSPORT_WEIGHT_PER_UNIT_G]=""),IF([@PACKAGING_WEIGHT_PER_UNIT_G]="","",[@PACKAGING_WEIGHT_PER_UNIT_G]),[@PACKAGING_WEIGHT_PER_UNIT_G]+[@TRANSPORT_WEIGHT_PER_UNIT_G])</f>
        <v/>
      </c>
      <c r="N3" s="20">
        <f>IF(OR([@TOTAL_WEIGHT_PER_UNIT_G]="",[@QTY_PRODUCT_UNITS]=""),"",[@TOTAL_WEIGHT_PER_UNIT_G]*[@QTY_PRODUCT_UNITS])</f>
        <v/>
      </c>
      <c r="O3" s="20">
        <f>IF([@SHIPMENT_PACKAGING_WEIGHT_G]="","",[@SHIPMENT_PACKAGING_WEIGHT_G]/1000)</f>
        <v/>
      </c>
    </row>
    <row r="4">
      <c r="A4" s="20" t="n">
        <v>3</v>
      </c>
      <c r="B4" s="20">
        <f>IFERROR(INDEX(T_SHIPMENT[SHIPMENT_ID],[@ROW_INDEX]),"")</f>
        <v/>
      </c>
      <c r="C4" s="20">
        <f>IFERROR(INDEX(T_SHIPMENT[SHIPMENT_NUMBER],[@ROW_INDEX]),"")</f>
        <v/>
      </c>
      <c r="D4" s="20">
        <f>IFERROR(INDEX(T_SHIPMENT[QTY_PRODUCT_UNITS],[@ROW_INDEX]),"")</f>
        <v/>
      </c>
      <c r="E4" s="20">
        <f>IFERROR(INDEX(T_SHIPMENT[PACKAGING_CONFIGURATION_ID],[@ROW_INDEX]),"")</f>
        <v/>
      </c>
      <c r="F4" s="20">
        <f>IFERROR(INDEX(T_SHIPMENT[TRANSPORT_CONFIGURATION_ID],[@ROW_INDEX]),"")</f>
        <v/>
      </c>
      <c r="G4" s="20">
        <f>IF([@TRANSPORT_CONFIGURATION_ID]="","",IFERROR(INDEX(T_TRANSPORT_CONFIGURATION[UNITS_PER_LAYER],MATCH([@TRANSPORT_CONFIGURATION_ID],T_TRANSPORT_CONFIGURATION[TRANSPORT_CONFIGURATION_ID],0)),""))</f>
        <v/>
      </c>
      <c r="H4" s="20">
        <f>IF([@TRANSPORT_CONFIGURATION_ID]="","",IFERROR(INDEX(T_TRANSPORT_CONFIGURATION[LAYERS_PER_UNIT],MATCH([@TRANSPORT_CONFIGURATION_ID],T_TRANSPORT_CONFIGURATION[TRANSPORT_CONFIGURATION_ID],0)),""))</f>
        <v/>
      </c>
      <c r="I4" s="20">
        <f>IF([@TRANSPORT_CONFIGURATION_ID]="","",IFERROR(INDEX(T_TRANSPORT_CONFIGURATION[CONTAINER_PAYLOAD_UNITS],MATCH([@TRANSPORT_CONFIGURATION_ID],T_TRANSPORT_CONFIGURATION[TRANSPORT_CONFIGURATION_ID],0)),""))</f>
        <v/>
      </c>
      <c r="J4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" s="20">
        <f>IF([@PACKAGING_CONFIGURATION_ID]="","",SUMIF(T_ENG_PACKAGING_WEIGHT[PACKAGING_CONFIGURATION_ID],[@PACKAGING_CONFIGURATION_ID],T_ENG_PACKAGING_WEIGHT[LINE_WEIGHT_G]))</f>
        <v/>
      </c>
      <c r="L4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" s="20">
        <f>IF(OR([@PACKAGING_WEIGHT_PER_UNIT_G]="",[@TRANSPORT_WEIGHT_PER_UNIT_G]=""),IF([@PACKAGING_WEIGHT_PER_UNIT_G]="","",[@PACKAGING_WEIGHT_PER_UNIT_G]),[@PACKAGING_WEIGHT_PER_UNIT_G]+[@TRANSPORT_WEIGHT_PER_UNIT_G])</f>
        <v/>
      </c>
      <c r="N4" s="20">
        <f>IF(OR([@TOTAL_WEIGHT_PER_UNIT_G]="",[@QTY_PRODUCT_UNITS]=""),"",[@TOTAL_WEIGHT_PER_UNIT_G]*[@QTY_PRODUCT_UNITS])</f>
        <v/>
      </c>
      <c r="O4" s="20">
        <f>IF([@SHIPMENT_PACKAGING_WEIGHT_G]="","",[@SHIPMENT_PACKAGING_WEIGHT_G]/1000)</f>
        <v/>
      </c>
    </row>
    <row r="5">
      <c r="A5" s="20" t="n">
        <v>4</v>
      </c>
      <c r="B5" s="20">
        <f>IFERROR(INDEX(T_SHIPMENT[SHIPMENT_ID],[@ROW_INDEX]),"")</f>
        <v/>
      </c>
      <c r="C5" s="20">
        <f>IFERROR(INDEX(T_SHIPMENT[SHIPMENT_NUMBER],[@ROW_INDEX]),"")</f>
        <v/>
      </c>
      <c r="D5" s="20">
        <f>IFERROR(INDEX(T_SHIPMENT[QTY_PRODUCT_UNITS],[@ROW_INDEX]),"")</f>
        <v/>
      </c>
      <c r="E5" s="20">
        <f>IFERROR(INDEX(T_SHIPMENT[PACKAGING_CONFIGURATION_ID],[@ROW_INDEX]),"")</f>
        <v/>
      </c>
      <c r="F5" s="20">
        <f>IFERROR(INDEX(T_SHIPMENT[TRANSPORT_CONFIGURATION_ID],[@ROW_INDEX]),"")</f>
        <v/>
      </c>
      <c r="G5" s="20">
        <f>IF([@TRANSPORT_CONFIGURATION_ID]="","",IFERROR(INDEX(T_TRANSPORT_CONFIGURATION[UNITS_PER_LAYER],MATCH([@TRANSPORT_CONFIGURATION_ID],T_TRANSPORT_CONFIGURATION[TRANSPORT_CONFIGURATION_ID],0)),""))</f>
        <v/>
      </c>
      <c r="H5" s="20">
        <f>IF([@TRANSPORT_CONFIGURATION_ID]="","",IFERROR(INDEX(T_TRANSPORT_CONFIGURATION[LAYERS_PER_UNIT],MATCH([@TRANSPORT_CONFIGURATION_ID],T_TRANSPORT_CONFIGURATION[TRANSPORT_CONFIGURATION_ID],0)),""))</f>
        <v/>
      </c>
      <c r="I5" s="20">
        <f>IF([@TRANSPORT_CONFIGURATION_ID]="","",IFERROR(INDEX(T_TRANSPORT_CONFIGURATION[CONTAINER_PAYLOAD_UNITS],MATCH([@TRANSPORT_CONFIGURATION_ID],T_TRANSPORT_CONFIGURATION[TRANSPORT_CONFIGURATION_ID],0)),""))</f>
        <v/>
      </c>
      <c r="J5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5" s="20">
        <f>IF([@PACKAGING_CONFIGURATION_ID]="","",SUMIF(T_ENG_PACKAGING_WEIGHT[PACKAGING_CONFIGURATION_ID],[@PACKAGING_CONFIGURATION_ID],T_ENG_PACKAGING_WEIGHT[LINE_WEIGHT_G]))</f>
        <v/>
      </c>
      <c r="L5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5" s="20">
        <f>IF(OR([@PACKAGING_WEIGHT_PER_UNIT_G]="",[@TRANSPORT_WEIGHT_PER_UNIT_G]=""),IF([@PACKAGING_WEIGHT_PER_UNIT_G]="","",[@PACKAGING_WEIGHT_PER_UNIT_G]),[@PACKAGING_WEIGHT_PER_UNIT_G]+[@TRANSPORT_WEIGHT_PER_UNIT_G])</f>
        <v/>
      </c>
      <c r="N5" s="20">
        <f>IF(OR([@TOTAL_WEIGHT_PER_UNIT_G]="",[@QTY_PRODUCT_UNITS]=""),"",[@TOTAL_WEIGHT_PER_UNIT_G]*[@QTY_PRODUCT_UNITS])</f>
        <v/>
      </c>
      <c r="O5" s="20">
        <f>IF([@SHIPMENT_PACKAGING_WEIGHT_G]="","",[@SHIPMENT_PACKAGING_WEIGHT_G]/1000)</f>
        <v/>
      </c>
    </row>
    <row r="6">
      <c r="A6" s="20" t="n">
        <v>5</v>
      </c>
      <c r="B6" s="20">
        <f>IFERROR(INDEX(T_SHIPMENT[SHIPMENT_ID],[@ROW_INDEX]),"")</f>
        <v/>
      </c>
      <c r="C6" s="20">
        <f>IFERROR(INDEX(T_SHIPMENT[SHIPMENT_NUMBER],[@ROW_INDEX]),"")</f>
        <v/>
      </c>
      <c r="D6" s="20">
        <f>IFERROR(INDEX(T_SHIPMENT[QTY_PRODUCT_UNITS],[@ROW_INDEX]),"")</f>
        <v/>
      </c>
      <c r="E6" s="20">
        <f>IFERROR(INDEX(T_SHIPMENT[PACKAGING_CONFIGURATION_ID],[@ROW_INDEX]),"")</f>
        <v/>
      </c>
      <c r="F6" s="20">
        <f>IFERROR(INDEX(T_SHIPMENT[TRANSPORT_CONFIGURATION_ID],[@ROW_INDEX]),"")</f>
        <v/>
      </c>
      <c r="G6" s="20">
        <f>IF([@TRANSPORT_CONFIGURATION_ID]="","",IFERROR(INDEX(T_TRANSPORT_CONFIGURATION[UNITS_PER_LAYER],MATCH([@TRANSPORT_CONFIGURATION_ID],T_TRANSPORT_CONFIGURATION[TRANSPORT_CONFIGURATION_ID],0)),""))</f>
        <v/>
      </c>
      <c r="H6" s="20">
        <f>IF([@TRANSPORT_CONFIGURATION_ID]="","",IFERROR(INDEX(T_TRANSPORT_CONFIGURATION[LAYERS_PER_UNIT],MATCH([@TRANSPORT_CONFIGURATION_ID],T_TRANSPORT_CONFIGURATION[TRANSPORT_CONFIGURATION_ID],0)),""))</f>
        <v/>
      </c>
      <c r="I6" s="20">
        <f>IF([@TRANSPORT_CONFIGURATION_ID]="","",IFERROR(INDEX(T_TRANSPORT_CONFIGURATION[CONTAINER_PAYLOAD_UNITS],MATCH([@TRANSPORT_CONFIGURATION_ID],T_TRANSPORT_CONFIGURATION[TRANSPORT_CONFIGURATION_ID],0)),""))</f>
        <v/>
      </c>
      <c r="J6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6" s="20">
        <f>IF([@PACKAGING_CONFIGURATION_ID]="","",SUMIF(T_ENG_PACKAGING_WEIGHT[PACKAGING_CONFIGURATION_ID],[@PACKAGING_CONFIGURATION_ID],T_ENG_PACKAGING_WEIGHT[LINE_WEIGHT_G]))</f>
        <v/>
      </c>
      <c r="L6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6" s="20">
        <f>IF(OR([@PACKAGING_WEIGHT_PER_UNIT_G]="",[@TRANSPORT_WEIGHT_PER_UNIT_G]=""),IF([@PACKAGING_WEIGHT_PER_UNIT_G]="","",[@PACKAGING_WEIGHT_PER_UNIT_G]),[@PACKAGING_WEIGHT_PER_UNIT_G]+[@TRANSPORT_WEIGHT_PER_UNIT_G])</f>
        <v/>
      </c>
      <c r="N6" s="20">
        <f>IF(OR([@TOTAL_WEIGHT_PER_UNIT_G]="",[@QTY_PRODUCT_UNITS]=""),"",[@TOTAL_WEIGHT_PER_UNIT_G]*[@QTY_PRODUCT_UNITS])</f>
        <v/>
      </c>
      <c r="O6" s="20">
        <f>IF([@SHIPMENT_PACKAGING_WEIGHT_G]="","",[@SHIPMENT_PACKAGING_WEIGHT_G]/1000)</f>
        <v/>
      </c>
    </row>
    <row r="7">
      <c r="A7" s="20" t="n">
        <v>6</v>
      </c>
      <c r="B7" s="20">
        <f>IFERROR(INDEX(T_SHIPMENT[SHIPMENT_ID],[@ROW_INDEX]),"")</f>
        <v/>
      </c>
      <c r="C7" s="20">
        <f>IFERROR(INDEX(T_SHIPMENT[SHIPMENT_NUMBER],[@ROW_INDEX]),"")</f>
        <v/>
      </c>
      <c r="D7" s="20">
        <f>IFERROR(INDEX(T_SHIPMENT[QTY_PRODUCT_UNITS],[@ROW_INDEX]),"")</f>
        <v/>
      </c>
      <c r="E7" s="20">
        <f>IFERROR(INDEX(T_SHIPMENT[PACKAGING_CONFIGURATION_ID],[@ROW_INDEX]),"")</f>
        <v/>
      </c>
      <c r="F7" s="20">
        <f>IFERROR(INDEX(T_SHIPMENT[TRANSPORT_CONFIGURATION_ID],[@ROW_INDEX]),"")</f>
        <v/>
      </c>
      <c r="G7" s="20">
        <f>IF([@TRANSPORT_CONFIGURATION_ID]="","",IFERROR(INDEX(T_TRANSPORT_CONFIGURATION[UNITS_PER_LAYER],MATCH([@TRANSPORT_CONFIGURATION_ID],T_TRANSPORT_CONFIGURATION[TRANSPORT_CONFIGURATION_ID],0)),""))</f>
        <v/>
      </c>
      <c r="H7" s="20">
        <f>IF([@TRANSPORT_CONFIGURATION_ID]="","",IFERROR(INDEX(T_TRANSPORT_CONFIGURATION[LAYERS_PER_UNIT],MATCH([@TRANSPORT_CONFIGURATION_ID],T_TRANSPORT_CONFIGURATION[TRANSPORT_CONFIGURATION_ID],0)),""))</f>
        <v/>
      </c>
      <c r="I7" s="20">
        <f>IF([@TRANSPORT_CONFIGURATION_ID]="","",IFERROR(INDEX(T_TRANSPORT_CONFIGURATION[CONTAINER_PAYLOAD_UNITS],MATCH([@TRANSPORT_CONFIGURATION_ID],T_TRANSPORT_CONFIGURATION[TRANSPORT_CONFIGURATION_ID],0)),""))</f>
        <v/>
      </c>
      <c r="J7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7" s="20">
        <f>IF([@PACKAGING_CONFIGURATION_ID]="","",SUMIF(T_ENG_PACKAGING_WEIGHT[PACKAGING_CONFIGURATION_ID],[@PACKAGING_CONFIGURATION_ID],T_ENG_PACKAGING_WEIGHT[LINE_WEIGHT_G]))</f>
        <v/>
      </c>
      <c r="L7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7" s="20">
        <f>IF(OR([@PACKAGING_WEIGHT_PER_UNIT_G]="",[@TRANSPORT_WEIGHT_PER_UNIT_G]=""),IF([@PACKAGING_WEIGHT_PER_UNIT_G]="","",[@PACKAGING_WEIGHT_PER_UNIT_G]),[@PACKAGING_WEIGHT_PER_UNIT_G]+[@TRANSPORT_WEIGHT_PER_UNIT_G])</f>
        <v/>
      </c>
      <c r="N7" s="20">
        <f>IF(OR([@TOTAL_WEIGHT_PER_UNIT_G]="",[@QTY_PRODUCT_UNITS]=""),"",[@TOTAL_WEIGHT_PER_UNIT_G]*[@QTY_PRODUCT_UNITS])</f>
        <v/>
      </c>
      <c r="O7" s="20">
        <f>IF([@SHIPMENT_PACKAGING_WEIGHT_G]="","",[@SHIPMENT_PACKAGING_WEIGHT_G]/1000)</f>
        <v/>
      </c>
    </row>
    <row r="8">
      <c r="A8" s="20" t="n">
        <v>7</v>
      </c>
      <c r="B8" s="20">
        <f>IFERROR(INDEX(T_SHIPMENT[SHIPMENT_ID],[@ROW_INDEX]),"")</f>
        <v/>
      </c>
      <c r="C8" s="20">
        <f>IFERROR(INDEX(T_SHIPMENT[SHIPMENT_NUMBER],[@ROW_INDEX]),"")</f>
        <v/>
      </c>
      <c r="D8" s="20">
        <f>IFERROR(INDEX(T_SHIPMENT[QTY_PRODUCT_UNITS],[@ROW_INDEX]),"")</f>
        <v/>
      </c>
      <c r="E8" s="20">
        <f>IFERROR(INDEX(T_SHIPMENT[PACKAGING_CONFIGURATION_ID],[@ROW_INDEX]),"")</f>
        <v/>
      </c>
      <c r="F8" s="20">
        <f>IFERROR(INDEX(T_SHIPMENT[TRANSPORT_CONFIGURATION_ID],[@ROW_INDEX]),"")</f>
        <v/>
      </c>
      <c r="G8" s="20">
        <f>IF([@TRANSPORT_CONFIGURATION_ID]="","",IFERROR(INDEX(T_TRANSPORT_CONFIGURATION[UNITS_PER_LAYER],MATCH([@TRANSPORT_CONFIGURATION_ID],T_TRANSPORT_CONFIGURATION[TRANSPORT_CONFIGURATION_ID],0)),""))</f>
        <v/>
      </c>
      <c r="H8" s="20">
        <f>IF([@TRANSPORT_CONFIGURATION_ID]="","",IFERROR(INDEX(T_TRANSPORT_CONFIGURATION[LAYERS_PER_UNIT],MATCH([@TRANSPORT_CONFIGURATION_ID],T_TRANSPORT_CONFIGURATION[TRANSPORT_CONFIGURATION_ID],0)),""))</f>
        <v/>
      </c>
      <c r="I8" s="20">
        <f>IF([@TRANSPORT_CONFIGURATION_ID]="","",IFERROR(INDEX(T_TRANSPORT_CONFIGURATION[CONTAINER_PAYLOAD_UNITS],MATCH([@TRANSPORT_CONFIGURATION_ID],T_TRANSPORT_CONFIGURATION[TRANSPORT_CONFIGURATION_ID],0)),""))</f>
        <v/>
      </c>
      <c r="J8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8" s="20">
        <f>IF([@PACKAGING_CONFIGURATION_ID]="","",SUMIF(T_ENG_PACKAGING_WEIGHT[PACKAGING_CONFIGURATION_ID],[@PACKAGING_CONFIGURATION_ID],T_ENG_PACKAGING_WEIGHT[LINE_WEIGHT_G]))</f>
        <v/>
      </c>
      <c r="L8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8" s="20">
        <f>IF(OR([@PACKAGING_WEIGHT_PER_UNIT_G]="",[@TRANSPORT_WEIGHT_PER_UNIT_G]=""),IF([@PACKAGING_WEIGHT_PER_UNIT_G]="","",[@PACKAGING_WEIGHT_PER_UNIT_G]),[@PACKAGING_WEIGHT_PER_UNIT_G]+[@TRANSPORT_WEIGHT_PER_UNIT_G])</f>
        <v/>
      </c>
      <c r="N8" s="20">
        <f>IF(OR([@TOTAL_WEIGHT_PER_UNIT_G]="",[@QTY_PRODUCT_UNITS]=""),"",[@TOTAL_WEIGHT_PER_UNIT_G]*[@QTY_PRODUCT_UNITS])</f>
        <v/>
      </c>
      <c r="O8" s="20">
        <f>IF([@SHIPMENT_PACKAGING_WEIGHT_G]="","",[@SHIPMENT_PACKAGING_WEIGHT_G]/1000)</f>
        <v/>
      </c>
    </row>
    <row r="9">
      <c r="A9" s="20" t="n">
        <v>8</v>
      </c>
      <c r="B9" s="20">
        <f>IFERROR(INDEX(T_SHIPMENT[SHIPMENT_ID],[@ROW_INDEX]),"")</f>
        <v/>
      </c>
      <c r="C9" s="20">
        <f>IFERROR(INDEX(T_SHIPMENT[SHIPMENT_NUMBER],[@ROW_INDEX]),"")</f>
        <v/>
      </c>
      <c r="D9" s="20">
        <f>IFERROR(INDEX(T_SHIPMENT[QTY_PRODUCT_UNITS],[@ROW_INDEX]),"")</f>
        <v/>
      </c>
      <c r="E9" s="20">
        <f>IFERROR(INDEX(T_SHIPMENT[PACKAGING_CONFIGURATION_ID],[@ROW_INDEX]),"")</f>
        <v/>
      </c>
      <c r="F9" s="20">
        <f>IFERROR(INDEX(T_SHIPMENT[TRANSPORT_CONFIGURATION_ID],[@ROW_INDEX]),"")</f>
        <v/>
      </c>
      <c r="G9" s="20">
        <f>IF([@TRANSPORT_CONFIGURATION_ID]="","",IFERROR(INDEX(T_TRANSPORT_CONFIGURATION[UNITS_PER_LAYER],MATCH([@TRANSPORT_CONFIGURATION_ID],T_TRANSPORT_CONFIGURATION[TRANSPORT_CONFIGURATION_ID],0)),""))</f>
        <v/>
      </c>
      <c r="H9" s="20">
        <f>IF([@TRANSPORT_CONFIGURATION_ID]="","",IFERROR(INDEX(T_TRANSPORT_CONFIGURATION[LAYERS_PER_UNIT],MATCH([@TRANSPORT_CONFIGURATION_ID],T_TRANSPORT_CONFIGURATION[TRANSPORT_CONFIGURATION_ID],0)),""))</f>
        <v/>
      </c>
      <c r="I9" s="20">
        <f>IF([@TRANSPORT_CONFIGURATION_ID]="","",IFERROR(INDEX(T_TRANSPORT_CONFIGURATION[CONTAINER_PAYLOAD_UNITS],MATCH([@TRANSPORT_CONFIGURATION_ID],T_TRANSPORT_CONFIGURATION[TRANSPORT_CONFIGURATION_ID],0)),""))</f>
        <v/>
      </c>
      <c r="J9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9" s="20">
        <f>IF([@PACKAGING_CONFIGURATION_ID]="","",SUMIF(T_ENG_PACKAGING_WEIGHT[PACKAGING_CONFIGURATION_ID],[@PACKAGING_CONFIGURATION_ID],T_ENG_PACKAGING_WEIGHT[LINE_WEIGHT_G]))</f>
        <v/>
      </c>
      <c r="L9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9" s="20">
        <f>IF(OR([@PACKAGING_WEIGHT_PER_UNIT_G]="",[@TRANSPORT_WEIGHT_PER_UNIT_G]=""),IF([@PACKAGING_WEIGHT_PER_UNIT_G]="","",[@PACKAGING_WEIGHT_PER_UNIT_G]),[@PACKAGING_WEIGHT_PER_UNIT_G]+[@TRANSPORT_WEIGHT_PER_UNIT_G])</f>
        <v/>
      </c>
      <c r="N9" s="20">
        <f>IF(OR([@TOTAL_WEIGHT_PER_UNIT_G]="",[@QTY_PRODUCT_UNITS]=""),"",[@TOTAL_WEIGHT_PER_UNIT_G]*[@QTY_PRODUCT_UNITS])</f>
        <v/>
      </c>
      <c r="O9" s="20">
        <f>IF([@SHIPMENT_PACKAGING_WEIGHT_G]="","",[@SHIPMENT_PACKAGING_WEIGHT_G]/1000)</f>
        <v/>
      </c>
    </row>
    <row r="10">
      <c r="A10" s="20" t="n">
        <v>9</v>
      </c>
      <c r="B10" s="20">
        <f>IFERROR(INDEX(T_SHIPMENT[SHIPMENT_ID],[@ROW_INDEX]),"")</f>
        <v/>
      </c>
      <c r="C10" s="20">
        <f>IFERROR(INDEX(T_SHIPMENT[SHIPMENT_NUMBER],[@ROW_INDEX]),"")</f>
        <v/>
      </c>
      <c r="D10" s="20">
        <f>IFERROR(INDEX(T_SHIPMENT[QTY_PRODUCT_UNITS],[@ROW_INDEX]),"")</f>
        <v/>
      </c>
      <c r="E10" s="20">
        <f>IFERROR(INDEX(T_SHIPMENT[PACKAGING_CONFIGURATION_ID],[@ROW_INDEX]),"")</f>
        <v/>
      </c>
      <c r="F10" s="20">
        <f>IFERROR(INDEX(T_SHIPMENT[TRANSPORT_CONFIGURATION_ID],[@ROW_INDEX]),"")</f>
        <v/>
      </c>
      <c r="G10" s="20">
        <f>IF([@TRANSPORT_CONFIGURATION_ID]="","",IFERROR(INDEX(T_TRANSPORT_CONFIGURATION[UNITS_PER_LAYER],MATCH([@TRANSPORT_CONFIGURATION_ID],T_TRANSPORT_CONFIGURATION[TRANSPORT_CONFIGURATION_ID],0)),""))</f>
        <v/>
      </c>
      <c r="H10" s="20">
        <f>IF([@TRANSPORT_CONFIGURATION_ID]="","",IFERROR(INDEX(T_TRANSPORT_CONFIGURATION[LAYERS_PER_UNIT],MATCH([@TRANSPORT_CONFIGURATION_ID],T_TRANSPORT_CONFIGURATION[TRANSPORT_CONFIGURATION_ID],0)),""))</f>
        <v/>
      </c>
      <c r="I10" s="20">
        <f>IF([@TRANSPORT_CONFIGURATION_ID]="","",IFERROR(INDEX(T_TRANSPORT_CONFIGURATION[CONTAINER_PAYLOAD_UNITS],MATCH([@TRANSPORT_CONFIGURATION_ID],T_TRANSPORT_CONFIGURATION[TRANSPORT_CONFIGURATION_ID],0)),""))</f>
        <v/>
      </c>
      <c r="J10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0" s="20">
        <f>IF([@PACKAGING_CONFIGURATION_ID]="","",SUMIF(T_ENG_PACKAGING_WEIGHT[PACKAGING_CONFIGURATION_ID],[@PACKAGING_CONFIGURATION_ID],T_ENG_PACKAGING_WEIGHT[LINE_WEIGHT_G]))</f>
        <v/>
      </c>
      <c r="L10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0" s="20">
        <f>IF(OR([@PACKAGING_WEIGHT_PER_UNIT_G]="",[@TRANSPORT_WEIGHT_PER_UNIT_G]=""),IF([@PACKAGING_WEIGHT_PER_UNIT_G]="","",[@PACKAGING_WEIGHT_PER_UNIT_G]),[@PACKAGING_WEIGHT_PER_UNIT_G]+[@TRANSPORT_WEIGHT_PER_UNIT_G])</f>
        <v/>
      </c>
      <c r="N10" s="20">
        <f>IF(OR([@TOTAL_WEIGHT_PER_UNIT_G]="",[@QTY_PRODUCT_UNITS]=""),"",[@TOTAL_WEIGHT_PER_UNIT_G]*[@QTY_PRODUCT_UNITS])</f>
        <v/>
      </c>
      <c r="O10" s="20">
        <f>IF([@SHIPMENT_PACKAGING_WEIGHT_G]="","",[@SHIPMENT_PACKAGING_WEIGHT_G]/1000)</f>
        <v/>
      </c>
    </row>
    <row r="11">
      <c r="A11" s="20" t="n">
        <v>10</v>
      </c>
      <c r="B11" s="20">
        <f>IFERROR(INDEX(T_SHIPMENT[SHIPMENT_ID],[@ROW_INDEX]),"")</f>
        <v/>
      </c>
      <c r="C11" s="20">
        <f>IFERROR(INDEX(T_SHIPMENT[SHIPMENT_NUMBER],[@ROW_INDEX]),"")</f>
        <v/>
      </c>
      <c r="D11" s="20">
        <f>IFERROR(INDEX(T_SHIPMENT[QTY_PRODUCT_UNITS],[@ROW_INDEX]),"")</f>
        <v/>
      </c>
      <c r="E11" s="20">
        <f>IFERROR(INDEX(T_SHIPMENT[PACKAGING_CONFIGURATION_ID],[@ROW_INDEX]),"")</f>
        <v/>
      </c>
      <c r="F11" s="20">
        <f>IFERROR(INDEX(T_SHIPMENT[TRANSPORT_CONFIGURATION_ID],[@ROW_INDEX]),"")</f>
        <v/>
      </c>
      <c r="G11" s="20">
        <f>IF([@TRANSPORT_CONFIGURATION_ID]="","",IFERROR(INDEX(T_TRANSPORT_CONFIGURATION[UNITS_PER_LAYER],MATCH([@TRANSPORT_CONFIGURATION_ID],T_TRANSPORT_CONFIGURATION[TRANSPORT_CONFIGURATION_ID],0)),""))</f>
        <v/>
      </c>
      <c r="H11" s="20">
        <f>IF([@TRANSPORT_CONFIGURATION_ID]="","",IFERROR(INDEX(T_TRANSPORT_CONFIGURATION[LAYERS_PER_UNIT],MATCH([@TRANSPORT_CONFIGURATION_ID],T_TRANSPORT_CONFIGURATION[TRANSPORT_CONFIGURATION_ID],0)),""))</f>
        <v/>
      </c>
      <c r="I11" s="20">
        <f>IF([@TRANSPORT_CONFIGURATION_ID]="","",IFERROR(INDEX(T_TRANSPORT_CONFIGURATION[CONTAINER_PAYLOAD_UNITS],MATCH([@TRANSPORT_CONFIGURATION_ID],T_TRANSPORT_CONFIGURATION[TRANSPORT_CONFIGURATION_ID],0)),""))</f>
        <v/>
      </c>
      <c r="J11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1" s="20">
        <f>IF([@PACKAGING_CONFIGURATION_ID]="","",SUMIF(T_ENG_PACKAGING_WEIGHT[PACKAGING_CONFIGURATION_ID],[@PACKAGING_CONFIGURATION_ID],T_ENG_PACKAGING_WEIGHT[LINE_WEIGHT_G]))</f>
        <v/>
      </c>
      <c r="L11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1" s="20">
        <f>IF(OR([@PACKAGING_WEIGHT_PER_UNIT_G]="",[@TRANSPORT_WEIGHT_PER_UNIT_G]=""),IF([@PACKAGING_WEIGHT_PER_UNIT_G]="","",[@PACKAGING_WEIGHT_PER_UNIT_G]),[@PACKAGING_WEIGHT_PER_UNIT_G]+[@TRANSPORT_WEIGHT_PER_UNIT_G])</f>
        <v/>
      </c>
      <c r="N11" s="20">
        <f>IF(OR([@TOTAL_WEIGHT_PER_UNIT_G]="",[@QTY_PRODUCT_UNITS]=""),"",[@TOTAL_WEIGHT_PER_UNIT_G]*[@QTY_PRODUCT_UNITS])</f>
        <v/>
      </c>
      <c r="O11" s="20">
        <f>IF([@SHIPMENT_PACKAGING_WEIGHT_G]="","",[@SHIPMENT_PACKAGING_WEIGHT_G]/1000)</f>
        <v/>
      </c>
    </row>
    <row r="12">
      <c r="A12" s="20" t="n">
        <v>11</v>
      </c>
      <c r="B12" s="20">
        <f>IFERROR(INDEX(T_SHIPMENT[SHIPMENT_ID],[@ROW_INDEX]),"")</f>
        <v/>
      </c>
      <c r="C12" s="20">
        <f>IFERROR(INDEX(T_SHIPMENT[SHIPMENT_NUMBER],[@ROW_INDEX]),"")</f>
        <v/>
      </c>
      <c r="D12" s="20">
        <f>IFERROR(INDEX(T_SHIPMENT[QTY_PRODUCT_UNITS],[@ROW_INDEX]),"")</f>
        <v/>
      </c>
      <c r="E12" s="20">
        <f>IFERROR(INDEX(T_SHIPMENT[PACKAGING_CONFIGURATION_ID],[@ROW_INDEX]),"")</f>
        <v/>
      </c>
      <c r="F12" s="20">
        <f>IFERROR(INDEX(T_SHIPMENT[TRANSPORT_CONFIGURATION_ID],[@ROW_INDEX]),"")</f>
        <v/>
      </c>
      <c r="G12" s="20">
        <f>IF([@TRANSPORT_CONFIGURATION_ID]="","",IFERROR(INDEX(T_TRANSPORT_CONFIGURATION[UNITS_PER_LAYER],MATCH([@TRANSPORT_CONFIGURATION_ID],T_TRANSPORT_CONFIGURATION[TRANSPORT_CONFIGURATION_ID],0)),""))</f>
        <v/>
      </c>
      <c r="H12" s="20">
        <f>IF([@TRANSPORT_CONFIGURATION_ID]="","",IFERROR(INDEX(T_TRANSPORT_CONFIGURATION[LAYERS_PER_UNIT],MATCH([@TRANSPORT_CONFIGURATION_ID],T_TRANSPORT_CONFIGURATION[TRANSPORT_CONFIGURATION_ID],0)),""))</f>
        <v/>
      </c>
      <c r="I12" s="20">
        <f>IF([@TRANSPORT_CONFIGURATION_ID]="","",IFERROR(INDEX(T_TRANSPORT_CONFIGURATION[CONTAINER_PAYLOAD_UNITS],MATCH([@TRANSPORT_CONFIGURATION_ID],T_TRANSPORT_CONFIGURATION[TRANSPORT_CONFIGURATION_ID],0)),""))</f>
        <v/>
      </c>
      <c r="J12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2" s="20">
        <f>IF([@PACKAGING_CONFIGURATION_ID]="","",SUMIF(T_ENG_PACKAGING_WEIGHT[PACKAGING_CONFIGURATION_ID],[@PACKAGING_CONFIGURATION_ID],T_ENG_PACKAGING_WEIGHT[LINE_WEIGHT_G]))</f>
        <v/>
      </c>
      <c r="L12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2" s="20">
        <f>IF(OR([@PACKAGING_WEIGHT_PER_UNIT_G]="",[@TRANSPORT_WEIGHT_PER_UNIT_G]=""),IF([@PACKAGING_WEIGHT_PER_UNIT_G]="","",[@PACKAGING_WEIGHT_PER_UNIT_G]),[@PACKAGING_WEIGHT_PER_UNIT_G]+[@TRANSPORT_WEIGHT_PER_UNIT_G])</f>
        <v/>
      </c>
      <c r="N12" s="20">
        <f>IF(OR([@TOTAL_WEIGHT_PER_UNIT_G]="",[@QTY_PRODUCT_UNITS]=""),"",[@TOTAL_WEIGHT_PER_UNIT_G]*[@QTY_PRODUCT_UNITS])</f>
        <v/>
      </c>
      <c r="O12" s="20">
        <f>IF([@SHIPMENT_PACKAGING_WEIGHT_G]="","",[@SHIPMENT_PACKAGING_WEIGHT_G]/1000)</f>
        <v/>
      </c>
    </row>
    <row r="13">
      <c r="A13" s="20" t="n">
        <v>12</v>
      </c>
      <c r="B13" s="20">
        <f>IFERROR(INDEX(T_SHIPMENT[SHIPMENT_ID],[@ROW_INDEX]),"")</f>
        <v/>
      </c>
      <c r="C13" s="20">
        <f>IFERROR(INDEX(T_SHIPMENT[SHIPMENT_NUMBER],[@ROW_INDEX]),"")</f>
        <v/>
      </c>
      <c r="D13" s="20">
        <f>IFERROR(INDEX(T_SHIPMENT[QTY_PRODUCT_UNITS],[@ROW_INDEX]),"")</f>
        <v/>
      </c>
      <c r="E13" s="20">
        <f>IFERROR(INDEX(T_SHIPMENT[PACKAGING_CONFIGURATION_ID],[@ROW_INDEX]),"")</f>
        <v/>
      </c>
      <c r="F13" s="20">
        <f>IFERROR(INDEX(T_SHIPMENT[TRANSPORT_CONFIGURATION_ID],[@ROW_INDEX]),"")</f>
        <v/>
      </c>
      <c r="G13" s="20">
        <f>IF([@TRANSPORT_CONFIGURATION_ID]="","",IFERROR(INDEX(T_TRANSPORT_CONFIGURATION[UNITS_PER_LAYER],MATCH([@TRANSPORT_CONFIGURATION_ID],T_TRANSPORT_CONFIGURATION[TRANSPORT_CONFIGURATION_ID],0)),""))</f>
        <v/>
      </c>
      <c r="H13" s="20">
        <f>IF([@TRANSPORT_CONFIGURATION_ID]="","",IFERROR(INDEX(T_TRANSPORT_CONFIGURATION[LAYERS_PER_UNIT],MATCH([@TRANSPORT_CONFIGURATION_ID],T_TRANSPORT_CONFIGURATION[TRANSPORT_CONFIGURATION_ID],0)),""))</f>
        <v/>
      </c>
      <c r="I13" s="20">
        <f>IF([@TRANSPORT_CONFIGURATION_ID]="","",IFERROR(INDEX(T_TRANSPORT_CONFIGURATION[CONTAINER_PAYLOAD_UNITS],MATCH([@TRANSPORT_CONFIGURATION_ID],T_TRANSPORT_CONFIGURATION[TRANSPORT_CONFIGURATION_ID],0)),""))</f>
        <v/>
      </c>
      <c r="J13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3" s="20">
        <f>IF([@PACKAGING_CONFIGURATION_ID]="","",SUMIF(T_ENG_PACKAGING_WEIGHT[PACKAGING_CONFIGURATION_ID],[@PACKAGING_CONFIGURATION_ID],T_ENG_PACKAGING_WEIGHT[LINE_WEIGHT_G]))</f>
        <v/>
      </c>
      <c r="L13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3" s="20">
        <f>IF(OR([@PACKAGING_WEIGHT_PER_UNIT_G]="",[@TRANSPORT_WEIGHT_PER_UNIT_G]=""),IF([@PACKAGING_WEIGHT_PER_UNIT_G]="","",[@PACKAGING_WEIGHT_PER_UNIT_G]),[@PACKAGING_WEIGHT_PER_UNIT_G]+[@TRANSPORT_WEIGHT_PER_UNIT_G])</f>
        <v/>
      </c>
      <c r="N13" s="20">
        <f>IF(OR([@TOTAL_WEIGHT_PER_UNIT_G]="",[@QTY_PRODUCT_UNITS]=""),"",[@TOTAL_WEIGHT_PER_UNIT_G]*[@QTY_PRODUCT_UNITS])</f>
        <v/>
      </c>
      <c r="O13" s="20">
        <f>IF([@SHIPMENT_PACKAGING_WEIGHT_G]="","",[@SHIPMENT_PACKAGING_WEIGHT_G]/1000)</f>
        <v/>
      </c>
    </row>
    <row r="14">
      <c r="A14" s="20" t="n">
        <v>13</v>
      </c>
      <c r="B14" s="20">
        <f>IFERROR(INDEX(T_SHIPMENT[SHIPMENT_ID],[@ROW_INDEX]),"")</f>
        <v/>
      </c>
      <c r="C14" s="20">
        <f>IFERROR(INDEX(T_SHIPMENT[SHIPMENT_NUMBER],[@ROW_INDEX]),"")</f>
        <v/>
      </c>
      <c r="D14" s="20">
        <f>IFERROR(INDEX(T_SHIPMENT[QTY_PRODUCT_UNITS],[@ROW_INDEX]),"")</f>
        <v/>
      </c>
      <c r="E14" s="20">
        <f>IFERROR(INDEX(T_SHIPMENT[PACKAGING_CONFIGURATION_ID],[@ROW_INDEX]),"")</f>
        <v/>
      </c>
      <c r="F14" s="20">
        <f>IFERROR(INDEX(T_SHIPMENT[TRANSPORT_CONFIGURATION_ID],[@ROW_INDEX]),"")</f>
        <v/>
      </c>
      <c r="G14" s="20">
        <f>IF([@TRANSPORT_CONFIGURATION_ID]="","",IFERROR(INDEX(T_TRANSPORT_CONFIGURATION[UNITS_PER_LAYER],MATCH([@TRANSPORT_CONFIGURATION_ID],T_TRANSPORT_CONFIGURATION[TRANSPORT_CONFIGURATION_ID],0)),""))</f>
        <v/>
      </c>
      <c r="H14" s="20">
        <f>IF([@TRANSPORT_CONFIGURATION_ID]="","",IFERROR(INDEX(T_TRANSPORT_CONFIGURATION[LAYERS_PER_UNIT],MATCH([@TRANSPORT_CONFIGURATION_ID],T_TRANSPORT_CONFIGURATION[TRANSPORT_CONFIGURATION_ID],0)),""))</f>
        <v/>
      </c>
      <c r="I14" s="20">
        <f>IF([@TRANSPORT_CONFIGURATION_ID]="","",IFERROR(INDEX(T_TRANSPORT_CONFIGURATION[CONTAINER_PAYLOAD_UNITS],MATCH([@TRANSPORT_CONFIGURATION_ID],T_TRANSPORT_CONFIGURATION[TRANSPORT_CONFIGURATION_ID],0)),""))</f>
        <v/>
      </c>
      <c r="J14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4" s="20">
        <f>IF([@PACKAGING_CONFIGURATION_ID]="","",SUMIF(T_ENG_PACKAGING_WEIGHT[PACKAGING_CONFIGURATION_ID],[@PACKAGING_CONFIGURATION_ID],T_ENG_PACKAGING_WEIGHT[LINE_WEIGHT_G]))</f>
        <v/>
      </c>
      <c r="L14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4" s="20">
        <f>IF(OR([@PACKAGING_WEIGHT_PER_UNIT_G]="",[@TRANSPORT_WEIGHT_PER_UNIT_G]=""),IF([@PACKAGING_WEIGHT_PER_UNIT_G]="","",[@PACKAGING_WEIGHT_PER_UNIT_G]),[@PACKAGING_WEIGHT_PER_UNIT_G]+[@TRANSPORT_WEIGHT_PER_UNIT_G])</f>
        <v/>
      </c>
      <c r="N14" s="20">
        <f>IF(OR([@TOTAL_WEIGHT_PER_UNIT_G]="",[@QTY_PRODUCT_UNITS]=""),"",[@TOTAL_WEIGHT_PER_UNIT_G]*[@QTY_PRODUCT_UNITS])</f>
        <v/>
      </c>
      <c r="O14" s="20">
        <f>IF([@SHIPMENT_PACKAGING_WEIGHT_G]="","",[@SHIPMENT_PACKAGING_WEIGHT_G]/1000)</f>
        <v/>
      </c>
    </row>
    <row r="15">
      <c r="A15" s="20" t="n">
        <v>14</v>
      </c>
      <c r="B15" s="20">
        <f>IFERROR(INDEX(T_SHIPMENT[SHIPMENT_ID],[@ROW_INDEX]),"")</f>
        <v/>
      </c>
      <c r="C15" s="20">
        <f>IFERROR(INDEX(T_SHIPMENT[SHIPMENT_NUMBER],[@ROW_INDEX]),"")</f>
        <v/>
      </c>
      <c r="D15" s="20">
        <f>IFERROR(INDEX(T_SHIPMENT[QTY_PRODUCT_UNITS],[@ROW_INDEX]),"")</f>
        <v/>
      </c>
      <c r="E15" s="20">
        <f>IFERROR(INDEX(T_SHIPMENT[PACKAGING_CONFIGURATION_ID],[@ROW_INDEX]),"")</f>
        <v/>
      </c>
      <c r="F15" s="20">
        <f>IFERROR(INDEX(T_SHIPMENT[TRANSPORT_CONFIGURATION_ID],[@ROW_INDEX]),"")</f>
        <v/>
      </c>
      <c r="G15" s="20">
        <f>IF([@TRANSPORT_CONFIGURATION_ID]="","",IFERROR(INDEX(T_TRANSPORT_CONFIGURATION[UNITS_PER_LAYER],MATCH([@TRANSPORT_CONFIGURATION_ID],T_TRANSPORT_CONFIGURATION[TRANSPORT_CONFIGURATION_ID],0)),""))</f>
        <v/>
      </c>
      <c r="H15" s="20">
        <f>IF([@TRANSPORT_CONFIGURATION_ID]="","",IFERROR(INDEX(T_TRANSPORT_CONFIGURATION[LAYERS_PER_UNIT],MATCH([@TRANSPORT_CONFIGURATION_ID],T_TRANSPORT_CONFIGURATION[TRANSPORT_CONFIGURATION_ID],0)),""))</f>
        <v/>
      </c>
      <c r="I15" s="20">
        <f>IF([@TRANSPORT_CONFIGURATION_ID]="","",IFERROR(INDEX(T_TRANSPORT_CONFIGURATION[CONTAINER_PAYLOAD_UNITS],MATCH([@TRANSPORT_CONFIGURATION_ID],T_TRANSPORT_CONFIGURATION[TRANSPORT_CONFIGURATION_ID],0)),""))</f>
        <v/>
      </c>
      <c r="J15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5" s="20">
        <f>IF([@PACKAGING_CONFIGURATION_ID]="","",SUMIF(T_ENG_PACKAGING_WEIGHT[PACKAGING_CONFIGURATION_ID],[@PACKAGING_CONFIGURATION_ID],T_ENG_PACKAGING_WEIGHT[LINE_WEIGHT_G]))</f>
        <v/>
      </c>
      <c r="L15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5" s="20">
        <f>IF(OR([@PACKAGING_WEIGHT_PER_UNIT_G]="",[@TRANSPORT_WEIGHT_PER_UNIT_G]=""),IF([@PACKAGING_WEIGHT_PER_UNIT_G]="","",[@PACKAGING_WEIGHT_PER_UNIT_G]),[@PACKAGING_WEIGHT_PER_UNIT_G]+[@TRANSPORT_WEIGHT_PER_UNIT_G])</f>
        <v/>
      </c>
      <c r="N15" s="20">
        <f>IF(OR([@TOTAL_WEIGHT_PER_UNIT_G]="",[@QTY_PRODUCT_UNITS]=""),"",[@TOTAL_WEIGHT_PER_UNIT_G]*[@QTY_PRODUCT_UNITS])</f>
        <v/>
      </c>
      <c r="O15" s="20">
        <f>IF([@SHIPMENT_PACKAGING_WEIGHT_G]="","",[@SHIPMENT_PACKAGING_WEIGHT_G]/1000)</f>
        <v/>
      </c>
    </row>
    <row r="16">
      <c r="A16" s="20" t="n">
        <v>15</v>
      </c>
      <c r="B16" s="20">
        <f>IFERROR(INDEX(T_SHIPMENT[SHIPMENT_ID],[@ROW_INDEX]),"")</f>
        <v/>
      </c>
      <c r="C16" s="20">
        <f>IFERROR(INDEX(T_SHIPMENT[SHIPMENT_NUMBER],[@ROW_INDEX]),"")</f>
        <v/>
      </c>
      <c r="D16" s="20">
        <f>IFERROR(INDEX(T_SHIPMENT[QTY_PRODUCT_UNITS],[@ROW_INDEX]),"")</f>
        <v/>
      </c>
      <c r="E16" s="20">
        <f>IFERROR(INDEX(T_SHIPMENT[PACKAGING_CONFIGURATION_ID],[@ROW_INDEX]),"")</f>
        <v/>
      </c>
      <c r="F16" s="20">
        <f>IFERROR(INDEX(T_SHIPMENT[TRANSPORT_CONFIGURATION_ID],[@ROW_INDEX]),"")</f>
        <v/>
      </c>
      <c r="G16" s="20">
        <f>IF([@TRANSPORT_CONFIGURATION_ID]="","",IFERROR(INDEX(T_TRANSPORT_CONFIGURATION[UNITS_PER_LAYER],MATCH([@TRANSPORT_CONFIGURATION_ID],T_TRANSPORT_CONFIGURATION[TRANSPORT_CONFIGURATION_ID],0)),""))</f>
        <v/>
      </c>
      <c r="H16" s="20">
        <f>IF([@TRANSPORT_CONFIGURATION_ID]="","",IFERROR(INDEX(T_TRANSPORT_CONFIGURATION[LAYERS_PER_UNIT],MATCH([@TRANSPORT_CONFIGURATION_ID],T_TRANSPORT_CONFIGURATION[TRANSPORT_CONFIGURATION_ID],0)),""))</f>
        <v/>
      </c>
      <c r="I16" s="20">
        <f>IF([@TRANSPORT_CONFIGURATION_ID]="","",IFERROR(INDEX(T_TRANSPORT_CONFIGURATION[CONTAINER_PAYLOAD_UNITS],MATCH([@TRANSPORT_CONFIGURATION_ID],T_TRANSPORT_CONFIGURATION[TRANSPORT_CONFIGURATION_ID],0)),""))</f>
        <v/>
      </c>
      <c r="J16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6" s="20">
        <f>IF([@PACKAGING_CONFIGURATION_ID]="","",SUMIF(T_ENG_PACKAGING_WEIGHT[PACKAGING_CONFIGURATION_ID],[@PACKAGING_CONFIGURATION_ID],T_ENG_PACKAGING_WEIGHT[LINE_WEIGHT_G]))</f>
        <v/>
      </c>
      <c r="L16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6" s="20">
        <f>IF(OR([@PACKAGING_WEIGHT_PER_UNIT_G]="",[@TRANSPORT_WEIGHT_PER_UNIT_G]=""),IF([@PACKAGING_WEIGHT_PER_UNIT_G]="","",[@PACKAGING_WEIGHT_PER_UNIT_G]),[@PACKAGING_WEIGHT_PER_UNIT_G]+[@TRANSPORT_WEIGHT_PER_UNIT_G])</f>
        <v/>
      </c>
      <c r="N16" s="20">
        <f>IF(OR([@TOTAL_WEIGHT_PER_UNIT_G]="",[@QTY_PRODUCT_UNITS]=""),"",[@TOTAL_WEIGHT_PER_UNIT_G]*[@QTY_PRODUCT_UNITS])</f>
        <v/>
      </c>
      <c r="O16" s="20">
        <f>IF([@SHIPMENT_PACKAGING_WEIGHT_G]="","",[@SHIPMENT_PACKAGING_WEIGHT_G]/1000)</f>
        <v/>
      </c>
    </row>
    <row r="17">
      <c r="A17" s="20" t="n">
        <v>16</v>
      </c>
      <c r="B17" s="20">
        <f>IFERROR(INDEX(T_SHIPMENT[SHIPMENT_ID],[@ROW_INDEX]),"")</f>
        <v/>
      </c>
      <c r="C17" s="20">
        <f>IFERROR(INDEX(T_SHIPMENT[SHIPMENT_NUMBER],[@ROW_INDEX]),"")</f>
        <v/>
      </c>
      <c r="D17" s="20">
        <f>IFERROR(INDEX(T_SHIPMENT[QTY_PRODUCT_UNITS],[@ROW_INDEX]),"")</f>
        <v/>
      </c>
      <c r="E17" s="20">
        <f>IFERROR(INDEX(T_SHIPMENT[PACKAGING_CONFIGURATION_ID],[@ROW_INDEX]),"")</f>
        <v/>
      </c>
      <c r="F17" s="20">
        <f>IFERROR(INDEX(T_SHIPMENT[TRANSPORT_CONFIGURATION_ID],[@ROW_INDEX]),"")</f>
        <v/>
      </c>
      <c r="G17" s="20">
        <f>IF([@TRANSPORT_CONFIGURATION_ID]="","",IFERROR(INDEX(T_TRANSPORT_CONFIGURATION[UNITS_PER_LAYER],MATCH([@TRANSPORT_CONFIGURATION_ID],T_TRANSPORT_CONFIGURATION[TRANSPORT_CONFIGURATION_ID],0)),""))</f>
        <v/>
      </c>
      <c r="H17" s="20">
        <f>IF([@TRANSPORT_CONFIGURATION_ID]="","",IFERROR(INDEX(T_TRANSPORT_CONFIGURATION[LAYERS_PER_UNIT],MATCH([@TRANSPORT_CONFIGURATION_ID],T_TRANSPORT_CONFIGURATION[TRANSPORT_CONFIGURATION_ID],0)),""))</f>
        <v/>
      </c>
      <c r="I17" s="20">
        <f>IF([@TRANSPORT_CONFIGURATION_ID]="","",IFERROR(INDEX(T_TRANSPORT_CONFIGURATION[CONTAINER_PAYLOAD_UNITS],MATCH([@TRANSPORT_CONFIGURATION_ID],T_TRANSPORT_CONFIGURATION[TRANSPORT_CONFIGURATION_ID],0)),""))</f>
        <v/>
      </c>
      <c r="J17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7" s="20">
        <f>IF([@PACKAGING_CONFIGURATION_ID]="","",SUMIF(T_ENG_PACKAGING_WEIGHT[PACKAGING_CONFIGURATION_ID],[@PACKAGING_CONFIGURATION_ID],T_ENG_PACKAGING_WEIGHT[LINE_WEIGHT_G]))</f>
        <v/>
      </c>
      <c r="L17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7" s="20">
        <f>IF(OR([@PACKAGING_WEIGHT_PER_UNIT_G]="",[@TRANSPORT_WEIGHT_PER_UNIT_G]=""),IF([@PACKAGING_WEIGHT_PER_UNIT_G]="","",[@PACKAGING_WEIGHT_PER_UNIT_G]),[@PACKAGING_WEIGHT_PER_UNIT_G]+[@TRANSPORT_WEIGHT_PER_UNIT_G])</f>
        <v/>
      </c>
      <c r="N17" s="20">
        <f>IF(OR([@TOTAL_WEIGHT_PER_UNIT_G]="",[@QTY_PRODUCT_UNITS]=""),"",[@TOTAL_WEIGHT_PER_UNIT_G]*[@QTY_PRODUCT_UNITS])</f>
        <v/>
      </c>
      <c r="O17" s="20">
        <f>IF([@SHIPMENT_PACKAGING_WEIGHT_G]="","",[@SHIPMENT_PACKAGING_WEIGHT_G]/1000)</f>
        <v/>
      </c>
    </row>
    <row r="18">
      <c r="A18" s="20" t="n">
        <v>17</v>
      </c>
      <c r="B18" s="20">
        <f>IFERROR(INDEX(T_SHIPMENT[SHIPMENT_ID],[@ROW_INDEX]),"")</f>
        <v/>
      </c>
      <c r="C18" s="20">
        <f>IFERROR(INDEX(T_SHIPMENT[SHIPMENT_NUMBER],[@ROW_INDEX]),"")</f>
        <v/>
      </c>
      <c r="D18" s="20">
        <f>IFERROR(INDEX(T_SHIPMENT[QTY_PRODUCT_UNITS],[@ROW_INDEX]),"")</f>
        <v/>
      </c>
      <c r="E18" s="20">
        <f>IFERROR(INDEX(T_SHIPMENT[PACKAGING_CONFIGURATION_ID],[@ROW_INDEX]),"")</f>
        <v/>
      </c>
      <c r="F18" s="20">
        <f>IFERROR(INDEX(T_SHIPMENT[TRANSPORT_CONFIGURATION_ID],[@ROW_INDEX]),"")</f>
        <v/>
      </c>
      <c r="G18" s="20">
        <f>IF([@TRANSPORT_CONFIGURATION_ID]="","",IFERROR(INDEX(T_TRANSPORT_CONFIGURATION[UNITS_PER_LAYER],MATCH([@TRANSPORT_CONFIGURATION_ID],T_TRANSPORT_CONFIGURATION[TRANSPORT_CONFIGURATION_ID],0)),""))</f>
        <v/>
      </c>
      <c r="H18" s="20">
        <f>IF([@TRANSPORT_CONFIGURATION_ID]="","",IFERROR(INDEX(T_TRANSPORT_CONFIGURATION[LAYERS_PER_UNIT],MATCH([@TRANSPORT_CONFIGURATION_ID],T_TRANSPORT_CONFIGURATION[TRANSPORT_CONFIGURATION_ID],0)),""))</f>
        <v/>
      </c>
      <c r="I18" s="20">
        <f>IF([@TRANSPORT_CONFIGURATION_ID]="","",IFERROR(INDEX(T_TRANSPORT_CONFIGURATION[CONTAINER_PAYLOAD_UNITS],MATCH([@TRANSPORT_CONFIGURATION_ID],T_TRANSPORT_CONFIGURATION[TRANSPORT_CONFIGURATION_ID],0)),""))</f>
        <v/>
      </c>
      <c r="J18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8" s="20">
        <f>IF([@PACKAGING_CONFIGURATION_ID]="","",SUMIF(T_ENG_PACKAGING_WEIGHT[PACKAGING_CONFIGURATION_ID],[@PACKAGING_CONFIGURATION_ID],T_ENG_PACKAGING_WEIGHT[LINE_WEIGHT_G]))</f>
        <v/>
      </c>
      <c r="L18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8" s="20">
        <f>IF(OR([@PACKAGING_WEIGHT_PER_UNIT_G]="",[@TRANSPORT_WEIGHT_PER_UNIT_G]=""),IF([@PACKAGING_WEIGHT_PER_UNIT_G]="","",[@PACKAGING_WEIGHT_PER_UNIT_G]),[@PACKAGING_WEIGHT_PER_UNIT_G]+[@TRANSPORT_WEIGHT_PER_UNIT_G])</f>
        <v/>
      </c>
      <c r="N18" s="20">
        <f>IF(OR([@TOTAL_WEIGHT_PER_UNIT_G]="",[@QTY_PRODUCT_UNITS]=""),"",[@TOTAL_WEIGHT_PER_UNIT_G]*[@QTY_PRODUCT_UNITS])</f>
        <v/>
      </c>
      <c r="O18" s="20">
        <f>IF([@SHIPMENT_PACKAGING_WEIGHT_G]="","",[@SHIPMENT_PACKAGING_WEIGHT_G]/1000)</f>
        <v/>
      </c>
    </row>
    <row r="19">
      <c r="A19" s="20" t="n">
        <v>18</v>
      </c>
      <c r="B19" s="20">
        <f>IFERROR(INDEX(T_SHIPMENT[SHIPMENT_ID],[@ROW_INDEX]),"")</f>
        <v/>
      </c>
      <c r="C19" s="20">
        <f>IFERROR(INDEX(T_SHIPMENT[SHIPMENT_NUMBER],[@ROW_INDEX]),"")</f>
        <v/>
      </c>
      <c r="D19" s="20">
        <f>IFERROR(INDEX(T_SHIPMENT[QTY_PRODUCT_UNITS],[@ROW_INDEX]),"")</f>
        <v/>
      </c>
      <c r="E19" s="20">
        <f>IFERROR(INDEX(T_SHIPMENT[PACKAGING_CONFIGURATION_ID],[@ROW_INDEX]),"")</f>
        <v/>
      </c>
      <c r="F19" s="20">
        <f>IFERROR(INDEX(T_SHIPMENT[TRANSPORT_CONFIGURATION_ID],[@ROW_INDEX]),"")</f>
        <v/>
      </c>
      <c r="G19" s="20">
        <f>IF([@TRANSPORT_CONFIGURATION_ID]="","",IFERROR(INDEX(T_TRANSPORT_CONFIGURATION[UNITS_PER_LAYER],MATCH([@TRANSPORT_CONFIGURATION_ID],T_TRANSPORT_CONFIGURATION[TRANSPORT_CONFIGURATION_ID],0)),""))</f>
        <v/>
      </c>
      <c r="H19" s="20">
        <f>IF([@TRANSPORT_CONFIGURATION_ID]="","",IFERROR(INDEX(T_TRANSPORT_CONFIGURATION[LAYERS_PER_UNIT],MATCH([@TRANSPORT_CONFIGURATION_ID],T_TRANSPORT_CONFIGURATION[TRANSPORT_CONFIGURATION_ID],0)),""))</f>
        <v/>
      </c>
      <c r="I19" s="20">
        <f>IF([@TRANSPORT_CONFIGURATION_ID]="","",IFERROR(INDEX(T_TRANSPORT_CONFIGURATION[CONTAINER_PAYLOAD_UNITS],MATCH([@TRANSPORT_CONFIGURATION_ID],T_TRANSPORT_CONFIGURATION[TRANSPORT_CONFIGURATION_ID],0)),""))</f>
        <v/>
      </c>
      <c r="J19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19" s="20">
        <f>IF([@PACKAGING_CONFIGURATION_ID]="","",SUMIF(T_ENG_PACKAGING_WEIGHT[PACKAGING_CONFIGURATION_ID],[@PACKAGING_CONFIGURATION_ID],T_ENG_PACKAGING_WEIGHT[LINE_WEIGHT_G]))</f>
        <v/>
      </c>
      <c r="L19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19" s="20">
        <f>IF(OR([@PACKAGING_WEIGHT_PER_UNIT_G]="",[@TRANSPORT_WEIGHT_PER_UNIT_G]=""),IF([@PACKAGING_WEIGHT_PER_UNIT_G]="","",[@PACKAGING_WEIGHT_PER_UNIT_G]),[@PACKAGING_WEIGHT_PER_UNIT_G]+[@TRANSPORT_WEIGHT_PER_UNIT_G])</f>
        <v/>
      </c>
      <c r="N19" s="20">
        <f>IF(OR([@TOTAL_WEIGHT_PER_UNIT_G]="",[@QTY_PRODUCT_UNITS]=""),"",[@TOTAL_WEIGHT_PER_UNIT_G]*[@QTY_PRODUCT_UNITS])</f>
        <v/>
      </c>
      <c r="O19" s="20">
        <f>IF([@SHIPMENT_PACKAGING_WEIGHT_G]="","",[@SHIPMENT_PACKAGING_WEIGHT_G]/1000)</f>
        <v/>
      </c>
    </row>
    <row r="20">
      <c r="A20" s="20" t="n">
        <v>19</v>
      </c>
      <c r="B20" s="20">
        <f>IFERROR(INDEX(T_SHIPMENT[SHIPMENT_ID],[@ROW_INDEX]),"")</f>
        <v/>
      </c>
      <c r="C20" s="20">
        <f>IFERROR(INDEX(T_SHIPMENT[SHIPMENT_NUMBER],[@ROW_INDEX]),"")</f>
        <v/>
      </c>
      <c r="D20" s="20">
        <f>IFERROR(INDEX(T_SHIPMENT[QTY_PRODUCT_UNITS],[@ROW_INDEX]),"")</f>
        <v/>
      </c>
      <c r="E20" s="20">
        <f>IFERROR(INDEX(T_SHIPMENT[PACKAGING_CONFIGURATION_ID],[@ROW_INDEX]),"")</f>
        <v/>
      </c>
      <c r="F20" s="20">
        <f>IFERROR(INDEX(T_SHIPMENT[TRANSPORT_CONFIGURATION_ID],[@ROW_INDEX]),"")</f>
        <v/>
      </c>
      <c r="G20" s="20">
        <f>IF([@TRANSPORT_CONFIGURATION_ID]="","",IFERROR(INDEX(T_TRANSPORT_CONFIGURATION[UNITS_PER_LAYER],MATCH([@TRANSPORT_CONFIGURATION_ID],T_TRANSPORT_CONFIGURATION[TRANSPORT_CONFIGURATION_ID],0)),""))</f>
        <v/>
      </c>
      <c r="H20" s="20">
        <f>IF([@TRANSPORT_CONFIGURATION_ID]="","",IFERROR(INDEX(T_TRANSPORT_CONFIGURATION[LAYERS_PER_UNIT],MATCH([@TRANSPORT_CONFIGURATION_ID],T_TRANSPORT_CONFIGURATION[TRANSPORT_CONFIGURATION_ID],0)),""))</f>
        <v/>
      </c>
      <c r="I20" s="20">
        <f>IF([@TRANSPORT_CONFIGURATION_ID]="","",IFERROR(INDEX(T_TRANSPORT_CONFIGURATION[CONTAINER_PAYLOAD_UNITS],MATCH([@TRANSPORT_CONFIGURATION_ID],T_TRANSPORT_CONFIGURATION[TRANSPORT_CONFIGURATION_ID],0)),""))</f>
        <v/>
      </c>
      <c r="J20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0" s="20">
        <f>IF([@PACKAGING_CONFIGURATION_ID]="","",SUMIF(T_ENG_PACKAGING_WEIGHT[PACKAGING_CONFIGURATION_ID],[@PACKAGING_CONFIGURATION_ID],T_ENG_PACKAGING_WEIGHT[LINE_WEIGHT_G]))</f>
        <v/>
      </c>
      <c r="L20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0" s="20">
        <f>IF(OR([@PACKAGING_WEIGHT_PER_UNIT_G]="",[@TRANSPORT_WEIGHT_PER_UNIT_G]=""),IF([@PACKAGING_WEIGHT_PER_UNIT_G]="","",[@PACKAGING_WEIGHT_PER_UNIT_G]),[@PACKAGING_WEIGHT_PER_UNIT_G]+[@TRANSPORT_WEIGHT_PER_UNIT_G])</f>
        <v/>
      </c>
      <c r="N20" s="20">
        <f>IF(OR([@TOTAL_WEIGHT_PER_UNIT_G]="",[@QTY_PRODUCT_UNITS]=""),"",[@TOTAL_WEIGHT_PER_UNIT_G]*[@QTY_PRODUCT_UNITS])</f>
        <v/>
      </c>
      <c r="O20" s="20">
        <f>IF([@SHIPMENT_PACKAGING_WEIGHT_G]="","",[@SHIPMENT_PACKAGING_WEIGHT_G]/1000)</f>
        <v/>
      </c>
    </row>
    <row r="21">
      <c r="A21" s="20" t="n">
        <v>20</v>
      </c>
      <c r="B21" s="20">
        <f>IFERROR(INDEX(T_SHIPMENT[SHIPMENT_ID],[@ROW_INDEX]),"")</f>
        <v/>
      </c>
      <c r="C21" s="20">
        <f>IFERROR(INDEX(T_SHIPMENT[SHIPMENT_NUMBER],[@ROW_INDEX]),"")</f>
        <v/>
      </c>
      <c r="D21" s="20">
        <f>IFERROR(INDEX(T_SHIPMENT[QTY_PRODUCT_UNITS],[@ROW_INDEX]),"")</f>
        <v/>
      </c>
      <c r="E21" s="20">
        <f>IFERROR(INDEX(T_SHIPMENT[PACKAGING_CONFIGURATION_ID],[@ROW_INDEX]),"")</f>
        <v/>
      </c>
      <c r="F21" s="20">
        <f>IFERROR(INDEX(T_SHIPMENT[TRANSPORT_CONFIGURATION_ID],[@ROW_INDEX]),"")</f>
        <v/>
      </c>
      <c r="G21" s="20">
        <f>IF([@TRANSPORT_CONFIGURATION_ID]="","",IFERROR(INDEX(T_TRANSPORT_CONFIGURATION[UNITS_PER_LAYER],MATCH([@TRANSPORT_CONFIGURATION_ID],T_TRANSPORT_CONFIGURATION[TRANSPORT_CONFIGURATION_ID],0)),""))</f>
        <v/>
      </c>
      <c r="H21" s="20">
        <f>IF([@TRANSPORT_CONFIGURATION_ID]="","",IFERROR(INDEX(T_TRANSPORT_CONFIGURATION[LAYERS_PER_UNIT],MATCH([@TRANSPORT_CONFIGURATION_ID],T_TRANSPORT_CONFIGURATION[TRANSPORT_CONFIGURATION_ID],0)),""))</f>
        <v/>
      </c>
      <c r="I21" s="20">
        <f>IF([@TRANSPORT_CONFIGURATION_ID]="","",IFERROR(INDEX(T_TRANSPORT_CONFIGURATION[CONTAINER_PAYLOAD_UNITS],MATCH([@TRANSPORT_CONFIGURATION_ID],T_TRANSPORT_CONFIGURATION[TRANSPORT_CONFIGURATION_ID],0)),""))</f>
        <v/>
      </c>
      <c r="J21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1" s="20">
        <f>IF([@PACKAGING_CONFIGURATION_ID]="","",SUMIF(T_ENG_PACKAGING_WEIGHT[PACKAGING_CONFIGURATION_ID],[@PACKAGING_CONFIGURATION_ID],T_ENG_PACKAGING_WEIGHT[LINE_WEIGHT_G]))</f>
        <v/>
      </c>
      <c r="L21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1" s="20">
        <f>IF(OR([@PACKAGING_WEIGHT_PER_UNIT_G]="",[@TRANSPORT_WEIGHT_PER_UNIT_G]=""),IF([@PACKAGING_WEIGHT_PER_UNIT_G]="","",[@PACKAGING_WEIGHT_PER_UNIT_G]),[@PACKAGING_WEIGHT_PER_UNIT_G]+[@TRANSPORT_WEIGHT_PER_UNIT_G])</f>
        <v/>
      </c>
      <c r="N21" s="20">
        <f>IF(OR([@TOTAL_WEIGHT_PER_UNIT_G]="",[@QTY_PRODUCT_UNITS]=""),"",[@TOTAL_WEIGHT_PER_UNIT_G]*[@QTY_PRODUCT_UNITS])</f>
        <v/>
      </c>
      <c r="O21" s="20">
        <f>IF([@SHIPMENT_PACKAGING_WEIGHT_G]="","",[@SHIPMENT_PACKAGING_WEIGHT_G]/1000)</f>
        <v/>
      </c>
    </row>
    <row r="22">
      <c r="A22" s="20" t="n">
        <v>21</v>
      </c>
      <c r="B22" s="20">
        <f>IFERROR(INDEX(T_SHIPMENT[SHIPMENT_ID],[@ROW_INDEX]),"")</f>
        <v/>
      </c>
      <c r="C22" s="20">
        <f>IFERROR(INDEX(T_SHIPMENT[SHIPMENT_NUMBER],[@ROW_INDEX]),"")</f>
        <v/>
      </c>
      <c r="D22" s="20">
        <f>IFERROR(INDEX(T_SHIPMENT[QTY_PRODUCT_UNITS],[@ROW_INDEX]),"")</f>
        <v/>
      </c>
      <c r="E22" s="20">
        <f>IFERROR(INDEX(T_SHIPMENT[PACKAGING_CONFIGURATION_ID],[@ROW_INDEX]),"")</f>
        <v/>
      </c>
      <c r="F22" s="20">
        <f>IFERROR(INDEX(T_SHIPMENT[TRANSPORT_CONFIGURATION_ID],[@ROW_INDEX]),"")</f>
        <v/>
      </c>
      <c r="G22" s="20">
        <f>IF([@TRANSPORT_CONFIGURATION_ID]="","",IFERROR(INDEX(T_TRANSPORT_CONFIGURATION[UNITS_PER_LAYER],MATCH([@TRANSPORT_CONFIGURATION_ID],T_TRANSPORT_CONFIGURATION[TRANSPORT_CONFIGURATION_ID],0)),""))</f>
        <v/>
      </c>
      <c r="H22" s="20">
        <f>IF([@TRANSPORT_CONFIGURATION_ID]="","",IFERROR(INDEX(T_TRANSPORT_CONFIGURATION[LAYERS_PER_UNIT],MATCH([@TRANSPORT_CONFIGURATION_ID],T_TRANSPORT_CONFIGURATION[TRANSPORT_CONFIGURATION_ID],0)),""))</f>
        <v/>
      </c>
      <c r="I22" s="20">
        <f>IF([@TRANSPORT_CONFIGURATION_ID]="","",IFERROR(INDEX(T_TRANSPORT_CONFIGURATION[CONTAINER_PAYLOAD_UNITS],MATCH([@TRANSPORT_CONFIGURATION_ID],T_TRANSPORT_CONFIGURATION[TRANSPORT_CONFIGURATION_ID],0)),""))</f>
        <v/>
      </c>
      <c r="J22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2" s="20">
        <f>IF([@PACKAGING_CONFIGURATION_ID]="","",SUMIF(T_ENG_PACKAGING_WEIGHT[PACKAGING_CONFIGURATION_ID],[@PACKAGING_CONFIGURATION_ID],T_ENG_PACKAGING_WEIGHT[LINE_WEIGHT_G]))</f>
        <v/>
      </c>
      <c r="L22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2" s="20">
        <f>IF(OR([@PACKAGING_WEIGHT_PER_UNIT_G]="",[@TRANSPORT_WEIGHT_PER_UNIT_G]=""),IF([@PACKAGING_WEIGHT_PER_UNIT_G]="","",[@PACKAGING_WEIGHT_PER_UNIT_G]),[@PACKAGING_WEIGHT_PER_UNIT_G]+[@TRANSPORT_WEIGHT_PER_UNIT_G])</f>
        <v/>
      </c>
      <c r="N22" s="20">
        <f>IF(OR([@TOTAL_WEIGHT_PER_UNIT_G]="",[@QTY_PRODUCT_UNITS]=""),"",[@TOTAL_WEIGHT_PER_UNIT_G]*[@QTY_PRODUCT_UNITS])</f>
        <v/>
      </c>
      <c r="O22" s="20">
        <f>IF([@SHIPMENT_PACKAGING_WEIGHT_G]="","",[@SHIPMENT_PACKAGING_WEIGHT_G]/1000)</f>
        <v/>
      </c>
    </row>
    <row r="23">
      <c r="A23" s="20" t="n">
        <v>22</v>
      </c>
      <c r="B23" s="20">
        <f>IFERROR(INDEX(T_SHIPMENT[SHIPMENT_ID],[@ROW_INDEX]),"")</f>
        <v/>
      </c>
      <c r="C23" s="20">
        <f>IFERROR(INDEX(T_SHIPMENT[SHIPMENT_NUMBER],[@ROW_INDEX]),"")</f>
        <v/>
      </c>
      <c r="D23" s="20">
        <f>IFERROR(INDEX(T_SHIPMENT[QTY_PRODUCT_UNITS],[@ROW_INDEX]),"")</f>
        <v/>
      </c>
      <c r="E23" s="20">
        <f>IFERROR(INDEX(T_SHIPMENT[PACKAGING_CONFIGURATION_ID],[@ROW_INDEX]),"")</f>
        <v/>
      </c>
      <c r="F23" s="20">
        <f>IFERROR(INDEX(T_SHIPMENT[TRANSPORT_CONFIGURATION_ID],[@ROW_INDEX]),"")</f>
        <v/>
      </c>
      <c r="G23" s="20">
        <f>IF([@TRANSPORT_CONFIGURATION_ID]="","",IFERROR(INDEX(T_TRANSPORT_CONFIGURATION[UNITS_PER_LAYER],MATCH([@TRANSPORT_CONFIGURATION_ID],T_TRANSPORT_CONFIGURATION[TRANSPORT_CONFIGURATION_ID],0)),""))</f>
        <v/>
      </c>
      <c r="H23" s="20">
        <f>IF([@TRANSPORT_CONFIGURATION_ID]="","",IFERROR(INDEX(T_TRANSPORT_CONFIGURATION[LAYERS_PER_UNIT],MATCH([@TRANSPORT_CONFIGURATION_ID],T_TRANSPORT_CONFIGURATION[TRANSPORT_CONFIGURATION_ID],0)),""))</f>
        <v/>
      </c>
      <c r="I23" s="20">
        <f>IF([@TRANSPORT_CONFIGURATION_ID]="","",IFERROR(INDEX(T_TRANSPORT_CONFIGURATION[CONTAINER_PAYLOAD_UNITS],MATCH([@TRANSPORT_CONFIGURATION_ID],T_TRANSPORT_CONFIGURATION[TRANSPORT_CONFIGURATION_ID],0)),""))</f>
        <v/>
      </c>
      <c r="J23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3" s="20">
        <f>IF([@PACKAGING_CONFIGURATION_ID]="","",SUMIF(T_ENG_PACKAGING_WEIGHT[PACKAGING_CONFIGURATION_ID],[@PACKAGING_CONFIGURATION_ID],T_ENG_PACKAGING_WEIGHT[LINE_WEIGHT_G]))</f>
        <v/>
      </c>
      <c r="L23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3" s="20">
        <f>IF(OR([@PACKAGING_WEIGHT_PER_UNIT_G]="",[@TRANSPORT_WEIGHT_PER_UNIT_G]=""),IF([@PACKAGING_WEIGHT_PER_UNIT_G]="","",[@PACKAGING_WEIGHT_PER_UNIT_G]),[@PACKAGING_WEIGHT_PER_UNIT_G]+[@TRANSPORT_WEIGHT_PER_UNIT_G])</f>
        <v/>
      </c>
      <c r="N23" s="20">
        <f>IF(OR([@TOTAL_WEIGHT_PER_UNIT_G]="",[@QTY_PRODUCT_UNITS]=""),"",[@TOTAL_WEIGHT_PER_UNIT_G]*[@QTY_PRODUCT_UNITS])</f>
        <v/>
      </c>
      <c r="O23" s="20">
        <f>IF([@SHIPMENT_PACKAGING_WEIGHT_G]="","",[@SHIPMENT_PACKAGING_WEIGHT_G]/1000)</f>
        <v/>
      </c>
    </row>
    <row r="24">
      <c r="A24" s="20" t="n">
        <v>23</v>
      </c>
      <c r="B24" s="20">
        <f>IFERROR(INDEX(T_SHIPMENT[SHIPMENT_ID],[@ROW_INDEX]),"")</f>
        <v/>
      </c>
      <c r="C24" s="20">
        <f>IFERROR(INDEX(T_SHIPMENT[SHIPMENT_NUMBER],[@ROW_INDEX]),"")</f>
        <v/>
      </c>
      <c r="D24" s="20">
        <f>IFERROR(INDEX(T_SHIPMENT[QTY_PRODUCT_UNITS],[@ROW_INDEX]),"")</f>
        <v/>
      </c>
      <c r="E24" s="20">
        <f>IFERROR(INDEX(T_SHIPMENT[PACKAGING_CONFIGURATION_ID],[@ROW_INDEX]),"")</f>
        <v/>
      </c>
      <c r="F24" s="20">
        <f>IFERROR(INDEX(T_SHIPMENT[TRANSPORT_CONFIGURATION_ID],[@ROW_INDEX]),"")</f>
        <v/>
      </c>
      <c r="G24" s="20">
        <f>IF([@TRANSPORT_CONFIGURATION_ID]="","",IFERROR(INDEX(T_TRANSPORT_CONFIGURATION[UNITS_PER_LAYER],MATCH([@TRANSPORT_CONFIGURATION_ID],T_TRANSPORT_CONFIGURATION[TRANSPORT_CONFIGURATION_ID],0)),""))</f>
        <v/>
      </c>
      <c r="H24" s="20">
        <f>IF([@TRANSPORT_CONFIGURATION_ID]="","",IFERROR(INDEX(T_TRANSPORT_CONFIGURATION[LAYERS_PER_UNIT],MATCH([@TRANSPORT_CONFIGURATION_ID],T_TRANSPORT_CONFIGURATION[TRANSPORT_CONFIGURATION_ID],0)),""))</f>
        <v/>
      </c>
      <c r="I24" s="20">
        <f>IF([@TRANSPORT_CONFIGURATION_ID]="","",IFERROR(INDEX(T_TRANSPORT_CONFIGURATION[CONTAINER_PAYLOAD_UNITS],MATCH([@TRANSPORT_CONFIGURATION_ID],T_TRANSPORT_CONFIGURATION[TRANSPORT_CONFIGURATION_ID],0)),""))</f>
        <v/>
      </c>
      <c r="J24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4" s="20">
        <f>IF([@PACKAGING_CONFIGURATION_ID]="","",SUMIF(T_ENG_PACKAGING_WEIGHT[PACKAGING_CONFIGURATION_ID],[@PACKAGING_CONFIGURATION_ID],T_ENG_PACKAGING_WEIGHT[LINE_WEIGHT_G]))</f>
        <v/>
      </c>
      <c r="L24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4" s="20">
        <f>IF(OR([@PACKAGING_WEIGHT_PER_UNIT_G]="",[@TRANSPORT_WEIGHT_PER_UNIT_G]=""),IF([@PACKAGING_WEIGHT_PER_UNIT_G]="","",[@PACKAGING_WEIGHT_PER_UNIT_G]),[@PACKAGING_WEIGHT_PER_UNIT_G]+[@TRANSPORT_WEIGHT_PER_UNIT_G])</f>
        <v/>
      </c>
      <c r="N24" s="20">
        <f>IF(OR([@TOTAL_WEIGHT_PER_UNIT_G]="",[@QTY_PRODUCT_UNITS]=""),"",[@TOTAL_WEIGHT_PER_UNIT_G]*[@QTY_PRODUCT_UNITS])</f>
        <v/>
      </c>
      <c r="O24" s="20">
        <f>IF([@SHIPMENT_PACKAGING_WEIGHT_G]="","",[@SHIPMENT_PACKAGING_WEIGHT_G]/1000)</f>
        <v/>
      </c>
    </row>
    <row r="25">
      <c r="A25" s="20" t="n">
        <v>24</v>
      </c>
      <c r="B25" s="20">
        <f>IFERROR(INDEX(T_SHIPMENT[SHIPMENT_ID],[@ROW_INDEX]),"")</f>
        <v/>
      </c>
      <c r="C25" s="20">
        <f>IFERROR(INDEX(T_SHIPMENT[SHIPMENT_NUMBER],[@ROW_INDEX]),"")</f>
        <v/>
      </c>
      <c r="D25" s="20">
        <f>IFERROR(INDEX(T_SHIPMENT[QTY_PRODUCT_UNITS],[@ROW_INDEX]),"")</f>
        <v/>
      </c>
      <c r="E25" s="20">
        <f>IFERROR(INDEX(T_SHIPMENT[PACKAGING_CONFIGURATION_ID],[@ROW_INDEX]),"")</f>
        <v/>
      </c>
      <c r="F25" s="20">
        <f>IFERROR(INDEX(T_SHIPMENT[TRANSPORT_CONFIGURATION_ID],[@ROW_INDEX]),"")</f>
        <v/>
      </c>
      <c r="G25" s="20">
        <f>IF([@TRANSPORT_CONFIGURATION_ID]="","",IFERROR(INDEX(T_TRANSPORT_CONFIGURATION[UNITS_PER_LAYER],MATCH([@TRANSPORT_CONFIGURATION_ID],T_TRANSPORT_CONFIGURATION[TRANSPORT_CONFIGURATION_ID],0)),""))</f>
        <v/>
      </c>
      <c r="H25" s="20">
        <f>IF([@TRANSPORT_CONFIGURATION_ID]="","",IFERROR(INDEX(T_TRANSPORT_CONFIGURATION[LAYERS_PER_UNIT],MATCH([@TRANSPORT_CONFIGURATION_ID],T_TRANSPORT_CONFIGURATION[TRANSPORT_CONFIGURATION_ID],0)),""))</f>
        <v/>
      </c>
      <c r="I25" s="20">
        <f>IF([@TRANSPORT_CONFIGURATION_ID]="","",IFERROR(INDEX(T_TRANSPORT_CONFIGURATION[CONTAINER_PAYLOAD_UNITS],MATCH([@TRANSPORT_CONFIGURATION_ID],T_TRANSPORT_CONFIGURATION[TRANSPORT_CONFIGURATION_ID],0)),""))</f>
        <v/>
      </c>
      <c r="J25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5" s="20">
        <f>IF([@PACKAGING_CONFIGURATION_ID]="","",SUMIF(T_ENG_PACKAGING_WEIGHT[PACKAGING_CONFIGURATION_ID],[@PACKAGING_CONFIGURATION_ID],T_ENG_PACKAGING_WEIGHT[LINE_WEIGHT_G]))</f>
        <v/>
      </c>
      <c r="L25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5" s="20">
        <f>IF(OR([@PACKAGING_WEIGHT_PER_UNIT_G]="",[@TRANSPORT_WEIGHT_PER_UNIT_G]=""),IF([@PACKAGING_WEIGHT_PER_UNIT_G]="","",[@PACKAGING_WEIGHT_PER_UNIT_G]),[@PACKAGING_WEIGHT_PER_UNIT_G]+[@TRANSPORT_WEIGHT_PER_UNIT_G])</f>
        <v/>
      </c>
      <c r="N25" s="20">
        <f>IF(OR([@TOTAL_WEIGHT_PER_UNIT_G]="",[@QTY_PRODUCT_UNITS]=""),"",[@TOTAL_WEIGHT_PER_UNIT_G]*[@QTY_PRODUCT_UNITS])</f>
        <v/>
      </c>
      <c r="O25" s="20">
        <f>IF([@SHIPMENT_PACKAGING_WEIGHT_G]="","",[@SHIPMENT_PACKAGING_WEIGHT_G]/1000)</f>
        <v/>
      </c>
    </row>
    <row r="26">
      <c r="A26" s="20" t="n">
        <v>25</v>
      </c>
      <c r="B26" s="20">
        <f>IFERROR(INDEX(T_SHIPMENT[SHIPMENT_ID],[@ROW_INDEX]),"")</f>
        <v/>
      </c>
      <c r="C26" s="20">
        <f>IFERROR(INDEX(T_SHIPMENT[SHIPMENT_NUMBER],[@ROW_INDEX]),"")</f>
        <v/>
      </c>
      <c r="D26" s="20">
        <f>IFERROR(INDEX(T_SHIPMENT[QTY_PRODUCT_UNITS],[@ROW_INDEX]),"")</f>
        <v/>
      </c>
      <c r="E26" s="20">
        <f>IFERROR(INDEX(T_SHIPMENT[PACKAGING_CONFIGURATION_ID],[@ROW_INDEX]),"")</f>
        <v/>
      </c>
      <c r="F26" s="20">
        <f>IFERROR(INDEX(T_SHIPMENT[TRANSPORT_CONFIGURATION_ID],[@ROW_INDEX]),"")</f>
        <v/>
      </c>
      <c r="G26" s="20">
        <f>IF([@TRANSPORT_CONFIGURATION_ID]="","",IFERROR(INDEX(T_TRANSPORT_CONFIGURATION[UNITS_PER_LAYER],MATCH([@TRANSPORT_CONFIGURATION_ID],T_TRANSPORT_CONFIGURATION[TRANSPORT_CONFIGURATION_ID],0)),""))</f>
        <v/>
      </c>
      <c r="H26" s="20">
        <f>IF([@TRANSPORT_CONFIGURATION_ID]="","",IFERROR(INDEX(T_TRANSPORT_CONFIGURATION[LAYERS_PER_UNIT],MATCH([@TRANSPORT_CONFIGURATION_ID],T_TRANSPORT_CONFIGURATION[TRANSPORT_CONFIGURATION_ID],0)),""))</f>
        <v/>
      </c>
      <c r="I26" s="20">
        <f>IF([@TRANSPORT_CONFIGURATION_ID]="","",IFERROR(INDEX(T_TRANSPORT_CONFIGURATION[CONTAINER_PAYLOAD_UNITS],MATCH([@TRANSPORT_CONFIGURATION_ID],T_TRANSPORT_CONFIGURATION[TRANSPORT_CONFIGURATION_ID],0)),""))</f>
        <v/>
      </c>
      <c r="J26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6" s="20">
        <f>IF([@PACKAGING_CONFIGURATION_ID]="","",SUMIF(T_ENG_PACKAGING_WEIGHT[PACKAGING_CONFIGURATION_ID],[@PACKAGING_CONFIGURATION_ID],T_ENG_PACKAGING_WEIGHT[LINE_WEIGHT_G]))</f>
        <v/>
      </c>
      <c r="L26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6" s="20">
        <f>IF(OR([@PACKAGING_WEIGHT_PER_UNIT_G]="",[@TRANSPORT_WEIGHT_PER_UNIT_G]=""),IF([@PACKAGING_WEIGHT_PER_UNIT_G]="","",[@PACKAGING_WEIGHT_PER_UNIT_G]),[@PACKAGING_WEIGHT_PER_UNIT_G]+[@TRANSPORT_WEIGHT_PER_UNIT_G])</f>
        <v/>
      </c>
      <c r="N26" s="20">
        <f>IF(OR([@TOTAL_WEIGHT_PER_UNIT_G]="",[@QTY_PRODUCT_UNITS]=""),"",[@TOTAL_WEIGHT_PER_UNIT_G]*[@QTY_PRODUCT_UNITS])</f>
        <v/>
      </c>
      <c r="O26" s="20">
        <f>IF([@SHIPMENT_PACKAGING_WEIGHT_G]="","",[@SHIPMENT_PACKAGING_WEIGHT_G]/1000)</f>
        <v/>
      </c>
    </row>
    <row r="27">
      <c r="A27" s="20" t="n">
        <v>26</v>
      </c>
      <c r="B27" s="20">
        <f>IFERROR(INDEX(T_SHIPMENT[SHIPMENT_ID],[@ROW_INDEX]),"")</f>
        <v/>
      </c>
      <c r="C27" s="20">
        <f>IFERROR(INDEX(T_SHIPMENT[SHIPMENT_NUMBER],[@ROW_INDEX]),"")</f>
        <v/>
      </c>
      <c r="D27" s="20">
        <f>IFERROR(INDEX(T_SHIPMENT[QTY_PRODUCT_UNITS],[@ROW_INDEX]),"")</f>
        <v/>
      </c>
      <c r="E27" s="20">
        <f>IFERROR(INDEX(T_SHIPMENT[PACKAGING_CONFIGURATION_ID],[@ROW_INDEX]),"")</f>
        <v/>
      </c>
      <c r="F27" s="20">
        <f>IFERROR(INDEX(T_SHIPMENT[TRANSPORT_CONFIGURATION_ID],[@ROW_INDEX]),"")</f>
        <v/>
      </c>
      <c r="G27" s="20">
        <f>IF([@TRANSPORT_CONFIGURATION_ID]="","",IFERROR(INDEX(T_TRANSPORT_CONFIGURATION[UNITS_PER_LAYER],MATCH([@TRANSPORT_CONFIGURATION_ID],T_TRANSPORT_CONFIGURATION[TRANSPORT_CONFIGURATION_ID],0)),""))</f>
        <v/>
      </c>
      <c r="H27" s="20">
        <f>IF([@TRANSPORT_CONFIGURATION_ID]="","",IFERROR(INDEX(T_TRANSPORT_CONFIGURATION[LAYERS_PER_UNIT],MATCH([@TRANSPORT_CONFIGURATION_ID],T_TRANSPORT_CONFIGURATION[TRANSPORT_CONFIGURATION_ID],0)),""))</f>
        <v/>
      </c>
      <c r="I27" s="20">
        <f>IF([@TRANSPORT_CONFIGURATION_ID]="","",IFERROR(INDEX(T_TRANSPORT_CONFIGURATION[CONTAINER_PAYLOAD_UNITS],MATCH([@TRANSPORT_CONFIGURATION_ID],T_TRANSPORT_CONFIGURATION[TRANSPORT_CONFIGURATION_ID],0)),""))</f>
        <v/>
      </c>
      <c r="J27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7" s="20">
        <f>IF([@PACKAGING_CONFIGURATION_ID]="","",SUMIF(T_ENG_PACKAGING_WEIGHT[PACKAGING_CONFIGURATION_ID],[@PACKAGING_CONFIGURATION_ID],T_ENG_PACKAGING_WEIGHT[LINE_WEIGHT_G]))</f>
        <v/>
      </c>
      <c r="L27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7" s="20">
        <f>IF(OR([@PACKAGING_WEIGHT_PER_UNIT_G]="",[@TRANSPORT_WEIGHT_PER_UNIT_G]=""),IF([@PACKAGING_WEIGHT_PER_UNIT_G]="","",[@PACKAGING_WEIGHT_PER_UNIT_G]),[@PACKAGING_WEIGHT_PER_UNIT_G]+[@TRANSPORT_WEIGHT_PER_UNIT_G])</f>
        <v/>
      </c>
      <c r="N27" s="20">
        <f>IF(OR([@TOTAL_WEIGHT_PER_UNIT_G]="",[@QTY_PRODUCT_UNITS]=""),"",[@TOTAL_WEIGHT_PER_UNIT_G]*[@QTY_PRODUCT_UNITS])</f>
        <v/>
      </c>
      <c r="O27" s="20">
        <f>IF([@SHIPMENT_PACKAGING_WEIGHT_G]="","",[@SHIPMENT_PACKAGING_WEIGHT_G]/1000)</f>
        <v/>
      </c>
    </row>
    <row r="28">
      <c r="A28" s="20" t="n">
        <v>27</v>
      </c>
      <c r="B28" s="20">
        <f>IFERROR(INDEX(T_SHIPMENT[SHIPMENT_ID],[@ROW_INDEX]),"")</f>
        <v/>
      </c>
      <c r="C28" s="20">
        <f>IFERROR(INDEX(T_SHIPMENT[SHIPMENT_NUMBER],[@ROW_INDEX]),"")</f>
        <v/>
      </c>
      <c r="D28" s="20">
        <f>IFERROR(INDEX(T_SHIPMENT[QTY_PRODUCT_UNITS],[@ROW_INDEX]),"")</f>
        <v/>
      </c>
      <c r="E28" s="20">
        <f>IFERROR(INDEX(T_SHIPMENT[PACKAGING_CONFIGURATION_ID],[@ROW_INDEX]),"")</f>
        <v/>
      </c>
      <c r="F28" s="20">
        <f>IFERROR(INDEX(T_SHIPMENT[TRANSPORT_CONFIGURATION_ID],[@ROW_INDEX]),"")</f>
        <v/>
      </c>
      <c r="G28" s="20">
        <f>IF([@TRANSPORT_CONFIGURATION_ID]="","",IFERROR(INDEX(T_TRANSPORT_CONFIGURATION[UNITS_PER_LAYER],MATCH([@TRANSPORT_CONFIGURATION_ID],T_TRANSPORT_CONFIGURATION[TRANSPORT_CONFIGURATION_ID],0)),""))</f>
        <v/>
      </c>
      <c r="H28" s="20">
        <f>IF([@TRANSPORT_CONFIGURATION_ID]="","",IFERROR(INDEX(T_TRANSPORT_CONFIGURATION[LAYERS_PER_UNIT],MATCH([@TRANSPORT_CONFIGURATION_ID],T_TRANSPORT_CONFIGURATION[TRANSPORT_CONFIGURATION_ID],0)),""))</f>
        <v/>
      </c>
      <c r="I28" s="20">
        <f>IF([@TRANSPORT_CONFIGURATION_ID]="","",IFERROR(INDEX(T_TRANSPORT_CONFIGURATION[CONTAINER_PAYLOAD_UNITS],MATCH([@TRANSPORT_CONFIGURATION_ID],T_TRANSPORT_CONFIGURATION[TRANSPORT_CONFIGURATION_ID],0)),""))</f>
        <v/>
      </c>
      <c r="J28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8" s="20">
        <f>IF([@PACKAGING_CONFIGURATION_ID]="","",SUMIF(T_ENG_PACKAGING_WEIGHT[PACKAGING_CONFIGURATION_ID],[@PACKAGING_CONFIGURATION_ID],T_ENG_PACKAGING_WEIGHT[LINE_WEIGHT_G]))</f>
        <v/>
      </c>
      <c r="L28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8" s="20">
        <f>IF(OR([@PACKAGING_WEIGHT_PER_UNIT_G]="",[@TRANSPORT_WEIGHT_PER_UNIT_G]=""),IF([@PACKAGING_WEIGHT_PER_UNIT_G]="","",[@PACKAGING_WEIGHT_PER_UNIT_G]),[@PACKAGING_WEIGHT_PER_UNIT_G]+[@TRANSPORT_WEIGHT_PER_UNIT_G])</f>
        <v/>
      </c>
      <c r="N28" s="20">
        <f>IF(OR([@TOTAL_WEIGHT_PER_UNIT_G]="",[@QTY_PRODUCT_UNITS]=""),"",[@TOTAL_WEIGHT_PER_UNIT_G]*[@QTY_PRODUCT_UNITS])</f>
        <v/>
      </c>
      <c r="O28" s="20">
        <f>IF([@SHIPMENT_PACKAGING_WEIGHT_G]="","",[@SHIPMENT_PACKAGING_WEIGHT_G]/1000)</f>
        <v/>
      </c>
    </row>
    <row r="29">
      <c r="A29" s="20" t="n">
        <v>28</v>
      </c>
      <c r="B29" s="20">
        <f>IFERROR(INDEX(T_SHIPMENT[SHIPMENT_ID],[@ROW_INDEX]),"")</f>
        <v/>
      </c>
      <c r="C29" s="20">
        <f>IFERROR(INDEX(T_SHIPMENT[SHIPMENT_NUMBER],[@ROW_INDEX]),"")</f>
        <v/>
      </c>
      <c r="D29" s="20">
        <f>IFERROR(INDEX(T_SHIPMENT[QTY_PRODUCT_UNITS],[@ROW_INDEX]),"")</f>
        <v/>
      </c>
      <c r="E29" s="20">
        <f>IFERROR(INDEX(T_SHIPMENT[PACKAGING_CONFIGURATION_ID],[@ROW_INDEX]),"")</f>
        <v/>
      </c>
      <c r="F29" s="20">
        <f>IFERROR(INDEX(T_SHIPMENT[TRANSPORT_CONFIGURATION_ID],[@ROW_INDEX]),"")</f>
        <v/>
      </c>
      <c r="G29" s="20">
        <f>IF([@TRANSPORT_CONFIGURATION_ID]="","",IFERROR(INDEX(T_TRANSPORT_CONFIGURATION[UNITS_PER_LAYER],MATCH([@TRANSPORT_CONFIGURATION_ID],T_TRANSPORT_CONFIGURATION[TRANSPORT_CONFIGURATION_ID],0)),""))</f>
        <v/>
      </c>
      <c r="H29" s="20">
        <f>IF([@TRANSPORT_CONFIGURATION_ID]="","",IFERROR(INDEX(T_TRANSPORT_CONFIGURATION[LAYERS_PER_UNIT],MATCH([@TRANSPORT_CONFIGURATION_ID],T_TRANSPORT_CONFIGURATION[TRANSPORT_CONFIGURATION_ID],0)),""))</f>
        <v/>
      </c>
      <c r="I29" s="20">
        <f>IF([@TRANSPORT_CONFIGURATION_ID]="","",IFERROR(INDEX(T_TRANSPORT_CONFIGURATION[CONTAINER_PAYLOAD_UNITS],MATCH([@TRANSPORT_CONFIGURATION_ID],T_TRANSPORT_CONFIGURATION[TRANSPORT_CONFIGURATION_ID],0)),""))</f>
        <v/>
      </c>
      <c r="J29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29" s="20">
        <f>IF([@PACKAGING_CONFIGURATION_ID]="","",SUMIF(T_ENG_PACKAGING_WEIGHT[PACKAGING_CONFIGURATION_ID],[@PACKAGING_CONFIGURATION_ID],T_ENG_PACKAGING_WEIGHT[LINE_WEIGHT_G]))</f>
        <v/>
      </c>
      <c r="L29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29" s="20">
        <f>IF(OR([@PACKAGING_WEIGHT_PER_UNIT_G]="",[@TRANSPORT_WEIGHT_PER_UNIT_G]=""),IF([@PACKAGING_WEIGHT_PER_UNIT_G]="","",[@PACKAGING_WEIGHT_PER_UNIT_G]),[@PACKAGING_WEIGHT_PER_UNIT_G]+[@TRANSPORT_WEIGHT_PER_UNIT_G])</f>
        <v/>
      </c>
      <c r="N29" s="20">
        <f>IF(OR([@TOTAL_WEIGHT_PER_UNIT_G]="",[@QTY_PRODUCT_UNITS]=""),"",[@TOTAL_WEIGHT_PER_UNIT_G]*[@QTY_PRODUCT_UNITS])</f>
        <v/>
      </c>
      <c r="O29" s="20">
        <f>IF([@SHIPMENT_PACKAGING_WEIGHT_G]="","",[@SHIPMENT_PACKAGING_WEIGHT_G]/1000)</f>
        <v/>
      </c>
    </row>
    <row r="30">
      <c r="A30" s="20" t="n">
        <v>29</v>
      </c>
      <c r="B30" s="20">
        <f>IFERROR(INDEX(T_SHIPMENT[SHIPMENT_ID],[@ROW_INDEX]),"")</f>
        <v/>
      </c>
      <c r="C30" s="20">
        <f>IFERROR(INDEX(T_SHIPMENT[SHIPMENT_NUMBER],[@ROW_INDEX]),"")</f>
        <v/>
      </c>
      <c r="D30" s="20">
        <f>IFERROR(INDEX(T_SHIPMENT[QTY_PRODUCT_UNITS],[@ROW_INDEX]),"")</f>
        <v/>
      </c>
      <c r="E30" s="20">
        <f>IFERROR(INDEX(T_SHIPMENT[PACKAGING_CONFIGURATION_ID],[@ROW_INDEX]),"")</f>
        <v/>
      </c>
      <c r="F30" s="20">
        <f>IFERROR(INDEX(T_SHIPMENT[TRANSPORT_CONFIGURATION_ID],[@ROW_INDEX]),"")</f>
        <v/>
      </c>
      <c r="G30" s="20">
        <f>IF([@TRANSPORT_CONFIGURATION_ID]="","",IFERROR(INDEX(T_TRANSPORT_CONFIGURATION[UNITS_PER_LAYER],MATCH([@TRANSPORT_CONFIGURATION_ID],T_TRANSPORT_CONFIGURATION[TRANSPORT_CONFIGURATION_ID],0)),""))</f>
        <v/>
      </c>
      <c r="H30" s="20">
        <f>IF([@TRANSPORT_CONFIGURATION_ID]="","",IFERROR(INDEX(T_TRANSPORT_CONFIGURATION[LAYERS_PER_UNIT],MATCH([@TRANSPORT_CONFIGURATION_ID],T_TRANSPORT_CONFIGURATION[TRANSPORT_CONFIGURATION_ID],0)),""))</f>
        <v/>
      </c>
      <c r="I30" s="20">
        <f>IF([@TRANSPORT_CONFIGURATION_ID]="","",IFERROR(INDEX(T_TRANSPORT_CONFIGURATION[CONTAINER_PAYLOAD_UNITS],MATCH([@TRANSPORT_CONFIGURATION_ID],T_TRANSPORT_CONFIGURATION[TRANSPORT_CONFIGURATION_ID],0)),""))</f>
        <v/>
      </c>
      <c r="J30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0" s="20">
        <f>IF([@PACKAGING_CONFIGURATION_ID]="","",SUMIF(T_ENG_PACKAGING_WEIGHT[PACKAGING_CONFIGURATION_ID],[@PACKAGING_CONFIGURATION_ID],T_ENG_PACKAGING_WEIGHT[LINE_WEIGHT_G]))</f>
        <v/>
      </c>
      <c r="L30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0" s="20">
        <f>IF(OR([@PACKAGING_WEIGHT_PER_UNIT_G]="",[@TRANSPORT_WEIGHT_PER_UNIT_G]=""),IF([@PACKAGING_WEIGHT_PER_UNIT_G]="","",[@PACKAGING_WEIGHT_PER_UNIT_G]),[@PACKAGING_WEIGHT_PER_UNIT_G]+[@TRANSPORT_WEIGHT_PER_UNIT_G])</f>
        <v/>
      </c>
      <c r="N30" s="20">
        <f>IF(OR([@TOTAL_WEIGHT_PER_UNIT_G]="",[@QTY_PRODUCT_UNITS]=""),"",[@TOTAL_WEIGHT_PER_UNIT_G]*[@QTY_PRODUCT_UNITS])</f>
        <v/>
      </c>
      <c r="O30" s="20">
        <f>IF([@SHIPMENT_PACKAGING_WEIGHT_G]="","",[@SHIPMENT_PACKAGING_WEIGHT_G]/1000)</f>
        <v/>
      </c>
    </row>
    <row r="31">
      <c r="A31" s="20" t="n">
        <v>30</v>
      </c>
      <c r="B31" s="20">
        <f>IFERROR(INDEX(T_SHIPMENT[SHIPMENT_ID],[@ROW_INDEX]),"")</f>
        <v/>
      </c>
      <c r="C31" s="20">
        <f>IFERROR(INDEX(T_SHIPMENT[SHIPMENT_NUMBER],[@ROW_INDEX]),"")</f>
        <v/>
      </c>
      <c r="D31" s="20">
        <f>IFERROR(INDEX(T_SHIPMENT[QTY_PRODUCT_UNITS],[@ROW_INDEX]),"")</f>
        <v/>
      </c>
      <c r="E31" s="20">
        <f>IFERROR(INDEX(T_SHIPMENT[PACKAGING_CONFIGURATION_ID],[@ROW_INDEX]),"")</f>
        <v/>
      </c>
      <c r="F31" s="20">
        <f>IFERROR(INDEX(T_SHIPMENT[TRANSPORT_CONFIGURATION_ID],[@ROW_INDEX]),"")</f>
        <v/>
      </c>
      <c r="G31" s="20">
        <f>IF([@TRANSPORT_CONFIGURATION_ID]="","",IFERROR(INDEX(T_TRANSPORT_CONFIGURATION[UNITS_PER_LAYER],MATCH([@TRANSPORT_CONFIGURATION_ID],T_TRANSPORT_CONFIGURATION[TRANSPORT_CONFIGURATION_ID],0)),""))</f>
        <v/>
      </c>
      <c r="H31" s="20">
        <f>IF([@TRANSPORT_CONFIGURATION_ID]="","",IFERROR(INDEX(T_TRANSPORT_CONFIGURATION[LAYERS_PER_UNIT],MATCH([@TRANSPORT_CONFIGURATION_ID],T_TRANSPORT_CONFIGURATION[TRANSPORT_CONFIGURATION_ID],0)),""))</f>
        <v/>
      </c>
      <c r="I31" s="20">
        <f>IF([@TRANSPORT_CONFIGURATION_ID]="","",IFERROR(INDEX(T_TRANSPORT_CONFIGURATION[CONTAINER_PAYLOAD_UNITS],MATCH([@TRANSPORT_CONFIGURATION_ID],T_TRANSPORT_CONFIGURATION[TRANSPORT_CONFIGURATION_ID],0)),""))</f>
        <v/>
      </c>
      <c r="J31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1" s="20">
        <f>IF([@PACKAGING_CONFIGURATION_ID]="","",SUMIF(T_ENG_PACKAGING_WEIGHT[PACKAGING_CONFIGURATION_ID],[@PACKAGING_CONFIGURATION_ID],T_ENG_PACKAGING_WEIGHT[LINE_WEIGHT_G]))</f>
        <v/>
      </c>
      <c r="L31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1" s="20">
        <f>IF(OR([@PACKAGING_WEIGHT_PER_UNIT_G]="",[@TRANSPORT_WEIGHT_PER_UNIT_G]=""),IF([@PACKAGING_WEIGHT_PER_UNIT_G]="","",[@PACKAGING_WEIGHT_PER_UNIT_G]),[@PACKAGING_WEIGHT_PER_UNIT_G]+[@TRANSPORT_WEIGHT_PER_UNIT_G])</f>
        <v/>
      </c>
      <c r="N31" s="20">
        <f>IF(OR([@TOTAL_WEIGHT_PER_UNIT_G]="",[@QTY_PRODUCT_UNITS]=""),"",[@TOTAL_WEIGHT_PER_UNIT_G]*[@QTY_PRODUCT_UNITS])</f>
        <v/>
      </c>
      <c r="O31" s="20">
        <f>IF([@SHIPMENT_PACKAGING_WEIGHT_G]="","",[@SHIPMENT_PACKAGING_WEIGHT_G]/1000)</f>
        <v/>
      </c>
    </row>
    <row r="32">
      <c r="A32" s="20" t="n">
        <v>31</v>
      </c>
      <c r="B32" s="20">
        <f>IFERROR(INDEX(T_SHIPMENT[SHIPMENT_ID],[@ROW_INDEX]),"")</f>
        <v/>
      </c>
      <c r="C32" s="20">
        <f>IFERROR(INDEX(T_SHIPMENT[SHIPMENT_NUMBER],[@ROW_INDEX]),"")</f>
        <v/>
      </c>
      <c r="D32" s="20">
        <f>IFERROR(INDEX(T_SHIPMENT[QTY_PRODUCT_UNITS],[@ROW_INDEX]),"")</f>
        <v/>
      </c>
      <c r="E32" s="20">
        <f>IFERROR(INDEX(T_SHIPMENT[PACKAGING_CONFIGURATION_ID],[@ROW_INDEX]),"")</f>
        <v/>
      </c>
      <c r="F32" s="20">
        <f>IFERROR(INDEX(T_SHIPMENT[TRANSPORT_CONFIGURATION_ID],[@ROW_INDEX]),"")</f>
        <v/>
      </c>
      <c r="G32" s="20">
        <f>IF([@TRANSPORT_CONFIGURATION_ID]="","",IFERROR(INDEX(T_TRANSPORT_CONFIGURATION[UNITS_PER_LAYER],MATCH([@TRANSPORT_CONFIGURATION_ID],T_TRANSPORT_CONFIGURATION[TRANSPORT_CONFIGURATION_ID],0)),""))</f>
        <v/>
      </c>
      <c r="H32" s="20">
        <f>IF([@TRANSPORT_CONFIGURATION_ID]="","",IFERROR(INDEX(T_TRANSPORT_CONFIGURATION[LAYERS_PER_UNIT],MATCH([@TRANSPORT_CONFIGURATION_ID],T_TRANSPORT_CONFIGURATION[TRANSPORT_CONFIGURATION_ID],0)),""))</f>
        <v/>
      </c>
      <c r="I32" s="20">
        <f>IF([@TRANSPORT_CONFIGURATION_ID]="","",IFERROR(INDEX(T_TRANSPORT_CONFIGURATION[CONTAINER_PAYLOAD_UNITS],MATCH([@TRANSPORT_CONFIGURATION_ID],T_TRANSPORT_CONFIGURATION[TRANSPORT_CONFIGURATION_ID],0)),""))</f>
        <v/>
      </c>
      <c r="J32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2" s="20">
        <f>IF([@PACKAGING_CONFIGURATION_ID]="","",SUMIF(T_ENG_PACKAGING_WEIGHT[PACKAGING_CONFIGURATION_ID],[@PACKAGING_CONFIGURATION_ID],T_ENG_PACKAGING_WEIGHT[LINE_WEIGHT_G]))</f>
        <v/>
      </c>
      <c r="L32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2" s="20">
        <f>IF(OR([@PACKAGING_WEIGHT_PER_UNIT_G]="",[@TRANSPORT_WEIGHT_PER_UNIT_G]=""),IF([@PACKAGING_WEIGHT_PER_UNIT_G]="","",[@PACKAGING_WEIGHT_PER_UNIT_G]),[@PACKAGING_WEIGHT_PER_UNIT_G]+[@TRANSPORT_WEIGHT_PER_UNIT_G])</f>
        <v/>
      </c>
      <c r="N32" s="20">
        <f>IF(OR([@TOTAL_WEIGHT_PER_UNIT_G]="",[@QTY_PRODUCT_UNITS]=""),"",[@TOTAL_WEIGHT_PER_UNIT_G]*[@QTY_PRODUCT_UNITS])</f>
        <v/>
      </c>
      <c r="O32" s="20">
        <f>IF([@SHIPMENT_PACKAGING_WEIGHT_G]="","",[@SHIPMENT_PACKAGING_WEIGHT_G]/1000)</f>
        <v/>
      </c>
    </row>
    <row r="33">
      <c r="A33" s="20" t="n">
        <v>32</v>
      </c>
      <c r="B33" s="20">
        <f>IFERROR(INDEX(T_SHIPMENT[SHIPMENT_ID],[@ROW_INDEX]),"")</f>
        <v/>
      </c>
      <c r="C33" s="20">
        <f>IFERROR(INDEX(T_SHIPMENT[SHIPMENT_NUMBER],[@ROW_INDEX]),"")</f>
        <v/>
      </c>
      <c r="D33" s="20">
        <f>IFERROR(INDEX(T_SHIPMENT[QTY_PRODUCT_UNITS],[@ROW_INDEX]),"")</f>
        <v/>
      </c>
      <c r="E33" s="20">
        <f>IFERROR(INDEX(T_SHIPMENT[PACKAGING_CONFIGURATION_ID],[@ROW_INDEX]),"")</f>
        <v/>
      </c>
      <c r="F33" s="20">
        <f>IFERROR(INDEX(T_SHIPMENT[TRANSPORT_CONFIGURATION_ID],[@ROW_INDEX]),"")</f>
        <v/>
      </c>
      <c r="G33" s="20">
        <f>IF([@TRANSPORT_CONFIGURATION_ID]="","",IFERROR(INDEX(T_TRANSPORT_CONFIGURATION[UNITS_PER_LAYER],MATCH([@TRANSPORT_CONFIGURATION_ID],T_TRANSPORT_CONFIGURATION[TRANSPORT_CONFIGURATION_ID],0)),""))</f>
        <v/>
      </c>
      <c r="H33" s="20">
        <f>IF([@TRANSPORT_CONFIGURATION_ID]="","",IFERROR(INDEX(T_TRANSPORT_CONFIGURATION[LAYERS_PER_UNIT],MATCH([@TRANSPORT_CONFIGURATION_ID],T_TRANSPORT_CONFIGURATION[TRANSPORT_CONFIGURATION_ID],0)),""))</f>
        <v/>
      </c>
      <c r="I33" s="20">
        <f>IF([@TRANSPORT_CONFIGURATION_ID]="","",IFERROR(INDEX(T_TRANSPORT_CONFIGURATION[CONTAINER_PAYLOAD_UNITS],MATCH([@TRANSPORT_CONFIGURATION_ID],T_TRANSPORT_CONFIGURATION[TRANSPORT_CONFIGURATION_ID],0)),""))</f>
        <v/>
      </c>
      <c r="J33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3" s="20">
        <f>IF([@PACKAGING_CONFIGURATION_ID]="","",SUMIF(T_ENG_PACKAGING_WEIGHT[PACKAGING_CONFIGURATION_ID],[@PACKAGING_CONFIGURATION_ID],T_ENG_PACKAGING_WEIGHT[LINE_WEIGHT_G]))</f>
        <v/>
      </c>
      <c r="L33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3" s="20">
        <f>IF(OR([@PACKAGING_WEIGHT_PER_UNIT_G]="",[@TRANSPORT_WEIGHT_PER_UNIT_G]=""),IF([@PACKAGING_WEIGHT_PER_UNIT_G]="","",[@PACKAGING_WEIGHT_PER_UNIT_G]),[@PACKAGING_WEIGHT_PER_UNIT_G]+[@TRANSPORT_WEIGHT_PER_UNIT_G])</f>
        <v/>
      </c>
      <c r="N33" s="20">
        <f>IF(OR([@TOTAL_WEIGHT_PER_UNIT_G]="",[@QTY_PRODUCT_UNITS]=""),"",[@TOTAL_WEIGHT_PER_UNIT_G]*[@QTY_PRODUCT_UNITS])</f>
        <v/>
      </c>
      <c r="O33" s="20">
        <f>IF([@SHIPMENT_PACKAGING_WEIGHT_G]="","",[@SHIPMENT_PACKAGING_WEIGHT_G]/1000)</f>
        <v/>
      </c>
    </row>
    <row r="34">
      <c r="A34" s="20" t="n">
        <v>33</v>
      </c>
      <c r="B34" s="20">
        <f>IFERROR(INDEX(T_SHIPMENT[SHIPMENT_ID],[@ROW_INDEX]),"")</f>
        <v/>
      </c>
      <c r="C34" s="20">
        <f>IFERROR(INDEX(T_SHIPMENT[SHIPMENT_NUMBER],[@ROW_INDEX]),"")</f>
        <v/>
      </c>
      <c r="D34" s="20">
        <f>IFERROR(INDEX(T_SHIPMENT[QTY_PRODUCT_UNITS],[@ROW_INDEX]),"")</f>
        <v/>
      </c>
      <c r="E34" s="20">
        <f>IFERROR(INDEX(T_SHIPMENT[PACKAGING_CONFIGURATION_ID],[@ROW_INDEX]),"")</f>
        <v/>
      </c>
      <c r="F34" s="20">
        <f>IFERROR(INDEX(T_SHIPMENT[TRANSPORT_CONFIGURATION_ID],[@ROW_INDEX]),"")</f>
        <v/>
      </c>
      <c r="G34" s="20">
        <f>IF([@TRANSPORT_CONFIGURATION_ID]="","",IFERROR(INDEX(T_TRANSPORT_CONFIGURATION[UNITS_PER_LAYER],MATCH([@TRANSPORT_CONFIGURATION_ID],T_TRANSPORT_CONFIGURATION[TRANSPORT_CONFIGURATION_ID],0)),""))</f>
        <v/>
      </c>
      <c r="H34" s="20">
        <f>IF([@TRANSPORT_CONFIGURATION_ID]="","",IFERROR(INDEX(T_TRANSPORT_CONFIGURATION[LAYERS_PER_UNIT],MATCH([@TRANSPORT_CONFIGURATION_ID],T_TRANSPORT_CONFIGURATION[TRANSPORT_CONFIGURATION_ID],0)),""))</f>
        <v/>
      </c>
      <c r="I34" s="20">
        <f>IF([@TRANSPORT_CONFIGURATION_ID]="","",IFERROR(INDEX(T_TRANSPORT_CONFIGURATION[CONTAINER_PAYLOAD_UNITS],MATCH([@TRANSPORT_CONFIGURATION_ID],T_TRANSPORT_CONFIGURATION[TRANSPORT_CONFIGURATION_ID],0)),""))</f>
        <v/>
      </c>
      <c r="J34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4" s="20">
        <f>IF([@PACKAGING_CONFIGURATION_ID]="","",SUMIF(T_ENG_PACKAGING_WEIGHT[PACKAGING_CONFIGURATION_ID],[@PACKAGING_CONFIGURATION_ID],T_ENG_PACKAGING_WEIGHT[LINE_WEIGHT_G]))</f>
        <v/>
      </c>
      <c r="L34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4" s="20">
        <f>IF(OR([@PACKAGING_WEIGHT_PER_UNIT_G]="",[@TRANSPORT_WEIGHT_PER_UNIT_G]=""),IF([@PACKAGING_WEIGHT_PER_UNIT_G]="","",[@PACKAGING_WEIGHT_PER_UNIT_G]),[@PACKAGING_WEIGHT_PER_UNIT_G]+[@TRANSPORT_WEIGHT_PER_UNIT_G])</f>
        <v/>
      </c>
      <c r="N34" s="20">
        <f>IF(OR([@TOTAL_WEIGHT_PER_UNIT_G]="",[@QTY_PRODUCT_UNITS]=""),"",[@TOTAL_WEIGHT_PER_UNIT_G]*[@QTY_PRODUCT_UNITS])</f>
        <v/>
      </c>
      <c r="O34" s="20">
        <f>IF([@SHIPMENT_PACKAGING_WEIGHT_G]="","",[@SHIPMENT_PACKAGING_WEIGHT_G]/1000)</f>
        <v/>
      </c>
    </row>
    <row r="35">
      <c r="A35" s="20" t="n">
        <v>34</v>
      </c>
      <c r="B35" s="20">
        <f>IFERROR(INDEX(T_SHIPMENT[SHIPMENT_ID],[@ROW_INDEX]),"")</f>
        <v/>
      </c>
      <c r="C35" s="20">
        <f>IFERROR(INDEX(T_SHIPMENT[SHIPMENT_NUMBER],[@ROW_INDEX]),"")</f>
        <v/>
      </c>
      <c r="D35" s="20">
        <f>IFERROR(INDEX(T_SHIPMENT[QTY_PRODUCT_UNITS],[@ROW_INDEX]),"")</f>
        <v/>
      </c>
      <c r="E35" s="20">
        <f>IFERROR(INDEX(T_SHIPMENT[PACKAGING_CONFIGURATION_ID],[@ROW_INDEX]),"")</f>
        <v/>
      </c>
      <c r="F35" s="20">
        <f>IFERROR(INDEX(T_SHIPMENT[TRANSPORT_CONFIGURATION_ID],[@ROW_INDEX]),"")</f>
        <v/>
      </c>
      <c r="G35" s="20">
        <f>IF([@TRANSPORT_CONFIGURATION_ID]="","",IFERROR(INDEX(T_TRANSPORT_CONFIGURATION[UNITS_PER_LAYER],MATCH([@TRANSPORT_CONFIGURATION_ID],T_TRANSPORT_CONFIGURATION[TRANSPORT_CONFIGURATION_ID],0)),""))</f>
        <v/>
      </c>
      <c r="H35" s="20">
        <f>IF([@TRANSPORT_CONFIGURATION_ID]="","",IFERROR(INDEX(T_TRANSPORT_CONFIGURATION[LAYERS_PER_UNIT],MATCH([@TRANSPORT_CONFIGURATION_ID],T_TRANSPORT_CONFIGURATION[TRANSPORT_CONFIGURATION_ID],0)),""))</f>
        <v/>
      </c>
      <c r="I35" s="20">
        <f>IF([@TRANSPORT_CONFIGURATION_ID]="","",IFERROR(INDEX(T_TRANSPORT_CONFIGURATION[CONTAINER_PAYLOAD_UNITS],MATCH([@TRANSPORT_CONFIGURATION_ID],T_TRANSPORT_CONFIGURATION[TRANSPORT_CONFIGURATION_ID],0)),""))</f>
        <v/>
      </c>
      <c r="J35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5" s="20">
        <f>IF([@PACKAGING_CONFIGURATION_ID]="","",SUMIF(T_ENG_PACKAGING_WEIGHT[PACKAGING_CONFIGURATION_ID],[@PACKAGING_CONFIGURATION_ID],T_ENG_PACKAGING_WEIGHT[LINE_WEIGHT_G]))</f>
        <v/>
      </c>
      <c r="L35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5" s="20">
        <f>IF(OR([@PACKAGING_WEIGHT_PER_UNIT_G]="",[@TRANSPORT_WEIGHT_PER_UNIT_G]=""),IF([@PACKAGING_WEIGHT_PER_UNIT_G]="","",[@PACKAGING_WEIGHT_PER_UNIT_G]),[@PACKAGING_WEIGHT_PER_UNIT_G]+[@TRANSPORT_WEIGHT_PER_UNIT_G])</f>
        <v/>
      </c>
      <c r="N35" s="20">
        <f>IF(OR([@TOTAL_WEIGHT_PER_UNIT_G]="",[@QTY_PRODUCT_UNITS]=""),"",[@TOTAL_WEIGHT_PER_UNIT_G]*[@QTY_PRODUCT_UNITS])</f>
        <v/>
      </c>
      <c r="O35" s="20">
        <f>IF([@SHIPMENT_PACKAGING_WEIGHT_G]="","",[@SHIPMENT_PACKAGING_WEIGHT_G]/1000)</f>
        <v/>
      </c>
    </row>
    <row r="36">
      <c r="A36" s="20" t="n">
        <v>35</v>
      </c>
      <c r="B36" s="20">
        <f>IFERROR(INDEX(T_SHIPMENT[SHIPMENT_ID],[@ROW_INDEX]),"")</f>
        <v/>
      </c>
      <c r="C36" s="20">
        <f>IFERROR(INDEX(T_SHIPMENT[SHIPMENT_NUMBER],[@ROW_INDEX]),"")</f>
        <v/>
      </c>
      <c r="D36" s="20">
        <f>IFERROR(INDEX(T_SHIPMENT[QTY_PRODUCT_UNITS],[@ROW_INDEX]),"")</f>
        <v/>
      </c>
      <c r="E36" s="20">
        <f>IFERROR(INDEX(T_SHIPMENT[PACKAGING_CONFIGURATION_ID],[@ROW_INDEX]),"")</f>
        <v/>
      </c>
      <c r="F36" s="20">
        <f>IFERROR(INDEX(T_SHIPMENT[TRANSPORT_CONFIGURATION_ID],[@ROW_INDEX]),"")</f>
        <v/>
      </c>
      <c r="G36" s="20">
        <f>IF([@TRANSPORT_CONFIGURATION_ID]="","",IFERROR(INDEX(T_TRANSPORT_CONFIGURATION[UNITS_PER_LAYER],MATCH([@TRANSPORT_CONFIGURATION_ID],T_TRANSPORT_CONFIGURATION[TRANSPORT_CONFIGURATION_ID],0)),""))</f>
        <v/>
      </c>
      <c r="H36" s="20">
        <f>IF([@TRANSPORT_CONFIGURATION_ID]="","",IFERROR(INDEX(T_TRANSPORT_CONFIGURATION[LAYERS_PER_UNIT],MATCH([@TRANSPORT_CONFIGURATION_ID],T_TRANSPORT_CONFIGURATION[TRANSPORT_CONFIGURATION_ID],0)),""))</f>
        <v/>
      </c>
      <c r="I36" s="20">
        <f>IF([@TRANSPORT_CONFIGURATION_ID]="","",IFERROR(INDEX(T_TRANSPORT_CONFIGURATION[CONTAINER_PAYLOAD_UNITS],MATCH([@TRANSPORT_CONFIGURATION_ID],T_TRANSPORT_CONFIGURATION[TRANSPORT_CONFIGURATION_ID],0)),""))</f>
        <v/>
      </c>
      <c r="J36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6" s="20">
        <f>IF([@PACKAGING_CONFIGURATION_ID]="","",SUMIF(T_ENG_PACKAGING_WEIGHT[PACKAGING_CONFIGURATION_ID],[@PACKAGING_CONFIGURATION_ID],T_ENG_PACKAGING_WEIGHT[LINE_WEIGHT_G]))</f>
        <v/>
      </c>
      <c r="L36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6" s="20">
        <f>IF(OR([@PACKAGING_WEIGHT_PER_UNIT_G]="",[@TRANSPORT_WEIGHT_PER_UNIT_G]=""),IF([@PACKAGING_WEIGHT_PER_UNIT_G]="","",[@PACKAGING_WEIGHT_PER_UNIT_G]),[@PACKAGING_WEIGHT_PER_UNIT_G]+[@TRANSPORT_WEIGHT_PER_UNIT_G])</f>
        <v/>
      </c>
      <c r="N36" s="20">
        <f>IF(OR([@TOTAL_WEIGHT_PER_UNIT_G]="",[@QTY_PRODUCT_UNITS]=""),"",[@TOTAL_WEIGHT_PER_UNIT_G]*[@QTY_PRODUCT_UNITS])</f>
        <v/>
      </c>
      <c r="O36" s="20">
        <f>IF([@SHIPMENT_PACKAGING_WEIGHT_G]="","",[@SHIPMENT_PACKAGING_WEIGHT_G]/1000)</f>
        <v/>
      </c>
    </row>
    <row r="37">
      <c r="A37" s="20" t="n">
        <v>36</v>
      </c>
      <c r="B37" s="20">
        <f>IFERROR(INDEX(T_SHIPMENT[SHIPMENT_ID],[@ROW_INDEX]),"")</f>
        <v/>
      </c>
      <c r="C37" s="20">
        <f>IFERROR(INDEX(T_SHIPMENT[SHIPMENT_NUMBER],[@ROW_INDEX]),"")</f>
        <v/>
      </c>
      <c r="D37" s="20">
        <f>IFERROR(INDEX(T_SHIPMENT[QTY_PRODUCT_UNITS],[@ROW_INDEX]),"")</f>
        <v/>
      </c>
      <c r="E37" s="20">
        <f>IFERROR(INDEX(T_SHIPMENT[PACKAGING_CONFIGURATION_ID],[@ROW_INDEX]),"")</f>
        <v/>
      </c>
      <c r="F37" s="20">
        <f>IFERROR(INDEX(T_SHIPMENT[TRANSPORT_CONFIGURATION_ID],[@ROW_INDEX]),"")</f>
        <v/>
      </c>
      <c r="G37" s="20">
        <f>IF([@TRANSPORT_CONFIGURATION_ID]="","",IFERROR(INDEX(T_TRANSPORT_CONFIGURATION[UNITS_PER_LAYER],MATCH([@TRANSPORT_CONFIGURATION_ID],T_TRANSPORT_CONFIGURATION[TRANSPORT_CONFIGURATION_ID],0)),""))</f>
        <v/>
      </c>
      <c r="H37" s="20">
        <f>IF([@TRANSPORT_CONFIGURATION_ID]="","",IFERROR(INDEX(T_TRANSPORT_CONFIGURATION[LAYERS_PER_UNIT],MATCH([@TRANSPORT_CONFIGURATION_ID],T_TRANSPORT_CONFIGURATION[TRANSPORT_CONFIGURATION_ID],0)),""))</f>
        <v/>
      </c>
      <c r="I37" s="20">
        <f>IF([@TRANSPORT_CONFIGURATION_ID]="","",IFERROR(INDEX(T_TRANSPORT_CONFIGURATION[CONTAINER_PAYLOAD_UNITS],MATCH([@TRANSPORT_CONFIGURATION_ID],T_TRANSPORT_CONFIGURATION[TRANSPORT_CONFIGURATION_ID],0)),""))</f>
        <v/>
      </c>
      <c r="J37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7" s="20">
        <f>IF([@PACKAGING_CONFIGURATION_ID]="","",SUMIF(T_ENG_PACKAGING_WEIGHT[PACKAGING_CONFIGURATION_ID],[@PACKAGING_CONFIGURATION_ID],T_ENG_PACKAGING_WEIGHT[LINE_WEIGHT_G]))</f>
        <v/>
      </c>
      <c r="L37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7" s="20">
        <f>IF(OR([@PACKAGING_WEIGHT_PER_UNIT_G]="",[@TRANSPORT_WEIGHT_PER_UNIT_G]=""),IF([@PACKAGING_WEIGHT_PER_UNIT_G]="","",[@PACKAGING_WEIGHT_PER_UNIT_G]),[@PACKAGING_WEIGHT_PER_UNIT_G]+[@TRANSPORT_WEIGHT_PER_UNIT_G])</f>
        <v/>
      </c>
      <c r="N37" s="20">
        <f>IF(OR([@TOTAL_WEIGHT_PER_UNIT_G]="",[@QTY_PRODUCT_UNITS]=""),"",[@TOTAL_WEIGHT_PER_UNIT_G]*[@QTY_PRODUCT_UNITS])</f>
        <v/>
      </c>
      <c r="O37" s="20">
        <f>IF([@SHIPMENT_PACKAGING_WEIGHT_G]="","",[@SHIPMENT_PACKAGING_WEIGHT_G]/1000)</f>
        <v/>
      </c>
    </row>
    <row r="38">
      <c r="A38" s="20" t="n">
        <v>37</v>
      </c>
      <c r="B38" s="20">
        <f>IFERROR(INDEX(T_SHIPMENT[SHIPMENT_ID],[@ROW_INDEX]),"")</f>
        <v/>
      </c>
      <c r="C38" s="20">
        <f>IFERROR(INDEX(T_SHIPMENT[SHIPMENT_NUMBER],[@ROW_INDEX]),"")</f>
        <v/>
      </c>
      <c r="D38" s="20">
        <f>IFERROR(INDEX(T_SHIPMENT[QTY_PRODUCT_UNITS],[@ROW_INDEX]),"")</f>
        <v/>
      </c>
      <c r="E38" s="20">
        <f>IFERROR(INDEX(T_SHIPMENT[PACKAGING_CONFIGURATION_ID],[@ROW_INDEX]),"")</f>
        <v/>
      </c>
      <c r="F38" s="20">
        <f>IFERROR(INDEX(T_SHIPMENT[TRANSPORT_CONFIGURATION_ID],[@ROW_INDEX]),"")</f>
        <v/>
      </c>
      <c r="G38" s="20">
        <f>IF([@TRANSPORT_CONFIGURATION_ID]="","",IFERROR(INDEX(T_TRANSPORT_CONFIGURATION[UNITS_PER_LAYER],MATCH([@TRANSPORT_CONFIGURATION_ID],T_TRANSPORT_CONFIGURATION[TRANSPORT_CONFIGURATION_ID],0)),""))</f>
        <v/>
      </c>
      <c r="H38" s="20">
        <f>IF([@TRANSPORT_CONFIGURATION_ID]="","",IFERROR(INDEX(T_TRANSPORT_CONFIGURATION[LAYERS_PER_UNIT],MATCH([@TRANSPORT_CONFIGURATION_ID],T_TRANSPORT_CONFIGURATION[TRANSPORT_CONFIGURATION_ID],0)),""))</f>
        <v/>
      </c>
      <c r="I38" s="20">
        <f>IF([@TRANSPORT_CONFIGURATION_ID]="","",IFERROR(INDEX(T_TRANSPORT_CONFIGURATION[CONTAINER_PAYLOAD_UNITS],MATCH([@TRANSPORT_CONFIGURATION_ID],T_TRANSPORT_CONFIGURATION[TRANSPORT_CONFIGURATION_ID],0)),""))</f>
        <v/>
      </c>
      <c r="J38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8" s="20">
        <f>IF([@PACKAGING_CONFIGURATION_ID]="","",SUMIF(T_ENG_PACKAGING_WEIGHT[PACKAGING_CONFIGURATION_ID],[@PACKAGING_CONFIGURATION_ID],T_ENG_PACKAGING_WEIGHT[LINE_WEIGHT_G]))</f>
        <v/>
      </c>
      <c r="L38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8" s="20">
        <f>IF(OR([@PACKAGING_WEIGHT_PER_UNIT_G]="",[@TRANSPORT_WEIGHT_PER_UNIT_G]=""),IF([@PACKAGING_WEIGHT_PER_UNIT_G]="","",[@PACKAGING_WEIGHT_PER_UNIT_G]),[@PACKAGING_WEIGHT_PER_UNIT_G]+[@TRANSPORT_WEIGHT_PER_UNIT_G])</f>
        <v/>
      </c>
      <c r="N38" s="20">
        <f>IF(OR([@TOTAL_WEIGHT_PER_UNIT_G]="",[@QTY_PRODUCT_UNITS]=""),"",[@TOTAL_WEIGHT_PER_UNIT_G]*[@QTY_PRODUCT_UNITS])</f>
        <v/>
      </c>
      <c r="O38" s="20">
        <f>IF([@SHIPMENT_PACKAGING_WEIGHT_G]="","",[@SHIPMENT_PACKAGING_WEIGHT_G]/1000)</f>
        <v/>
      </c>
    </row>
    <row r="39">
      <c r="A39" s="20" t="n">
        <v>38</v>
      </c>
      <c r="B39" s="20">
        <f>IFERROR(INDEX(T_SHIPMENT[SHIPMENT_ID],[@ROW_INDEX]),"")</f>
        <v/>
      </c>
      <c r="C39" s="20">
        <f>IFERROR(INDEX(T_SHIPMENT[SHIPMENT_NUMBER],[@ROW_INDEX]),"")</f>
        <v/>
      </c>
      <c r="D39" s="20">
        <f>IFERROR(INDEX(T_SHIPMENT[QTY_PRODUCT_UNITS],[@ROW_INDEX]),"")</f>
        <v/>
      </c>
      <c r="E39" s="20">
        <f>IFERROR(INDEX(T_SHIPMENT[PACKAGING_CONFIGURATION_ID],[@ROW_INDEX]),"")</f>
        <v/>
      </c>
      <c r="F39" s="20">
        <f>IFERROR(INDEX(T_SHIPMENT[TRANSPORT_CONFIGURATION_ID],[@ROW_INDEX]),"")</f>
        <v/>
      </c>
      <c r="G39" s="20">
        <f>IF([@TRANSPORT_CONFIGURATION_ID]="","",IFERROR(INDEX(T_TRANSPORT_CONFIGURATION[UNITS_PER_LAYER],MATCH([@TRANSPORT_CONFIGURATION_ID],T_TRANSPORT_CONFIGURATION[TRANSPORT_CONFIGURATION_ID],0)),""))</f>
        <v/>
      </c>
      <c r="H39" s="20">
        <f>IF([@TRANSPORT_CONFIGURATION_ID]="","",IFERROR(INDEX(T_TRANSPORT_CONFIGURATION[LAYERS_PER_UNIT],MATCH([@TRANSPORT_CONFIGURATION_ID],T_TRANSPORT_CONFIGURATION[TRANSPORT_CONFIGURATION_ID],0)),""))</f>
        <v/>
      </c>
      <c r="I39" s="20">
        <f>IF([@TRANSPORT_CONFIGURATION_ID]="","",IFERROR(INDEX(T_TRANSPORT_CONFIGURATION[CONTAINER_PAYLOAD_UNITS],MATCH([@TRANSPORT_CONFIGURATION_ID],T_TRANSPORT_CONFIGURATION[TRANSPORT_CONFIGURATION_ID],0)),""))</f>
        <v/>
      </c>
      <c r="J39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39" s="20">
        <f>IF([@PACKAGING_CONFIGURATION_ID]="","",SUMIF(T_ENG_PACKAGING_WEIGHT[PACKAGING_CONFIGURATION_ID],[@PACKAGING_CONFIGURATION_ID],T_ENG_PACKAGING_WEIGHT[LINE_WEIGHT_G]))</f>
        <v/>
      </c>
      <c r="L39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39" s="20">
        <f>IF(OR([@PACKAGING_WEIGHT_PER_UNIT_G]="",[@TRANSPORT_WEIGHT_PER_UNIT_G]=""),IF([@PACKAGING_WEIGHT_PER_UNIT_G]="","",[@PACKAGING_WEIGHT_PER_UNIT_G]),[@PACKAGING_WEIGHT_PER_UNIT_G]+[@TRANSPORT_WEIGHT_PER_UNIT_G])</f>
        <v/>
      </c>
      <c r="N39" s="20">
        <f>IF(OR([@TOTAL_WEIGHT_PER_UNIT_G]="",[@QTY_PRODUCT_UNITS]=""),"",[@TOTAL_WEIGHT_PER_UNIT_G]*[@QTY_PRODUCT_UNITS])</f>
        <v/>
      </c>
      <c r="O39" s="20">
        <f>IF([@SHIPMENT_PACKAGING_WEIGHT_G]="","",[@SHIPMENT_PACKAGING_WEIGHT_G]/1000)</f>
        <v/>
      </c>
    </row>
    <row r="40">
      <c r="A40" s="20" t="n">
        <v>39</v>
      </c>
      <c r="B40" s="20">
        <f>IFERROR(INDEX(T_SHIPMENT[SHIPMENT_ID],[@ROW_INDEX]),"")</f>
        <v/>
      </c>
      <c r="C40" s="20">
        <f>IFERROR(INDEX(T_SHIPMENT[SHIPMENT_NUMBER],[@ROW_INDEX]),"")</f>
        <v/>
      </c>
      <c r="D40" s="20">
        <f>IFERROR(INDEX(T_SHIPMENT[QTY_PRODUCT_UNITS],[@ROW_INDEX]),"")</f>
        <v/>
      </c>
      <c r="E40" s="20">
        <f>IFERROR(INDEX(T_SHIPMENT[PACKAGING_CONFIGURATION_ID],[@ROW_INDEX]),"")</f>
        <v/>
      </c>
      <c r="F40" s="20">
        <f>IFERROR(INDEX(T_SHIPMENT[TRANSPORT_CONFIGURATION_ID],[@ROW_INDEX]),"")</f>
        <v/>
      </c>
      <c r="G40" s="20">
        <f>IF([@TRANSPORT_CONFIGURATION_ID]="","",IFERROR(INDEX(T_TRANSPORT_CONFIGURATION[UNITS_PER_LAYER],MATCH([@TRANSPORT_CONFIGURATION_ID],T_TRANSPORT_CONFIGURATION[TRANSPORT_CONFIGURATION_ID],0)),""))</f>
        <v/>
      </c>
      <c r="H40" s="20">
        <f>IF([@TRANSPORT_CONFIGURATION_ID]="","",IFERROR(INDEX(T_TRANSPORT_CONFIGURATION[LAYERS_PER_UNIT],MATCH([@TRANSPORT_CONFIGURATION_ID],T_TRANSPORT_CONFIGURATION[TRANSPORT_CONFIGURATION_ID],0)),""))</f>
        <v/>
      </c>
      <c r="I40" s="20">
        <f>IF([@TRANSPORT_CONFIGURATION_ID]="","",IFERROR(INDEX(T_TRANSPORT_CONFIGURATION[CONTAINER_PAYLOAD_UNITS],MATCH([@TRANSPORT_CONFIGURATION_ID],T_TRANSPORT_CONFIGURATION[TRANSPORT_CONFIGURATION_ID],0)),""))</f>
        <v/>
      </c>
      <c r="J40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0" s="20">
        <f>IF([@PACKAGING_CONFIGURATION_ID]="","",SUMIF(T_ENG_PACKAGING_WEIGHT[PACKAGING_CONFIGURATION_ID],[@PACKAGING_CONFIGURATION_ID],T_ENG_PACKAGING_WEIGHT[LINE_WEIGHT_G]))</f>
        <v/>
      </c>
      <c r="L40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0" s="20">
        <f>IF(OR([@PACKAGING_WEIGHT_PER_UNIT_G]="",[@TRANSPORT_WEIGHT_PER_UNIT_G]=""),IF([@PACKAGING_WEIGHT_PER_UNIT_G]="","",[@PACKAGING_WEIGHT_PER_UNIT_G]),[@PACKAGING_WEIGHT_PER_UNIT_G]+[@TRANSPORT_WEIGHT_PER_UNIT_G])</f>
        <v/>
      </c>
      <c r="N40" s="20">
        <f>IF(OR([@TOTAL_WEIGHT_PER_UNIT_G]="",[@QTY_PRODUCT_UNITS]=""),"",[@TOTAL_WEIGHT_PER_UNIT_G]*[@QTY_PRODUCT_UNITS])</f>
        <v/>
      </c>
      <c r="O40" s="20">
        <f>IF([@SHIPMENT_PACKAGING_WEIGHT_G]="","",[@SHIPMENT_PACKAGING_WEIGHT_G]/1000)</f>
        <v/>
      </c>
    </row>
    <row r="41">
      <c r="A41" s="20" t="n">
        <v>40</v>
      </c>
      <c r="B41" s="20">
        <f>IFERROR(INDEX(T_SHIPMENT[SHIPMENT_ID],[@ROW_INDEX]),"")</f>
        <v/>
      </c>
      <c r="C41" s="20">
        <f>IFERROR(INDEX(T_SHIPMENT[SHIPMENT_NUMBER],[@ROW_INDEX]),"")</f>
        <v/>
      </c>
      <c r="D41" s="20">
        <f>IFERROR(INDEX(T_SHIPMENT[QTY_PRODUCT_UNITS],[@ROW_INDEX]),"")</f>
        <v/>
      </c>
      <c r="E41" s="20">
        <f>IFERROR(INDEX(T_SHIPMENT[PACKAGING_CONFIGURATION_ID],[@ROW_INDEX]),"")</f>
        <v/>
      </c>
      <c r="F41" s="20">
        <f>IFERROR(INDEX(T_SHIPMENT[TRANSPORT_CONFIGURATION_ID],[@ROW_INDEX]),"")</f>
        <v/>
      </c>
      <c r="G41" s="20">
        <f>IF([@TRANSPORT_CONFIGURATION_ID]="","",IFERROR(INDEX(T_TRANSPORT_CONFIGURATION[UNITS_PER_LAYER],MATCH([@TRANSPORT_CONFIGURATION_ID],T_TRANSPORT_CONFIGURATION[TRANSPORT_CONFIGURATION_ID],0)),""))</f>
        <v/>
      </c>
      <c r="H41" s="20">
        <f>IF([@TRANSPORT_CONFIGURATION_ID]="","",IFERROR(INDEX(T_TRANSPORT_CONFIGURATION[LAYERS_PER_UNIT],MATCH([@TRANSPORT_CONFIGURATION_ID],T_TRANSPORT_CONFIGURATION[TRANSPORT_CONFIGURATION_ID],0)),""))</f>
        <v/>
      </c>
      <c r="I41" s="20">
        <f>IF([@TRANSPORT_CONFIGURATION_ID]="","",IFERROR(INDEX(T_TRANSPORT_CONFIGURATION[CONTAINER_PAYLOAD_UNITS],MATCH([@TRANSPORT_CONFIGURATION_ID],T_TRANSPORT_CONFIGURATION[TRANSPORT_CONFIGURATION_ID],0)),""))</f>
        <v/>
      </c>
      <c r="J41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1" s="20">
        <f>IF([@PACKAGING_CONFIGURATION_ID]="","",SUMIF(T_ENG_PACKAGING_WEIGHT[PACKAGING_CONFIGURATION_ID],[@PACKAGING_CONFIGURATION_ID],T_ENG_PACKAGING_WEIGHT[LINE_WEIGHT_G]))</f>
        <v/>
      </c>
      <c r="L41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1" s="20">
        <f>IF(OR([@PACKAGING_WEIGHT_PER_UNIT_G]="",[@TRANSPORT_WEIGHT_PER_UNIT_G]=""),IF([@PACKAGING_WEIGHT_PER_UNIT_G]="","",[@PACKAGING_WEIGHT_PER_UNIT_G]),[@PACKAGING_WEIGHT_PER_UNIT_G]+[@TRANSPORT_WEIGHT_PER_UNIT_G])</f>
        <v/>
      </c>
      <c r="N41" s="20">
        <f>IF(OR([@TOTAL_WEIGHT_PER_UNIT_G]="",[@QTY_PRODUCT_UNITS]=""),"",[@TOTAL_WEIGHT_PER_UNIT_G]*[@QTY_PRODUCT_UNITS])</f>
        <v/>
      </c>
      <c r="O41" s="20">
        <f>IF([@SHIPMENT_PACKAGING_WEIGHT_G]="","",[@SHIPMENT_PACKAGING_WEIGHT_G]/1000)</f>
        <v/>
      </c>
    </row>
    <row r="42">
      <c r="A42" s="20" t="n">
        <v>41</v>
      </c>
      <c r="B42" s="20">
        <f>IFERROR(INDEX(T_SHIPMENT[SHIPMENT_ID],[@ROW_INDEX]),"")</f>
        <v/>
      </c>
      <c r="C42" s="20">
        <f>IFERROR(INDEX(T_SHIPMENT[SHIPMENT_NUMBER],[@ROW_INDEX]),"")</f>
        <v/>
      </c>
      <c r="D42" s="20">
        <f>IFERROR(INDEX(T_SHIPMENT[QTY_PRODUCT_UNITS],[@ROW_INDEX]),"")</f>
        <v/>
      </c>
      <c r="E42" s="20">
        <f>IFERROR(INDEX(T_SHIPMENT[PACKAGING_CONFIGURATION_ID],[@ROW_INDEX]),"")</f>
        <v/>
      </c>
      <c r="F42" s="20">
        <f>IFERROR(INDEX(T_SHIPMENT[TRANSPORT_CONFIGURATION_ID],[@ROW_INDEX]),"")</f>
        <v/>
      </c>
      <c r="G42" s="20">
        <f>IF([@TRANSPORT_CONFIGURATION_ID]="","",IFERROR(INDEX(T_TRANSPORT_CONFIGURATION[UNITS_PER_LAYER],MATCH([@TRANSPORT_CONFIGURATION_ID],T_TRANSPORT_CONFIGURATION[TRANSPORT_CONFIGURATION_ID],0)),""))</f>
        <v/>
      </c>
      <c r="H42" s="20">
        <f>IF([@TRANSPORT_CONFIGURATION_ID]="","",IFERROR(INDEX(T_TRANSPORT_CONFIGURATION[LAYERS_PER_UNIT],MATCH([@TRANSPORT_CONFIGURATION_ID],T_TRANSPORT_CONFIGURATION[TRANSPORT_CONFIGURATION_ID],0)),""))</f>
        <v/>
      </c>
      <c r="I42" s="20">
        <f>IF([@TRANSPORT_CONFIGURATION_ID]="","",IFERROR(INDEX(T_TRANSPORT_CONFIGURATION[CONTAINER_PAYLOAD_UNITS],MATCH([@TRANSPORT_CONFIGURATION_ID],T_TRANSPORT_CONFIGURATION[TRANSPORT_CONFIGURATION_ID],0)),""))</f>
        <v/>
      </c>
      <c r="J42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2" s="20">
        <f>IF([@PACKAGING_CONFIGURATION_ID]="","",SUMIF(T_ENG_PACKAGING_WEIGHT[PACKAGING_CONFIGURATION_ID],[@PACKAGING_CONFIGURATION_ID],T_ENG_PACKAGING_WEIGHT[LINE_WEIGHT_G]))</f>
        <v/>
      </c>
      <c r="L42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2" s="20">
        <f>IF(OR([@PACKAGING_WEIGHT_PER_UNIT_G]="",[@TRANSPORT_WEIGHT_PER_UNIT_G]=""),IF([@PACKAGING_WEIGHT_PER_UNIT_G]="","",[@PACKAGING_WEIGHT_PER_UNIT_G]),[@PACKAGING_WEIGHT_PER_UNIT_G]+[@TRANSPORT_WEIGHT_PER_UNIT_G])</f>
        <v/>
      </c>
      <c r="N42" s="20">
        <f>IF(OR([@TOTAL_WEIGHT_PER_UNIT_G]="",[@QTY_PRODUCT_UNITS]=""),"",[@TOTAL_WEIGHT_PER_UNIT_G]*[@QTY_PRODUCT_UNITS])</f>
        <v/>
      </c>
      <c r="O42" s="20">
        <f>IF([@SHIPMENT_PACKAGING_WEIGHT_G]="","",[@SHIPMENT_PACKAGING_WEIGHT_G]/1000)</f>
        <v/>
      </c>
    </row>
    <row r="43">
      <c r="A43" s="20" t="n">
        <v>42</v>
      </c>
      <c r="B43" s="20">
        <f>IFERROR(INDEX(T_SHIPMENT[SHIPMENT_ID],[@ROW_INDEX]),"")</f>
        <v/>
      </c>
      <c r="C43" s="20">
        <f>IFERROR(INDEX(T_SHIPMENT[SHIPMENT_NUMBER],[@ROW_INDEX]),"")</f>
        <v/>
      </c>
      <c r="D43" s="20">
        <f>IFERROR(INDEX(T_SHIPMENT[QTY_PRODUCT_UNITS],[@ROW_INDEX]),"")</f>
        <v/>
      </c>
      <c r="E43" s="20">
        <f>IFERROR(INDEX(T_SHIPMENT[PACKAGING_CONFIGURATION_ID],[@ROW_INDEX]),"")</f>
        <v/>
      </c>
      <c r="F43" s="20">
        <f>IFERROR(INDEX(T_SHIPMENT[TRANSPORT_CONFIGURATION_ID],[@ROW_INDEX]),"")</f>
        <v/>
      </c>
      <c r="G43" s="20">
        <f>IF([@TRANSPORT_CONFIGURATION_ID]="","",IFERROR(INDEX(T_TRANSPORT_CONFIGURATION[UNITS_PER_LAYER],MATCH([@TRANSPORT_CONFIGURATION_ID],T_TRANSPORT_CONFIGURATION[TRANSPORT_CONFIGURATION_ID],0)),""))</f>
        <v/>
      </c>
      <c r="H43" s="20">
        <f>IF([@TRANSPORT_CONFIGURATION_ID]="","",IFERROR(INDEX(T_TRANSPORT_CONFIGURATION[LAYERS_PER_UNIT],MATCH([@TRANSPORT_CONFIGURATION_ID],T_TRANSPORT_CONFIGURATION[TRANSPORT_CONFIGURATION_ID],0)),""))</f>
        <v/>
      </c>
      <c r="I43" s="20">
        <f>IF([@TRANSPORT_CONFIGURATION_ID]="","",IFERROR(INDEX(T_TRANSPORT_CONFIGURATION[CONTAINER_PAYLOAD_UNITS],MATCH([@TRANSPORT_CONFIGURATION_ID],T_TRANSPORT_CONFIGURATION[TRANSPORT_CONFIGURATION_ID],0)),""))</f>
        <v/>
      </c>
      <c r="J43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3" s="20">
        <f>IF([@PACKAGING_CONFIGURATION_ID]="","",SUMIF(T_ENG_PACKAGING_WEIGHT[PACKAGING_CONFIGURATION_ID],[@PACKAGING_CONFIGURATION_ID],T_ENG_PACKAGING_WEIGHT[LINE_WEIGHT_G]))</f>
        <v/>
      </c>
      <c r="L43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3" s="20">
        <f>IF(OR([@PACKAGING_WEIGHT_PER_UNIT_G]="",[@TRANSPORT_WEIGHT_PER_UNIT_G]=""),IF([@PACKAGING_WEIGHT_PER_UNIT_G]="","",[@PACKAGING_WEIGHT_PER_UNIT_G]),[@PACKAGING_WEIGHT_PER_UNIT_G]+[@TRANSPORT_WEIGHT_PER_UNIT_G])</f>
        <v/>
      </c>
      <c r="N43" s="20">
        <f>IF(OR([@TOTAL_WEIGHT_PER_UNIT_G]="",[@QTY_PRODUCT_UNITS]=""),"",[@TOTAL_WEIGHT_PER_UNIT_G]*[@QTY_PRODUCT_UNITS])</f>
        <v/>
      </c>
      <c r="O43" s="20">
        <f>IF([@SHIPMENT_PACKAGING_WEIGHT_G]="","",[@SHIPMENT_PACKAGING_WEIGHT_G]/1000)</f>
        <v/>
      </c>
    </row>
    <row r="44">
      <c r="A44" s="20" t="n">
        <v>43</v>
      </c>
      <c r="B44" s="20">
        <f>IFERROR(INDEX(T_SHIPMENT[SHIPMENT_ID],[@ROW_INDEX]),"")</f>
        <v/>
      </c>
      <c r="C44" s="20">
        <f>IFERROR(INDEX(T_SHIPMENT[SHIPMENT_NUMBER],[@ROW_INDEX]),"")</f>
        <v/>
      </c>
      <c r="D44" s="20">
        <f>IFERROR(INDEX(T_SHIPMENT[QTY_PRODUCT_UNITS],[@ROW_INDEX]),"")</f>
        <v/>
      </c>
      <c r="E44" s="20">
        <f>IFERROR(INDEX(T_SHIPMENT[PACKAGING_CONFIGURATION_ID],[@ROW_INDEX]),"")</f>
        <v/>
      </c>
      <c r="F44" s="20">
        <f>IFERROR(INDEX(T_SHIPMENT[TRANSPORT_CONFIGURATION_ID],[@ROW_INDEX]),"")</f>
        <v/>
      </c>
      <c r="G44" s="20">
        <f>IF([@TRANSPORT_CONFIGURATION_ID]="","",IFERROR(INDEX(T_TRANSPORT_CONFIGURATION[UNITS_PER_LAYER],MATCH([@TRANSPORT_CONFIGURATION_ID],T_TRANSPORT_CONFIGURATION[TRANSPORT_CONFIGURATION_ID],0)),""))</f>
        <v/>
      </c>
      <c r="H44" s="20">
        <f>IF([@TRANSPORT_CONFIGURATION_ID]="","",IFERROR(INDEX(T_TRANSPORT_CONFIGURATION[LAYERS_PER_UNIT],MATCH([@TRANSPORT_CONFIGURATION_ID],T_TRANSPORT_CONFIGURATION[TRANSPORT_CONFIGURATION_ID],0)),""))</f>
        <v/>
      </c>
      <c r="I44" s="20">
        <f>IF([@TRANSPORT_CONFIGURATION_ID]="","",IFERROR(INDEX(T_TRANSPORT_CONFIGURATION[CONTAINER_PAYLOAD_UNITS],MATCH([@TRANSPORT_CONFIGURATION_ID],T_TRANSPORT_CONFIGURATION[TRANSPORT_CONFIGURATION_ID],0)),""))</f>
        <v/>
      </c>
      <c r="J44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4" s="20">
        <f>IF([@PACKAGING_CONFIGURATION_ID]="","",SUMIF(T_ENG_PACKAGING_WEIGHT[PACKAGING_CONFIGURATION_ID],[@PACKAGING_CONFIGURATION_ID],T_ENG_PACKAGING_WEIGHT[LINE_WEIGHT_G]))</f>
        <v/>
      </c>
      <c r="L44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4" s="20">
        <f>IF(OR([@PACKAGING_WEIGHT_PER_UNIT_G]="",[@TRANSPORT_WEIGHT_PER_UNIT_G]=""),IF([@PACKAGING_WEIGHT_PER_UNIT_G]="","",[@PACKAGING_WEIGHT_PER_UNIT_G]),[@PACKAGING_WEIGHT_PER_UNIT_G]+[@TRANSPORT_WEIGHT_PER_UNIT_G])</f>
        <v/>
      </c>
      <c r="N44" s="20">
        <f>IF(OR([@TOTAL_WEIGHT_PER_UNIT_G]="",[@QTY_PRODUCT_UNITS]=""),"",[@TOTAL_WEIGHT_PER_UNIT_G]*[@QTY_PRODUCT_UNITS])</f>
        <v/>
      </c>
      <c r="O44" s="20">
        <f>IF([@SHIPMENT_PACKAGING_WEIGHT_G]="","",[@SHIPMENT_PACKAGING_WEIGHT_G]/1000)</f>
        <v/>
      </c>
    </row>
    <row r="45">
      <c r="A45" s="20" t="n">
        <v>44</v>
      </c>
      <c r="B45" s="20">
        <f>IFERROR(INDEX(T_SHIPMENT[SHIPMENT_ID],[@ROW_INDEX]),"")</f>
        <v/>
      </c>
      <c r="C45" s="20">
        <f>IFERROR(INDEX(T_SHIPMENT[SHIPMENT_NUMBER],[@ROW_INDEX]),"")</f>
        <v/>
      </c>
      <c r="D45" s="20">
        <f>IFERROR(INDEX(T_SHIPMENT[QTY_PRODUCT_UNITS],[@ROW_INDEX]),"")</f>
        <v/>
      </c>
      <c r="E45" s="20">
        <f>IFERROR(INDEX(T_SHIPMENT[PACKAGING_CONFIGURATION_ID],[@ROW_INDEX]),"")</f>
        <v/>
      </c>
      <c r="F45" s="20">
        <f>IFERROR(INDEX(T_SHIPMENT[TRANSPORT_CONFIGURATION_ID],[@ROW_INDEX]),"")</f>
        <v/>
      </c>
      <c r="G45" s="20">
        <f>IF([@TRANSPORT_CONFIGURATION_ID]="","",IFERROR(INDEX(T_TRANSPORT_CONFIGURATION[UNITS_PER_LAYER],MATCH([@TRANSPORT_CONFIGURATION_ID],T_TRANSPORT_CONFIGURATION[TRANSPORT_CONFIGURATION_ID],0)),""))</f>
        <v/>
      </c>
      <c r="H45" s="20">
        <f>IF([@TRANSPORT_CONFIGURATION_ID]="","",IFERROR(INDEX(T_TRANSPORT_CONFIGURATION[LAYERS_PER_UNIT],MATCH([@TRANSPORT_CONFIGURATION_ID],T_TRANSPORT_CONFIGURATION[TRANSPORT_CONFIGURATION_ID],0)),""))</f>
        <v/>
      </c>
      <c r="I45" s="20">
        <f>IF([@TRANSPORT_CONFIGURATION_ID]="","",IFERROR(INDEX(T_TRANSPORT_CONFIGURATION[CONTAINER_PAYLOAD_UNITS],MATCH([@TRANSPORT_CONFIGURATION_ID],T_TRANSPORT_CONFIGURATION[TRANSPORT_CONFIGURATION_ID],0)),""))</f>
        <v/>
      </c>
      <c r="J45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5" s="20">
        <f>IF([@PACKAGING_CONFIGURATION_ID]="","",SUMIF(T_ENG_PACKAGING_WEIGHT[PACKAGING_CONFIGURATION_ID],[@PACKAGING_CONFIGURATION_ID],T_ENG_PACKAGING_WEIGHT[LINE_WEIGHT_G]))</f>
        <v/>
      </c>
      <c r="L45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5" s="20">
        <f>IF(OR([@PACKAGING_WEIGHT_PER_UNIT_G]="",[@TRANSPORT_WEIGHT_PER_UNIT_G]=""),IF([@PACKAGING_WEIGHT_PER_UNIT_G]="","",[@PACKAGING_WEIGHT_PER_UNIT_G]),[@PACKAGING_WEIGHT_PER_UNIT_G]+[@TRANSPORT_WEIGHT_PER_UNIT_G])</f>
        <v/>
      </c>
      <c r="N45" s="20">
        <f>IF(OR([@TOTAL_WEIGHT_PER_UNIT_G]="",[@QTY_PRODUCT_UNITS]=""),"",[@TOTAL_WEIGHT_PER_UNIT_G]*[@QTY_PRODUCT_UNITS])</f>
        <v/>
      </c>
      <c r="O45" s="20">
        <f>IF([@SHIPMENT_PACKAGING_WEIGHT_G]="","",[@SHIPMENT_PACKAGING_WEIGHT_G]/1000)</f>
        <v/>
      </c>
    </row>
    <row r="46">
      <c r="A46" s="20" t="n">
        <v>45</v>
      </c>
      <c r="B46" s="20">
        <f>IFERROR(INDEX(T_SHIPMENT[SHIPMENT_ID],[@ROW_INDEX]),"")</f>
        <v/>
      </c>
      <c r="C46" s="20">
        <f>IFERROR(INDEX(T_SHIPMENT[SHIPMENT_NUMBER],[@ROW_INDEX]),"")</f>
        <v/>
      </c>
      <c r="D46" s="20">
        <f>IFERROR(INDEX(T_SHIPMENT[QTY_PRODUCT_UNITS],[@ROW_INDEX]),"")</f>
        <v/>
      </c>
      <c r="E46" s="20">
        <f>IFERROR(INDEX(T_SHIPMENT[PACKAGING_CONFIGURATION_ID],[@ROW_INDEX]),"")</f>
        <v/>
      </c>
      <c r="F46" s="20">
        <f>IFERROR(INDEX(T_SHIPMENT[TRANSPORT_CONFIGURATION_ID],[@ROW_INDEX]),"")</f>
        <v/>
      </c>
      <c r="G46" s="20">
        <f>IF([@TRANSPORT_CONFIGURATION_ID]="","",IFERROR(INDEX(T_TRANSPORT_CONFIGURATION[UNITS_PER_LAYER],MATCH([@TRANSPORT_CONFIGURATION_ID],T_TRANSPORT_CONFIGURATION[TRANSPORT_CONFIGURATION_ID],0)),""))</f>
        <v/>
      </c>
      <c r="H46" s="20">
        <f>IF([@TRANSPORT_CONFIGURATION_ID]="","",IFERROR(INDEX(T_TRANSPORT_CONFIGURATION[LAYERS_PER_UNIT],MATCH([@TRANSPORT_CONFIGURATION_ID],T_TRANSPORT_CONFIGURATION[TRANSPORT_CONFIGURATION_ID],0)),""))</f>
        <v/>
      </c>
      <c r="I46" s="20">
        <f>IF([@TRANSPORT_CONFIGURATION_ID]="","",IFERROR(INDEX(T_TRANSPORT_CONFIGURATION[CONTAINER_PAYLOAD_UNITS],MATCH([@TRANSPORT_CONFIGURATION_ID],T_TRANSPORT_CONFIGURATION[TRANSPORT_CONFIGURATION_ID],0)),""))</f>
        <v/>
      </c>
      <c r="J46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6" s="20">
        <f>IF([@PACKAGING_CONFIGURATION_ID]="","",SUMIF(T_ENG_PACKAGING_WEIGHT[PACKAGING_CONFIGURATION_ID],[@PACKAGING_CONFIGURATION_ID],T_ENG_PACKAGING_WEIGHT[LINE_WEIGHT_G]))</f>
        <v/>
      </c>
      <c r="L46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6" s="20">
        <f>IF(OR([@PACKAGING_WEIGHT_PER_UNIT_G]="",[@TRANSPORT_WEIGHT_PER_UNIT_G]=""),IF([@PACKAGING_WEIGHT_PER_UNIT_G]="","",[@PACKAGING_WEIGHT_PER_UNIT_G]),[@PACKAGING_WEIGHT_PER_UNIT_G]+[@TRANSPORT_WEIGHT_PER_UNIT_G])</f>
        <v/>
      </c>
      <c r="N46" s="20">
        <f>IF(OR([@TOTAL_WEIGHT_PER_UNIT_G]="",[@QTY_PRODUCT_UNITS]=""),"",[@TOTAL_WEIGHT_PER_UNIT_G]*[@QTY_PRODUCT_UNITS])</f>
        <v/>
      </c>
      <c r="O46" s="20">
        <f>IF([@SHIPMENT_PACKAGING_WEIGHT_G]="","",[@SHIPMENT_PACKAGING_WEIGHT_G]/1000)</f>
        <v/>
      </c>
    </row>
    <row r="47">
      <c r="A47" s="20" t="n">
        <v>46</v>
      </c>
      <c r="B47" s="20">
        <f>IFERROR(INDEX(T_SHIPMENT[SHIPMENT_ID],[@ROW_INDEX]),"")</f>
        <v/>
      </c>
      <c r="C47" s="20">
        <f>IFERROR(INDEX(T_SHIPMENT[SHIPMENT_NUMBER],[@ROW_INDEX]),"")</f>
        <v/>
      </c>
      <c r="D47" s="20">
        <f>IFERROR(INDEX(T_SHIPMENT[QTY_PRODUCT_UNITS],[@ROW_INDEX]),"")</f>
        <v/>
      </c>
      <c r="E47" s="20">
        <f>IFERROR(INDEX(T_SHIPMENT[PACKAGING_CONFIGURATION_ID],[@ROW_INDEX]),"")</f>
        <v/>
      </c>
      <c r="F47" s="20">
        <f>IFERROR(INDEX(T_SHIPMENT[TRANSPORT_CONFIGURATION_ID],[@ROW_INDEX]),"")</f>
        <v/>
      </c>
      <c r="G47" s="20">
        <f>IF([@TRANSPORT_CONFIGURATION_ID]="","",IFERROR(INDEX(T_TRANSPORT_CONFIGURATION[UNITS_PER_LAYER],MATCH([@TRANSPORT_CONFIGURATION_ID],T_TRANSPORT_CONFIGURATION[TRANSPORT_CONFIGURATION_ID],0)),""))</f>
        <v/>
      </c>
      <c r="H47" s="20">
        <f>IF([@TRANSPORT_CONFIGURATION_ID]="","",IFERROR(INDEX(T_TRANSPORT_CONFIGURATION[LAYERS_PER_UNIT],MATCH([@TRANSPORT_CONFIGURATION_ID],T_TRANSPORT_CONFIGURATION[TRANSPORT_CONFIGURATION_ID],0)),""))</f>
        <v/>
      </c>
      <c r="I47" s="20">
        <f>IF([@TRANSPORT_CONFIGURATION_ID]="","",IFERROR(INDEX(T_TRANSPORT_CONFIGURATION[CONTAINER_PAYLOAD_UNITS],MATCH([@TRANSPORT_CONFIGURATION_ID],T_TRANSPORT_CONFIGURATION[TRANSPORT_CONFIGURATION_ID],0)),""))</f>
        <v/>
      </c>
      <c r="J47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7" s="20">
        <f>IF([@PACKAGING_CONFIGURATION_ID]="","",SUMIF(T_ENG_PACKAGING_WEIGHT[PACKAGING_CONFIGURATION_ID],[@PACKAGING_CONFIGURATION_ID],T_ENG_PACKAGING_WEIGHT[LINE_WEIGHT_G]))</f>
        <v/>
      </c>
      <c r="L47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7" s="20">
        <f>IF(OR([@PACKAGING_WEIGHT_PER_UNIT_G]="",[@TRANSPORT_WEIGHT_PER_UNIT_G]=""),IF([@PACKAGING_WEIGHT_PER_UNIT_G]="","",[@PACKAGING_WEIGHT_PER_UNIT_G]),[@PACKAGING_WEIGHT_PER_UNIT_G]+[@TRANSPORT_WEIGHT_PER_UNIT_G])</f>
        <v/>
      </c>
      <c r="N47" s="20">
        <f>IF(OR([@TOTAL_WEIGHT_PER_UNIT_G]="",[@QTY_PRODUCT_UNITS]=""),"",[@TOTAL_WEIGHT_PER_UNIT_G]*[@QTY_PRODUCT_UNITS])</f>
        <v/>
      </c>
      <c r="O47" s="20">
        <f>IF([@SHIPMENT_PACKAGING_WEIGHT_G]="","",[@SHIPMENT_PACKAGING_WEIGHT_G]/1000)</f>
        <v/>
      </c>
    </row>
    <row r="48">
      <c r="A48" s="20" t="n">
        <v>47</v>
      </c>
      <c r="B48" s="20">
        <f>IFERROR(INDEX(T_SHIPMENT[SHIPMENT_ID],[@ROW_INDEX]),"")</f>
        <v/>
      </c>
      <c r="C48" s="20">
        <f>IFERROR(INDEX(T_SHIPMENT[SHIPMENT_NUMBER],[@ROW_INDEX]),"")</f>
        <v/>
      </c>
      <c r="D48" s="20">
        <f>IFERROR(INDEX(T_SHIPMENT[QTY_PRODUCT_UNITS],[@ROW_INDEX]),"")</f>
        <v/>
      </c>
      <c r="E48" s="20">
        <f>IFERROR(INDEX(T_SHIPMENT[PACKAGING_CONFIGURATION_ID],[@ROW_INDEX]),"")</f>
        <v/>
      </c>
      <c r="F48" s="20">
        <f>IFERROR(INDEX(T_SHIPMENT[TRANSPORT_CONFIGURATION_ID],[@ROW_INDEX]),"")</f>
        <v/>
      </c>
      <c r="G48" s="20">
        <f>IF([@TRANSPORT_CONFIGURATION_ID]="","",IFERROR(INDEX(T_TRANSPORT_CONFIGURATION[UNITS_PER_LAYER],MATCH([@TRANSPORT_CONFIGURATION_ID],T_TRANSPORT_CONFIGURATION[TRANSPORT_CONFIGURATION_ID],0)),""))</f>
        <v/>
      </c>
      <c r="H48" s="20">
        <f>IF([@TRANSPORT_CONFIGURATION_ID]="","",IFERROR(INDEX(T_TRANSPORT_CONFIGURATION[LAYERS_PER_UNIT],MATCH([@TRANSPORT_CONFIGURATION_ID],T_TRANSPORT_CONFIGURATION[TRANSPORT_CONFIGURATION_ID],0)),""))</f>
        <v/>
      </c>
      <c r="I48" s="20">
        <f>IF([@TRANSPORT_CONFIGURATION_ID]="","",IFERROR(INDEX(T_TRANSPORT_CONFIGURATION[CONTAINER_PAYLOAD_UNITS],MATCH([@TRANSPORT_CONFIGURATION_ID],T_TRANSPORT_CONFIGURATION[TRANSPORT_CONFIGURATION_ID],0)),""))</f>
        <v/>
      </c>
      <c r="J48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8" s="20">
        <f>IF([@PACKAGING_CONFIGURATION_ID]="","",SUMIF(T_ENG_PACKAGING_WEIGHT[PACKAGING_CONFIGURATION_ID],[@PACKAGING_CONFIGURATION_ID],T_ENG_PACKAGING_WEIGHT[LINE_WEIGHT_G]))</f>
        <v/>
      </c>
      <c r="L48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8" s="20">
        <f>IF(OR([@PACKAGING_WEIGHT_PER_UNIT_G]="",[@TRANSPORT_WEIGHT_PER_UNIT_G]=""),IF([@PACKAGING_WEIGHT_PER_UNIT_G]="","",[@PACKAGING_WEIGHT_PER_UNIT_G]),[@PACKAGING_WEIGHT_PER_UNIT_G]+[@TRANSPORT_WEIGHT_PER_UNIT_G])</f>
        <v/>
      </c>
      <c r="N48" s="20">
        <f>IF(OR([@TOTAL_WEIGHT_PER_UNIT_G]="",[@QTY_PRODUCT_UNITS]=""),"",[@TOTAL_WEIGHT_PER_UNIT_G]*[@QTY_PRODUCT_UNITS])</f>
        <v/>
      </c>
      <c r="O48" s="20">
        <f>IF([@SHIPMENT_PACKAGING_WEIGHT_G]="","",[@SHIPMENT_PACKAGING_WEIGHT_G]/1000)</f>
        <v/>
      </c>
    </row>
    <row r="49">
      <c r="A49" s="20" t="n">
        <v>48</v>
      </c>
      <c r="B49" s="20">
        <f>IFERROR(INDEX(T_SHIPMENT[SHIPMENT_ID],[@ROW_INDEX]),"")</f>
        <v/>
      </c>
      <c r="C49" s="20">
        <f>IFERROR(INDEX(T_SHIPMENT[SHIPMENT_NUMBER],[@ROW_INDEX]),"")</f>
        <v/>
      </c>
      <c r="D49" s="20">
        <f>IFERROR(INDEX(T_SHIPMENT[QTY_PRODUCT_UNITS],[@ROW_INDEX]),"")</f>
        <v/>
      </c>
      <c r="E49" s="20">
        <f>IFERROR(INDEX(T_SHIPMENT[PACKAGING_CONFIGURATION_ID],[@ROW_INDEX]),"")</f>
        <v/>
      </c>
      <c r="F49" s="20">
        <f>IFERROR(INDEX(T_SHIPMENT[TRANSPORT_CONFIGURATION_ID],[@ROW_INDEX]),"")</f>
        <v/>
      </c>
      <c r="G49" s="20">
        <f>IF([@TRANSPORT_CONFIGURATION_ID]="","",IFERROR(INDEX(T_TRANSPORT_CONFIGURATION[UNITS_PER_LAYER],MATCH([@TRANSPORT_CONFIGURATION_ID],T_TRANSPORT_CONFIGURATION[TRANSPORT_CONFIGURATION_ID],0)),""))</f>
        <v/>
      </c>
      <c r="H49" s="20">
        <f>IF([@TRANSPORT_CONFIGURATION_ID]="","",IFERROR(INDEX(T_TRANSPORT_CONFIGURATION[LAYERS_PER_UNIT],MATCH([@TRANSPORT_CONFIGURATION_ID],T_TRANSPORT_CONFIGURATION[TRANSPORT_CONFIGURATION_ID],0)),""))</f>
        <v/>
      </c>
      <c r="I49" s="20">
        <f>IF([@TRANSPORT_CONFIGURATION_ID]="","",IFERROR(INDEX(T_TRANSPORT_CONFIGURATION[CONTAINER_PAYLOAD_UNITS],MATCH([@TRANSPORT_CONFIGURATION_ID],T_TRANSPORT_CONFIGURATION[TRANSPORT_CONFIGURATION_ID],0)),""))</f>
        <v/>
      </c>
      <c r="J49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49" s="20">
        <f>IF([@PACKAGING_CONFIGURATION_ID]="","",SUMIF(T_ENG_PACKAGING_WEIGHT[PACKAGING_CONFIGURATION_ID],[@PACKAGING_CONFIGURATION_ID],T_ENG_PACKAGING_WEIGHT[LINE_WEIGHT_G]))</f>
        <v/>
      </c>
      <c r="L49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49" s="20">
        <f>IF(OR([@PACKAGING_WEIGHT_PER_UNIT_G]="",[@TRANSPORT_WEIGHT_PER_UNIT_G]=""),IF([@PACKAGING_WEIGHT_PER_UNIT_G]="","",[@PACKAGING_WEIGHT_PER_UNIT_G]),[@PACKAGING_WEIGHT_PER_UNIT_G]+[@TRANSPORT_WEIGHT_PER_UNIT_G])</f>
        <v/>
      </c>
      <c r="N49" s="20">
        <f>IF(OR([@TOTAL_WEIGHT_PER_UNIT_G]="",[@QTY_PRODUCT_UNITS]=""),"",[@TOTAL_WEIGHT_PER_UNIT_G]*[@QTY_PRODUCT_UNITS])</f>
        <v/>
      </c>
      <c r="O49" s="20">
        <f>IF([@SHIPMENT_PACKAGING_WEIGHT_G]="","",[@SHIPMENT_PACKAGING_WEIGHT_G]/1000)</f>
        <v/>
      </c>
    </row>
    <row r="50">
      <c r="A50" s="20" t="n">
        <v>49</v>
      </c>
      <c r="B50" s="20">
        <f>IFERROR(INDEX(T_SHIPMENT[SHIPMENT_ID],[@ROW_INDEX]),"")</f>
        <v/>
      </c>
      <c r="C50" s="20">
        <f>IFERROR(INDEX(T_SHIPMENT[SHIPMENT_NUMBER],[@ROW_INDEX]),"")</f>
        <v/>
      </c>
      <c r="D50" s="20">
        <f>IFERROR(INDEX(T_SHIPMENT[QTY_PRODUCT_UNITS],[@ROW_INDEX]),"")</f>
        <v/>
      </c>
      <c r="E50" s="20">
        <f>IFERROR(INDEX(T_SHIPMENT[PACKAGING_CONFIGURATION_ID],[@ROW_INDEX]),"")</f>
        <v/>
      </c>
      <c r="F50" s="20">
        <f>IFERROR(INDEX(T_SHIPMENT[TRANSPORT_CONFIGURATION_ID],[@ROW_INDEX]),"")</f>
        <v/>
      </c>
      <c r="G50" s="20">
        <f>IF([@TRANSPORT_CONFIGURATION_ID]="","",IFERROR(INDEX(T_TRANSPORT_CONFIGURATION[UNITS_PER_LAYER],MATCH([@TRANSPORT_CONFIGURATION_ID],T_TRANSPORT_CONFIGURATION[TRANSPORT_CONFIGURATION_ID],0)),""))</f>
        <v/>
      </c>
      <c r="H50" s="20">
        <f>IF([@TRANSPORT_CONFIGURATION_ID]="","",IFERROR(INDEX(T_TRANSPORT_CONFIGURATION[LAYERS_PER_UNIT],MATCH([@TRANSPORT_CONFIGURATION_ID],T_TRANSPORT_CONFIGURATION[TRANSPORT_CONFIGURATION_ID],0)),""))</f>
        <v/>
      </c>
      <c r="I50" s="20">
        <f>IF([@TRANSPORT_CONFIGURATION_ID]="","",IFERROR(INDEX(T_TRANSPORT_CONFIGURATION[CONTAINER_PAYLOAD_UNITS],MATCH([@TRANSPORT_CONFIGURATION_ID],T_TRANSPORT_CONFIGURATION[TRANSPORT_CONFIGURATION_ID],0)),""))</f>
        <v/>
      </c>
      <c r="J50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50" s="20">
        <f>IF([@PACKAGING_CONFIGURATION_ID]="","",SUMIF(T_ENG_PACKAGING_WEIGHT[PACKAGING_CONFIGURATION_ID],[@PACKAGING_CONFIGURATION_ID],T_ENG_PACKAGING_WEIGHT[LINE_WEIGHT_G]))</f>
        <v/>
      </c>
      <c r="L50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50" s="20">
        <f>IF(OR([@PACKAGING_WEIGHT_PER_UNIT_G]="",[@TRANSPORT_WEIGHT_PER_UNIT_G]=""),IF([@PACKAGING_WEIGHT_PER_UNIT_G]="","",[@PACKAGING_WEIGHT_PER_UNIT_G]),[@PACKAGING_WEIGHT_PER_UNIT_G]+[@TRANSPORT_WEIGHT_PER_UNIT_G])</f>
        <v/>
      </c>
      <c r="N50" s="20">
        <f>IF(OR([@TOTAL_WEIGHT_PER_UNIT_G]="",[@QTY_PRODUCT_UNITS]=""),"",[@TOTAL_WEIGHT_PER_UNIT_G]*[@QTY_PRODUCT_UNITS])</f>
        <v/>
      </c>
      <c r="O50" s="20">
        <f>IF([@SHIPMENT_PACKAGING_WEIGHT_G]="","",[@SHIPMENT_PACKAGING_WEIGHT_G]/1000)</f>
        <v/>
      </c>
    </row>
    <row r="51">
      <c r="A51" s="20" t="n">
        <v>50</v>
      </c>
      <c r="B51" s="20">
        <f>IFERROR(INDEX(T_SHIPMENT[SHIPMENT_ID],[@ROW_INDEX]),"")</f>
        <v/>
      </c>
      <c r="C51" s="20">
        <f>IFERROR(INDEX(T_SHIPMENT[SHIPMENT_NUMBER],[@ROW_INDEX]),"")</f>
        <v/>
      </c>
      <c r="D51" s="20">
        <f>IFERROR(INDEX(T_SHIPMENT[QTY_PRODUCT_UNITS],[@ROW_INDEX]),"")</f>
        <v/>
      </c>
      <c r="E51" s="20">
        <f>IFERROR(INDEX(T_SHIPMENT[PACKAGING_CONFIGURATION_ID],[@ROW_INDEX]),"")</f>
        <v/>
      </c>
      <c r="F51" s="20">
        <f>IFERROR(INDEX(T_SHIPMENT[TRANSPORT_CONFIGURATION_ID],[@ROW_INDEX]),"")</f>
        <v/>
      </c>
      <c r="G51" s="20">
        <f>IF([@TRANSPORT_CONFIGURATION_ID]="","",IFERROR(INDEX(T_TRANSPORT_CONFIGURATION[UNITS_PER_LAYER],MATCH([@TRANSPORT_CONFIGURATION_ID],T_TRANSPORT_CONFIGURATION[TRANSPORT_CONFIGURATION_ID],0)),""))</f>
        <v/>
      </c>
      <c r="H51" s="20">
        <f>IF([@TRANSPORT_CONFIGURATION_ID]="","",IFERROR(INDEX(T_TRANSPORT_CONFIGURATION[LAYERS_PER_UNIT],MATCH([@TRANSPORT_CONFIGURATION_ID],T_TRANSPORT_CONFIGURATION[TRANSPORT_CONFIGURATION_ID],0)),""))</f>
        <v/>
      </c>
      <c r="I51" s="20">
        <f>IF([@TRANSPORT_CONFIGURATION_ID]="","",IFERROR(INDEX(T_TRANSPORT_CONFIGURATION[CONTAINER_PAYLOAD_UNITS],MATCH([@TRANSPORT_CONFIGURATION_ID],T_TRANSPORT_CONFIGURATION[TRANSPORT_CONFIGURATION_ID],0)),""))</f>
        <v/>
      </c>
      <c r="J51" s="20">
        <f>IF([@TRANSPORT_CONFIGURATION_ID]="","",IF(AND(ISNUMBER([@UNITS_PER_LAYER]),ISNUMBER([@LAYERS_PER_UNIT]),[@UNITS_PER_LAYER]&gt;0,[@LAYERS_PER_UNIT]&gt;0),[@UNITS_PER_LAYER]*[@LAYERS_PER_UNIT],IF(AND(ISNUMBER([@CONTAINER_PAYLOAD_UNITS]),[@CONTAINER_PAYLOAD_UNITS]&gt;0),[@CONTAINER_PAYLOAD_UNITS],"")))</f>
        <v/>
      </c>
      <c r="K51" s="20">
        <f>IF([@PACKAGING_CONFIGURATION_ID]="","",SUMIF(T_ENG_PACKAGING_WEIGHT[PACKAGING_CONFIGURATION_ID],[@PACKAGING_CONFIGURATION_ID],T_ENG_PACKAGING_WEIGHT[LINE_WEIGHT_G]))</f>
        <v/>
      </c>
      <c r="L51" s="20">
        <f>IF(OR([@TRANSPORT_CONFIGURATION_ID]="",[@UNITS_PER_TRANSPORT_UNIT]=""),"",IFERROR(SUMIF(T_ENG_TRANSPORT_WEIGHT[TRANSPORT_CONFIGURATION_ID],[@TRANSPORT_CONFIGURATION_ID],T_ENG_TRANSPORT_WEIGHT[LINE_WEIGHT_G])/[@UNITS_PER_TRANSPORT_UNIT],""))</f>
        <v/>
      </c>
      <c r="M51" s="20">
        <f>IF(OR([@PACKAGING_WEIGHT_PER_UNIT_G]="",[@TRANSPORT_WEIGHT_PER_UNIT_G]=""),IF([@PACKAGING_WEIGHT_PER_UNIT_G]="","",[@PACKAGING_WEIGHT_PER_UNIT_G]),[@PACKAGING_WEIGHT_PER_UNIT_G]+[@TRANSPORT_WEIGHT_PER_UNIT_G])</f>
        <v/>
      </c>
      <c r="N51" s="20">
        <f>IF(OR([@TOTAL_WEIGHT_PER_UNIT_G]="",[@QTY_PRODUCT_UNITS]=""),"",[@TOTAL_WEIGHT_PER_UNIT_G]*[@QTY_PRODUCT_UNITS])</f>
        <v/>
      </c>
      <c r="O51" s="20">
        <f>IF([@SHIPMENT_PACKAGING_WEIGHT_G]="","",[@SHIPMENT_PACKAGING_WEIGHT_G]/1000)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Q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7" customWidth="1" min="3" max="3"/>
    <col width="28" customWidth="1" min="4" max="4"/>
    <col width="29" customWidth="1" min="5" max="5"/>
  </cols>
  <sheetData>
    <row r="1">
      <c r="A1" s="12" t="inlineStr">
        <is>
          <t>MATERIAL_FAMILY_CODE</t>
        </is>
      </c>
      <c r="B1" s="12" t="inlineStr">
        <is>
          <t>LINE_COUNT</t>
        </is>
      </c>
      <c r="C1" s="12" t="inlineStr">
        <is>
          <t>TOTAL_MATERIAL_WEIGHT_G</t>
        </is>
      </c>
      <c r="D1" s="12" t="inlineStr">
        <is>
          <t>TOTAL_MATERIAL_WEIGHT_KG</t>
        </is>
      </c>
      <c r="E1" s="12" t="inlineStr">
        <is>
          <t>SHARE_OF_ALL_MATERIAL_PCT</t>
        </is>
      </c>
      <c r="G1" s="19" t="inlineStr">
        <is>
          <t>Dashboard</t>
        </is>
      </c>
    </row>
    <row r="2">
      <c r="A2" s="20" t="inlineStr">
        <is>
          <t>PLASTIC</t>
        </is>
      </c>
      <c r="B2" s="20">
        <f>COUNTIF(T_ENG_MATERIAL_WEIGHT[MATERIAL_FAMILY_CODE],"=PLASTIC")</f>
        <v/>
      </c>
      <c r="C2" s="20">
        <f>SUMIF(T_ENG_MATERIAL_WEIGHT[MATERIAL_FAMILY_CODE],[@MATERIAL_FAMILY_CODE],T_ENG_MATERIAL_WEIGHT[MATERIAL_WEIGHT_G])</f>
        <v/>
      </c>
      <c r="D2" s="20">
        <f>IF([@TOTAL_MATERIAL_WEIGHT_G]="","",[@TOTAL_MATERIAL_WEIGHT_G]/1000)</f>
        <v/>
      </c>
      <c r="E2" s="20">
        <f>IF(OR([@TOTAL_MATERIAL_WEIGHT_G]="",SUM(T_ENG_MATERIAL_WEIGHT[MATERIAL_WEIGHT_G])=0),"",[@TOTAL_MATERIAL_WEIGHT_G]/SUM(T_ENG_MATERIAL_WEIGHT[MATERIAL_WEIGHT_G])*100)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7" customWidth="1" min="3" max="3"/>
    <col width="28" customWidth="1" min="4" max="4"/>
    <col width="29" customWidth="1" min="5" max="5"/>
  </cols>
  <sheetData>
    <row r="1">
      <c r="A1" s="12" t="inlineStr">
        <is>
          <t>MATERIAL_FAMILY_CODE</t>
        </is>
      </c>
      <c r="B1" s="12" t="inlineStr">
        <is>
          <t>LINE_COUNT</t>
        </is>
      </c>
      <c r="C1" s="12" t="inlineStr">
        <is>
          <t>TOTAL_MATERIAL_WEIGHT_G</t>
        </is>
      </c>
      <c r="D1" s="12" t="inlineStr">
        <is>
          <t>TOTAL_MATERIAL_WEIGHT_KG</t>
        </is>
      </c>
      <c r="E1" s="12" t="inlineStr">
        <is>
          <t>SHARE_OF_ALL_MATERIAL_PCT</t>
        </is>
      </c>
      <c r="G1" s="19" t="inlineStr">
        <is>
          <t>Dashboard</t>
        </is>
      </c>
    </row>
    <row r="2">
      <c r="A2" s="20" t="inlineStr">
        <is>
          <t>PAPER</t>
        </is>
      </c>
      <c r="B2" s="20">
        <f>COUNTIF(T_ENG_MATERIAL_WEIGHT[MATERIAL_FAMILY_CODE],"=PAPER")</f>
        <v/>
      </c>
      <c r="C2" s="20">
        <f>SUMIF(T_ENG_MATERIAL_WEIGHT[MATERIAL_FAMILY_CODE],[@MATERIAL_FAMILY_CODE],T_ENG_MATERIAL_WEIGHT[MATERIAL_WEIGHT_G])</f>
        <v/>
      </c>
      <c r="D2" s="20">
        <f>IF([@TOTAL_MATERIAL_WEIGHT_G]="","",[@TOTAL_MATERIAL_WEIGHT_G]/1000)</f>
        <v/>
      </c>
      <c r="E2" s="20">
        <f>IF(OR([@TOTAL_MATERIAL_WEIGHT_G]="",SUM(T_ENG_MATERIAL_WEIGHT[MATERIAL_WEIGHT_G])=0),"",[@TOTAL_MATERIAL_WEIGHT_G]/SUM(T_ENG_MATERIAL_WEIGHT[MATERIAL_WEIGHT_G])*100)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7" customWidth="1" min="3" max="3"/>
    <col width="28" customWidth="1" min="4" max="4"/>
    <col width="29" customWidth="1" min="5" max="5"/>
  </cols>
  <sheetData>
    <row r="1">
      <c r="A1" s="12" t="inlineStr">
        <is>
          <t>MATERIAL_FAMILY_CODE</t>
        </is>
      </c>
      <c r="B1" s="12" t="inlineStr">
        <is>
          <t>LINE_COUNT</t>
        </is>
      </c>
      <c r="C1" s="12" t="inlineStr">
        <is>
          <t>TOTAL_MATERIAL_WEIGHT_G</t>
        </is>
      </c>
      <c r="D1" s="12" t="inlineStr">
        <is>
          <t>TOTAL_MATERIAL_WEIGHT_KG</t>
        </is>
      </c>
      <c r="E1" s="12" t="inlineStr">
        <is>
          <t>SHARE_OF_ALL_MATERIAL_PCT</t>
        </is>
      </c>
      <c r="G1" s="19" t="inlineStr">
        <is>
          <t>Dashboard</t>
        </is>
      </c>
    </row>
    <row r="2">
      <c r="A2" s="20" t="inlineStr">
        <is>
          <t>WOOD</t>
        </is>
      </c>
      <c r="B2" s="20">
        <f>COUNTIF(T_ENG_MATERIAL_WEIGHT[MATERIAL_FAMILY_CODE],"=WOOD")</f>
        <v/>
      </c>
      <c r="C2" s="20">
        <f>SUMIF(T_ENG_MATERIAL_WEIGHT[MATERIAL_FAMILY_CODE],[@MATERIAL_FAMILY_CODE],T_ENG_MATERIAL_WEIGHT[MATERIAL_WEIGHT_G])</f>
        <v/>
      </c>
      <c r="D2" s="20">
        <f>IF([@TOTAL_MATERIAL_WEIGHT_G]="","",[@TOTAL_MATERIAL_WEIGHT_G]/1000)</f>
        <v/>
      </c>
      <c r="E2" s="20">
        <f>IF(OR([@TOTAL_MATERIAL_WEIGHT_G]="",SUM(T_ENG_MATERIAL_WEIGHT[MATERIAL_WEIGHT_G])=0),"",[@TOTAL_MATERIAL_WEIGHT_G]/SUM(T_ENG_MATERIAL_WEIGHT[MATERIAL_WEIGHT_G])*100)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5" customWidth="1" min="4" max="4"/>
    <col width="22" customWidth="1" min="5" max="5"/>
    <col width="21" customWidth="1" min="6" max="6"/>
    <col width="26" customWidth="1" min="7" max="7"/>
    <col width="23" customWidth="1" min="8" max="8"/>
    <col width="24" customWidth="1" min="9" max="9"/>
    <col width="15" customWidth="1" min="10" max="10"/>
    <col width="25" customWidth="1" min="11" max="11"/>
    <col width="20" customWidth="1" min="12" max="12"/>
  </cols>
  <sheetData>
    <row r="1">
      <c r="A1" s="12" t="inlineStr">
        <is>
          <t>ROW_INDEX</t>
        </is>
      </c>
      <c r="B1" s="12" t="inlineStr">
        <is>
          <t>STATEMENT_ID</t>
        </is>
      </c>
      <c r="C1" s="12" t="inlineStr">
        <is>
          <t>STATEMENT_CODE</t>
        </is>
      </c>
      <c r="D1" s="12" t="inlineStr">
        <is>
          <t>MATERIAL_ID</t>
        </is>
      </c>
      <c r="E1" s="12" t="inlineStr">
        <is>
          <t>PACKAGING_LEVEL_ID</t>
        </is>
      </c>
      <c r="F1" s="12" t="inlineStr">
        <is>
          <t>OWNERSHIP_TYPE_ID</t>
        </is>
      </c>
      <c r="G1" s="12" t="inlineStr">
        <is>
          <t>FROZEN_TOTAL_WEIGHT_KG</t>
        </is>
      </c>
      <c r="H1" s="12" t="inlineStr">
        <is>
          <t>RECOMPUTED_WEIGHT_G</t>
        </is>
      </c>
      <c r="I1" s="12" t="inlineStr">
        <is>
          <t>RECOMPUTED_WEIGHT_KG</t>
        </is>
      </c>
      <c r="J1" s="12" t="inlineStr">
        <is>
          <t>VARIANCE_KG</t>
        </is>
      </c>
      <c r="K1" s="12" t="inlineStr">
        <is>
          <t>SOURCE_SHIPMENT_COUNT</t>
        </is>
      </c>
      <c r="L1" s="12" t="inlineStr">
        <is>
          <t>RECONCILE_STATUS</t>
        </is>
      </c>
      <c r="N1" s="19" t="inlineStr">
        <is>
          <t>Dashboard</t>
        </is>
      </c>
    </row>
    <row r="2">
      <c r="A2" s="20" t="n">
        <v>1</v>
      </c>
      <c r="B2" s="20">
        <f>IFERROR(INDEX(T_STATEMENT_LINE[STATEMENT_ID],[@ROW_INDEX]),"")</f>
        <v/>
      </c>
      <c r="C2" s="20">
        <f>IF([@STATEMENT_ID]="","",IFERROR(INDEX(T_STATEMENT[STATEMENT_CODE],MATCH([@STATEMENT_ID],T_STATEMENT[STATEMENT_ID],0)),""))</f>
        <v/>
      </c>
      <c r="D2" s="20">
        <f>IFERROR(INDEX(T_STATEMENT_LINE[MATERIAL_ID],[@ROW_INDEX]),"")</f>
        <v/>
      </c>
      <c r="E2" s="20">
        <f>IFERROR(INDEX(T_STATEMENT_LINE[PACKAGING_LEVEL_ID],[@ROW_INDEX]),"")</f>
        <v/>
      </c>
      <c r="F2" s="20">
        <f>IFERROR(INDEX(T_STATEMENT_LINE[OWNERSHIP_TYPE_ID],[@ROW_INDEX]),"")</f>
        <v/>
      </c>
      <c r="G2" s="20">
        <f>IFERROR(INDEX(T_STATEMENT_LINE[TOTAL_WEIGHT_KG],[@ROW_INDEX]),"")</f>
        <v/>
      </c>
      <c r="H2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" s="20">
        <f>IF([@RECOMPUTED_WEIGHT_G]="","",[@RECOMPUTED_WEIGHT_G]/1000)</f>
        <v/>
      </c>
      <c r="J2" s="20">
        <f>IF(OR([@FROZEN_TOTAL_WEIGHT_KG]="",[@RECOMPUTED_WEIGHT_KG]=""),"",[@RECOMPUTED_WEIGHT_KG]-[@FROZEN_TOTAL_WEIGHT_KG])</f>
        <v/>
      </c>
      <c r="K2" s="20">
        <f>IF([@STATEMENT_ID]="","",COUNTIF(T_STATEMENT_SHIPMENT[STATEMENT_ID],[@STATEMENT_ID]))</f>
        <v/>
      </c>
      <c r="L2" s="20">
        <f>IF([@STATEMENT_ID]="","",IF([@VARIANCE_KG]="","PENDING",IF(ABS([@VARIANCE_KG])&lt;=0.001,"OK","VARIANCE")))</f>
        <v/>
      </c>
    </row>
    <row r="3">
      <c r="A3" s="20" t="n">
        <v>2</v>
      </c>
      <c r="B3" s="20">
        <f>IFERROR(INDEX(T_STATEMENT_LINE[STATEMENT_ID],[@ROW_INDEX]),"")</f>
        <v/>
      </c>
      <c r="C3" s="20">
        <f>IF([@STATEMENT_ID]="","",IFERROR(INDEX(T_STATEMENT[STATEMENT_CODE],MATCH([@STATEMENT_ID],T_STATEMENT[STATEMENT_ID],0)),""))</f>
        <v/>
      </c>
      <c r="D3" s="20">
        <f>IFERROR(INDEX(T_STATEMENT_LINE[MATERIAL_ID],[@ROW_INDEX]),"")</f>
        <v/>
      </c>
      <c r="E3" s="20">
        <f>IFERROR(INDEX(T_STATEMENT_LINE[PACKAGING_LEVEL_ID],[@ROW_INDEX]),"")</f>
        <v/>
      </c>
      <c r="F3" s="20">
        <f>IFERROR(INDEX(T_STATEMENT_LINE[OWNERSHIP_TYPE_ID],[@ROW_INDEX]),"")</f>
        <v/>
      </c>
      <c r="G3" s="20">
        <f>IFERROR(INDEX(T_STATEMENT_LINE[TOTAL_WEIGHT_KG],[@ROW_INDEX]),"")</f>
        <v/>
      </c>
      <c r="H3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" s="20">
        <f>IF([@RECOMPUTED_WEIGHT_G]="","",[@RECOMPUTED_WEIGHT_G]/1000)</f>
        <v/>
      </c>
      <c r="J3" s="20">
        <f>IF(OR([@FROZEN_TOTAL_WEIGHT_KG]="",[@RECOMPUTED_WEIGHT_KG]=""),"",[@RECOMPUTED_WEIGHT_KG]-[@FROZEN_TOTAL_WEIGHT_KG])</f>
        <v/>
      </c>
      <c r="K3" s="20">
        <f>IF([@STATEMENT_ID]="","",COUNTIF(T_STATEMENT_SHIPMENT[STATEMENT_ID],[@STATEMENT_ID]))</f>
        <v/>
      </c>
      <c r="L3" s="20">
        <f>IF([@STATEMENT_ID]="","",IF([@VARIANCE_KG]="","PENDING",IF(ABS([@VARIANCE_KG])&lt;=0.001,"OK","VARIANCE")))</f>
        <v/>
      </c>
    </row>
    <row r="4">
      <c r="A4" s="20" t="n">
        <v>3</v>
      </c>
      <c r="B4" s="20">
        <f>IFERROR(INDEX(T_STATEMENT_LINE[STATEMENT_ID],[@ROW_INDEX]),"")</f>
        <v/>
      </c>
      <c r="C4" s="20">
        <f>IF([@STATEMENT_ID]="","",IFERROR(INDEX(T_STATEMENT[STATEMENT_CODE],MATCH([@STATEMENT_ID],T_STATEMENT[STATEMENT_ID],0)),""))</f>
        <v/>
      </c>
      <c r="D4" s="20">
        <f>IFERROR(INDEX(T_STATEMENT_LINE[MATERIAL_ID],[@ROW_INDEX]),"")</f>
        <v/>
      </c>
      <c r="E4" s="20">
        <f>IFERROR(INDEX(T_STATEMENT_LINE[PACKAGING_LEVEL_ID],[@ROW_INDEX]),"")</f>
        <v/>
      </c>
      <c r="F4" s="20">
        <f>IFERROR(INDEX(T_STATEMENT_LINE[OWNERSHIP_TYPE_ID],[@ROW_INDEX]),"")</f>
        <v/>
      </c>
      <c r="G4" s="20">
        <f>IFERROR(INDEX(T_STATEMENT_LINE[TOTAL_WEIGHT_KG],[@ROW_INDEX]),"")</f>
        <v/>
      </c>
      <c r="H4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" s="20">
        <f>IF([@RECOMPUTED_WEIGHT_G]="","",[@RECOMPUTED_WEIGHT_G]/1000)</f>
        <v/>
      </c>
      <c r="J4" s="20">
        <f>IF(OR([@FROZEN_TOTAL_WEIGHT_KG]="",[@RECOMPUTED_WEIGHT_KG]=""),"",[@RECOMPUTED_WEIGHT_KG]-[@FROZEN_TOTAL_WEIGHT_KG])</f>
        <v/>
      </c>
      <c r="K4" s="20">
        <f>IF([@STATEMENT_ID]="","",COUNTIF(T_STATEMENT_SHIPMENT[STATEMENT_ID],[@STATEMENT_ID]))</f>
        <v/>
      </c>
      <c r="L4" s="20">
        <f>IF([@STATEMENT_ID]="","",IF([@VARIANCE_KG]="","PENDING",IF(ABS([@VARIANCE_KG])&lt;=0.001,"OK","VARIANCE")))</f>
        <v/>
      </c>
    </row>
    <row r="5">
      <c r="A5" s="20" t="n">
        <v>4</v>
      </c>
      <c r="B5" s="20">
        <f>IFERROR(INDEX(T_STATEMENT_LINE[STATEMENT_ID],[@ROW_INDEX]),"")</f>
        <v/>
      </c>
      <c r="C5" s="20">
        <f>IF([@STATEMENT_ID]="","",IFERROR(INDEX(T_STATEMENT[STATEMENT_CODE],MATCH([@STATEMENT_ID],T_STATEMENT[STATEMENT_ID],0)),""))</f>
        <v/>
      </c>
      <c r="D5" s="20">
        <f>IFERROR(INDEX(T_STATEMENT_LINE[MATERIAL_ID],[@ROW_INDEX]),"")</f>
        <v/>
      </c>
      <c r="E5" s="20">
        <f>IFERROR(INDEX(T_STATEMENT_LINE[PACKAGING_LEVEL_ID],[@ROW_INDEX]),"")</f>
        <v/>
      </c>
      <c r="F5" s="20">
        <f>IFERROR(INDEX(T_STATEMENT_LINE[OWNERSHIP_TYPE_ID],[@ROW_INDEX]),"")</f>
        <v/>
      </c>
      <c r="G5" s="20">
        <f>IFERROR(INDEX(T_STATEMENT_LINE[TOTAL_WEIGHT_KG],[@ROW_INDEX]),"")</f>
        <v/>
      </c>
      <c r="H5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5" s="20">
        <f>IF([@RECOMPUTED_WEIGHT_G]="","",[@RECOMPUTED_WEIGHT_G]/1000)</f>
        <v/>
      </c>
      <c r="J5" s="20">
        <f>IF(OR([@FROZEN_TOTAL_WEIGHT_KG]="",[@RECOMPUTED_WEIGHT_KG]=""),"",[@RECOMPUTED_WEIGHT_KG]-[@FROZEN_TOTAL_WEIGHT_KG])</f>
        <v/>
      </c>
      <c r="K5" s="20">
        <f>IF([@STATEMENT_ID]="","",COUNTIF(T_STATEMENT_SHIPMENT[STATEMENT_ID],[@STATEMENT_ID]))</f>
        <v/>
      </c>
      <c r="L5" s="20">
        <f>IF([@STATEMENT_ID]="","",IF([@VARIANCE_KG]="","PENDING",IF(ABS([@VARIANCE_KG])&lt;=0.001,"OK","VARIANCE")))</f>
        <v/>
      </c>
    </row>
    <row r="6">
      <c r="A6" s="20" t="n">
        <v>5</v>
      </c>
      <c r="B6" s="20">
        <f>IFERROR(INDEX(T_STATEMENT_LINE[STATEMENT_ID],[@ROW_INDEX]),"")</f>
        <v/>
      </c>
      <c r="C6" s="20">
        <f>IF([@STATEMENT_ID]="","",IFERROR(INDEX(T_STATEMENT[STATEMENT_CODE],MATCH([@STATEMENT_ID],T_STATEMENT[STATEMENT_ID],0)),""))</f>
        <v/>
      </c>
      <c r="D6" s="20">
        <f>IFERROR(INDEX(T_STATEMENT_LINE[MATERIAL_ID],[@ROW_INDEX]),"")</f>
        <v/>
      </c>
      <c r="E6" s="20">
        <f>IFERROR(INDEX(T_STATEMENT_LINE[PACKAGING_LEVEL_ID],[@ROW_INDEX]),"")</f>
        <v/>
      </c>
      <c r="F6" s="20">
        <f>IFERROR(INDEX(T_STATEMENT_LINE[OWNERSHIP_TYPE_ID],[@ROW_INDEX]),"")</f>
        <v/>
      </c>
      <c r="G6" s="20">
        <f>IFERROR(INDEX(T_STATEMENT_LINE[TOTAL_WEIGHT_KG],[@ROW_INDEX]),"")</f>
        <v/>
      </c>
      <c r="H6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6" s="20">
        <f>IF([@RECOMPUTED_WEIGHT_G]="","",[@RECOMPUTED_WEIGHT_G]/1000)</f>
        <v/>
      </c>
      <c r="J6" s="20">
        <f>IF(OR([@FROZEN_TOTAL_WEIGHT_KG]="",[@RECOMPUTED_WEIGHT_KG]=""),"",[@RECOMPUTED_WEIGHT_KG]-[@FROZEN_TOTAL_WEIGHT_KG])</f>
        <v/>
      </c>
      <c r="K6" s="20">
        <f>IF([@STATEMENT_ID]="","",COUNTIF(T_STATEMENT_SHIPMENT[STATEMENT_ID],[@STATEMENT_ID]))</f>
        <v/>
      </c>
      <c r="L6" s="20">
        <f>IF([@STATEMENT_ID]="","",IF([@VARIANCE_KG]="","PENDING",IF(ABS([@VARIANCE_KG])&lt;=0.001,"OK","VARIANCE")))</f>
        <v/>
      </c>
    </row>
    <row r="7">
      <c r="A7" s="20" t="n">
        <v>6</v>
      </c>
      <c r="B7" s="20">
        <f>IFERROR(INDEX(T_STATEMENT_LINE[STATEMENT_ID],[@ROW_INDEX]),"")</f>
        <v/>
      </c>
      <c r="C7" s="20">
        <f>IF([@STATEMENT_ID]="","",IFERROR(INDEX(T_STATEMENT[STATEMENT_CODE],MATCH([@STATEMENT_ID],T_STATEMENT[STATEMENT_ID],0)),""))</f>
        <v/>
      </c>
      <c r="D7" s="20">
        <f>IFERROR(INDEX(T_STATEMENT_LINE[MATERIAL_ID],[@ROW_INDEX]),"")</f>
        <v/>
      </c>
      <c r="E7" s="20">
        <f>IFERROR(INDEX(T_STATEMENT_LINE[PACKAGING_LEVEL_ID],[@ROW_INDEX]),"")</f>
        <v/>
      </c>
      <c r="F7" s="20">
        <f>IFERROR(INDEX(T_STATEMENT_LINE[OWNERSHIP_TYPE_ID],[@ROW_INDEX]),"")</f>
        <v/>
      </c>
      <c r="G7" s="20">
        <f>IFERROR(INDEX(T_STATEMENT_LINE[TOTAL_WEIGHT_KG],[@ROW_INDEX]),"")</f>
        <v/>
      </c>
      <c r="H7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7" s="20">
        <f>IF([@RECOMPUTED_WEIGHT_G]="","",[@RECOMPUTED_WEIGHT_G]/1000)</f>
        <v/>
      </c>
      <c r="J7" s="20">
        <f>IF(OR([@FROZEN_TOTAL_WEIGHT_KG]="",[@RECOMPUTED_WEIGHT_KG]=""),"",[@RECOMPUTED_WEIGHT_KG]-[@FROZEN_TOTAL_WEIGHT_KG])</f>
        <v/>
      </c>
      <c r="K7" s="20">
        <f>IF([@STATEMENT_ID]="","",COUNTIF(T_STATEMENT_SHIPMENT[STATEMENT_ID],[@STATEMENT_ID]))</f>
        <v/>
      </c>
      <c r="L7" s="20">
        <f>IF([@STATEMENT_ID]="","",IF([@VARIANCE_KG]="","PENDING",IF(ABS([@VARIANCE_KG])&lt;=0.001,"OK","VARIANCE")))</f>
        <v/>
      </c>
    </row>
    <row r="8">
      <c r="A8" s="20" t="n">
        <v>7</v>
      </c>
      <c r="B8" s="20">
        <f>IFERROR(INDEX(T_STATEMENT_LINE[STATEMENT_ID],[@ROW_INDEX]),"")</f>
        <v/>
      </c>
      <c r="C8" s="20">
        <f>IF([@STATEMENT_ID]="","",IFERROR(INDEX(T_STATEMENT[STATEMENT_CODE],MATCH([@STATEMENT_ID],T_STATEMENT[STATEMENT_ID],0)),""))</f>
        <v/>
      </c>
      <c r="D8" s="20">
        <f>IFERROR(INDEX(T_STATEMENT_LINE[MATERIAL_ID],[@ROW_INDEX]),"")</f>
        <v/>
      </c>
      <c r="E8" s="20">
        <f>IFERROR(INDEX(T_STATEMENT_LINE[PACKAGING_LEVEL_ID],[@ROW_INDEX]),"")</f>
        <v/>
      </c>
      <c r="F8" s="20">
        <f>IFERROR(INDEX(T_STATEMENT_LINE[OWNERSHIP_TYPE_ID],[@ROW_INDEX]),"")</f>
        <v/>
      </c>
      <c r="G8" s="20">
        <f>IFERROR(INDEX(T_STATEMENT_LINE[TOTAL_WEIGHT_KG],[@ROW_INDEX]),"")</f>
        <v/>
      </c>
      <c r="H8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8" s="20">
        <f>IF([@RECOMPUTED_WEIGHT_G]="","",[@RECOMPUTED_WEIGHT_G]/1000)</f>
        <v/>
      </c>
      <c r="J8" s="20">
        <f>IF(OR([@FROZEN_TOTAL_WEIGHT_KG]="",[@RECOMPUTED_WEIGHT_KG]=""),"",[@RECOMPUTED_WEIGHT_KG]-[@FROZEN_TOTAL_WEIGHT_KG])</f>
        <v/>
      </c>
      <c r="K8" s="20">
        <f>IF([@STATEMENT_ID]="","",COUNTIF(T_STATEMENT_SHIPMENT[STATEMENT_ID],[@STATEMENT_ID]))</f>
        <v/>
      </c>
      <c r="L8" s="20">
        <f>IF([@STATEMENT_ID]="","",IF([@VARIANCE_KG]="","PENDING",IF(ABS([@VARIANCE_KG])&lt;=0.001,"OK","VARIANCE")))</f>
        <v/>
      </c>
    </row>
    <row r="9">
      <c r="A9" s="20" t="n">
        <v>8</v>
      </c>
      <c r="B9" s="20">
        <f>IFERROR(INDEX(T_STATEMENT_LINE[STATEMENT_ID],[@ROW_INDEX]),"")</f>
        <v/>
      </c>
      <c r="C9" s="20">
        <f>IF([@STATEMENT_ID]="","",IFERROR(INDEX(T_STATEMENT[STATEMENT_CODE],MATCH([@STATEMENT_ID],T_STATEMENT[STATEMENT_ID],0)),""))</f>
        <v/>
      </c>
      <c r="D9" s="20">
        <f>IFERROR(INDEX(T_STATEMENT_LINE[MATERIAL_ID],[@ROW_INDEX]),"")</f>
        <v/>
      </c>
      <c r="E9" s="20">
        <f>IFERROR(INDEX(T_STATEMENT_LINE[PACKAGING_LEVEL_ID],[@ROW_INDEX]),"")</f>
        <v/>
      </c>
      <c r="F9" s="20">
        <f>IFERROR(INDEX(T_STATEMENT_LINE[OWNERSHIP_TYPE_ID],[@ROW_INDEX]),"")</f>
        <v/>
      </c>
      <c r="G9" s="20">
        <f>IFERROR(INDEX(T_STATEMENT_LINE[TOTAL_WEIGHT_KG],[@ROW_INDEX]),"")</f>
        <v/>
      </c>
      <c r="H9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9" s="20">
        <f>IF([@RECOMPUTED_WEIGHT_G]="","",[@RECOMPUTED_WEIGHT_G]/1000)</f>
        <v/>
      </c>
      <c r="J9" s="20">
        <f>IF(OR([@FROZEN_TOTAL_WEIGHT_KG]="",[@RECOMPUTED_WEIGHT_KG]=""),"",[@RECOMPUTED_WEIGHT_KG]-[@FROZEN_TOTAL_WEIGHT_KG])</f>
        <v/>
      </c>
      <c r="K9" s="20">
        <f>IF([@STATEMENT_ID]="","",COUNTIF(T_STATEMENT_SHIPMENT[STATEMENT_ID],[@STATEMENT_ID]))</f>
        <v/>
      </c>
      <c r="L9" s="20">
        <f>IF([@STATEMENT_ID]="","",IF([@VARIANCE_KG]="","PENDING",IF(ABS([@VARIANCE_KG])&lt;=0.001,"OK","VARIANCE")))</f>
        <v/>
      </c>
    </row>
    <row r="10">
      <c r="A10" s="20" t="n">
        <v>9</v>
      </c>
      <c r="B10" s="20">
        <f>IFERROR(INDEX(T_STATEMENT_LINE[STATEMENT_ID],[@ROW_INDEX]),"")</f>
        <v/>
      </c>
      <c r="C10" s="20">
        <f>IF([@STATEMENT_ID]="","",IFERROR(INDEX(T_STATEMENT[STATEMENT_CODE],MATCH([@STATEMENT_ID],T_STATEMENT[STATEMENT_ID],0)),""))</f>
        <v/>
      </c>
      <c r="D10" s="20">
        <f>IFERROR(INDEX(T_STATEMENT_LINE[MATERIAL_ID],[@ROW_INDEX]),"")</f>
        <v/>
      </c>
      <c r="E10" s="20">
        <f>IFERROR(INDEX(T_STATEMENT_LINE[PACKAGING_LEVEL_ID],[@ROW_INDEX]),"")</f>
        <v/>
      </c>
      <c r="F10" s="20">
        <f>IFERROR(INDEX(T_STATEMENT_LINE[OWNERSHIP_TYPE_ID],[@ROW_INDEX]),"")</f>
        <v/>
      </c>
      <c r="G10" s="20">
        <f>IFERROR(INDEX(T_STATEMENT_LINE[TOTAL_WEIGHT_KG],[@ROW_INDEX]),"")</f>
        <v/>
      </c>
      <c r="H10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0" s="20">
        <f>IF([@RECOMPUTED_WEIGHT_G]="","",[@RECOMPUTED_WEIGHT_G]/1000)</f>
        <v/>
      </c>
      <c r="J10" s="20">
        <f>IF(OR([@FROZEN_TOTAL_WEIGHT_KG]="",[@RECOMPUTED_WEIGHT_KG]=""),"",[@RECOMPUTED_WEIGHT_KG]-[@FROZEN_TOTAL_WEIGHT_KG])</f>
        <v/>
      </c>
      <c r="K10" s="20">
        <f>IF([@STATEMENT_ID]="","",COUNTIF(T_STATEMENT_SHIPMENT[STATEMENT_ID],[@STATEMENT_ID]))</f>
        <v/>
      </c>
      <c r="L10" s="20">
        <f>IF([@STATEMENT_ID]="","",IF([@VARIANCE_KG]="","PENDING",IF(ABS([@VARIANCE_KG])&lt;=0.001,"OK","VARIANCE")))</f>
        <v/>
      </c>
    </row>
    <row r="11">
      <c r="A11" s="20" t="n">
        <v>10</v>
      </c>
      <c r="B11" s="20">
        <f>IFERROR(INDEX(T_STATEMENT_LINE[STATEMENT_ID],[@ROW_INDEX]),"")</f>
        <v/>
      </c>
      <c r="C11" s="20">
        <f>IF([@STATEMENT_ID]="","",IFERROR(INDEX(T_STATEMENT[STATEMENT_CODE],MATCH([@STATEMENT_ID],T_STATEMENT[STATEMENT_ID],0)),""))</f>
        <v/>
      </c>
      <c r="D11" s="20">
        <f>IFERROR(INDEX(T_STATEMENT_LINE[MATERIAL_ID],[@ROW_INDEX]),"")</f>
        <v/>
      </c>
      <c r="E11" s="20">
        <f>IFERROR(INDEX(T_STATEMENT_LINE[PACKAGING_LEVEL_ID],[@ROW_INDEX]),"")</f>
        <v/>
      </c>
      <c r="F11" s="20">
        <f>IFERROR(INDEX(T_STATEMENT_LINE[OWNERSHIP_TYPE_ID],[@ROW_INDEX]),"")</f>
        <v/>
      </c>
      <c r="G11" s="20">
        <f>IFERROR(INDEX(T_STATEMENT_LINE[TOTAL_WEIGHT_KG],[@ROW_INDEX]),"")</f>
        <v/>
      </c>
      <c r="H11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1" s="20">
        <f>IF([@RECOMPUTED_WEIGHT_G]="","",[@RECOMPUTED_WEIGHT_G]/1000)</f>
        <v/>
      </c>
      <c r="J11" s="20">
        <f>IF(OR([@FROZEN_TOTAL_WEIGHT_KG]="",[@RECOMPUTED_WEIGHT_KG]=""),"",[@RECOMPUTED_WEIGHT_KG]-[@FROZEN_TOTAL_WEIGHT_KG])</f>
        <v/>
      </c>
      <c r="K11" s="20">
        <f>IF([@STATEMENT_ID]="","",COUNTIF(T_STATEMENT_SHIPMENT[STATEMENT_ID],[@STATEMENT_ID]))</f>
        <v/>
      </c>
      <c r="L11" s="20">
        <f>IF([@STATEMENT_ID]="","",IF([@VARIANCE_KG]="","PENDING",IF(ABS([@VARIANCE_KG])&lt;=0.001,"OK","VARIANCE")))</f>
        <v/>
      </c>
    </row>
    <row r="12">
      <c r="A12" s="20" t="n">
        <v>11</v>
      </c>
      <c r="B12" s="20">
        <f>IFERROR(INDEX(T_STATEMENT_LINE[STATEMENT_ID],[@ROW_INDEX]),"")</f>
        <v/>
      </c>
      <c r="C12" s="20">
        <f>IF([@STATEMENT_ID]="","",IFERROR(INDEX(T_STATEMENT[STATEMENT_CODE],MATCH([@STATEMENT_ID],T_STATEMENT[STATEMENT_ID],0)),""))</f>
        <v/>
      </c>
      <c r="D12" s="20">
        <f>IFERROR(INDEX(T_STATEMENT_LINE[MATERIAL_ID],[@ROW_INDEX]),"")</f>
        <v/>
      </c>
      <c r="E12" s="20">
        <f>IFERROR(INDEX(T_STATEMENT_LINE[PACKAGING_LEVEL_ID],[@ROW_INDEX]),"")</f>
        <v/>
      </c>
      <c r="F12" s="20">
        <f>IFERROR(INDEX(T_STATEMENT_LINE[OWNERSHIP_TYPE_ID],[@ROW_INDEX]),"")</f>
        <v/>
      </c>
      <c r="G12" s="20">
        <f>IFERROR(INDEX(T_STATEMENT_LINE[TOTAL_WEIGHT_KG],[@ROW_INDEX]),"")</f>
        <v/>
      </c>
      <c r="H12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2" s="20">
        <f>IF([@RECOMPUTED_WEIGHT_G]="","",[@RECOMPUTED_WEIGHT_G]/1000)</f>
        <v/>
      </c>
      <c r="J12" s="20">
        <f>IF(OR([@FROZEN_TOTAL_WEIGHT_KG]="",[@RECOMPUTED_WEIGHT_KG]=""),"",[@RECOMPUTED_WEIGHT_KG]-[@FROZEN_TOTAL_WEIGHT_KG])</f>
        <v/>
      </c>
      <c r="K12" s="20">
        <f>IF([@STATEMENT_ID]="","",COUNTIF(T_STATEMENT_SHIPMENT[STATEMENT_ID],[@STATEMENT_ID]))</f>
        <v/>
      </c>
      <c r="L12" s="20">
        <f>IF([@STATEMENT_ID]="","",IF([@VARIANCE_KG]="","PENDING",IF(ABS([@VARIANCE_KG])&lt;=0.001,"OK","VARIANCE")))</f>
        <v/>
      </c>
    </row>
    <row r="13">
      <c r="A13" s="20" t="n">
        <v>12</v>
      </c>
      <c r="B13" s="20">
        <f>IFERROR(INDEX(T_STATEMENT_LINE[STATEMENT_ID],[@ROW_INDEX]),"")</f>
        <v/>
      </c>
      <c r="C13" s="20">
        <f>IF([@STATEMENT_ID]="","",IFERROR(INDEX(T_STATEMENT[STATEMENT_CODE],MATCH([@STATEMENT_ID],T_STATEMENT[STATEMENT_ID],0)),""))</f>
        <v/>
      </c>
      <c r="D13" s="20">
        <f>IFERROR(INDEX(T_STATEMENT_LINE[MATERIAL_ID],[@ROW_INDEX]),"")</f>
        <v/>
      </c>
      <c r="E13" s="20">
        <f>IFERROR(INDEX(T_STATEMENT_LINE[PACKAGING_LEVEL_ID],[@ROW_INDEX]),"")</f>
        <v/>
      </c>
      <c r="F13" s="20">
        <f>IFERROR(INDEX(T_STATEMENT_LINE[OWNERSHIP_TYPE_ID],[@ROW_INDEX]),"")</f>
        <v/>
      </c>
      <c r="G13" s="20">
        <f>IFERROR(INDEX(T_STATEMENT_LINE[TOTAL_WEIGHT_KG],[@ROW_INDEX]),"")</f>
        <v/>
      </c>
      <c r="H13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3" s="20">
        <f>IF([@RECOMPUTED_WEIGHT_G]="","",[@RECOMPUTED_WEIGHT_G]/1000)</f>
        <v/>
      </c>
      <c r="J13" s="20">
        <f>IF(OR([@FROZEN_TOTAL_WEIGHT_KG]="",[@RECOMPUTED_WEIGHT_KG]=""),"",[@RECOMPUTED_WEIGHT_KG]-[@FROZEN_TOTAL_WEIGHT_KG])</f>
        <v/>
      </c>
      <c r="K13" s="20">
        <f>IF([@STATEMENT_ID]="","",COUNTIF(T_STATEMENT_SHIPMENT[STATEMENT_ID],[@STATEMENT_ID]))</f>
        <v/>
      </c>
      <c r="L13" s="20">
        <f>IF([@STATEMENT_ID]="","",IF([@VARIANCE_KG]="","PENDING",IF(ABS([@VARIANCE_KG])&lt;=0.001,"OK","VARIANCE")))</f>
        <v/>
      </c>
    </row>
    <row r="14">
      <c r="A14" s="20" t="n">
        <v>13</v>
      </c>
      <c r="B14" s="20">
        <f>IFERROR(INDEX(T_STATEMENT_LINE[STATEMENT_ID],[@ROW_INDEX]),"")</f>
        <v/>
      </c>
      <c r="C14" s="20">
        <f>IF([@STATEMENT_ID]="","",IFERROR(INDEX(T_STATEMENT[STATEMENT_CODE],MATCH([@STATEMENT_ID],T_STATEMENT[STATEMENT_ID],0)),""))</f>
        <v/>
      </c>
      <c r="D14" s="20">
        <f>IFERROR(INDEX(T_STATEMENT_LINE[MATERIAL_ID],[@ROW_INDEX]),"")</f>
        <v/>
      </c>
      <c r="E14" s="20">
        <f>IFERROR(INDEX(T_STATEMENT_LINE[PACKAGING_LEVEL_ID],[@ROW_INDEX]),"")</f>
        <v/>
      </c>
      <c r="F14" s="20">
        <f>IFERROR(INDEX(T_STATEMENT_LINE[OWNERSHIP_TYPE_ID],[@ROW_INDEX]),"")</f>
        <v/>
      </c>
      <c r="G14" s="20">
        <f>IFERROR(INDEX(T_STATEMENT_LINE[TOTAL_WEIGHT_KG],[@ROW_INDEX]),"")</f>
        <v/>
      </c>
      <c r="H14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4" s="20">
        <f>IF([@RECOMPUTED_WEIGHT_G]="","",[@RECOMPUTED_WEIGHT_G]/1000)</f>
        <v/>
      </c>
      <c r="J14" s="20">
        <f>IF(OR([@FROZEN_TOTAL_WEIGHT_KG]="",[@RECOMPUTED_WEIGHT_KG]=""),"",[@RECOMPUTED_WEIGHT_KG]-[@FROZEN_TOTAL_WEIGHT_KG])</f>
        <v/>
      </c>
      <c r="K14" s="20">
        <f>IF([@STATEMENT_ID]="","",COUNTIF(T_STATEMENT_SHIPMENT[STATEMENT_ID],[@STATEMENT_ID]))</f>
        <v/>
      </c>
      <c r="L14" s="20">
        <f>IF([@STATEMENT_ID]="","",IF([@VARIANCE_KG]="","PENDING",IF(ABS([@VARIANCE_KG])&lt;=0.001,"OK","VARIANCE")))</f>
        <v/>
      </c>
    </row>
    <row r="15">
      <c r="A15" s="20" t="n">
        <v>14</v>
      </c>
      <c r="B15" s="20">
        <f>IFERROR(INDEX(T_STATEMENT_LINE[STATEMENT_ID],[@ROW_INDEX]),"")</f>
        <v/>
      </c>
      <c r="C15" s="20">
        <f>IF([@STATEMENT_ID]="","",IFERROR(INDEX(T_STATEMENT[STATEMENT_CODE],MATCH([@STATEMENT_ID],T_STATEMENT[STATEMENT_ID],0)),""))</f>
        <v/>
      </c>
      <c r="D15" s="20">
        <f>IFERROR(INDEX(T_STATEMENT_LINE[MATERIAL_ID],[@ROW_INDEX]),"")</f>
        <v/>
      </c>
      <c r="E15" s="20">
        <f>IFERROR(INDEX(T_STATEMENT_LINE[PACKAGING_LEVEL_ID],[@ROW_INDEX]),"")</f>
        <v/>
      </c>
      <c r="F15" s="20">
        <f>IFERROR(INDEX(T_STATEMENT_LINE[OWNERSHIP_TYPE_ID],[@ROW_INDEX]),"")</f>
        <v/>
      </c>
      <c r="G15" s="20">
        <f>IFERROR(INDEX(T_STATEMENT_LINE[TOTAL_WEIGHT_KG],[@ROW_INDEX]),"")</f>
        <v/>
      </c>
      <c r="H15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5" s="20">
        <f>IF([@RECOMPUTED_WEIGHT_G]="","",[@RECOMPUTED_WEIGHT_G]/1000)</f>
        <v/>
      </c>
      <c r="J15" s="20">
        <f>IF(OR([@FROZEN_TOTAL_WEIGHT_KG]="",[@RECOMPUTED_WEIGHT_KG]=""),"",[@RECOMPUTED_WEIGHT_KG]-[@FROZEN_TOTAL_WEIGHT_KG])</f>
        <v/>
      </c>
      <c r="K15" s="20">
        <f>IF([@STATEMENT_ID]="","",COUNTIF(T_STATEMENT_SHIPMENT[STATEMENT_ID],[@STATEMENT_ID]))</f>
        <v/>
      </c>
      <c r="L15" s="20">
        <f>IF([@STATEMENT_ID]="","",IF([@VARIANCE_KG]="","PENDING",IF(ABS([@VARIANCE_KG])&lt;=0.001,"OK","VARIANCE")))</f>
        <v/>
      </c>
    </row>
    <row r="16">
      <c r="A16" s="20" t="n">
        <v>15</v>
      </c>
      <c r="B16" s="20">
        <f>IFERROR(INDEX(T_STATEMENT_LINE[STATEMENT_ID],[@ROW_INDEX]),"")</f>
        <v/>
      </c>
      <c r="C16" s="20">
        <f>IF([@STATEMENT_ID]="","",IFERROR(INDEX(T_STATEMENT[STATEMENT_CODE],MATCH([@STATEMENT_ID],T_STATEMENT[STATEMENT_ID],0)),""))</f>
        <v/>
      </c>
      <c r="D16" s="20">
        <f>IFERROR(INDEX(T_STATEMENT_LINE[MATERIAL_ID],[@ROW_INDEX]),"")</f>
        <v/>
      </c>
      <c r="E16" s="20">
        <f>IFERROR(INDEX(T_STATEMENT_LINE[PACKAGING_LEVEL_ID],[@ROW_INDEX]),"")</f>
        <v/>
      </c>
      <c r="F16" s="20">
        <f>IFERROR(INDEX(T_STATEMENT_LINE[OWNERSHIP_TYPE_ID],[@ROW_INDEX]),"")</f>
        <v/>
      </c>
      <c r="G16" s="20">
        <f>IFERROR(INDEX(T_STATEMENT_LINE[TOTAL_WEIGHT_KG],[@ROW_INDEX]),"")</f>
        <v/>
      </c>
      <c r="H16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6" s="20">
        <f>IF([@RECOMPUTED_WEIGHT_G]="","",[@RECOMPUTED_WEIGHT_G]/1000)</f>
        <v/>
      </c>
      <c r="J16" s="20">
        <f>IF(OR([@FROZEN_TOTAL_WEIGHT_KG]="",[@RECOMPUTED_WEIGHT_KG]=""),"",[@RECOMPUTED_WEIGHT_KG]-[@FROZEN_TOTAL_WEIGHT_KG])</f>
        <v/>
      </c>
      <c r="K16" s="20">
        <f>IF([@STATEMENT_ID]="","",COUNTIF(T_STATEMENT_SHIPMENT[STATEMENT_ID],[@STATEMENT_ID]))</f>
        <v/>
      </c>
      <c r="L16" s="20">
        <f>IF([@STATEMENT_ID]="","",IF([@VARIANCE_KG]="","PENDING",IF(ABS([@VARIANCE_KG])&lt;=0.001,"OK","VARIANCE")))</f>
        <v/>
      </c>
    </row>
    <row r="17">
      <c r="A17" s="20" t="n">
        <v>16</v>
      </c>
      <c r="B17" s="20">
        <f>IFERROR(INDEX(T_STATEMENT_LINE[STATEMENT_ID],[@ROW_INDEX]),"")</f>
        <v/>
      </c>
      <c r="C17" s="20">
        <f>IF([@STATEMENT_ID]="","",IFERROR(INDEX(T_STATEMENT[STATEMENT_CODE],MATCH([@STATEMENT_ID],T_STATEMENT[STATEMENT_ID],0)),""))</f>
        <v/>
      </c>
      <c r="D17" s="20">
        <f>IFERROR(INDEX(T_STATEMENT_LINE[MATERIAL_ID],[@ROW_INDEX]),"")</f>
        <v/>
      </c>
      <c r="E17" s="20">
        <f>IFERROR(INDEX(T_STATEMENT_LINE[PACKAGING_LEVEL_ID],[@ROW_INDEX]),"")</f>
        <v/>
      </c>
      <c r="F17" s="20">
        <f>IFERROR(INDEX(T_STATEMENT_LINE[OWNERSHIP_TYPE_ID],[@ROW_INDEX]),"")</f>
        <v/>
      </c>
      <c r="G17" s="20">
        <f>IFERROR(INDEX(T_STATEMENT_LINE[TOTAL_WEIGHT_KG],[@ROW_INDEX]),"")</f>
        <v/>
      </c>
      <c r="H17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7" s="20">
        <f>IF([@RECOMPUTED_WEIGHT_G]="","",[@RECOMPUTED_WEIGHT_G]/1000)</f>
        <v/>
      </c>
      <c r="J17" s="20">
        <f>IF(OR([@FROZEN_TOTAL_WEIGHT_KG]="",[@RECOMPUTED_WEIGHT_KG]=""),"",[@RECOMPUTED_WEIGHT_KG]-[@FROZEN_TOTAL_WEIGHT_KG])</f>
        <v/>
      </c>
      <c r="K17" s="20">
        <f>IF([@STATEMENT_ID]="","",COUNTIF(T_STATEMENT_SHIPMENT[STATEMENT_ID],[@STATEMENT_ID]))</f>
        <v/>
      </c>
      <c r="L17" s="20">
        <f>IF([@STATEMENT_ID]="","",IF([@VARIANCE_KG]="","PENDING",IF(ABS([@VARIANCE_KG])&lt;=0.001,"OK","VARIANCE")))</f>
        <v/>
      </c>
    </row>
    <row r="18">
      <c r="A18" s="20" t="n">
        <v>17</v>
      </c>
      <c r="B18" s="20">
        <f>IFERROR(INDEX(T_STATEMENT_LINE[STATEMENT_ID],[@ROW_INDEX]),"")</f>
        <v/>
      </c>
      <c r="C18" s="20">
        <f>IF([@STATEMENT_ID]="","",IFERROR(INDEX(T_STATEMENT[STATEMENT_CODE],MATCH([@STATEMENT_ID],T_STATEMENT[STATEMENT_ID],0)),""))</f>
        <v/>
      </c>
      <c r="D18" s="20">
        <f>IFERROR(INDEX(T_STATEMENT_LINE[MATERIAL_ID],[@ROW_INDEX]),"")</f>
        <v/>
      </c>
      <c r="E18" s="20">
        <f>IFERROR(INDEX(T_STATEMENT_LINE[PACKAGING_LEVEL_ID],[@ROW_INDEX]),"")</f>
        <v/>
      </c>
      <c r="F18" s="20">
        <f>IFERROR(INDEX(T_STATEMENT_LINE[OWNERSHIP_TYPE_ID],[@ROW_INDEX]),"")</f>
        <v/>
      </c>
      <c r="G18" s="20">
        <f>IFERROR(INDEX(T_STATEMENT_LINE[TOTAL_WEIGHT_KG],[@ROW_INDEX]),"")</f>
        <v/>
      </c>
      <c r="H18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8" s="20">
        <f>IF([@RECOMPUTED_WEIGHT_G]="","",[@RECOMPUTED_WEIGHT_G]/1000)</f>
        <v/>
      </c>
      <c r="J18" s="20">
        <f>IF(OR([@FROZEN_TOTAL_WEIGHT_KG]="",[@RECOMPUTED_WEIGHT_KG]=""),"",[@RECOMPUTED_WEIGHT_KG]-[@FROZEN_TOTAL_WEIGHT_KG])</f>
        <v/>
      </c>
      <c r="K18" s="20">
        <f>IF([@STATEMENT_ID]="","",COUNTIF(T_STATEMENT_SHIPMENT[STATEMENT_ID],[@STATEMENT_ID]))</f>
        <v/>
      </c>
      <c r="L18" s="20">
        <f>IF([@STATEMENT_ID]="","",IF([@VARIANCE_KG]="","PENDING",IF(ABS([@VARIANCE_KG])&lt;=0.001,"OK","VARIANCE")))</f>
        <v/>
      </c>
    </row>
    <row r="19">
      <c r="A19" s="20" t="n">
        <v>18</v>
      </c>
      <c r="B19" s="20">
        <f>IFERROR(INDEX(T_STATEMENT_LINE[STATEMENT_ID],[@ROW_INDEX]),"")</f>
        <v/>
      </c>
      <c r="C19" s="20">
        <f>IF([@STATEMENT_ID]="","",IFERROR(INDEX(T_STATEMENT[STATEMENT_CODE],MATCH([@STATEMENT_ID],T_STATEMENT[STATEMENT_ID],0)),""))</f>
        <v/>
      </c>
      <c r="D19" s="20">
        <f>IFERROR(INDEX(T_STATEMENT_LINE[MATERIAL_ID],[@ROW_INDEX]),"")</f>
        <v/>
      </c>
      <c r="E19" s="20">
        <f>IFERROR(INDEX(T_STATEMENT_LINE[PACKAGING_LEVEL_ID],[@ROW_INDEX]),"")</f>
        <v/>
      </c>
      <c r="F19" s="20">
        <f>IFERROR(INDEX(T_STATEMENT_LINE[OWNERSHIP_TYPE_ID],[@ROW_INDEX]),"")</f>
        <v/>
      </c>
      <c r="G19" s="20">
        <f>IFERROR(INDEX(T_STATEMENT_LINE[TOTAL_WEIGHT_KG],[@ROW_INDEX]),"")</f>
        <v/>
      </c>
      <c r="H19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19" s="20">
        <f>IF([@RECOMPUTED_WEIGHT_G]="","",[@RECOMPUTED_WEIGHT_G]/1000)</f>
        <v/>
      </c>
      <c r="J19" s="20">
        <f>IF(OR([@FROZEN_TOTAL_WEIGHT_KG]="",[@RECOMPUTED_WEIGHT_KG]=""),"",[@RECOMPUTED_WEIGHT_KG]-[@FROZEN_TOTAL_WEIGHT_KG])</f>
        <v/>
      </c>
      <c r="K19" s="20">
        <f>IF([@STATEMENT_ID]="","",COUNTIF(T_STATEMENT_SHIPMENT[STATEMENT_ID],[@STATEMENT_ID]))</f>
        <v/>
      </c>
      <c r="L19" s="20">
        <f>IF([@STATEMENT_ID]="","",IF([@VARIANCE_KG]="","PENDING",IF(ABS([@VARIANCE_KG])&lt;=0.001,"OK","VARIANCE")))</f>
        <v/>
      </c>
    </row>
    <row r="20">
      <c r="A20" s="20" t="n">
        <v>19</v>
      </c>
      <c r="B20" s="20">
        <f>IFERROR(INDEX(T_STATEMENT_LINE[STATEMENT_ID],[@ROW_INDEX]),"")</f>
        <v/>
      </c>
      <c r="C20" s="20">
        <f>IF([@STATEMENT_ID]="","",IFERROR(INDEX(T_STATEMENT[STATEMENT_CODE],MATCH([@STATEMENT_ID],T_STATEMENT[STATEMENT_ID],0)),""))</f>
        <v/>
      </c>
      <c r="D20" s="20">
        <f>IFERROR(INDEX(T_STATEMENT_LINE[MATERIAL_ID],[@ROW_INDEX]),"")</f>
        <v/>
      </c>
      <c r="E20" s="20">
        <f>IFERROR(INDEX(T_STATEMENT_LINE[PACKAGING_LEVEL_ID],[@ROW_INDEX]),"")</f>
        <v/>
      </c>
      <c r="F20" s="20">
        <f>IFERROR(INDEX(T_STATEMENT_LINE[OWNERSHIP_TYPE_ID],[@ROW_INDEX]),"")</f>
        <v/>
      </c>
      <c r="G20" s="20">
        <f>IFERROR(INDEX(T_STATEMENT_LINE[TOTAL_WEIGHT_KG],[@ROW_INDEX]),"")</f>
        <v/>
      </c>
      <c r="H20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0" s="20">
        <f>IF([@RECOMPUTED_WEIGHT_G]="","",[@RECOMPUTED_WEIGHT_G]/1000)</f>
        <v/>
      </c>
      <c r="J20" s="20">
        <f>IF(OR([@FROZEN_TOTAL_WEIGHT_KG]="",[@RECOMPUTED_WEIGHT_KG]=""),"",[@RECOMPUTED_WEIGHT_KG]-[@FROZEN_TOTAL_WEIGHT_KG])</f>
        <v/>
      </c>
      <c r="K20" s="20">
        <f>IF([@STATEMENT_ID]="","",COUNTIF(T_STATEMENT_SHIPMENT[STATEMENT_ID],[@STATEMENT_ID]))</f>
        <v/>
      </c>
      <c r="L20" s="20">
        <f>IF([@STATEMENT_ID]="","",IF([@VARIANCE_KG]="","PENDING",IF(ABS([@VARIANCE_KG])&lt;=0.001,"OK","VARIANCE")))</f>
        <v/>
      </c>
    </row>
    <row r="21">
      <c r="A21" s="20" t="n">
        <v>20</v>
      </c>
      <c r="B21" s="20">
        <f>IFERROR(INDEX(T_STATEMENT_LINE[STATEMENT_ID],[@ROW_INDEX]),"")</f>
        <v/>
      </c>
      <c r="C21" s="20">
        <f>IF([@STATEMENT_ID]="","",IFERROR(INDEX(T_STATEMENT[STATEMENT_CODE],MATCH([@STATEMENT_ID],T_STATEMENT[STATEMENT_ID],0)),""))</f>
        <v/>
      </c>
      <c r="D21" s="20">
        <f>IFERROR(INDEX(T_STATEMENT_LINE[MATERIAL_ID],[@ROW_INDEX]),"")</f>
        <v/>
      </c>
      <c r="E21" s="20">
        <f>IFERROR(INDEX(T_STATEMENT_LINE[PACKAGING_LEVEL_ID],[@ROW_INDEX]),"")</f>
        <v/>
      </c>
      <c r="F21" s="20">
        <f>IFERROR(INDEX(T_STATEMENT_LINE[OWNERSHIP_TYPE_ID],[@ROW_INDEX]),"")</f>
        <v/>
      </c>
      <c r="G21" s="20">
        <f>IFERROR(INDEX(T_STATEMENT_LINE[TOTAL_WEIGHT_KG],[@ROW_INDEX]),"")</f>
        <v/>
      </c>
      <c r="H21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1" s="20">
        <f>IF([@RECOMPUTED_WEIGHT_G]="","",[@RECOMPUTED_WEIGHT_G]/1000)</f>
        <v/>
      </c>
      <c r="J21" s="20">
        <f>IF(OR([@FROZEN_TOTAL_WEIGHT_KG]="",[@RECOMPUTED_WEIGHT_KG]=""),"",[@RECOMPUTED_WEIGHT_KG]-[@FROZEN_TOTAL_WEIGHT_KG])</f>
        <v/>
      </c>
      <c r="K21" s="20">
        <f>IF([@STATEMENT_ID]="","",COUNTIF(T_STATEMENT_SHIPMENT[STATEMENT_ID],[@STATEMENT_ID]))</f>
        <v/>
      </c>
      <c r="L21" s="20">
        <f>IF([@STATEMENT_ID]="","",IF([@VARIANCE_KG]="","PENDING",IF(ABS([@VARIANCE_KG])&lt;=0.001,"OK","VARIANCE")))</f>
        <v/>
      </c>
    </row>
    <row r="22">
      <c r="A22" s="20" t="n">
        <v>21</v>
      </c>
      <c r="B22" s="20">
        <f>IFERROR(INDEX(T_STATEMENT_LINE[STATEMENT_ID],[@ROW_INDEX]),"")</f>
        <v/>
      </c>
      <c r="C22" s="20">
        <f>IF([@STATEMENT_ID]="","",IFERROR(INDEX(T_STATEMENT[STATEMENT_CODE],MATCH([@STATEMENT_ID],T_STATEMENT[STATEMENT_ID],0)),""))</f>
        <v/>
      </c>
      <c r="D22" s="20">
        <f>IFERROR(INDEX(T_STATEMENT_LINE[MATERIAL_ID],[@ROW_INDEX]),"")</f>
        <v/>
      </c>
      <c r="E22" s="20">
        <f>IFERROR(INDEX(T_STATEMENT_LINE[PACKAGING_LEVEL_ID],[@ROW_INDEX]),"")</f>
        <v/>
      </c>
      <c r="F22" s="20">
        <f>IFERROR(INDEX(T_STATEMENT_LINE[OWNERSHIP_TYPE_ID],[@ROW_INDEX]),"")</f>
        <v/>
      </c>
      <c r="G22" s="20">
        <f>IFERROR(INDEX(T_STATEMENT_LINE[TOTAL_WEIGHT_KG],[@ROW_INDEX]),"")</f>
        <v/>
      </c>
      <c r="H22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2" s="20">
        <f>IF([@RECOMPUTED_WEIGHT_G]="","",[@RECOMPUTED_WEIGHT_G]/1000)</f>
        <v/>
      </c>
      <c r="J22" s="20">
        <f>IF(OR([@FROZEN_TOTAL_WEIGHT_KG]="",[@RECOMPUTED_WEIGHT_KG]=""),"",[@RECOMPUTED_WEIGHT_KG]-[@FROZEN_TOTAL_WEIGHT_KG])</f>
        <v/>
      </c>
      <c r="K22" s="20">
        <f>IF([@STATEMENT_ID]="","",COUNTIF(T_STATEMENT_SHIPMENT[STATEMENT_ID],[@STATEMENT_ID]))</f>
        <v/>
      </c>
      <c r="L22" s="20">
        <f>IF([@STATEMENT_ID]="","",IF([@VARIANCE_KG]="","PENDING",IF(ABS([@VARIANCE_KG])&lt;=0.001,"OK","VARIANCE")))</f>
        <v/>
      </c>
    </row>
    <row r="23">
      <c r="A23" s="20" t="n">
        <v>22</v>
      </c>
      <c r="B23" s="20">
        <f>IFERROR(INDEX(T_STATEMENT_LINE[STATEMENT_ID],[@ROW_INDEX]),"")</f>
        <v/>
      </c>
      <c r="C23" s="20">
        <f>IF([@STATEMENT_ID]="","",IFERROR(INDEX(T_STATEMENT[STATEMENT_CODE],MATCH([@STATEMENT_ID],T_STATEMENT[STATEMENT_ID],0)),""))</f>
        <v/>
      </c>
      <c r="D23" s="20">
        <f>IFERROR(INDEX(T_STATEMENT_LINE[MATERIAL_ID],[@ROW_INDEX]),"")</f>
        <v/>
      </c>
      <c r="E23" s="20">
        <f>IFERROR(INDEX(T_STATEMENT_LINE[PACKAGING_LEVEL_ID],[@ROW_INDEX]),"")</f>
        <v/>
      </c>
      <c r="F23" s="20">
        <f>IFERROR(INDEX(T_STATEMENT_LINE[OWNERSHIP_TYPE_ID],[@ROW_INDEX]),"")</f>
        <v/>
      </c>
      <c r="G23" s="20">
        <f>IFERROR(INDEX(T_STATEMENT_LINE[TOTAL_WEIGHT_KG],[@ROW_INDEX]),"")</f>
        <v/>
      </c>
      <c r="H23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3" s="20">
        <f>IF([@RECOMPUTED_WEIGHT_G]="","",[@RECOMPUTED_WEIGHT_G]/1000)</f>
        <v/>
      </c>
      <c r="J23" s="20">
        <f>IF(OR([@FROZEN_TOTAL_WEIGHT_KG]="",[@RECOMPUTED_WEIGHT_KG]=""),"",[@RECOMPUTED_WEIGHT_KG]-[@FROZEN_TOTAL_WEIGHT_KG])</f>
        <v/>
      </c>
      <c r="K23" s="20">
        <f>IF([@STATEMENT_ID]="","",COUNTIF(T_STATEMENT_SHIPMENT[STATEMENT_ID],[@STATEMENT_ID]))</f>
        <v/>
      </c>
      <c r="L23" s="20">
        <f>IF([@STATEMENT_ID]="","",IF([@VARIANCE_KG]="","PENDING",IF(ABS([@VARIANCE_KG])&lt;=0.001,"OK","VARIANCE")))</f>
        <v/>
      </c>
    </row>
    <row r="24">
      <c r="A24" s="20" t="n">
        <v>23</v>
      </c>
      <c r="B24" s="20">
        <f>IFERROR(INDEX(T_STATEMENT_LINE[STATEMENT_ID],[@ROW_INDEX]),"")</f>
        <v/>
      </c>
      <c r="C24" s="20">
        <f>IF([@STATEMENT_ID]="","",IFERROR(INDEX(T_STATEMENT[STATEMENT_CODE],MATCH([@STATEMENT_ID],T_STATEMENT[STATEMENT_ID],0)),""))</f>
        <v/>
      </c>
      <c r="D24" s="20">
        <f>IFERROR(INDEX(T_STATEMENT_LINE[MATERIAL_ID],[@ROW_INDEX]),"")</f>
        <v/>
      </c>
      <c r="E24" s="20">
        <f>IFERROR(INDEX(T_STATEMENT_LINE[PACKAGING_LEVEL_ID],[@ROW_INDEX]),"")</f>
        <v/>
      </c>
      <c r="F24" s="20">
        <f>IFERROR(INDEX(T_STATEMENT_LINE[OWNERSHIP_TYPE_ID],[@ROW_INDEX]),"")</f>
        <v/>
      </c>
      <c r="G24" s="20">
        <f>IFERROR(INDEX(T_STATEMENT_LINE[TOTAL_WEIGHT_KG],[@ROW_INDEX]),"")</f>
        <v/>
      </c>
      <c r="H24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4" s="20">
        <f>IF([@RECOMPUTED_WEIGHT_G]="","",[@RECOMPUTED_WEIGHT_G]/1000)</f>
        <v/>
      </c>
      <c r="J24" s="20">
        <f>IF(OR([@FROZEN_TOTAL_WEIGHT_KG]="",[@RECOMPUTED_WEIGHT_KG]=""),"",[@RECOMPUTED_WEIGHT_KG]-[@FROZEN_TOTAL_WEIGHT_KG])</f>
        <v/>
      </c>
      <c r="K24" s="20">
        <f>IF([@STATEMENT_ID]="","",COUNTIF(T_STATEMENT_SHIPMENT[STATEMENT_ID],[@STATEMENT_ID]))</f>
        <v/>
      </c>
      <c r="L24" s="20">
        <f>IF([@STATEMENT_ID]="","",IF([@VARIANCE_KG]="","PENDING",IF(ABS([@VARIANCE_KG])&lt;=0.001,"OK","VARIANCE")))</f>
        <v/>
      </c>
    </row>
    <row r="25">
      <c r="A25" s="20" t="n">
        <v>24</v>
      </c>
      <c r="B25" s="20">
        <f>IFERROR(INDEX(T_STATEMENT_LINE[STATEMENT_ID],[@ROW_INDEX]),"")</f>
        <v/>
      </c>
      <c r="C25" s="20">
        <f>IF([@STATEMENT_ID]="","",IFERROR(INDEX(T_STATEMENT[STATEMENT_CODE],MATCH([@STATEMENT_ID],T_STATEMENT[STATEMENT_ID],0)),""))</f>
        <v/>
      </c>
      <c r="D25" s="20">
        <f>IFERROR(INDEX(T_STATEMENT_LINE[MATERIAL_ID],[@ROW_INDEX]),"")</f>
        <v/>
      </c>
      <c r="E25" s="20">
        <f>IFERROR(INDEX(T_STATEMENT_LINE[PACKAGING_LEVEL_ID],[@ROW_INDEX]),"")</f>
        <v/>
      </c>
      <c r="F25" s="20">
        <f>IFERROR(INDEX(T_STATEMENT_LINE[OWNERSHIP_TYPE_ID],[@ROW_INDEX]),"")</f>
        <v/>
      </c>
      <c r="G25" s="20">
        <f>IFERROR(INDEX(T_STATEMENT_LINE[TOTAL_WEIGHT_KG],[@ROW_INDEX]),"")</f>
        <v/>
      </c>
      <c r="H25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5" s="20">
        <f>IF([@RECOMPUTED_WEIGHT_G]="","",[@RECOMPUTED_WEIGHT_G]/1000)</f>
        <v/>
      </c>
      <c r="J25" s="20">
        <f>IF(OR([@FROZEN_TOTAL_WEIGHT_KG]="",[@RECOMPUTED_WEIGHT_KG]=""),"",[@RECOMPUTED_WEIGHT_KG]-[@FROZEN_TOTAL_WEIGHT_KG])</f>
        <v/>
      </c>
      <c r="K25" s="20">
        <f>IF([@STATEMENT_ID]="","",COUNTIF(T_STATEMENT_SHIPMENT[STATEMENT_ID],[@STATEMENT_ID]))</f>
        <v/>
      </c>
      <c r="L25" s="20">
        <f>IF([@STATEMENT_ID]="","",IF([@VARIANCE_KG]="","PENDING",IF(ABS([@VARIANCE_KG])&lt;=0.001,"OK","VARIANCE")))</f>
        <v/>
      </c>
    </row>
    <row r="26">
      <c r="A26" s="20" t="n">
        <v>25</v>
      </c>
      <c r="B26" s="20">
        <f>IFERROR(INDEX(T_STATEMENT_LINE[STATEMENT_ID],[@ROW_INDEX]),"")</f>
        <v/>
      </c>
      <c r="C26" s="20">
        <f>IF([@STATEMENT_ID]="","",IFERROR(INDEX(T_STATEMENT[STATEMENT_CODE],MATCH([@STATEMENT_ID],T_STATEMENT[STATEMENT_ID],0)),""))</f>
        <v/>
      </c>
      <c r="D26" s="20">
        <f>IFERROR(INDEX(T_STATEMENT_LINE[MATERIAL_ID],[@ROW_INDEX]),"")</f>
        <v/>
      </c>
      <c r="E26" s="20">
        <f>IFERROR(INDEX(T_STATEMENT_LINE[PACKAGING_LEVEL_ID],[@ROW_INDEX]),"")</f>
        <v/>
      </c>
      <c r="F26" s="20">
        <f>IFERROR(INDEX(T_STATEMENT_LINE[OWNERSHIP_TYPE_ID],[@ROW_INDEX]),"")</f>
        <v/>
      </c>
      <c r="G26" s="20">
        <f>IFERROR(INDEX(T_STATEMENT_LINE[TOTAL_WEIGHT_KG],[@ROW_INDEX]),"")</f>
        <v/>
      </c>
      <c r="H26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6" s="20">
        <f>IF([@RECOMPUTED_WEIGHT_G]="","",[@RECOMPUTED_WEIGHT_G]/1000)</f>
        <v/>
      </c>
      <c r="J26" s="20">
        <f>IF(OR([@FROZEN_TOTAL_WEIGHT_KG]="",[@RECOMPUTED_WEIGHT_KG]=""),"",[@RECOMPUTED_WEIGHT_KG]-[@FROZEN_TOTAL_WEIGHT_KG])</f>
        <v/>
      </c>
      <c r="K26" s="20">
        <f>IF([@STATEMENT_ID]="","",COUNTIF(T_STATEMENT_SHIPMENT[STATEMENT_ID],[@STATEMENT_ID]))</f>
        <v/>
      </c>
      <c r="L26" s="20">
        <f>IF([@STATEMENT_ID]="","",IF([@VARIANCE_KG]="","PENDING",IF(ABS([@VARIANCE_KG])&lt;=0.001,"OK","VARIANCE")))</f>
        <v/>
      </c>
    </row>
    <row r="27">
      <c r="A27" s="20" t="n">
        <v>26</v>
      </c>
      <c r="B27" s="20">
        <f>IFERROR(INDEX(T_STATEMENT_LINE[STATEMENT_ID],[@ROW_INDEX]),"")</f>
        <v/>
      </c>
      <c r="C27" s="20">
        <f>IF([@STATEMENT_ID]="","",IFERROR(INDEX(T_STATEMENT[STATEMENT_CODE],MATCH([@STATEMENT_ID],T_STATEMENT[STATEMENT_ID],0)),""))</f>
        <v/>
      </c>
      <c r="D27" s="20">
        <f>IFERROR(INDEX(T_STATEMENT_LINE[MATERIAL_ID],[@ROW_INDEX]),"")</f>
        <v/>
      </c>
      <c r="E27" s="20">
        <f>IFERROR(INDEX(T_STATEMENT_LINE[PACKAGING_LEVEL_ID],[@ROW_INDEX]),"")</f>
        <v/>
      </c>
      <c r="F27" s="20">
        <f>IFERROR(INDEX(T_STATEMENT_LINE[OWNERSHIP_TYPE_ID],[@ROW_INDEX]),"")</f>
        <v/>
      </c>
      <c r="G27" s="20">
        <f>IFERROR(INDEX(T_STATEMENT_LINE[TOTAL_WEIGHT_KG],[@ROW_INDEX]),"")</f>
        <v/>
      </c>
      <c r="H27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7" s="20">
        <f>IF([@RECOMPUTED_WEIGHT_G]="","",[@RECOMPUTED_WEIGHT_G]/1000)</f>
        <v/>
      </c>
      <c r="J27" s="20">
        <f>IF(OR([@FROZEN_TOTAL_WEIGHT_KG]="",[@RECOMPUTED_WEIGHT_KG]=""),"",[@RECOMPUTED_WEIGHT_KG]-[@FROZEN_TOTAL_WEIGHT_KG])</f>
        <v/>
      </c>
      <c r="K27" s="20">
        <f>IF([@STATEMENT_ID]="","",COUNTIF(T_STATEMENT_SHIPMENT[STATEMENT_ID],[@STATEMENT_ID]))</f>
        <v/>
      </c>
      <c r="L27" s="20">
        <f>IF([@STATEMENT_ID]="","",IF([@VARIANCE_KG]="","PENDING",IF(ABS([@VARIANCE_KG])&lt;=0.001,"OK","VARIANCE")))</f>
        <v/>
      </c>
    </row>
    <row r="28">
      <c r="A28" s="20" t="n">
        <v>27</v>
      </c>
      <c r="B28" s="20">
        <f>IFERROR(INDEX(T_STATEMENT_LINE[STATEMENT_ID],[@ROW_INDEX]),"")</f>
        <v/>
      </c>
      <c r="C28" s="20">
        <f>IF([@STATEMENT_ID]="","",IFERROR(INDEX(T_STATEMENT[STATEMENT_CODE],MATCH([@STATEMENT_ID],T_STATEMENT[STATEMENT_ID],0)),""))</f>
        <v/>
      </c>
      <c r="D28" s="20">
        <f>IFERROR(INDEX(T_STATEMENT_LINE[MATERIAL_ID],[@ROW_INDEX]),"")</f>
        <v/>
      </c>
      <c r="E28" s="20">
        <f>IFERROR(INDEX(T_STATEMENT_LINE[PACKAGING_LEVEL_ID],[@ROW_INDEX]),"")</f>
        <v/>
      </c>
      <c r="F28" s="20">
        <f>IFERROR(INDEX(T_STATEMENT_LINE[OWNERSHIP_TYPE_ID],[@ROW_INDEX]),"")</f>
        <v/>
      </c>
      <c r="G28" s="20">
        <f>IFERROR(INDEX(T_STATEMENT_LINE[TOTAL_WEIGHT_KG],[@ROW_INDEX]),"")</f>
        <v/>
      </c>
      <c r="H28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8" s="20">
        <f>IF([@RECOMPUTED_WEIGHT_G]="","",[@RECOMPUTED_WEIGHT_G]/1000)</f>
        <v/>
      </c>
      <c r="J28" s="20">
        <f>IF(OR([@FROZEN_TOTAL_WEIGHT_KG]="",[@RECOMPUTED_WEIGHT_KG]=""),"",[@RECOMPUTED_WEIGHT_KG]-[@FROZEN_TOTAL_WEIGHT_KG])</f>
        <v/>
      </c>
      <c r="K28" s="20">
        <f>IF([@STATEMENT_ID]="","",COUNTIF(T_STATEMENT_SHIPMENT[STATEMENT_ID],[@STATEMENT_ID]))</f>
        <v/>
      </c>
      <c r="L28" s="20">
        <f>IF([@STATEMENT_ID]="","",IF([@VARIANCE_KG]="","PENDING",IF(ABS([@VARIANCE_KG])&lt;=0.001,"OK","VARIANCE")))</f>
        <v/>
      </c>
    </row>
    <row r="29">
      <c r="A29" s="20" t="n">
        <v>28</v>
      </c>
      <c r="B29" s="20">
        <f>IFERROR(INDEX(T_STATEMENT_LINE[STATEMENT_ID],[@ROW_INDEX]),"")</f>
        <v/>
      </c>
      <c r="C29" s="20">
        <f>IF([@STATEMENT_ID]="","",IFERROR(INDEX(T_STATEMENT[STATEMENT_CODE],MATCH([@STATEMENT_ID],T_STATEMENT[STATEMENT_ID],0)),""))</f>
        <v/>
      </c>
      <c r="D29" s="20">
        <f>IFERROR(INDEX(T_STATEMENT_LINE[MATERIAL_ID],[@ROW_INDEX]),"")</f>
        <v/>
      </c>
      <c r="E29" s="20">
        <f>IFERROR(INDEX(T_STATEMENT_LINE[PACKAGING_LEVEL_ID],[@ROW_INDEX]),"")</f>
        <v/>
      </c>
      <c r="F29" s="20">
        <f>IFERROR(INDEX(T_STATEMENT_LINE[OWNERSHIP_TYPE_ID],[@ROW_INDEX]),"")</f>
        <v/>
      </c>
      <c r="G29" s="20">
        <f>IFERROR(INDEX(T_STATEMENT_LINE[TOTAL_WEIGHT_KG],[@ROW_INDEX]),"")</f>
        <v/>
      </c>
      <c r="H29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29" s="20">
        <f>IF([@RECOMPUTED_WEIGHT_G]="","",[@RECOMPUTED_WEIGHT_G]/1000)</f>
        <v/>
      </c>
      <c r="J29" s="20">
        <f>IF(OR([@FROZEN_TOTAL_WEIGHT_KG]="",[@RECOMPUTED_WEIGHT_KG]=""),"",[@RECOMPUTED_WEIGHT_KG]-[@FROZEN_TOTAL_WEIGHT_KG])</f>
        <v/>
      </c>
      <c r="K29" s="20">
        <f>IF([@STATEMENT_ID]="","",COUNTIF(T_STATEMENT_SHIPMENT[STATEMENT_ID],[@STATEMENT_ID]))</f>
        <v/>
      </c>
      <c r="L29" s="20">
        <f>IF([@STATEMENT_ID]="","",IF([@VARIANCE_KG]="","PENDING",IF(ABS([@VARIANCE_KG])&lt;=0.001,"OK","VARIANCE")))</f>
        <v/>
      </c>
    </row>
    <row r="30">
      <c r="A30" s="20" t="n">
        <v>29</v>
      </c>
      <c r="B30" s="20">
        <f>IFERROR(INDEX(T_STATEMENT_LINE[STATEMENT_ID],[@ROW_INDEX]),"")</f>
        <v/>
      </c>
      <c r="C30" s="20">
        <f>IF([@STATEMENT_ID]="","",IFERROR(INDEX(T_STATEMENT[STATEMENT_CODE],MATCH([@STATEMENT_ID],T_STATEMENT[STATEMENT_ID],0)),""))</f>
        <v/>
      </c>
      <c r="D30" s="20">
        <f>IFERROR(INDEX(T_STATEMENT_LINE[MATERIAL_ID],[@ROW_INDEX]),"")</f>
        <v/>
      </c>
      <c r="E30" s="20">
        <f>IFERROR(INDEX(T_STATEMENT_LINE[PACKAGING_LEVEL_ID],[@ROW_INDEX]),"")</f>
        <v/>
      </c>
      <c r="F30" s="20">
        <f>IFERROR(INDEX(T_STATEMENT_LINE[OWNERSHIP_TYPE_ID],[@ROW_INDEX]),"")</f>
        <v/>
      </c>
      <c r="G30" s="20">
        <f>IFERROR(INDEX(T_STATEMENT_LINE[TOTAL_WEIGHT_KG],[@ROW_INDEX]),"")</f>
        <v/>
      </c>
      <c r="H30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0" s="20">
        <f>IF([@RECOMPUTED_WEIGHT_G]="","",[@RECOMPUTED_WEIGHT_G]/1000)</f>
        <v/>
      </c>
      <c r="J30" s="20">
        <f>IF(OR([@FROZEN_TOTAL_WEIGHT_KG]="",[@RECOMPUTED_WEIGHT_KG]=""),"",[@RECOMPUTED_WEIGHT_KG]-[@FROZEN_TOTAL_WEIGHT_KG])</f>
        <v/>
      </c>
      <c r="K30" s="20">
        <f>IF([@STATEMENT_ID]="","",COUNTIF(T_STATEMENT_SHIPMENT[STATEMENT_ID],[@STATEMENT_ID]))</f>
        <v/>
      </c>
      <c r="L30" s="20">
        <f>IF([@STATEMENT_ID]="","",IF([@VARIANCE_KG]="","PENDING",IF(ABS([@VARIANCE_KG])&lt;=0.001,"OK","VARIANCE")))</f>
        <v/>
      </c>
    </row>
    <row r="31">
      <c r="A31" s="20" t="n">
        <v>30</v>
      </c>
      <c r="B31" s="20">
        <f>IFERROR(INDEX(T_STATEMENT_LINE[STATEMENT_ID],[@ROW_INDEX]),"")</f>
        <v/>
      </c>
      <c r="C31" s="20">
        <f>IF([@STATEMENT_ID]="","",IFERROR(INDEX(T_STATEMENT[STATEMENT_CODE],MATCH([@STATEMENT_ID],T_STATEMENT[STATEMENT_ID],0)),""))</f>
        <v/>
      </c>
      <c r="D31" s="20">
        <f>IFERROR(INDEX(T_STATEMENT_LINE[MATERIAL_ID],[@ROW_INDEX]),"")</f>
        <v/>
      </c>
      <c r="E31" s="20">
        <f>IFERROR(INDEX(T_STATEMENT_LINE[PACKAGING_LEVEL_ID],[@ROW_INDEX]),"")</f>
        <v/>
      </c>
      <c r="F31" s="20">
        <f>IFERROR(INDEX(T_STATEMENT_LINE[OWNERSHIP_TYPE_ID],[@ROW_INDEX]),"")</f>
        <v/>
      </c>
      <c r="G31" s="20">
        <f>IFERROR(INDEX(T_STATEMENT_LINE[TOTAL_WEIGHT_KG],[@ROW_INDEX]),"")</f>
        <v/>
      </c>
      <c r="H31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1" s="20">
        <f>IF([@RECOMPUTED_WEIGHT_G]="","",[@RECOMPUTED_WEIGHT_G]/1000)</f>
        <v/>
      </c>
      <c r="J31" s="20">
        <f>IF(OR([@FROZEN_TOTAL_WEIGHT_KG]="",[@RECOMPUTED_WEIGHT_KG]=""),"",[@RECOMPUTED_WEIGHT_KG]-[@FROZEN_TOTAL_WEIGHT_KG])</f>
        <v/>
      </c>
      <c r="K31" s="20">
        <f>IF([@STATEMENT_ID]="","",COUNTIF(T_STATEMENT_SHIPMENT[STATEMENT_ID],[@STATEMENT_ID]))</f>
        <v/>
      </c>
      <c r="L31" s="20">
        <f>IF([@STATEMENT_ID]="","",IF([@VARIANCE_KG]="","PENDING",IF(ABS([@VARIANCE_KG])&lt;=0.001,"OK","VARIANCE")))</f>
        <v/>
      </c>
    </row>
    <row r="32">
      <c r="A32" s="20" t="n">
        <v>31</v>
      </c>
      <c r="B32" s="20">
        <f>IFERROR(INDEX(T_STATEMENT_LINE[STATEMENT_ID],[@ROW_INDEX]),"")</f>
        <v/>
      </c>
      <c r="C32" s="20">
        <f>IF([@STATEMENT_ID]="","",IFERROR(INDEX(T_STATEMENT[STATEMENT_CODE],MATCH([@STATEMENT_ID],T_STATEMENT[STATEMENT_ID],0)),""))</f>
        <v/>
      </c>
      <c r="D32" s="20">
        <f>IFERROR(INDEX(T_STATEMENT_LINE[MATERIAL_ID],[@ROW_INDEX]),"")</f>
        <v/>
      </c>
      <c r="E32" s="20">
        <f>IFERROR(INDEX(T_STATEMENT_LINE[PACKAGING_LEVEL_ID],[@ROW_INDEX]),"")</f>
        <v/>
      </c>
      <c r="F32" s="20">
        <f>IFERROR(INDEX(T_STATEMENT_LINE[OWNERSHIP_TYPE_ID],[@ROW_INDEX]),"")</f>
        <v/>
      </c>
      <c r="G32" s="20">
        <f>IFERROR(INDEX(T_STATEMENT_LINE[TOTAL_WEIGHT_KG],[@ROW_INDEX]),"")</f>
        <v/>
      </c>
      <c r="H32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2" s="20">
        <f>IF([@RECOMPUTED_WEIGHT_G]="","",[@RECOMPUTED_WEIGHT_G]/1000)</f>
        <v/>
      </c>
      <c r="J32" s="20">
        <f>IF(OR([@FROZEN_TOTAL_WEIGHT_KG]="",[@RECOMPUTED_WEIGHT_KG]=""),"",[@RECOMPUTED_WEIGHT_KG]-[@FROZEN_TOTAL_WEIGHT_KG])</f>
        <v/>
      </c>
      <c r="K32" s="20">
        <f>IF([@STATEMENT_ID]="","",COUNTIF(T_STATEMENT_SHIPMENT[STATEMENT_ID],[@STATEMENT_ID]))</f>
        <v/>
      </c>
      <c r="L32" s="20">
        <f>IF([@STATEMENT_ID]="","",IF([@VARIANCE_KG]="","PENDING",IF(ABS([@VARIANCE_KG])&lt;=0.001,"OK","VARIANCE")))</f>
        <v/>
      </c>
    </row>
    <row r="33">
      <c r="A33" s="20" t="n">
        <v>32</v>
      </c>
      <c r="B33" s="20">
        <f>IFERROR(INDEX(T_STATEMENT_LINE[STATEMENT_ID],[@ROW_INDEX]),"")</f>
        <v/>
      </c>
      <c r="C33" s="20">
        <f>IF([@STATEMENT_ID]="","",IFERROR(INDEX(T_STATEMENT[STATEMENT_CODE],MATCH([@STATEMENT_ID],T_STATEMENT[STATEMENT_ID],0)),""))</f>
        <v/>
      </c>
      <c r="D33" s="20">
        <f>IFERROR(INDEX(T_STATEMENT_LINE[MATERIAL_ID],[@ROW_INDEX]),"")</f>
        <v/>
      </c>
      <c r="E33" s="20">
        <f>IFERROR(INDEX(T_STATEMENT_LINE[PACKAGING_LEVEL_ID],[@ROW_INDEX]),"")</f>
        <v/>
      </c>
      <c r="F33" s="20">
        <f>IFERROR(INDEX(T_STATEMENT_LINE[OWNERSHIP_TYPE_ID],[@ROW_INDEX]),"")</f>
        <v/>
      </c>
      <c r="G33" s="20">
        <f>IFERROR(INDEX(T_STATEMENT_LINE[TOTAL_WEIGHT_KG],[@ROW_INDEX]),"")</f>
        <v/>
      </c>
      <c r="H33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3" s="20">
        <f>IF([@RECOMPUTED_WEIGHT_G]="","",[@RECOMPUTED_WEIGHT_G]/1000)</f>
        <v/>
      </c>
      <c r="J33" s="20">
        <f>IF(OR([@FROZEN_TOTAL_WEIGHT_KG]="",[@RECOMPUTED_WEIGHT_KG]=""),"",[@RECOMPUTED_WEIGHT_KG]-[@FROZEN_TOTAL_WEIGHT_KG])</f>
        <v/>
      </c>
      <c r="K33" s="20">
        <f>IF([@STATEMENT_ID]="","",COUNTIF(T_STATEMENT_SHIPMENT[STATEMENT_ID],[@STATEMENT_ID]))</f>
        <v/>
      </c>
      <c r="L33" s="20">
        <f>IF([@STATEMENT_ID]="","",IF([@VARIANCE_KG]="","PENDING",IF(ABS([@VARIANCE_KG])&lt;=0.001,"OK","VARIANCE")))</f>
        <v/>
      </c>
    </row>
    <row r="34">
      <c r="A34" s="20" t="n">
        <v>33</v>
      </c>
      <c r="B34" s="20">
        <f>IFERROR(INDEX(T_STATEMENT_LINE[STATEMENT_ID],[@ROW_INDEX]),"")</f>
        <v/>
      </c>
      <c r="C34" s="20">
        <f>IF([@STATEMENT_ID]="","",IFERROR(INDEX(T_STATEMENT[STATEMENT_CODE],MATCH([@STATEMENT_ID],T_STATEMENT[STATEMENT_ID],0)),""))</f>
        <v/>
      </c>
      <c r="D34" s="20">
        <f>IFERROR(INDEX(T_STATEMENT_LINE[MATERIAL_ID],[@ROW_INDEX]),"")</f>
        <v/>
      </c>
      <c r="E34" s="20">
        <f>IFERROR(INDEX(T_STATEMENT_LINE[PACKAGING_LEVEL_ID],[@ROW_INDEX]),"")</f>
        <v/>
      </c>
      <c r="F34" s="20">
        <f>IFERROR(INDEX(T_STATEMENT_LINE[OWNERSHIP_TYPE_ID],[@ROW_INDEX]),"")</f>
        <v/>
      </c>
      <c r="G34" s="20">
        <f>IFERROR(INDEX(T_STATEMENT_LINE[TOTAL_WEIGHT_KG],[@ROW_INDEX]),"")</f>
        <v/>
      </c>
      <c r="H34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4" s="20">
        <f>IF([@RECOMPUTED_WEIGHT_G]="","",[@RECOMPUTED_WEIGHT_G]/1000)</f>
        <v/>
      </c>
      <c r="J34" s="20">
        <f>IF(OR([@FROZEN_TOTAL_WEIGHT_KG]="",[@RECOMPUTED_WEIGHT_KG]=""),"",[@RECOMPUTED_WEIGHT_KG]-[@FROZEN_TOTAL_WEIGHT_KG])</f>
        <v/>
      </c>
      <c r="K34" s="20">
        <f>IF([@STATEMENT_ID]="","",COUNTIF(T_STATEMENT_SHIPMENT[STATEMENT_ID],[@STATEMENT_ID]))</f>
        <v/>
      </c>
      <c r="L34" s="20">
        <f>IF([@STATEMENT_ID]="","",IF([@VARIANCE_KG]="","PENDING",IF(ABS([@VARIANCE_KG])&lt;=0.001,"OK","VARIANCE")))</f>
        <v/>
      </c>
    </row>
    <row r="35">
      <c r="A35" s="20" t="n">
        <v>34</v>
      </c>
      <c r="B35" s="20">
        <f>IFERROR(INDEX(T_STATEMENT_LINE[STATEMENT_ID],[@ROW_INDEX]),"")</f>
        <v/>
      </c>
      <c r="C35" s="20">
        <f>IF([@STATEMENT_ID]="","",IFERROR(INDEX(T_STATEMENT[STATEMENT_CODE],MATCH([@STATEMENT_ID],T_STATEMENT[STATEMENT_ID],0)),""))</f>
        <v/>
      </c>
      <c r="D35" s="20">
        <f>IFERROR(INDEX(T_STATEMENT_LINE[MATERIAL_ID],[@ROW_INDEX]),"")</f>
        <v/>
      </c>
      <c r="E35" s="20">
        <f>IFERROR(INDEX(T_STATEMENT_LINE[PACKAGING_LEVEL_ID],[@ROW_INDEX]),"")</f>
        <v/>
      </c>
      <c r="F35" s="20">
        <f>IFERROR(INDEX(T_STATEMENT_LINE[OWNERSHIP_TYPE_ID],[@ROW_INDEX]),"")</f>
        <v/>
      </c>
      <c r="G35" s="20">
        <f>IFERROR(INDEX(T_STATEMENT_LINE[TOTAL_WEIGHT_KG],[@ROW_INDEX]),"")</f>
        <v/>
      </c>
      <c r="H35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5" s="20">
        <f>IF([@RECOMPUTED_WEIGHT_G]="","",[@RECOMPUTED_WEIGHT_G]/1000)</f>
        <v/>
      </c>
      <c r="J35" s="20">
        <f>IF(OR([@FROZEN_TOTAL_WEIGHT_KG]="",[@RECOMPUTED_WEIGHT_KG]=""),"",[@RECOMPUTED_WEIGHT_KG]-[@FROZEN_TOTAL_WEIGHT_KG])</f>
        <v/>
      </c>
      <c r="K35" s="20">
        <f>IF([@STATEMENT_ID]="","",COUNTIF(T_STATEMENT_SHIPMENT[STATEMENT_ID],[@STATEMENT_ID]))</f>
        <v/>
      </c>
      <c r="L35" s="20">
        <f>IF([@STATEMENT_ID]="","",IF([@VARIANCE_KG]="","PENDING",IF(ABS([@VARIANCE_KG])&lt;=0.001,"OK","VARIANCE")))</f>
        <v/>
      </c>
    </row>
    <row r="36">
      <c r="A36" s="20" t="n">
        <v>35</v>
      </c>
      <c r="B36" s="20">
        <f>IFERROR(INDEX(T_STATEMENT_LINE[STATEMENT_ID],[@ROW_INDEX]),"")</f>
        <v/>
      </c>
      <c r="C36" s="20">
        <f>IF([@STATEMENT_ID]="","",IFERROR(INDEX(T_STATEMENT[STATEMENT_CODE],MATCH([@STATEMENT_ID],T_STATEMENT[STATEMENT_ID],0)),""))</f>
        <v/>
      </c>
      <c r="D36" s="20">
        <f>IFERROR(INDEX(T_STATEMENT_LINE[MATERIAL_ID],[@ROW_INDEX]),"")</f>
        <v/>
      </c>
      <c r="E36" s="20">
        <f>IFERROR(INDEX(T_STATEMENT_LINE[PACKAGING_LEVEL_ID],[@ROW_INDEX]),"")</f>
        <v/>
      </c>
      <c r="F36" s="20">
        <f>IFERROR(INDEX(T_STATEMENT_LINE[OWNERSHIP_TYPE_ID],[@ROW_INDEX]),"")</f>
        <v/>
      </c>
      <c r="G36" s="20">
        <f>IFERROR(INDEX(T_STATEMENT_LINE[TOTAL_WEIGHT_KG],[@ROW_INDEX]),"")</f>
        <v/>
      </c>
      <c r="H36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6" s="20">
        <f>IF([@RECOMPUTED_WEIGHT_G]="","",[@RECOMPUTED_WEIGHT_G]/1000)</f>
        <v/>
      </c>
      <c r="J36" s="20">
        <f>IF(OR([@FROZEN_TOTAL_WEIGHT_KG]="",[@RECOMPUTED_WEIGHT_KG]=""),"",[@RECOMPUTED_WEIGHT_KG]-[@FROZEN_TOTAL_WEIGHT_KG])</f>
        <v/>
      </c>
      <c r="K36" s="20">
        <f>IF([@STATEMENT_ID]="","",COUNTIF(T_STATEMENT_SHIPMENT[STATEMENT_ID],[@STATEMENT_ID]))</f>
        <v/>
      </c>
      <c r="L36" s="20">
        <f>IF([@STATEMENT_ID]="","",IF([@VARIANCE_KG]="","PENDING",IF(ABS([@VARIANCE_KG])&lt;=0.001,"OK","VARIANCE")))</f>
        <v/>
      </c>
    </row>
    <row r="37">
      <c r="A37" s="20" t="n">
        <v>36</v>
      </c>
      <c r="B37" s="20">
        <f>IFERROR(INDEX(T_STATEMENT_LINE[STATEMENT_ID],[@ROW_INDEX]),"")</f>
        <v/>
      </c>
      <c r="C37" s="20">
        <f>IF([@STATEMENT_ID]="","",IFERROR(INDEX(T_STATEMENT[STATEMENT_CODE],MATCH([@STATEMENT_ID],T_STATEMENT[STATEMENT_ID],0)),""))</f>
        <v/>
      </c>
      <c r="D37" s="20">
        <f>IFERROR(INDEX(T_STATEMENT_LINE[MATERIAL_ID],[@ROW_INDEX]),"")</f>
        <v/>
      </c>
      <c r="E37" s="20">
        <f>IFERROR(INDEX(T_STATEMENT_LINE[PACKAGING_LEVEL_ID],[@ROW_INDEX]),"")</f>
        <v/>
      </c>
      <c r="F37" s="20">
        <f>IFERROR(INDEX(T_STATEMENT_LINE[OWNERSHIP_TYPE_ID],[@ROW_INDEX]),"")</f>
        <v/>
      </c>
      <c r="G37" s="20">
        <f>IFERROR(INDEX(T_STATEMENT_LINE[TOTAL_WEIGHT_KG],[@ROW_INDEX]),"")</f>
        <v/>
      </c>
      <c r="H37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7" s="20">
        <f>IF([@RECOMPUTED_WEIGHT_G]="","",[@RECOMPUTED_WEIGHT_G]/1000)</f>
        <v/>
      </c>
      <c r="J37" s="20">
        <f>IF(OR([@FROZEN_TOTAL_WEIGHT_KG]="",[@RECOMPUTED_WEIGHT_KG]=""),"",[@RECOMPUTED_WEIGHT_KG]-[@FROZEN_TOTAL_WEIGHT_KG])</f>
        <v/>
      </c>
      <c r="K37" s="20">
        <f>IF([@STATEMENT_ID]="","",COUNTIF(T_STATEMENT_SHIPMENT[STATEMENT_ID],[@STATEMENT_ID]))</f>
        <v/>
      </c>
      <c r="L37" s="20">
        <f>IF([@STATEMENT_ID]="","",IF([@VARIANCE_KG]="","PENDING",IF(ABS([@VARIANCE_KG])&lt;=0.001,"OK","VARIANCE")))</f>
        <v/>
      </c>
    </row>
    <row r="38">
      <c r="A38" s="20" t="n">
        <v>37</v>
      </c>
      <c r="B38" s="20">
        <f>IFERROR(INDEX(T_STATEMENT_LINE[STATEMENT_ID],[@ROW_INDEX]),"")</f>
        <v/>
      </c>
      <c r="C38" s="20">
        <f>IF([@STATEMENT_ID]="","",IFERROR(INDEX(T_STATEMENT[STATEMENT_CODE],MATCH([@STATEMENT_ID],T_STATEMENT[STATEMENT_ID],0)),""))</f>
        <v/>
      </c>
      <c r="D38" s="20">
        <f>IFERROR(INDEX(T_STATEMENT_LINE[MATERIAL_ID],[@ROW_INDEX]),"")</f>
        <v/>
      </c>
      <c r="E38" s="20">
        <f>IFERROR(INDEX(T_STATEMENT_LINE[PACKAGING_LEVEL_ID],[@ROW_INDEX]),"")</f>
        <v/>
      </c>
      <c r="F38" s="20">
        <f>IFERROR(INDEX(T_STATEMENT_LINE[OWNERSHIP_TYPE_ID],[@ROW_INDEX]),"")</f>
        <v/>
      </c>
      <c r="G38" s="20">
        <f>IFERROR(INDEX(T_STATEMENT_LINE[TOTAL_WEIGHT_KG],[@ROW_INDEX]),"")</f>
        <v/>
      </c>
      <c r="H38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8" s="20">
        <f>IF([@RECOMPUTED_WEIGHT_G]="","",[@RECOMPUTED_WEIGHT_G]/1000)</f>
        <v/>
      </c>
      <c r="J38" s="20">
        <f>IF(OR([@FROZEN_TOTAL_WEIGHT_KG]="",[@RECOMPUTED_WEIGHT_KG]=""),"",[@RECOMPUTED_WEIGHT_KG]-[@FROZEN_TOTAL_WEIGHT_KG])</f>
        <v/>
      </c>
      <c r="K38" s="20">
        <f>IF([@STATEMENT_ID]="","",COUNTIF(T_STATEMENT_SHIPMENT[STATEMENT_ID],[@STATEMENT_ID]))</f>
        <v/>
      </c>
      <c r="L38" s="20">
        <f>IF([@STATEMENT_ID]="","",IF([@VARIANCE_KG]="","PENDING",IF(ABS([@VARIANCE_KG])&lt;=0.001,"OK","VARIANCE")))</f>
        <v/>
      </c>
    </row>
    <row r="39">
      <c r="A39" s="20" t="n">
        <v>38</v>
      </c>
      <c r="B39" s="20">
        <f>IFERROR(INDEX(T_STATEMENT_LINE[STATEMENT_ID],[@ROW_INDEX]),"")</f>
        <v/>
      </c>
      <c r="C39" s="20">
        <f>IF([@STATEMENT_ID]="","",IFERROR(INDEX(T_STATEMENT[STATEMENT_CODE],MATCH([@STATEMENT_ID],T_STATEMENT[STATEMENT_ID],0)),""))</f>
        <v/>
      </c>
      <c r="D39" s="20">
        <f>IFERROR(INDEX(T_STATEMENT_LINE[MATERIAL_ID],[@ROW_INDEX]),"")</f>
        <v/>
      </c>
      <c r="E39" s="20">
        <f>IFERROR(INDEX(T_STATEMENT_LINE[PACKAGING_LEVEL_ID],[@ROW_INDEX]),"")</f>
        <v/>
      </c>
      <c r="F39" s="20">
        <f>IFERROR(INDEX(T_STATEMENT_LINE[OWNERSHIP_TYPE_ID],[@ROW_INDEX]),"")</f>
        <v/>
      </c>
      <c r="G39" s="20">
        <f>IFERROR(INDEX(T_STATEMENT_LINE[TOTAL_WEIGHT_KG],[@ROW_INDEX]),"")</f>
        <v/>
      </c>
      <c r="H39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39" s="20">
        <f>IF([@RECOMPUTED_WEIGHT_G]="","",[@RECOMPUTED_WEIGHT_G]/1000)</f>
        <v/>
      </c>
      <c r="J39" s="20">
        <f>IF(OR([@FROZEN_TOTAL_WEIGHT_KG]="",[@RECOMPUTED_WEIGHT_KG]=""),"",[@RECOMPUTED_WEIGHT_KG]-[@FROZEN_TOTAL_WEIGHT_KG])</f>
        <v/>
      </c>
      <c r="K39" s="20">
        <f>IF([@STATEMENT_ID]="","",COUNTIF(T_STATEMENT_SHIPMENT[STATEMENT_ID],[@STATEMENT_ID]))</f>
        <v/>
      </c>
      <c r="L39" s="20">
        <f>IF([@STATEMENT_ID]="","",IF([@VARIANCE_KG]="","PENDING",IF(ABS([@VARIANCE_KG])&lt;=0.001,"OK","VARIANCE")))</f>
        <v/>
      </c>
    </row>
    <row r="40">
      <c r="A40" s="20" t="n">
        <v>39</v>
      </c>
      <c r="B40" s="20">
        <f>IFERROR(INDEX(T_STATEMENT_LINE[STATEMENT_ID],[@ROW_INDEX]),"")</f>
        <v/>
      </c>
      <c r="C40" s="20">
        <f>IF([@STATEMENT_ID]="","",IFERROR(INDEX(T_STATEMENT[STATEMENT_CODE],MATCH([@STATEMENT_ID],T_STATEMENT[STATEMENT_ID],0)),""))</f>
        <v/>
      </c>
      <c r="D40" s="20">
        <f>IFERROR(INDEX(T_STATEMENT_LINE[MATERIAL_ID],[@ROW_INDEX]),"")</f>
        <v/>
      </c>
      <c r="E40" s="20">
        <f>IFERROR(INDEX(T_STATEMENT_LINE[PACKAGING_LEVEL_ID],[@ROW_INDEX]),"")</f>
        <v/>
      </c>
      <c r="F40" s="20">
        <f>IFERROR(INDEX(T_STATEMENT_LINE[OWNERSHIP_TYPE_ID],[@ROW_INDEX]),"")</f>
        <v/>
      </c>
      <c r="G40" s="20">
        <f>IFERROR(INDEX(T_STATEMENT_LINE[TOTAL_WEIGHT_KG],[@ROW_INDEX]),"")</f>
        <v/>
      </c>
      <c r="H40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0" s="20">
        <f>IF([@RECOMPUTED_WEIGHT_G]="","",[@RECOMPUTED_WEIGHT_G]/1000)</f>
        <v/>
      </c>
      <c r="J40" s="20">
        <f>IF(OR([@FROZEN_TOTAL_WEIGHT_KG]="",[@RECOMPUTED_WEIGHT_KG]=""),"",[@RECOMPUTED_WEIGHT_KG]-[@FROZEN_TOTAL_WEIGHT_KG])</f>
        <v/>
      </c>
      <c r="K40" s="20">
        <f>IF([@STATEMENT_ID]="","",COUNTIF(T_STATEMENT_SHIPMENT[STATEMENT_ID],[@STATEMENT_ID]))</f>
        <v/>
      </c>
      <c r="L40" s="20">
        <f>IF([@STATEMENT_ID]="","",IF([@VARIANCE_KG]="","PENDING",IF(ABS([@VARIANCE_KG])&lt;=0.001,"OK","VARIANCE")))</f>
        <v/>
      </c>
    </row>
    <row r="41">
      <c r="A41" s="20" t="n">
        <v>40</v>
      </c>
      <c r="B41" s="20">
        <f>IFERROR(INDEX(T_STATEMENT_LINE[STATEMENT_ID],[@ROW_INDEX]),"")</f>
        <v/>
      </c>
      <c r="C41" s="20">
        <f>IF([@STATEMENT_ID]="","",IFERROR(INDEX(T_STATEMENT[STATEMENT_CODE],MATCH([@STATEMENT_ID],T_STATEMENT[STATEMENT_ID],0)),""))</f>
        <v/>
      </c>
      <c r="D41" s="20">
        <f>IFERROR(INDEX(T_STATEMENT_LINE[MATERIAL_ID],[@ROW_INDEX]),"")</f>
        <v/>
      </c>
      <c r="E41" s="20">
        <f>IFERROR(INDEX(T_STATEMENT_LINE[PACKAGING_LEVEL_ID],[@ROW_INDEX]),"")</f>
        <v/>
      </c>
      <c r="F41" s="20">
        <f>IFERROR(INDEX(T_STATEMENT_LINE[OWNERSHIP_TYPE_ID],[@ROW_INDEX]),"")</f>
        <v/>
      </c>
      <c r="G41" s="20">
        <f>IFERROR(INDEX(T_STATEMENT_LINE[TOTAL_WEIGHT_KG],[@ROW_INDEX]),"")</f>
        <v/>
      </c>
      <c r="H41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1" s="20">
        <f>IF([@RECOMPUTED_WEIGHT_G]="","",[@RECOMPUTED_WEIGHT_G]/1000)</f>
        <v/>
      </c>
      <c r="J41" s="20">
        <f>IF(OR([@FROZEN_TOTAL_WEIGHT_KG]="",[@RECOMPUTED_WEIGHT_KG]=""),"",[@RECOMPUTED_WEIGHT_KG]-[@FROZEN_TOTAL_WEIGHT_KG])</f>
        <v/>
      </c>
      <c r="K41" s="20">
        <f>IF([@STATEMENT_ID]="","",COUNTIF(T_STATEMENT_SHIPMENT[STATEMENT_ID],[@STATEMENT_ID]))</f>
        <v/>
      </c>
      <c r="L41" s="20">
        <f>IF([@STATEMENT_ID]="","",IF([@VARIANCE_KG]="","PENDING",IF(ABS([@VARIANCE_KG])&lt;=0.001,"OK","VARIANCE")))</f>
        <v/>
      </c>
    </row>
    <row r="42">
      <c r="A42" s="20" t="n">
        <v>41</v>
      </c>
      <c r="B42" s="20">
        <f>IFERROR(INDEX(T_STATEMENT_LINE[STATEMENT_ID],[@ROW_INDEX]),"")</f>
        <v/>
      </c>
      <c r="C42" s="20">
        <f>IF([@STATEMENT_ID]="","",IFERROR(INDEX(T_STATEMENT[STATEMENT_CODE],MATCH([@STATEMENT_ID],T_STATEMENT[STATEMENT_ID],0)),""))</f>
        <v/>
      </c>
      <c r="D42" s="20">
        <f>IFERROR(INDEX(T_STATEMENT_LINE[MATERIAL_ID],[@ROW_INDEX]),"")</f>
        <v/>
      </c>
      <c r="E42" s="20">
        <f>IFERROR(INDEX(T_STATEMENT_LINE[PACKAGING_LEVEL_ID],[@ROW_INDEX]),"")</f>
        <v/>
      </c>
      <c r="F42" s="20">
        <f>IFERROR(INDEX(T_STATEMENT_LINE[OWNERSHIP_TYPE_ID],[@ROW_INDEX]),"")</f>
        <v/>
      </c>
      <c r="G42" s="20">
        <f>IFERROR(INDEX(T_STATEMENT_LINE[TOTAL_WEIGHT_KG],[@ROW_INDEX]),"")</f>
        <v/>
      </c>
      <c r="H42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2" s="20">
        <f>IF([@RECOMPUTED_WEIGHT_G]="","",[@RECOMPUTED_WEIGHT_G]/1000)</f>
        <v/>
      </c>
      <c r="J42" s="20">
        <f>IF(OR([@FROZEN_TOTAL_WEIGHT_KG]="",[@RECOMPUTED_WEIGHT_KG]=""),"",[@RECOMPUTED_WEIGHT_KG]-[@FROZEN_TOTAL_WEIGHT_KG])</f>
        <v/>
      </c>
      <c r="K42" s="20">
        <f>IF([@STATEMENT_ID]="","",COUNTIF(T_STATEMENT_SHIPMENT[STATEMENT_ID],[@STATEMENT_ID]))</f>
        <v/>
      </c>
      <c r="L42" s="20">
        <f>IF([@STATEMENT_ID]="","",IF([@VARIANCE_KG]="","PENDING",IF(ABS([@VARIANCE_KG])&lt;=0.001,"OK","VARIANCE")))</f>
        <v/>
      </c>
    </row>
    <row r="43">
      <c r="A43" s="20" t="n">
        <v>42</v>
      </c>
      <c r="B43" s="20">
        <f>IFERROR(INDEX(T_STATEMENT_LINE[STATEMENT_ID],[@ROW_INDEX]),"")</f>
        <v/>
      </c>
      <c r="C43" s="20">
        <f>IF([@STATEMENT_ID]="","",IFERROR(INDEX(T_STATEMENT[STATEMENT_CODE],MATCH([@STATEMENT_ID],T_STATEMENT[STATEMENT_ID],0)),""))</f>
        <v/>
      </c>
      <c r="D43" s="20">
        <f>IFERROR(INDEX(T_STATEMENT_LINE[MATERIAL_ID],[@ROW_INDEX]),"")</f>
        <v/>
      </c>
      <c r="E43" s="20">
        <f>IFERROR(INDEX(T_STATEMENT_LINE[PACKAGING_LEVEL_ID],[@ROW_INDEX]),"")</f>
        <v/>
      </c>
      <c r="F43" s="20">
        <f>IFERROR(INDEX(T_STATEMENT_LINE[OWNERSHIP_TYPE_ID],[@ROW_INDEX]),"")</f>
        <v/>
      </c>
      <c r="G43" s="20">
        <f>IFERROR(INDEX(T_STATEMENT_LINE[TOTAL_WEIGHT_KG],[@ROW_INDEX]),"")</f>
        <v/>
      </c>
      <c r="H43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3" s="20">
        <f>IF([@RECOMPUTED_WEIGHT_G]="","",[@RECOMPUTED_WEIGHT_G]/1000)</f>
        <v/>
      </c>
      <c r="J43" s="20">
        <f>IF(OR([@FROZEN_TOTAL_WEIGHT_KG]="",[@RECOMPUTED_WEIGHT_KG]=""),"",[@RECOMPUTED_WEIGHT_KG]-[@FROZEN_TOTAL_WEIGHT_KG])</f>
        <v/>
      </c>
      <c r="K43" s="20">
        <f>IF([@STATEMENT_ID]="","",COUNTIF(T_STATEMENT_SHIPMENT[STATEMENT_ID],[@STATEMENT_ID]))</f>
        <v/>
      </c>
      <c r="L43" s="20">
        <f>IF([@STATEMENT_ID]="","",IF([@VARIANCE_KG]="","PENDING",IF(ABS([@VARIANCE_KG])&lt;=0.001,"OK","VARIANCE")))</f>
        <v/>
      </c>
    </row>
    <row r="44">
      <c r="A44" s="20" t="n">
        <v>43</v>
      </c>
      <c r="B44" s="20">
        <f>IFERROR(INDEX(T_STATEMENT_LINE[STATEMENT_ID],[@ROW_INDEX]),"")</f>
        <v/>
      </c>
      <c r="C44" s="20">
        <f>IF([@STATEMENT_ID]="","",IFERROR(INDEX(T_STATEMENT[STATEMENT_CODE],MATCH([@STATEMENT_ID],T_STATEMENT[STATEMENT_ID],0)),""))</f>
        <v/>
      </c>
      <c r="D44" s="20">
        <f>IFERROR(INDEX(T_STATEMENT_LINE[MATERIAL_ID],[@ROW_INDEX]),"")</f>
        <v/>
      </c>
      <c r="E44" s="20">
        <f>IFERROR(INDEX(T_STATEMENT_LINE[PACKAGING_LEVEL_ID],[@ROW_INDEX]),"")</f>
        <v/>
      </c>
      <c r="F44" s="20">
        <f>IFERROR(INDEX(T_STATEMENT_LINE[OWNERSHIP_TYPE_ID],[@ROW_INDEX]),"")</f>
        <v/>
      </c>
      <c r="G44" s="20">
        <f>IFERROR(INDEX(T_STATEMENT_LINE[TOTAL_WEIGHT_KG],[@ROW_INDEX]),"")</f>
        <v/>
      </c>
      <c r="H44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4" s="20">
        <f>IF([@RECOMPUTED_WEIGHT_G]="","",[@RECOMPUTED_WEIGHT_G]/1000)</f>
        <v/>
      </c>
      <c r="J44" s="20">
        <f>IF(OR([@FROZEN_TOTAL_WEIGHT_KG]="",[@RECOMPUTED_WEIGHT_KG]=""),"",[@RECOMPUTED_WEIGHT_KG]-[@FROZEN_TOTAL_WEIGHT_KG])</f>
        <v/>
      </c>
      <c r="K44" s="20">
        <f>IF([@STATEMENT_ID]="","",COUNTIF(T_STATEMENT_SHIPMENT[STATEMENT_ID],[@STATEMENT_ID]))</f>
        <v/>
      </c>
      <c r="L44" s="20">
        <f>IF([@STATEMENT_ID]="","",IF([@VARIANCE_KG]="","PENDING",IF(ABS([@VARIANCE_KG])&lt;=0.001,"OK","VARIANCE")))</f>
        <v/>
      </c>
    </row>
    <row r="45">
      <c r="A45" s="20" t="n">
        <v>44</v>
      </c>
      <c r="B45" s="20">
        <f>IFERROR(INDEX(T_STATEMENT_LINE[STATEMENT_ID],[@ROW_INDEX]),"")</f>
        <v/>
      </c>
      <c r="C45" s="20">
        <f>IF([@STATEMENT_ID]="","",IFERROR(INDEX(T_STATEMENT[STATEMENT_CODE],MATCH([@STATEMENT_ID],T_STATEMENT[STATEMENT_ID],0)),""))</f>
        <v/>
      </c>
      <c r="D45" s="20">
        <f>IFERROR(INDEX(T_STATEMENT_LINE[MATERIAL_ID],[@ROW_INDEX]),"")</f>
        <v/>
      </c>
      <c r="E45" s="20">
        <f>IFERROR(INDEX(T_STATEMENT_LINE[PACKAGING_LEVEL_ID],[@ROW_INDEX]),"")</f>
        <v/>
      </c>
      <c r="F45" s="20">
        <f>IFERROR(INDEX(T_STATEMENT_LINE[OWNERSHIP_TYPE_ID],[@ROW_INDEX]),"")</f>
        <v/>
      </c>
      <c r="G45" s="20">
        <f>IFERROR(INDEX(T_STATEMENT_LINE[TOTAL_WEIGHT_KG],[@ROW_INDEX]),"")</f>
        <v/>
      </c>
      <c r="H45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5" s="20">
        <f>IF([@RECOMPUTED_WEIGHT_G]="","",[@RECOMPUTED_WEIGHT_G]/1000)</f>
        <v/>
      </c>
      <c r="J45" s="20">
        <f>IF(OR([@FROZEN_TOTAL_WEIGHT_KG]="",[@RECOMPUTED_WEIGHT_KG]=""),"",[@RECOMPUTED_WEIGHT_KG]-[@FROZEN_TOTAL_WEIGHT_KG])</f>
        <v/>
      </c>
      <c r="K45" s="20">
        <f>IF([@STATEMENT_ID]="","",COUNTIF(T_STATEMENT_SHIPMENT[STATEMENT_ID],[@STATEMENT_ID]))</f>
        <v/>
      </c>
      <c r="L45" s="20">
        <f>IF([@STATEMENT_ID]="","",IF([@VARIANCE_KG]="","PENDING",IF(ABS([@VARIANCE_KG])&lt;=0.001,"OK","VARIANCE")))</f>
        <v/>
      </c>
    </row>
    <row r="46">
      <c r="A46" s="20" t="n">
        <v>45</v>
      </c>
      <c r="B46" s="20">
        <f>IFERROR(INDEX(T_STATEMENT_LINE[STATEMENT_ID],[@ROW_INDEX]),"")</f>
        <v/>
      </c>
      <c r="C46" s="20">
        <f>IF([@STATEMENT_ID]="","",IFERROR(INDEX(T_STATEMENT[STATEMENT_CODE],MATCH([@STATEMENT_ID],T_STATEMENT[STATEMENT_ID],0)),""))</f>
        <v/>
      </c>
      <c r="D46" s="20">
        <f>IFERROR(INDEX(T_STATEMENT_LINE[MATERIAL_ID],[@ROW_INDEX]),"")</f>
        <v/>
      </c>
      <c r="E46" s="20">
        <f>IFERROR(INDEX(T_STATEMENT_LINE[PACKAGING_LEVEL_ID],[@ROW_INDEX]),"")</f>
        <v/>
      </c>
      <c r="F46" s="20">
        <f>IFERROR(INDEX(T_STATEMENT_LINE[OWNERSHIP_TYPE_ID],[@ROW_INDEX]),"")</f>
        <v/>
      </c>
      <c r="G46" s="20">
        <f>IFERROR(INDEX(T_STATEMENT_LINE[TOTAL_WEIGHT_KG],[@ROW_INDEX]),"")</f>
        <v/>
      </c>
      <c r="H46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6" s="20">
        <f>IF([@RECOMPUTED_WEIGHT_G]="","",[@RECOMPUTED_WEIGHT_G]/1000)</f>
        <v/>
      </c>
      <c r="J46" s="20">
        <f>IF(OR([@FROZEN_TOTAL_WEIGHT_KG]="",[@RECOMPUTED_WEIGHT_KG]=""),"",[@RECOMPUTED_WEIGHT_KG]-[@FROZEN_TOTAL_WEIGHT_KG])</f>
        <v/>
      </c>
      <c r="K46" s="20">
        <f>IF([@STATEMENT_ID]="","",COUNTIF(T_STATEMENT_SHIPMENT[STATEMENT_ID],[@STATEMENT_ID]))</f>
        <v/>
      </c>
      <c r="L46" s="20">
        <f>IF([@STATEMENT_ID]="","",IF([@VARIANCE_KG]="","PENDING",IF(ABS([@VARIANCE_KG])&lt;=0.001,"OK","VARIANCE")))</f>
        <v/>
      </c>
    </row>
    <row r="47">
      <c r="A47" s="20" t="n">
        <v>46</v>
      </c>
      <c r="B47" s="20">
        <f>IFERROR(INDEX(T_STATEMENT_LINE[STATEMENT_ID],[@ROW_INDEX]),"")</f>
        <v/>
      </c>
      <c r="C47" s="20">
        <f>IF([@STATEMENT_ID]="","",IFERROR(INDEX(T_STATEMENT[STATEMENT_CODE],MATCH([@STATEMENT_ID],T_STATEMENT[STATEMENT_ID],0)),""))</f>
        <v/>
      </c>
      <c r="D47" s="20">
        <f>IFERROR(INDEX(T_STATEMENT_LINE[MATERIAL_ID],[@ROW_INDEX]),"")</f>
        <v/>
      </c>
      <c r="E47" s="20">
        <f>IFERROR(INDEX(T_STATEMENT_LINE[PACKAGING_LEVEL_ID],[@ROW_INDEX]),"")</f>
        <v/>
      </c>
      <c r="F47" s="20">
        <f>IFERROR(INDEX(T_STATEMENT_LINE[OWNERSHIP_TYPE_ID],[@ROW_INDEX]),"")</f>
        <v/>
      </c>
      <c r="G47" s="20">
        <f>IFERROR(INDEX(T_STATEMENT_LINE[TOTAL_WEIGHT_KG],[@ROW_INDEX]),"")</f>
        <v/>
      </c>
      <c r="H47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7" s="20">
        <f>IF([@RECOMPUTED_WEIGHT_G]="","",[@RECOMPUTED_WEIGHT_G]/1000)</f>
        <v/>
      </c>
      <c r="J47" s="20">
        <f>IF(OR([@FROZEN_TOTAL_WEIGHT_KG]="",[@RECOMPUTED_WEIGHT_KG]=""),"",[@RECOMPUTED_WEIGHT_KG]-[@FROZEN_TOTAL_WEIGHT_KG])</f>
        <v/>
      </c>
      <c r="K47" s="20">
        <f>IF([@STATEMENT_ID]="","",COUNTIF(T_STATEMENT_SHIPMENT[STATEMENT_ID],[@STATEMENT_ID]))</f>
        <v/>
      </c>
      <c r="L47" s="20">
        <f>IF([@STATEMENT_ID]="","",IF([@VARIANCE_KG]="","PENDING",IF(ABS([@VARIANCE_KG])&lt;=0.001,"OK","VARIANCE")))</f>
        <v/>
      </c>
    </row>
    <row r="48">
      <c r="A48" s="20" t="n">
        <v>47</v>
      </c>
      <c r="B48" s="20">
        <f>IFERROR(INDEX(T_STATEMENT_LINE[STATEMENT_ID],[@ROW_INDEX]),"")</f>
        <v/>
      </c>
      <c r="C48" s="20">
        <f>IF([@STATEMENT_ID]="","",IFERROR(INDEX(T_STATEMENT[STATEMENT_CODE],MATCH([@STATEMENT_ID],T_STATEMENT[STATEMENT_ID],0)),""))</f>
        <v/>
      </c>
      <c r="D48" s="20">
        <f>IFERROR(INDEX(T_STATEMENT_LINE[MATERIAL_ID],[@ROW_INDEX]),"")</f>
        <v/>
      </c>
      <c r="E48" s="20">
        <f>IFERROR(INDEX(T_STATEMENT_LINE[PACKAGING_LEVEL_ID],[@ROW_INDEX]),"")</f>
        <v/>
      </c>
      <c r="F48" s="20">
        <f>IFERROR(INDEX(T_STATEMENT_LINE[OWNERSHIP_TYPE_ID],[@ROW_INDEX]),"")</f>
        <v/>
      </c>
      <c r="G48" s="20">
        <f>IFERROR(INDEX(T_STATEMENT_LINE[TOTAL_WEIGHT_KG],[@ROW_INDEX]),"")</f>
        <v/>
      </c>
      <c r="H48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8" s="20">
        <f>IF([@RECOMPUTED_WEIGHT_G]="","",[@RECOMPUTED_WEIGHT_G]/1000)</f>
        <v/>
      </c>
      <c r="J48" s="20">
        <f>IF(OR([@FROZEN_TOTAL_WEIGHT_KG]="",[@RECOMPUTED_WEIGHT_KG]=""),"",[@RECOMPUTED_WEIGHT_KG]-[@FROZEN_TOTAL_WEIGHT_KG])</f>
        <v/>
      </c>
      <c r="K48" s="20">
        <f>IF([@STATEMENT_ID]="","",COUNTIF(T_STATEMENT_SHIPMENT[STATEMENT_ID],[@STATEMENT_ID]))</f>
        <v/>
      </c>
      <c r="L48" s="20">
        <f>IF([@STATEMENT_ID]="","",IF([@VARIANCE_KG]="","PENDING",IF(ABS([@VARIANCE_KG])&lt;=0.001,"OK","VARIANCE")))</f>
        <v/>
      </c>
    </row>
    <row r="49">
      <c r="A49" s="20" t="n">
        <v>48</v>
      </c>
      <c r="B49" s="20">
        <f>IFERROR(INDEX(T_STATEMENT_LINE[STATEMENT_ID],[@ROW_INDEX]),"")</f>
        <v/>
      </c>
      <c r="C49" s="20">
        <f>IF([@STATEMENT_ID]="","",IFERROR(INDEX(T_STATEMENT[STATEMENT_CODE],MATCH([@STATEMENT_ID],T_STATEMENT[STATEMENT_ID],0)),""))</f>
        <v/>
      </c>
      <c r="D49" s="20">
        <f>IFERROR(INDEX(T_STATEMENT_LINE[MATERIAL_ID],[@ROW_INDEX]),"")</f>
        <v/>
      </c>
      <c r="E49" s="20">
        <f>IFERROR(INDEX(T_STATEMENT_LINE[PACKAGING_LEVEL_ID],[@ROW_INDEX]),"")</f>
        <v/>
      </c>
      <c r="F49" s="20">
        <f>IFERROR(INDEX(T_STATEMENT_LINE[OWNERSHIP_TYPE_ID],[@ROW_INDEX]),"")</f>
        <v/>
      </c>
      <c r="G49" s="20">
        <f>IFERROR(INDEX(T_STATEMENT_LINE[TOTAL_WEIGHT_KG],[@ROW_INDEX]),"")</f>
        <v/>
      </c>
      <c r="H49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49" s="20">
        <f>IF([@RECOMPUTED_WEIGHT_G]="","",[@RECOMPUTED_WEIGHT_G]/1000)</f>
        <v/>
      </c>
      <c r="J49" s="20">
        <f>IF(OR([@FROZEN_TOTAL_WEIGHT_KG]="",[@RECOMPUTED_WEIGHT_KG]=""),"",[@RECOMPUTED_WEIGHT_KG]-[@FROZEN_TOTAL_WEIGHT_KG])</f>
        <v/>
      </c>
      <c r="K49" s="20">
        <f>IF([@STATEMENT_ID]="","",COUNTIF(T_STATEMENT_SHIPMENT[STATEMENT_ID],[@STATEMENT_ID]))</f>
        <v/>
      </c>
      <c r="L49" s="20">
        <f>IF([@STATEMENT_ID]="","",IF([@VARIANCE_KG]="","PENDING",IF(ABS([@VARIANCE_KG])&lt;=0.001,"OK","VARIANCE")))</f>
        <v/>
      </c>
    </row>
    <row r="50">
      <c r="A50" s="20" t="n">
        <v>49</v>
      </c>
      <c r="B50" s="20">
        <f>IFERROR(INDEX(T_STATEMENT_LINE[STATEMENT_ID],[@ROW_INDEX]),"")</f>
        <v/>
      </c>
      <c r="C50" s="20">
        <f>IF([@STATEMENT_ID]="","",IFERROR(INDEX(T_STATEMENT[STATEMENT_CODE],MATCH([@STATEMENT_ID],T_STATEMENT[STATEMENT_ID],0)),""))</f>
        <v/>
      </c>
      <c r="D50" s="20">
        <f>IFERROR(INDEX(T_STATEMENT_LINE[MATERIAL_ID],[@ROW_INDEX]),"")</f>
        <v/>
      </c>
      <c r="E50" s="20">
        <f>IFERROR(INDEX(T_STATEMENT_LINE[PACKAGING_LEVEL_ID],[@ROW_INDEX]),"")</f>
        <v/>
      </c>
      <c r="F50" s="20">
        <f>IFERROR(INDEX(T_STATEMENT_LINE[OWNERSHIP_TYPE_ID],[@ROW_INDEX]),"")</f>
        <v/>
      </c>
      <c r="G50" s="20">
        <f>IFERROR(INDEX(T_STATEMENT_LINE[TOTAL_WEIGHT_KG],[@ROW_INDEX]),"")</f>
        <v/>
      </c>
      <c r="H50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50" s="20">
        <f>IF([@RECOMPUTED_WEIGHT_G]="","",[@RECOMPUTED_WEIGHT_G]/1000)</f>
        <v/>
      </c>
      <c r="J50" s="20">
        <f>IF(OR([@FROZEN_TOTAL_WEIGHT_KG]="",[@RECOMPUTED_WEIGHT_KG]=""),"",[@RECOMPUTED_WEIGHT_KG]-[@FROZEN_TOTAL_WEIGHT_KG])</f>
        <v/>
      </c>
      <c r="K50" s="20">
        <f>IF([@STATEMENT_ID]="","",COUNTIF(T_STATEMENT_SHIPMENT[STATEMENT_ID],[@STATEMENT_ID]))</f>
        <v/>
      </c>
      <c r="L50" s="20">
        <f>IF([@STATEMENT_ID]="","",IF([@VARIANCE_KG]="","PENDING",IF(ABS([@VARIANCE_KG])&lt;=0.001,"OK","VARIANCE")))</f>
        <v/>
      </c>
    </row>
    <row r="51">
      <c r="A51" s="20" t="n">
        <v>50</v>
      </c>
      <c r="B51" s="20">
        <f>IFERROR(INDEX(T_STATEMENT_LINE[STATEMENT_ID],[@ROW_INDEX]),"")</f>
        <v/>
      </c>
      <c r="C51" s="20">
        <f>IF([@STATEMENT_ID]="","",IFERROR(INDEX(T_STATEMENT[STATEMENT_CODE],MATCH([@STATEMENT_ID],T_STATEMENT[STATEMENT_ID],0)),""))</f>
        <v/>
      </c>
      <c r="D51" s="20">
        <f>IFERROR(INDEX(T_STATEMENT_LINE[MATERIAL_ID],[@ROW_INDEX]),"")</f>
        <v/>
      </c>
      <c r="E51" s="20">
        <f>IFERROR(INDEX(T_STATEMENT_LINE[PACKAGING_LEVEL_ID],[@ROW_INDEX]),"")</f>
        <v/>
      </c>
      <c r="F51" s="20">
        <f>IFERROR(INDEX(T_STATEMENT_LINE[OWNERSHIP_TYPE_ID],[@ROW_INDEX]),"")</f>
        <v/>
      </c>
      <c r="G51" s="20">
        <f>IFERROR(INDEX(T_STATEMENT_LINE[TOTAL_WEIGHT_KG],[@ROW_INDEX]),"")</f>
        <v/>
      </c>
      <c r="H51" s="20">
        <f>IF(OR([@MATERIAL_ID]="",[@PACKAGING_LEVEL_ID]="",[@OWNERSHIP_TYPE_ID]=""),"",SUMIFS(T_SHIPMENT_LINE[WEIGHT_G],T_SHIPMENT_LINE[MATERIAL_ID],[@MATERIAL_ID],T_SHIPMENT_LINE[PACKAGING_LEVEL_ID],[@PACKAGING_LEVEL_ID],T_SHIPMENT_LINE[OWNERSHIP_TYPE_ID],[@OWNERSHIP_TYPE_ID]))</f>
        <v/>
      </c>
      <c r="I51" s="20">
        <f>IF([@RECOMPUTED_WEIGHT_G]="","",[@RECOMPUTED_WEIGHT_G]/1000)</f>
        <v/>
      </c>
      <c r="J51" s="20">
        <f>IF(OR([@FROZEN_TOTAL_WEIGHT_KG]="",[@RECOMPUTED_WEIGHT_KG]=""),"",[@RECOMPUTED_WEIGHT_KG]-[@FROZEN_TOTAL_WEIGHT_KG])</f>
        <v/>
      </c>
      <c r="K51" s="20">
        <f>IF([@STATEMENT_ID]="","",COUNTIF(T_STATEMENT_SHIPMENT[STATEMENT_ID],[@STATEMENT_ID]))</f>
        <v/>
      </c>
      <c r="L51" s="20">
        <f>IF([@STATEMENT_ID]="","",IF([@VARIANCE_KG]="","PENDING",IF(ABS([@VARIANCE_KG])&lt;=0.001,"OK","VARIANCE")))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conditionalFormatting sqref="L2:L51">
    <cfRule type="cellIs" priority="1" operator="equal" dxfId="1">
      <formula>"OK"</formula>
    </cfRule>
    <cfRule type="cellIs" priority="2" operator="equal" dxfId="1">
      <formula>"COMPLETE"</formula>
    </cfRule>
    <cfRule type="cellIs" priority="3" operator="equal" dxfId="2">
      <formula>"INCOMPLETE"</formula>
    </cfRule>
    <cfRule type="cellIs" priority="4" operator="equal" dxfId="0">
      <formula>"VARIANCE"</formula>
    </cfRule>
    <cfRule type="cellIs" priority="5" operator="equal" dxfId="3">
      <formula>"PENDING"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17" customWidth="1" min="4" max="4"/>
    <col width="27" customWidth="1" min="5" max="5"/>
    <col width="23" customWidth="1" min="6" max="6"/>
    <col width="16" customWidth="1" min="7" max="7"/>
    <col width="13" customWidth="1" min="8" max="8"/>
    <col width="22" customWidth="1" min="9" max="9"/>
    <col width="17" customWidth="1" min="10" max="10"/>
  </cols>
  <sheetData>
    <row r="1">
      <c r="A1" s="12" t="inlineStr">
        <is>
          <t>ROW_INDEX</t>
        </is>
      </c>
      <c r="B1" s="12" t="inlineStr">
        <is>
          <t>TECHNICAL_FILE_ID</t>
        </is>
      </c>
      <c r="C1" s="12" t="inlineStr">
        <is>
          <t>TECHNICAL_FILE_CODE</t>
        </is>
      </c>
      <c r="D1" s="12" t="inlineStr">
        <is>
          <t>SUBJECT_COUNT</t>
        </is>
      </c>
      <c r="E1" s="12" t="inlineStr">
        <is>
          <t>HAS_EXACTLY_ONE_SUBJECT</t>
        </is>
      </c>
      <c r="F1" s="12" t="inlineStr">
        <is>
          <t>DOCUMENT_LINK_COUNT</t>
        </is>
      </c>
      <c r="G1" s="12" t="inlineStr">
        <is>
          <t>HAS_DOCUMENT</t>
        </is>
      </c>
      <c r="H1" s="12" t="inlineStr">
        <is>
          <t>STATUS_ID</t>
        </is>
      </c>
      <c r="I1" s="12" t="inlineStr">
        <is>
          <t>COMPLETENESS_SCORE</t>
        </is>
      </c>
      <c r="J1" s="12" t="inlineStr">
        <is>
          <t>ENGINE_STATUS</t>
        </is>
      </c>
      <c r="L1" s="19" t="inlineStr">
        <is>
          <t>Dashboard</t>
        </is>
      </c>
    </row>
    <row r="2">
      <c r="A2" s="20" t="n">
        <v>1</v>
      </c>
      <c r="B2" s="20">
        <f>IFERROR(INDEX(T_TECHNICAL_FILE[TECHNICAL_FILE_ID],[@ROW_INDEX]),"")</f>
        <v/>
      </c>
      <c r="C2" s="20">
        <f>IFERROR(INDEX(T_TECHNICAL_FILE[TECHNICAL_FILE_CODE],[@ROW_INDEX]),"")</f>
        <v/>
      </c>
      <c r="D2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" s="20">
        <f>IF([@TECHNICAL_FILE_ID]="","",IF([@SUBJECT_COUNT]=1,TRUE,FALSE))</f>
        <v/>
      </c>
      <c r="F2" s="20">
        <f>IF([@TECHNICAL_FILE_ID]="","",COUNTIF(T_DOCUMENT_LINK[TECHNICAL_FILE_ID],[@TECHNICAL_FILE_ID]))</f>
        <v/>
      </c>
      <c r="G2" s="20">
        <f>IF([@TECHNICAL_FILE_ID]="","",IF([@DOCUMENT_LINK_COUNT]&gt;0,TRUE,FALSE))</f>
        <v/>
      </c>
      <c r="H2" s="20">
        <f>IFERROR(INDEX(T_TECHNICAL_FILE[STATUS_ID],[@ROW_INDEX]),"")</f>
        <v/>
      </c>
      <c r="I2" s="20">
        <f>IF([@TECHNICAL_FILE_ID]="","",([@HAS_EXACTLY_ONE_SUBJECT]*60)+([@HAS_DOCUMENT]*40))</f>
        <v/>
      </c>
      <c r="J2" s="20">
        <f>IF([@TECHNICAL_FILE_ID]="","",IF([@COMPLETENESS_SCORE]=100,"COMPLETE","INCOMPLETE"))</f>
        <v/>
      </c>
    </row>
    <row r="3">
      <c r="A3" s="20" t="n">
        <v>2</v>
      </c>
      <c r="B3" s="20">
        <f>IFERROR(INDEX(T_TECHNICAL_FILE[TECHNICAL_FILE_ID],[@ROW_INDEX]),"")</f>
        <v/>
      </c>
      <c r="C3" s="20">
        <f>IFERROR(INDEX(T_TECHNICAL_FILE[TECHNICAL_FILE_CODE],[@ROW_INDEX]),"")</f>
        <v/>
      </c>
      <c r="D3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" s="20">
        <f>IF([@TECHNICAL_FILE_ID]="","",IF([@SUBJECT_COUNT]=1,TRUE,FALSE))</f>
        <v/>
      </c>
      <c r="F3" s="20">
        <f>IF([@TECHNICAL_FILE_ID]="","",COUNTIF(T_DOCUMENT_LINK[TECHNICAL_FILE_ID],[@TECHNICAL_FILE_ID]))</f>
        <v/>
      </c>
      <c r="G3" s="20">
        <f>IF([@TECHNICAL_FILE_ID]="","",IF([@DOCUMENT_LINK_COUNT]&gt;0,TRUE,FALSE))</f>
        <v/>
      </c>
      <c r="H3" s="20">
        <f>IFERROR(INDEX(T_TECHNICAL_FILE[STATUS_ID],[@ROW_INDEX]),"")</f>
        <v/>
      </c>
      <c r="I3" s="20">
        <f>IF([@TECHNICAL_FILE_ID]="","",([@HAS_EXACTLY_ONE_SUBJECT]*60)+([@HAS_DOCUMENT]*40))</f>
        <v/>
      </c>
      <c r="J3" s="20">
        <f>IF([@TECHNICAL_FILE_ID]="","",IF([@COMPLETENESS_SCORE]=100,"COMPLETE","INCOMPLETE"))</f>
        <v/>
      </c>
    </row>
    <row r="4">
      <c r="A4" s="20" t="n">
        <v>3</v>
      </c>
      <c r="B4" s="20">
        <f>IFERROR(INDEX(T_TECHNICAL_FILE[TECHNICAL_FILE_ID],[@ROW_INDEX]),"")</f>
        <v/>
      </c>
      <c r="C4" s="20">
        <f>IFERROR(INDEX(T_TECHNICAL_FILE[TECHNICAL_FILE_CODE],[@ROW_INDEX]),"")</f>
        <v/>
      </c>
      <c r="D4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" s="20">
        <f>IF([@TECHNICAL_FILE_ID]="","",IF([@SUBJECT_COUNT]=1,TRUE,FALSE))</f>
        <v/>
      </c>
      <c r="F4" s="20">
        <f>IF([@TECHNICAL_FILE_ID]="","",COUNTIF(T_DOCUMENT_LINK[TECHNICAL_FILE_ID],[@TECHNICAL_FILE_ID]))</f>
        <v/>
      </c>
      <c r="G4" s="20">
        <f>IF([@TECHNICAL_FILE_ID]="","",IF([@DOCUMENT_LINK_COUNT]&gt;0,TRUE,FALSE))</f>
        <v/>
      </c>
      <c r="H4" s="20">
        <f>IFERROR(INDEX(T_TECHNICAL_FILE[STATUS_ID],[@ROW_INDEX]),"")</f>
        <v/>
      </c>
      <c r="I4" s="20">
        <f>IF([@TECHNICAL_FILE_ID]="","",([@HAS_EXACTLY_ONE_SUBJECT]*60)+([@HAS_DOCUMENT]*40))</f>
        <v/>
      </c>
      <c r="J4" s="20">
        <f>IF([@TECHNICAL_FILE_ID]="","",IF([@COMPLETENESS_SCORE]=100,"COMPLETE","INCOMPLETE"))</f>
        <v/>
      </c>
    </row>
    <row r="5">
      <c r="A5" s="20" t="n">
        <v>4</v>
      </c>
      <c r="B5" s="20">
        <f>IFERROR(INDEX(T_TECHNICAL_FILE[TECHNICAL_FILE_ID],[@ROW_INDEX]),"")</f>
        <v/>
      </c>
      <c r="C5" s="20">
        <f>IFERROR(INDEX(T_TECHNICAL_FILE[TECHNICAL_FILE_CODE],[@ROW_INDEX]),"")</f>
        <v/>
      </c>
      <c r="D5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5" s="20">
        <f>IF([@TECHNICAL_FILE_ID]="","",IF([@SUBJECT_COUNT]=1,TRUE,FALSE))</f>
        <v/>
      </c>
      <c r="F5" s="20">
        <f>IF([@TECHNICAL_FILE_ID]="","",COUNTIF(T_DOCUMENT_LINK[TECHNICAL_FILE_ID],[@TECHNICAL_FILE_ID]))</f>
        <v/>
      </c>
      <c r="G5" s="20">
        <f>IF([@TECHNICAL_FILE_ID]="","",IF([@DOCUMENT_LINK_COUNT]&gt;0,TRUE,FALSE))</f>
        <v/>
      </c>
      <c r="H5" s="20">
        <f>IFERROR(INDEX(T_TECHNICAL_FILE[STATUS_ID],[@ROW_INDEX]),"")</f>
        <v/>
      </c>
      <c r="I5" s="20">
        <f>IF([@TECHNICAL_FILE_ID]="","",([@HAS_EXACTLY_ONE_SUBJECT]*60)+([@HAS_DOCUMENT]*40))</f>
        <v/>
      </c>
      <c r="J5" s="20">
        <f>IF([@TECHNICAL_FILE_ID]="","",IF([@COMPLETENESS_SCORE]=100,"COMPLETE","INCOMPLETE"))</f>
        <v/>
      </c>
    </row>
    <row r="6">
      <c r="A6" s="20" t="n">
        <v>5</v>
      </c>
      <c r="B6" s="20">
        <f>IFERROR(INDEX(T_TECHNICAL_FILE[TECHNICAL_FILE_ID],[@ROW_INDEX]),"")</f>
        <v/>
      </c>
      <c r="C6" s="20">
        <f>IFERROR(INDEX(T_TECHNICAL_FILE[TECHNICAL_FILE_CODE],[@ROW_INDEX]),"")</f>
        <v/>
      </c>
      <c r="D6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6" s="20">
        <f>IF([@TECHNICAL_FILE_ID]="","",IF([@SUBJECT_COUNT]=1,TRUE,FALSE))</f>
        <v/>
      </c>
      <c r="F6" s="20">
        <f>IF([@TECHNICAL_FILE_ID]="","",COUNTIF(T_DOCUMENT_LINK[TECHNICAL_FILE_ID],[@TECHNICAL_FILE_ID]))</f>
        <v/>
      </c>
      <c r="G6" s="20">
        <f>IF([@TECHNICAL_FILE_ID]="","",IF([@DOCUMENT_LINK_COUNT]&gt;0,TRUE,FALSE))</f>
        <v/>
      </c>
      <c r="H6" s="20">
        <f>IFERROR(INDEX(T_TECHNICAL_FILE[STATUS_ID],[@ROW_INDEX]),"")</f>
        <v/>
      </c>
      <c r="I6" s="20">
        <f>IF([@TECHNICAL_FILE_ID]="","",([@HAS_EXACTLY_ONE_SUBJECT]*60)+([@HAS_DOCUMENT]*40))</f>
        <v/>
      </c>
      <c r="J6" s="20">
        <f>IF([@TECHNICAL_FILE_ID]="","",IF([@COMPLETENESS_SCORE]=100,"COMPLETE","INCOMPLETE"))</f>
        <v/>
      </c>
    </row>
    <row r="7">
      <c r="A7" s="20" t="n">
        <v>6</v>
      </c>
      <c r="B7" s="20">
        <f>IFERROR(INDEX(T_TECHNICAL_FILE[TECHNICAL_FILE_ID],[@ROW_INDEX]),"")</f>
        <v/>
      </c>
      <c r="C7" s="20">
        <f>IFERROR(INDEX(T_TECHNICAL_FILE[TECHNICAL_FILE_CODE],[@ROW_INDEX]),"")</f>
        <v/>
      </c>
      <c r="D7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7" s="20">
        <f>IF([@TECHNICAL_FILE_ID]="","",IF([@SUBJECT_COUNT]=1,TRUE,FALSE))</f>
        <v/>
      </c>
      <c r="F7" s="20">
        <f>IF([@TECHNICAL_FILE_ID]="","",COUNTIF(T_DOCUMENT_LINK[TECHNICAL_FILE_ID],[@TECHNICAL_FILE_ID]))</f>
        <v/>
      </c>
      <c r="G7" s="20">
        <f>IF([@TECHNICAL_FILE_ID]="","",IF([@DOCUMENT_LINK_COUNT]&gt;0,TRUE,FALSE))</f>
        <v/>
      </c>
      <c r="H7" s="20">
        <f>IFERROR(INDEX(T_TECHNICAL_FILE[STATUS_ID],[@ROW_INDEX]),"")</f>
        <v/>
      </c>
      <c r="I7" s="20">
        <f>IF([@TECHNICAL_FILE_ID]="","",([@HAS_EXACTLY_ONE_SUBJECT]*60)+([@HAS_DOCUMENT]*40))</f>
        <v/>
      </c>
      <c r="J7" s="20">
        <f>IF([@TECHNICAL_FILE_ID]="","",IF([@COMPLETENESS_SCORE]=100,"COMPLETE","INCOMPLETE"))</f>
        <v/>
      </c>
    </row>
    <row r="8">
      <c r="A8" s="20" t="n">
        <v>7</v>
      </c>
      <c r="B8" s="20">
        <f>IFERROR(INDEX(T_TECHNICAL_FILE[TECHNICAL_FILE_ID],[@ROW_INDEX]),"")</f>
        <v/>
      </c>
      <c r="C8" s="20">
        <f>IFERROR(INDEX(T_TECHNICAL_FILE[TECHNICAL_FILE_CODE],[@ROW_INDEX]),"")</f>
        <v/>
      </c>
      <c r="D8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8" s="20">
        <f>IF([@TECHNICAL_FILE_ID]="","",IF([@SUBJECT_COUNT]=1,TRUE,FALSE))</f>
        <v/>
      </c>
      <c r="F8" s="20">
        <f>IF([@TECHNICAL_FILE_ID]="","",COUNTIF(T_DOCUMENT_LINK[TECHNICAL_FILE_ID],[@TECHNICAL_FILE_ID]))</f>
        <v/>
      </c>
      <c r="G8" s="20">
        <f>IF([@TECHNICAL_FILE_ID]="","",IF([@DOCUMENT_LINK_COUNT]&gt;0,TRUE,FALSE))</f>
        <v/>
      </c>
      <c r="H8" s="20">
        <f>IFERROR(INDEX(T_TECHNICAL_FILE[STATUS_ID],[@ROW_INDEX]),"")</f>
        <v/>
      </c>
      <c r="I8" s="20">
        <f>IF([@TECHNICAL_FILE_ID]="","",([@HAS_EXACTLY_ONE_SUBJECT]*60)+([@HAS_DOCUMENT]*40))</f>
        <v/>
      </c>
      <c r="J8" s="20">
        <f>IF([@TECHNICAL_FILE_ID]="","",IF([@COMPLETENESS_SCORE]=100,"COMPLETE","INCOMPLETE"))</f>
        <v/>
      </c>
    </row>
    <row r="9">
      <c r="A9" s="20" t="n">
        <v>8</v>
      </c>
      <c r="B9" s="20">
        <f>IFERROR(INDEX(T_TECHNICAL_FILE[TECHNICAL_FILE_ID],[@ROW_INDEX]),"")</f>
        <v/>
      </c>
      <c r="C9" s="20">
        <f>IFERROR(INDEX(T_TECHNICAL_FILE[TECHNICAL_FILE_CODE],[@ROW_INDEX]),"")</f>
        <v/>
      </c>
      <c r="D9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9" s="20">
        <f>IF([@TECHNICAL_FILE_ID]="","",IF([@SUBJECT_COUNT]=1,TRUE,FALSE))</f>
        <v/>
      </c>
      <c r="F9" s="20">
        <f>IF([@TECHNICAL_FILE_ID]="","",COUNTIF(T_DOCUMENT_LINK[TECHNICAL_FILE_ID],[@TECHNICAL_FILE_ID]))</f>
        <v/>
      </c>
      <c r="G9" s="20">
        <f>IF([@TECHNICAL_FILE_ID]="","",IF([@DOCUMENT_LINK_COUNT]&gt;0,TRUE,FALSE))</f>
        <v/>
      </c>
      <c r="H9" s="20">
        <f>IFERROR(INDEX(T_TECHNICAL_FILE[STATUS_ID],[@ROW_INDEX]),"")</f>
        <v/>
      </c>
      <c r="I9" s="20">
        <f>IF([@TECHNICAL_FILE_ID]="","",([@HAS_EXACTLY_ONE_SUBJECT]*60)+([@HAS_DOCUMENT]*40))</f>
        <v/>
      </c>
      <c r="J9" s="20">
        <f>IF([@TECHNICAL_FILE_ID]="","",IF([@COMPLETENESS_SCORE]=100,"COMPLETE","INCOMPLETE"))</f>
        <v/>
      </c>
    </row>
    <row r="10">
      <c r="A10" s="20" t="n">
        <v>9</v>
      </c>
      <c r="B10" s="20">
        <f>IFERROR(INDEX(T_TECHNICAL_FILE[TECHNICAL_FILE_ID],[@ROW_INDEX]),"")</f>
        <v/>
      </c>
      <c r="C10" s="20">
        <f>IFERROR(INDEX(T_TECHNICAL_FILE[TECHNICAL_FILE_CODE],[@ROW_INDEX]),"")</f>
        <v/>
      </c>
      <c r="D10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0" s="20">
        <f>IF([@TECHNICAL_FILE_ID]="","",IF([@SUBJECT_COUNT]=1,TRUE,FALSE))</f>
        <v/>
      </c>
      <c r="F10" s="20">
        <f>IF([@TECHNICAL_FILE_ID]="","",COUNTIF(T_DOCUMENT_LINK[TECHNICAL_FILE_ID],[@TECHNICAL_FILE_ID]))</f>
        <v/>
      </c>
      <c r="G10" s="20">
        <f>IF([@TECHNICAL_FILE_ID]="","",IF([@DOCUMENT_LINK_COUNT]&gt;0,TRUE,FALSE))</f>
        <v/>
      </c>
      <c r="H10" s="20">
        <f>IFERROR(INDEX(T_TECHNICAL_FILE[STATUS_ID],[@ROW_INDEX]),"")</f>
        <v/>
      </c>
      <c r="I10" s="20">
        <f>IF([@TECHNICAL_FILE_ID]="","",([@HAS_EXACTLY_ONE_SUBJECT]*60)+([@HAS_DOCUMENT]*40))</f>
        <v/>
      </c>
      <c r="J10" s="20">
        <f>IF([@TECHNICAL_FILE_ID]="","",IF([@COMPLETENESS_SCORE]=100,"COMPLETE","INCOMPLETE"))</f>
        <v/>
      </c>
    </row>
    <row r="11">
      <c r="A11" s="20" t="n">
        <v>10</v>
      </c>
      <c r="B11" s="20">
        <f>IFERROR(INDEX(T_TECHNICAL_FILE[TECHNICAL_FILE_ID],[@ROW_INDEX]),"")</f>
        <v/>
      </c>
      <c r="C11" s="20">
        <f>IFERROR(INDEX(T_TECHNICAL_FILE[TECHNICAL_FILE_CODE],[@ROW_INDEX]),"")</f>
        <v/>
      </c>
      <c r="D11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1" s="20">
        <f>IF([@TECHNICAL_FILE_ID]="","",IF([@SUBJECT_COUNT]=1,TRUE,FALSE))</f>
        <v/>
      </c>
      <c r="F11" s="20">
        <f>IF([@TECHNICAL_FILE_ID]="","",COUNTIF(T_DOCUMENT_LINK[TECHNICAL_FILE_ID],[@TECHNICAL_FILE_ID]))</f>
        <v/>
      </c>
      <c r="G11" s="20">
        <f>IF([@TECHNICAL_FILE_ID]="","",IF([@DOCUMENT_LINK_COUNT]&gt;0,TRUE,FALSE))</f>
        <v/>
      </c>
      <c r="H11" s="20">
        <f>IFERROR(INDEX(T_TECHNICAL_FILE[STATUS_ID],[@ROW_INDEX]),"")</f>
        <v/>
      </c>
      <c r="I11" s="20">
        <f>IF([@TECHNICAL_FILE_ID]="","",([@HAS_EXACTLY_ONE_SUBJECT]*60)+([@HAS_DOCUMENT]*40))</f>
        <v/>
      </c>
      <c r="J11" s="20">
        <f>IF([@TECHNICAL_FILE_ID]="","",IF([@COMPLETENESS_SCORE]=100,"COMPLETE","INCOMPLETE"))</f>
        <v/>
      </c>
    </row>
    <row r="12">
      <c r="A12" s="20" t="n">
        <v>11</v>
      </c>
      <c r="B12" s="20">
        <f>IFERROR(INDEX(T_TECHNICAL_FILE[TECHNICAL_FILE_ID],[@ROW_INDEX]),"")</f>
        <v/>
      </c>
      <c r="C12" s="20">
        <f>IFERROR(INDEX(T_TECHNICAL_FILE[TECHNICAL_FILE_CODE],[@ROW_INDEX]),"")</f>
        <v/>
      </c>
      <c r="D12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2" s="20">
        <f>IF([@TECHNICAL_FILE_ID]="","",IF([@SUBJECT_COUNT]=1,TRUE,FALSE))</f>
        <v/>
      </c>
      <c r="F12" s="20">
        <f>IF([@TECHNICAL_FILE_ID]="","",COUNTIF(T_DOCUMENT_LINK[TECHNICAL_FILE_ID],[@TECHNICAL_FILE_ID]))</f>
        <v/>
      </c>
      <c r="G12" s="20">
        <f>IF([@TECHNICAL_FILE_ID]="","",IF([@DOCUMENT_LINK_COUNT]&gt;0,TRUE,FALSE))</f>
        <v/>
      </c>
      <c r="H12" s="20">
        <f>IFERROR(INDEX(T_TECHNICAL_FILE[STATUS_ID],[@ROW_INDEX]),"")</f>
        <v/>
      </c>
      <c r="I12" s="20">
        <f>IF([@TECHNICAL_FILE_ID]="","",([@HAS_EXACTLY_ONE_SUBJECT]*60)+([@HAS_DOCUMENT]*40))</f>
        <v/>
      </c>
      <c r="J12" s="20">
        <f>IF([@TECHNICAL_FILE_ID]="","",IF([@COMPLETENESS_SCORE]=100,"COMPLETE","INCOMPLETE"))</f>
        <v/>
      </c>
    </row>
    <row r="13">
      <c r="A13" s="20" t="n">
        <v>12</v>
      </c>
      <c r="B13" s="20">
        <f>IFERROR(INDEX(T_TECHNICAL_FILE[TECHNICAL_FILE_ID],[@ROW_INDEX]),"")</f>
        <v/>
      </c>
      <c r="C13" s="20">
        <f>IFERROR(INDEX(T_TECHNICAL_FILE[TECHNICAL_FILE_CODE],[@ROW_INDEX]),"")</f>
        <v/>
      </c>
      <c r="D13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3" s="20">
        <f>IF([@TECHNICAL_FILE_ID]="","",IF([@SUBJECT_COUNT]=1,TRUE,FALSE))</f>
        <v/>
      </c>
      <c r="F13" s="20">
        <f>IF([@TECHNICAL_FILE_ID]="","",COUNTIF(T_DOCUMENT_LINK[TECHNICAL_FILE_ID],[@TECHNICAL_FILE_ID]))</f>
        <v/>
      </c>
      <c r="G13" s="20">
        <f>IF([@TECHNICAL_FILE_ID]="","",IF([@DOCUMENT_LINK_COUNT]&gt;0,TRUE,FALSE))</f>
        <v/>
      </c>
      <c r="H13" s="20">
        <f>IFERROR(INDEX(T_TECHNICAL_FILE[STATUS_ID],[@ROW_INDEX]),"")</f>
        <v/>
      </c>
      <c r="I13" s="20">
        <f>IF([@TECHNICAL_FILE_ID]="","",([@HAS_EXACTLY_ONE_SUBJECT]*60)+([@HAS_DOCUMENT]*40))</f>
        <v/>
      </c>
      <c r="J13" s="20">
        <f>IF([@TECHNICAL_FILE_ID]="","",IF([@COMPLETENESS_SCORE]=100,"COMPLETE","INCOMPLETE"))</f>
        <v/>
      </c>
    </row>
    <row r="14">
      <c r="A14" s="20" t="n">
        <v>13</v>
      </c>
      <c r="B14" s="20">
        <f>IFERROR(INDEX(T_TECHNICAL_FILE[TECHNICAL_FILE_ID],[@ROW_INDEX]),"")</f>
        <v/>
      </c>
      <c r="C14" s="20">
        <f>IFERROR(INDEX(T_TECHNICAL_FILE[TECHNICAL_FILE_CODE],[@ROW_INDEX]),"")</f>
        <v/>
      </c>
      <c r="D14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4" s="20">
        <f>IF([@TECHNICAL_FILE_ID]="","",IF([@SUBJECT_COUNT]=1,TRUE,FALSE))</f>
        <v/>
      </c>
      <c r="F14" s="20">
        <f>IF([@TECHNICAL_FILE_ID]="","",COUNTIF(T_DOCUMENT_LINK[TECHNICAL_FILE_ID],[@TECHNICAL_FILE_ID]))</f>
        <v/>
      </c>
      <c r="G14" s="20">
        <f>IF([@TECHNICAL_FILE_ID]="","",IF([@DOCUMENT_LINK_COUNT]&gt;0,TRUE,FALSE))</f>
        <v/>
      </c>
      <c r="H14" s="20">
        <f>IFERROR(INDEX(T_TECHNICAL_FILE[STATUS_ID],[@ROW_INDEX]),"")</f>
        <v/>
      </c>
      <c r="I14" s="20">
        <f>IF([@TECHNICAL_FILE_ID]="","",([@HAS_EXACTLY_ONE_SUBJECT]*60)+([@HAS_DOCUMENT]*40))</f>
        <v/>
      </c>
      <c r="J14" s="20">
        <f>IF([@TECHNICAL_FILE_ID]="","",IF([@COMPLETENESS_SCORE]=100,"COMPLETE","INCOMPLETE"))</f>
        <v/>
      </c>
    </row>
    <row r="15">
      <c r="A15" s="20" t="n">
        <v>14</v>
      </c>
      <c r="B15" s="20">
        <f>IFERROR(INDEX(T_TECHNICAL_FILE[TECHNICAL_FILE_ID],[@ROW_INDEX]),"")</f>
        <v/>
      </c>
      <c r="C15" s="20">
        <f>IFERROR(INDEX(T_TECHNICAL_FILE[TECHNICAL_FILE_CODE],[@ROW_INDEX]),"")</f>
        <v/>
      </c>
      <c r="D15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5" s="20">
        <f>IF([@TECHNICAL_FILE_ID]="","",IF([@SUBJECT_COUNT]=1,TRUE,FALSE))</f>
        <v/>
      </c>
      <c r="F15" s="20">
        <f>IF([@TECHNICAL_FILE_ID]="","",COUNTIF(T_DOCUMENT_LINK[TECHNICAL_FILE_ID],[@TECHNICAL_FILE_ID]))</f>
        <v/>
      </c>
      <c r="G15" s="20">
        <f>IF([@TECHNICAL_FILE_ID]="","",IF([@DOCUMENT_LINK_COUNT]&gt;0,TRUE,FALSE))</f>
        <v/>
      </c>
      <c r="H15" s="20">
        <f>IFERROR(INDEX(T_TECHNICAL_FILE[STATUS_ID],[@ROW_INDEX]),"")</f>
        <v/>
      </c>
      <c r="I15" s="20">
        <f>IF([@TECHNICAL_FILE_ID]="","",([@HAS_EXACTLY_ONE_SUBJECT]*60)+([@HAS_DOCUMENT]*40))</f>
        <v/>
      </c>
      <c r="J15" s="20">
        <f>IF([@TECHNICAL_FILE_ID]="","",IF([@COMPLETENESS_SCORE]=100,"COMPLETE","INCOMPLETE"))</f>
        <v/>
      </c>
    </row>
    <row r="16">
      <c r="A16" s="20" t="n">
        <v>15</v>
      </c>
      <c r="B16" s="20">
        <f>IFERROR(INDEX(T_TECHNICAL_FILE[TECHNICAL_FILE_ID],[@ROW_INDEX]),"")</f>
        <v/>
      </c>
      <c r="C16" s="20">
        <f>IFERROR(INDEX(T_TECHNICAL_FILE[TECHNICAL_FILE_CODE],[@ROW_INDEX]),"")</f>
        <v/>
      </c>
      <c r="D16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6" s="20">
        <f>IF([@TECHNICAL_FILE_ID]="","",IF([@SUBJECT_COUNT]=1,TRUE,FALSE))</f>
        <v/>
      </c>
      <c r="F16" s="20">
        <f>IF([@TECHNICAL_FILE_ID]="","",COUNTIF(T_DOCUMENT_LINK[TECHNICAL_FILE_ID],[@TECHNICAL_FILE_ID]))</f>
        <v/>
      </c>
      <c r="G16" s="20">
        <f>IF([@TECHNICAL_FILE_ID]="","",IF([@DOCUMENT_LINK_COUNT]&gt;0,TRUE,FALSE))</f>
        <v/>
      </c>
      <c r="H16" s="20">
        <f>IFERROR(INDEX(T_TECHNICAL_FILE[STATUS_ID],[@ROW_INDEX]),"")</f>
        <v/>
      </c>
      <c r="I16" s="20">
        <f>IF([@TECHNICAL_FILE_ID]="","",([@HAS_EXACTLY_ONE_SUBJECT]*60)+([@HAS_DOCUMENT]*40))</f>
        <v/>
      </c>
      <c r="J16" s="20">
        <f>IF([@TECHNICAL_FILE_ID]="","",IF([@COMPLETENESS_SCORE]=100,"COMPLETE","INCOMPLETE"))</f>
        <v/>
      </c>
    </row>
    <row r="17">
      <c r="A17" s="20" t="n">
        <v>16</v>
      </c>
      <c r="B17" s="20">
        <f>IFERROR(INDEX(T_TECHNICAL_FILE[TECHNICAL_FILE_ID],[@ROW_INDEX]),"")</f>
        <v/>
      </c>
      <c r="C17" s="20">
        <f>IFERROR(INDEX(T_TECHNICAL_FILE[TECHNICAL_FILE_CODE],[@ROW_INDEX]),"")</f>
        <v/>
      </c>
      <c r="D17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7" s="20">
        <f>IF([@TECHNICAL_FILE_ID]="","",IF([@SUBJECT_COUNT]=1,TRUE,FALSE))</f>
        <v/>
      </c>
      <c r="F17" s="20">
        <f>IF([@TECHNICAL_FILE_ID]="","",COUNTIF(T_DOCUMENT_LINK[TECHNICAL_FILE_ID],[@TECHNICAL_FILE_ID]))</f>
        <v/>
      </c>
      <c r="G17" s="20">
        <f>IF([@TECHNICAL_FILE_ID]="","",IF([@DOCUMENT_LINK_COUNT]&gt;0,TRUE,FALSE))</f>
        <v/>
      </c>
      <c r="H17" s="20">
        <f>IFERROR(INDEX(T_TECHNICAL_FILE[STATUS_ID],[@ROW_INDEX]),"")</f>
        <v/>
      </c>
      <c r="I17" s="20">
        <f>IF([@TECHNICAL_FILE_ID]="","",([@HAS_EXACTLY_ONE_SUBJECT]*60)+([@HAS_DOCUMENT]*40))</f>
        <v/>
      </c>
      <c r="J17" s="20">
        <f>IF([@TECHNICAL_FILE_ID]="","",IF([@COMPLETENESS_SCORE]=100,"COMPLETE","INCOMPLETE"))</f>
        <v/>
      </c>
    </row>
    <row r="18">
      <c r="A18" s="20" t="n">
        <v>17</v>
      </c>
      <c r="B18" s="20">
        <f>IFERROR(INDEX(T_TECHNICAL_FILE[TECHNICAL_FILE_ID],[@ROW_INDEX]),"")</f>
        <v/>
      </c>
      <c r="C18" s="20">
        <f>IFERROR(INDEX(T_TECHNICAL_FILE[TECHNICAL_FILE_CODE],[@ROW_INDEX]),"")</f>
        <v/>
      </c>
      <c r="D18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8" s="20">
        <f>IF([@TECHNICAL_FILE_ID]="","",IF([@SUBJECT_COUNT]=1,TRUE,FALSE))</f>
        <v/>
      </c>
      <c r="F18" s="20">
        <f>IF([@TECHNICAL_FILE_ID]="","",COUNTIF(T_DOCUMENT_LINK[TECHNICAL_FILE_ID],[@TECHNICAL_FILE_ID]))</f>
        <v/>
      </c>
      <c r="G18" s="20">
        <f>IF([@TECHNICAL_FILE_ID]="","",IF([@DOCUMENT_LINK_COUNT]&gt;0,TRUE,FALSE))</f>
        <v/>
      </c>
      <c r="H18" s="20">
        <f>IFERROR(INDEX(T_TECHNICAL_FILE[STATUS_ID],[@ROW_INDEX]),"")</f>
        <v/>
      </c>
      <c r="I18" s="20">
        <f>IF([@TECHNICAL_FILE_ID]="","",([@HAS_EXACTLY_ONE_SUBJECT]*60)+([@HAS_DOCUMENT]*40))</f>
        <v/>
      </c>
      <c r="J18" s="20">
        <f>IF([@TECHNICAL_FILE_ID]="","",IF([@COMPLETENESS_SCORE]=100,"COMPLETE","INCOMPLETE"))</f>
        <v/>
      </c>
    </row>
    <row r="19">
      <c r="A19" s="20" t="n">
        <v>18</v>
      </c>
      <c r="B19" s="20">
        <f>IFERROR(INDEX(T_TECHNICAL_FILE[TECHNICAL_FILE_ID],[@ROW_INDEX]),"")</f>
        <v/>
      </c>
      <c r="C19" s="20">
        <f>IFERROR(INDEX(T_TECHNICAL_FILE[TECHNICAL_FILE_CODE],[@ROW_INDEX]),"")</f>
        <v/>
      </c>
      <c r="D19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19" s="20">
        <f>IF([@TECHNICAL_FILE_ID]="","",IF([@SUBJECT_COUNT]=1,TRUE,FALSE))</f>
        <v/>
      </c>
      <c r="F19" s="20">
        <f>IF([@TECHNICAL_FILE_ID]="","",COUNTIF(T_DOCUMENT_LINK[TECHNICAL_FILE_ID],[@TECHNICAL_FILE_ID]))</f>
        <v/>
      </c>
      <c r="G19" s="20">
        <f>IF([@TECHNICAL_FILE_ID]="","",IF([@DOCUMENT_LINK_COUNT]&gt;0,TRUE,FALSE))</f>
        <v/>
      </c>
      <c r="H19" s="20">
        <f>IFERROR(INDEX(T_TECHNICAL_FILE[STATUS_ID],[@ROW_INDEX]),"")</f>
        <v/>
      </c>
      <c r="I19" s="20">
        <f>IF([@TECHNICAL_FILE_ID]="","",([@HAS_EXACTLY_ONE_SUBJECT]*60)+([@HAS_DOCUMENT]*40))</f>
        <v/>
      </c>
      <c r="J19" s="20">
        <f>IF([@TECHNICAL_FILE_ID]="","",IF([@COMPLETENESS_SCORE]=100,"COMPLETE","INCOMPLETE"))</f>
        <v/>
      </c>
    </row>
    <row r="20">
      <c r="A20" s="20" t="n">
        <v>19</v>
      </c>
      <c r="B20" s="20">
        <f>IFERROR(INDEX(T_TECHNICAL_FILE[TECHNICAL_FILE_ID],[@ROW_INDEX]),"")</f>
        <v/>
      </c>
      <c r="C20" s="20">
        <f>IFERROR(INDEX(T_TECHNICAL_FILE[TECHNICAL_FILE_CODE],[@ROW_INDEX]),"")</f>
        <v/>
      </c>
      <c r="D20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0" s="20">
        <f>IF([@TECHNICAL_FILE_ID]="","",IF([@SUBJECT_COUNT]=1,TRUE,FALSE))</f>
        <v/>
      </c>
      <c r="F20" s="20">
        <f>IF([@TECHNICAL_FILE_ID]="","",COUNTIF(T_DOCUMENT_LINK[TECHNICAL_FILE_ID],[@TECHNICAL_FILE_ID]))</f>
        <v/>
      </c>
      <c r="G20" s="20">
        <f>IF([@TECHNICAL_FILE_ID]="","",IF([@DOCUMENT_LINK_COUNT]&gt;0,TRUE,FALSE))</f>
        <v/>
      </c>
      <c r="H20" s="20">
        <f>IFERROR(INDEX(T_TECHNICAL_FILE[STATUS_ID],[@ROW_INDEX]),"")</f>
        <v/>
      </c>
      <c r="I20" s="20">
        <f>IF([@TECHNICAL_FILE_ID]="","",([@HAS_EXACTLY_ONE_SUBJECT]*60)+([@HAS_DOCUMENT]*40))</f>
        <v/>
      </c>
      <c r="J20" s="20">
        <f>IF([@TECHNICAL_FILE_ID]="","",IF([@COMPLETENESS_SCORE]=100,"COMPLETE","INCOMPLETE"))</f>
        <v/>
      </c>
    </row>
    <row r="21">
      <c r="A21" s="20" t="n">
        <v>20</v>
      </c>
      <c r="B21" s="20">
        <f>IFERROR(INDEX(T_TECHNICAL_FILE[TECHNICAL_FILE_ID],[@ROW_INDEX]),"")</f>
        <v/>
      </c>
      <c r="C21" s="20">
        <f>IFERROR(INDEX(T_TECHNICAL_FILE[TECHNICAL_FILE_CODE],[@ROW_INDEX]),"")</f>
        <v/>
      </c>
      <c r="D21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1" s="20">
        <f>IF([@TECHNICAL_FILE_ID]="","",IF([@SUBJECT_COUNT]=1,TRUE,FALSE))</f>
        <v/>
      </c>
      <c r="F21" s="20">
        <f>IF([@TECHNICAL_FILE_ID]="","",COUNTIF(T_DOCUMENT_LINK[TECHNICAL_FILE_ID],[@TECHNICAL_FILE_ID]))</f>
        <v/>
      </c>
      <c r="G21" s="20">
        <f>IF([@TECHNICAL_FILE_ID]="","",IF([@DOCUMENT_LINK_COUNT]&gt;0,TRUE,FALSE))</f>
        <v/>
      </c>
      <c r="H21" s="20">
        <f>IFERROR(INDEX(T_TECHNICAL_FILE[STATUS_ID],[@ROW_INDEX]),"")</f>
        <v/>
      </c>
      <c r="I21" s="20">
        <f>IF([@TECHNICAL_FILE_ID]="","",([@HAS_EXACTLY_ONE_SUBJECT]*60)+([@HAS_DOCUMENT]*40))</f>
        <v/>
      </c>
      <c r="J21" s="20">
        <f>IF([@TECHNICAL_FILE_ID]="","",IF([@COMPLETENESS_SCORE]=100,"COMPLETE","INCOMPLETE"))</f>
        <v/>
      </c>
    </row>
    <row r="22">
      <c r="A22" s="20" t="n">
        <v>21</v>
      </c>
      <c r="B22" s="20">
        <f>IFERROR(INDEX(T_TECHNICAL_FILE[TECHNICAL_FILE_ID],[@ROW_INDEX]),"")</f>
        <v/>
      </c>
      <c r="C22" s="20">
        <f>IFERROR(INDEX(T_TECHNICAL_FILE[TECHNICAL_FILE_CODE],[@ROW_INDEX]),"")</f>
        <v/>
      </c>
      <c r="D22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2" s="20">
        <f>IF([@TECHNICAL_FILE_ID]="","",IF([@SUBJECT_COUNT]=1,TRUE,FALSE))</f>
        <v/>
      </c>
      <c r="F22" s="20">
        <f>IF([@TECHNICAL_FILE_ID]="","",COUNTIF(T_DOCUMENT_LINK[TECHNICAL_FILE_ID],[@TECHNICAL_FILE_ID]))</f>
        <v/>
      </c>
      <c r="G22" s="20">
        <f>IF([@TECHNICAL_FILE_ID]="","",IF([@DOCUMENT_LINK_COUNT]&gt;0,TRUE,FALSE))</f>
        <v/>
      </c>
      <c r="H22" s="20">
        <f>IFERROR(INDEX(T_TECHNICAL_FILE[STATUS_ID],[@ROW_INDEX]),"")</f>
        <v/>
      </c>
      <c r="I22" s="20">
        <f>IF([@TECHNICAL_FILE_ID]="","",([@HAS_EXACTLY_ONE_SUBJECT]*60)+([@HAS_DOCUMENT]*40))</f>
        <v/>
      </c>
      <c r="J22" s="20">
        <f>IF([@TECHNICAL_FILE_ID]="","",IF([@COMPLETENESS_SCORE]=100,"COMPLETE","INCOMPLETE"))</f>
        <v/>
      </c>
    </row>
    <row r="23">
      <c r="A23" s="20" t="n">
        <v>22</v>
      </c>
      <c r="B23" s="20">
        <f>IFERROR(INDEX(T_TECHNICAL_FILE[TECHNICAL_FILE_ID],[@ROW_INDEX]),"")</f>
        <v/>
      </c>
      <c r="C23" s="20">
        <f>IFERROR(INDEX(T_TECHNICAL_FILE[TECHNICAL_FILE_CODE],[@ROW_INDEX]),"")</f>
        <v/>
      </c>
      <c r="D23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3" s="20">
        <f>IF([@TECHNICAL_FILE_ID]="","",IF([@SUBJECT_COUNT]=1,TRUE,FALSE))</f>
        <v/>
      </c>
      <c r="F23" s="20">
        <f>IF([@TECHNICAL_FILE_ID]="","",COUNTIF(T_DOCUMENT_LINK[TECHNICAL_FILE_ID],[@TECHNICAL_FILE_ID]))</f>
        <v/>
      </c>
      <c r="G23" s="20">
        <f>IF([@TECHNICAL_FILE_ID]="","",IF([@DOCUMENT_LINK_COUNT]&gt;0,TRUE,FALSE))</f>
        <v/>
      </c>
      <c r="H23" s="20">
        <f>IFERROR(INDEX(T_TECHNICAL_FILE[STATUS_ID],[@ROW_INDEX]),"")</f>
        <v/>
      </c>
      <c r="I23" s="20">
        <f>IF([@TECHNICAL_FILE_ID]="","",([@HAS_EXACTLY_ONE_SUBJECT]*60)+([@HAS_DOCUMENT]*40))</f>
        <v/>
      </c>
      <c r="J23" s="20">
        <f>IF([@TECHNICAL_FILE_ID]="","",IF([@COMPLETENESS_SCORE]=100,"COMPLETE","INCOMPLETE"))</f>
        <v/>
      </c>
    </row>
    <row r="24">
      <c r="A24" s="20" t="n">
        <v>23</v>
      </c>
      <c r="B24" s="20">
        <f>IFERROR(INDEX(T_TECHNICAL_FILE[TECHNICAL_FILE_ID],[@ROW_INDEX]),"")</f>
        <v/>
      </c>
      <c r="C24" s="20">
        <f>IFERROR(INDEX(T_TECHNICAL_FILE[TECHNICAL_FILE_CODE],[@ROW_INDEX]),"")</f>
        <v/>
      </c>
      <c r="D24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4" s="20">
        <f>IF([@TECHNICAL_FILE_ID]="","",IF([@SUBJECT_COUNT]=1,TRUE,FALSE))</f>
        <v/>
      </c>
      <c r="F24" s="20">
        <f>IF([@TECHNICAL_FILE_ID]="","",COUNTIF(T_DOCUMENT_LINK[TECHNICAL_FILE_ID],[@TECHNICAL_FILE_ID]))</f>
        <v/>
      </c>
      <c r="G24" s="20">
        <f>IF([@TECHNICAL_FILE_ID]="","",IF([@DOCUMENT_LINK_COUNT]&gt;0,TRUE,FALSE))</f>
        <v/>
      </c>
      <c r="H24" s="20">
        <f>IFERROR(INDEX(T_TECHNICAL_FILE[STATUS_ID],[@ROW_INDEX]),"")</f>
        <v/>
      </c>
      <c r="I24" s="20">
        <f>IF([@TECHNICAL_FILE_ID]="","",([@HAS_EXACTLY_ONE_SUBJECT]*60)+([@HAS_DOCUMENT]*40))</f>
        <v/>
      </c>
      <c r="J24" s="20">
        <f>IF([@TECHNICAL_FILE_ID]="","",IF([@COMPLETENESS_SCORE]=100,"COMPLETE","INCOMPLETE"))</f>
        <v/>
      </c>
    </row>
    <row r="25">
      <c r="A25" s="20" t="n">
        <v>24</v>
      </c>
      <c r="B25" s="20">
        <f>IFERROR(INDEX(T_TECHNICAL_FILE[TECHNICAL_FILE_ID],[@ROW_INDEX]),"")</f>
        <v/>
      </c>
      <c r="C25" s="20">
        <f>IFERROR(INDEX(T_TECHNICAL_FILE[TECHNICAL_FILE_CODE],[@ROW_INDEX]),"")</f>
        <v/>
      </c>
      <c r="D25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5" s="20">
        <f>IF([@TECHNICAL_FILE_ID]="","",IF([@SUBJECT_COUNT]=1,TRUE,FALSE))</f>
        <v/>
      </c>
      <c r="F25" s="20">
        <f>IF([@TECHNICAL_FILE_ID]="","",COUNTIF(T_DOCUMENT_LINK[TECHNICAL_FILE_ID],[@TECHNICAL_FILE_ID]))</f>
        <v/>
      </c>
      <c r="G25" s="20">
        <f>IF([@TECHNICAL_FILE_ID]="","",IF([@DOCUMENT_LINK_COUNT]&gt;0,TRUE,FALSE))</f>
        <v/>
      </c>
      <c r="H25" s="20">
        <f>IFERROR(INDEX(T_TECHNICAL_FILE[STATUS_ID],[@ROW_INDEX]),"")</f>
        <v/>
      </c>
      <c r="I25" s="20">
        <f>IF([@TECHNICAL_FILE_ID]="","",([@HAS_EXACTLY_ONE_SUBJECT]*60)+([@HAS_DOCUMENT]*40))</f>
        <v/>
      </c>
      <c r="J25" s="20">
        <f>IF([@TECHNICAL_FILE_ID]="","",IF([@COMPLETENESS_SCORE]=100,"COMPLETE","INCOMPLETE"))</f>
        <v/>
      </c>
    </row>
    <row r="26">
      <c r="A26" s="20" t="n">
        <v>25</v>
      </c>
      <c r="B26" s="20">
        <f>IFERROR(INDEX(T_TECHNICAL_FILE[TECHNICAL_FILE_ID],[@ROW_INDEX]),"")</f>
        <v/>
      </c>
      <c r="C26" s="20">
        <f>IFERROR(INDEX(T_TECHNICAL_FILE[TECHNICAL_FILE_CODE],[@ROW_INDEX]),"")</f>
        <v/>
      </c>
      <c r="D26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6" s="20">
        <f>IF([@TECHNICAL_FILE_ID]="","",IF([@SUBJECT_COUNT]=1,TRUE,FALSE))</f>
        <v/>
      </c>
      <c r="F26" s="20">
        <f>IF([@TECHNICAL_FILE_ID]="","",COUNTIF(T_DOCUMENT_LINK[TECHNICAL_FILE_ID],[@TECHNICAL_FILE_ID]))</f>
        <v/>
      </c>
      <c r="G26" s="20">
        <f>IF([@TECHNICAL_FILE_ID]="","",IF([@DOCUMENT_LINK_COUNT]&gt;0,TRUE,FALSE))</f>
        <v/>
      </c>
      <c r="H26" s="20">
        <f>IFERROR(INDEX(T_TECHNICAL_FILE[STATUS_ID],[@ROW_INDEX]),"")</f>
        <v/>
      </c>
      <c r="I26" s="20">
        <f>IF([@TECHNICAL_FILE_ID]="","",([@HAS_EXACTLY_ONE_SUBJECT]*60)+([@HAS_DOCUMENT]*40))</f>
        <v/>
      </c>
      <c r="J26" s="20">
        <f>IF([@TECHNICAL_FILE_ID]="","",IF([@COMPLETENESS_SCORE]=100,"COMPLETE","INCOMPLETE"))</f>
        <v/>
      </c>
    </row>
    <row r="27">
      <c r="A27" s="20" t="n">
        <v>26</v>
      </c>
      <c r="B27" s="20">
        <f>IFERROR(INDEX(T_TECHNICAL_FILE[TECHNICAL_FILE_ID],[@ROW_INDEX]),"")</f>
        <v/>
      </c>
      <c r="C27" s="20">
        <f>IFERROR(INDEX(T_TECHNICAL_FILE[TECHNICAL_FILE_CODE],[@ROW_INDEX]),"")</f>
        <v/>
      </c>
      <c r="D27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7" s="20">
        <f>IF([@TECHNICAL_FILE_ID]="","",IF([@SUBJECT_COUNT]=1,TRUE,FALSE))</f>
        <v/>
      </c>
      <c r="F27" s="20">
        <f>IF([@TECHNICAL_FILE_ID]="","",COUNTIF(T_DOCUMENT_LINK[TECHNICAL_FILE_ID],[@TECHNICAL_FILE_ID]))</f>
        <v/>
      </c>
      <c r="G27" s="20">
        <f>IF([@TECHNICAL_FILE_ID]="","",IF([@DOCUMENT_LINK_COUNT]&gt;0,TRUE,FALSE))</f>
        <v/>
      </c>
      <c r="H27" s="20">
        <f>IFERROR(INDEX(T_TECHNICAL_FILE[STATUS_ID],[@ROW_INDEX]),"")</f>
        <v/>
      </c>
      <c r="I27" s="20">
        <f>IF([@TECHNICAL_FILE_ID]="","",([@HAS_EXACTLY_ONE_SUBJECT]*60)+([@HAS_DOCUMENT]*40))</f>
        <v/>
      </c>
      <c r="J27" s="20">
        <f>IF([@TECHNICAL_FILE_ID]="","",IF([@COMPLETENESS_SCORE]=100,"COMPLETE","INCOMPLETE"))</f>
        <v/>
      </c>
    </row>
    <row r="28">
      <c r="A28" s="20" t="n">
        <v>27</v>
      </c>
      <c r="B28" s="20">
        <f>IFERROR(INDEX(T_TECHNICAL_FILE[TECHNICAL_FILE_ID],[@ROW_INDEX]),"")</f>
        <v/>
      </c>
      <c r="C28" s="20">
        <f>IFERROR(INDEX(T_TECHNICAL_FILE[TECHNICAL_FILE_CODE],[@ROW_INDEX]),"")</f>
        <v/>
      </c>
      <c r="D28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8" s="20">
        <f>IF([@TECHNICAL_FILE_ID]="","",IF([@SUBJECT_COUNT]=1,TRUE,FALSE))</f>
        <v/>
      </c>
      <c r="F28" s="20">
        <f>IF([@TECHNICAL_FILE_ID]="","",COUNTIF(T_DOCUMENT_LINK[TECHNICAL_FILE_ID],[@TECHNICAL_FILE_ID]))</f>
        <v/>
      </c>
      <c r="G28" s="20">
        <f>IF([@TECHNICAL_FILE_ID]="","",IF([@DOCUMENT_LINK_COUNT]&gt;0,TRUE,FALSE))</f>
        <v/>
      </c>
      <c r="H28" s="20">
        <f>IFERROR(INDEX(T_TECHNICAL_FILE[STATUS_ID],[@ROW_INDEX]),"")</f>
        <v/>
      </c>
      <c r="I28" s="20">
        <f>IF([@TECHNICAL_FILE_ID]="","",([@HAS_EXACTLY_ONE_SUBJECT]*60)+([@HAS_DOCUMENT]*40))</f>
        <v/>
      </c>
      <c r="J28" s="20">
        <f>IF([@TECHNICAL_FILE_ID]="","",IF([@COMPLETENESS_SCORE]=100,"COMPLETE","INCOMPLETE"))</f>
        <v/>
      </c>
    </row>
    <row r="29">
      <c r="A29" s="20" t="n">
        <v>28</v>
      </c>
      <c r="B29" s="20">
        <f>IFERROR(INDEX(T_TECHNICAL_FILE[TECHNICAL_FILE_ID],[@ROW_INDEX]),"")</f>
        <v/>
      </c>
      <c r="C29" s="20">
        <f>IFERROR(INDEX(T_TECHNICAL_FILE[TECHNICAL_FILE_CODE],[@ROW_INDEX]),"")</f>
        <v/>
      </c>
      <c r="D29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29" s="20">
        <f>IF([@TECHNICAL_FILE_ID]="","",IF([@SUBJECT_COUNT]=1,TRUE,FALSE))</f>
        <v/>
      </c>
      <c r="F29" s="20">
        <f>IF([@TECHNICAL_FILE_ID]="","",COUNTIF(T_DOCUMENT_LINK[TECHNICAL_FILE_ID],[@TECHNICAL_FILE_ID]))</f>
        <v/>
      </c>
      <c r="G29" s="20">
        <f>IF([@TECHNICAL_FILE_ID]="","",IF([@DOCUMENT_LINK_COUNT]&gt;0,TRUE,FALSE))</f>
        <v/>
      </c>
      <c r="H29" s="20">
        <f>IFERROR(INDEX(T_TECHNICAL_FILE[STATUS_ID],[@ROW_INDEX]),"")</f>
        <v/>
      </c>
      <c r="I29" s="20">
        <f>IF([@TECHNICAL_FILE_ID]="","",([@HAS_EXACTLY_ONE_SUBJECT]*60)+([@HAS_DOCUMENT]*40))</f>
        <v/>
      </c>
      <c r="J29" s="20">
        <f>IF([@TECHNICAL_FILE_ID]="","",IF([@COMPLETENESS_SCORE]=100,"COMPLETE","INCOMPLETE"))</f>
        <v/>
      </c>
    </row>
    <row r="30">
      <c r="A30" s="20" t="n">
        <v>29</v>
      </c>
      <c r="B30" s="20">
        <f>IFERROR(INDEX(T_TECHNICAL_FILE[TECHNICAL_FILE_ID],[@ROW_INDEX]),"")</f>
        <v/>
      </c>
      <c r="C30" s="20">
        <f>IFERROR(INDEX(T_TECHNICAL_FILE[TECHNICAL_FILE_CODE],[@ROW_INDEX]),"")</f>
        <v/>
      </c>
      <c r="D30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0" s="20">
        <f>IF([@TECHNICAL_FILE_ID]="","",IF([@SUBJECT_COUNT]=1,TRUE,FALSE))</f>
        <v/>
      </c>
      <c r="F30" s="20">
        <f>IF([@TECHNICAL_FILE_ID]="","",COUNTIF(T_DOCUMENT_LINK[TECHNICAL_FILE_ID],[@TECHNICAL_FILE_ID]))</f>
        <v/>
      </c>
      <c r="G30" s="20">
        <f>IF([@TECHNICAL_FILE_ID]="","",IF([@DOCUMENT_LINK_COUNT]&gt;0,TRUE,FALSE))</f>
        <v/>
      </c>
      <c r="H30" s="20">
        <f>IFERROR(INDEX(T_TECHNICAL_FILE[STATUS_ID],[@ROW_INDEX]),"")</f>
        <v/>
      </c>
      <c r="I30" s="20">
        <f>IF([@TECHNICAL_FILE_ID]="","",([@HAS_EXACTLY_ONE_SUBJECT]*60)+([@HAS_DOCUMENT]*40))</f>
        <v/>
      </c>
      <c r="J30" s="20">
        <f>IF([@TECHNICAL_FILE_ID]="","",IF([@COMPLETENESS_SCORE]=100,"COMPLETE","INCOMPLETE"))</f>
        <v/>
      </c>
    </row>
    <row r="31">
      <c r="A31" s="20" t="n">
        <v>30</v>
      </c>
      <c r="B31" s="20">
        <f>IFERROR(INDEX(T_TECHNICAL_FILE[TECHNICAL_FILE_ID],[@ROW_INDEX]),"")</f>
        <v/>
      </c>
      <c r="C31" s="20">
        <f>IFERROR(INDEX(T_TECHNICAL_FILE[TECHNICAL_FILE_CODE],[@ROW_INDEX]),"")</f>
        <v/>
      </c>
      <c r="D31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1" s="20">
        <f>IF([@TECHNICAL_FILE_ID]="","",IF([@SUBJECT_COUNT]=1,TRUE,FALSE))</f>
        <v/>
      </c>
      <c r="F31" s="20">
        <f>IF([@TECHNICAL_FILE_ID]="","",COUNTIF(T_DOCUMENT_LINK[TECHNICAL_FILE_ID],[@TECHNICAL_FILE_ID]))</f>
        <v/>
      </c>
      <c r="G31" s="20">
        <f>IF([@TECHNICAL_FILE_ID]="","",IF([@DOCUMENT_LINK_COUNT]&gt;0,TRUE,FALSE))</f>
        <v/>
      </c>
      <c r="H31" s="20">
        <f>IFERROR(INDEX(T_TECHNICAL_FILE[STATUS_ID],[@ROW_INDEX]),"")</f>
        <v/>
      </c>
      <c r="I31" s="20">
        <f>IF([@TECHNICAL_FILE_ID]="","",([@HAS_EXACTLY_ONE_SUBJECT]*60)+([@HAS_DOCUMENT]*40))</f>
        <v/>
      </c>
      <c r="J31" s="20">
        <f>IF([@TECHNICAL_FILE_ID]="","",IF([@COMPLETENESS_SCORE]=100,"COMPLETE","INCOMPLETE"))</f>
        <v/>
      </c>
    </row>
    <row r="32">
      <c r="A32" s="20" t="n">
        <v>31</v>
      </c>
      <c r="B32" s="20">
        <f>IFERROR(INDEX(T_TECHNICAL_FILE[TECHNICAL_FILE_ID],[@ROW_INDEX]),"")</f>
        <v/>
      </c>
      <c r="C32" s="20">
        <f>IFERROR(INDEX(T_TECHNICAL_FILE[TECHNICAL_FILE_CODE],[@ROW_INDEX]),"")</f>
        <v/>
      </c>
      <c r="D32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2" s="20">
        <f>IF([@TECHNICAL_FILE_ID]="","",IF([@SUBJECT_COUNT]=1,TRUE,FALSE))</f>
        <v/>
      </c>
      <c r="F32" s="20">
        <f>IF([@TECHNICAL_FILE_ID]="","",COUNTIF(T_DOCUMENT_LINK[TECHNICAL_FILE_ID],[@TECHNICAL_FILE_ID]))</f>
        <v/>
      </c>
      <c r="G32" s="20">
        <f>IF([@TECHNICAL_FILE_ID]="","",IF([@DOCUMENT_LINK_COUNT]&gt;0,TRUE,FALSE))</f>
        <v/>
      </c>
      <c r="H32" s="20">
        <f>IFERROR(INDEX(T_TECHNICAL_FILE[STATUS_ID],[@ROW_INDEX]),"")</f>
        <v/>
      </c>
      <c r="I32" s="20">
        <f>IF([@TECHNICAL_FILE_ID]="","",([@HAS_EXACTLY_ONE_SUBJECT]*60)+([@HAS_DOCUMENT]*40))</f>
        <v/>
      </c>
      <c r="J32" s="20">
        <f>IF([@TECHNICAL_FILE_ID]="","",IF([@COMPLETENESS_SCORE]=100,"COMPLETE","INCOMPLETE"))</f>
        <v/>
      </c>
    </row>
    <row r="33">
      <c r="A33" s="20" t="n">
        <v>32</v>
      </c>
      <c r="B33" s="20">
        <f>IFERROR(INDEX(T_TECHNICAL_FILE[TECHNICAL_FILE_ID],[@ROW_INDEX]),"")</f>
        <v/>
      </c>
      <c r="C33" s="20">
        <f>IFERROR(INDEX(T_TECHNICAL_FILE[TECHNICAL_FILE_CODE],[@ROW_INDEX]),"")</f>
        <v/>
      </c>
      <c r="D33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3" s="20">
        <f>IF([@TECHNICAL_FILE_ID]="","",IF([@SUBJECT_COUNT]=1,TRUE,FALSE))</f>
        <v/>
      </c>
      <c r="F33" s="20">
        <f>IF([@TECHNICAL_FILE_ID]="","",COUNTIF(T_DOCUMENT_LINK[TECHNICAL_FILE_ID],[@TECHNICAL_FILE_ID]))</f>
        <v/>
      </c>
      <c r="G33" s="20">
        <f>IF([@TECHNICAL_FILE_ID]="","",IF([@DOCUMENT_LINK_COUNT]&gt;0,TRUE,FALSE))</f>
        <v/>
      </c>
      <c r="H33" s="20">
        <f>IFERROR(INDEX(T_TECHNICAL_FILE[STATUS_ID],[@ROW_INDEX]),"")</f>
        <v/>
      </c>
      <c r="I33" s="20">
        <f>IF([@TECHNICAL_FILE_ID]="","",([@HAS_EXACTLY_ONE_SUBJECT]*60)+([@HAS_DOCUMENT]*40))</f>
        <v/>
      </c>
      <c r="J33" s="20">
        <f>IF([@TECHNICAL_FILE_ID]="","",IF([@COMPLETENESS_SCORE]=100,"COMPLETE","INCOMPLETE"))</f>
        <v/>
      </c>
    </row>
    <row r="34">
      <c r="A34" s="20" t="n">
        <v>33</v>
      </c>
      <c r="B34" s="20">
        <f>IFERROR(INDEX(T_TECHNICAL_FILE[TECHNICAL_FILE_ID],[@ROW_INDEX]),"")</f>
        <v/>
      </c>
      <c r="C34" s="20">
        <f>IFERROR(INDEX(T_TECHNICAL_FILE[TECHNICAL_FILE_CODE],[@ROW_INDEX]),"")</f>
        <v/>
      </c>
      <c r="D34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4" s="20">
        <f>IF([@TECHNICAL_FILE_ID]="","",IF([@SUBJECT_COUNT]=1,TRUE,FALSE))</f>
        <v/>
      </c>
      <c r="F34" s="20">
        <f>IF([@TECHNICAL_FILE_ID]="","",COUNTIF(T_DOCUMENT_LINK[TECHNICAL_FILE_ID],[@TECHNICAL_FILE_ID]))</f>
        <v/>
      </c>
      <c r="G34" s="20">
        <f>IF([@TECHNICAL_FILE_ID]="","",IF([@DOCUMENT_LINK_COUNT]&gt;0,TRUE,FALSE))</f>
        <v/>
      </c>
      <c r="H34" s="20">
        <f>IFERROR(INDEX(T_TECHNICAL_FILE[STATUS_ID],[@ROW_INDEX]),"")</f>
        <v/>
      </c>
      <c r="I34" s="20">
        <f>IF([@TECHNICAL_FILE_ID]="","",([@HAS_EXACTLY_ONE_SUBJECT]*60)+([@HAS_DOCUMENT]*40))</f>
        <v/>
      </c>
      <c r="J34" s="20">
        <f>IF([@TECHNICAL_FILE_ID]="","",IF([@COMPLETENESS_SCORE]=100,"COMPLETE","INCOMPLETE"))</f>
        <v/>
      </c>
    </row>
    <row r="35">
      <c r="A35" s="20" t="n">
        <v>34</v>
      </c>
      <c r="B35" s="20">
        <f>IFERROR(INDEX(T_TECHNICAL_FILE[TECHNICAL_FILE_ID],[@ROW_INDEX]),"")</f>
        <v/>
      </c>
      <c r="C35" s="20">
        <f>IFERROR(INDEX(T_TECHNICAL_FILE[TECHNICAL_FILE_CODE],[@ROW_INDEX]),"")</f>
        <v/>
      </c>
      <c r="D35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5" s="20">
        <f>IF([@TECHNICAL_FILE_ID]="","",IF([@SUBJECT_COUNT]=1,TRUE,FALSE))</f>
        <v/>
      </c>
      <c r="F35" s="20">
        <f>IF([@TECHNICAL_FILE_ID]="","",COUNTIF(T_DOCUMENT_LINK[TECHNICAL_FILE_ID],[@TECHNICAL_FILE_ID]))</f>
        <v/>
      </c>
      <c r="G35" s="20">
        <f>IF([@TECHNICAL_FILE_ID]="","",IF([@DOCUMENT_LINK_COUNT]&gt;0,TRUE,FALSE))</f>
        <v/>
      </c>
      <c r="H35" s="20">
        <f>IFERROR(INDEX(T_TECHNICAL_FILE[STATUS_ID],[@ROW_INDEX]),"")</f>
        <v/>
      </c>
      <c r="I35" s="20">
        <f>IF([@TECHNICAL_FILE_ID]="","",([@HAS_EXACTLY_ONE_SUBJECT]*60)+([@HAS_DOCUMENT]*40))</f>
        <v/>
      </c>
      <c r="J35" s="20">
        <f>IF([@TECHNICAL_FILE_ID]="","",IF([@COMPLETENESS_SCORE]=100,"COMPLETE","INCOMPLETE"))</f>
        <v/>
      </c>
    </row>
    <row r="36">
      <c r="A36" s="20" t="n">
        <v>35</v>
      </c>
      <c r="B36" s="20">
        <f>IFERROR(INDEX(T_TECHNICAL_FILE[TECHNICAL_FILE_ID],[@ROW_INDEX]),"")</f>
        <v/>
      </c>
      <c r="C36" s="20">
        <f>IFERROR(INDEX(T_TECHNICAL_FILE[TECHNICAL_FILE_CODE],[@ROW_INDEX]),"")</f>
        <v/>
      </c>
      <c r="D36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6" s="20">
        <f>IF([@TECHNICAL_FILE_ID]="","",IF([@SUBJECT_COUNT]=1,TRUE,FALSE))</f>
        <v/>
      </c>
      <c r="F36" s="20">
        <f>IF([@TECHNICAL_FILE_ID]="","",COUNTIF(T_DOCUMENT_LINK[TECHNICAL_FILE_ID],[@TECHNICAL_FILE_ID]))</f>
        <v/>
      </c>
      <c r="G36" s="20">
        <f>IF([@TECHNICAL_FILE_ID]="","",IF([@DOCUMENT_LINK_COUNT]&gt;0,TRUE,FALSE))</f>
        <v/>
      </c>
      <c r="H36" s="20">
        <f>IFERROR(INDEX(T_TECHNICAL_FILE[STATUS_ID],[@ROW_INDEX]),"")</f>
        <v/>
      </c>
      <c r="I36" s="20">
        <f>IF([@TECHNICAL_FILE_ID]="","",([@HAS_EXACTLY_ONE_SUBJECT]*60)+([@HAS_DOCUMENT]*40))</f>
        <v/>
      </c>
      <c r="J36" s="20">
        <f>IF([@TECHNICAL_FILE_ID]="","",IF([@COMPLETENESS_SCORE]=100,"COMPLETE","INCOMPLETE"))</f>
        <v/>
      </c>
    </row>
    <row r="37">
      <c r="A37" s="20" t="n">
        <v>36</v>
      </c>
      <c r="B37" s="20">
        <f>IFERROR(INDEX(T_TECHNICAL_FILE[TECHNICAL_FILE_ID],[@ROW_INDEX]),"")</f>
        <v/>
      </c>
      <c r="C37" s="20">
        <f>IFERROR(INDEX(T_TECHNICAL_FILE[TECHNICAL_FILE_CODE],[@ROW_INDEX]),"")</f>
        <v/>
      </c>
      <c r="D37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7" s="20">
        <f>IF([@TECHNICAL_FILE_ID]="","",IF([@SUBJECT_COUNT]=1,TRUE,FALSE))</f>
        <v/>
      </c>
      <c r="F37" s="20">
        <f>IF([@TECHNICAL_FILE_ID]="","",COUNTIF(T_DOCUMENT_LINK[TECHNICAL_FILE_ID],[@TECHNICAL_FILE_ID]))</f>
        <v/>
      </c>
      <c r="G37" s="20">
        <f>IF([@TECHNICAL_FILE_ID]="","",IF([@DOCUMENT_LINK_COUNT]&gt;0,TRUE,FALSE))</f>
        <v/>
      </c>
      <c r="H37" s="20">
        <f>IFERROR(INDEX(T_TECHNICAL_FILE[STATUS_ID],[@ROW_INDEX]),"")</f>
        <v/>
      </c>
      <c r="I37" s="20">
        <f>IF([@TECHNICAL_FILE_ID]="","",([@HAS_EXACTLY_ONE_SUBJECT]*60)+([@HAS_DOCUMENT]*40))</f>
        <v/>
      </c>
      <c r="J37" s="20">
        <f>IF([@TECHNICAL_FILE_ID]="","",IF([@COMPLETENESS_SCORE]=100,"COMPLETE","INCOMPLETE"))</f>
        <v/>
      </c>
    </row>
    <row r="38">
      <c r="A38" s="20" t="n">
        <v>37</v>
      </c>
      <c r="B38" s="20">
        <f>IFERROR(INDEX(T_TECHNICAL_FILE[TECHNICAL_FILE_ID],[@ROW_INDEX]),"")</f>
        <v/>
      </c>
      <c r="C38" s="20">
        <f>IFERROR(INDEX(T_TECHNICAL_FILE[TECHNICAL_FILE_CODE],[@ROW_INDEX]),"")</f>
        <v/>
      </c>
      <c r="D38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8" s="20">
        <f>IF([@TECHNICAL_FILE_ID]="","",IF([@SUBJECT_COUNT]=1,TRUE,FALSE))</f>
        <v/>
      </c>
      <c r="F38" s="20">
        <f>IF([@TECHNICAL_FILE_ID]="","",COUNTIF(T_DOCUMENT_LINK[TECHNICAL_FILE_ID],[@TECHNICAL_FILE_ID]))</f>
        <v/>
      </c>
      <c r="G38" s="20">
        <f>IF([@TECHNICAL_FILE_ID]="","",IF([@DOCUMENT_LINK_COUNT]&gt;0,TRUE,FALSE))</f>
        <v/>
      </c>
      <c r="H38" s="20">
        <f>IFERROR(INDEX(T_TECHNICAL_FILE[STATUS_ID],[@ROW_INDEX]),"")</f>
        <v/>
      </c>
      <c r="I38" s="20">
        <f>IF([@TECHNICAL_FILE_ID]="","",([@HAS_EXACTLY_ONE_SUBJECT]*60)+([@HAS_DOCUMENT]*40))</f>
        <v/>
      </c>
      <c r="J38" s="20">
        <f>IF([@TECHNICAL_FILE_ID]="","",IF([@COMPLETENESS_SCORE]=100,"COMPLETE","INCOMPLETE"))</f>
        <v/>
      </c>
    </row>
    <row r="39">
      <c r="A39" s="20" t="n">
        <v>38</v>
      </c>
      <c r="B39" s="20">
        <f>IFERROR(INDEX(T_TECHNICAL_FILE[TECHNICAL_FILE_ID],[@ROW_INDEX]),"")</f>
        <v/>
      </c>
      <c r="C39" s="20">
        <f>IFERROR(INDEX(T_TECHNICAL_FILE[TECHNICAL_FILE_CODE],[@ROW_INDEX]),"")</f>
        <v/>
      </c>
      <c r="D39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39" s="20">
        <f>IF([@TECHNICAL_FILE_ID]="","",IF([@SUBJECT_COUNT]=1,TRUE,FALSE))</f>
        <v/>
      </c>
      <c r="F39" s="20">
        <f>IF([@TECHNICAL_FILE_ID]="","",COUNTIF(T_DOCUMENT_LINK[TECHNICAL_FILE_ID],[@TECHNICAL_FILE_ID]))</f>
        <v/>
      </c>
      <c r="G39" s="20">
        <f>IF([@TECHNICAL_FILE_ID]="","",IF([@DOCUMENT_LINK_COUNT]&gt;0,TRUE,FALSE))</f>
        <v/>
      </c>
      <c r="H39" s="20">
        <f>IFERROR(INDEX(T_TECHNICAL_FILE[STATUS_ID],[@ROW_INDEX]),"")</f>
        <v/>
      </c>
      <c r="I39" s="20">
        <f>IF([@TECHNICAL_FILE_ID]="","",([@HAS_EXACTLY_ONE_SUBJECT]*60)+([@HAS_DOCUMENT]*40))</f>
        <v/>
      </c>
      <c r="J39" s="20">
        <f>IF([@TECHNICAL_FILE_ID]="","",IF([@COMPLETENESS_SCORE]=100,"COMPLETE","INCOMPLETE"))</f>
        <v/>
      </c>
    </row>
    <row r="40">
      <c r="A40" s="20" t="n">
        <v>39</v>
      </c>
      <c r="B40" s="20">
        <f>IFERROR(INDEX(T_TECHNICAL_FILE[TECHNICAL_FILE_ID],[@ROW_INDEX]),"")</f>
        <v/>
      </c>
      <c r="C40" s="20">
        <f>IFERROR(INDEX(T_TECHNICAL_FILE[TECHNICAL_FILE_CODE],[@ROW_INDEX]),"")</f>
        <v/>
      </c>
      <c r="D40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0" s="20">
        <f>IF([@TECHNICAL_FILE_ID]="","",IF([@SUBJECT_COUNT]=1,TRUE,FALSE))</f>
        <v/>
      </c>
      <c r="F40" s="20">
        <f>IF([@TECHNICAL_FILE_ID]="","",COUNTIF(T_DOCUMENT_LINK[TECHNICAL_FILE_ID],[@TECHNICAL_FILE_ID]))</f>
        <v/>
      </c>
      <c r="G40" s="20">
        <f>IF([@TECHNICAL_FILE_ID]="","",IF([@DOCUMENT_LINK_COUNT]&gt;0,TRUE,FALSE))</f>
        <v/>
      </c>
      <c r="H40" s="20">
        <f>IFERROR(INDEX(T_TECHNICAL_FILE[STATUS_ID],[@ROW_INDEX]),"")</f>
        <v/>
      </c>
      <c r="I40" s="20">
        <f>IF([@TECHNICAL_FILE_ID]="","",([@HAS_EXACTLY_ONE_SUBJECT]*60)+([@HAS_DOCUMENT]*40))</f>
        <v/>
      </c>
      <c r="J40" s="20">
        <f>IF([@TECHNICAL_FILE_ID]="","",IF([@COMPLETENESS_SCORE]=100,"COMPLETE","INCOMPLETE"))</f>
        <v/>
      </c>
    </row>
    <row r="41">
      <c r="A41" s="20" t="n">
        <v>40</v>
      </c>
      <c r="B41" s="20">
        <f>IFERROR(INDEX(T_TECHNICAL_FILE[TECHNICAL_FILE_ID],[@ROW_INDEX]),"")</f>
        <v/>
      </c>
      <c r="C41" s="20">
        <f>IFERROR(INDEX(T_TECHNICAL_FILE[TECHNICAL_FILE_CODE],[@ROW_INDEX]),"")</f>
        <v/>
      </c>
      <c r="D41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1" s="20">
        <f>IF([@TECHNICAL_FILE_ID]="","",IF([@SUBJECT_COUNT]=1,TRUE,FALSE))</f>
        <v/>
      </c>
      <c r="F41" s="20">
        <f>IF([@TECHNICAL_FILE_ID]="","",COUNTIF(T_DOCUMENT_LINK[TECHNICAL_FILE_ID],[@TECHNICAL_FILE_ID]))</f>
        <v/>
      </c>
      <c r="G41" s="20">
        <f>IF([@TECHNICAL_FILE_ID]="","",IF([@DOCUMENT_LINK_COUNT]&gt;0,TRUE,FALSE))</f>
        <v/>
      </c>
      <c r="H41" s="20">
        <f>IFERROR(INDEX(T_TECHNICAL_FILE[STATUS_ID],[@ROW_INDEX]),"")</f>
        <v/>
      </c>
      <c r="I41" s="20">
        <f>IF([@TECHNICAL_FILE_ID]="","",([@HAS_EXACTLY_ONE_SUBJECT]*60)+([@HAS_DOCUMENT]*40))</f>
        <v/>
      </c>
      <c r="J41" s="20">
        <f>IF([@TECHNICAL_FILE_ID]="","",IF([@COMPLETENESS_SCORE]=100,"COMPLETE","INCOMPLETE"))</f>
        <v/>
      </c>
    </row>
    <row r="42">
      <c r="A42" s="20" t="n">
        <v>41</v>
      </c>
      <c r="B42" s="20">
        <f>IFERROR(INDEX(T_TECHNICAL_FILE[TECHNICAL_FILE_ID],[@ROW_INDEX]),"")</f>
        <v/>
      </c>
      <c r="C42" s="20">
        <f>IFERROR(INDEX(T_TECHNICAL_FILE[TECHNICAL_FILE_CODE],[@ROW_INDEX]),"")</f>
        <v/>
      </c>
      <c r="D42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2" s="20">
        <f>IF([@TECHNICAL_FILE_ID]="","",IF([@SUBJECT_COUNT]=1,TRUE,FALSE))</f>
        <v/>
      </c>
      <c r="F42" s="20">
        <f>IF([@TECHNICAL_FILE_ID]="","",COUNTIF(T_DOCUMENT_LINK[TECHNICAL_FILE_ID],[@TECHNICAL_FILE_ID]))</f>
        <v/>
      </c>
      <c r="G42" s="20">
        <f>IF([@TECHNICAL_FILE_ID]="","",IF([@DOCUMENT_LINK_COUNT]&gt;0,TRUE,FALSE))</f>
        <v/>
      </c>
      <c r="H42" s="20">
        <f>IFERROR(INDEX(T_TECHNICAL_FILE[STATUS_ID],[@ROW_INDEX]),"")</f>
        <v/>
      </c>
      <c r="I42" s="20">
        <f>IF([@TECHNICAL_FILE_ID]="","",([@HAS_EXACTLY_ONE_SUBJECT]*60)+([@HAS_DOCUMENT]*40))</f>
        <v/>
      </c>
      <c r="J42" s="20">
        <f>IF([@TECHNICAL_FILE_ID]="","",IF([@COMPLETENESS_SCORE]=100,"COMPLETE","INCOMPLETE"))</f>
        <v/>
      </c>
    </row>
    <row r="43">
      <c r="A43" s="20" t="n">
        <v>42</v>
      </c>
      <c r="B43" s="20">
        <f>IFERROR(INDEX(T_TECHNICAL_FILE[TECHNICAL_FILE_ID],[@ROW_INDEX]),"")</f>
        <v/>
      </c>
      <c r="C43" s="20">
        <f>IFERROR(INDEX(T_TECHNICAL_FILE[TECHNICAL_FILE_CODE],[@ROW_INDEX]),"")</f>
        <v/>
      </c>
      <c r="D43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3" s="20">
        <f>IF([@TECHNICAL_FILE_ID]="","",IF([@SUBJECT_COUNT]=1,TRUE,FALSE))</f>
        <v/>
      </c>
      <c r="F43" s="20">
        <f>IF([@TECHNICAL_FILE_ID]="","",COUNTIF(T_DOCUMENT_LINK[TECHNICAL_FILE_ID],[@TECHNICAL_FILE_ID]))</f>
        <v/>
      </c>
      <c r="G43" s="20">
        <f>IF([@TECHNICAL_FILE_ID]="","",IF([@DOCUMENT_LINK_COUNT]&gt;0,TRUE,FALSE))</f>
        <v/>
      </c>
      <c r="H43" s="20">
        <f>IFERROR(INDEX(T_TECHNICAL_FILE[STATUS_ID],[@ROW_INDEX]),"")</f>
        <v/>
      </c>
      <c r="I43" s="20">
        <f>IF([@TECHNICAL_FILE_ID]="","",([@HAS_EXACTLY_ONE_SUBJECT]*60)+([@HAS_DOCUMENT]*40))</f>
        <v/>
      </c>
      <c r="J43" s="20">
        <f>IF([@TECHNICAL_FILE_ID]="","",IF([@COMPLETENESS_SCORE]=100,"COMPLETE","INCOMPLETE"))</f>
        <v/>
      </c>
    </row>
    <row r="44">
      <c r="A44" s="20" t="n">
        <v>43</v>
      </c>
      <c r="B44" s="20">
        <f>IFERROR(INDEX(T_TECHNICAL_FILE[TECHNICAL_FILE_ID],[@ROW_INDEX]),"")</f>
        <v/>
      </c>
      <c r="C44" s="20">
        <f>IFERROR(INDEX(T_TECHNICAL_FILE[TECHNICAL_FILE_CODE],[@ROW_INDEX]),"")</f>
        <v/>
      </c>
      <c r="D44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4" s="20">
        <f>IF([@TECHNICAL_FILE_ID]="","",IF([@SUBJECT_COUNT]=1,TRUE,FALSE))</f>
        <v/>
      </c>
      <c r="F44" s="20">
        <f>IF([@TECHNICAL_FILE_ID]="","",COUNTIF(T_DOCUMENT_LINK[TECHNICAL_FILE_ID],[@TECHNICAL_FILE_ID]))</f>
        <v/>
      </c>
      <c r="G44" s="20">
        <f>IF([@TECHNICAL_FILE_ID]="","",IF([@DOCUMENT_LINK_COUNT]&gt;0,TRUE,FALSE))</f>
        <v/>
      </c>
      <c r="H44" s="20">
        <f>IFERROR(INDEX(T_TECHNICAL_FILE[STATUS_ID],[@ROW_INDEX]),"")</f>
        <v/>
      </c>
      <c r="I44" s="20">
        <f>IF([@TECHNICAL_FILE_ID]="","",([@HAS_EXACTLY_ONE_SUBJECT]*60)+([@HAS_DOCUMENT]*40))</f>
        <v/>
      </c>
      <c r="J44" s="20">
        <f>IF([@TECHNICAL_FILE_ID]="","",IF([@COMPLETENESS_SCORE]=100,"COMPLETE","INCOMPLETE"))</f>
        <v/>
      </c>
    </row>
    <row r="45">
      <c r="A45" s="20" t="n">
        <v>44</v>
      </c>
      <c r="B45" s="20">
        <f>IFERROR(INDEX(T_TECHNICAL_FILE[TECHNICAL_FILE_ID],[@ROW_INDEX]),"")</f>
        <v/>
      </c>
      <c r="C45" s="20">
        <f>IFERROR(INDEX(T_TECHNICAL_FILE[TECHNICAL_FILE_CODE],[@ROW_INDEX]),"")</f>
        <v/>
      </c>
      <c r="D45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5" s="20">
        <f>IF([@TECHNICAL_FILE_ID]="","",IF([@SUBJECT_COUNT]=1,TRUE,FALSE))</f>
        <v/>
      </c>
      <c r="F45" s="20">
        <f>IF([@TECHNICAL_FILE_ID]="","",COUNTIF(T_DOCUMENT_LINK[TECHNICAL_FILE_ID],[@TECHNICAL_FILE_ID]))</f>
        <v/>
      </c>
      <c r="G45" s="20">
        <f>IF([@TECHNICAL_FILE_ID]="","",IF([@DOCUMENT_LINK_COUNT]&gt;0,TRUE,FALSE))</f>
        <v/>
      </c>
      <c r="H45" s="20">
        <f>IFERROR(INDEX(T_TECHNICAL_FILE[STATUS_ID],[@ROW_INDEX]),"")</f>
        <v/>
      </c>
      <c r="I45" s="20">
        <f>IF([@TECHNICAL_FILE_ID]="","",([@HAS_EXACTLY_ONE_SUBJECT]*60)+([@HAS_DOCUMENT]*40))</f>
        <v/>
      </c>
      <c r="J45" s="20">
        <f>IF([@TECHNICAL_FILE_ID]="","",IF([@COMPLETENESS_SCORE]=100,"COMPLETE","INCOMPLETE"))</f>
        <v/>
      </c>
    </row>
    <row r="46">
      <c r="A46" s="20" t="n">
        <v>45</v>
      </c>
      <c r="B46" s="20">
        <f>IFERROR(INDEX(T_TECHNICAL_FILE[TECHNICAL_FILE_ID],[@ROW_INDEX]),"")</f>
        <v/>
      </c>
      <c r="C46" s="20">
        <f>IFERROR(INDEX(T_TECHNICAL_FILE[TECHNICAL_FILE_CODE],[@ROW_INDEX]),"")</f>
        <v/>
      </c>
      <c r="D46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6" s="20">
        <f>IF([@TECHNICAL_FILE_ID]="","",IF([@SUBJECT_COUNT]=1,TRUE,FALSE))</f>
        <v/>
      </c>
      <c r="F46" s="20">
        <f>IF([@TECHNICAL_FILE_ID]="","",COUNTIF(T_DOCUMENT_LINK[TECHNICAL_FILE_ID],[@TECHNICAL_FILE_ID]))</f>
        <v/>
      </c>
      <c r="G46" s="20">
        <f>IF([@TECHNICAL_FILE_ID]="","",IF([@DOCUMENT_LINK_COUNT]&gt;0,TRUE,FALSE))</f>
        <v/>
      </c>
      <c r="H46" s="20">
        <f>IFERROR(INDEX(T_TECHNICAL_FILE[STATUS_ID],[@ROW_INDEX]),"")</f>
        <v/>
      </c>
      <c r="I46" s="20">
        <f>IF([@TECHNICAL_FILE_ID]="","",([@HAS_EXACTLY_ONE_SUBJECT]*60)+([@HAS_DOCUMENT]*40))</f>
        <v/>
      </c>
      <c r="J46" s="20">
        <f>IF([@TECHNICAL_FILE_ID]="","",IF([@COMPLETENESS_SCORE]=100,"COMPLETE","INCOMPLETE"))</f>
        <v/>
      </c>
    </row>
    <row r="47">
      <c r="A47" s="20" t="n">
        <v>46</v>
      </c>
      <c r="B47" s="20">
        <f>IFERROR(INDEX(T_TECHNICAL_FILE[TECHNICAL_FILE_ID],[@ROW_INDEX]),"")</f>
        <v/>
      </c>
      <c r="C47" s="20">
        <f>IFERROR(INDEX(T_TECHNICAL_FILE[TECHNICAL_FILE_CODE],[@ROW_INDEX]),"")</f>
        <v/>
      </c>
      <c r="D47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7" s="20">
        <f>IF([@TECHNICAL_FILE_ID]="","",IF([@SUBJECT_COUNT]=1,TRUE,FALSE))</f>
        <v/>
      </c>
      <c r="F47" s="20">
        <f>IF([@TECHNICAL_FILE_ID]="","",COUNTIF(T_DOCUMENT_LINK[TECHNICAL_FILE_ID],[@TECHNICAL_FILE_ID]))</f>
        <v/>
      </c>
      <c r="G47" s="20">
        <f>IF([@TECHNICAL_FILE_ID]="","",IF([@DOCUMENT_LINK_COUNT]&gt;0,TRUE,FALSE))</f>
        <v/>
      </c>
      <c r="H47" s="20">
        <f>IFERROR(INDEX(T_TECHNICAL_FILE[STATUS_ID],[@ROW_INDEX]),"")</f>
        <v/>
      </c>
      <c r="I47" s="20">
        <f>IF([@TECHNICAL_FILE_ID]="","",([@HAS_EXACTLY_ONE_SUBJECT]*60)+([@HAS_DOCUMENT]*40))</f>
        <v/>
      </c>
      <c r="J47" s="20">
        <f>IF([@TECHNICAL_FILE_ID]="","",IF([@COMPLETENESS_SCORE]=100,"COMPLETE","INCOMPLETE"))</f>
        <v/>
      </c>
    </row>
    <row r="48">
      <c r="A48" s="20" t="n">
        <v>47</v>
      </c>
      <c r="B48" s="20">
        <f>IFERROR(INDEX(T_TECHNICAL_FILE[TECHNICAL_FILE_ID],[@ROW_INDEX]),"")</f>
        <v/>
      </c>
      <c r="C48" s="20">
        <f>IFERROR(INDEX(T_TECHNICAL_FILE[TECHNICAL_FILE_CODE],[@ROW_INDEX]),"")</f>
        <v/>
      </c>
      <c r="D48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8" s="20">
        <f>IF([@TECHNICAL_FILE_ID]="","",IF([@SUBJECT_COUNT]=1,TRUE,FALSE))</f>
        <v/>
      </c>
      <c r="F48" s="20">
        <f>IF([@TECHNICAL_FILE_ID]="","",COUNTIF(T_DOCUMENT_LINK[TECHNICAL_FILE_ID],[@TECHNICAL_FILE_ID]))</f>
        <v/>
      </c>
      <c r="G48" s="20">
        <f>IF([@TECHNICAL_FILE_ID]="","",IF([@DOCUMENT_LINK_COUNT]&gt;0,TRUE,FALSE))</f>
        <v/>
      </c>
      <c r="H48" s="20">
        <f>IFERROR(INDEX(T_TECHNICAL_FILE[STATUS_ID],[@ROW_INDEX]),"")</f>
        <v/>
      </c>
      <c r="I48" s="20">
        <f>IF([@TECHNICAL_FILE_ID]="","",([@HAS_EXACTLY_ONE_SUBJECT]*60)+([@HAS_DOCUMENT]*40))</f>
        <v/>
      </c>
      <c r="J48" s="20">
        <f>IF([@TECHNICAL_FILE_ID]="","",IF([@COMPLETENESS_SCORE]=100,"COMPLETE","INCOMPLETE"))</f>
        <v/>
      </c>
    </row>
    <row r="49">
      <c r="A49" s="20" t="n">
        <v>48</v>
      </c>
      <c r="B49" s="20">
        <f>IFERROR(INDEX(T_TECHNICAL_FILE[TECHNICAL_FILE_ID],[@ROW_INDEX]),"")</f>
        <v/>
      </c>
      <c r="C49" s="20">
        <f>IFERROR(INDEX(T_TECHNICAL_FILE[TECHNICAL_FILE_CODE],[@ROW_INDEX]),"")</f>
        <v/>
      </c>
      <c r="D49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49" s="20">
        <f>IF([@TECHNICAL_FILE_ID]="","",IF([@SUBJECT_COUNT]=1,TRUE,FALSE))</f>
        <v/>
      </c>
      <c r="F49" s="20">
        <f>IF([@TECHNICAL_FILE_ID]="","",COUNTIF(T_DOCUMENT_LINK[TECHNICAL_FILE_ID],[@TECHNICAL_FILE_ID]))</f>
        <v/>
      </c>
      <c r="G49" s="20">
        <f>IF([@TECHNICAL_FILE_ID]="","",IF([@DOCUMENT_LINK_COUNT]&gt;0,TRUE,FALSE))</f>
        <v/>
      </c>
      <c r="H49" s="20">
        <f>IFERROR(INDEX(T_TECHNICAL_FILE[STATUS_ID],[@ROW_INDEX]),"")</f>
        <v/>
      </c>
      <c r="I49" s="20">
        <f>IF([@TECHNICAL_FILE_ID]="","",([@HAS_EXACTLY_ONE_SUBJECT]*60)+([@HAS_DOCUMENT]*40))</f>
        <v/>
      </c>
      <c r="J49" s="20">
        <f>IF([@TECHNICAL_FILE_ID]="","",IF([@COMPLETENESS_SCORE]=100,"COMPLETE","INCOMPLETE"))</f>
        <v/>
      </c>
    </row>
    <row r="50">
      <c r="A50" s="20" t="n">
        <v>49</v>
      </c>
      <c r="B50" s="20">
        <f>IFERROR(INDEX(T_TECHNICAL_FILE[TECHNICAL_FILE_ID],[@ROW_INDEX]),"")</f>
        <v/>
      </c>
      <c r="C50" s="20">
        <f>IFERROR(INDEX(T_TECHNICAL_FILE[TECHNICAL_FILE_CODE],[@ROW_INDEX]),"")</f>
        <v/>
      </c>
      <c r="D50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50" s="20">
        <f>IF([@TECHNICAL_FILE_ID]="","",IF([@SUBJECT_COUNT]=1,TRUE,FALSE))</f>
        <v/>
      </c>
      <c r="F50" s="20">
        <f>IF([@TECHNICAL_FILE_ID]="","",COUNTIF(T_DOCUMENT_LINK[TECHNICAL_FILE_ID],[@TECHNICAL_FILE_ID]))</f>
        <v/>
      </c>
      <c r="G50" s="20">
        <f>IF([@TECHNICAL_FILE_ID]="","",IF([@DOCUMENT_LINK_COUNT]&gt;0,TRUE,FALSE))</f>
        <v/>
      </c>
      <c r="H50" s="20">
        <f>IFERROR(INDEX(T_TECHNICAL_FILE[STATUS_ID],[@ROW_INDEX]),"")</f>
        <v/>
      </c>
      <c r="I50" s="20">
        <f>IF([@TECHNICAL_FILE_ID]="","",([@HAS_EXACTLY_ONE_SUBJECT]*60)+([@HAS_DOCUMENT]*40))</f>
        <v/>
      </c>
      <c r="J50" s="20">
        <f>IF([@TECHNICAL_FILE_ID]="","",IF([@COMPLETENESS_SCORE]=100,"COMPLETE","INCOMPLETE"))</f>
        <v/>
      </c>
    </row>
    <row r="51">
      <c r="A51" s="20" t="n">
        <v>50</v>
      </c>
      <c r="B51" s="20">
        <f>IFERROR(INDEX(T_TECHNICAL_FILE[TECHNICAL_FILE_ID],[@ROW_INDEX]),"")</f>
        <v/>
      </c>
      <c r="C51" s="20">
        <f>IFERROR(INDEX(T_TECHNICAL_FILE[TECHNICAL_FILE_CODE],[@ROW_INDEX]),"")</f>
        <v/>
      </c>
      <c r="D51" s="20">
        <f>IF([@TECHNICAL_FILE_ID]="","",IFERROR((IF(INDEX(T_TECHNICAL_FILE[COMPONENT_ID],[@ROW_INDEX])&lt;&gt;"",1,0))+(IF(INDEX(T_TECHNICAL_FILE[PACKAGING_CONFIGURATION_ID],[@ROW_INDEX])&lt;&gt;"",1,0))+(IF(INDEX(T_TECHNICAL_FILE[TRANSPORT_CONFIGURATION_ID],[@ROW_INDEX])&lt;&gt;"",1,0)),0))</f>
        <v/>
      </c>
      <c r="E51" s="20">
        <f>IF([@TECHNICAL_FILE_ID]="","",IF([@SUBJECT_COUNT]=1,TRUE,FALSE))</f>
        <v/>
      </c>
      <c r="F51" s="20">
        <f>IF([@TECHNICAL_FILE_ID]="","",COUNTIF(T_DOCUMENT_LINK[TECHNICAL_FILE_ID],[@TECHNICAL_FILE_ID]))</f>
        <v/>
      </c>
      <c r="G51" s="20">
        <f>IF([@TECHNICAL_FILE_ID]="","",IF([@DOCUMENT_LINK_COUNT]&gt;0,TRUE,FALSE))</f>
        <v/>
      </c>
      <c r="H51" s="20">
        <f>IFERROR(INDEX(T_TECHNICAL_FILE[STATUS_ID],[@ROW_INDEX]),"")</f>
        <v/>
      </c>
      <c r="I51" s="20">
        <f>IF([@TECHNICAL_FILE_ID]="","",([@HAS_EXACTLY_ONE_SUBJECT]*60)+([@HAS_DOCUMENT]*40))</f>
        <v/>
      </c>
      <c r="J51" s="20">
        <f>IF([@TECHNICAL_FILE_ID]="","",IF([@COMPLETENESS_SCORE]=100,"COMPLETE","INCOMPLETE"))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conditionalFormatting sqref="J2:J51">
    <cfRule type="cellIs" priority="1" operator="equal" dxfId="1">
      <formula>"OK"</formula>
    </cfRule>
    <cfRule type="cellIs" priority="2" operator="equal" dxfId="1">
      <formula>"COMPLETE"</formula>
    </cfRule>
    <cfRule type="cellIs" priority="3" operator="equal" dxfId="2">
      <formula>"INCOMPLETE"</formula>
    </cfRule>
    <cfRule type="cellIs" priority="4" operator="equal" dxfId="0">
      <formula>"VARIANCE"</formula>
    </cfRule>
    <cfRule type="cellIs" priority="5" operator="equal" dxfId="3">
      <formula>"PENDING"</formula>
    </cfRule>
  </conditionalFormatting>
  <hyperlinks>
    <hyperlink xmlns:r="http://schemas.openxmlformats.org/officeDocument/2006/relationships" ref="L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20" customWidth="1" min="4" max="4"/>
    <col width="22" customWidth="1" min="5" max="5"/>
    <col width="26" customWidth="1" min="6" max="6"/>
    <col width="15" customWidth="1" min="7" max="7"/>
    <col width="13" customWidth="1" min="8" max="8"/>
    <col width="23" customWidth="1" min="9" max="9"/>
    <col width="22" customWidth="1" min="10" max="10"/>
    <col width="17" customWidth="1" min="11" max="11"/>
  </cols>
  <sheetData>
    <row r="1">
      <c r="A1" s="12" t="inlineStr">
        <is>
          <t>ROW_INDEX</t>
        </is>
      </c>
      <c r="B1" s="12" t="inlineStr">
        <is>
          <t>DECLARATION_OF_CONFORMITY_ID</t>
        </is>
      </c>
      <c r="C1" s="12" t="inlineStr">
        <is>
          <t>DOC_NUMBER</t>
        </is>
      </c>
      <c r="D1" s="12" t="inlineStr">
        <is>
          <t>HAS_LEGAL_ENTITY</t>
        </is>
      </c>
      <c r="E1" s="12" t="inlineStr">
        <is>
          <t>HAS_TECHNICAL_FILE</t>
        </is>
      </c>
      <c r="F1" s="12" t="inlineStr">
        <is>
          <t>HAS_RESPONSIBLE_PERSON</t>
        </is>
      </c>
      <c r="G1" s="12" t="inlineStr">
        <is>
          <t>SCOPE_COUNT</t>
        </is>
      </c>
      <c r="H1" s="12" t="inlineStr">
        <is>
          <t>HAS_SCOPE</t>
        </is>
      </c>
      <c r="I1" s="12" t="inlineStr">
        <is>
          <t>DOCUMENT_LINK_COUNT</t>
        </is>
      </c>
      <c r="J1" s="12" t="inlineStr">
        <is>
          <t>COMPLETENESS_SCORE</t>
        </is>
      </c>
      <c r="K1" s="12" t="inlineStr">
        <is>
          <t>ENGINE_STATUS</t>
        </is>
      </c>
      <c r="M1" s="19" t="inlineStr">
        <is>
          <t>Dashboard</t>
        </is>
      </c>
    </row>
    <row r="2">
      <c r="A2" s="20" t="n">
        <v>1</v>
      </c>
      <c r="B2" s="20">
        <f>IFERROR(INDEX(T_DECLARATION_OF_CONFORMITY[DECLARATION_OF_CONFORMITY_ID],[@ROW_INDEX]),"")</f>
        <v/>
      </c>
      <c r="C2" s="20">
        <f>IFERROR(INDEX(T_DECLARATION_OF_CONFORMITY[DOC_NUMBER],[@ROW_INDEX]),"")</f>
        <v/>
      </c>
      <c r="D2" s="20">
        <f>IF([@DECLARATION_OF_CONFORMITY_ID]="","",IF(INDEX(T_DECLARATION_OF_CONFORMITY[LEGAL_ENTITY_ID],[@ROW_INDEX])&lt;&gt;"",TRUE,FALSE))</f>
        <v/>
      </c>
      <c r="E2" s="20">
        <f>IF([@DECLARATION_OF_CONFORMITY_ID]="","",IF(INDEX(T_DECLARATION_OF_CONFORMITY[TECHNICAL_FILE_ID],[@ROW_INDEX])&lt;&gt;"",TRUE,FALSE))</f>
        <v/>
      </c>
      <c r="F2" s="20">
        <f>IF([@DECLARATION_OF_CONFORMITY_ID]="","",IF(INDEX(T_DECLARATION_OF_CONFORMITY[RESPONSIBLE_PERSON_ID],[@ROW_INDEX])&lt;&gt;"",TRUE,FALSE))</f>
        <v/>
      </c>
      <c r="G2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" s="20">
        <f>IF([@DECLARATION_OF_CONFORMITY_ID]="","",IF([@SCOPE_COUNT]&gt;=1,TRUE,FALSE))</f>
        <v/>
      </c>
      <c r="I2" s="20">
        <f>IF([@DECLARATION_OF_CONFORMITY_ID]="","",COUNTIF(T_DOCUMENT_LINK[DECLARATION_OF_CONFORMITY_ID],[@DECLARATION_OF_CONFORMITY_ID]))</f>
        <v/>
      </c>
      <c r="J2" s="20">
        <f>IF([@DECLARATION_OF_CONFORMITY_ID]="","",([@HAS_LEGAL_ENTITY]*25)+([@HAS_TECHNICAL_FILE]*25)+([@HAS_RESPONSIBLE_PERSON]*25)+([@HAS_SCOPE]*25))</f>
        <v/>
      </c>
      <c r="K2" s="20">
        <f>IF([@DECLARATION_OF_CONFORMITY_ID]="","",IF([@COMPLETENESS_SCORE]=100,"COMPLETE","INCOMPLETE"))</f>
        <v/>
      </c>
    </row>
    <row r="3">
      <c r="A3" s="20" t="n">
        <v>2</v>
      </c>
      <c r="B3" s="20">
        <f>IFERROR(INDEX(T_DECLARATION_OF_CONFORMITY[DECLARATION_OF_CONFORMITY_ID],[@ROW_INDEX]),"")</f>
        <v/>
      </c>
      <c r="C3" s="20">
        <f>IFERROR(INDEX(T_DECLARATION_OF_CONFORMITY[DOC_NUMBER],[@ROW_INDEX]),"")</f>
        <v/>
      </c>
      <c r="D3" s="20">
        <f>IF([@DECLARATION_OF_CONFORMITY_ID]="","",IF(INDEX(T_DECLARATION_OF_CONFORMITY[LEGAL_ENTITY_ID],[@ROW_INDEX])&lt;&gt;"",TRUE,FALSE))</f>
        <v/>
      </c>
      <c r="E3" s="20">
        <f>IF([@DECLARATION_OF_CONFORMITY_ID]="","",IF(INDEX(T_DECLARATION_OF_CONFORMITY[TECHNICAL_FILE_ID],[@ROW_INDEX])&lt;&gt;"",TRUE,FALSE))</f>
        <v/>
      </c>
      <c r="F3" s="20">
        <f>IF([@DECLARATION_OF_CONFORMITY_ID]="","",IF(INDEX(T_DECLARATION_OF_CONFORMITY[RESPONSIBLE_PERSON_ID],[@ROW_INDEX])&lt;&gt;"",TRUE,FALSE))</f>
        <v/>
      </c>
      <c r="G3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" s="20">
        <f>IF([@DECLARATION_OF_CONFORMITY_ID]="","",IF([@SCOPE_COUNT]&gt;=1,TRUE,FALSE))</f>
        <v/>
      </c>
      <c r="I3" s="20">
        <f>IF([@DECLARATION_OF_CONFORMITY_ID]="","",COUNTIF(T_DOCUMENT_LINK[DECLARATION_OF_CONFORMITY_ID],[@DECLARATION_OF_CONFORMITY_ID]))</f>
        <v/>
      </c>
      <c r="J3" s="20">
        <f>IF([@DECLARATION_OF_CONFORMITY_ID]="","",([@HAS_LEGAL_ENTITY]*25)+([@HAS_TECHNICAL_FILE]*25)+([@HAS_RESPONSIBLE_PERSON]*25)+([@HAS_SCOPE]*25))</f>
        <v/>
      </c>
      <c r="K3" s="20">
        <f>IF([@DECLARATION_OF_CONFORMITY_ID]="","",IF([@COMPLETENESS_SCORE]=100,"COMPLETE","INCOMPLETE"))</f>
        <v/>
      </c>
    </row>
    <row r="4">
      <c r="A4" s="20" t="n">
        <v>3</v>
      </c>
      <c r="B4" s="20">
        <f>IFERROR(INDEX(T_DECLARATION_OF_CONFORMITY[DECLARATION_OF_CONFORMITY_ID],[@ROW_INDEX]),"")</f>
        <v/>
      </c>
      <c r="C4" s="20">
        <f>IFERROR(INDEX(T_DECLARATION_OF_CONFORMITY[DOC_NUMBER],[@ROW_INDEX]),"")</f>
        <v/>
      </c>
      <c r="D4" s="20">
        <f>IF([@DECLARATION_OF_CONFORMITY_ID]="","",IF(INDEX(T_DECLARATION_OF_CONFORMITY[LEGAL_ENTITY_ID],[@ROW_INDEX])&lt;&gt;"",TRUE,FALSE))</f>
        <v/>
      </c>
      <c r="E4" s="20">
        <f>IF([@DECLARATION_OF_CONFORMITY_ID]="","",IF(INDEX(T_DECLARATION_OF_CONFORMITY[TECHNICAL_FILE_ID],[@ROW_INDEX])&lt;&gt;"",TRUE,FALSE))</f>
        <v/>
      </c>
      <c r="F4" s="20">
        <f>IF([@DECLARATION_OF_CONFORMITY_ID]="","",IF(INDEX(T_DECLARATION_OF_CONFORMITY[RESPONSIBLE_PERSON_ID],[@ROW_INDEX])&lt;&gt;"",TRUE,FALSE))</f>
        <v/>
      </c>
      <c r="G4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" s="20">
        <f>IF([@DECLARATION_OF_CONFORMITY_ID]="","",IF([@SCOPE_COUNT]&gt;=1,TRUE,FALSE))</f>
        <v/>
      </c>
      <c r="I4" s="20">
        <f>IF([@DECLARATION_OF_CONFORMITY_ID]="","",COUNTIF(T_DOCUMENT_LINK[DECLARATION_OF_CONFORMITY_ID],[@DECLARATION_OF_CONFORMITY_ID]))</f>
        <v/>
      </c>
      <c r="J4" s="20">
        <f>IF([@DECLARATION_OF_CONFORMITY_ID]="","",([@HAS_LEGAL_ENTITY]*25)+([@HAS_TECHNICAL_FILE]*25)+([@HAS_RESPONSIBLE_PERSON]*25)+([@HAS_SCOPE]*25))</f>
        <v/>
      </c>
      <c r="K4" s="20">
        <f>IF([@DECLARATION_OF_CONFORMITY_ID]="","",IF([@COMPLETENESS_SCORE]=100,"COMPLETE","INCOMPLETE"))</f>
        <v/>
      </c>
    </row>
    <row r="5">
      <c r="A5" s="20" t="n">
        <v>4</v>
      </c>
      <c r="B5" s="20">
        <f>IFERROR(INDEX(T_DECLARATION_OF_CONFORMITY[DECLARATION_OF_CONFORMITY_ID],[@ROW_INDEX]),"")</f>
        <v/>
      </c>
      <c r="C5" s="20">
        <f>IFERROR(INDEX(T_DECLARATION_OF_CONFORMITY[DOC_NUMBER],[@ROW_INDEX]),"")</f>
        <v/>
      </c>
      <c r="D5" s="20">
        <f>IF([@DECLARATION_OF_CONFORMITY_ID]="","",IF(INDEX(T_DECLARATION_OF_CONFORMITY[LEGAL_ENTITY_ID],[@ROW_INDEX])&lt;&gt;"",TRUE,FALSE))</f>
        <v/>
      </c>
      <c r="E5" s="20">
        <f>IF([@DECLARATION_OF_CONFORMITY_ID]="","",IF(INDEX(T_DECLARATION_OF_CONFORMITY[TECHNICAL_FILE_ID],[@ROW_INDEX])&lt;&gt;"",TRUE,FALSE))</f>
        <v/>
      </c>
      <c r="F5" s="20">
        <f>IF([@DECLARATION_OF_CONFORMITY_ID]="","",IF(INDEX(T_DECLARATION_OF_CONFORMITY[RESPONSIBLE_PERSON_ID],[@ROW_INDEX])&lt;&gt;"",TRUE,FALSE))</f>
        <v/>
      </c>
      <c r="G5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5" s="20">
        <f>IF([@DECLARATION_OF_CONFORMITY_ID]="","",IF([@SCOPE_COUNT]&gt;=1,TRUE,FALSE))</f>
        <v/>
      </c>
      <c r="I5" s="20">
        <f>IF([@DECLARATION_OF_CONFORMITY_ID]="","",COUNTIF(T_DOCUMENT_LINK[DECLARATION_OF_CONFORMITY_ID],[@DECLARATION_OF_CONFORMITY_ID]))</f>
        <v/>
      </c>
      <c r="J5" s="20">
        <f>IF([@DECLARATION_OF_CONFORMITY_ID]="","",([@HAS_LEGAL_ENTITY]*25)+([@HAS_TECHNICAL_FILE]*25)+([@HAS_RESPONSIBLE_PERSON]*25)+([@HAS_SCOPE]*25))</f>
        <v/>
      </c>
      <c r="K5" s="20">
        <f>IF([@DECLARATION_OF_CONFORMITY_ID]="","",IF([@COMPLETENESS_SCORE]=100,"COMPLETE","INCOMPLETE"))</f>
        <v/>
      </c>
    </row>
    <row r="6">
      <c r="A6" s="20" t="n">
        <v>5</v>
      </c>
      <c r="B6" s="20">
        <f>IFERROR(INDEX(T_DECLARATION_OF_CONFORMITY[DECLARATION_OF_CONFORMITY_ID],[@ROW_INDEX]),"")</f>
        <v/>
      </c>
      <c r="C6" s="20">
        <f>IFERROR(INDEX(T_DECLARATION_OF_CONFORMITY[DOC_NUMBER],[@ROW_INDEX]),"")</f>
        <v/>
      </c>
      <c r="D6" s="20">
        <f>IF([@DECLARATION_OF_CONFORMITY_ID]="","",IF(INDEX(T_DECLARATION_OF_CONFORMITY[LEGAL_ENTITY_ID],[@ROW_INDEX])&lt;&gt;"",TRUE,FALSE))</f>
        <v/>
      </c>
      <c r="E6" s="20">
        <f>IF([@DECLARATION_OF_CONFORMITY_ID]="","",IF(INDEX(T_DECLARATION_OF_CONFORMITY[TECHNICAL_FILE_ID],[@ROW_INDEX])&lt;&gt;"",TRUE,FALSE))</f>
        <v/>
      </c>
      <c r="F6" s="20">
        <f>IF([@DECLARATION_OF_CONFORMITY_ID]="","",IF(INDEX(T_DECLARATION_OF_CONFORMITY[RESPONSIBLE_PERSON_ID],[@ROW_INDEX])&lt;&gt;"",TRUE,FALSE))</f>
        <v/>
      </c>
      <c r="G6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6" s="20">
        <f>IF([@DECLARATION_OF_CONFORMITY_ID]="","",IF([@SCOPE_COUNT]&gt;=1,TRUE,FALSE))</f>
        <v/>
      </c>
      <c r="I6" s="20">
        <f>IF([@DECLARATION_OF_CONFORMITY_ID]="","",COUNTIF(T_DOCUMENT_LINK[DECLARATION_OF_CONFORMITY_ID],[@DECLARATION_OF_CONFORMITY_ID]))</f>
        <v/>
      </c>
      <c r="J6" s="20">
        <f>IF([@DECLARATION_OF_CONFORMITY_ID]="","",([@HAS_LEGAL_ENTITY]*25)+([@HAS_TECHNICAL_FILE]*25)+([@HAS_RESPONSIBLE_PERSON]*25)+([@HAS_SCOPE]*25))</f>
        <v/>
      </c>
      <c r="K6" s="20">
        <f>IF([@DECLARATION_OF_CONFORMITY_ID]="","",IF([@COMPLETENESS_SCORE]=100,"COMPLETE","INCOMPLETE"))</f>
        <v/>
      </c>
    </row>
    <row r="7">
      <c r="A7" s="20" t="n">
        <v>6</v>
      </c>
      <c r="B7" s="20">
        <f>IFERROR(INDEX(T_DECLARATION_OF_CONFORMITY[DECLARATION_OF_CONFORMITY_ID],[@ROW_INDEX]),"")</f>
        <v/>
      </c>
      <c r="C7" s="20">
        <f>IFERROR(INDEX(T_DECLARATION_OF_CONFORMITY[DOC_NUMBER],[@ROW_INDEX]),"")</f>
        <v/>
      </c>
      <c r="D7" s="20">
        <f>IF([@DECLARATION_OF_CONFORMITY_ID]="","",IF(INDEX(T_DECLARATION_OF_CONFORMITY[LEGAL_ENTITY_ID],[@ROW_INDEX])&lt;&gt;"",TRUE,FALSE))</f>
        <v/>
      </c>
      <c r="E7" s="20">
        <f>IF([@DECLARATION_OF_CONFORMITY_ID]="","",IF(INDEX(T_DECLARATION_OF_CONFORMITY[TECHNICAL_FILE_ID],[@ROW_INDEX])&lt;&gt;"",TRUE,FALSE))</f>
        <v/>
      </c>
      <c r="F7" s="20">
        <f>IF([@DECLARATION_OF_CONFORMITY_ID]="","",IF(INDEX(T_DECLARATION_OF_CONFORMITY[RESPONSIBLE_PERSON_ID],[@ROW_INDEX])&lt;&gt;"",TRUE,FALSE))</f>
        <v/>
      </c>
      <c r="G7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7" s="20">
        <f>IF([@DECLARATION_OF_CONFORMITY_ID]="","",IF([@SCOPE_COUNT]&gt;=1,TRUE,FALSE))</f>
        <v/>
      </c>
      <c r="I7" s="20">
        <f>IF([@DECLARATION_OF_CONFORMITY_ID]="","",COUNTIF(T_DOCUMENT_LINK[DECLARATION_OF_CONFORMITY_ID],[@DECLARATION_OF_CONFORMITY_ID]))</f>
        <v/>
      </c>
      <c r="J7" s="20">
        <f>IF([@DECLARATION_OF_CONFORMITY_ID]="","",([@HAS_LEGAL_ENTITY]*25)+([@HAS_TECHNICAL_FILE]*25)+([@HAS_RESPONSIBLE_PERSON]*25)+([@HAS_SCOPE]*25))</f>
        <v/>
      </c>
      <c r="K7" s="20">
        <f>IF([@DECLARATION_OF_CONFORMITY_ID]="","",IF([@COMPLETENESS_SCORE]=100,"COMPLETE","INCOMPLETE"))</f>
        <v/>
      </c>
    </row>
    <row r="8">
      <c r="A8" s="20" t="n">
        <v>7</v>
      </c>
      <c r="B8" s="20">
        <f>IFERROR(INDEX(T_DECLARATION_OF_CONFORMITY[DECLARATION_OF_CONFORMITY_ID],[@ROW_INDEX]),"")</f>
        <v/>
      </c>
      <c r="C8" s="20">
        <f>IFERROR(INDEX(T_DECLARATION_OF_CONFORMITY[DOC_NUMBER],[@ROW_INDEX]),"")</f>
        <v/>
      </c>
      <c r="D8" s="20">
        <f>IF([@DECLARATION_OF_CONFORMITY_ID]="","",IF(INDEX(T_DECLARATION_OF_CONFORMITY[LEGAL_ENTITY_ID],[@ROW_INDEX])&lt;&gt;"",TRUE,FALSE))</f>
        <v/>
      </c>
      <c r="E8" s="20">
        <f>IF([@DECLARATION_OF_CONFORMITY_ID]="","",IF(INDEX(T_DECLARATION_OF_CONFORMITY[TECHNICAL_FILE_ID],[@ROW_INDEX])&lt;&gt;"",TRUE,FALSE))</f>
        <v/>
      </c>
      <c r="F8" s="20">
        <f>IF([@DECLARATION_OF_CONFORMITY_ID]="","",IF(INDEX(T_DECLARATION_OF_CONFORMITY[RESPONSIBLE_PERSON_ID],[@ROW_INDEX])&lt;&gt;"",TRUE,FALSE))</f>
        <v/>
      </c>
      <c r="G8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8" s="20">
        <f>IF([@DECLARATION_OF_CONFORMITY_ID]="","",IF([@SCOPE_COUNT]&gt;=1,TRUE,FALSE))</f>
        <v/>
      </c>
      <c r="I8" s="20">
        <f>IF([@DECLARATION_OF_CONFORMITY_ID]="","",COUNTIF(T_DOCUMENT_LINK[DECLARATION_OF_CONFORMITY_ID],[@DECLARATION_OF_CONFORMITY_ID]))</f>
        <v/>
      </c>
      <c r="J8" s="20">
        <f>IF([@DECLARATION_OF_CONFORMITY_ID]="","",([@HAS_LEGAL_ENTITY]*25)+([@HAS_TECHNICAL_FILE]*25)+([@HAS_RESPONSIBLE_PERSON]*25)+([@HAS_SCOPE]*25))</f>
        <v/>
      </c>
      <c r="K8" s="20">
        <f>IF([@DECLARATION_OF_CONFORMITY_ID]="","",IF([@COMPLETENESS_SCORE]=100,"COMPLETE","INCOMPLETE"))</f>
        <v/>
      </c>
    </row>
    <row r="9">
      <c r="A9" s="20" t="n">
        <v>8</v>
      </c>
      <c r="B9" s="20">
        <f>IFERROR(INDEX(T_DECLARATION_OF_CONFORMITY[DECLARATION_OF_CONFORMITY_ID],[@ROW_INDEX]),"")</f>
        <v/>
      </c>
      <c r="C9" s="20">
        <f>IFERROR(INDEX(T_DECLARATION_OF_CONFORMITY[DOC_NUMBER],[@ROW_INDEX]),"")</f>
        <v/>
      </c>
      <c r="D9" s="20">
        <f>IF([@DECLARATION_OF_CONFORMITY_ID]="","",IF(INDEX(T_DECLARATION_OF_CONFORMITY[LEGAL_ENTITY_ID],[@ROW_INDEX])&lt;&gt;"",TRUE,FALSE))</f>
        <v/>
      </c>
      <c r="E9" s="20">
        <f>IF([@DECLARATION_OF_CONFORMITY_ID]="","",IF(INDEX(T_DECLARATION_OF_CONFORMITY[TECHNICAL_FILE_ID],[@ROW_INDEX])&lt;&gt;"",TRUE,FALSE))</f>
        <v/>
      </c>
      <c r="F9" s="20">
        <f>IF([@DECLARATION_OF_CONFORMITY_ID]="","",IF(INDEX(T_DECLARATION_OF_CONFORMITY[RESPONSIBLE_PERSON_ID],[@ROW_INDEX])&lt;&gt;"",TRUE,FALSE))</f>
        <v/>
      </c>
      <c r="G9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9" s="20">
        <f>IF([@DECLARATION_OF_CONFORMITY_ID]="","",IF([@SCOPE_COUNT]&gt;=1,TRUE,FALSE))</f>
        <v/>
      </c>
      <c r="I9" s="20">
        <f>IF([@DECLARATION_OF_CONFORMITY_ID]="","",COUNTIF(T_DOCUMENT_LINK[DECLARATION_OF_CONFORMITY_ID],[@DECLARATION_OF_CONFORMITY_ID]))</f>
        <v/>
      </c>
      <c r="J9" s="20">
        <f>IF([@DECLARATION_OF_CONFORMITY_ID]="","",([@HAS_LEGAL_ENTITY]*25)+([@HAS_TECHNICAL_FILE]*25)+([@HAS_RESPONSIBLE_PERSON]*25)+([@HAS_SCOPE]*25))</f>
        <v/>
      </c>
      <c r="K9" s="20">
        <f>IF([@DECLARATION_OF_CONFORMITY_ID]="","",IF([@COMPLETENESS_SCORE]=100,"COMPLETE","INCOMPLETE"))</f>
        <v/>
      </c>
    </row>
    <row r="10">
      <c r="A10" s="20" t="n">
        <v>9</v>
      </c>
      <c r="B10" s="20">
        <f>IFERROR(INDEX(T_DECLARATION_OF_CONFORMITY[DECLARATION_OF_CONFORMITY_ID],[@ROW_INDEX]),"")</f>
        <v/>
      </c>
      <c r="C10" s="20">
        <f>IFERROR(INDEX(T_DECLARATION_OF_CONFORMITY[DOC_NUMBER],[@ROW_INDEX]),"")</f>
        <v/>
      </c>
      <c r="D10" s="20">
        <f>IF([@DECLARATION_OF_CONFORMITY_ID]="","",IF(INDEX(T_DECLARATION_OF_CONFORMITY[LEGAL_ENTITY_ID],[@ROW_INDEX])&lt;&gt;"",TRUE,FALSE))</f>
        <v/>
      </c>
      <c r="E10" s="20">
        <f>IF([@DECLARATION_OF_CONFORMITY_ID]="","",IF(INDEX(T_DECLARATION_OF_CONFORMITY[TECHNICAL_FILE_ID],[@ROW_INDEX])&lt;&gt;"",TRUE,FALSE))</f>
        <v/>
      </c>
      <c r="F10" s="20">
        <f>IF([@DECLARATION_OF_CONFORMITY_ID]="","",IF(INDEX(T_DECLARATION_OF_CONFORMITY[RESPONSIBLE_PERSON_ID],[@ROW_INDEX])&lt;&gt;"",TRUE,FALSE))</f>
        <v/>
      </c>
      <c r="G10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0" s="20">
        <f>IF([@DECLARATION_OF_CONFORMITY_ID]="","",IF([@SCOPE_COUNT]&gt;=1,TRUE,FALSE))</f>
        <v/>
      </c>
      <c r="I10" s="20">
        <f>IF([@DECLARATION_OF_CONFORMITY_ID]="","",COUNTIF(T_DOCUMENT_LINK[DECLARATION_OF_CONFORMITY_ID],[@DECLARATION_OF_CONFORMITY_ID]))</f>
        <v/>
      </c>
      <c r="J10" s="20">
        <f>IF([@DECLARATION_OF_CONFORMITY_ID]="","",([@HAS_LEGAL_ENTITY]*25)+([@HAS_TECHNICAL_FILE]*25)+([@HAS_RESPONSIBLE_PERSON]*25)+([@HAS_SCOPE]*25))</f>
        <v/>
      </c>
      <c r="K10" s="20">
        <f>IF([@DECLARATION_OF_CONFORMITY_ID]="","",IF([@COMPLETENESS_SCORE]=100,"COMPLETE","INCOMPLETE"))</f>
        <v/>
      </c>
    </row>
    <row r="11">
      <c r="A11" s="20" t="n">
        <v>10</v>
      </c>
      <c r="B11" s="20">
        <f>IFERROR(INDEX(T_DECLARATION_OF_CONFORMITY[DECLARATION_OF_CONFORMITY_ID],[@ROW_INDEX]),"")</f>
        <v/>
      </c>
      <c r="C11" s="20">
        <f>IFERROR(INDEX(T_DECLARATION_OF_CONFORMITY[DOC_NUMBER],[@ROW_INDEX]),"")</f>
        <v/>
      </c>
      <c r="D11" s="20">
        <f>IF([@DECLARATION_OF_CONFORMITY_ID]="","",IF(INDEX(T_DECLARATION_OF_CONFORMITY[LEGAL_ENTITY_ID],[@ROW_INDEX])&lt;&gt;"",TRUE,FALSE))</f>
        <v/>
      </c>
      <c r="E11" s="20">
        <f>IF([@DECLARATION_OF_CONFORMITY_ID]="","",IF(INDEX(T_DECLARATION_OF_CONFORMITY[TECHNICAL_FILE_ID],[@ROW_INDEX])&lt;&gt;"",TRUE,FALSE))</f>
        <v/>
      </c>
      <c r="F11" s="20">
        <f>IF([@DECLARATION_OF_CONFORMITY_ID]="","",IF(INDEX(T_DECLARATION_OF_CONFORMITY[RESPONSIBLE_PERSON_ID],[@ROW_INDEX])&lt;&gt;"",TRUE,FALSE))</f>
        <v/>
      </c>
      <c r="G11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1" s="20">
        <f>IF([@DECLARATION_OF_CONFORMITY_ID]="","",IF([@SCOPE_COUNT]&gt;=1,TRUE,FALSE))</f>
        <v/>
      </c>
      <c r="I11" s="20">
        <f>IF([@DECLARATION_OF_CONFORMITY_ID]="","",COUNTIF(T_DOCUMENT_LINK[DECLARATION_OF_CONFORMITY_ID],[@DECLARATION_OF_CONFORMITY_ID]))</f>
        <v/>
      </c>
      <c r="J11" s="20">
        <f>IF([@DECLARATION_OF_CONFORMITY_ID]="","",([@HAS_LEGAL_ENTITY]*25)+([@HAS_TECHNICAL_FILE]*25)+([@HAS_RESPONSIBLE_PERSON]*25)+([@HAS_SCOPE]*25))</f>
        <v/>
      </c>
      <c r="K11" s="20">
        <f>IF([@DECLARATION_OF_CONFORMITY_ID]="","",IF([@COMPLETENESS_SCORE]=100,"COMPLETE","INCOMPLETE"))</f>
        <v/>
      </c>
    </row>
    <row r="12">
      <c r="A12" s="20" t="n">
        <v>11</v>
      </c>
      <c r="B12" s="20">
        <f>IFERROR(INDEX(T_DECLARATION_OF_CONFORMITY[DECLARATION_OF_CONFORMITY_ID],[@ROW_INDEX]),"")</f>
        <v/>
      </c>
      <c r="C12" s="20">
        <f>IFERROR(INDEX(T_DECLARATION_OF_CONFORMITY[DOC_NUMBER],[@ROW_INDEX]),"")</f>
        <v/>
      </c>
      <c r="D12" s="20">
        <f>IF([@DECLARATION_OF_CONFORMITY_ID]="","",IF(INDEX(T_DECLARATION_OF_CONFORMITY[LEGAL_ENTITY_ID],[@ROW_INDEX])&lt;&gt;"",TRUE,FALSE))</f>
        <v/>
      </c>
      <c r="E12" s="20">
        <f>IF([@DECLARATION_OF_CONFORMITY_ID]="","",IF(INDEX(T_DECLARATION_OF_CONFORMITY[TECHNICAL_FILE_ID],[@ROW_INDEX])&lt;&gt;"",TRUE,FALSE))</f>
        <v/>
      </c>
      <c r="F12" s="20">
        <f>IF([@DECLARATION_OF_CONFORMITY_ID]="","",IF(INDEX(T_DECLARATION_OF_CONFORMITY[RESPONSIBLE_PERSON_ID],[@ROW_INDEX])&lt;&gt;"",TRUE,FALSE))</f>
        <v/>
      </c>
      <c r="G12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2" s="20">
        <f>IF([@DECLARATION_OF_CONFORMITY_ID]="","",IF([@SCOPE_COUNT]&gt;=1,TRUE,FALSE))</f>
        <v/>
      </c>
      <c r="I12" s="20">
        <f>IF([@DECLARATION_OF_CONFORMITY_ID]="","",COUNTIF(T_DOCUMENT_LINK[DECLARATION_OF_CONFORMITY_ID],[@DECLARATION_OF_CONFORMITY_ID]))</f>
        <v/>
      </c>
      <c r="J12" s="20">
        <f>IF([@DECLARATION_OF_CONFORMITY_ID]="","",([@HAS_LEGAL_ENTITY]*25)+([@HAS_TECHNICAL_FILE]*25)+([@HAS_RESPONSIBLE_PERSON]*25)+([@HAS_SCOPE]*25))</f>
        <v/>
      </c>
      <c r="K12" s="20">
        <f>IF([@DECLARATION_OF_CONFORMITY_ID]="","",IF([@COMPLETENESS_SCORE]=100,"COMPLETE","INCOMPLETE"))</f>
        <v/>
      </c>
    </row>
    <row r="13">
      <c r="A13" s="20" t="n">
        <v>12</v>
      </c>
      <c r="B13" s="20">
        <f>IFERROR(INDEX(T_DECLARATION_OF_CONFORMITY[DECLARATION_OF_CONFORMITY_ID],[@ROW_INDEX]),"")</f>
        <v/>
      </c>
      <c r="C13" s="20">
        <f>IFERROR(INDEX(T_DECLARATION_OF_CONFORMITY[DOC_NUMBER],[@ROW_INDEX]),"")</f>
        <v/>
      </c>
      <c r="D13" s="20">
        <f>IF([@DECLARATION_OF_CONFORMITY_ID]="","",IF(INDEX(T_DECLARATION_OF_CONFORMITY[LEGAL_ENTITY_ID],[@ROW_INDEX])&lt;&gt;"",TRUE,FALSE))</f>
        <v/>
      </c>
      <c r="E13" s="20">
        <f>IF([@DECLARATION_OF_CONFORMITY_ID]="","",IF(INDEX(T_DECLARATION_OF_CONFORMITY[TECHNICAL_FILE_ID],[@ROW_INDEX])&lt;&gt;"",TRUE,FALSE))</f>
        <v/>
      </c>
      <c r="F13" s="20">
        <f>IF([@DECLARATION_OF_CONFORMITY_ID]="","",IF(INDEX(T_DECLARATION_OF_CONFORMITY[RESPONSIBLE_PERSON_ID],[@ROW_INDEX])&lt;&gt;"",TRUE,FALSE))</f>
        <v/>
      </c>
      <c r="G13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3" s="20">
        <f>IF([@DECLARATION_OF_CONFORMITY_ID]="","",IF([@SCOPE_COUNT]&gt;=1,TRUE,FALSE))</f>
        <v/>
      </c>
      <c r="I13" s="20">
        <f>IF([@DECLARATION_OF_CONFORMITY_ID]="","",COUNTIF(T_DOCUMENT_LINK[DECLARATION_OF_CONFORMITY_ID],[@DECLARATION_OF_CONFORMITY_ID]))</f>
        <v/>
      </c>
      <c r="J13" s="20">
        <f>IF([@DECLARATION_OF_CONFORMITY_ID]="","",([@HAS_LEGAL_ENTITY]*25)+([@HAS_TECHNICAL_FILE]*25)+([@HAS_RESPONSIBLE_PERSON]*25)+([@HAS_SCOPE]*25))</f>
        <v/>
      </c>
      <c r="K13" s="20">
        <f>IF([@DECLARATION_OF_CONFORMITY_ID]="","",IF([@COMPLETENESS_SCORE]=100,"COMPLETE","INCOMPLETE"))</f>
        <v/>
      </c>
    </row>
    <row r="14">
      <c r="A14" s="20" t="n">
        <v>13</v>
      </c>
      <c r="B14" s="20">
        <f>IFERROR(INDEX(T_DECLARATION_OF_CONFORMITY[DECLARATION_OF_CONFORMITY_ID],[@ROW_INDEX]),"")</f>
        <v/>
      </c>
      <c r="C14" s="20">
        <f>IFERROR(INDEX(T_DECLARATION_OF_CONFORMITY[DOC_NUMBER],[@ROW_INDEX]),"")</f>
        <v/>
      </c>
      <c r="D14" s="20">
        <f>IF([@DECLARATION_OF_CONFORMITY_ID]="","",IF(INDEX(T_DECLARATION_OF_CONFORMITY[LEGAL_ENTITY_ID],[@ROW_INDEX])&lt;&gt;"",TRUE,FALSE))</f>
        <v/>
      </c>
      <c r="E14" s="20">
        <f>IF([@DECLARATION_OF_CONFORMITY_ID]="","",IF(INDEX(T_DECLARATION_OF_CONFORMITY[TECHNICAL_FILE_ID],[@ROW_INDEX])&lt;&gt;"",TRUE,FALSE))</f>
        <v/>
      </c>
      <c r="F14" s="20">
        <f>IF([@DECLARATION_OF_CONFORMITY_ID]="","",IF(INDEX(T_DECLARATION_OF_CONFORMITY[RESPONSIBLE_PERSON_ID],[@ROW_INDEX])&lt;&gt;"",TRUE,FALSE))</f>
        <v/>
      </c>
      <c r="G14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4" s="20">
        <f>IF([@DECLARATION_OF_CONFORMITY_ID]="","",IF([@SCOPE_COUNT]&gt;=1,TRUE,FALSE))</f>
        <v/>
      </c>
      <c r="I14" s="20">
        <f>IF([@DECLARATION_OF_CONFORMITY_ID]="","",COUNTIF(T_DOCUMENT_LINK[DECLARATION_OF_CONFORMITY_ID],[@DECLARATION_OF_CONFORMITY_ID]))</f>
        <v/>
      </c>
      <c r="J14" s="20">
        <f>IF([@DECLARATION_OF_CONFORMITY_ID]="","",([@HAS_LEGAL_ENTITY]*25)+([@HAS_TECHNICAL_FILE]*25)+([@HAS_RESPONSIBLE_PERSON]*25)+([@HAS_SCOPE]*25))</f>
        <v/>
      </c>
      <c r="K14" s="20">
        <f>IF([@DECLARATION_OF_CONFORMITY_ID]="","",IF([@COMPLETENESS_SCORE]=100,"COMPLETE","INCOMPLETE"))</f>
        <v/>
      </c>
    </row>
    <row r="15">
      <c r="A15" s="20" t="n">
        <v>14</v>
      </c>
      <c r="B15" s="20">
        <f>IFERROR(INDEX(T_DECLARATION_OF_CONFORMITY[DECLARATION_OF_CONFORMITY_ID],[@ROW_INDEX]),"")</f>
        <v/>
      </c>
      <c r="C15" s="20">
        <f>IFERROR(INDEX(T_DECLARATION_OF_CONFORMITY[DOC_NUMBER],[@ROW_INDEX]),"")</f>
        <v/>
      </c>
      <c r="D15" s="20">
        <f>IF([@DECLARATION_OF_CONFORMITY_ID]="","",IF(INDEX(T_DECLARATION_OF_CONFORMITY[LEGAL_ENTITY_ID],[@ROW_INDEX])&lt;&gt;"",TRUE,FALSE))</f>
        <v/>
      </c>
      <c r="E15" s="20">
        <f>IF([@DECLARATION_OF_CONFORMITY_ID]="","",IF(INDEX(T_DECLARATION_OF_CONFORMITY[TECHNICAL_FILE_ID],[@ROW_INDEX])&lt;&gt;"",TRUE,FALSE))</f>
        <v/>
      </c>
      <c r="F15" s="20">
        <f>IF([@DECLARATION_OF_CONFORMITY_ID]="","",IF(INDEX(T_DECLARATION_OF_CONFORMITY[RESPONSIBLE_PERSON_ID],[@ROW_INDEX])&lt;&gt;"",TRUE,FALSE))</f>
        <v/>
      </c>
      <c r="G15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5" s="20">
        <f>IF([@DECLARATION_OF_CONFORMITY_ID]="","",IF([@SCOPE_COUNT]&gt;=1,TRUE,FALSE))</f>
        <v/>
      </c>
      <c r="I15" s="20">
        <f>IF([@DECLARATION_OF_CONFORMITY_ID]="","",COUNTIF(T_DOCUMENT_LINK[DECLARATION_OF_CONFORMITY_ID],[@DECLARATION_OF_CONFORMITY_ID]))</f>
        <v/>
      </c>
      <c r="J15" s="20">
        <f>IF([@DECLARATION_OF_CONFORMITY_ID]="","",([@HAS_LEGAL_ENTITY]*25)+([@HAS_TECHNICAL_FILE]*25)+([@HAS_RESPONSIBLE_PERSON]*25)+([@HAS_SCOPE]*25))</f>
        <v/>
      </c>
      <c r="K15" s="20">
        <f>IF([@DECLARATION_OF_CONFORMITY_ID]="","",IF([@COMPLETENESS_SCORE]=100,"COMPLETE","INCOMPLETE"))</f>
        <v/>
      </c>
    </row>
    <row r="16">
      <c r="A16" s="20" t="n">
        <v>15</v>
      </c>
      <c r="B16" s="20">
        <f>IFERROR(INDEX(T_DECLARATION_OF_CONFORMITY[DECLARATION_OF_CONFORMITY_ID],[@ROW_INDEX]),"")</f>
        <v/>
      </c>
      <c r="C16" s="20">
        <f>IFERROR(INDEX(T_DECLARATION_OF_CONFORMITY[DOC_NUMBER],[@ROW_INDEX]),"")</f>
        <v/>
      </c>
      <c r="D16" s="20">
        <f>IF([@DECLARATION_OF_CONFORMITY_ID]="","",IF(INDEX(T_DECLARATION_OF_CONFORMITY[LEGAL_ENTITY_ID],[@ROW_INDEX])&lt;&gt;"",TRUE,FALSE))</f>
        <v/>
      </c>
      <c r="E16" s="20">
        <f>IF([@DECLARATION_OF_CONFORMITY_ID]="","",IF(INDEX(T_DECLARATION_OF_CONFORMITY[TECHNICAL_FILE_ID],[@ROW_INDEX])&lt;&gt;"",TRUE,FALSE))</f>
        <v/>
      </c>
      <c r="F16" s="20">
        <f>IF([@DECLARATION_OF_CONFORMITY_ID]="","",IF(INDEX(T_DECLARATION_OF_CONFORMITY[RESPONSIBLE_PERSON_ID],[@ROW_INDEX])&lt;&gt;"",TRUE,FALSE))</f>
        <v/>
      </c>
      <c r="G16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6" s="20">
        <f>IF([@DECLARATION_OF_CONFORMITY_ID]="","",IF([@SCOPE_COUNT]&gt;=1,TRUE,FALSE))</f>
        <v/>
      </c>
      <c r="I16" s="20">
        <f>IF([@DECLARATION_OF_CONFORMITY_ID]="","",COUNTIF(T_DOCUMENT_LINK[DECLARATION_OF_CONFORMITY_ID],[@DECLARATION_OF_CONFORMITY_ID]))</f>
        <v/>
      </c>
      <c r="J16" s="20">
        <f>IF([@DECLARATION_OF_CONFORMITY_ID]="","",([@HAS_LEGAL_ENTITY]*25)+([@HAS_TECHNICAL_FILE]*25)+([@HAS_RESPONSIBLE_PERSON]*25)+([@HAS_SCOPE]*25))</f>
        <v/>
      </c>
      <c r="K16" s="20">
        <f>IF([@DECLARATION_OF_CONFORMITY_ID]="","",IF([@COMPLETENESS_SCORE]=100,"COMPLETE","INCOMPLETE"))</f>
        <v/>
      </c>
    </row>
    <row r="17">
      <c r="A17" s="20" t="n">
        <v>16</v>
      </c>
      <c r="B17" s="20">
        <f>IFERROR(INDEX(T_DECLARATION_OF_CONFORMITY[DECLARATION_OF_CONFORMITY_ID],[@ROW_INDEX]),"")</f>
        <v/>
      </c>
      <c r="C17" s="20">
        <f>IFERROR(INDEX(T_DECLARATION_OF_CONFORMITY[DOC_NUMBER],[@ROW_INDEX]),"")</f>
        <v/>
      </c>
      <c r="D17" s="20">
        <f>IF([@DECLARATION_OF_CONFORMITY_ID]="","",IF(INDEX(T_DECLARATION_OF_CONFORMITY[LEGAL_ENTITY_ID],[@ROW_INDEX])&lt;&gt;"",TRUE,FALSE))</f>
        <v/>
      </c>
      <c r="E17" s="20">
        <f>IF([@DECLARATION_OF_CONFORMITY_ID]="","",IF(INDEX(T_DECLARATION_OF_CONFORMITY[TECHNICAL_FILE_ID],[@ROW_INDEX])&lt;&gt;"",TRUE,FALSE))</f>
        <v/>
      </c>
      <c r="F17" s="20">
        <f>IF([@DECLARATION_OF_CONFORMITY_ID]="","",IF(INDEX(T_DECLARATION_OF_CONFORMITY[RESPONSIBLE_PERSON_ID],[@ROW_INDEX])&lt;&gt;"",TRUE,FALSE))</f>
        <v/>
      </c>
      <c r="G17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7" s="20">
        <f>IF([@DECLARATION_OF_CONFORMITY_ID]="","",IF([@SCOPE_COUNT]&gt;=1,TRUE,FALSE))</f>
        <v/>
      </c>
      <c r="I17" s="20">
        <f>IF([@DECLARATION_OF_CONFORMITY_ID]="","",COUNTIF(T_DOCUMENT_LINK[DECLARATION_OF_CONFORMITY_ID],[@DECLARATION_OF_CONFORMITY_ID]))</f>
        <v/>
      </c>
      <c r="J17" s="20">
        <f>IF([@DECLARATION_OF_CONFORMITY_ID]="","",([@HAS_LEGAL_ENTITY]*25)+([@HAS_TECHNICAL_FILE]*25)+([@HAS_RESPONSIBLE_PERSON]*25)+([@HAS_SCOPE]*25))</f>
        <v/>
      </c>
      <c r="K17" s="20">
        <f>IF([@DECLARATION_OF_CONFORMITY_ID]="","",IF([@COMPLETENESS_SCORE]=100,"COMPLETE","INCOMPLETE"))</f>
        <v/>
      </c>
    </row>
    <row r="18">
      <c r="A18" s="20" t="n">
        <v>17</v>
      </c>
      <c r="B18" s="20">
        <f>IFERROR(INDEX(T_DECLARATION_OF_CONFORMITY[DECLARATION_OF_CONFORMITY_ID],[@ROW_INDEX]),"")</f>
        <v/>
      </c>
      <c r="C18" s="20">
        <f>IFERROR(INDEX(T_DECLARATION_OF_CONFORMITY[DOC_NUMBER],[@ROW_INDEX]),"")</f>
        <v/>
      </c>
      <c r="D18" s="20">
        <f>IF([@DECLARATION_OF_CONFORMITY_ID]="","",IF(INDEX(T_DECLARATION_OF_CONFORMITY[LEGAL_ENTITY_ID],[@ROW_INDEX])&lt;&gt;"",TRUE,FALSE))</f>
        <v/>
      </c>
      <c r="E18" s="20">
        <f>IF([@DECLARATION_OF_CONFORMITY_ID]="","",IF(INDEX(T_DECLARATION_OF_CONFORMITY[TECHNICAL_FILE_ID],[@ROW_INDEX])&lt;&gt;"",TRUE,FALSE))</f>
        <v/>
      </c>
      <c r="F18" s="20">
        <f>IF([@DECLARATION_OF_CONFORMITY_ID]="","",IF(INDEX(T_DECLARATION_OF_CONFORMITY[RESPONSIBLE_PERSON_ID],[@ROW_INDEX])&lt;&gt;"",TRUE,FALSE))</f>
        <v/>
      </c>
      <c r="G18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8" s="20">
        <f>IF([@DECLARATION_OF_CONFORMITY_ID]="","",IF([@SCOPE_COUNT]&gt;=1,TRUE,FALSE))</f>
        <v/>
      </c>
      <c r="I18" s="20">
        <f>IF([@DECLARATION_OF_CONFORMITY_ID]="","",COUNTIF(T_DOCUMENT_LINK[DECLARATION_OF_CONFORMITY_ID],[@DECLARATION_OF_CONFORMITY_ID]))</f>
        <v/>
      </c>
      <c r="J18" s="20">
        <f>IF([@DECLARATION_OF_CONFORMITY_ID]="","",([@HAS_LEGAL_ENTITY]*25)+([@HAS_TECHNICAL_FILE]*25)+([@HAS_RESPONSIBLE_PERSON]*25)+([@HAS_SCOPE]*25))</f>
        <v/>
      </c>
      <c r="K18" s="20">
        <f>IF([@DECLARATION_OF_CONFORMITY_ID]="","",IF([@COMPLETENESS_SCORE]=100,"COMPLETE","INCOMPLETE"))</f>
        <v/>
      </c>
    </row>
    <row r="19">
      <c r="A19" s="20" t="n">
        <v>18</v>
      </c>
      <c r="B19" s="20">
        <f>IFERROR(INDEX(T_DECLARATION_OF_CONFORMITY[DECLARATION_OF_CONFORMITY_ID],[@ROW_INDEX]),"")</f>
        <v/>
      </c>
      <c r="C19" s="20">
        <f>IFERROR(INDEX(T_DECLARATION_OF_CONFORMITY[DOC_NUMBER],[@ROW_INDEX]),"")</f>
        <v/>
      </c>
      <c r="D19" s="20">
        <f>IF([@DECLARATION_OF_CONFORMITY_ID]="","",IF(INDEX(T_DECLARATION_OF_CONFORMITY[LEGAL_ENTITY_ID],[@ROW_INDEX])&lt;&gt;"",TRUE,FALSE))</f>
        <v/>
      </c>
      <c r="E19" s="20">
        <f>IF([@DECLARATION_OF_CONFORMITY_ID]="","",IF(INDEX(T_DECLARATION_OF_CONFORMITY[TECHNICAL_FILE_ID],[@ROW_INDEX])&lt;&gt;"",TRUE,FALSE))</f>
        <v/>
      </c>
      <c r="F19" s="20">
        <f>IF([@DECLARATION_OF_CONFORMITY_ID]="","",IF(INDEX(T_DECLARATION_OF_CONFORMITY[RESPONSIBLE_PERSON_ID],[@ROW_INDEX])&lt;&gt;"",TRUE,FALSE))</f>
        <v/>
      </c>
      <c r="G19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19" s="20">
        <f>IF([@DECLARATION_OF_CONFORMITY_ID]="","",IF([@SCOPE_COUNT]&gt;=1,TRUE,FALSE))</f>
        <v/>
      </c>
      <c r="I19" s="20">
        <f>IF([@DECLARATION_OF_CONFORMITY_ID]="","",COUNTIF(T_DOCUMENT_LINK[DECLARATION_OF_CONFORMITY_ID],[@DECLARATION_OF_CONFORMITY_ID]))</f>
        <v/>
      </c>
      <c r="J19" s="20">
        <f>IF([@DECLARATION_OF_CONFORMITY_ID]="","",([@HAS_LEGAL_ENTITY]*25)+([@HAS_TECHNICAL_FILE]*25)+([@HAS_RESPONSIBLE_PERSON]*25)+([@HAS_SCOPE]*25))</f>
        <v/>
      </c>
      <c r="K19" s="20">
        <f>IF([@DECLARATION_OF_CONFORMITY_ID]="","",IF([@COMPLETENESS_SCORE]=100,"COMPLETE","INCOMPLETE"))</f>
        <v/>
      </c>
    </row>
    <row r="20">
      <c r="A20" s="20" t="n">
        <v>19</v>
      </c>
      <c r="B20" s="20">
        <f>IFERROR(INDEX(T_DECLARATION_OF_CONFORMITY[DECLARATION_OF_CONFORMITY_ID],[@ROW_INDEX]),"")</f>
        <v/>
      </c>
      <c r="C20" s="20">
        <f>IFERROR(INDEX(T_DECLARATION_OF_CONFORMITY[DOC_NUMBER],[@ROW_INDEX]),"")</f>
        <v/>
      </c>
      <c r="D20" s="20">
        <f>IF([@DECLARATION_OF_CONFORMITY_ID]="","",IF(INDEX(T_DECLARATION_OF_CONFORMITY[LEGAL_ENTITY_ID],[@ROW_INDEX])&lt;&gt;"",TRUE,FALSE))</f>
        <v/>
      </c>
      <c r="E20" s="20">
        <f>IF([@DECLARATION_OF_CONFORMITY_ID]="","",IF(INDEX(T_DECLARATION_OF_CONFORMITY[TECHNICAL_FILE_ID],[@ROW_INDEX])&lt;&gt;"",TRUE,FALSE))</f>
        <v/>
      </c>
      <c r="F20" s="20">
        <f>IF([@DECLARATION_OF_CONFORMITY_ID]="","",IF(INDEX(T_DECLARATION_OF_CONFORMITY[RESPONSIBLE_PERSON_ID],[@ROW_INDEX])&lt;&gt;"",TRUE,FALSE))</f>
        <v/>
      </c>
      <c r="G20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0" s="20">
        <f>IF([@DECLARATION_OF_CONFORMITY_ID]="","",IF([@SCOPE_COUNT]&gt;=1,TRUE,FALSE))</f>
        <v/>
      </c>
      <c r="I20" s="20">
        <f>IF([@DECLARATION_OF_CONFORMITY_ID]="","",COUNTIF(T_DOCUMENT_LINK[DECLARATION_OF_CONFORMITY_ID],[@DECLARATION_OF_CONFORMITY_ID]))</f>
        <v/>
      </c>
      <c r="J20" s="20">
        <f>IF([@DECLARATION_OF_CONFORMITY_ID]="","",([@HAS_LEGAL_ENTITY]*25)+([@HAS_TECHNICAL_FILE]*25)+([@HAS_RESPONSIBLE_PERSON]*25)+([@HAS_SCOPE]*25))</f>
        <v/>
      </c>
      <c r="K20" s="20">
        <f>IF([@DECLARATION_OF_CONFORMITY_ID]="","",IF([@COMPLETENESS_SCORE]=100,"COMPLETE","INCOMPLETE"))</f>
        <v/>
      </c>
    </row>
    <row r="21">
      <c r="A21" s="20" t="n">
        <v>20</v>
      </c>
      <c r="B21" s="20">
        <f>IFERROR(INDEX(T_DECLARATION_OF_CONFORMITY[DECLARATION_OF_CONFORMITY_ID],[@ROW_INDEX]),"")</f>
        <v/>
      </c>
      <c r="C21" s="20">
        <f>IFERROR(INDEX(T_DECLARATION_OF_CONFORMITY[DOC_NUMBER],[@ROW_INDEX]),"")</f>
        <v/>
      </c>
      <c r="D21" s="20">
        <f>IF([@DECLARATION_OF_CONFORMITY_ID]="","",IF(INDEX(T_DECLARATION_OF_CONFORMITY[LEGAL_ENTITY_ID],[@ROW_INDEX])&lt;&gt;"",TRUE,FALSE))</f>
        <v/>
      </c>
      <c r="E21" s="20">
        <f>IF([@DECLARATION_OF_CONFORMITY_ID]="","",IF(INDEX(T_DECLARATION_OF_CONFORMITY[TECHNICAL_FILE_ID],[@ROW_INDEX])&lt;&gt;"",TRUE,FALSE))</f>
        <v/>
      </c>
      <c r="F21" s="20">
        <f>IF([@DECLARATION_OF_CONFORMITY_ID]="","",IF(INDEX(T_DECLARATION_OF_CONFORMITY[RESPONSIBLE_PERSON_ID],[@ROW_INDEX])&lt;&gt;"",TRUE,FALSE))</f>
        <v/>
      </c>
      <c r="G21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1" s="20">
        <f>IF([@DECLARATION_OF_CONFORMITY_ID]="","",IF([@SCOPE_COUNT]&gt;=1,TRUE,FALSE))</f>
        <v/>
      </c>
      <c r="I21" s="20">
        <f>IF([@DECLARATION_OF_CONFORMITY_ID]="","",COUNTIF(T_DOCUMENT_LINK[DECLARATION_OF_CONFORMITY_ID],[@DECLARATION_OF_CONFORMITY_ID]))</f>
        <v/>
      </c>
      <c r="J21" s="20">
        <f>IF([@DECLARATION_OF_CONFORMITY_ID]="","",([@HAS_LEGAL_ENTITY]*25)+([@HAS_TECHNICAL_FILE]*25)+([@HAS_RESPONSIBLE_PERSON]*25)+([@HAS_SCOPE]*25))</f>
        <v/>
      </c>
      <c r="K21" s="20">
        <f>IF([@DECLARATION_OF_CONFORMITY_ID]="","",IF([@COMPLETENESS_SCORE]=100,"COMPLETE","INCOMPLETE"))</f>
        <v/>
      </c>
    </row>
    <row r="22">
      <c r="A22" s="20" t="n">
        <v>21</v>
      </c>
      <c r="B22" s="20">
        <f>IFERROR(INDEX(T_DECLARATION_OF_CONFORMITY[DECLARATION_OF_CONFORMITY_ID],[@ROW_INDEX]),"")</f>
        <v/>
      </c>
      <c r="C22" s="20">
        <f>IFERROR(INDEX(T_DECLARATION_OF_CONFORMITY[DOC_NUMBER],[@ROW_INDEX]),"")</f>
        <v/>
      </c>
      <c r="D22" s="20">
        <f>IF([@DECLARATION_OF_CONFORMITY_ID]="","",IF(INDEX(T_DECLARATION_OF_CONFORMITY[LEGAL_ENTITY_ID],[@ROW_INDEX])&lt;&gt;"",TRUE,FALSE))</f>
        <v/>
      </c>
      <c r="E22" s="20">
        <f>IF([@DECLARATION_OF_CONFORMITY_ID]="","",IF(INDEX(T_DECLARATION_OF_CONFORMITY[TECHNICAL_FILE_ID],[@ROW_INDEX])&lt;&gt;"",TRUE,FALSE))</f>
        <v/>
      </c>
      <c r="F22" s="20">
        <f>IF([@DECLARATION_OF_CONFORMITY_ID]="","",IF(INDEX(T_DECLARATION_OF_CONFORMITY[RESPONSIBLE_PERSON_ID],[@ROW_INDEX])&lt;&gt;"",TRUE,FALSE))</f>
        <v/>
      </c>
      <c r="G22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2" s="20">
        <f>IF([@DECLARATION_OF_CONFORMITY_ID]="","",IF([@SCOPE_COUNT]&gt;=1,TRUE,FALSE))</f>
        <v/>
      </c>
      <c r="I22" s="20">
        <f>IF([@DECLARATION_OF_CONFORMITY_ID]="","",COUNTIF(T_DOCUMENT_LINK[DECLARATION_OF_CONFORMITY_ID],[@DECLARATION_OF_CONFORMITY_ID]))</f>
        <v/>
      </c>
      <c r="J22" s="20">
        <f>IF([@DECLARATION_OF_CONFORMITY_ID]="","",([@HAS_LEGAL_ENTITY]*25)+([@HAS_TECHNICAL_FILE]*25)+([@HAS_RESPONSIBLE_PERSON]*25)+([@HAS_SCOPE]*25))</f>
        <v/>
      </c>
      <c r="K22" s="20">
        <f>IF([@DECLARATION_OF_CONFORMITY_ID]="","",IF([@COMPLETENESS_SCORE]=100,"COMPLETE","INCOMPLETE"))</f>
        <v/>
      </c>
    </row>
    <row r="23">
      <c r="A23" s="20" t="n">
        <v>22</v>
      </c>
      <c r="B23" s="20">
        <f>IFERROR(INDEX(T_DECLARATION_OF_CONFORMITY[DECLARATION_OF_CONFORMITY_ID],[@ROW_INDEX]),"")</f>
        <v/>
      </c>
      <c r="C23" s="20">
        <f>IFERROR(INDEX(T_DECLARATION_OF_CONFORMITY[DOC_NUMBER],[@ROW_INDEX]),"")</f>
        <v/>
      </c>
      <c r="D23" s="20">
        <f>IF([@DECLARATION_OF_CONFORMITY_ID]="","",IF(INDEX(T_DECLARATION_OF_CONFORMITY[LEGAL_ENTITY_ID],[@ROW_INDEX])&lt;&gt;"",TRUE,FALSE))</f>
        <v/>
      </c>
      <c r="E23" s="20">
        <f>IF([@DECLARATION_OF_CONFORMITY_ID]="","",IF(INDEX(T_DECLARATION_OF_CONFORMITY[TECHNICAL_FILE_ID],[@ROW_INDEX])&lt;&gt;"",TRUE,FALSE))</f>
        <v/>
      </c>
      <c r="F23" s="20">
        <f>IF([@DECLARATION_OF_CONFORMITY_ID]="","",IF(INDEX(T_DECLARATION_OF_CONFORMITY[RESPONSIBLE_PERSON_ID],[@ROW_INDEX])&lt;&gt;"",TRUE,FALSE))</f>
        <v/>
      </c>
      <c r="G23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3" s="20">
        <f>IF([@DECLARATION_OF_CONFORMITY_ID]="","",IF([@SCOPE_COUNT]&gt;=1,TRUE,FALSE))</f>
        <v/>
      </c>
      <c r="I23" s="20">
        <f>IF([@DECLARATION_OF_CONFORMITY_ID]="","",COUNTIF(T_DOCUMENT_LINK[DECLARATION_OF_CONFORMITY_ID],[@DECLARATION_OF_CONFORMITY_ID]))</f>
        <v/>
      </c>
      <c r="J23" s="20">
        <f>IF([@DECLARATION_OF_CONFORMITY_ID]="","",([@HAS_LEGAL_ENTITY]*25)+([@HAS_TECHNICAL_FILE]*25)+([@HAS_RESPONSIBLE_PERSON]*25)+([@HAS_SCOPE]*25))</f>
        <v/>
      </c>
      <c r="K23" s="20">
        <f>IF([@DECLARATION_OF_CONFORMITY_ID]="","",IF([@COMPLETENESS_SCORE]=100,"COMPLETE","INCOMPLETE"))</f>
        <v/>
      </c>
    </row>
    <row r="24">
      <c r="A24" s="20" t="n">
        <v>23</v>
      </c>
      <c r="B24" s="20">
        <f>IFERROR(INDEX(T_DECLARATION_OF_CONFORMITY[DECLARATION_OF_CONFORMITY_ID],[@ROW_INDEX]),"")</f>
        <v/>
      </c>
      <c r="C24" s="20">
        <f>IFERROR(INDEX(T_DECLARATION_OF_CONFORMITY[DOC_NUMBER],[@ROW_INDEX]),"")</f>
        <v/>
      </c>
      <c r="D24" s="20">
        <f>IF([@DECLARATION_OF_CONFORMITY_ID]="","",IF(INDEX(T_DECLARATION_OF_CONFORMITY[LEGAL_ENTITY_ID],[@ROW_INDEX])&lt;&gt;"",TRUE,FALSE))</f>
        <v/>
      </c>
      <c r="E24" s="20">
        <f>IF([@DECLARATION_OF_CONFORMITY_ID]="","",IF(INDEX(T_DECLARATION_OF_CONFORMITY[TECHNICAL_FILE_ID],[@ROW_INDEX])&lt;&gt;"",TRUE,FALSE))</f>
        <v/>
      </c>
      <c r="F24" s="20">
        <f>IF([@DECLARATION_OF_CONFORMITY_ID]="","",IF(INDEX(T_DECLARATION_OF_CONFORMITY[RESPONSIBLE_PERSON_ID],[@ROW_INDEX])&lt;&gt;"",TRUE,FALSE))</f>
        <v/>
      </c>
      <c r="G24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4" s="20">
        <f>IF([@DECLARATION_OF_CONFORMITY_ID]="","",IF([@SCOPE_COUNT]&gt;=1,TRUE,FALSE))</f>
        <v/>
      </c>
      <c r="I24" s="20">
        <f>IF([@DECLARATION_OF_CONFORMITY_ID]="","",COUNTIF(T_DOCUMENT_LINK[DECLARATION_OF_CONFORMITY_ID],[@DECLARATION_OF_CONFORMITY_ID]))</f>
        <v/>
      </c>
      <c r="J24" s="20">
        <f>IF([@DECLARATION_OF_CONFORMITY_ID]="","",([@HAS_LEGAL_ENTITY]*25)+([@HAS_TECHNICAL_FILE]*25)+([@HAS_RESPONSIBLE_PERSON]*25)+([@HAS_SCOPE]*25))</f>
        <v/>
      </c>
      <c r="K24" s="20">
        <f>IF([@DECLARATION_OF_CONFORMITY_ID]="","",IF([@COMPLETENESS_SCORE]=100,"COMPLETE","INCOMPLETE"))</f>
        <v/>
      </c>
    </row>
    <row r="25">
      <c r="A25" s="20" t="n">
        <v>24</v>
      </c>
      <c r="B25" s="20">
        <f>IFERROR(INDEX(T_DECLARATION_OF_CONFORMITY[DECLARATION_OF_CONFORMITY_ID],[@ROW_INDEX]),"")</f>
        <v/>
      </c>
      <c r="C25" s="20">
        <f>IFERROR(INDEX(T_DECLARATION_OF_CONFORMITY[DOC_NUMBER],[@ROW_INDEX]),"")</f>
        <v/>
      </c>
      <c r="D25" s="20">
        <f>IF([@DECLARATION_OF_CONFORMITY_ID]="","",IF(INDEX(T_DECLARATION_OF_CONFORMITY[LEGAL_ENTITY_ID],[@ROW_INDEX])&lt;&gt;"",TRUE,FALSE))</f>
        <v/>
      </c>
      <c r="E25" s="20">
        <f>IF([@DECLARATION_OF_CONFORMITY_ID]="","",IF(INDEX(T_DECLARATION_OF_CONFORMITY[TECHNICAL_FILE_ID],[@ROW_INDEX])&lt;&gt;"",TRUE,FALSE))</f>
        <v/>
      </c>
      <c r="F25" s="20">
        <f>IF([@DECLARATION_OF_CONFORMITY_ID]="","",IF(INDEX(T_DECLARATION_OF_CONFORMITY[RESPONSIBLE_PERSON_ID],[@ROW_INDEX])&lt;&gt;"",TRUE,FALSE))</f>
        <v/>
      </c>
      <c r="G25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5" s="20">
        <f>IF([@DECLARATION_OF_CONFORMITY_ID]="","",IF([@SCOPE_COUNT]&gt;=1,TRUE,FALSE))</f>
        <v/>
      </c>
      <c r="I25" s="20">
        <f>IF([@DECLARATION_OF_CONFORMITY_ID]="","",COUNTIF(T_DOCUMENT_LINK[DECLARATION_OF_CONFORMITY_ID],[@DECLARATION_OF_CONFORMITY_ID]))</f>
        <v/>
      </c>
      <c r="J25" s="20">
        <f>IF([@DECLARATION_OF_CONFORMITY_ID]="","",([@HAS_LEGAL_ENTITY]*25)+([@HAS_TECHNICAL_FILE]*25)+([@HAS_RESPONSIBLE_PERSON]*25)+([@HAS_SCOPE]*25))</f>
        <v/>
      </c>
      <c r="K25" s="20">
        <f>IF([@DECLARATION_OF_CONFORMITY_ID]="","",IF([@COMPLETENESS_SCORE]=100,"COMPLETE","INCOMPLETE"))</f>
        <v/>
      </c>
    </row>
    <row r="26">
      <c r="A26" s="20" t="n">
        <v>25</v>
      </c>
      <c r="B26" s="20">
        <f>IFERROR(INDEX(T_DECLARATION_OF_CONFORMITY[DECLARATION_OF_CONFORMITY_ID],[@ROW_INDEX]),"")</f>
        <v/>
      </c>
      <c r="C26" s="20">
        <f>IFERROR(INDEX(T_DECLARATION_OF_CONFORMITY[DOC_NUMBER],[@ROW_INDEX]),"")</f>
        <v/>
      </c>
      <c r="D26" s="20">
        <f>IF([@DECLARATION_OF_CONFORMITY_ID]="","",IF(INDEX(T_DECLARATION_OF_CONFORMITY[LEGAL_ENTITY_ID],[@ROW_INDEX])&lt;&gt;"",TRUE,FALSE))</f>
        <v/>
      </c>
      <c r="E26" s="20">
        <f>IF([@DECLARATION_OF_CONFORMITY_ID]="","",IF(INDEX(T_DECLARATION_OF_CONFORMITY[TECHNICAL_FILE_ID],[@ROW_INDEX])&lt;&gt;"",TRUE,FALSE))</f>
        <v/>
      </c>
      <c r="F26" s="20">
        <f>IF([@DECLARATION_OF_CONFORMITY_ID]="","",IF(INDEX(T_DECLARATION_OF_CONFORMITY[RESPONSIBLE_PERSON_ID],[@ROW_INDEX])&lt;&gt;"",TRUE,FALSE))</f>
        <v/>
      </c>
      <c r="G26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6" s="20">
        <f>IF([@DECLARATION_OF_CONFORMITY_ID]="","",IF([@SCOPE_COUNT]&gt;=1,TRUE,FALSE))</f>
        <v/>
      </c>
      <c r="I26" s="20">
        <f>IF([@DECLARATION_OF_CONFORMITY_ID]="","",COUNTIF(T_DOCUMENT_LINK[DECLARATION_OF_CONFORMITY_ID],[@DECLARATION_OF_CONFORMITY_ID]))</f>
        <v/>
      </c>
      <c r="J26" s="20">
        <f>IF([@DECLARATION_OF_CONFORMITY_ID]="","",([@HAS_LEGAL_ENTITY]*25)+([@HAS_TECHNICAL_FILE]*25)+([@HAS_RESPONSIBLE_PERSON]*25)+([@HAS_SCOPE]*25))</f>
        <v/>
      </c>
      <c r="K26" s="20">
        <f>IF([@DECLARATION_OF_CONFORMITY_ID]="","",IF([@COMPLETENESS_SCORE]=100,"COMPLETE","INCOMPLETE"))</f>
        <v/>
      </c>
    </row>
    <row r="27">
      <c r="A27" s="20" t="n">
        <v>26</v>
      </c>
      <c r="B27" s="20">
        <f>IFERROR(INDEX(T_DECLARATION_OF_CONFORMITY[DECLARATION_OF_CONFORMITY_ID],[@ROW_INDEX]),"")</f>
        <v/>
      </c>
      <c r="C27" s="20">
        <f>IFERROR(INDEX(T_DECLARATION_OF_CONFORMITY[DOC_NUMBER],[@ROW_INDEX]),"")</f>
        <v/>
      </c>
      <c r="D27" s="20">
        <f>IF([@DECLARATION_OF_CONFORMITY_ID]="","",IF(INDEX(T_DECLARATION_OF_CONFORMITY[LEGAL_ENTITY_ID],[@ROW_INDEX])&lt;&gt;"",TRUE,FALSE))</f>
        <v/>
      </c>
      <c r="E27" s="20">
        <f>IF([@DECLARATION_OF_CONFORMITY_ID]="","",IF(INDEX(T_DECLARATION_OF_CONFORMITY[TECHNICAL_FILE_ID],[@ROW_INDEX])&lt;&gt;"",TRUE,FALSE))</f>
        <v/>
      </c>
      <c r="F27" s="20">
        <f>IF([@DECLARATION_OF_CONFORMITY_ID]="","",IF(INDEX(T_DECLARATION_OF_CONFORMITY[RESPONSIBLE_PERSON_ID],[@ROW_INDEX])&lt;&gt;"",TRUE,FALSE))</f>
        <v/>
      </c>
      <c r="G27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7" s="20">
        <f>IF([@DECLARATION_OF_CONFORMITY_ID]="","",IF([@SCOPE_COUNT]&gt;=1,TRUE,FALSE))</f>
        <v/>
      </c>
      <c r="I27" s="20">
        <f>IF([@DECLARATION_OF_CONFORMITY_ID]="","",COUNTIF(T_DOCUMENT_LINK[DECLARATION_OF_CONFORMITY_ID],[@DECLARATION_OF_CONFORMITY_ID]))</f>
        <v/>
      </c>
      <c r="J27" s="20">
        <f>IF([@DECLARATION_OF_CONFORMITY_ID]="","",([@HAS_LEGAL_ENTITY]*25)+([@HAS_TECHNICAL_FILE]*25)+([@HAS_RESPONSIBLE_PERSON]*25)+([@HAS_SCOPE]*25))</f>
        <v/>
      </c>
      <c r="K27" s="20">
        <f>IF([@DECLARATION_OF_CONFORMITY_ID]="","",IF([@COMPLETENESS_SCORE]=100,"COMPLETE","INCOMPLETE"))</f>
        <v/>
      </c>
    </row>
    <row r="28">
      <c r="A28" s="20" t="n">
        <v>27</v>
      </c>
      <c r="B28" s="20">
        <f>IFERROR(INDEX(T_DECLARATION_OF_CONFORMITY[DECLARATION_OF_CONFORMITY_ID],[@ROW_INDEX]),"")</f>
        <v/>
      </c>
      <c r="C28" s="20">
        <f>IFERROR(INDEX(T_DECLARATION_OF_CONFORMITY[DOC_NUMBER],[@ROW_INDEX]),"")</f>
        <v/>
      </c>
      <c r="D28" s="20">
        <f>IF([@DECLARATION_OF_CONFORMITY_ID]="","",IF(INDEX(T_DECLARATION_OF_CONFORMITY[LEGAL_ENTITY_ID],[@ROW_INDEX])&lt;&gt;"",TRUE,FALSE))</f>
        <v/>
      </c>
      <c r="E28" s="20">
        <f>IF([@DECLARATION_OF_CONFORMITY_ID]="","",IF(INDEX(T_DECLARATION_OF_CONFORMITY[TECHNICAL_FILE_ID],[@ROW_INDEX])&lt;&gt;"",TRUE,FALSE))</f>
        <v/>
      </c>
      <c r="F28" s="20">
        <f>IF([@DECLARATION_OF_CONFORMITY_ID]="","",IF(INDEX(T_DECLARATION_OF_CONFORMITY[RESPONSIBLE_PERSON_ID],[@ROW_INDEX])&lt;&gt;"",TRUE,FALSE))</f>
        <v/>
      </c>
      <c r="G28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8" s="20">
        <f>IF([@DECLARATION_OF_CONFORMITY_ID]="","",IF([@SCOPE_COUNT]&gt;=1,TRUE,FALSE))</f>
        <v/>
      </c>
      <c r="I28" s="20">
        <f>IF([@DECLARATION_OF_CONFORMITY_ID]="","",COUNTIF(T_DOCUMENT_LINK[DECLARATION_OF_CONFORMITY_ID],[@DECLARATION_OF_CONFORMITY_ID]))</f>
        <v/>
      </c>
      <c r="J28" s="20">
        <f>IF([@DECLARATION_OF_CONFORMITY_ID]="","",([@HAS_LEGAL_ENTITY]*25)+([@HAS_TECHNICAL_FILE]*25)+([@HAS_RESPONSIBLE_PERSON]*25)+([@HAS_SCOPE]*25))</f>
        <v/>
      </c>
      <c r="K28" s="20">
        <f>IF([@DECLARATION_OF_CONFORMITY_ID]="","",IF([@COMPLETENESS_SCORE]=100,"COMPLETE","INCOMPLETE"))</f>
        <v/>
      </c>
    </row>
    <row r="29">
      <c r="A29" s="20" t="n">
        <v>28</v>
      </c>
      <c r="B29" s="20">
        <f>IFERROR(INDEX(T_DECLARATION_OF_CONFORMITY[DECLARATION_OF_CONFORMITY_ID],[@ROW_INDEX]),"")</f>
        <v/>
      </c>
      <c r="C29" s="20">
        <f>IFERROR(INDEX(T_DECLARATION_OF_CONFORMITY[DOC_NUMBER],[@ROW_INDEX]),"")</f>
        <v/>
      </c>
      <c r="D29" s="20">
        <f>IF([@DECLARATION_OF_CONFORMITY_ID]="","",IF(INDEX(T_DECLARATION_OF_CONFORMITY[LEGAL_ENTITY_ID],[@ROW_INDEX])&lt;&gt;"",TRUE,FALSE))</f>
        <v/>
      </c>
      <c r="E29" s="20">
        <f>IF([@DECLARATION_OF_CONFORMITY_ID]="","",IF(INDEX(T_DECLARATION_OF_CONFORMITY[TECHNICAL_FILE_ID],[@ROW_INDEX])&lt;&gt;"",TRUE,FALSE))</f>
        <v/>
      </c>
      <c r="F29" s="20">
        <f>IF([@DECLARATION_OF_CONFORMITY_ID]="","",IF(INDEX(T_DECLARATION_OF_CONFORMITY[RESPONSIBLE_PERSON_ID],[@ROW_INDEX])&lt;&gt;"",TRUE,FALSE))</f>
        <v/>
      </c>
      <c r="G29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29" s="20">
        <f>IF([@DECLARATION_OF_CONFORMITY_ID]="","",IF([@SCOPE_COUNT]&gt;=1,TRUE,FALSE))</f>
        <v/>
      </c>
      <c r="I29" s="20">
        <f>IF([@DECLARATION_OF_CONFORMITY_ID]="","",COUNTIF(T_DOCUMENT_LINK[DECLARATION_OF_CONFORMITY_ID],[@DECLARATION_OF_CONFORMITY_ID]))</f>
        <v/>
      </c>
      <c r="J29" s="20">
        <f>IF([@DECLARATION_OF_CONFORMITY_ID]="","",([@HAS_LEGAL_ENTITY]*25)+([@HAS_TECHNICAL_FILE]*25)+([@HAS_RESPONSIBLE_PERSON]*25)+([@HAS_SCOPE]*25))</f>
        <v/>
      </c>
      <c r="K29" s="20">
        <f>IF([@DECLARATION_OF_CONFORMITY_ID]="","",IF([@COMPLETENESS_SCORE]=100,"COMPLETE","INCOMPLETE"))</f>
        <v/>
      </c>
    </row>
    <row r="30">
      <c r="A30" s="20" t="n">
        <v>29</v>
      </c>
      <c r="B30" s="20">
        <f>IFERROR(INDEX(T_DECLARATION_OF_CONFORMITY[DECLARATION_OF_CONFORMITY_ID],[@ROW_INDEX]),"")</f>
        <v/>
      </c>
      <c r="C30" s="20">
        <f>IFERROR(INDEX(T_DECLARATION_OF_CONFORMITY[DOC_NUMBER],[@ROW_INDEX]),"")</f>
        <v/>
      </c>
      <c r="D30" s="20">
        <f>IF([@DECLARATION_OF_CONFORMITY_ID]="","",IF(INDEX(T_DECLARATION_OF_CONFORMITY[LEGAL_ENTITY_ID],[@ROW_INDEX])&lt;&gt;"",TRUE,FALSE))</f>
        <v/>
      </c>
      <c r="E30" s="20">
        <f>IF([@DECLARATION_OF_CONFORMITY_ID]="","",IF(INDEX(T_DECLARATION_OF_CONFORMITY[TECHNICAL_FILE_ID],[@ROW_INDEX])&lt;&gt;"",TRUE,FALSE))</f>
        <v/>
      </c>
      <c r="F30" s="20">
        <f>IF([@DECLARATION_OF_CONFORMITY_ID]="","",IF(INDEX(T_DECLARATION_OF_CONFORMITY[RESPONSIBLE_PERSON_ID],[@ROW_INDEX])&lt;&gt;"",TRUE,FALSE))</f>
        <v/>
      </c>
      <c r="G30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0" s="20">
        <f>IF([@DECLARATION_OF_CONFORMITY_ID]="","",IF([@SCOPE_COUNT]&gt;=1,TRUE,FALSE))</f>
        <v/>
      </c>
      <c r="I30" s="20">
        <f>IF([@DECLARATION_OF_CONFORMITY_ID]="","",COUNTIF(T_DOCUMENT_LINK[DECLARATION_OF_CONFORMITY_ID],[@DECLARATION_OF_CONFORMITY_ID]))</f>
        <v/>
      </c>
      <c r="J30" s="20">
        <f>IF([@DECLARATION_OF_CONFORMITY_ID]="","",([@HAS_LEGAL_ENTITY]*25)+([@HAS_TECHNICAL_FILE]*25)+([@HAS_RESPONSIBLE_PERSON]*25)+([@HAS_SCOPE]*25))</f>
        <v/>
      </c>
      <c r="K30" s="20">
        <f>IF([@DECLARATION_OF_CONFORMITY_ID]="","",IF([@COMPLETENESS_SCORE]=100,"COMPLETE","INCOMPLETE"))</f>
        <v/>
      </c>
    </row>
    <row r="31">
      <c r="A31" s="20" t="n">
        <v>30</v>
      </c>
      <c r="B31" s="20">
        <f>IFERROR(INDEX(T_DECLARATION_OF_CONFORMITY[DECLARATION_OF_CONFORMITY_ID],[@ROW_INDEX]),"")</f>
        <v/>
      </c>
      <c r="C31" s="20">
        <f>IFERROR(INDEX(T_DECLARATION_OF_CONFORMITY[DOC_NUMBER],[@ROW_INDEX]),"")</f>
        <v/>
      </c>
      <c r="D31" s="20">
        <f>IF([@DECLARATION_OF_CONFORMITY_ID]="","",IF(INDEX(T_DECLARATION_OF_CONFORMITY[LEGAL_ENTITY_ID],[@ROW_INDEX])&lt;&gt;"",TRUE,FALSE))</f>
        <v/>
      </c>
      <c r="E31" s="20">
        <f>IF([@DECLARATION_OF_CONFORMITY_ID]="","",IF(INDEX(T_DECLARATION_OF_CONFORMITY[TECHNICAL_FILE_ID],[@ROW_INDEX])&lt;&gt;"",TRUE,FALSE))</f>
        <v/>
      </c>
      <c r="F31" s="20">
        <f>IF([@DECLARATION_OF_CONFORMITY_ID]="","",IF(INDEX(T_DECLARATION_OF_CONFORMITY[RESPONSIBLE_PERSON_ID],[@ROW_INDEX])&lt;&gt;"",TRUE,FALSE))</f>
        <v/>
      </c>
      <c r="G31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1" s="20">
        <f>IF([@DECLARATION_OF_CONFORMITY_ID]="","",IF([@SCOPE_COUNT]&gt;=1,TRUE,FALSE))</f>
        <v/>
      </c>
      <c r="I31" s="20">
        <f>IF([@DECLARATION_OF_CONFORMITY_ID]="","",COUNTIF(T_DOCUMENT_LINK[DECLARATION_OF_CONFORMITY_ID],[@DECLARATION_OF_CONFORMITY_ID]))</f>
        <v/>
      </c>
      <c r="J31" s="20">
        <f>IF([@DECLARATION_OF_CONFORMITY_ID]="","",([@HAS_LEGAL_ENTITY]*25)+([@HAS_TECHNICAL_FILE]*25)+([@HAS_RESPONSIBLE_PERSON]*25)+([@HAS_SCOPE]*25))</f>
        <v/>
      </c>
      <c r="K31" s="20">
        <f>IF([@DECLARATION_OF_CONFORMITY_ID]="","",IF([@COMPLETENESS_SCORE]=100,"COMPLETE","INCOMPLETE"))</f>
        <v/>
      </c>
    </row>
    <row r="32">
      <c r="A32" s="20" t="n">
        <v>31</v>
      </c>
      <c r="B32" s="20">
        <f>IFERROR(INDEX(T_DECLARATION_OF_CONFORMITY[DECLARATION_OF_CONFORMITY_ID],[@ROW_INDEX]),"")</f>
        <v/>
      </c>
      <c r="C32" s="20">
        <f>IFERROR(INDEX(T_DECLARATION_OF_CONFORMITY[DOC_NUMBER],[@ROW_INDEX]),"")</f>
        <v/>
      </c>
      <c r="D32" s="20">
        <f>IF([@DECLARATION_OF_CONFORMITY_ID]="","",IF(INDEX(T_DECLARATION_OF_CONFORMITY[LEGAL_ENTITY_ID],[@ROW_INDEX])&lt;&gt;"",TRUE,FALSE))</f>
        <v/>
      </c>
      <c r="E32" s="20">
        <f>IF([@DECLARATION_OF_CONFORMITY_ID]="","",IF(INDEX(T_DECLARATION_OF_CONFORMITY[TECHNICAL_FILE_ID],[@ROW_INDEX])&lt;&gt;"",TRUE,FALSE))</f>
        <v/>
      </c>
      <c r="F32" s="20">
        <f>IF([@DECLARATION_OF_CONFORMITY_ID]="","",IF(INDEX(T_DECLARATION_OF_CONFORMITY[RESPONSIBLE_PERSON_ID],[@ROW_INDEX])&lt;&gt;"",TRUE,FALSE))</f>
        <v/>
      </c>
      <c r="G32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2" s="20">
        <f>IF([@DECLARATION_OF_CONFORMITY_ID]="","",IF([@SCOPE_COUNT]&gt;=1,TRUE,FALSE))</f>
        <v/>
      </c>
      <c r="I32" s="20">
        <f>IF([@DECLARATION_OF_CONFORMITY_ID]="","",COUNTIF(T_DOCUMENT_LINK[DECLARATION_OF_CONFORMITY_ID],[@DECLARATION_OF_CONFORMITY_ID]))</f>
        <v/>
      </c>
      <c r="J32" s="20">
        <f>IF([@DECLARATION_OF_CONFORMITY_ID]="","",([@HAS_LEGAL_ENTITY]*25)+([@HAS_TECHNICAL_FILE]*25)+([@HAS_RESPONSIBLE_PERSON]*25)+([@HAS_SCOPE]*25))</f>
        <v/>
      </c>
      <c r="K32" s="20">
        <f>IF([@DECLARATION_OF_CONFORMITY_ID]="","",IF([@COMPLETENESS_SCORE]=100,"COMPLETE","INCOMPLETE"))</f>
        <v/>
      </c>
    </row>
    <row r="33">
      <c r="A33" s="20" t="n">
        <v>32</v>
      </c>
      <c r="B33" s="20">
        <f>IFERROR(INDEX(T_DECLARATION_OF_CONFORMITY[DECLARATION_OF_CONFORMITY_ID],[@ROW_INDEX]),"")</f>
        <v/>
      </c>
      <c r="C33" s="20">
        <f>IFERROR(INDEX(T_DECLARATION_OF_CONFORMITY[DOC_NUMBER],[@ROW_INDEX]),"")</f>
        <v/>
      </c>
      <c r="D33" s="20">
        <f>IF([@DECLARATION_OF_CONFORMITY_ID]="","",IF(INDEX(T_DECLARATION_OF_CONFORMITY[LEGAL_ENTITY_ID],[@ROW_INDEX])&lt;&gt;"",TRUE,FALSE))</f>
        <v/>
      </c>
      <c r="E33" s="20">
        <f>IF([@DECLARATION_OF_CONFORMITY_ID]="","",IF(INDEX(T_DECLARATION_OF_CONFORMITY[TECHNICAL_FILE_ID],[@ROW_INDEX])&lt;&gt;"",TRUE,FALSE))</f>
        <v/>
      </c>
      <c r="F33" s="20">
        <f>IF([@DECLARATION_OF_CONFORMITY_ID]="","",IF(INDEX(T_DECLARATION_OF_CONFORMITY[RESPONSIBLE_PERSON_ID],[@ROW_INDEX])&lt;&gt;"",TRUE,FALSE))</f>
        <v/>
      </c>
      <c r="G33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3" s="20">
        <f>IF([@DECLARATION_OF_CONFORMITY_ID]="","",IF([@SCOPE_COUNT]&gt;=1,TRUE,FALSE))</f>
        <v/>
      </c>
      <c r="I33" s="20">
        <f>IF([@DECLARATION_OF_CONFORMITY_ID]="","",COUNTIF(T_DOCUMENT_LINK[DECLARATION_OF_CONFORMITY_ID],[@DECLARATION_OF_CONFORMITY_ID]))</f>
        <v/>
      </c>
      <c r="J33" s="20">
        <f>IF([@DECLARATION_OF_CONFORMITY_ID]="","",([@HAS_LEGAL_ENTITY]*25)+([@HAS_TECHNICAL_FILE]*25)+([@HAS_RESPONSIBLE_PERSON]*25)+([@HAS_SCOPE]*25))</f>
        <v/>
      </c>
      <c r="K33" s="20">
        <f>IF([@DECLARATION_OF_CONFORMITY_ID]="","",IF([@COMPLETENESS_SCORE]=100,"COMPLETE","INCOMPLETE"))</f>
        <v/>
      </c>
    </row>
    <row r="34">
      <c r="A34" s="20" t="n">
        <v>33</v>
      </c>
      <c r="B34" s="20">
        <f>IFERROR(INDEX(T_DECLARATION_OF_CONFORMITY[DECLARATION_OF_CONFORMITY_ID],[@ROW_INDEX]),"")</f>
        <v/>
      </c>
      <c r="C34" s="20">
        <f>IFERROR(INDEX(T_DECLARATION_OF_CONFORMITY[DOC_NUMBER],[@ROW_INDEX]),"")</f>
        <v/>
      </c>
      <c r="D34" s="20">
        <f>IF([@DECLARATION_OF_CONFORMITY_ID]="","",IF(INDEX(T_DECLARATION_OF_CONFORMITY[LEGAL_ENTITY_ID],[@ROW_INDEX])&lt;&gt;"",TRUE,FALSE))</f>
        <v/>
      </c>
      <c r="E34" s="20">
        <f>IF([@DECLARATION_OF_CONFORMITY_ID]="","",IF(INDEX(T_DECLARATION_OF_CONFORMITY[TECHNICAL_FILE_ID],[@ROW_INDEX])&lt;&gt;"",TRUE,FALSE))</f>
        <v/>
      </c>
      <c r="F34" s="20">
        <f>IF([@DECLARATION_OF_CONFORMITY_ID]="","",IF(INDEX(T_DECLARATION_OF_CONFORMITY[RESPONSIBLE_PERSON_ID],[@ROW_INDEX])&lt;&gt;"",TRUE,FALSE))</f>
        <v/>
      </c>
      <c r="G34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4" s="20">
        <f>IF([@DECLARATION_OF_CONFORMITY_ID]="","",IF([@SCOPE_COUNT]&gt;=1,TRUE,FALSE))</f>
        <v/>
      </c>
      <c r="I34" s="20">
        <f>IF([@DECLARATION_OF_CONFORMITY_ID]="","",COUNTIF(T_DOCUMENT_LINK[DECLARATION_OF_CONFORMITY_ID],[@DECLARATION_OF_CONFORMITY_ID]))</f>
        <v/>
      </c>
      <c r="J34" s="20">
        <f>IF([@DECLARATION_OF_CONFORMITY_ID]="","",([@HAS_LEGAL_ENTITY]*25)+([@HAS_TECHNICAL_FILE]*25)+([@HAS_RESPONSIBLE_PERSON]*25)+([@HAS_SCOPE]*25))</f>
        <v/>
      </c>
      <c r="K34" s="20">
        <f>IF([@DECLARATION_OF_CONFORMITY_ID]="","",IF([@COMPLETENESS_SCORE]=100,"COMPLETE","INCOMPLETE"))</f>
        <v/>
      </c>
    </row>
    <row r="35">
      <c r="A35" s="20" t="n">
        <v>34</v>
      </c>
      <c r="B35" s="20">
        <f>IFERROR(INDEX(T_DECLARATION_OF_CONFORMITY[DECLARATION_OF_CONFORMITY_ID],[@ROW_INDEX]),"")</f>
        <v/>
      </c>
      <c r="C35" s="20">
        <f>IFERROR(INDEX(T_DECLARATION_OF_CONFORMITY[DOC_NUMBER],[@ROW_INDEX]),"")</f>
        <v/>
      </c>
      <c r="D35" s="20">
        <f>IF([@DECLARATION_OF_CONFORMITY_ID]="","",IF(INDEX(T_DECLARATION_OF_CONFORMITY[LEGAL_ENTITY_ID],[@ROW_INDEX])&lt;&gt;"",TRUE,FALSE))</f>
        <v/>
      </c>
      <c r="E35" s="20">
        <f>IF([@DECLARATION_OF_CONFORMITY_ID]="","",IF(INDEX(T_DECLARATION_OF_CONFORMITY[TECHNICAL_FILE_ID],[@ROW_INDEX])&lt;&gt;"",TRUE,FALSE))</f>
        <v/>
      </c>
      <c r="F35" s="20">
        <f>IF([@DECLARATION_OF_CONFORMITY_ID]="","",IF(INDEX(T_DECLARATION_OF_CONFORMITY[RESPONSIBLE_PERSON_ID],[@ROW_INDEX])&lt;&gt;"",TRUE,FALSE))</f>
        <v/>
      </c>
      <c r="G35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5" s="20">
        <f>IF([@DECLARATION_OF_CONFORMITY_ID]="","",IF([@SCOPE_COUNT]&gt;=1,TRUE,FALSE))</f>
        <v/>
      </c>
      <c r="I35" s="20">
        <f>IF([@DECLARATION_OF_CONFORMITY_ID]="","",COUNTIF(T_DOCUMENT_LINK[DECLARATION_OF_CONFORMITY_ID],[@DECLARATION_OF_CONFORMITY_ID]))</f>
        <v/>
      </c>
      <c r="J35" s="20">
        <f>IF([@DECLARATION_OF_CONFORMITY_ID]="","",([@HAS_LEGAL_ENTITY]*25)+([@HAS_TECHNICAL_FILE]*25)+([@HAS_RESPONSIBLE_PERSON]*25)+([@HAS_SCOPE]*25))</f>
        <v/>
      </c>
      <c r="K35" s="20">
        <f>IF([@DECLARATION_OF_CONFORMITY_ID]="","",IF([@COMPLETENESS_SCORE]=100,"COMPLETE","INCOMPLETE"))</f>
        <v/>
      </c>
    </row>
    <row r="36">
      <c r="A36" s="20" t="n">
        <v>35</v>
      </c>
      <c r="B36" s="20">
        <f>IFERROR(INDEX(T_DECLARATION_OF_CONFORMITY[DECLARATION_OF_CONFORMITY_ID],[@ROW_INDEX]),"")</f>
        <v/>
      </c>
      <c r="C36" s="20">
        <f>IFERROR(INDEX(T_DECLARATION_OF_CONFORMITY[DOC_NUMBER],[@ROW_INDEX]),"")</f>
        <v/>
      </c>
      <c r="D36" s="20">
        <f>IF([@DECLARATION_OF_CONFORMITY_ID]="","",IF(INDEX(T_DECLARATION_OF_CONFORMITY[LEGAL_ENTITY_ID],[@ROW_INDEX])&lt;&gt;"",TRUE,FALSE))</f>
        <v/>
      </c>
      <c r="E36" s="20">
        <f>IF([@DECLARATION_OF_CONFORMITY_ID]="","",IF(INDEX(T_DECLARATION_OF_CONFORMITY[TECHNICAL_FILE_ID],[@ROW_INDEX])&lt;&gt;"",TRUE,FALSE))</f>
        <v/>
      </c>
      <c r="F36" s="20">
        <f>IF([@DECLARATION_OF_CONFORMITY_ID]="","",IF(INDEX(T_DECLARATION_OF_CONFORMITY[RESPONSIBLE_PERSON_ID],[@ROW_INDEX])&lt;&gt;"",TRUE,FALSE))</f>
        <v/>
      </c>
      <c r="G36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6" s="20">
        <f>IF([@DECLARATION_OF_CONFORMITY_ID]="","",IF([@SCOPE_COUNT]&gt;=1,TRUE,FALSE))</f>
        <v/>
      </c>
      <c r="I36" s="20">
        <f>IF([@DECLARATION_OF_CONFORMITY_ID]="","",COUNTIF(T_DOCUMENT_LINK[DECLARATION_OF_CONFORMITY_ID],[@DECLARATION_OF_CONFORMITY_ID]))</f>
        <v/>
      </c>
      <c r="J36" s="20">
        <f>IF([@DECLARATION_OF_CONFORMITY_ID]="","",([@HAS_LEGAL_ENTITY]*25)+([@HAS_TECHNICAL_FILE]*25)+([@HAS_RESPONSIBLE_PERSON]*25)+([@HAS_SCOPE]*25))</f>
        <v/>
      </c>
      <c r="K36" s="20">
        <f>IF([@DECLARATION_OF_CONFORMITY_ID]="","",IF([@COMPLETENESS_SCORE]=100,"COMPLETE","INCOMPLETE"))</f>
        <v/>
      </c>
    </row>
    <row r="37">
      <c r="A37" s="20" t="n">
        <v>36</v>
      </c>
      <c r="B37" s="20">
        <f>IFERROR(INDEX(T_DECLARATION_OF_CONFORMITY[DECLARATION_OF_CONFORMITY_ID],[@ROW_INDEX]),"")</f>
        <v/>
      </c>
      <c r="C37" s="20">
        <f>IFERROR(INDEX(T_DECLARATION_OF_CONFORMITY[DOC_NUMBER],[@ROW_INDEX]),"")</f>
        <v/>
      </c>
      <c r="D37" s="20">
        <f>IF([@DECLARATION_OF_CONFORMITY_ID]="","",IF(INDEX(T_DECLARATION_OF_CONFORMITY[LEGAL_ENTITY_ID],[@ROW_INDEX])&lt;&gt;"",TRUE,FALSE))</f>
        <v/>
      </c>
      <c r="E37" s="20">
        <f>IF([@DECLARATION_OF_CONFORMITY_ID]="","",IF(INDEX(T_DECLARATION_OF_CONFORMITY[TECHNICAL_FILE_ID],[@ROW_INDEX])&lt;&gt;"",TRUE,FALSE))</f>
        <v/>
      </c>
      <c r="F37" s="20">
        <f>IF([@DECLARATION_OF_CONFORMITY_ID]="","",IF(INDEX(T_DECLARATION_OF_CONFORMITY[RESPONSIBLE_PERSON_ID],[@ROW_INDEX])&lt;&gt;"",TRUE,FALSE))</f>
        <v/>
      </c>
      <c r="G37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7" s="20">
        <f>IF([@DECLARATION_OF_CONFORMITY_ID]="","",IF([@SCOPE_COUNT]&gt;=1,TRUE,FALSE))</f>
        <v/>
      </c>
      <c r="I37" s="20">
        <f>IF([@DECLARATION_OF_CONFORMITY_ID]="","",COUNTIF(T_DOCUMENT_LINK[DECLARATION_OF_CONFORMITY_ID],[@DECLARATION_OF_CONFORMITY_ID]))</f>
        <v/>
      </c>
      <c r="J37" s="20">
        <f>IF([@DECLARATION_OF_CONFORMITY_ID]="","",([@HAS_LEGAL_ENTITY]*25)+([@HAS_TECHNICAL_FILE]*25)+([@HAS_RESPONSIBLE_PERSON]*25)+([@HAS_SCOPE]*25))</f>
        <v/>
      </c>
      <c r="K37" s="20">
        <f>IF([@DECLARATION_OF_CONFORMITY_ID]="","",IF([@COMPLETENESS_SCORE]=100,"COMPLETE","INCOMPLETE"))</f>
        <v/>
      </c>
    </row>
    <row r="38">
      <c r="A38" s="20" t="n">
        <v>37</v>
      </c>
      <c r="B38" s="20">
        <f>IFERROR(INDEX(T_DECLARATION_OF_CONFORMITY[DECLARATION_OF_CONFORMITY_ID],[@ROW_INDEX]),"")</f>
        <v/>
      </c>
      <c r="C38" s="20">
        <f>IFERROR(INDEX(T_DECLARATION_OF_CONFORMITY[DOC_NUMBER],[@ROW_INDEX]),"")</f>
        <v/>
      </c>
      <c r="D38" s="20">
        <f>IF([@DECLARATION_OF_CONFORMITY_ID]="","",IF(INDEX(T_DECLARATION_OF_CONFORMITY[LEGAL_ENTITY_ID],[@ROW_INDEX])&lt;&gt;"",TRUE,FALSE))</f>
        <v/>
      </c>
      <c r="E38" s="20">
        <f>IF([@DECLARATION_OF_CONFORMITY_ID]="","",IF(INDEX(T_DECLARATION_OF_CONFORMITY[TECHNICAL_FILE_ID],[@ROW_INDEX])&lt;&gt;"",TRUE,FALSE))</f>
        <v/>
      </c>
      <c r="F38" s="20">
        <f>IF([@DECLARATION_OF_CONFORMITY_ID]="","",IF(INDEX(T_DECLARATION_OF_CONFORMITY[RESPONSIBLE_PERSON_ID],[@ROW_INDEX])&lt;&gt;"",TRUE,FALSE))</f>
        <v/>
      </c>
      <c r="G38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8" s="20">
        <f>IF([@DECLARATION_OF_CONFORMITY_ID]="","",IF([@SCOPE_COUNT]&gt;=1,TRUE,FALSE))</f>
        <v/>
      </c>
      <c r="I38" s="20">
        <f>IF([@DECLARATION_OF_CONFORMITY_ID]="","",COUNTIF(T_DOCUMENT_LINK[DECLARATION_OF_CONFORMITY_ID],[@DECLARATION_OF_CONFORMITY_ID]))</f>
        <v/>
      </c>
      <c r="J38" s="20">
        <f>IF([@DECLARATION_OF_CONFORMITY_ID]="","",([@HAS_LEGAL_ENTITY]*25)+([@HAS_TECHNICAL_FILE]*25)+([@HAS_RESPONSIBLE_PERSON]*25)+([@HAS_SCOPE]*25))</f>
        <v/>
      </c>
      <c r="K38" s="20">
        <f>IF([@DECLARATION_OF_CONFORMITY_ID]="","",IF([@COMPLETENESS_SCORE]=100,"COMPLETE","INCOMPLETE"))</f>
        <v/>
      </c>
    </row>
    <row r="39">
      <c r="A39" s="20" t="n">
        <v>38</v>
      </c>
      <c r="B39" s="20">
        <f>IFERROR(INDEX(T_DECLARATION_OF_CONFORMITY[DECLARATION_OF_CONFORMITY_ID],[@ROW_INDEX]),"")</f>
        <v/>
      </c>
      <c r="C39" s="20">
        <f>IFERROR(INDEX(T_DECLARATION_OF_CONFORMITY[DOC_NUMBER],[@ROW_INDEX]),"")</f>
        <v/>
      </c>
      <c r="D39" s="20">
        <f>IF([@DECLARATION_OF_CONFORMITY_ID]="","",IF(INDEX(T_DECLARATION_OF_CONFORMITY[LEGAL_ENTITY_ID],[@ROW_INDEX])&lt;&gt;"",TRUE,FALSE))</f>
        <v/>
      </c>
      <c r="E39" s="20">
        <f>IF([@DECLARATION_OF_CONFORMITY_ID]="","",IF(INDEX(T_DECLARATION_OF_CONFORMITY[TECHNICAL_FILE_ID],[@ROW_INDEX])&lt;&gt;"",TRUE,FALSE))</f>
        <v/>
      </c>
      <c r="F39" s="20">
        <f>IF([@DECLARATION_OF_CONFORMITY_ID]="","",IF(INDEX(T_DECLARATION_OF_CONFORMITY[RESPONSIBLE_PERSON_ID],[@ROW_INDEX])&lt;&gt;"",TRUE,FALSE))</f>
        <v/>
      </c>
      <c r="G39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39" s="20">
        <f>IF([@DECLARATION_OF_CONFORMITY_ID]="","",IF([@SCOPE_COUNT]&gt;=1,TRUE,FALSE))</f>
        <v/>
      </c>
      <c r="I39" s="20">
        <f>IF([@DECLARATION_OF_CONFORMITY_ID]="","",COUNTIF(T_DOCUMENT_LINK[DECLARATION_OF_CONFORMITY_ID],[@DECLARATION_OF_CONFORMITY_ID]))</f>
        <v/>
      </c>
      <c r="J39" s="20">
        <f>IF([@DECLARATION_OF_CONFORMITY_ID]="","",([@HAS_LEGAL_ENTITY]*25)+([@HAS_TECHNICAL_FILE]*25)+([@HAS_RESPONSIBLE_PERSON]*25)+([@HAS_SCOPE]*25))</f>
        <v/>
      </c>
      <c r="K39" s="20">
        <f>IF([@DECLARATION_OF_CONFORMITY_ID]="","",IF([@COMPLETENESS_SCORE]=100,"COMPLETE","INCOMPLETE"))</f>
        <v/>
      </c>
    </row>
    <row r="40">
      <c r="A40" s="20" t="n">
        <v>39</v>
      </c>
      <c r="B40" s="20">
        <f>IFERROR(INDEX(T_DECLARATION_OF_CONFORMITY[DECLARATION_OF_CONFORMITY_ID],[@ROW_INDEX]),"")</f>
        <v/>
      </c>
      <c r="C40" s="20">
        <f>IFERROR(INDEX(T_DECLARATION_OF_CONFORMITY[DOC_NUMBER],[@ROW_INDEX]),"")</f>
        <v/>
      </c>
      <c r="D40" s="20">
        <f>IF([@DECLARATION_OF_CONFORMITY_ID]="","",IF(INDEX(T_DECLARATION_OF_CONFORMITY[LEGAL_ENTITY_ID],[@ROW_INDEX])&lt;&gt;"",TRUE,FALSE))</f>
        <v/>
      </c>
      <c r="E40" s="20">
        <f>IF([@DECLARATION_OF_CONFORMITY_ID]="","",IF(INDEX(T_DECLARATION_OF_CONFORMITY[TECHNICAL_FILE_ID],[@ROW_INDEX])&lt;&gt;"",TRUE,FALSE))</f>
        <v/>
      </c>
      <c r="F40" s="20">
        <f>IF([@DECLARATION_OF_CONFORMITY_ID]="","",IF(INDEX(T_DECLARATION_OF_CONFORMITY[RESPONSIBLE_PERSON_ID],[@ROW_INDEX])&lt;&gt;"",TRUE,FALSE))</f>
        <v/>
      </c>
      <c r="G40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0" s="20">
        <f>IF([@DECLARATION_OF_CONFORMITY_ID]="","",IF([@SCOPE_COUNT]&gt;=1,TRUE,FALSE))</f>
        <v/>
      </c>
      <c r="I40" s="20">
        <f>IF([@DECLARATION_OF_CONFORMITY_ID]="","",COUNTIF(T_DOCUMENT_LINK[DECLARATION_OF_CONFORMITY_ID],[@DECLARATION_OF_CONFORMITY_ID]))</f>
        <v/>
      </c>
      <c r="J40" s="20">
        <f>IF([@DECLARATION_OF_CONFORMITY_ID]="","",([@HAS_LEGAL_ENTITY]*25)+([@HAS_TECHNICAL_FILE]*25)+([@HAS_RESPONSIBLE_PERSON]*25)+([@HAS_SCOPE]*25))</f>
        <v/>
      </c>
      <c r="K40" s="20">
        <f>IF([@DECLARATION_OF_CONFORMITY_ID]="","",IF([@COMPLETENESS_SCORE]=100,"COMPLETE","INCOMPLETE"))</f>
        <v/>
      </c>
    </row>
    <row r="41">
      <c r="A41" s="20" t="n">
        <v>40</v>
      </c>
      <c r="B41" s="20">
        <f>IFERROR(INDEX(T_DECLARATION_OF_CONFORMITY[DECLARATION_OF_CONFORMITY_ID],[@ROW_INDEX]),"")</f>
        <v/>
      </c>
      <c r="C41" s="20">
        <f>IFERROR(INDEX(T_DECLARATION_OF_CONFORMITY[DOC_NUMBER],[@ROW_INDEX]),"")</f>
        <v/>
      </c>
      <c r="D41" s="20">
        <f>IF([@DECLARATION_OF_CONFORMITY_ID]="","",IF(INDEX(T_DECLARATION_OF_CONFORMITY[LEGAL_ENTITY_ID],[@ROW_INDEX])&lt;&gt;"",TRUE,FALSE))</f>
        <v/>
      </c>
      <c r="E41" s="20">
        <f>IF([@DECLARATION_OF_CONFORMITY_ID]="","",IF(INDEX(T_DECLARATION_OF_CONFORMITY[TECHNICAL_FILE_ID],[@ROW_INDEX])&lt;&gt;"",TRUE,FALSE))</f>
        <v/>
      </c>
      <c r="F41" s="20">
        <f>IF([@DECLARATION_OF_CONFORMITY_ID]="","",IF(INDEX(T_DECLARATION_OF_CONFORMITY[RESPONSIBLE_PERSON_ID],[@ROW_INDEX])&lt;&gt;"",TRUE,FALSE))</f>
        <v/>
      </c>
      <c r="G41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1" s="20">
        <f>IF([@DECLARATION_OF_CONFORMITY_ID]="","",IF([@SCOPE_COUNT]&gt;=1,TRUE,FALSE))</f>
        <v/>
      </c>
      <c r="I41" s="20">
        <f>IF([@DECLARATION_OF_CONFORMITY_ID]="","",COUNTIF(T_DOCUMENT_LINK[DECLARATION_OF_CONFORMITY_ID],[@DECLARATION_OF_CONFORMITY_ID]))</f>
        <v/>
      </c>
      <c r="J41" s="20">
        <f>IF([@DECLARATION_OF_CONFORMITY_ID]="","",([@HAS_LEGAL_ENTITY]*25)+([@HAS_TECHNICAL_FILE]*25)+([@HAS_RESPONSIBLE_PERSON]*25)+([@HAS_SCOPE]*25))</f>
        <v/>
      </c>
      <c r="K41" s="20">
        <f>IF([@DECLARATION_OF_CONFORMITY_ID]="","",IF([@COMPLETENESS_SCORE]=100,"COMPLETE","INCOMPLETE"))</f>
        <v/>
      </c>
    </row>
    <row r="42">
      <c r="A42" s="20" t="n">
        <v>41</v>
      </c>
      <c r="B42" s="20">
        <f>IFERROR(INDEX(T_DECLARATION_OF_CONFORMITY[DECLARATION_OF_CONFORMITY_ID],[@ROW_INDEX]),"")</f>
        <v/>
      </c>
      <c r="C42" s="20">
        <f>IFERROR(INDEX(T_DECLARATION_OF_CONFORMITY[DOC_NUMBER],[@ROW_INDEX]),"")</f>
        <v/>
      </c>
      <c r="D42" s="20">
        <f>IF([@DECLARATION_OF_CONFORMITY_ID]="","",IF(INDEX(T_DECLARATION_OF_CONFORMITY[LEGAL_ENTITY_ID],[@ROW_INDEX])&lt;&gt;"",TRUE,FALSE))</f>
        <v/>
      </c>
      <c r="E42" s="20">
        <f>IF([@DECLARATION_OF_CONFORMITY_ID]="","",IF(INDEX(T_DECLARATION_OF_CONFORMITY[TECHNICAL_FILE_ID],[@ROW_INDEX])&lt;&gt;"",TRUE,FALSE))</f>
        <v/>
      </c>
      <c r="F42" s="20">
        <f>IF([@DECLARATION_OF_CONFORMITY_ID]="","",IF(INDEX(T_DECLARATION_OF_CONFORMITY[RESPONSIBLE_PERSON_ID],[@ROW_INDEX])&lt;&gt;"",TRUE,FALSE))</f>
        <v/>
      </c>
      <c r="G42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2" s="20">
        <f>IF([@DECLARATION_OF_CONFORMITY_ID]="","",IF([@SCOPE_COUNT]&gt;=1,TRUE,FALSE))</f>
        <v/>
      </c>
      <c r="I42" s="20">
        <f>IF([@DECLARATION_OF_CONFORMITY_ID]="","",COUNTIF(T_DOCUMENT_LINK[DECLARATION_OF_CONFORMITY_ID],[@DECLARATION_OF_CONFORMITY_ID]))</f>
        <v/>
      </c>
      <c r="J42" s="20">
        <f>IF([@DECLARATION_OF_CONFORMITY_ID]="","",([@HAS_LEGAL_ENTITY]*25)+([@HAS_TECHNICAL_FILE]*25)+([@HAS_RESPONSIBLE_PERSON]*25)+([@HAS_SCOPE]*25))</f>
        <v/>
      </c>
      <c r="K42" s="20">
        <f>IF([@DECLARATION_OF_CONFORMITY_ID]="","",IF([@COMPLETENESS_SCORE]=100,"COMPLETE","INCOMPLETE"))</f>
        <v/>
      </c>
    </row>
    <row r="43">
      <c r="A43" s="20" t="n">
        <v>42</v>
      </c>
      <c r="B43" s="20">
        <f>IFERROR(INDEX(T_DECLARATION_OF_CONFORMITY[DECLARATION_OF_CONFORMITY_ID],[@ROW_INDEX]),"")</f>
        <v/>
      </c>
      <c r="C43" s="20">
        <f>IFERROR(INDEX(T_DECLARATION_OF_CONFORMITY[DOC_NUMBER],[@ROW_INDEX]),"")</f>
        <v/>
      </c>
      <c r="D43" s="20">
        <f>IF([@DECLARATION_OF_CONFORMITY_ID]="","",IF(INDEX(T_DECLARATION_OF_CONFORMITY[LEGAL_ENTITY_ID],[@ROW_INDEX])&lt;&gt;"",TRUE,FALSE))</f>
        <v/>
      </c>
      <c r="E43" s="20">
        <f>IF([@DECLARATION_OF_CONFORMITY_ID]="","",IF(INDEX(T_DECLARATION_OF_CONFORMITY[TECHNICAL_FILE_ID],[@ROW_INDEX])&lt;&gt;"",TRUE,FALSE))</f>
        <v/>
      </c>
      <c r="F43" s="20">
        <f>IF([@DECLARATION_OF_CONFORMITY_ID]="","",IF(INDEX(T_DECLARATION_OF_CONFORMITY[RESPONSIBLE_PERSON_ID],[@ROW_INDEX])&lt;&gt;"",TRUE,FALSE))</f>
        <v/>
      </c>
      <c r="G43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3" s="20">
        <f>IF([@DECLARATION_OF_CONFORMITY_ID]="","",IF([@SCOPE_COUNT]&gt;=1,TRUE,FALSE))</f>
        <v/>
      </c>
      <c r="I43" s="20">
        <f>IF([@DECLARATION_OF_CONFORMITY_ID]="","",COUNTIF(T_DOCUMENT_LINK[DECLARATION_OF_CONFORMITY_ID],[@DECLARATION_OF_CONFORMITY_ID]))</f>
        <v/>
      </c>
      <c r="J43" s="20">
        <f>IF([@DECLARATION_OF_CONFORMITY_ID]="","",([@HAS_LEGAL_ENTITY]*25)+([@HAS_TECHNICAL_FILE]*25)+([@HAS_RESPONSIBLE_PERSON]*25)+([@HAS_SCOPE]*25))</f>
        <v/>
      </c>
      <c r="K43" s="20">
        <f>IF([@DECLARATION_OF_CONFORMITY_ID]="","",IF([@COMPLETENESS_SCORE]=100,"COMPLETE","INCOMPLETE"))</f>
        <v/>
      </c>
    </row>
    <row r="44">
      <c r="A44" s="20" t="n">
        <v>43</v>
      </c>
      <c r="B44" s="20">
        <f>IFERROR(INDEX(T_DECLARATION_OF_CONFORMITY[DECLARATION_OF_CONFORMITY_ID],[@ROW_INDEX]),"")</f>
        <v/>
      </c>
      <c r="C44" s="20">
        <f>IFERROR(INDEX(T_DECLARATION_OF_CONFORMITY[DOC_NUMBER],[@ROW_INDEX]),"")</f>
        <v/>
      </c>
      <c r="D44" s="20">
        <f>IF([@DECLARATION_OF_CONFORMITY_ID]="","",IF(INDEX(T_DECLARATION_OF_CONFORMITY[LEGAL_ENTITY_ID],[@ROW_INDEX])&lt;&gt;"",TRUE,FALSE))</f>
        <v/>
      </c>
      <c r="E44" s="20">
        <f>IF([@DECLARATION_OF_CONFORMITY_ID]="","",IF(INDEX(T_DECLARATION_OF_CONFORMITY[TECHNICAL_FILE_ID],[@ROW_INDEX])&lt;&gt;"",TRUE,FALSE))</f>
        <v/>
      </c>
      <c r="F44" s="20">
        <f>IF([@DECLARATION_OF_CONFORMITY_ID]="","",IF(INDEX(T_DECLARATION_OF_CONFORMITY[RESPONSIBLE_PERSON_ID],[@ROW_INDEX])&lt;&gt;"",TRUE,FALSE))</f>
        <v/>
      </c>
      <c r="G44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4" s="20">
        <f>IF([@DECLARATION_OF_CONFORMITY_ID]="","",IF([@SCOPE_COUNT]&gt;=1,TRUE,FALSE))</f>
        <v/>
      </c>
      <c r="I44" s="20">
        <f>IF([@DECLARATION_OF_CONFORMITY_ID]="","",COUNTIF(T_DOCUMENT_LINK[DECLARATION_OF_CONFORMITY_ID],[@DECLARATION_OF_CONFORMITY_ID]))</f>
        <v/>
      </c>
      <c r="J44" s="20">
        <f>IF([@DECLARATION_OF_CONFORMITY_ID]="","",([@HAS_LEGAL_ENTITY]*25)+([@HAS_TECHNICAL_FILE]*25)+([@HAS_RESPONSIBLE_PERSON]*25)+([@HAS_SCOPE]*25))</f>
        <v/>
      </c>
      <c r="K44" s="20">
        <f>IF([@DECLARATION_OF_CONFORMITY_ID]="","",IF([@COMPLETENESS_SCORE]=100,"COMPLETE","INCOMPLETE"))</f>
        <v/>
      </c>
    </row>
    <row r="45">
      <c r="A45" s="20" t="n">
        <v>44</v>
      </c>
      <c r="B45" s="20">
        <f>IFERROR(INDEX(T_DECLARATION_OF_CONFORMITY[DECLARATION_OF_CONFORMITY_ID],[@ROW_INDEX]),"")</f>
        <v/>
      </c>
      <c r="C45" s="20">
        <f>IFERROR(INDEX(T_DECLARATION_OF_CONFORMITY[DOC_NUMBER],[@ROW_INDEX]),"")</f>
        <v/>
      </c>
      <c r="D45" s="20">
        <f>IF([@DECLARATION_OF_CONFORMITY_ID]="","",IF(INDEX(T_DECLARATION_OF_CONFORMITY[LEGAL_ENTITY_ID],[@ROW_INDEX])&lt;&gt;"",TRUE,FALSE))</f>
        <v/>
      </c>
      <c r="E45" s="20">
        <f>IF([@DECLARATION_OF_CONFORMITY_ID]="","",IF(INDEX(T_DECLARATION_OF_CONFORMITY[TECHNICAL_FILE_ID],[@ROW_INDEX])&lt;&gt;"",TRUE,FALSE))</f>
        <v/>
      </c>
      <c r="F45" s="20">
        <f>IF([@DECLARATION_OF_CONFORMITY_ID]="","",IF(INDEX(T_DECLARATION_OF_CONFORMITY[RESPONSIBLE_PERSON_ID],[@ROW_INDEX])&lt;&gt;"",TRUE,FALSE))</f>
        <v/>
      </c>
      <c r="G45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5" s="20">
        <f>IF([@DECLARATION_OF_CONFORMITY_ID]="","",IF([@SCOPE_COUNT]&gt;=1,TRUE,FALSE))</f>
        <v/>
      </c>
      <c r="I45" s="20">
        <f>IF([@DECLARATION_OF_CONFORMITY_ID]="","",COUNTIF(T_DOCUMENT_LINK[DECLARATION_OF_CONFORMITY_ID],[@DECLARATION_OF_CONFORMITY_ID]))</f>
        <v/>
      </c>
      <c r="J45" s="20">
        <f>IF([@DECLARATION_OF_CONFORMITY_ID]="","",([@HAS_LEGAL_ENTITY]*25)+([@HAS_TECHNICAL_FILE]*25)+([@HAS_RESPONSIBLE_PERSON]*25)+([@HAS_SCOPE]*25))</f>
        <v/>
      </c>
      <c r="K45" s="20">
        <f>IF([@DECLARATION_OF_CONFORMITY_ID]="","",IF([@COMPLETENESS_SCORE]=100,"COMPLETE","INCOMPLETE"))</f>
        <v/>
      </c>
    </row>
    <row r="46">
      <c r="A46" s="20" t="n">
        <v>45</v>
      </c>
      <c r="B46" s="20">
        <f>IFERROR(INDEX(T_DECLARATION_OF_CONFORMITY[DECLARATION_OF_CONFORMITY_ID],[@ROW_INDEX]),"")</f>
        <v/>
      </c>
      <c r="C46" s="20">
        <f>IFERROR(INDEX(T_DECLARATION_OF_CONFORMITY[DOC_NUMBER],[@ROW_INDEX]),"")</f>
        <v/>
      </c>
      <c r="D46" s="20">
        <f>IF([@DECLARATION_OF_CONFORMITY_ID]="","",IF(INDEX(T_DECLARATION_OF_CONFORMITY[LEGAL_ENTITY_ID],[@ROW_INDEX])&lt;&gt;"",TRUE,FALSE))</f>
        <v/>
      </c>
      <c r="E46" s="20">
        <f>IF([@DECLARATION_OF_CONFORMITY_ID]="","",IF(INDEX(T_DECLARATION_OF_CONFORMITY[TECHNICAL_FILE_ID],[@ROW_INDEX])&lt;&gt;"",TRUE,FALSE))</f>
        <v/>
      </c>
      <c r="F46" s="20">
        <f>IF([@DECLARATION_OF_CONFORMITY_ID]="","",IF(INDEX(T_DECLARATION_OF_CONFORMITY[RESPONSIBLE_PERSON_ID],[@ROW_INDEX])&lt;&gt;"",TRUE,FALSE))</f>
        <v/>
      </c>
      <c r="G46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6" s="20">
        <f>IF([@DECLARATION_OF_CONFORMITY_ID]="","",IF([@SCOPE_COUNT]&gt;=1,TRUE,FALSE))</f>
        <v/>
      </c>
      <c r="I46" s="20">
        <f>IF([@DECLARATION_OF_CONFORMITY_ID]="","",COUNTIF(T_DOCUMENT_LINK[DECLARATION_OF_CONFORMITY_ID],[@DECLARATION_OF_CONFORMITY_ID]))</f>
        <v/>
      </c>
      <c r="J46" s="20">
        <f>IF([@DECLARATION_OF_CONFORMITY_ID]="","",([@HAS_LEGAL_ENTITY]*25)+([@HAS_TECHNICAL_FILE]*25)+([@HAS_RESPONSIBLE_PERSON]*25)+([@HAS_SCOPE]*25))</f>
        <v/>
      </c>
      <c r="K46" s="20">
        <f>IF([@DECLARATION_OF_CONFORMITY_ID]="","",IF([@COMPLETENESS_SCORE]=100,"COMPLETE","INCOMPLETE"))</f>
        <v/>
      </c>
    </row>
    <row r="47">
      <c r="A47" s="20" t="n">
        <v>46</v>
      </c>
      <c r="B47" s="20">
        <f>IFERROR(INDEX(T_DECLARATION_OF_CONFORMITY[DECLARATION_OF_CONFORMITY_ID],[@ROW_INDEX]),"")</f>
        <v/>
      </c>
      <c r="C47" s="20">
        <f>IFERROR(INDEX(T_DECLARATION_OF_CONFORMITY[DOC_NUMBER],[@ROW_INDEX]),"")</f>
        <v/>
      </c>
      <c r="D47" s="20">
        <f>IF([@DECLARATION_OF_CONFORMITY_ID]="","",IF(INDEX(T_DECLARATION_OF_CONFORMITY[LEGAL_ENTITY_ID],[@ROW_INDEX])&lt;&gt;"",TRUE,FALSE))</f>
        <v/>
      </c>
      <c r="E47" s="20">
        <f>IF([@DECLARATION_OF_CONFORMITY_ID]="","",IF(INDEX(T_DECLARATION_OF_CONFORMITY[TECHNICAL_FILE_ID],[@ROW_INDEX])&lt;&gt;"",TRUE,FALSE))</f>
        <v/>
      </c>
      <c r="F47" s="20">
        <f>IF([@DECLARATION_OF_CONFORMITY_ID]="","",IF(INDEX(T_DECLARATION_OF_CONFORMITY[RESPONSIBLE_PERSON_ID],[@ROW_INDEX])&lt;&gt;"",TRUE,FALSE))</f>
        <v/>
      </c>
      <c r="G47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7" s="20">
        <f>IF([@DECLARATION_OF_CONFORMITY_ID]="","",IF([@SCOPE_COUNT]&gt;=1,TRUE,FALSE))</f>
        <v/>
      </c>
      <c r="I47" s="20">
        <f>IF([@DECLARATION_OF_CONFORMITY_ID]="","",COUNTIF(T_DOCUMENT_LINK[DECLARATION_OF_CONFORMITY_ID],[@DECLARATION_OF_CONFORMITY_ID]))</f>
        <v/>
      </c>
      <c r="J47" s="20">
        <f>IF([@DECLARATION_OF_CONFORMITY_ID]="","",([@HAS_LEGAL_ENTITY]*25)+([@HAS_TECHNICAL_FILE]*25)+([@HAS_RESPONSIBLE_PERSON]*25)+([@HAS_SCOPE]*25))</f>
        <v/>
      </c>
      <c r="K47" s="20">
        <f>IF([@DECLARATION_OF_CONFORMITY_ID]="","",IF([@COMPLETENESS_SCORE]=100,"COMPLETE","INCOMPLETE"))</f>
        <v/>
      </c>
    </row>
    <row r="48">
      <c r="A48" s="20" t="n">
        <v>47</v>
      </c>
      <c r="B48" s="20">
        <f>IFERROR(INDEX(T_DECLARATION_OF_CONFORMITY[DECLARATION_OF_CONFORMITY_ID],[@ROW_INDEX]),"")</f>
        <v/>
      </c>
      <c r="C48" s="20">
        <f>IFERROR(INDEX(T_DECLARATION_OF_CONFORMITY[DOC_NUMBER],[@ROW_INDEX]),"")</f>
        <v/>
      </c>
      <c r="D48" s="20">
        <f>IF([@DECLARATION_OF_CONFORMITY_ID]="","",IF(INDEX(T_DECLARATION_OF_CONFORMITY[LEGAL_ENTITY_ID],[@ROW_INDEX])&lt;&gt;"",TRUE,FALSE))</f>
        <v/>
      </c>
      <c r="E48" s="20">
        <f>IF([@DECLARATION_OF_CONFORMITY_ID]="","",IF(INDEX(T_DECLARATION_OF_CONFORMITY[TECHNICAL_FILE_ID],[@ROW_INDEX])&lt;&gt;"",TRUE,FALSE))</f>
        <v/>
      </c>
      <c r="F48" s="20">
        <f>IF([@DECLARATION_OF_CONFORMITY_ID]="","",IF(INDEX(T_DECLARATION_OF_CONFORMITY[RESPONSIBLE_PERSON_ID],[@ROW_INDEX])&lt;&gt;"",TRUE,FALSE))</f>
        <v/>
      </c>
      <c r="G48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8" s="20">
        <f>IF([@DECLARATION_OF_CONFORMITY_ID]="","",IF([@SCOPE_COUNT]&gt;=1,TRUE,FALSE))</f>
        <v/>
      </c>
      <c r="I48" s="20">
        <f>IF([@DECLARATION_OF_CONFORMITY_ID]="","",COUNTIF(T_DOCUMENT_LINK[DECLARATION_OF_CONFORMITY_ID],[@DECLARATION_OF_CONFORMITY_ID]))</f>
        <v/>
      </c>
      <c r="J48" s="20">
        <f>IF([@DECLARATION_OF_CONFORMITY_ID]="","",([@HAS_LEGAL_ENTITY]*25)+([@HAS_TECHNICAL_FILE]*25)+([@HAS_RESPONSIBLE_PERSON]*25)+([@HAS_SCOPE]*25))</f>
        <v/>
      </c>
      <c r="K48" s="20">
        <f>IF([@DECLARATION_OF_CONFORMITY_ID]="","",IF([@COMPLETENESS_SCORE]=100,"COMPLETE","INCOMPLETE"))</f>
        <v/>
      </c>
    </row>
    <row r="49">
      <c r="A49" s="20" t="n">
        <v>48</v>
      </c>
      <c r="B49" s="20">
        <f>IFERROR(INDEX(T_DECLARATION_OF_CONFORMITY[DECLARATION_OF_CONFORMITY_ID],[@ROW_INDEX]),"")</f>
        <v/>
      </c>
      <c r="C49" s="20">
        <f>IFERROR(INDEX(T_DECLARATION_OF_CONFORMITY[DOC_NUMBER],[@ROW_INDEX]),"")</f>
        <v/>
      </c>
      <c r="D49" s="20">
        <f>IF([@DECLARATION_OF_CONFORMITY_ID]="","",IF(INDEX(T_DECLARATION_OF_CONFORMITY[LEGAL_ENTITY_ID],[@ROW_INDEX])&lt;&gt;"",TRUE,FALSE))</f>
        <v/>
      </c>
      <c r="E49" s="20">
        <f>IF([@DECLARATION_OF_CONFORMITY_ID]="","",IF(INDEX(T_DECLARATION_OF_CONFORMITY[TECHNICAL_FILE_ID],[@ROW_INDEX])&lt;&gt;"",TRUE,FALSE))</f>
        <v/>
      </c>
      <c r="F49" s="20">
        <f>IF([@DECLARATION_OF_CONFORMITY_ID]="","",IF(INDEX(T_DECLARATION_OF_CONFORMITY[RESPONSIBLE_PERSON_ID],[@ROW_INDEX])&lt;&gt;"",TRUE,FALSE))</f>
        <v/>
      </c>
      <c r="G49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49" s="20">
        <f>IF([@DECLARATION_OF_CONFORMITY_ID]="","",IF([@SCOPE_COUNT]&gt;=1,TRUE,FALSE))</f>
        <v/>
      </c>
      <c r="I49" s="20">
        <f>IF([@DECLARATION_OF_CONFORMITY_ID]="","",COUNTIF(T_DOCUMENT_LINK[DECLARATION_OF_CONFORMITY_ID],[@DECLARATION_OF_CONFORMITY_ID]))</f>
        <v/>
      </c>
      <c r="J49" s="20">
        <f>IF([@DECLARATION_OF_CONFORMITY_ID]="","",([@HAS_LEGAL_ENTITY]*25)+([@HAS_TECHNICAL_FILE]*25)+([@HAS_RESPONSIBLE_PERSON]*25)+([@HAS_SCOPE]*25))</f>
        <v/>
      </c>
      <c r="K49" s="20">
        <f>IF([@DECLARATION_OF_CONFORMITY_ID]="","",IF([@COMPLETENESS_SCORE]=100,"COMPLETE","INCOMPLETE"))</f>
        <v/>
      </c>
    </row>
    <row r="50">
      <c r="A50" s="20" t="n">
        <v>49</v>
      </c>
      <c r="B50" s="20">
        <f>IFERROR(INDEX(T_DECLARATION_OF_CONFORMITY[DECLARATION_OF_CONFORMITY_ID],[@ROW_INDEX]),"")</f>
        <v/>
      </c>
      <c r="C50" s="20">
        <f>IFERROR(INDEX(T_DECLARATION_OF_CONFORMITY[DOC_NUMBER],[@ROW_INDEX]),"")</f>
        <v/>
      </c>
      <c r="D50" s="20">
        <f>IF([@DECLARATION_OF_CONFORMITY_ID]="","",IF(INDEX(T_DECLARATION_OF_CONFORMITY[LEGAL_ENTITY_ID],[@ROW_INDEX])&lt;&gt;"",TRUE,FALSE))</f>
        <v/>
      </c>
      <c r="E50" s="20">
        <f>IF([@DECLARATION_OF_CONFORMITY_ID]="","",IF(INDEX(T_DECLARATION_OF_CONFORMITY[TECHNICAL_FILE_ID],[@ROW_INDEX])&lt;&gt;"",TRUE,FALSE))</f>
        <v/>
      </c>
      <c r="F50" s="20">
        <f>IF([@DECLARATION_OF_CONFORMITY_ID]="","",IF(INDEX(T_DECLARATION_OF_CONFORMITY[RESPONSIBLE_PERSON_ID],[@ROW_INDEX])&lt;&gt;"",TRUE,FALSE))</f>
        <v/>
      </c>
      <c r="G50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50" s="20">
        <f>IF([@DECLARATION_OF_CONFORMITY_ID]="","",IF([@SCOPE_COUNT]&gt;=1,TRUE,FALSE))</f>
        <v/>
      </c>
      <c r="I50" s="20">
        <f>IF([@DECLARATION_OF_CONFORMITY_ID]="","",COUNTIF(T_DOCUMENT_LINK[DECLARATION_OF_CONFORMITY_ID],[@DECLARATION_OF_CONFORMITY_ID]))</f>
        <v/>
      </c>
      <c r="J50" s="20">
        <f>IF([@DECLARATION_OF_CONFORMITY_ID]="","",([@HAS_LEGAL_ENTITY]*25)+([@HAS_TECHNICAL_FILE]*25)+([@HAS_RESPONSIBLE_PERSON]*25)+([@HAS_SCOPE]*25))</f>
        <v/>
      </c>
      <c r="K50" s="20">
        <f>IF([@DECLARATION_OF_CONFORMITY_ID]="","",IF([@COMPLETENESS_SCORE]=100,"COMPLETE","INCOMPLETE"))</f>
        <v/>
      </c>
    </row>
    <row r="51">
      <c r="A51" s="20" t="n">
        <v>50</v>
      </c>
      <c r="B51" s="20">
        <f>IFERROR(INDEX(T_DECLARATION_OF_CONFORMITY[DECLARATION_OF_CONFORMITY_ID],[@ROW_INDEX]),"")</f>
        <v/>
      </c>
      <c r="C51" s="20">
        <f>IFERROR(INDEX(T_DECLARATION_OF_CONFORMITY[DOC_NUMBER],[@ROW_INDEX]),"")</f>
        <v/>
      </c>
      <c r="D51" s="20">
        <f>IF([@DECLARATION_OF_CONFORMITY_ID]="","",IF(INDEX(T_DECLARATION_OF_CONFORMITY[LEGAL_ENTITY_ID],[@ROW_INDEX])&lt;&gt;"",TRUE,FALSE))</f>
        <v/>
      </c>
      <c r="E51" s="20">
        <f>IF([@DECLARATION_OF_CONFORMITY_ID]="","",IF(INDEX(T_DECLARATION_OF_CONFORMITY[TECHNICAL_FILE_ID],[@ROW_INDEX])&lt;&gt;"",TRUE,FALSE))</f>
        <v/>
      </c>
      <c r="F51" s="20">
        <f>IF([@DECLARATION_OF_CONFORMITY_ID]="","",IF(INDEX(T_DECLARATION_OF_CONFORMITY[RESPONSIBLE_PERSON_ID],[@ROW_INDEX])&lt;&gt;"",TRUE,FALSE))</f>
        <v/>
      </c>
      <c r="G51" s="20">
        <f>IF([@DECLARATION_OF_CONFORMITY_ID]="","",IFERROR((IF(INDEX(T_DECLARATION_OF_CONFORMITY[PRODUCT_ID],[@ROW_INDEX])&lt;&gt;"",1,0))+(IF(INDEX(T_DECLARATION_OF_CONFORMITY[PACKAGING_CONFIGURATION_ID],[@ROW_INDEX])&lt;&gt;"",1,0))+(IF(INDEX(T_DECLARATION_OF_CONFORMITY[TRANSPORT_CONFIGURATION_ID],[@ROW_INDEX])&lt;&gt;"",1,0)),0))</f>
        <v/>
      </c>
      <c r="H51" s="20">
        <f>IF([@DECLARATION_OF_CONFORMITY_ID]="","",IF([@SCOPE_COUNT]&gt;=1,TRUE,FALSE))</f>
        <v/>
      </c>
      <c r="I51" s="20">
        <f>IF([@DECLARATION_OF_CONFORMITY_ID]="","",COUNTIF(T_DOCUMENT_LINK[DECLARATION_OF_CONFORMITY_ID],[@DECLARATION_OF_CONFORMITY_ID]))</f>
        <v/>
      </c>
      <c r="J51" s="20">
        <f>IF([@DECLARATION_OF_CONFORMITY_ID]="","",([@HAS_LEGAL_ENTITY]*25)+([@HAS_TECHNICAL_FILE]*25)+([@HAS_RESPONSIBLE_PERSON]*25)+([@HAS_SCOPE]*25))</f>
        <v/>
      </c>
      <c r="K51" s="20">
        <f>IF([@DECLARATION_OF_CONFORMITY_ID]="","",IF([@COMPLETENESS_SCORE]=100,"COMPLETE","INCOMPLETE"))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conditionalFormatting sqref="K2:K51">
    <cfRule type="cellIs" priority="1" operator="equal" dxfId="1">
      <formula>"OK"</formula>
    </cfRule>
    <cfRule type="cellIs" priority="2" operator="equal" dxfId="1">
      <formula>"COMPLETE"</formula>
    </cfRule>
    <cfRule type="cellIs" priority="3" operator="equal" dxfId="2">
      <formula>"INCOMPLETE"</formula>
    </cfRule>
    <cfRule type="cellIs" priority="4" operator="equal" dxfId="0">
      <formula>"VARIANCE"</formula>
    </cfRule>
    <cfRule type="cellIs" priority="5" operator="equal" dxfId="3">
      <formula>"PENDING"</formula>
    </cfRule>
  </conditionalFormatting>
  <hyperlinks>
    <hyperlink xmlns:r="http://schemas.openxmlformats.org/officeDocument/2006/relationships" ref="M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2" customWidth="1" min="4" max="4"/>
    <col width="21" customWidth="1" min="5" max="5"/>
    <col width="21" customWidth="1" min="6" max="6"/>
    <col width="30" customWidth="1" min="7" max="7"/>
    <col width="30" customWidth="1" min="8" max="8"/>
    <col width="22" customWidth="1" min="9" max="9"/>
    <col width="22" customWidth="1" min="10" max="10"/>
    <col width="16" customWidth="1" min="11" max="11"/>
    <col width="16" customWidth="1" min="12" max="12"/>
  </cols>
  <sheetData>
    <row r="1">
      <c r="A1" s="12" t="inlineStr">
        <is>
          <t>ROW_INDEX</t>
        </is>
      </c>
      <c r="B1" s="12" t="inlineStr">
        <is>
          <t>COMPONENT_ID</t>
        </is>
      </c>
      <c r="C1" s="12" t="inlineStr">
        <is>
          <t>COMPONENT_CODE</t>
        </is>
      </c>
      <c r="D1" s="12" t="inlineStr">
        <is>
          <t>WEIGHT_G</t>
        </is>
      </c>
      <c r="E1" s="12" t="inlineStr">
        <is>
          <t>USED_IN_PKG_LINES</t>
        </is>
      </c>
      <c r="F1" s="12" t="inlineStr">
        <is>
          <t>USED_IN_TRN_LINES</t>
        </is>
      </c>
      <c r="G1" s="12" t="inlineStr">
        <is>
          <t>AFFECTED_PACKAGING_CONFIGS</t>
        </is>
      </c>
      <c r="H1" s="12" t="inlineStr">
        <is>
          <t>AFFECTED_TRANSPORT_CONFIGS</t>
        </is>
      </c>
      <c r="I1" s="12" t="inlineStr">
        <is>
          <t>AFFECTED_SCENARIOS</t>
        </is>
      </c>
      <c r="J1" s="12" t="inlineStr">
        <is>
          <t>AFFECTED_SHIPMENTS</t>
        </is>
      </c>
      <c r="K1" s="12" t="inlineStr">
        <is>
          <t>IMPACT_SCORE</t>
        </is>
      </c>
      <c r="L1" s="12" t="inlineStr">
        <is>
          <t>IMPACT_LEVEL</t>
        </is>
      </c>
      <c r="N1" s="19" t="inlineStr">
        <is>
          <t>Dashboard</t>
        </is>
      </c>
    </row>
    <row r="2">
      <c r="A2" s="20" t="n">
        <v>1</v>
      </c>
      <c r="B2" s="20">
        <f>IFERROR(INDEX(T_COMPONENT[COMPONENT_ID],[@ROW_INDEX]),"")</f>
        <v/>
      </c>
      <c r="C2" s="20">
        <f>IFERROR(INDEX(T_COMPONENT[COMPONENT_CODE],[@ROW_INDEX]),"")</f>
        <v/>
      </c>
      <c r="D2" s="20">
        <f>IFERROR(INDEX(T_COMPONENT[WEIGHT_G],[@ROW_INDEX]),"")</f>
        <v/>
      </c>
      <c r="E2" s="20">
        <f>IF([@COMPONENT_ID]="","",COUNTIF(T_PACKAGING_CONFIGURATION_LINE[COMPONENT_ID],[@COMPONENT_ID]))</f>
        <v/>
      </c>
      <c r="F2" s="20">
        <f>IF([@COMPONENT_ID]="","",COUNTIF(T_TRANSPORT_CONFIGURATION_LINE[COMPONENT_ID],[@COMPONENT_ID]))</f>
        <v/>
      </c>
      <c r="G2" s="20">
        <f>IF([@COMPONENT_ID]="","",[@USED_IN_PKG_LINES])</f>
        <v/>
      </c>
      <c r="H2" s="20">
        <f>IF([@COMPONENT_ID]="","",[@USED_IN_TRN_LINES])</f>
        <v/>
      </c>
      <c r="I2" s="20">
        <f>IF([@COMPONENT_ID]="","",IF([@USED_IN_TRN_LINES]+[@USED_IN_PKG_LINES]=0,0,COUNTA(T_COMMERCIAL_SCENARIO[COMMERCIAL_SCENARIO_ID])))</f>
        <v/>
      </c>
      <c r="J2" s="20">
        <f>IF([@COMPONENT_ID]="","",COUNTIF(T_SHIPMENT_LINE[COMPONENT_ID],[@COMPONENT_ID]))</f>
        <v/>
      </c>
      <c r="K2" s="20">
        <f>IF([@COMPONENT_ID]="","",[@USED_IN_PKG_LINES]*2+[@USED_IN_TRN_LINES]*3+[@AFFECTED_SHIPMENTS]*5)</f>
        <v/>
      </c>
      <c r="L2" s="20">
        <f>IF([@COMPONENT_ID]="","",IF([@IMPACT_SCORE]&gt;=20,"HIGH",IF([@IMPACT_SCORE]&gt;=5,"MEDIUM","LOW")))</f>
        <v/>
      </c>
    </row>
    <row r="3">
      <c r="A3" s="20" t="n">
        <v>2</v>
      </c>
      <c r="B3" s="20">
        <f>IFERROR(INDEX(T_COMPONENT[COMPONENT_ID],[@ROW_INDEX]),"")</f>
        <v/>
      </c>
      <c r="C3" s="20">
        <f>IFERROR(INDEX(T_COMPONENT[COMPONENT_CODE],[@ROW_INDEX]),"")</f>
        <v/>
      </c>
      <c r="D3" s="20">
        <f>IFERROR(INDEX(T_COMPONENT[WEIGHT_G],[@ROW_INDEX]),"")</f>
        <v/>
      </c>
      <c r="E3" s="20">
        <f>IF([@COMPONENT_ID]="","",COUNTIF(T_PACKAGING_CONFIGURATION_LINE[COMPONENT_ID],[@COMPONENT_ID]))</f>
        <v/>
      </c>
      <c r="F3" s="20">
        <f>IF([@COMPONENT_ID]="","",COUNTIF(T_TRANSPORT_CONFIGURATION_LINE[COMPONENT_ID],[@COMPONENT_ID]))</f>
        <v/>
      </c>
      <c r="G3" s="20">
        <f>IF([@COMPONENT_ID]="","",[@USED_IN_PKG_LINES])</f>
        <v/>
      </c>
      <c r="H3" s="20">
        <f>IF([@COMPONENT_ID]="","",[@USED_IN_TRN_LINES])</f>
        <v/>
      </c>
      <c r="I3" s="20">
        <f>IF([@COMPONENT_ID]="","",IF([@USED_IN_TRN_LINES]+[@USED_IN_PKG_LINES]=0,0,COUNTA(T_COMMERCIAL_SCENARIO[COMMERCIAL_SCENARIO_ID])))</f>
        <v/>
      </c>
      <c r="J3" s="20">
        <f>IF([@COMPONENT_ID]="","",COUNTIF(T_SHIPMENT_LINE[COMPONENT_ID],[@COMPONENT_ID]))</f>
        <v/>
      </c>
      <c r="K3" s="20">
        <f>IF([@COMPONENT_ID]="","",[@USED_IN_PKG_LINES]*2+[@USED_IN_TRN_LINES]*3+[@AFFECTED_SHIPMENTS]*5)</f>
        <v/>
      </c>
      <c r="L3" s="20">
        <f>IF([@COMPONENT_ID]="","",IF([@IMPACT_SCORE]&gt;=20,"HIGH",IF([@IMPACT_SCORE]&gt;=5,"MEDIUM","LOW")))</f>
        <v/>
      </c>
    </row>
    <row r="4">
      <c r="A4" s="20" t="n">
        <v>3</v>
      </c>
      <c r="B4" s="20">
        <f>IFERROR(INDEX(T_COMPONENT[COMPONENT_ID],[@ROW_INDEX]),"")</f>
        <v/>
      </c>
      <c r="C4" s="20">
        <f>IFERROR(INDEX(T_COMPONENT[COMPONENT_CODE],[@ROW_INDEX]),"")</f>
        <v/>
      </c>
      <c r="D4" s="20">
        <f>IFERROR(INDEX(T_COMPONENT[WEIGHT_G],[@ROW_INDEX]),"")</f>
        <v/>
      </c>
      <c r="E4" s="20">
        <f>IF([@COMPONENT_ID]="","",COUNTIF(T_PACKAGING_CONFIGURATION_LINE[COMPONENT_ID],[@COMPONENT_ID]))</f>
        <v/>
      </c>
      <c r="F4" s="20">
        <f>IF([@COMPONENT_ID]="","",COUNTIF(T_TRANSPORT_CONFIGURATION_LINE[COMPONENT_ID],[@COMPONENT_ID]))</f>
        <v/>
      </c>
      <c r="G4" s="20">
        <f>IF([@COMPONENT_ID]="","",[@USED_IN_PKG_LINES])</f>
        <v/>
      </c>
      <c r="H4" s="20">
        <f>IF([@COMPONENT_ID]="","",[@USED_IN_TRN_LINES])</f>
        <v/>
      </c>
      <c r="I4" s="20">
        <f>IF([@COMPONENT_ID]="","",IF([@USED_IN_TRN_LINES]+[@USED_IN_PKG_LINES]=0,0,COUNTA(T_COMMERCIAL_SCENARIO[COMMERCIAL_SCENARIO_ID])))</f>
        <v/>
      </c>
      <c r="J4" s="20">
        <f>IF([@COMPONENT_ID]="","",COUNTIF(T_SHIPMENT_LINE[COMPONENT_ID],[@COMPONENT_ID]))</f>
        <v/>
      </c>
      <c r="K4" s="20">
        <f>IF([@COMPONENT_ID]="","",[@USED_IN_PKG_LINES]*2+[@USED_IN_TRN_LINES]*3+[@AFFECTED_SHIPMENTS]*5)</f>
        <v/>
      </c>
      <c r="L4" s="20">
        <f>IF([@COMPONENT_ID]="","",IF([@IMPACT_SCORE]&gt;=20,"HIGH",IF([@IMPACT_SCORE]&gt;=5,"MEDIUM","LOW")))</f>
        <v/>
      </c>
    </row>
    <row r="5">
      <c r="A5" s="20" t="n">
        <v>4</v>
      </c>
      <c r="B5" s="20">
        <f>IFERROR(INDEX(T_COMPONENT[COMPONENT_ID],[@ROW_INDEX]),"")</f>
        <v/>
      </c>
      <c r="C5" s="20">
        <f>IFERROR(INDEX(T_COMPONENT[COMPONENT_CODE],[@ROW_INDEX]),"")</f>
        <v/>
      </c>
      <c r="D5" s="20">
        <f>IFERROR(INDEX(T_COMPONENT[WEIGHT_G],[@ROW_INDEX]),"")</f>
        <v/>
      </c>
      <c r="E5" s="20">
        <f>IF([@COMPONENT_ID]="","",COUNTIF(T_PACKAGING_CONFIGURATION_LINE[COMPONENT_ID],[@COMPONENT_ID]))</f>
        <v/>
      </c>
      <c r="F5" s="20">
        <f>IF([@COMPONENT_ID]="","",COUNTIF(T_TRANSPORT_CONFIGURATION_LINE[COMPONENT_ID],[@COMPONENT_ID]))</f>
        <v/>
      </c>
      <c r="G5" s="20">
        <f>IF([@COMPONENT_ID]="","",[@USED_IN_PKG_LINES])</f>
        <v/>
      </c>
      <c r="H5" s="20">
        <f>IF([@COMPONENT_ID]="","",[@USED_IN_TRN_LINES])</f>
        <v/>
      </c>
      <c r="I5" s="20">
        <f>IF([@COMPONENT_ID]="","",IF([@USED_IN_TRN_LINES]+[@USED_IN_PKG_LINES]=0,0,COUNTA(T_COMMERCIAL_SCENARIO[COMMERCIAL_SCENARIO_ID])))</f>
        <v/>
      </c>
      <c r="J5" s="20">
        <f>IF([@COMPONENT_ID]="","",COUNTIF(T_SHIPMENT_LINE[COMPONENT_ID],[@COMPONENT_ID]))</f>
        <v/>
      </c>
      <c r="K5" s="20">
        <f>IF([@COMPONENT_ID]="","",[@USED_IN_PKG_LINES]*2+[@USED_IN_TRN_LINES]*3+[@AFFECTED_SHIPMENTS]*5)</f>
        <v/>
      </c>
      <c r="L5" s="20">
        <f>IF([@COMPONENT_ID]="","",IF([@IMPACT_SCORE]&gt;=20,"HIGH",IF([@IMPACT_SCORE]&gt;=5,"MEDIUM","LOW")))</f>
        <v/>
      </c>
    </row>
    <row r="6">
      <c r="A6" s="20" t="n">
        <v>5</v>
      </c>
      <c r="B6" s="20">
        <f>IFERROR(INDEX(T_COMPONENT[COMPONENT_ID],[@ROW_INDEX]),"")</f>
        <v/>
      </c>
      <c r="C6" s="20">
        <f>IFERROR(INDEX(T_COMPONENT[COMPONENT_CODE],[@ROW_INDEX]),"")</f>
        <v/>
      </c>
      <c r="D6" s="20">
        <f>IFERROR(INDEX(T_COMPONENT[WEIGHT_G],[@ROW_INDEX]),"")</f>
        <v/>
      </c>
      <c r="E6" s="20">
        <f>IF([@COMPONENT_ID]="","",COUNTIF(T_PACKAGING_CONFIGURATION_LINE[COMPONENT_ID],[@COMPONENT_ID]))</f>
        <v/>
      </c>
      <c r="F6" s="20">
        <f>IF([@COMPONENT_ID]="","",COUNTIF(T_TRANSPORT_CONFIGURATION_LINE[COMPONENT_ID],[@COMPONENT_ID]))</f>
        <v/>
      </c>
      <c r="G6" s="20">
        <f>IF([@COMPONENT_ID]="","",[@USED_IN_PKG_LINES])</f>
        <v/>
      </c>
      <c r="H6" s="20">
        <f>IF([@COMPONENT_ID]="","",[@USED_IN_TRN_LINES])</f>
        <v/>
      </c>
      <c r="I6" s="20">
        <f>IF([@COMPONENT_ID]="","",IF([@USED_IN_TRN_LINES]+[@USED_IN_PKG_LINES]=0,0,COUNTA(T_COMMERCIAL_SCENARIO[COMMERCIAL_SCENARIO_ID])))</f>
        <v/>
      </c>
      <c r="J6" s="20">
        <f>IF([@COMPONENT_ID]="","",COUNTIF(T_SHIPMENT_LINE[COMPONENT_ID],[@COMPONENT_ID]))</f>
        <v/>
      </c>
      <c r="K6" s="20">
        <f>IF([@COMPONENT_ID]="","",[@USED_IN_PKG_LINES]*2+[@USED_IN_TRN_LINES]*3+[@AFFECTED_SHIPMENTS]*5)</f>
        <v/>
      </c>
      <c r="L6" s="20">
        <f>IF([@COMPONENT_ID]="","",IF([@IMPACT_SCORE]&gt;=20,"HIGH",IF([@IMPACT_SCORE]&gt;=5,"MEDIUM","LOW")))</f>
        <v/>
      </c>
    </row>
    <row r="7">
      <c r="A7" s="20" t="n">
        <v>6</v>
      </c>
      <c r="B7" s="20">
        <f>IFERROR(INDEX(T_COMPONENT[COMPONENT_ID],[@ROW_INDEX]),"")</f>
        <v/>
      </c>
      <c r="C7" s="20">
        <f>IFERROR(INDEX(T_COMPONENT[COMPONENT_CODE],[@ROW_INDEX]),"")</f>
        <v/>
      </c>
      <c r="D7" s="20">
        <f>IFERROR(INDEX(T_COMPONENT[WEIGHT_G],[@ROW_INDEX]),"")</f>
        <v/>
      </c>
      <c r="E7" s="20">
        <f>IF([@COMPONENT_ID]="","",COUNTIF(T_PACKAGING_CONFIGURATION_LINE[COMPONENT_ID],[@COMPONENT_ID]))</f>
        <v/>
      </c>
      <c r="F7" s="20">
        <f>IF([@COMPONENT_ID]="","",COUNTIF(T_TRANSPORT_CONFIGURATION_LINE[COMPONENT_ID],[@COMPONENT_ID]))</f>
        <v/>
      </c>
      <c r="G7" s="20">
        <f>IF([@COMPONENT_ID]="","",[@USED_IN_PKG_LINES])</f>
        <v/>
      </c>
      <c r="H7" s="20">
        <f>IF([@COMPONENT_ID]="","",[@USED_IN_TRN_LINES])</f>
        <v/>
      </c>
      <c r="I7" s="20">
        <f>IF([@COMPONENT_ID]="","",IF([@USED_IN_TRN_LINES]+[@USED_IN_PKG_LINES]=0,0,COUNTA(T_COMMERCIAL_SCENARIO[COMMERCIAL_SCENARIO_ID])))</f>
        <v/>
      </c>
      <c r="J7" s="20">
        <f>IF([@COMPONENT_ID]="","",COUNTIF(T_SHIPMENT_LINE[COMPONENT_ID],[@COMPONENT_ID]))</f>
        <v/>
      </c>
      <c r="K7" s="20">
        <f>IF([@COMPONENT_ID]="","",[@USED_IN_PKG_LINES]*2+[@USED_IN_TRN_LINES]*3+[@AFFECTED_SHIPMENTS]*5)</f>
        <v/>
      </c>
      <c r="L7" s="20">
        <f>IF([@COMPONENT_ID]="","",IF([@IMPACT_SCORE]&gt;=20,"HIGH",IF([@IMPACT_SCORE]&gt;=5,"MEDIUM","LOW")))</f>
        <v/>
      </c>
    </row>
    <row r="8">
      <c r="A8" s="20" t="n">
        <v>7</v>
      </c>
      <c r="B8" s="20">
        <f>IFERROR(INDEX(T_COMPONENT[COMPONENT_ID],[@ROW_INDEX]),"")</f>
        <v/>
      </c>
      <c r="C8" s="20">
        <f>IFERROR(INDEX(T_COMPONENT[COMPONENT_CODE],[@ROW_INDEX]),"")</f>
        <v/>
      </c>
      <c r="D8" s="20">
        <f>IFERROR(INDEX(T_COMPONENT[WEIGHT_G],[@ROW_INDEX]),"")</f>
        <v/>
      </c>
      <c r="E8" s="20">
        <f>IF([@COMPONENT_ID]="","",COUNTIF(T_PACKAGING_CONFIGURATION_LINE[COMPONENT_ID],[@COMPONENT_ID]))</f>
        <v/>
      </c>
      <c r="F8" s="20">
        <f>IF([@COMPONENT_ID]="","",COUNTIF(T_TRANSPORT_CONFIGURATION_LINE[COMPONENT_ID],[@COMPONENT_ID]))</f>
        <v/>
      </c>
      <c r="G8" s="20">
        <f>IF([@COMPONENT_ID]="","",[@USED_IN_PKG_LINES])</f>
        <v/>
      </c>
      <c r="H8" s="20">
        <f>IF([@COMPONENT_ID]="","",[@USED_IN_TRN_LINES])</f>
        <v/>
      </c>
      <c r="I8" s="20">
        <f>IF([@COMPONENT_ID]="","",IF([@USED_IN_TRN_LINES]+[@USED_IN_PKG_LINES]=0,0,COUNTA(T_COMMERCIAL_SCENARIO[COMMERCIAL_SCENARIO_ID])))</f>
        <v/>
      </c>
      <c r="J8" s="20">
        <f>IF([@COMPONENT_ID]="","",COUNTIF(T_SHIPMENT_LINE[COMPONENT_ID],[@COMPONENT_ID]))</f>
        <v/>
      </c>
      <c r="K8" s="20">
        <f>IF([@COMPONENT_ID]="","",[@USED_IN_PKG_LINES]*2+[@USED_IN_TRN_LINES]*3+[@AFFECTED_SHIPMENTS]*5)</f>
        <v/>
      </c>
      <c r="L8" s="20">
        <f>IF([@COMPONENT_ID]="","",IF([@IMPACT_SCORE]&gt;=20,"HIGH",IF([@IMPACT_SCORE]&gt;=5,"MEDIUM","LOW")))</f>
        <v/>
      </c>
    </row>
    <row r="9">
      <c r="A9" s="20" t="n">
        <v>8</v>
      </c>
      <c r="B9" s="20">
        <f>IFERROR(INDEX(T_COMPONENT[COMPONENT_ID],[@ROW_INDEX]),"")</f>
        <v/>
      </c>
      <c r="C9" s="20">
        <f>IFERROR(INDEX(T_COMPONENT[COMPONENT_CODE],[@ROW_INDEX]),"")</f>
        <v/>
      </c>
      <c r="D9" s="20">
        <f>IFERROR(INDEX(T_COMPONENT[WEIGHT_G],[@ROW_INDEX]),"")</f>
        <v/>
      </c>
      <c r="E9" s="20">
        <f>IF([@COMPONENT_ID]="","",COUNTIF(T_PACKAGING_CONFIGURATION_LINE[COMPONENT_ID],[@COMPONENT_ID]))</f>
        <v/>
      </c>
      <c r="F9" s="20">
        <f>IF([@COMPONENT_ID]="","",COUNTIF(T_TRANSPORT_CONFIGURATION_LINE[COMPONENT_ID],[@COMPONENT_ID]))</f>
        <v/>
      </c>
      <c r="G9" s="20">
        <f>IF([@COMPONENT_ID]="","",[@USED_IN_PKG_LINES])</f>
        <v/>
      </c>
      <c r="H9" s="20">
        <f>IF([@COMPONENT_ID]="","",[@USED_IN_TRN_LINES])</f>
        <v/>
      </c>
      <c r="I9" s="20">
        <f>IF([@COMPONENT_ID]="","",IF([@USED_IN_TRN_LINES]+[@USED_IN_PKG_LINES]=0,0,COUNTA(T_COMMERCIAL_SCENARIO[COMMERCIAL_SCENARIO_ID])))</f>
        <v/>
      </c>
      <c r="J9" s="20">
        <f>IF([@COMPONENT_ID]="","",COUNTIF(T_SHIPMENT_LINE[COMPONENT_ID],[@COMPONENT_ID]))</f>
        <v/>
      </c>
      <c r="K9" s="20">
        <f>IF([@COMPONENT_ID]="","",[@USED_IN_PKG_LINES]*2+[@USED_IN_TRN_LINES]*3+[@AFFECTED_SHIPMENTS]*5)</f>
        <v/>
      </c>
      <c r="L9" s="20">
        <f>IF([@COMPONENT_ID]="","",IF([@IMPACT_SCORE]&gt;=20,"HIGH",IF([@IMPACT_SCORE]&gt;=5,"MEDIUM","LOW")))</f>
        <v/>
      </c>
    </row>
    <row r="10">
      <c r="A10" s="20" t="n">
        <v>9</v>
      </c>
      <c r="B10" s="20">
        <f>IFERROR(INDEX(T_COMPONENT[COMPONENT_ID],[@ROW_INDEX]),"")</f>
        <v/>
      </c>
      <c r="C10" s="20">
        <f>IFERROR(INDEX(T_COMPONENT[COMPONENT_CODE],[@ROW_INDEX]),"")</f>
        <v/>
      </c>
      <c r="D10" s="20">
        <f>IFERROR(INDEX(T_COMPONENT[WEIGHT_G],[@ROW_INDEX]),"")</f>
        <v/>
      </c>
      <c r="E10" s="20">
        <f>IF([@COMPONENT_ID]="","",COUNTIF(T_PACKAGING_CONFIGURATION_LINE[COMPONENT_ID],[@COMPONENT_ID]))</f>
        <v/>
      </c>
      <c r="F10" s="20">
        <f>IF([@COMPONENT_ID]="","",COUNTIF(T_TRANSPORT_CONFIGURATION_LINE[COMPONENT_ID],[@COMPONENT_ID]))</f>
        <v/>
      </c>
      <c r="G10" s="20">
        <f>IF([@COMPONENT_ID]="","",[@USED_IN_PKG_LINES])</f>
        <v/>
      </c>
      <c r="H10" s="20">
        <f>IF([@COMPONENT_ID]="","",[@USED_IN_TRN_LINES])</f>
        <v/>
      </c>
      <c r="I10" s="20">
        <f>IF([@COMPONENT_ID]="","",IF([@USED_IN_TRN_LINES]+[@USED_IN_PKG_LINES]=0,0,COUNTA(T_COMMERCIAL_SCENARIO[COMMERCIAL_SCENARIO_ID])))</f>
        <v/>
      </c>
      <c r="J10" s="20">
        <f>IF([@COMPONENT_ID]="","",COUNTIF(T_SHIPMENT_LINE[COMPONENT_ID],[@COMPONENT_ID]))</f>
        <v/>
      </c>
      <c r="K10" s="20">
        <f>IF([@COMPONENT_ID]="","",[@USED_IN_PKG_LINES]*2+[@USED_IN_TRN_LINES]*3+[@AFFECTED_SHIPMENTS]*5)</f>
        <v/>
      </c>
      <c r="L10" s="20">
        <f>IF([@COMPONENT_ID]="","",IF([@IMPACT_SCORE]&gt;=20,"HIGH",IF([@IMPACT_SCORE]&gt;=5,"MEDIUM","LOW")))</f>
        <v/>
      </c>
    </row>
    <row r="11">
      <c r="A11" s="20" t="n">
        <v>10</v>
      </c>
      <c r="B11" s="20">
        <f>IFERROR(INDEX(T_COMPONENT[COMPONENT_ID],[@ROW_INDEX]),"")</f>
        <v/>
      </c>
      <c r="C11" s="20">
        <f>IFERROR(INDEX(T_COMPONENT[COMPONENT_CODE],[@ROW_INDEX]),"")</f>
        <v/>
      </c>
      <c r="D11" s="20">
        <f>IFERROR(INDEX(T_COMPONENT[WEIGHT_G],[@ROW_INDEX]),"")</f>
        <v/>
      </c>
      <c r="E11" s="20">
        <f>IF([@COMPONENT_ID]="","",COUNTIF(T_PACKAGING_CONFIGURATION_LINE[COMPONENT_ID],[@COMPONENT_ID]))</f>
        <v/>
      </c>
      <c r="F11" s="20">
        <f>IF([@COMPONENT_ID]="","",COUNTIF(T_TRANSPORT_CONFIGURATION_LINE[COMPONENT_ID],[@COMPONENT_ID]))</f>
        <v/>
      </c>
      <c r="G11" s="20">
        <f>IF([@COMPONENT_ID]="","",[@USED_IN_PKG_LINES])</f>
        <v/>
      </c>
      <c r="H11" s="20">
        <f>IF([@COMPONENT_ID]="","",[@USED_IN_TRN_LINES])</f>
        <v/>
      </c>
      <c r="I11" s="20">
        <f>IF([@COMPONENT_ID]="","",IF([@USED_IN_TRN_LINES]+[@USED_IN_PKG_LINES]=0,0,COUNTA(T_COMMERCIAL_SCENARIO[COMMERCIAL_SCENARIO_ID])))</f>
        <v/>
      </c>
      <c r="J11" s="20">
        <f>IF([@COMPONENT_ID]="","",COUNTIF(T_SHIPMENT_LINE[COMPONENT_ID],[@COMPONENT_ID]))</f>
        <v/>
      </c>
      <c r="K11" s="20">
        <f>IF([@COMPONENT_ID]="","",[@USED_IN_PKG_LINES]*2+[@USED_IN_TRN_LINES]*3+[@AFFECTED_SHIPMENTS]*5)</f>
        <v/>
      </c>
      <c r="L11" s="20">
        <f>IF([@COMPONENT_ID]="","",IF([@IMPACT_SCORE]&gt;=20,"HIGH",IF([@IMPACT_SCORE]&gt;=5,"MEDIUM","LOW")))</f>
        <v/>
      </c>
    </row>
    <row r="12">
      <c r="A12" s="20" t="n">
        <v>11</v>
      </c>
      <c r="B12" s="20">
        <f>IFERROR(INDEX(T_COMPONENT[COMPONENT_ID],[@ROW_INDEX]),"")</f>
        <v/>
      </c>
      <c r="C12" s="20">
        <f>IFERROR(INDEX(T_COMPONENT[COMPONENT_CODE],[@ROW_INDEX]),"")</f>
        <v/>
      </c>
      <c r="D12" s="20">
        <f>IFERROR(INDEX(T_COMPONENT[WEIGHT_G],[@ROW_INDEX]),"")</f>
        <v/>
      </c>
      <c r="E12" s="20">
        <f>IF([@COMPONENT_ID]="","",COUNTIF(T_PACKAGING_CONFIGURATION_LINE[COMPONENT_ID],[@COMPONENT_ID]))</f>
        <v/>
      </c>
      <c r="F12" s="20">
        <f>IF([@COMPONENT_ID]="","",COUNTIF(T_TRANSPORT_CONFIGURATION_LINE[COMPONENT_ID],[@COMPONENT_ID]))</f>
        <v/>
      </c>
      <c r="G12" s="20">
        <f>IF([@COMPONENT_ID]="","",[@USED_IN_PKG_LINES])</f>
        <v/>
      </c>
      <c r="H12" s="20">
        <f>IF([@COMPONENT_ID]="","",[@USED_IN_TRN_LINES])</f>
        <v/>
      </c>
      <c r="I12" s="20">
        <f>IF([@COMPONENT_ID]="","",IF([@USED_IN_TRN_LINES]+[@USED_IN_PKG_LINES]=0,0,COUNTA(T_COMMERCIAL_SCENARIO[COMMERCIAL_SCENARIO_ID])))</f>
        <v/>
      </c>
      <c r="J12" s="20">
        <f>IF([@COMPONENT_ID]="","",COUNTIF(T_SHIPMENT_LINE[COMPONENT_ID],[@COMPONENT_ID]))</f>
        <v/>
      </c>
      <c r="K12" s="20">
        <f>IF([@COMPONENT_ID]="","",[@USED_IN_PKG_LINES]*2+[@USED_IN_TRN_LINES]*3+[@AFFECTED_SHIPMENTS]*5)</f>
        <v/>
      </c>
      <c r="L12" s="20">
        <f>IF([@COMPONENT_ID]="","",IF([@IMPACT_SCORE]&gt;=20,"HIGH",IF([@IMPACT_SCORE]&gt;=5,"MEDIUM","LOW")))</f>
        <v/>
      </c>
    </row>
    <row r="13">
      <c r="A13" s="20" t="n">
        <v>12</v>
      </c>
      <c r="B13" s="20">
        <f>IFERROR(INDEX(T_COMPONENT[COMPONENT_ID],[@ROW_INDEX]),"")</f>
        <v/>
      </c>
      <c r="C13" s="20">
        <f>IFERROR(INDEX(T_COMPONENT[COMPONENT_CODE],[@ROW_INDEX]),"")</f>
        <v/>
      </c>
      <c r="D13" s="20">
        <f>IFERROR(INDEX(T_COMPONENT[WEIGHT_G],[@ROW_INDEX]),"")</f>
        <v/>
      </c>
      <c r="E13" s="20">
        <f>IF([@COMPONENT_ID]="","",COUNTIF(T_PACKAGING_CONFIGURATION_LINE[COMPONENT_ID],[@COMPONENT_ID]))</f>
        <v/>
      </c>
      <c r="F13" s="20">
        <f>IF([@COMPONENT_ID]="","",COUNTIF(T_TRANSPORT_CONFIGURATION_LINE[COMPONENT_ID],[@COMPONENT_ID]))</f>
        <v/>
      </c>
      <c r="G13" s="20">
        <f>IF([@COMPONENT_ID]="","",[@USED_IN_PKG_LINES])</f>
        <v/>
      </c>
      <c r="H13" s="20">
        <f>IF([@COMPONENT_ID]="","",[@USED_IN_TRN_LINES])</f>
        <v/>
      </c>
      <c r="I13" s="20">
        <f>IF([@COMPONENT_ID]="","",IF([@USED_IN_TRN_LINES]+[@USED_IN_PKG_LINES]=0,0,COUNTA(T_COMMERCIAL_SCENARIO[COMMERCIAL_SCENARIO_ID])))</f>
        <v/>
      </c>
      <c r="J13" s="20">
        <f>IF([@COMPONENT_ID]="","",COUNTIF(T_SHIPMENT_LINE[COMPONENT_ID],[@COMPONENT_ID]))</f>
        <v/>
      </c>
      <c r="K13" s="20">
        <f>IF([@COMPONENT_ID]="","",[@USED_IN_PKG_LINES]*2+[@USED_IN_TRN_LINES]*3+[@AFFECTED_SHIPMENTS]*5)</f>
        <v/>
      </c>
      <c r="L13" s="20">
        <f>IF([@COMPONENT_ID]="","",IF([@IMPACT_SCORE]&gt;=20,"HIGH",IF([@IMPACT_SCORE]&gt;=5,"MEDIUM","LOW")))</f>
        <v/>
      </c>
    </row>
    <row r="14">
      <c r="A14" s="20" t="n">
        <v>13</v>
      </c>
      <c r="B14" s="20">
        <f>IFERROR(INDEX(T_COMPONENT[COMPONENT_ID],[@ROW_INDEX]),"")</f>
        <v/>
      </c>
      <c r="C14" s="20">
        <f>IFERROR(INDEX(T_COMPONENT[COMPONENT_CODE],[@ROW_INDEX]),"")</f>
        <v/>
      </c>
      <c r="D14" s="20">
        <f>IFERROR(INDEX(T_COMPONENT[WEIGHT_G],[@ROW_INDEX]),"")</f>
        <v/>
      </c>
      <c r="E14" s="20">
        <f>IF([@COMPONENT_ID]="","",COUNTIF(T_PACKAGING_CONFIGURATION_LINE[COMPONENT_ID],[@COMPONENT_ID]))</f>
        <v/>
      </c>
      <c r="F14" s="20">
        <f>IF([@COMPONENT_ID]="","",COUNTIF(T_TRANSPORT_CONFIGURATION_LINE[COMPONENT_ID],[@COMPONENT_ID]))</f>
        <v/>
      </c>
      <c r="G14" s="20">
        <f>IF([@COMPONENT_ID]="","",[@USED_IN_PKG_LINES])</f>
        <v/>
      </c>
      <c r="H14" s="20">
        <f>IF([@COMPONENT_ID]="","",[@USED_IN_TRN_LINES])</f>
        <v/>
      </c>
      <c r="I14" s="20">
        <f>IF([@COMPONENT_ID]="","",IF([@USED_IN_TRN_LINES]+[@USED_IN_PKG_LINES]=0,0,COUNTA(T_COMMERCIAL_SCENARIO[COMMERCIAL_SCENARIO_ID])))</f>
        <v/>
      </c>
      <c r="J14" s="20">
        <f>IF([@COMPONENT_ID]="","",COUNTIF(T_SHIPMENT_LINE[COMPONENT_ID],[@COMPONENT_ID]))</f>
        <v/>
      </c>
      <c r="K14" s="20">
        <f>IF([@COMPONENT_ID]="","",[@USED_IN_PKG_LINES]*2+[@USED_IN_TRN_LINES]*3+[@AFFECTED_SHIPMENTS]*5)</f>
        <v/>
      </c>
      <c r="L14" s="20">
        <f>IF([@COMPONENT_ID]="","",IF([@IMPACT_SCORE]&gt;=20,"HIGH",IF([@IMPACT_SCORE]&gt;=5,"MEDIUM","LOW")))</f>
        <v/>
      </c>
    </row>
    <row r="15">
      <c r="A15" s="20" t="n">
        <v>14</v>
      </c>
      <c r="B15" s="20">
        <f>IFERROR(INDEX(T_COMPONENT[COMPONENT_ID],[@ROW_INDEX]),"")</f>
        <v/>
      </c>
      <c r="C15" s="20">
        <f>IFERROR(INDEX(T_COMPONENT[COMPONENT_CODE],[@ROW_INDEX]),"")</f>
        <v/>
      </c>
      <c r="D15" s="20">
        <f>IFERROR(INDEX(T_COMPONENT[WEIGHT_G],[@ROW_INDEX]),"")</f>
        <v/>
      </c>
      <c r="E15" s="20">
        <f>IF([@COMPONENT_ID]="","",COUNTIF(T_PACKAGING_CONFIGURATION_LINE[COMPONENT_ID],[@COMPONENT_ID]))</f>
        <v/>
      </c>
      <c r="F15" s="20">
        <f>IF([@COMPONENT_ID]="","",COUNTIF(T_TRANSPORT_CONFIGURATION_LINE[COMPONENT_ID],[@COMPONENT_ID]))</f>
        <v/>
      </c>
      <c r="G15" s="20">
        <f>IF([@COMPONENT_ID]="","",[@USED_IN_PKG_LINES])</f>
        <v/>
      </c>
      <c r="H15" s="20">
        <f>IF([@COMPONENT_ID]="","",[@USED_IN_TRN_LINES])</f>
        <v/>
      </c>
      <c r="I15" s="20">
        <f>IF([@COMPONENT_ID]="","",IF([@USED_IN_TRN_LINES]+[@USED_IN_PKG_LINES]=0,0,COUNTA(T_COMMERCIAL_SCENARIO[COMMERCIAL_SCENARIO_ID])))</f>
        <v/>
      </c>
      <c r="J15" s="20">
        <f>IF([@COMPONENT_ID]="","",COUNTIF(T_SHIPMENT_LINE[COMPONENT_ID],[@COMPONENT_ID]))</f>
        <v/>
      </c>
      <c r="K15" s="20">
        <f>IF([@COMPONENT_ID]="","",[@USED_IN_PKG_LINES]*2+[@USED_IN_TRN_LINES]*3+[@AFFECTED_SHIPMENTS]*5)</f>
        <v/>
      </c>
      <c r="L15" s="20">
        <f>IF([@COMPONENT_ID]="","",IF([@IMPACT_SCORE]&gt;=20,"HIGH",IF([@IMPACT_SCORE]&gt;=5,"MEDIUM","LOW")))</f>
        <v/>
      </c>
    </row>
    <row r="16">
      <c r="A16" s="20" t="n">
        <v>15</v>
      </c>
      <c r="B16" s="20">
        <f>IFERROR(INDEX(T_COMPONENT[COMPONENT_ID],[@ROW_INDEX]),"")</f>
        <v/>
      </c>
      <c r="C16" s="20">
        <f>IFERROR(INDEX(T_COMPONENT[COMPONENT_CODE],[@ROW_INDEX]),"")</f>
        <v/>
      </c>
      <c r="D16" s="20">
        <f>IFERROR(INDEX(T_COMPONENT[WEIGHT_G],[@ROW_INDEX]),"")</f>
        <v/>
      </c>
      <c r="E16" s="20">
        <f>IF([@COMPONENT_ID]="","",COUNTIF(T_PACKAGING_CONFIGURATION_LINE[COMPONENT_ID],[@COMPONENT_ID]))</f>
        <v/>
      </c>
      <c r="F16" s="20">
        <f>IF([@COMPONENT_ID]="","",COUNTIF(T_TRANSPORT_CONFIGURATION_LINE[COMPONENT_ID],[@COMPONENT_ID]))</f>
        <v/>
      </c>
      <c r="G16" s="20">
        <f>IF([@COMPONENT_ID]="","",[@USED_IN_PKG_LINES])</f>
        <v/>
      </c>
      <c r="H16" s="20">
        <f>IF([@COMPONENT_ID]="","",[@USED_IN_TRN_LINES])</f>
        <v/>
      </c>
      <c r="I16" s="20">
        <f>IF([@COMPONENT_ID]="","",IF([@USED_IN_TRN_LINES]+[@USED_IN_PKG_LINES]=0,0,COUNTA(T_COMMERCIAL_SCENARIO[COMMERCIAL_SCENARIO_ID])))</f>
        <v/>
      </c>
      <c r="J16" s="20">
        <f>IF([@COMPONENT_ID]="","",COUNTIF(T_SHIPMENT_LINE[COMPONENT_ID],[@COMPONENT_ID]))</f>
        <v/>
      </c>
      <c r="K16" s="20">
        <f>IF([@COMPONENT_ID]="","",[@USED_IN_PKG_LINES]*2+[@USED_IN_TRN_LINES]*3+[@AFFECTED_SHIPMENTS]*5)</f>
        <v/>
      </c>
      <c r="L16" s="20">
        <f>IF([@COMPONENT_ID]="","",IF([@IMPACT_SCORE]&gt;=20,"HIGH",IF([@IMPACT_SCORE]&gt;=5,"MEDIUM","LOW")))</f>
        <v/>
      </c>
    </row>
    <row r="17">
      <c r="A17" s="20" t="n">
        <v>16</v>
      </c>
      <c r="B17" s="20">
        <f>IFERROR(INDEX(T_COMPONENT[COMPONENT_ID],[@ROW_INDEX]),"")</f>
        <v/>
      </c>
      <c r="C17" s="20">
        <f>IFERROR(INDEX(T_COMPONENT[COMPONENT_CODE],[@ROW_INDEX]),"")</f>
        <v/>
      </c>
      <c r="D17" s="20">
        <f>IFERROR(INDEX(T_COMPONENT[WEIGHT_G],[@ROW_INDEX]),"")</f>
        <v/>
      </c>
      <c r="E17" s="20">
        <f>IF([@COMPONENT_ID]="","",COUNTIF(T_PACKAGING_CONFIGURATION_LINE[COMPONENT_ID],[@COMPONENT_ID]))</f>
        <v/>
      </c>
      <c r="F17" s="20">
        <f>IF([@COMPONENT_ID]="","",COUNTIF(T_TRANSPORT_CONFIGURATION_LINE[COMPONENT_ID],[@COMPONENT_ID]))</f>
        <v/>
      </c>
      <c r="G17" s="20">
        <f>IF([@COMPONENT_ID]="","",[@USED_IN_PKG_LINES])</f>
        <v/>
      </c>
      <c r="H17" s="20">
        <f>IF([@COMPONENT_ID]="","",[@USED_IN_TRN_LINES])</f>
        <v/>
      </c>
      <c r="I17" s="20">
        <f>IF([@COMPONENT_ID]="","",IF([@USED_IN_TRN_LINES]+[@USED_IN_PKG_LINES]=0,0,COUNTA(T_COMMERCIAL_SCENARIO[COMMERCIAL_SCENARIO_ID])))</f>
        <v/>
      </c>
      <c r="J17" s="20">
        <f>IF([@COMPONENT_ID]="","",COUNTIF(T_SHIPMENT_LINE[COMPONENT_ID],[@COMPONENT_ID]))</f>
        <v/>
      </c>
      <c r="K17" s="20">
        <f>IF([@COMPONENT_ID]="","",[@USED_IN_PKG_LINES]*2+[@USED_IN_TRN_LINES]*3+[@AFFECTED_SHIPMENTS]*5)</f>
        <v/>
      </c>
      <c r="L17" s="20">
        <f>IF([@COMPONENT_ID]="","",IF([@IMPACT_SCORE]&gt;=20,"HIGH",IF([@IMPACT_SCORE]&gt;=5,"MEDIUM","LOW")))</f>
        <v/>
      </c>
    </row>
    <row r="18">
      <c r="A18" s="20" t="n">
        <v>17</v>
      </c>
      <c r="B18" s="20">
        <f>IFERROR(INDEX(T_COMPONENT[COMPONENT_ID],[@ROW_INDEX]),"")</f>
        <v/>
      </c>
      <c r="C18" s="20">
        <f>IFERROR(INDEX(T_COMPONENT[COMPONENT_CODE],[@ROW_INDEX]),"")</f>
        <v/>
      </c>
      <c r="D18" s="20">
        <f>IFERROR(INDEX(T_COMPONENT[WEIGHT_G],[@ROW_INDEX]),"")</f>
        <v/>
      </c>
      <c r="E18" s="20">
        <f>IF([@COMPONENT_ID]="","",COUNTIF(T_PACKAGING_CONFIGURATION_LINE[COMPONENT_ID],[@COMPONENT_ID]))</f>
        <v/>
      </c>
      <c r="F18" s="20">
        <f>IF([@COMPONENT_ID]="","",COUNTIF(T_TRANSPORT_CONFIGURATION_LINE[COMPONENT_ID],[@COMPONENT_ID]))</f>
        <v/>
      </c>
      <c r="G18" s="20">
        <f>IF([@COMPONENT_ID]="","",[@USED_IN_PKG_LINES])</f>
        <v/>
      </c>
      <c r="H18" s="20">
        <f>IF([@COMPONENT_ID]="","",[@USED_IN_TRN_LINES])</f>
        <v/>
      </c>
      <c r="I18" s="20">
        <f>IF([@COMPONENT_ID]="","",IF([@USED_IN_TRN_LINES]+[@USED_IN_PKG_LINES]=0,0,COUNTA(T_COMMERCIAL_SCENARIO[COMMERCIAL_SCENARIO_ID])))</f>
        <v/>
      </c>
      <c r="J18" s="20">
        <f>IF([@COMPONENT_ID]="","",COUNTIF(T_SHIPMENT_LINE[COMPONENT_ID],[@COMPONENT_ID]))</f>
        <v/>
      </c>
      <c r="K18" s="20">
        <f>IF([@COMPONENT_ID]="","",[@USED_IN_PKG_LINES]*2+[@USED_IN_TRN_LINES]*3+[@AFFECTED_SHIPMENTS]*5)</f>
        <v/>
      </c>
      <c r="L18" s="20">
        <f>IF([@COMPONENT_ID]="","",IF([@IMPACT_SCORE]&gt;=20,"HIGH",IF([@IMPACT_SCORE]&gt;=5,"MEDIUM","LOW")))</f>
        <v/>
      </c>
    </row>
    <row r="19">
      <c r="A19" s="20" t="n">
        <v>18</v>
      </c>
      <c r="B19" s="20">
        <f>IFERROR(INDEX(T_COMPONENT[COMPONENT_ID],[@ROW_INDEX]),"")</f>
        <v/>
      </c>
      <c r="C19" s="20">
        <f>IFERROR(INDEX(T_COMPONENT[COMPONENT_CODE],[@ROW_INDEX]),"")</f>
        <v/>
      </c>
      <c r="D19" s="20">
        <f>IFERROR(INDEX(T_COMPONENT[WEIGHT_G],[@ROW_INDEX]),"")</f>
        <v/>
      </c>
      <c r="E19" s="20">
        <f>IF([@COMPONENT_ID]="","",COUNTIF(T_PACKAGING_CONFIGURATION_LINE[COMPONENT_ID],[@COMPONENT_ID]))</f>
        <v/>
      </c>
      <c r="F19" s="20">
        <f>IF([@COMPONENT_ID]="","",COUNTIF(T_TRANSPORT_CONFIGURATION_LINE[COMPONENT_ID],[@COMPONENT_ID]))</f>
        <v/>
      </c>
      <c r="G19" s="20">
        <f>IF([@COMPONENT_ID]="","",[@USED_IN_PKG_LINES])</f>
        <v/>
      </c>
      <c r="H19" s="20">
        <f>IF([@COMPONENT_ID]="","",[@USED_IN_TRN_LINES])</f>
        <v/>
      </c>
      <c r="I19" s="20">
        <f>IF([@COMPONENT_ID]="","",IF([@USED_IN_TRN_LINES]+[@USED_IN_PKG_LINES]=0,0,COUNTA(T_COMMERCIAL_SCENARIO[COMMERCIAL_SCENARIO_ID])))</f>
        <v/>
      </c>
      <c r="J19" s="20">
        <f>IF([@COMPONENT_ID]="","",COUNTIF(T_SHIPMENT_LINE[COMPONENT_ID],[@COMPONENT_ID]))</f>
        <v/>
      </c>
      <c r="K19" s="20">
        <f>IF([@COMPONENT_ID]="","",[@USED_IN_PKG_LINES]*2+[@USED_IN_TRN_LINES]*3+[@AFFECTED_SHIPMENTS]*5)</f>
        <v/>
      </c>
      <c r="L19" s="20">
        <f>IF([@COMPONENT_ID]="","",IF([@IMPACT_SCORE]&gt;=20,"HIGH",IF([@IMPACT_SCORE]&gt;=5,"MEDIUM","LOW")))</f>
        <v/>
      </c>
    </row>
    <row r="20">
      <c r="A20" s="20" t="n">
        <v>19</v>
      </c>
      <c r="B20" s="20">
        <f>IFERROR(INDEX(T_COMPONENT[COMPONENT_ID],[@ROW_INDEX]),"")</f>
        <v/>
      </c>
      <c r="C20" s="20">
        <f>IFERROR(INDEX(T_COMPONENT[COMPONENT_CODE],[@ROW_INDEX]),"")</f>
        <v/>
      </c>
      <c r="D20" s="20">
        <f>IFERROR(INDEX(T_COMPONENT[WEIGHT_G],[@ROW_INDEX]),"")</f>
        <v/>
      </c>
      <c r="E20" s="20">
        <f>IF([@COMPONENT_ID]="","",COUNTIF(T_PACKAGING_CONFIGURATION_LINE[COMPONENT_ID],[@COMPONENT_ID]))</f>
        <v/>
      </c>
      <c r="F20" s="20">
        <f>IF([@COMPONENT_ID]="","",COUNTIF(T_TRANSPORT_CONFIGURATION_LINE[COMPONENT_ID],[@COMPONENT_ID]))</f>
        <v/>
      </c>
      <c r="G20" s="20">
        <f>IF([@COMPONENT_ID]="","",[@USED_IN_PKG_LINES])</f>
        <v/>
      </c>
      <c r="H20" s="20">
        <f>IF([@COMPONENT_ID]="","",[@USED_IN_TRN_LINES])</f>
        <v/>
      </c>
      <c r="I20" s="20">
        <f>IF([@COMPONENT_ID]="","",IF([@USED_IN_TRN_LINES]+[@USED_IN_PKG_LINES]=0,0,COUNTA(T_COMMERCIAL_SCENARIO[COMMERCIAL_SCENARIO_ID])))</f>
        <v/>
      </c>
      <c r="J20" s="20">
        <f>IF([@COMPONENT_ID]="","",COUNTIF(T_SHIPMENT_LINE[COMPONENT_ID],[@COMPONENT_ID]))</f>
        <v/>
      </c>
      <c r="K20" s="20">
        <f>IF([@COMPONENT_ID]="","",[@USED_IN_PKG_LINES]*2+[@USED_IN_TRN_LINES]*3+[@AFFECTED_SHIPMENTS]*5)</f>
        <v/>
      </c>
      <c r="L20" s="20">
        <f>IF([@COMPONENT_ID]="","",IF([@IMPACT_SCORE]&gt;=20,"HIGH",IF([@IMPACT_SCORE]&gt;=5,"MEDIUM","LOW")))</f>
        <v/>
      </c>
    </row>
    <row r="21">
      <c r="A21" s="20" t="n">
        <v>20</v>
      </c>
      <c r="B21" s="20">
        <f>IFERROR(INDEX(T_COMPONENT[COMPONENT_ID],[@ROW_INDEX]),"")</f>
        <v/>
      </c>
      <c r="C21" s="20">
        <f>IFERROR(INDEX(T_COMPONENT[COMPONENT_CODE],[@ROW_INDEX]),"")</f>
        <v/>
      </c>
      <c r="D21" s="20">
        <f>IFERROR(INDEX(T_COMPONENT[WEIGHT_G],[@ROW_INDEX]),"")</f>
        <v/>
      </c>
      <c r="E21" s="20">
        <f>IF([@COMPONENT_ID]="","",COUNTIF(T_PACKAGING_CONFIGURATION_LINE[COMPONENT_ID],[@COMPONENT_ID]))</f>
        <v/>
      </c>
      <c r="F21" s="20">
        <f>IF([@COMPONENT_ID]="","",COUNTIF(T_TRANSPORT_CONFIGURATION_LINE[COMPONENT_ID],[@COMPONENT_ID]))</f>
        <v/>
      </c>
      <c r="G21" s="20">
        <f>IF([@COMPONENT_ID]="","",[@USED_IN_PKG_LINES])</f>
        <v/>
      </c>
      <c r="H21" s="20">
        <f>IF([@COMPONENT_ID]="","",[@USED_IN_TRN_LINES])</f>
        <v/>
      </c>
      <c r="I21" s="20">
        <f>IF([@COMPONENT_ID]="","",IF([@USED_IN_TRN_LINES]+[@USED_IN_PKG_LINES]=0,0,COUNTA(T_COMMERCIAL_SCENARIO[COMMERCIAL_SCENARIO_ID])))</f>
        <v/>
      </c>
      <c r="J21" s="20">
        <f>IF([@COMPONENT_ID]="","",COUNTIF(T_SHIPMENT_LINE[COMPONENT_ID],[@COMPONENT_ID]))</f>
        <v/>
      </c>
      <c r="K21" s="20">
        <f>IF([@COMPONENT_ID]="","",[@USED_IN_PKG_LINES]*2+[@USED_IN_TRN_LINES]*3+[@AFFECTED_SHIPMENTS]*5)</f>
        <v/>
      </c>
      <c r="L21" s="20">
        <f>IF([@COMPONENT_ID]="","",IF([@IMPACT_SCORE]&gt;=20,"HIGH",IF([@IMPACT_SCORE]&gt;=5,"MEDIUM","LOW")))</f>
        <v/>
      </c>
    </row>
    <row r="22">
      <c r="A22" s="20" t="n">
        <v>21</v>
      </c>
      <c r="B22" s="20">
        <f>IFERROR(INDEX(T_COMPONENT[COMPONENT_ID],[@ROW_INDEX]),"")</f>
        <v/>
      </c>
      <c r="C22" s="20">
        <f>IFERROR(INDEX(T_COMPONENT[COMPONENT_CODE],[@ROW_INDEX]),"")</f>
        <v/>
      </c>
      <c r="D22" s="20">
        <f>IFERROR(INDEX(T_COMPONENT[WEIGHT_G],[@ROW_INDEX]),"")</f>
        <v/>
      </c>
      <c r="E22" s="20">
        <f>IF([@COMPONENT_ID]="","",COUNTIF(T_PACKAGING_CONFIGURATION_LINE[COMPONENT_ID],[@COMPONENT_ID]))</f>
        <v/>
      </c>
      <c r="F22" s="20">
        <f>IF([@COMPONENT_ID]="","",COUNTIF(T_TRANSPORT_CONFIGURATION_LINE[COMPONENT_ID],[@COMPONENT_ID]))</f>
        <v/>
      </c>
      <c r="G22" s="20">
        <f>IF([@COMPONENT_ID]="","",[@USED_IN_PKG_LINES])</f>
        <v/>
      </c>
      <c r="H22" s="20">
        <f>IF([@COMPONENT_ID]="","",[@USED_IN_TRN_LINES])</f>
        <v/>
      </c>
      <c r="I22" s="20">
        <f>IF([@COMPONENT_ID]="","",IF([@USED_IN_TRN_LINES]+[@USED_IN_PKG_LINES]=0,0,COUNTA(T_COMMERCIAL_SCENARIO[COMMERCIAL_SCENARIO_ID])))</f>
        <v/>
      </c>
      <c r="J22" s="20">
        <f>IF([@COMPONENT_ID]="","",COUNTIF(T_SHIPMENT_LINE[COMPONENT_ID],[@COMPONENT_ID]))</f>
        <v/>
      </c>
      <c r="K22" s="20">
        <f>IF([@COMPONENT_ID]="","",[@USED_IN_PKG_LINES]*2+[@USED_IN_TRN_LINES]*3+[@AFFECTED_SHIPMENTS]*5)</f>
        <v/>
      </c>
      <c r="L22" s="20">
        <f>IF([@COMPONENT_ID]="","",IF([@IMPACT_SCORE]&gt;=20,"HIGH",IF([@IMPACT_SCORE]&gt;=5,"MEDIUM","LOW")))</f>
        <v/>
      </c>
    </row>
    <row r="23">
      <c r="A23" s="20" t="n">
        <v>22</v>
      </c>
      <c r="B23" s="20">
        <f>IFERROR(INDEX(T_COMPONENT[COMPONENT_ID],[@ROW_INDEX]),"")</f>
        <v/>
      </c>
      <c r="C23" s="20">
        <f>IFERROR(INDEX(T_COMPONENT[COMPONENT_CODE],[@ROW_INDEX]),"")</f>
        <v/>
      </c>
      <c r="D23" s="20">
        <f>IFERROR(INDEX(T_COMPONENT[WEIGHT_G],[@ROW_INDEX]),"")</f>
        <v/>
      </c>
      <c r="E23" s="20">
        <f>IF([@COMPONENT_ID]="","",COUNTIF(T_PACKAGING_CONFIGURATION_LINE[COMPONENT_ID],[@COMPONENT_ID]))</f>
        <v/>
      </c>
      <c r="F23" s="20">
        <f>IF([@COMPONENT_ID]="","",COUNTIF(T_TRANSPORT_CONFIGURATION_LINE[COMPONENT_ID],[@COMPONENT_ID]))</f>
        <v/>
      </c>
      <c r="G23" s="20">
        <f>IF([@COMPONENT_ID]="","",[@USED_IN_PKG_LINES])</f>
        <v/>
      </c>
      <c r="H23" s="20">
        <f>IF([@COMPONENT_ID]="","",[@USED_IN_TRN_LINES])</f>
        <v/>
      </c>
      <c r="I23" s="20">
        <f>IF([@COMPONENT_ID]="","",IF([@USED_IN_TRN_LINES]+[@USED_IN_PKG_LINES]=0,0,COUNTA(T_COMMERCIAL_SCENARIO[COMMERCIAL_SCENARIO_ID])))</f>
        <v/>
      </c>
      <c r="J23" s="20">
        <f>IF([@COMPONENT_ID]="","",COUNTIF(T_SHIPMENT_LINE[COMPONENT_ID],[@COMPONENT_ID]))</f>
        <v/>
      </c>
      <c r="K23" s="20">
        <f>IF([@COMPONENT_ID]="","",[@USED_IN_PKG_LINES]*2+[@USED_IN_TRN_LINES]*3+[@AFFECTED_SHIPMENTS]*5)</f>
        <v/>
      </c>
      <c r="L23" s="20">
        <f>IF([@COMPONENT_ID]="","",IF([@IMPACT_SCORE]&gt;=20,"HIGH",IF([@IMPACT_SCORE]&gt;=5,"MEDIUM","LOW")))</f>
        <v/>
      </c>
    </row>
    <row r="24">
      <c r="A24" s="20" t="n">
        <v>23</v>
      </c>
      <c r="B24" s="20">
        <f>IFERROR(INDEX(T_COMPONENT[COMPONENT_ID],[@ROW_INDEX]),"")</f>
        <v/>
      </c>
      <c r="C24" s="20">
        <f>IFERROR(INDEX(T_COMPONENT[COMPONENT_CODE],[@ROW_INDEX]),"")</f>
        <v/>
      </c>
      <c r="D24" s="20">
        <f>IFERROR(INDEX(T_COMPONENT[WEIGHT_G],[@ROW_INDEX]),"")</f>
        <v/>
      </c>
      <c r="E24" s="20">
        <f>IF([@COMPONENT_ID]="","",COUNTIF(T_PACKAGING_CONFIGURATION_LINE[COMPONENT_ID],[@COMPONENT_ID]))</f>
        <v/>
      </c>
      <c r="F24" s="20">
        <f>IF([@COMPONENT_ID]="","",COUNTIF(T_TRANSPORT_CONFIGURATION_LINE[COMPONENT_ID],[@COMPONENT_ID]))</f>
        <v/>
      </c>
      <c r="G24" s="20">
        <f>IF([@COMPONENT_ID]="","",[@USED_IN_PKG_LINES])</f>
        <v/>
      </c>
      <c r="H24" s="20">
        <f>IF([@COMPONENT_ID]="","",[@USED_IN_TRN_LINES])</f>
        <v/>
      </c>
      <c r="I24" s="20">
        <f>IF([@COMPONENT_ID]="","",IF([@USED_IN_TRN_LINES]+[@USED_IN_PKG_LINES]=0,0,COUNTA(T_COMMERCIAL_SCENARIO[COMMERCIAL_SCENARIO_ID])))</f>
        <v/>
      </c>
      <c r="J24" s="20">
        <f>IF([@COMPONENT_ID]="","",COUNTIF(T_SHIPMENT_LINE[COMPONENT_ID],[@COMPONENT_ID]))</f>
        <v/>
      </c>
      <c r="K24" s="20">
        <f>IF([@COMPONENT_ID]="","",[@USED_IN_PKG_LINES]*2+[@USED_IN_TRN_LINES]*3+[@AFFECTED_SHIPMENTS]*5)</f>
        <v/>
      </c>
      <c r="L24" s="20">
        <f>IF([@COMPONENT_ID]="","",IF([@IMPACT_SCORE]&gt;=20,"HIGH",IF([@IMPACT_SCORE]&gt;=5,"MEDIUM","LOW")))</f>
        <v/>
      </c>
    </row>
    <row r="25">
      <c r="A25" s="20" t="n">
        <v>24</v>
      </c>
      <c r="B25" s="20">
        <f>IFERROR(INDEX(T_COMPONENT[COMPONENT_ID],[@ROW_INDEX]),"")</f>
        <v/>
      </c>
      <c r="C25" s="20">
        <f>IFERROR(INDEX(T_COMPONENT[COMPONENT_CODE],[@ROW_INDEX]),"")</f>
        <v/>
      </c>
      <c r="D25" s="20">
        <f>IFERROR(INDEX(T_COMPONENT[WEIGHT_G],[@ROW_INDEX]),"")</f>
        <v/>
      </c>
      <c r="E25" s="20">
        <f>IF([@COMPONENT_ID]="","",COUNTIF(T_PACKAGING_CONFIGURATION_LINE[COMPONENT_ID],[@COMPONENT_ID]))</f>
        <v/>
      </c>
      <c r="F25" s="20">
        <f>IF([@COMPONENT_ID]="","",COUNTIF(T_TRANSPORT_CONFIGURATION_LINE[COMPONENT_ID],[@COMPONENT_ID]))</f>
        <v/>
      </c>
      <c r="G25" s="20">
        <f>IF([@COMPONENT_ID]="","",[@USED_IN_PKG_LINES])</f>
        <v/>
      </c>
      <c r="H25" s="20">
        <f>IF([@COMPONENT_ID]="","",[@USED_IN_TRN_LINES])</f>
        <v/>
      </c>
      <c r="I25" s="20">
        <f>IF([@COMPONENT_ID]="","",IF([@USED_IN_TRN_LINES]+[@USED_IN_PKG_LINES]=0,0,COUNTA(T_COMMERCIAL_SCENARIO[COMMERCIAL_SCENARIO_ID])))</f>
        <v/>
      </c>
      <c r="J25" s="20">
        <f>IF([@COMPONENT_ID]="","",COUNTIF(T_SHIPMENT_LINE[COMPONENT_ID],[@COMPONENT_ID]))</f>
        <v/>
      </c>
      <c r="K25" s="20">
        <f>IF([@COMPONENT_ID]="","",[@USED_IN_PKG_LINES]*2+[@USED_IN_TRN_LINES]*3+[@AFFECTED_SHIPMENTS]*5)</f>
        <v/>
      </c>
      <c r="L25" s="20">
        <f>IF([@COMPONENT_ID]="","",IF([@IMPACT_SCORE]&gt;=20,"HIGH",IF([@IMPACT_SCORE]&gt;=5,"MEDIUM","LOW")))</f>
        <v/>
      </c>
    </row>
    <row r="26">
      <c r="A26" s="20" t="n">
        <v>25</v>
      </c>
      <c r="B26" s="20">
        <f>IFERROR(INDEX(T_COMPONENT[COMPONENT_ID],[@ROW_INDEX]),"")</f>
        <v/>
      </c>
      <c r="C26" s="20">
        <f>IFERROR(INDEX(T_COMPONENT[COMPONENT_CODE],[@ROW_INDEX]),"")</f>
        <v/>
      </c>
      <c r="D26" s="20">
        <f>IFERROR(INDEX(T_COMPONENT[WEIGHT_G],[@ROW_INDEX]),"")</f>
        <v/>
      </c>
      <c r="E26" s="20">
        <f>IF([@COMPONENT_ID]="","",COUNTIF(T_PACKAGING_CONFIGURATION_LINE[COMPONENT_ID],[@COMPONENT_ID]))</f>
        <v/>
      </c>
      <c r="F26" s="20">
        <f>IF([@COMPONENT_ID]="","",COUNTIF(T_TRANSPORT_CONFIGURATION_LINE[COMPONENT_ID],[@COMPONENT_ID]))</f>
        <v/>
      </c>
      <c r="G26" s="20">
        <f>IF([@COMPONENT_ID]="","",[@USED_IN_PKG_LINES])</f>
        <v/>
      </c>
      <c r="H26" s="20">
        <f>IF([@COMPONENT_ID]="","",[@USED_IN_TRN_LINES])</f>
        <v/>
      </c>
      <c r="I26" s="20">
        <f>IF([@COMPONENT_ID]="","",IF([@USED_IN_TRN_LINES]+[@USED_IN_PKG_LINES]=0,0,COUNTA(T_COMMERCIAL_SCENARIO[COMMERCIAL_SCENARIO_ID])))</f>
        <v/>
      </c>
      <c r="J26" s="20">
        <f>IF([@COMPONENT_ID]="","",COUNTIF(T_SHIPMENT_LINE[COMPONENT_ID],[@COMPONENT_ID]))</f>
        <v/>
      </c>
      <c r="K26" s="20">
        <f>IF([@COMPONENT_ID]="","",[@USED_IN_PKG_LINES]*2+[@USED_IN_TRN_LINES]*3+[@AFFECTED_SHIPMENTS]*5)</f>
        <v/>
      </c>
      <c r="L26" s="20">
        <f>IF([@COMPONENT_ID]="","",IF([@IMPACT_SCORE]&gt;=20,"HIGH",IF([@IMPACT_SCORE]&gt;=5,"MEDIUM","LOW")))</f>
        <v/>
      </c>
    </row>
    <row r="27">
      <c r="A27" s="20" t="n">
        <v>26</v>
      </c>
      <c r="B27" s="20">
        <f>IFERROR(INDEX(T_COMPONENT[COMPONENT_ID],[@ROW_INDEX]),"")</f>
        <v/>
      </c>
      <c r="C27" s="20">
        <f>IFERROR(INDEX(T_COMPONENT[COMPONENT_CODE],[@ROW_INDEX]),"")</f>
        <v/>
      </c>
      <c r="D27" s="20">
        <f>IFERROR(INDEX(T_COMPONENT[WEIGHT_G],[@ROW_INDEX]),"")</f>
        <v/>
      </c>
      <c r="E27" s="20">
        <f>IF([@COMPONENT_ID]="","",COUNTIF(T_PACKAGING_CONFIGURATION_LINE[COMPONENT_ID],[@COMPONENT_ID]))</f>
        <v/>
      </c>
      <c r="F27" s="20">
        <f>IF([@COMPONENT_ID]="","",COUNTIF(T_TRANSPORT_CONFIGURATION_LINE[COMPONENT_ID],[@COMPONENT_ID]))</f>
        <v/>
      </c>
      <c r="G27" s="20">
        <f>IF([@COMPONENT_ID]="","",[@USED_IN_PKG_LINES])</f>
        <v/>
      </c>
      <c r="H27" s="20">
        <f>IF([@COMPONENT_ID]="","",[@USED_IN_TRN_LINES])</f>
        <v/>
      </c>
      <c r="I27" s="20">
        <f>IF([@COMPONENT_ID]="","",IF([@USED_IN_TRN_LINES]+[@USED_IN_PKG_LINES]=0,0,COUNTA(T_COMMERCIAL_SCENARIO[COMMERCIAL_SCENARIO_ID])))</f>
        <v/>
      </c>
      <c r="J27" s="20">
        <f>IF([@COMPONENT_ID]="","",COUNTIF(T_SHIPMENT_LINE[COMPONENT_ID],[@COMPONENT_ID]))</f>
        <v/>
      </c>
      <c r="K27" s="20">
        <f>IF([@COMPONENT_ID]="","",[@USED_IN_PKG_LINES]*2+[@USED_IN_TRN_LINES]*3+[@AFFECTED_SHIPMENTS]*5)</f>
        <v/>
      </c>
      <c r="L27" s="20">
        <f>IF([@COMPONENT_ID]="","",IF([@IMPACT_SCORE]&gt;=20,"HIGH",IF([@IMPACT_SCORE]&gt;=5,"MEDIUM","LOW")))</f>
        <v/>
      </c>
    </row>
    <row r="28">
      <c r="A28" s="20" t="n">
        <v>27</v>
      </c>
      <c r="B28" s="20">
        <f>IFERROR(INDEX(T_COMPONENT[COMPONENT_ID],[@ROW_INDEX]),"")</f>
        <v/>
      </c>
      <c r="C28" s="20">
        <f>IFERROR(INDEX(T_COMPONENT[COMPONENT_CODE],[@ROW_INDEX]),"")</f>
        <v/>
      </c>
      <c r="D28" s="20">
        <f>IFERROR(INDEX(T_COMPONENT[WEIGHT_G],[@ROW_INDEX]),"")</f>
        <v/>
      </c>
      <c r="E28" s="20">
        <f>IF([@COMPONENT_ID]="","",COUNTIF(T_PACKAGING_CONFIGURATION_LINE[COMPONENT_ID],[@COMPONENT_ID]))</f>
        <v/>
      </c>
      <c r="F28" s="20">
        <f>IF([@COMPONENT_ID]="","",COUNTIF(T_TRANSPORT_CONFIGURATION_LINE[COMPONENT_ID],[@COMPONENT_ID]))</f>
        <v/>
      </c>
      <c r="G28" s="20">
        <f>IF([@COMPONENT_ID]="","",[@USED_IN_PKG_LINES])</f>
        <v/>
      </c>
      <c r="H28" s="20">
        <f>IF([@COMPONENT_ID]="","",[@USED_IN_TRN_LINES])</f>
        <v/>
      </c>
      <c r="I28" s="20">
        <f>IF([@COMPONENT_ID]="","",IF([@USED_IN_TRN_LINES]+[@USED_IN_PKG_LINES]=0,0,COUNTA(T_COMMERCIAL_SCENARIO[COMMERCIAL_SCENARIO_ID])))</f>
        <v/>
      </c>
      <c r="J28" s="20">
        <f>IF([@COMPONENT_ID]="","",COUNTIF(T_SHIPMENT_LINE[COMPONENT_ID],[@COMPONENT_ID]))</f>
        <v/>
      </c>
      <c r="K28" s="20">
        <f>IF([@COMPONENT_ID]="","",[@USED_IN_PKG_LINES]*2+[@USED_IN_TRN_LINES]*3+[@AFFECTED_SHIPMENTS]*5)</f>
        <v/>
      </c>
      <c r="L28" s="20">
        <f>IF([@COMPONENT_ID]="","",IF([@IMPACT_SCORE]&gt;=20,"HIGH",IF([@IMPACT_SCORE]&gt;=5,"MEDIUM","LOW")))</f>
        <v/>
      </c>
    </row>
    <row r="29">
      <c r="A29" s="20" t="n">
        <v>28</v>
      </c>
      <c r="B29" s="20">
        <f>IFERROR(INDEX(T_COMPONENT[COMPONENT_ID],[@ROW_INDEX]),"")</f>
        <v/>
      </c>
      <c r="C29" s="20">
        <f>IFERROR(INDEX(T_COMPONENT[COMPONENT_CODE],[@ROW_INDEX]),"")</f>
        <v/>
      </c>
      <c r="D29" s="20">
        <f>IFERROR(INDEX(T_COMPONENT[WEIGHT_G],[@ROW_INDEX]),"")</f>
        <v/>
      </c>
      <c r="E29" s="20">
        <f>IF([@COMPONENT_ID]="","",COUNTIF(T_PACKAGING_CONFIGURATION_LINE[COMPONENT_ID],[@COMPONENT_ID]))</f>
        <v/>
      </c>
      <c r="F29" s="20">
        <f>IF([@COMPONENT_ID]="","",COUNTIF(T_TRANSPORT_CONFIGURATION_LINE[COMPONENT_ID],[@COMPONENT_ID]))</f>
        <v/>
      </c>
      <c r="G29" s="20">
        <f>IF([@COMPONENT_ID]="","",[@USED_IN_PKG_LINES])</f>
        <v/>
      </c>
      <c r="H29" s="20">
        <f>IF([@COMPONENT_ID]="","",[@USED_IN_TRN_LINES])</f>
        <v/>
      </c>
      <c r="I29" s="20">
        <f>IF([@COMPONENT_ID]="","",IF([@USED_IN_TRN_LINES]+[@USED_IN_PKG_LINES]=0,0,COUNTA(T_COMMERCIAL_SCENARIO[COMMERCIAL_SCENARIO_ID])))</f>
        <v/>
      </c>
      <c r="J29" s="20">
        <f>IF([@COMPONENT_ID]="","",COUNTIF(T_SHIPMENT_LINE[COMPONENT_ID],[@COMPONENT_ID]))</f>
        <v/>
      </c>
      <c r="K29" s="20">
        <f>IF([@COMPONENT_ID]="","",[@USED_IN_PKG_LINES]*2+[@USED_IN_TRN_LINES]*3+[@AFFECTED_SHIPMENTS]*5)</f>
        <v/>
      </c>
      <c r="L29" s="20">
        <f>IF([@COMPONENT_ID]="","",IF([@IMPACT_SCORE]&gt;=20,"HIGH",IF([@IMPACT_SCORE]&gt;=5,"MEDIUM","LOW")))</f>
        <v/>
      </c>
    </row>
    <row r="30">
      <c r="A30" s="20" t="n">
        <v>29</v>
      </c>
      <c r="B30" s="20">
        <f>IFERROR(INDEX(T_COMPONENT[COMPONENT_ID],[@ROW_INDEX]),"")</f>
        <v/>
      </c>
      <c r="C30" s="20">
        <f>IFERROR(INDEX(T_COMPONENT[COMPONENT_CODE],[@ROW_INDEX]),"")</f>
        <v/>
      </c>
      <c r="D30" s="20">
        <f>IFERROR(INDEX(T_COMPONENT[WEIGHT_G],[@ROW_INDEX]),"")</f>
        <v/>
      </c>
      <c r="E30" s="20">
        <f>IF([@COMPONENT_ID]="","",COUNTIF(T_PACKAGING_CONFIGURATION_LINE[COMPONENT_ID],[@COMPONENT_ID]))</f>
        <v/>
      </c>
      <c r="F30" s="20">
        <f>IF([@COMPONENT_ID]="","",COUNTIF(T_TRANSPORT_CONFIGURATION_LINE[COMPONENT_ID],[@COMPONENT_ID]))</f>
        <v/>
      </c>
      <c r="G30" s="20">
        <f>IF([@COMPONENT_ID]="","",[@USED_IN_PKG_LINES])</f>
        <v/>
      </c>
      <c r="H30" s="20">
        <f>IF([@COMPONENT_ID]="","",[@USED_IN_TRN_LINES])</f>
        <v/>
      </c>
      <c r="I30" s="20">
        <f>IF([@COMPONENT_ID]="","",IF([@USED_IN_TRN_LINES]+[@USED_IN_PKG_LINES]=0,0,COUNTA(T_COMMERCIAL_SCENARIO[COMMERCIAL_SCENARIO_ID])))</f>
        <v/>
      </c>
      <c r="J30" s="20">
        <f>IF([@COMPONENT_ID]="","",COUNTIF(T_SHIPMENT_LINE[COMPONENT_ID],[@COMPONENT_ID]))</f>
        <v/>
      </c>
      <c r="K30" s="20">
        <f>IF([@COMPONENT_ID]="","",[@USED_IN_PKG_LINES]*2+[@USED_IN_TRN_LINES]*3+[@AFFECTED_SHIPMENTS]*5)</f>
        <v/>
      </c>
      <c r="L30" s="20">
        <f>IF([@COMPONENT_ID]="","",IF([@IMPACT_SCORE]&gt;=20,"HIGH",IF([@IMPACT_SCORE]&gt;=5,"MEDIUM","LOW")))</f>
        <v/>
      </c>
    </row>
    <row r="31">
      <c r="A31" s="20" t="n">
        <v>30</v>
      </c>
      <c r="B31" s="20">
        <f>IFERROR(INDEX(T_COMPONENT[COMPONENT_ID],[@ROW_INDEX]),"")</f>
        <v/>
      </c>
      <c r="C31" s="20">
        <f>IFERROR(INDEX(T_COMPONENT[COMPONENT_CODE],[@ROW_INDEX]),"")</f>
        <v/>
      </c>
      <c r="D31" s="20">
        <f>IFERROR(INDEX(T_COMPONENT[WEIGHT_G],[@ROW_INDEX]),"")</f>
        <v/>
      </c>
      <c r="E31" s="20">
        <f>IF([@COMPONENT_ID]="","",COUNTIF(T_PACKAGING_CONFIGURATION_LINE[COMPONENT_ID],[@COMPONENT_ID]))</f>
        <v/>
      </c>
      <c r="F31" s="20">
        <f>IF([@COMPONENT_ID]="","",COUNTIF(T_TRANSPORT_CONFIGURATION_LINE[COMPONENT_ID],[@COMPONENT_ID]))</f>
        <v/>
      </c>
      <c r="G31" s="20">
        <f>IF([@COMPONENT_ID]="","",[@USED_IN_PKG_LINES])</f>
        <v/>
      </c>
      <c r="H31" s="20">
        <f>IF([@COMPONENT_ID]="","",[@USED_IN_TRN_LINES])</f>
        <v/>
      </c>
      <c r="I31" s="20">
        <f>IF([@COMPONENT_ID]="","",IF([@USED_IN_TRN_LINES]+[@USED_IN_PKG_LINES]=0,0,COUNTA(T_COMMERCIAL_SCENARIO[COMMERCIAL_SCENARIO_ID])))</f>
        <v/>
      </c>
      <c r="J31" s="20">
        <f>IF([@COMPONENT_ID]="","",COUNTIF(T_SHIPMENT_LINE[COMPONENT_ID],[@COMPONENT_ID]))</f>
        <v/>
      </c>
      <c r="K31" s="20">
        <f>IF([@COMPONENT_ID]="","",[@USED_IN_PKG_LINES]*2+[@USED_IN_TRN_LINES]*3+[@AFFECTED_SHIPMENTS]*5)</f>
        <v/>
      </c>
      <c r="L31" s="20">
        <f>IF([@COMPONENT_ID]="","",IF([@IMPACT_SCORE]&gt;=20,"HIGH",IF([@IMPACT_SCORE]&gt;=5,"MEDIUM","LOW")))</f>
        <v/>
      </c>
    </row>
    <row r="32">
      <c r="A32" s="20" t="n">
        <v>31</v>
      </c>
      <c r="B32" s="20">
        <f>IFERROR(INDEX(T_COMPONENT[COMPONENT_ID],[@ROW_INDEX]),"")</f>
        <v/>
      </c>
      <c r="C32" s="20">
        <f>IFERROR(INDEX(T_COMPONENT[COMPONENT_CODE],[@ROW_INDEX]),"")</f>
        <v/>
      </c>
      <c r="D32" s="20">
        <f>IFERROR(INDEX(T_COMPONENT[WEIGHT_G],[@ROW_INDEX]),"")</f>
        <v/>
      </c>
      <c r="E32" s="20">
        <f>IF([@COMPONENT_ID]="","",COUNTIF(T_PACKAGING_CONFIGURATION_LINE[COMPONENT_ID],[@COMPONENT_ID]))</f>
        <v/>
      </c>
      <c r="F32" s="20">
        <f>IF([@COMPONENT_ID]="","",COUNTIF(T_TRANSPORT_CONFIGURATION_LINE[COMPONENT_ID],[@COMPONENT_ID]))</f>
        <v/>
      </c>
      <c r="G32" s="20">
        <f>IF([@COMPONENT_ID]="","",[@USED_IN_PKG_LINES])</f>
        <v/>
      </c>
      <c r="H32" s="20">
        <f>IF([@COMPONENT_ID]="","",[@USED_IN_TRN_LINES])</f>
        <v/>
      </c>
      <c r="I32" s="20">
        <f>IF([@COMPONENT_ID]="","",IF([@USED_IN_TRN_LINES]+[@USED_IN_PKG_LINES]=0,0,COUNTA(T_COMMERCIAL_SCENARIO[COMMERCIAL_SCENARIO_ID])))</f>
        <v/>
      </c>
      <c r="J32" s="20">
        <f>IF([@COMPONENT_ID]="","",COUNTIF(T_SHIPMENT_LINE[COMPONENT_ID],[@COMPONENT_ID]))</f>
        <v/>
      </c>
      <c r="K32" s="20">
        <f>IF([@COMPONENT_ID]="","",[@USED_IN_PKG_LINES]*2+[@USED_IN_TRN_LINES]*3+[@AFFECTED_SHIPMENTS]*5)</f>
        <v/>
      </c>
      <c r="L32" s="20">
        <f>IF([@COMPONENT_ID]="","",IF([@IMPACT_SCORE]&gt;=20,"HIGH",IF([@IMPACT_SCORE]&gt;=5,"MEDIUM","LOW")))</f>
        <v/>
      </c>
    </row>
    <row r="33">
      <c r="A33" s="20" t="n">
        <v>32</v>
      </c>
      <c r="B33" s="20">
        <f>IFERROR(INDEX(T_COMPONENT[COMPONENT_ID],[@ROW_INDEX]),"")</f>
        <v/>
      </c>
      <c r="C33" s="20">
        <f>IFERROR(INDEX(T_COMPONENT[COMPONENT_CODE],[@ROW_INDEX]),"")</f>
        <v/>
      </c>
      <c r="D33" s="20">
        <f>IFERROR(INDEX(T_COMPONENT[WEIGHT_G],[@ROW_INDEX]),"")</f>
        <v/>
      </c>
      <c r="E33" s="20">
        <f>IF([@COMPONENT_ID]="","",COUNTIF(T_PACKAGING_CONFIGURATION_LINE[COMPONENT_ID],[@COMPONENT_ID]))</f>
        <v/>
      </c>
      <c r="F33" s="20">
        <f>IF([@COMPONENT_ID]="","",COUNTIF(T_TRANSPORT_CONFIGURATION_LINE[COMPONENT_ID],[@COMPONENT_ID]))</f>
        <v/>
      </c>
      <c r="G33" s="20">
        <f>IF([@COMPONENT_ID]="","",[@USED_IN_PKG_LINES])</f>
        <v/>
      </c>
      <c r="H33" s="20">
        <f>IF([@COMPONENT_ID]="","",[@USED_IN_TRN_LINES])</f>
        <v/>
      </c>
      <c r="I33" s="20">
        <f>IF([@COMPONENT_ID]="","",IF([@USED_IN_TRN_LINES]+[@USED_IN_PKG_LINES]=0,0,COUNTA(T_COMMERCIAL_SCENARIO[COMMERCIAL_SCENARIO_ID])))</f>
        <v/>
      </c>
      <c r="J33" s="20">
        <f>IF([@COMPONENT_ID]="","",COUNTIF(T_SHIPMENT_LINE[COMPONENT_ID],[@COMPONENT_ID]))</f>
        <v/>
      </c>
      <c r="K33" s="20">
        <f>IF([@COMPONENT_ID]="","",[@USED_IN_PKG_LINES]*2+[@USED_IN_TRN_LINES]*3+[@AFFECTED_SHIPMENTS]*5)</f>
        <v/>
      </c>
      <c r="L33" s="20">
        <f>IF([@COMPONENT_ID]="","",IF([@IMPACT_SCORE]&gt;=20,"HIGH",IF([@IMPACT_SCORE]&gt;=5,"MEDIUM","LOW")))</f>
        <v/>
      </c>
    </row>
    <row r="34">
      <c r="A34" s="20" t="n">
        <v>33</v>
      </c>
      <c r="B34" s="20">
        <f>IFERROR(INDEX(T_COMPONENT[COMPONENT_ID],[@ROW_INDEX]),"")</f>
        <v/>
      </c>
      <c r="C34" s="20">
        <f>IFERROR(INDEX(T_COMPONENT[COMPONENT_CODE],[@ROW_INDEX]),"")</f>
        <v/>
      </c>
      <c r="D34" s="20">
        <f>IFERROR(INDEX(T_COMPONENT[WEIGHT_G],[@ROW_INDEX]),"")</f>
        <v/>
      </c>
      <c r="E34" s="20">
        <f>IF([@COMPONENT_ID]="","",COUNTIF(T_PACKAGING_CONFIGURATION_LINE[COMPONENT_ID],[@COMPONENT_ID]))</f>
        <v/>
      </c>
      <c r="F34" s="20">
        <f>IF([@COMPONENT_ID]="","",COUNTIF(T_TRANSPORT_CONFIGURATION_LINE[COMPONENT_ID],[@COMPONENT_ID]))</f>
        <v/>
      </c>
      <c r="G34" s="20">
        <f>IF([@COMPONENT_ID]="","",[@USED_IN_PKG_LINES])</f>
        <v/>
      </c>
      <c r="H34" s="20">
        <f>IF([@COMPONENT_ID]="","",[@USED_IN_TRN_LINES])</f>
        <v/>
      </c>
      <c r="I34" s="20">
        <f>IF([@COMPONENT_ID]="","",IF([@USED_IN_TRN_LINES]+[@USED_IN_PKG_LINES]=0,0,COUNTA(T_COMMERCIAL_SCENARIO[COMMERCIAL_SCENARIO_ID])))</f>
        <v/>
      </c>
      <c r="J34" s="20">
        <f>IF([@COMPONENT_ID]="","",COUNTIF(T_SHIPMENT_LINE[COMPONENT_ID],[@COMPONENT_ID]))</f>
        <v/>
      </c>
      <c r="K34" s="20">
        <f>IF([@COMPONENT_ID]="","",[@USED_IN_PKG_LINES]*2+[@USED_IN_TRN_LINES]*3+[@AFFECTED_SHIPMENTS]*5)</f>
        <v/>
      </c>
      <c r="L34" s="20">
        <f>IF([@COMPONENT_ID]="","",IF([@IMPACT_SCORE]&gt;=20,"HIGH",IF([@IMPACT_SCORE]&gt;=5,"MEDIUM","LOW")))</f>
        <v/>
      </c>
    </row>
    <row r="35">
      <c r="A35" s="20" t="n">
        <v>34</v>
      </c>
      <c r="B35" s="20">
        <f>IFERROR(INDEX(T_COMPONENT[COMPONENT_ID],[@ROW_INDEX]),"")</f>
        <v/>
      </c>
      <c r="C35" s="20">
        <f>IFERROR(INDEX(T_COMPONENT[COMPONENT_CODE],[@ROW_INDEX]),"")</f>
        <v/>
      </c>
      <c r="D35" s="20">
        <f>IFERROR(INDEX(T_COMPONENT[WEIGHT_G],[@ROW_INDEX]),"")</f>
        <v/>
      </c>
      <c r="E35" s="20">
        <f>IF([@COMPONENT_ID]="","",COUNTIF(T_PACKAGING_CONFIGURATION_LINE[COMPONENT_ID],[@COMPONENT_ID]))</f>
        <v/>
      </c>
      <c r="F35" s="20">
        <f>IF([@COMPONENT_ID]="","",COUNTIF(T_TRANSPORT_CONFIGURATION_LINE[COMPONENT_ID],[@COMPONENT_ID]))</f>
        <v/>
      </c>
      <c r="G35" s="20">
        <f>IF([@COMPONENT_ID]="","",[@USED_IN_PKG_LINES])</f>
        <v/>
      </c>
      <c r="H35" s="20">
        <f>IF([@COMPONENT_ID]="","",[@USED_IN_TRN_LINES])</f>
        <v/>
      </c>
      <c r="I35" s="20">
        <f>IF([@COMPONENT_ID]="","",IF([@USED_IN_TRN_LINES]+[@USED_IN_PKG_LINES]=0,0,COUNTA(T_COMMERCIAL_SCENARIO[COMMERCIAL_SCENARIO_ID])))</f>
        <v/>
      </c>
      <c r="J35" s="20">
        <f>IF([@COMPONENT_ID]="","",COUNTIF(T_SHIPMENT_LINE[COMPONENT_ID],[@COMPONENT_ID]))</f>
        <v/>
      </c>
      <c r="K35" s="20">
        <f>IF([@COMPONENT_ID]="","",[@USED_IN_PKG_LINES]*2+[@USED_IN_TRN_LINES]*3+[@AFFECTED_SHIPMENTS]*5)</f>
        <v/>
      </c>
      <c r="L35" s="20">
        <f>IF([@COMPONENT_ID]="","",IF([@IMPACT_SCORE]&gt;=20,"HIGH",IF([@IMPACT_SCORE]&gt;=5,"MEDIUM","LOW")))</f>
        <v/>
      </c>
    </row>
    <row r="36">
      <c r="A36" s="20" t="n">
        <v>35</v>
      </c>
      <c r="B36" s="20">
        <f>IFERROR(INDEX(T_COMPONENT[COMPONENT_ID],[@ROW_INDEX]),"")</f>
        <v/>
      </c>
      <c r="C36" s="20">
        <f>IFERROR(INDEX(T_COMPONENT[COMPONENT_CODE],[@ROW_INDEX]),"")</f>
        <v/>
      </c>
      <c r="D36" s="20">
        <f>IFERROR(INDEX(T_COMPONENT[WEIGHT_G],[@ROW_INDEX]),"")</f>
        <v/>
      </c>
      <c r="E36" s="20">
        <f>IF([@COMPONENT_ID]="","",COUNTIF(T_PACKAGING_CONFIGURATION_LINE[COMPONENT_ID],[@COMPONENT_ID]))</f>
        <v/>
      </c>
      <c r="F36" s="20">
        <f>IF([@COMPONENT_ID]="","",COUNTIF(T_TRANSPORT_CONFIGURATION_LINE[COMPONENT_ID],[@COMPONENT_ID]))</f>
        <v/>
      </c>
      <c r="G36" s="20">
        <f>IF([@COMPONENT_ID]="","",[@USED_IN_PKG_LINES])</f>
        <v/>
      </c>
      <c r="H36" s="20">
        <f>IF([@COMPONENT_ID]="","",[@USED_IN_TRN_LINES])</f>
        <v/>
      </c>
      <c r="I36" s="20">
        <f>IF([@COMPONENT_ID]="","",IF([@USED_IN_TRN_LINES]+[@USED_IN_PKG_LINES]=0,0,COUNTA(T_COMMERCIAL_SCENARIO[COMMERCIAL_SCENARIO_ID])))</f>
        <v/>
      </c>
      <c r="J36" s="20">
        <f>IF([@COMPONENT_ID]="","",COUNTIF(T_SHIPMENT_LINE[COMPONENT_ID],[@COMPONENT_ID]))</f>
        <v/>
      </c>
      <c r="K36" s="20">
        <f>IF([@COMPONENT_ID]="","",[@USED_IN_PKG_LINES]*2+[@USED_IN_TRN_LINES]*3+[@AFFECTED_SHIPMENTS]*5)</f>
        <v/>
      </c>
      <c r="L36" s="20">
        <f>IF([@COMPONENT_ID]="","",IF([@IMPACT_SCORE]&gt;=20,"HIGH",IF([@IMPACT_SCORE]&gt;=5,"MEDIUM","LOW")))</f>
        <v/>
      </c>
    </row>
    <row r="37">
      <c r="A37" s="20" t="n">
        <v>36</v>
      </c>
      <c r="B37" s="20">
        <f>IFERROR(INDEX(T_COMPONENT[COMPONENT_ID],[@ROW_INDEX]),"")</f>
        <v/>
      </c>
      <c r="C37" s="20">
        <f>IFERROR(INDEX(T_COMPONENT[COMPONENT_CODE],[@ROW_INDEX]),"")</f>
        <v/>
      </c>
      <c r="D37" s="20">
        <f>IFERROR(INDEX(T_COMPONENT[WEIGHT_G],[@ROW_INDEX]),"")</f>
        <v/>
      </c>
      <c r="E37" s="20">
        <f>IF([@COMPONENT_ID]="","",COUNTIF(T_PACKAGING_CONFIGURATION_LINE[COMPONENT_ID],[@COMPONENT_ID]))</f>
        <v/>
      </c>
      <c r="F37" s="20">
        <f>IF([@COMPONENT_ID]="","",COUNTIF(T_TRANSPORT_CONFIGURATION_LINE[COMPONENT_ID],[@COMPONENT_ID]))</f>
        <v/>
      </c>
      <c r="G37" s="20">
        <f>IF([@COMPONENT_ID]="","",[@USED_IN_PKG_LINES])</f>
        <v/>
      </c>
      <c r="H37" s="20">
        <f>IF([@COMPONENT_ID]="","",[@USED_IN_TRN_LINES])</f>
        <v/>
      </c>
      <c r="I37" s="20">
        <f>IF([@COMPONENT_ID]="","",IF([@USED_IN_TRN_LINES]+[@USED_IN_PKG_LINES]=0,0,COUNTA(T_COMMERCIAL_SCENARIO[COMMERCIAL_SCENARIO_ID])))</f>
        <v/>
      </c>
      <c r="J37" s="20">
        <f>IF([@COMPONENT_ID]="","",COUNTIF(T_SHIPMENT_LINE[COMPONENT_ID],[@COMPONENT_ID]))</f>
        <v/>
      </c>
      <c r="K37" s="20">
        <f>IF([@COMPONENT_ID]="","",[@USED_IN_PKG_LINES]*2+[@USED_IN_TRN_LINES]*3+[@AFFECTED_SHIPMENTS]*5)</f>
        <v/>
      </c>
      <c r="L37" s="20">
        <f>IF([@COMPONENT_ID]="","",IF([@IMPACT_SCORE]&gt;=20,"HIGH",IF([@IMPACT_SCORE]&gt;=5,"MEDIUM","LOW")))</f>
        <v/>
      </c>
    </row>
    <row r="38">
      <c r="A38" s="20" t="n">
        <v>37</v>
      </c>
      <c r="B38" s="20">
        <f>IFERROR(INDEX(T_COMPONENT[COMPONENT_ID],[@ROW_INDEX]),"")</f>
        <v/>
      </c>
      <c r="C38" s="20">
        <f>IFERROR(INDEX(T_COMPONENT[COMPONENT_CODE],[@ROW_INDEX]),"")</f>
        <v/>
      </c>
      <c r="D38" s="20">
        <f>IFERROR(INDEX(T_COMPONENT[WEIGHT_G],[@ROW_INDEX]),"")</f>
        <v/>
      </c>
      <c r="E38" s="20">
        <f>IF([@COMPONENT_ID]="","",COUNTIF(T_PACKAGING_CONFIGURATION_LINE[COMPONENT_ID],[@COMPONENT_ID]))</f>
        <v/>
      </c>
      <c r="F38" s="20">
        <f>IF([@COMPONENT_ID]="","",COUNTIF(T_TRANSPORT_CONFIGURATION_LINE[COMPONENT_ID],[@COMPONENT_ID]))</f>
        <v/>
      </c>
      <c r="G38" s="20">
        <f>IF([@COMPONENT_ID]="","",[@USED_IN_PKG_LINES])</f>
        <v/>
      </c>
      <c r="H38" s="20">
        <f>IF([@COMPONENT_ID]="","",[@USED_IN_TRN_LINES])</f>
        <v/>
      </c>
      <c r="I38" s="20">
        <f>IF([@COMPONENT_ID]="","",IF([@USED_IN_TRN_LINES]+[@USED_IN_PKG_LINES]=0,0,COUNTA(T_COMMERCIAL_SCENARIO[COMMERCIAL_SCENARIO_ID])))</f>
        <v/>
      </c>
      <c r="J38" s="20">
        <f>IF([@COMPONENT_ID]="","",COUNTIF(T_SHIPMENT_LINE[COMPONENT_ID],[@COMPONENT_ID]))</f>
        <v/>
      </c>
      <c r="K38" s="20">
        <f>IF([@COMPONENT_ID]="","",[@USED_IN_PKG_LINES]*2+[@USED_IN_TRN_LINES]*3+[@AFFECTED_SHIPMENTS]*5)</f>
        <v/>
      </c>
      <c r="L38" s="20">
        <f>IF([@COMPONENT_ID]="","",IF([@IMPACT_SCORE]&gt;=20,"HIGH",IF([@IMPACT_SCORE]&gt;=5,"MEDIUM","LOW")))</f>
        <v/>
      </c>
    </row>
    <row r="39">
      <c r="A39" s="20" t="n">
        <v>38</v>
      </c>
      <c r="B39" s="20">
        <f>IFERROR(INDEX(T_COMPONENT[COMPONENT_ID],[@ROW_INDEX]),"")</f>
        <v/>
      </c>
      <c r="C39" s="20">
        <f>IFERROR(INDEX(T_COMPONENT[COMPONENT_CODE],[@ROW_INDEX]),"")</f>
        <v/>
      </c>
      <c r="D39" s="20">
        <f>IFERROR(INDEX(T_COMPONENT[WEIGHT_G],[@ROW_INDEX]),"")</f>
        <v/>
      </c>
      <c r="E39" s="20">
        <f>IF([@COMPONENT_ID]="","",COUNTIF(T_PACKAGING_CONFIGURATION_LINE[COMPONENT_ID],[@COMPONENT_ID]))</f>
        <v/>
      </c>
      <c r="F39" s="20">
        <f>IF([@COMPONENT_ID]="","",COUNTIF(T_TRANSPORT_CONFIGURATION_LINE[COMPONENT_ID],[@COMPONENT_ID]))</f>
        <v/>
      </c>
      <c r="G39" s="20">
        <f>IF([@COMPONENT_ID]="","",[@USED_IN_PKG_LINES])</f>
        <v/>
      </c>
      <c r="H39" s="20">
        <f>IF([@COMPONENT_ID]="","",[@USED_IN_TRN_LINES])</f>
        <v/>
      </c>
      <c r="I39" s="20">
        <f>IF([@COMPONENT_ID]="","",IF([@USED_IN_TRN_LINES]+[@USED_IN_PKG_LINES]=0,0,COUNTA(T_COMMERCIAL_SCENARIO[COMMERCIAL_SCENARIO_ID])))</f>
        <v/>
      </c>
      <c r="J39" s="20">
        <f>IF([@COMPONENT_ID]="","",COUNTIF(T_SHIPMENT_LINE[COMPONENT_ID],[@COMPONENT_ID]))</f>
        <v/>
      </c>
      <c r="K39" s="20">
        <f>IF([@COMPONENT_ID]="","",[@USED_IN_PKG_LINES]*2+[@USED_IN_TRN_LINES]*3+[@AFFECTED_SHIPMENTS]*5)</f>
        <v/>
      </c>
      <c r="L39" s="20">
        <f>IF([@COMPONENT_ID]="","",IF([@IMPACT_SCORE]&gt;=20,"HIGH",IF([@IMPACT_SCORE]&gt;=5,"MEDIUM","LOW")))</f>
        <v/>
      </c>
    </row>
    <row r="40">
      <c r="A40" s="20" t="n">
        <v>39</v>
      </c>
      <c r="B40" s="20">
        <f>IFERROR(INDEX(T_COMPONENT[COMPONENT_ID],[@ROW_INDEX]),"")</f>
        <v/>
      </c>
      <c r="C40" s="20">
        <f>IFERROR(INDEX(T_COMPONENT[COMPONENT_CODE],[@ROW_INDEX]),"")</f>
        <v/>
      </c>
      <c r="D40" s="20">
        <f>IFERROR(INDEX(T_COMPONENT[WEIGHT_G],[@ROW_INDEX]),"")</f>
        <v/>
      </c>
      <c r="E40" s="20">
        <f>IF([@COMPONENT_ID]="","",COUNTIF(T_PACKAGING_CONFIGURATION_LINE[COMPONENT_ID],[@COMPONENT_ID]))</f>
        <v/>
      </c>
      <c r="F40" s="20">
        <f>IF([@COMPONENT_ID]="","",COUNTIF(T_TRANSPORT_CONFIGURATION_LINE[COMPONENT_ID],[@COMPONENT_ID]))</f>
        <v/>
      </c>
      <c r="G40" s="20">
        <f>IF([@COMPONENT_ID]="","",[@USED_IN_PKG_LINES])</f>
        <v/>
      </c>
      <c r="H40" s="20">
        <f>IF([@COMPONENT_ID]="","",[@USED_IN_TRN_LINES])</f>
        <v/>
      </c>
      <c r="I40" s="20">
        <f>IF([@COMPONENT_ID]="","",IF([@USED_IN_TRN_LINES]+[@USED_IN_PKG_LINES]=0,0,COUNTA(T_COMMERCIAL_SCENARIO[COMMERCIAL_SCENARIO_ID])))</f>
        <v/>
      </c>
      <c r="J40" s="20">
        <f>IF([@COMPONENT_ID]="","",COUNTIF(T_SHIPMENT_LINE[COMPONENT_ID],[@COMPONENT_ID]))</f>
        <v/>
      </c>
      <c r="K40" s="20">
        <f>IF([@COMPONENT_ID]="","",[@USED_IN_PKG_LINES]*2+[@USED_IN_TRN_LINES]*3+[@AFFECTED_SHIPMENTS]*5)</f>
        <v/>
      </c>
      <c r="L40" s="20">
        <f>IF([@COMPONENT_ID]="","",IF([@IMPACT_SCORE]&gt;=20,"HIGH",IF([@IMPACT_SCORE]&gt;=5,"MEDIUM","LOW")))</f>
        <v/>
      </c>
    </row>
    <row r="41">
      <c r="A41" s="20" t="n">
        <v>40</v>
      </c>
      <c r="B41" s="20">
        <f>IFERROR(INDEX(T_COMPONENT[COMPONENT_ID],[@ROW_INDEX]),"")</f>
        <v/>
      </c>
      <c r="C41" s="20">
        <f>IFERROR(INDEX(T_COMPONENT[COMPONENT_CODE],[@ROW_INDEX]),"")</f>
        <v/>
      </c>
      <c r="D41" s="20">
        <f>IFERROR(INDEX(T_COMPONENT[WEIGHT_G],[@ROW_INDEX]),"")</f>
        <v/>
      </c>
      <c r="E41" s="20">
        <f>IF([@COMPONENT_ID]="","",COUNTIF(T_PACKAGING_CONFIGURATION_LINE[COMPONENT_ID],[@COMPONENT_ID]))</f>
        <v/>
      </c>
      <c r="F41" s="20">
        <f>IF([@COMPONENT_ID]="","",COUNTIF(T_TRANSPORT_CONFIGURATION_LINE[COMPONENT_ID],[@COMPONENT_ID]))</f>
        <v/>
      </c>
      <c r="G41" s="20">
        <f>IF([@COMPONENT_ID]="","",[@USED_IN_PKG_LINES])</f>
        <v/>
      </c>
      <c r="H41" s="20">
        <f>IF([@COMPONENT_ID]="","",[@USED_IN_TRN_LINES])</f>
        <v/>
      </c>
      <c r="I41" s="20">
        <f>IF([@COMPONENT_ID]="","",IF([@USED_IN_TRN_LINES]+[@USED_IN_PKG_LINES]=0,0,COUNTA(T_COMMERCIAL_SCENARIO[COMMERCIAL_SCENARIO_ID])))</f>
        <v/>
      </c>
      <c r="J41" s="20">
        <f>IF([@COMPONENT_ID]="","",COUNTIF(T_SHIPMENT_LINE[COMPONENT_ID],[@COMPONENT_ID]))</f>
        <v/>
      </c>
      <c r="K41" s="20">
        <f>IF([@COMPONENT_ID]="","",[@USED_IN_PKG_LINES]*2+[@USED_IN_TRN_LINES]*3+[@AFFECTED_SHIPMENTS]*5)</f>
        <v/>
      </c>
      <c r="L41" s="20">
        <f>IF([@COMPONENT_ID]="","",IF([@IMPACT_SCORE]&gt;=20,"HIGH",IF([@IMPACT_SCORE]&gt;=5,"MEDIUM","LOW")))</f>
        <v/>
      </c>
    </row>
    <row r="42">
      <c r="A42" s="20" t="n">
        <v>41</v>
      </c>
      <c r="B42" s="20">
        <f>IFERROR(INDEX(T_COMPONENT[COMPONENT_ID],[@ROW_INDEX]),"")</f>
        <v/>
      </c>
      <c r="C42" s="20">
        <f>IFERROR(INDEX(T_COMPONENT[COMPONENT_CODE],[@ROW_INDEX]),"")</f>
        <v/>
      </c>
      <c r="D42" s="20">
        <f>IFERROR(INDEX(T_COMPONENT[WEIGHT_G],[@ROW_INDEX]),"")</f>
        <v/>
      </c>
      <c r="E42" s="20">
        <f>IF([@COMPONENT_ID]="","",COUNTIF(T_PACKAGING_CONFIGURATION_LINE[COMPONENT_ID],[@COMPONENT_ID]))</f>
        <v/>
      </c>
      <c r="F42" s="20">
        <f>IF([@COMPONENT_ID]="","",COUNTIF(T_TRANSPORT_CONFIGURATION_LINE[COMPONENT_ID],[@COMPONENT_ID]))</f>
        <v/>
      </c>
      <c r="G42" s="20">
        <f>IF([@COMPONENT_ID]="","",[@USED_IN_PKG_LINES])</f>
        <v/>
      </c>
      <c r="H42" s="20">
        <f>IF([@COMPONENT_ID]="","",[@USED_IN_TRN_LINES])</f>
        <v/>
      </c>
      <c r="I42" s="20">
        <f>IF([@COMPONENT_ID]="","",IF([@USED_IN_TRN_LINES]+[@USED_IN_PKG_LINES]=0,0,COUNTA(T_COMMERCIAL_SCENARIO[COMMERCIAL_SCENARIO_ID])))</f>
        <v/>
      </c>
      <c r="J42" s="20">
        <f>IF([@COMPONENT_ID]="","",COUNTIF(T_SHIPMENT_LINE[COMPONENT_ID],[@COMPONENT_ID]))</f>
        <v/>
      </c>
      <c r="K42" s="20">
        <f>IF([@COMPONENT_ID]="","",[@USED_IN_PKG_LINES]*2+[@USED_IN_TRN_LINES]*3+[@AFFECTED_SHIPMENTS]*5)</f>
        <v/>
      </c>
      <c r="L42" s="20">
        <f>IF([@COMPONENT_ID]="","",IF([@IMPACT_SCORE]&gt;=20,"HIGH",IF([@IMPACT_SCORE]&gt;=5,"MEDIUM","LOW")))</f>
        <v/>
      </c>
    </row>
    <row r="43">
      <c r="A43" s="20" t="n">
        <v>42</v>
      </c>
      <c r="B43" s="20">
        <f>IFERROR(INDEX(T_COMPONENT[COMPONENT_ID],[@ROW_INDEX]),"")</f>
        <v/>
      </c>
      <c r="C43" s="20">
        <f>IFERROR(INDEX(T_COMPONENT[COMPONENT_CODE],[@ROW_INDEX]),"")</f>
        <v/>
      </c>
      <c r="D43" s="20">
        <f>IFERROR(INDEX(T_COMPONENT[WEIGHT_G],[@ROW_INDEX]),"")</f>
        <v/>
      </c>
      <c r="E43" s="20">
        <f>IF([@COMPONENT_ID]="","",COUNTIF(T_PACKAGING_CONFIGURATION_LINE[COMPONENT_ID],[@COMPONENT_ID]))</f>
        <v/>
      </c>
      <c r="F43" s="20">
        <f>IF([@COMPONENT_ID]="","",COUNTIF(T_TRANSPORT_CONFIGURATION_LINE[COMPONENT_ID],[@COMPONENT_ID]))</f>
        <v/>
      </c>
      <c r="G43" s="20">
        <f>IF([@COMPONENT_ID]="","",[@USED_IN_PKG_LINES])</f>
        <v/>
      </c>
      <c r="H43" s="20">
        <f>IF([@COMPONENT_ID]="","",[@USED_IN_TRN_LINES])</f>
        <v/>
      </c>
      <c r="I43" s="20">
        <f>IF([@COMPONENT_ID]="","",IF([@USED_IN_TRN_LINES]+[@USED_IN_PKG_LINES]=0,0,COUNTA(T_COMMERCIAL_SCENARIO[COMMERCIAL_SCENARIO_ID])))</f>
        <v/>
      </c>
      <c r="J43" s="20">
        <f>IF([@COMPONENT_ID]="","",COUNTIF(T_SHIPMENT_LINE[COMPONENT_ID],[@COMPONENT_ID]))</f>
        <v/>
      </c>
      <c r="K43" s="20">
        <f>IF([@COMPONENT_ID]="","",[@USED_IN_PKG_LINES]*2+[@USED_IN_TRN_LINES]*3+[@AFFECTED_SHIPMENTS]*5)</f>
        <v/>
      </c>
      <c r="L43" s="20">
        <f>IF([@COMPONENT_ID]="","",IF([@IMPACT_SCORE]&gt;=20,"HIGH",IF([@IMPACT_SCORE]&gt;=5,"MEDIUM","LOW")))</f>
        <v/>
      </c>
    </row>
    <row r="44">
      <c r="A44" s="20" t="n">
        <v>43</v>
      </c>
      <c r="B44" s="20">
        <f>IFERROR(INDEX(T_COMPONENT[COMPONENT_ID],[@ROW_INDEX]),"")</f>
        <v/>
      </c>
      <c r="C44" s="20">
        <f>IFERROR(INDEX(T_COMPONENT[COMPONENT_CODE],[@ROW_INDEX]),"")</f>
        <v/>
      </c>
      <c r="D44" s="20">
        <f>IFERROR(INDEX(T_COMPONENT[WEIGHT_G],[@ROW_INDEX]),"")</f>
        <v/>
      </c>
      <c r="E44" s="20">
        <f>IF([@COMPONENT_ID]="","",COUNTIF(T_PACKAGING_CONFIGURATION_LINE[COMPONENT_ID],[@COMPONENT_ID]))</f>
        <v/>
      </c>
      <c r="F44" s="20">
        <f>IF([@COMPONENT_ID]="","",COUNTIF(T_TRANSPORT_CONFIGURATION_LINE[COMPONENT_ID],[@COMPONENT_ID]))</f>
        <v/>
      </c>
      <c r="G44" s="20">
        <f>IF([@COMPONENT_ID]="","",[@USED_IN_PKG_LINES])</f>
        <v/>
      </c>
      <c r="H44" s="20">
        <f>IF([@COMPONENT_ID]="","",[@USED_IN_TRN_LINES])</f>
        <v/>
      </c>
      <c r="I44" s="20">
        <f>IF([@COMPONENT_ID]="","",IF([@USED_IN_TRN_LINES]+[@USED_IN_PKG_LINES]=0,0,COUNTA(T_COMMERCIAL_SCENARIO[COMMERCIAL_SCENARIO_ID])))</f>
        <v/>
      </c>
      <c r="J44" s="20">
        <f>IF([@COMPONENT_ID]="","",COUNTIF(T_SHIPMENT_LINE[COMPONENT_ID],[@COMPONENT_ID]))</f>
        <v/>
      </c>
      <c r="K44" s="20">
        <f>IF([@COMPONENT_ID]="","",[@USED_IN_PKG_LINES]*2+[@USED_IN_TRN_LINES]*3+[@AFFECTED_SHIPMENTS]*5)</f>
        <v/>
      </c>
      <c r="L44" s="20">
        <f>IF([@COMPONENT_ID]="","",IF([@IMPACT_SCORE]&gt;=20,"HIGH",IF([@IMPACT_SCORE]&gt;=5,"MEDIUM","LOW")))</f>
        <v/>
      </c>
    </row>
    <row r="45">
      <c r="A45" s="20" t="n">
        <v>44</v>
      </c>
      <c r="B45" s="20">
        <f>IFERROR(INDEX(T_COMPONENT[COMPONENT_ID],[@ROW_INDEX]),"")</f>
        <v/>
      </c>
      <c r="C45" s="20">
        <f>IFERROR(INDEX(T_COMPONENT[COMPONENT_CODE],[@ROW_INDEX]),"")</f>
        <v/>
      </c>
      <c r="D45" s="20">
        <f>IFERROR(INDEX(T_COMPONENT[WEIGHT_G],[@ROW_INDEX]),"")</f>
        <v/>
      </c>
      <c r="E45" s="20">
        <f>IF([@COMPONENT_ID]="","",COUNTIF(T_PACKAGING_CONFIGURATION_LINE[COMPONENT_ID],[@COMPONENT_ID]))</f>
        <v/>
      </c>
      <c r="F45" s="20">
        <f>IF([@COMPONENT_ID]="","",COUNTIF(T_TRANSPORT_CONFIGURATION_LINE[COMPONENT_ID],[@COMPONENT_ID]))</f>
        <v/>
      </c>
      <c r="G45" s="20">
        <f>IF([@COMPONENT_ID]="","",[@USED_IN_PKG_LINES])</f>
        <v/>
      </c>
      <c r="H45" s="20">
        <f>IF([@COMPONENT_ID]="","",[@USED_IN_TRN_LINES])</f>
        <v/>
      </c>
      <c r="I45" s="20">
        <f>IF([@COMPONENT_ID]="","",IF([@USED_IN_TRN_LINES]+[@USED_IN_PKG_LINES]=0,0,COUNTA(T_COMMERCIAL_SCENARIO[COMMERCIAL_SCENARIO_ID])))</f>
        <v/>
      </c>
      <c r="J45" s="20">
        <f>IF([@COMPONENT_ID]="","",COUNTIF(T_SHIPMENT_LINE[COMPONENT_ID],[@COMPONENT_ID]))</f>
        <v/>
      </c>
      <c r="K45" s="20">
        <f>IF([@COMPONENT_ID]="","",[@USED_IN_PKG_LINES]*2+[@USED_IN_TRN_LINES]*3+[@AFFECTED_SHIPMENTS]*5)</f>
        <v/>
      </c>
      <c r="L45" s="20">
        <f>IF([@COMPONENT_ID]="","",IF([@IMPACT_SCORE]&gt;=20,"HIGH",IF([@IMPACT_SCORE]&gt;=5,"MEDIUM","LOW")))</f>
        <v/>
      </c>
    </row>
    <row r="46">
      <c r="A46" s="20" t="n">
        <v>45</v>
      </c>
      <c r="B46" s="20">
        <f>IFERROR(INDEX(T_COMPONENT[COMPONENT_ID],[@ROW_INDEX]),"")</f>
        <v/>
      </c>
      <c r="C46" s="20">
        <f>IFERROR(INDEX(T_COMPONENT[COMPONENT_CODE],[@ROW_INDEX]),"")</f>
        <v/>
      </c>
      <c r="D46" s="20">
        <f>IFERROR(INDEX(T_COMPONENT[WEIGHT_G],[@ROW_INDEX]),"")</f>
        <v/>
      </c>
      <c r="E46" s="20">
        <f>IF([@COMPONENT_ID]="","",COUNTIF(T_PACKAGING_CONFIGURATION_LINE[COMPONENT_ID],[@COMPONENT_ID]))</f>
        <v/>
      </c>
      <c r="F46" s="20">
        <f>IF([@COMPONENT_ID]="","",COUNTIF(T_TRANSPORT_CONFIGURATION_LINE[COMPONENT_ID],[@COMPONENT_ID]))</f>
        <v/>
      </c>
      <c r="G46" s="20">
        <f>IF([@COMPONENT_ID]="","",[@USED_IN_PKG_LINES])</f>
        <v/>
      </c>
      <c r="H46" s="20">
        <f>IF([@COMPONENT_ID]="","",[@USED_IN_TRN_LINES])</f>
        <v/>
      </c>
      <c r="I46" s="20">
        <f>IF([@COMPONENT_ID]="","",IF([@USED_IN_TRN_LINES]+[@USED_IN_PKG_LINES]=0,0,COUNTA(T_COMMERCIAL_SCENARIO[COMMERCIAL_SCENARIO_ID])))</f>
        <v/>
      </c>
      <c r="J46" s="20">
        <f>IF([@COMPONENT_ID]="","",COUNTIF(T_SHIPMENT_LINE[COMPONENT_ID],[@COMPONENT_ID]))</f>
        <v/>
      </c>
      <c r="K46" s="20">
        <f>IF([@COMPONENT_ID]="","",[@USED_IN_PKG_LINES]*2+[@USED_IN_TRN_LINES]*3+[@AFFECTED_SHIPMENTS]*5)</f>
        <v/>
      </c>
      <c r="L46" s="20">
        <f>IF([@COMPONENT_ID]="","",IF([@IMPACT_SCORE]&gt;=20,"HIGH",IF([@IMPACT_SCORE]&gt;=5,"MEDIUM","LOW")))</f>
        <v/>
      </c>
    </row>
    <row r="47">
      <c r="A47" s="20" t="n">
        <v>46</v>
      </c>
      <c r="B47" s="20">
        <f>IFERROR(INDEX(T_COMPONENT[COMPONENT_ID],[@ROW_INDEX]),"")</f>
        <v/>
      </c>
      <c r="C47" s="20">
        <f>IFERROR(INDEX(T_COMPONENT[COMPONENT_CODE],[@ROW_INDEX]),"")</f>
        <v/>
      </c>
      <c r="D47" s="20">
        <f>IFERROR(INDEX(T_COMPONENT[WEIGHT_G],[@ROW_INDEX]),"")</f>
        <v/>
      </c>
      <c r="E47" s="20">
        <f>IF([@COMPONENT_ID]="","",COUNTIF(T_PACKAGING_CONFIGURATION_LINE[COMPONENT_ID],[@COMPONENT_ID]))</f>
        <v/>
      </c>
      <c r="F47" s="20">
        <f>IF([@COMPONENT_ID]="","",COUNTIF(T_TRANSPORT_CONFIGURATION_LINE[COMPONENT_ID],[@COMPONENT_ID]))</f>
        <v/>
      </c>
      <c r="G47" s="20">
        <f>IF([@COMPONENT_ID]="","",[@USED_IN_PKG_LINES])</f>
        <v/>
      </c>
      <c r="H47" s="20">
        <f>IF([@COMPONENT_ID]="","",[@USED_IN_TRN_LINES])</f>
        <v/>
      </c>
      <c r="I47" s="20">
        <f>IF([@COMPONENT_ID]="","",IF([@USED_IN_TRN_LINES]+[@USED_IN_PKG_LINES]=0,0,COUNTA(T_COMMERCIAL_SCENARIO[COMMERCIAL_SCENARIO_ID])))</f>
        <v/>
      </c>
      <c r="J47" s="20">
        <f>IF([@COMPONENT_ID]="","",COUNTIF(T_SHIPMENT_LINE[COMPONENT_ID],[@COMPONENT_ID]))</f>
        <v/>
      </c>
      <c r="K47" s="20">
        <f>IF([@COMPONENT_ID]="","",[@USED_IN_PKG_LINES]*2+[@USED_IN_TRN_LINES]*3+[@AFFECTED_SHIPMENTS]*5)</f>
        <v/>
      </c>
      <c r="L47" s="20">
        <f>IF([@COMPONENT_ID]="","",IF([@IMPACT_SCORE]&gt;=20,"HIGH",IF([@IMPACT_SCORE]&gt;=5,"MEDIUM","LOW")))</f>
        <v/>
      </c>
    </row>
    <row r="48">
      <c r="A48" s="20" t="n">
        <v>47</v>
      </c>
      <c r="B48" s="20">
        <f>IFERROR(INDEX(T_COMPONENT[COMPONENT_ID],[@ROW_INDEX]),"")</f>
        <v/>
      </c>
      <c r="C48" s="20">
        <f>IFERROR(INDEX(T_COMPONENT[COMPONENT_CODE],[@ROW_INDEX]),"")</f>
        <v/>
      </c>
      <c r="D48" s="20">
        <f>IFERROR(INDEX(T_COMPONENT[WEIGHT_G],[@ROW_INDEX]),"")</f>
        <v/>
      </c>
      <c r="E48" s="20">
        <f>IF([@COMPONENT_ID]="","",COUNTIF(T_PACKAGING_CONFIGURATION_LINE[COMPONENT_ID],[@COMPONENT_ID]))</f>
        <v/>
      </c>
      <c r="F48" s="20">
        <f>IF([@COMPONENT_ID]="","",COUNTIF(T_TRANSPORT_CONFIGURATION_LINE[COMPONENT_ID],[@COMPONENT_ID]))</f>
        <v/>
      </c>
      <c r="G48" s="20">
        <f>IF([@COMPONENT_ID]="","",[@USED_IN_PKG_LINES])</f>
        <v/>
      </c>
      <c r="H48" s="20">
        <f>IF([@COMPONENT_ID]="","",[@USED_IN_TRN_LINES])</f>
        <v/>
      </c>
      <c r="I48" s="20">
        <f>IF([@COMPONENT_ID]="","",IF([@USED_IN_TRN_LINES]+[@USED_IN_PKG_LINES]=0,0,COUNTA(T_COMMERCIAL_SCENARIO[COMMERCIAL_SCENARIO_ID])))</f>
        <v/>
      </c>
      <c r="J48" s="20">
        <f>IF([@COMPONENT_ID]="","",COUNTIF(T_SHIPMENT_LINE[COMPONENT_ID],[@COMPONENT_ID]))</f>
        <v/>
      </c>
      <c r="K48" s="20">
        <f>IF([@COMPONENT_ID]="","",[@USED_IN_PKG_LINES]*2+[@USED_IN_TRN_LINES]*3+[@AFFECTED_SHIPMENTS]*5)</f>
        <v/>
      </c>
      <c r="L48" s="20">
        <f>IF([@COMPONENT_ID]="","",IF([@IMPACT_SCORE]&gt;=20,"HIGH",IF([@IMPACT_SCORE]&gt;=5,"MEDIUM","LOW")))</f>
        <v/>
      </c>
    </row>
    <row r="49">
      <c r="A49" s="20" t="n">
        <v>48</v>
      </c>
      <c r="B49" s="20">
        <f>IFERROR(INDEX(T_COMPONENT[COMPONENT_ID],[@ROW_INDEX]),"")</f>
        <v/>
      </c>
      <c r="C49" s="20">
        <f>IFERROR(INDEX(T_COMPONENT[COMPONENT_CODE],[@ROW_INDEX]),"")</f>
        <v/>
      </c>
      <c r="D49" s="20">
        <f>IFERROR(INDEX(T_COMPONENT[WEIGHT_G],[@ROW_INDEX]),"")</f>
        <v/>
      </c>
      <c r="E49" s="20">
        <f>IF([@COMPONENT_ID]="","",COUNTIF(T_PACKAGING_CONFIGURATION_LINE[COMPONENT_ID],[@COMPONENT_ID]))</f>
        <v/>
      </c>
      <c r="F49" s="20">
        <f>IF([@COMPONENT_ID]="","",COUNTIF(T_TRANSPORT_CONFIGURATION_LINE[COMPONENT_ID],[@COMPONENT_ID]))</f>
        <v/>
      </c>
      <c r="G49" s="20">
        <f>IF([@COMPONENT_ID]="","",[@USED_IN_PKG_LINES])</f>
        <v/>
      </c>
      <c r="H49" s="20">
        <f>IF([@COMPONENT_ID]="","",[@USED_IN_TRN_LINES])</f>
        <v/>
      </c>
      <c r="I49" s="20">
        <f>IF([@COMPONENT_ID]="","",IF([@USED_IN_TRN_LINES]+[@USED_IN_PKG_LINES]=0,0,COUNTA(T_COMMERCIAL_SCENARIO[COMMERCIAL_SCENARIO_ID])))</f>
        <v/>
      </c>
      <c r="J49" s="20">
        <f>IF([@COMPONENT_ID]="","",COUNTIF(T_SHIPMENT_LINE[COMPONENT_ID],[@COMPONENT_ID]))</f>
        <v/>
      </c>
      <c r="K49" s="20">
        <f>IF([@COMPONENT_ID]="","",[@USED_IN_PKG_LINES]*2+[@USED_IN_TRN_LINES]*3+[@AFFECTED_SHIPMENTS]*5)</f>
        <v/>
      </c>
      <c r="L49" s="20">
        <f>IF([@COMPONENT_ID]="","",IF([@IMPACT_SCORE]&gt;=20,"HIGH",IF([@IMPACT_SCORE]&gt;=5,"MEDIUM","LOW")))</f>
        <v/>
      </c>
    </row>
    <row r="50">
      <c r="A50" s="20" t="n">
        <v>49</v>
      </c>
      <c r="B50" s="20">
        <f>IFERROR(INDEX(T_COMPONENT[COMPONENT_ID],[@ROW_INDEX]),"")</f>
        <v/>
      </c>
      <c r="C50" s="20">
        <f>IFERROR(INDEX(T_COMPONENT[COMPONENT_CODE],[@ROW_INDEX]),"")</f>
        <v/>
      </c>
      <c r="D50" s="20">
        <f>IFERROR(INDEX(T_COMPONENT[WEIGHT_G],[@ROW_INDEX]),"")</f>
        <v/>
      </c>
      <c r="E50" s="20">
        <f>IF([@COMPONENT_ID]="","",COUNTIF(T_PACKAGING_CONFIGURATION_LINE[COMPONENT_ID],[@COMPONENT_ID]))</f>
        <v/>
      </c>
      <c r="F50" s="20">
        <f>IF([@COMPONENT_ID]="","",COUNTIF(T_TRANSPORT_CONFIGURATION_LINE[COMPONENT_ID],[@COMPONENT_ID]))</f>
        <v/>
      </c>
      <c r="G50" s="20">
        <f>IF([@COMPONENT_ID]="","",[@USED_IN_PKG_LINES])</f>
        <v/>
      </c>
      <c r="H50" s="20">
        <f>IF([@COMPONENT_ID]="","",[@USED_IN_TRN_LINES])</f>
        <v/>
      </c>
      <c r="I50" s="20">
        <f>IF([@COMPONENT_ID]="","",IF([@USED_IN_TRN_LINES]+[@USED_IN_PKG_LINES]=0,0,COUNTA(T_COMMERCIAL_SCENARIO[COMMERCIAL_SCENARIO_ID])))</f>
        <v/>
      </c>
      <c r="J50" s="20">
        <f>IF([@COMPONENT_ID]="","",COUNTIF(T_SHIPMENT_LINE[COMPONENT_ID],[@COMPONENT_ID]))</f>
        <v/>
      </c>
      <c r="K50" s="20">
        <f>IF([@COMPONENT_ID]="","",[@USED_IN_PKG_LINES]*2+[@USED_IN_TRN_LINES]*3+[@AFFECTED_SHIPMENTS]*5)</f>
        <v/>
      </c>
      <c r="L50" s="20">
        <f>IF([@COMPONENT_ID]="","",IF([@IMPACT_SCORE]&gt;=20,"HIGH",IF([@IMPACT_SCORE]&gt;=5,"MEDIUM","LOW")))</f>
        <v/>
      </c>
    </row>
    <row r="51">
      <c r="A51" s="20" t="n">
        <v>50</v>
      </c>
      <c r="B51" s="20">
        <f>IFERROR(INDEX(T_COMPONENT[COMPONENT_ID],[@ROW_INDEX]),"")</f>
        <v/>
      </c>
      <c r="C51" s="20">
        <f>IFERROR(INDEX(T_COMPONENT[COMPONENT_CODE],[@ROW_INDEX]),"")</f>
        <v/>
      </c>
      <c r="D51" s="20">
        <f>IFERROR(INDEX(T_COMPONENT[WEIGHT_G],[@ROW_INDEX]),"")</f>
        <v/>
      </c>
      <c r="E51" s="20">
        <f>IF([@COMPONENT_ID]="","",COUNTIF(T_PACKAGING_CONFIGURATION_LINE[COMPONENT_ID],[@COMPONENT_ID]))</f>
        <v/>
      </c>
      <c r="F51" s="20">
        <f>IF([@COMPONENT_ID]="","",COUNTIF(T_TRANSPORT_CONFIGURATION_LINE[COMPONENT_ID],[@COMPONENT_ID]))</f>
        <v/>
      </c>
      <c r="G51" s="20">
        <f>IF([@COMPONENT_ID]="","",[@USED_IN_PKG_LINES])</f>
        <v/>
      </c>
      <c r="H51" s="20">
        <f>IF([@COMPONENT_ID]="","",[@USED_IN_TRN_LINES])</f>
        <v/>
      </c>
      <c r="I51" s="20">
        <f>IF([@COMPONENT_ID]="","",IF([@USED_IN_TRN_LINES]+[@USED_IN_PKG_LINES]=0,0,COUNTA(T_COMMERCIAL_SCENARIO[COMMERCIAL_SCENARIO_ID])))</f>
        <v/>
      </c>
      <c r="J51" s="20">
        <f>IF([@COMPONENT_ID]="","",COUNTIF(T_SHIPMENT_LINE[COMPONENT_ID],[@COMPONENT_ID]))</f>
        <v/>
      </c>
      <c r="K51" s="20">
        <f>IF([@COMPONENT_ID]="","",[@USED_IN_PKG_LINES]*2+[@USED_IN_TRN_LINES]*3+[@AFFECTED_SHIPMENTS]*5)</f>
        <v/>
      </c>
      <c r="L51" s="20">
        <f>IF([@COMPONENT_ID]="","",IF([@IMPACT_SCORE]&gt;=20,"HIGH",IF([@IMPACT_SCORE]&gt;=5,"MEDIUM","LOW")))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conditionalFormatting sqref="L2:L51">
    <cfRule type="cellIs" priority="1" operator="equal" dxfId="4">
      <formula>"HIGH"</formula>
    </cfRule>
    <cfRule type="cellIs" priority="2" operator="equal" dxfId="5">
      <formula>"MEDIUM"</formula>
    </cfRule>
    <cfRule type="cellIs" priority="3" operator="equal" dxfId="6">
      <formula>"LOW"</formula>
    </cfRule>
  </conditionalFormatting>
  <hyperlinks>
    <hyperlink xmlns:r="http://schemas.openxmlformats.org/officeDocument/2006/relationships" ref="N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2" t="inlineStr">
        <is>
          <t>ROW_INDEX</t>
        </is>
      </c>
      <c r="B1" s="12" t="inlineStr">
        <is>
          <t>RULE_ID</t>
        </is>
      </c>
      <c r="C1" s="12" t="inlineStr">
        <is>
          <t>RULE_NAME</t>
        </is>
      </c>
      <c r="D1" s="12" t="inlineStr">
        <is>
          <t>RESULT</t>
        </is>
      </c>
      <c r="E1" s="12" t="inlineStr">
        <is>
          <t>SEVERITY</t>
        </is>
      </c>
      <c r="G1" s="19" t="inlineStr">
        <is>
          <t>Dashboard</t>
        </is>
      </c>
    </row>
    <row r="2">
      <c r="A2" s="20" t="n">
        <v>1</v>
      </c>
      <c r="B2" s="20" t="inlineStr">
        <is>
          <t>V-WT-01</t>
        </is>
      </c>
      <c r="C2" s="20" t="inlineStr">
        <is>
          <t>COMPONENT_WEIGHT_POSITIVE</t>
        </is>
      </c>
      <c r="D2" s="20">
        <f>IF(COUNTIF(T_COMPONENT[WEIGHT_G],"&lt;="&amp;0)&gt;0,"ERROR","OK")</f>
        <v/>
      </c>
      <c r="E2" s="20" t="inlineStr">
        <is>
          <t>ERROR</t>
        </is>
      </c>
    </row>
    <row r="3">
      <c r="A3" s="20" t="n">
        <v>2</v>
      </c>
      <c r="B3" s="20" t="inlineStr">
        <is>
          <t>V-MAT-01</t>
        </is>
      </c>
      <c r="C3" s="20" t="inlineStr">
        <is>
          <t>MATERIAL_SHARE_ENGINE_READY</t>
        </is>
      </c>
      <c r="D3" s="20">
        <f>IF(COUNTA(T_ENG_MATERIAL_WEIGHT[MATERIAL_WEIGHT_G])&gt;=0,"OK","ERROR")</f>
        <v/>
      </c>
      <c r="E3" s="20" t="inlineStr">
        <is>
          <t>ERROR</t>
        </is>
      </c>
    </row>
    <row r="4">
      <c r="A4" s="20" t="n">
        <v>3</v>
      </c>
      <c r="B4" s="20" t="inlineStr">
        <is>
          <t>V-MAT-02</t>
        </is>
      </c>
      <c r="C4" s="20" t="inlineStr">
        <is>
          <t>COMPONENT_MATERIAL_LINKED</t>
        </is>
      </c>
      <c r="D4" s="20">
        <f>IF(COUNTA(T_COMPONENT[COMPONENT_ID])=0,"PENDING",IF(COUNTA(T_COMPONENT_MATERIAL[COMPONENT_MATERIAL_ID])&gt;0,"OK","WARN"))</f>
        <v/>
      </c>
      <c r="E4" s="20" t="inlineStr">
        <is>
          <t>WARN</t>
        </is>
      </c>
    </row>
    <row r="5">
      <c r="A5" s="20" t="n">
        <v>4</v>
      </c>
      <c r="B5" s="20" t="inlineStr">
        <is>
          <t>V-CFG-01</t>
        </is>
      </c>
      <c r="C5" s="20" t="inlineStr">
        <is>
          <t>PACKAGING_HAS_LINES</t>
        </is>
      </c>
      <c r="D5" s="20">
        <f>IF(COUNTA(T_PACKAGING_CONFIGURATION[PACKAGING_CONFIGURATION_ID])=0,"PENDING",IF(COUNTA(T_PACKAGING_CONFIGURATION_LINE[PACKAGING_CONFIGURATION_LINE_ID])&gt;0,"OK","ERROR"))</f>
        <v/>
      </c>
      <c r="E5" s="20" t="inlineStr">
        <is>
          <t>ERROR</t>
        </is>
      </c>
    </row>
    <row r="6">
      <c r="A6" s="20" t="n">
        <v>5</v>
      </c>
      <c r="B6" s="20" t="inlineStr">
        <is>
          <t>V-TRN-01</t>
        </is>
      </c>
      <c r="C6" s="20" t="inlineStr">
        <is>
          <t>TRANSPORT_HAS_LINES</t>
        </is>
      </c>
      <c r="D6" s="20">
        <f>IF(COUNTA(T_TRANSPORT_CONFIGURATION[TRANSPORT_CONFIGURATION_ID])=0,"PENDING",IF(COUNTA(T_TRANSPORT_CONFIGURATION_LINE[TRANSPORT_CONFIGURATION_LINE_ID])&gt;0,"OK","WARN"))</f>
        <v/>
      </c>
      <c r="E6" s="20" t="inlineStr">
        <is>
          <t>WARN</t>
        </is>
      </c>
    </row>
    <row r="7">
      <c r="A7" s="20" t="n">
        <v>6</v>
      </c>
      <c r="B7" s="20" t="inlineStr">
        <is>
          <t>V-SCN-01</t>
        </is>
      </c>
      <c r="C7" s="20" t="inlineStr">
        <is>
          <t>SCENARIO_CORE_FKS</t>
        </is>
      </c>
      <c r="D7" s="20">
        <f>IF(COUNTA(T_COMMERCIAL_SCENARIO[COMMERCIAL_SCENARIO_ID])=0,"PENDING",IF(COUNTBLANK(T_COMMERCIAL_SCENARIO[PRODUCT_ID])+COUNTBLANK(T_COMMERCIAL_SCENARIO[TRANSPORT_CONFIGURATION_ID])&gt;0,"ERROR","OK"))</f>
        <v/>
      </c>
      <c r="E7" s="20" t="inlineStr">
        <is>
          <t>ERROR</t>
        </is>
      </c>
    </row>
    <row r="8">
      <c r="A8" s="20" t="n">
        <v>7</v>
      </c>
      <c r="B8" s="20" t="inlineStr">
        <is>
          <t>V-SHP-01</t>
        </is>
      </c>
      <c r="C8" s="20" t="inlineStr">
        <is>
          <t>SHIPMENT_QTY_POSITIVE</t>
        </is>
      </c>
      <c r="D8" s="20">
        <f>IF(COUNTIF(T_SHIPMENT[QTY_PRODUCT_UNITS],"&lt;="&amp;0)&gt;0,"ERROR","OK")</f>
        <v/>
      </c>
      <c r="E8" s="20" t="inlineStr">
        <is>
          <t>ERROR</t>
        </is>
      </c>
    </row>
    <row r="9">
      <c r="A9" s="20" t="n">
        <v>8</v>
      </c>
      <c r="B9" s="20" t="inlineStr">
        <is>
          <t>V-SHP-02</t>
        </is>
      </c>
      <c r="C9" s="20" t="inlineStr">
        <is>
          <t>SHIPMENT_LINE_FREEZE</t>
        </is>
      </c>
      <c r="D9" s="20">
        <f>IF(COUNTA(T_SHIPMENT[SHIPMENT_ID])=0,"PENDING",IF(COUNTA(T_SHIPMENT_LINE[SHIPMENT_LINE_ID])&gt;0,"OK","WARN"))</f>
        <v/>
      </c>
      <c r="E9" s="20" t="inlineStr">
        <is>
          <t>WARN</t>
        </is>
      </c>
    </row>
    <row r="10">
      <c r="A10" s="20" t="n">
        <v>9</v>
      </c>
      <c r="B10" s="20" t="inlineStr">
        <is>
          <t>V-STM-01</t>
        </is>
      </c>
      <c r="C10" s="20" t="inlineStr">
        <is>
          <t>STATEMENT_LINES</t>
        </is>
      </c>
      <c r="D10" s="20">
        <f>IF(COUNTA(T_STATEMENT[STATEMENT_ID])=0,"PENDING",IF(COUNTA(T_STATEMENT_LINE[STATEMENT_LINE_ID])&gt;0,"OK","WARN"))</f>
        <v/>
      </c>
      <c r="E10" s="20" t="inlineStr">
        <is>
          <t>WARN</t>
        </is>
      </c>
    </row>
    <row r="11">
      <c r="A11" s="20" t="n">
        <v>10</v>
      </c>
      <c r="B11" s="20" t="inlineStr">
        <is>
          <t>V-STM-02</t>
        </is>
      </c>
      <c r="C11" s="20" t="inlineStr">
        <is>
          <t>STATEMENT_VARIANCE</t>
        </is>
      </c>
      <c r="D11" s="20">
        <f>IF(COUNTIF(T_ENG_STATEMENT[RECONCILE_STATUS],"VARIANCE")&gt;0,"ERROR",IF(COUNTIF(T_ENG_STATEMENT[RECONCILE_STATUS],"OK")&gt;0,"OK","PENDING"))</f>
        <v/>
      </c>
      <c r="E11" s="20" t="inlineStr">
        <is>
          <t>ERROR</t>
        </is>
      </c>
    </row>
    <row r="12">
      <c r="A12" s="20" t="n">
        <v>11</v>
      </c>
      <c r="B12" s="20" t="inlineStr">
        <is>
          <t>V-TF-01</t>
        </is>
      </c>
      <c r="C12" s="20" t="inlineStr">
        <is>
          <t>TECH_FILE_SUBJECT_XOR</t>
        </is>
      </c>
      <c r="D12" s="20">
        <f>IF(COUNTIF(T_ENG_TECHNICAL_FILE[HAS_EXACTLY_ONE_SUBJECT],FALSE)&gt;0,"ERROR",IF(COUNTA(T_ENG_TECHNICAL_FILE[TECHNICAL_FILE_ID])=0,"PENDING","OK"))</f>
        <v/>
      </c>
      <c r="E12" s="20" t="inlineStr">
        <is>
          <t>ERROR</t>
        </is>
      </c>
    </row>
    <row r="13">
      <c r="A13" s="20" t="n">
        <v>12</v>
      </c>
      <c r="B13" s="20" t="inlineStr">
        <is>
          <t>V-DoC-01</t>
        </is>
      </c>
      <c r="C13" s="20" t="inlineStr">
        <is>
          <t>DECLARATION_COMPLETE</t>
        </is>
      </c>
      <c r="D13" s="20">
        <f>IF(COUNTIF(T_ENG_DECLARATION[ENGINE_STATUS],"INCOMPLETE")&gt;0,"ERROR",IF(COUNTA(T_ENG_DECLARATION[DECLARATION_OF_CONFORMITY_ID])=0,"PENDING","OK"))</f>
        <v/>
      </c>
      <c r="E13" s="20" t="inlineStr">
        <is>
          <t>ERROR</t>
        </is>
      </c>
    </row>
    <row r="14">
      <c r="A14" s="20" t="n">
        <v>13</v>
      </c>
      <c r="B14" s="20" t="inlineStr">
        <is>
          <t>V-FK-01</t>
        </is>
      </c>
      <c r="C14" s="20" t="inlineStr">
        <is>
          <t>RELATIONSHIP_CATALOG</t>
        </is>
      </c>
      <c r="D14" s="20">
        <f>IF(COUNTA(T_SYS_RELATIONSHIPS[RELATIONSHIP_ID])&gt;0,"OK","ERROR")</f>
        <v/>
      </c>
      <c r="E14" s="20" t="inlineStr">
        <is>
          <t>ERROR</t>
        </is>
      </c>
    </row>
    <row r="15">
      <c r="A15" s="20" t="n">
        <v>14</v>
      </c>
      <c r="B15" s="20" t="inlineStr">
        <is>
          <t>V-ENG-01</t>
        </is>
      </c>
      <c r="C15" s="20" t="inlineStr">
        <is>
          <t>MATERIAL_ENGINE</t>
        </is>
      </c>
      <c r="D15" s="20">
        <f>IF(COUNTA(T_ENG_MATERIAL_WEIGHT[ROW_INDEX])&gt;0,"OK","ERROR")</f>
        <v/>
      </c>
      <c r="E15" s="20" t="inlineStr">
        <is>
          <t>ERROR</t>
        </is>
      </c>
    </row>
    <row r="16">
      <c r="A16" s="20" t="n">
        <v>15</v>
      </c>
      <c r="B16" s="20" t="inlineStr">
        <is>
          <t>V-ENG-02</t>
        </is>
      </c>
      <c r="C16" s="20" t="inlineStr">
        <is>
          <t>PACKAGING_ENGINE</t>
        </is>
      </c>
      <c r="D16" s="20">
        <f>IF(COUNTA(T_ENG_PACKAGING_WEIGHT[ROW_INDEX])&gt;0,"OK","ERROR")</f>
        <v/>
      </c>
      <c r="E16" s="20" t="inlineStr">
        <is>
          <t>ERROR</t>
        </is>
      </c>
    </row>
    <row r="17">
      <c r="A17" s="20" t="n">
        <v>16</v>
      </c>
      <c r="B17" s="20" t="inlineStr">
        <is>
          <t>V-ENG-03</t>
        </is>
      </c>
      <c r="C17" s="20" t="inlineStr">
        <is>
          <t>SHIPMENT_ENGINE</t>
        </is>
      </c>
      <c r="D17" s="20">
        <f>IF(COUNTA(T_ENG_SHIPMENT_WEIGHT[ROW_INDEX])&gt;0,"OK","ERROR")</f>
        <v/>
      </c>
      <c r="E17" s="20" t="inlineStr">
        <is>
          <t>ERROR</t>
        </is>
      </c>
    </row>
    <row r="18">
      <c r="A18" s="20" t="n">
        <v>17</v>
      </c>
      <c r="B18" s="20" t="inlineStr">
        <is>
          <t>V-SUM-01</t>
        </is>
      </c>
      <c r="C18" s="20" t="inlineStr">
        <is>
          <t>PLASTIC_SUMMARY</t>
        </is>
      </c>
      <c r="D18" s="20">
        <f>IF(COUNTA(T_ENG_PLASTIC_SUMMARY[MATERIAL_FAMILY_CODE])&gt;0,"OK","ERROR")</f>
        <v/>
      </c>
      <c r="E18" s="20" t="inlineStr">
        <is>
          <t>ERROR</t>
        </is>
      </c>
    </row>
    <row r="19">
      <c r="A19" s="20" t="n">
        <v>18</v>
      </c>
      <c r="B19" s="20" t="inlineStr">
        <is>
          <t>V-SUM-02</t>
        </is>
      </c>
      <c r="C19" s="20" t="inlineStr">
        <is>
          <t>PAPER_WOOD_SUMMARY</t>
        </is>
      </c>
      <c r="D19" s="20">
        <f>IF(AND(COUNTA(T_ENG_PAPER_SUMMARY[MATERIAL_FAMILY_CODE])&gt;0,COUNTA(T_ENG_WOOD_SUMMARY[MATERIAL_FAMILY_CODE])&gt;0),"OK","ERROR")</f>
        <v/>
      </c>
      <c r="E19" s="20" t="inlineStr">
        <is>
          <t>ERROR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2B0"/>
  <conditionalFormatting sqref="D2:D19">
    <cfRule type="cellIs" priority="1" operator="equal" dxfId="1">
      <formula>"OK"</formula>
    </cfRule>
    <cfRule type="cellIs" priority="2" operator="equal" dxfId="0">
      <formula>"ERROR"</formula>
    </cfRule>
    <cfRule type="cellIs" priority="3" operator="equal" dxfId="2">
      <formula>"WARN"</formula>
    </cfRule>
    <cfRule type="cellIs" priority="4" operator="equal" dxfId="3">
      <formula>"PENDING"</formula>
    </cfRule>
  </conditionalFormatting>
  <hyperlinks>
    <hyperlink xmlns:r="http://schemas.openxmlformats.org/officeDocument/2006/relationships" ref="G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2026-08-02T06:08:04Z</dcterms:created>
  <dcterms:modified xsi:type="dcterms:W3CDTF">2026-08-02T06:08:05Z</dcterms:modified>
</cp:coreProperties>
</file>