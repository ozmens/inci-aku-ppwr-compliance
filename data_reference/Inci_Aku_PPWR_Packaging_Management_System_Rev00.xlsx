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  <Override PartName="/xl/worksheets/sheet23.xml" ContentType="application/vnd.openxmlformats-officedocument.spreadsheetml.worksheet+xml"/>
  <Override PartName="/xl/tables/table21.xml" ContentType="application/vnd.openxmlformats-officedocument.spreadsheetml.table+xml"/>
  <Override PartName="/xl/worksheets/sheet24.xml" ContentType="application/vnd.openxmlformats-officedocument.spreadsheetml.worksheet+xml"/>
  <Override PartName="/xl/tables/table22.xml" ContentType="application/vnd.openxmlformats-officedocument.spreadsheetml.table+xml"/>
  <Override PartName="/xl/worksheets/sheet25.xml" ContentType="application/vnd.openxmlformats-officedocument.spreadsheetml.worksheet+xml"/>
  <Override PartName="/xl/tables/table23.xml" ContentType="application/vnd.openxmlformats-officedocument.spreadsheetml.table+xml"/>
  <Override PartName="/xl/worksheets/sheet26.xml" ContentType="application/vnd.openxmlformats-officedocument.spreadsheetml.worksheet+xml"/>
  <Override PartName="/xl/tables/table24.xml" ContentType="application/vnd.openxmlformats-officedocument.spreadsheetml.table+xml"/>
  <Override PartName="/xl/worksheets/sheet27.xml" ContentType="application/vnd.openxmlformats-officedocument.spreadsheetml.worksheet+xml"/>
  <Override PartName="/xl/tables/table25.xml" ContentType="application/vnd.openxmlformats-officedocument.spreadsheetml.table+xml"/>
  <Override PartName="/xl/worksheets/sheet28.xml" ContentType="application/vnd.openxmlformats-officedocument.spreadsheetml.worksheet+xml"/>
  <Override PartName="/xl/tables/table26.xml" ContentType="application/vnd.openxmlformats-officedocument.spreadsheetml.table+xml"/>
  <Override PartName="/xl/worksheets/sheet29.xml" ContentType="application/vnd.openxmlformats-officedocument.spreadsheetml.worksheet+xml"/>
  <Override PartName="/xl/tables/table27.xml" ContentType="application/vnd.openxmlformats-officedocument.spreadsheetml.table+xml"/>
  <Override PartName="/xl/worksheets/sheet30.xml" ContentType="application/vnd.openxmlformats-officedocument.spreadsheetml.worksheet+xml"/>
  <Override PartName="/xl/tables/table28.xml" ContentType="application/vnd.openxmlformats-officedocument.spreadsheetml.table+xml"/>
  <Override PartName="/xl/worksheets/sheet31.xml" ContentType="application/vnd.openxmlformats-officedocument.spreadsheetml.worksheet+xml"/>
  <Override PartName="/xl/tables/table29.xml" ContentType="application/vnd.openxmlformats-officedocument.spreadsheetml.table+xml"/>
  <Override PartName="/xl/worksheets/sheet32.xml" ContentType="application/vnd.openxmlformats-officedocument.spreadsheetml.worksheet+xml"/>
  <Override PartName="/xl/tables/table30.xml" ContentType="application/vnd.openxmlformats-officedocument.spreadsheetml.table+xml"/>
  <Override PartName="/xl/worksheets/sheet33.xml" ContentType="application/vnd.openxmlformats-officedocument.spreadsheetml.worksheet+xml"/>
  <Override PartName="/xl/tables/table31.xml" ContentType="application/vnd.openxmlformats-officedocument.spreadsheetml.table+xml"/>
  <Override PartName="/xl/worksheets/sheet34.xml" ContentType="application/vnd.openxmlformats-officedocument.spreadsheetml.worksheet+xml"/>
  <Override PartName="/xl/tables/table32.xml" ContentType="application/vnd.openxmlformats-officedocument.spreadsheetml.table+xml"/>
  <Override PartName="/xl/worksheets/sheet35.xml" ContentType="application/vnd.openxmlformats-officedocument.spreadsheetml.worksheet+xml"/>
  <Override PartName="/xl/tables/table33.xml" ContentType="application/vnd.openxmlformats-officedocument.spreadsheetml.table+xml"/>
  <Override PartName="/xl/worksheets/sheet36.xml" ContentType="application/vnd.openxmlformats-officedocument.spreadsheetml.worksheet+xml"/>
  <Override PartName="/xl/tables/table34.xml" ContentType="application/vnd.openxmlformats-officedocument.spreadsheetml.table+xml"/>
  <Override PartName="/xl/worksheets/sheet37.xml" ContentType="application/vnd.openxmlformats-officedocument.spreadsheetml.worksheet+xml"/>
  <Override PartName="/xl/tables/table35.xml" ContentType="application/vnd.openxmlformats-officedocument.spreadsheetml.table+xml"/>
  <Override PartName="/xl/worksheets/sheet38.xml" ContentType="application/vnd.openxmlformats-officedocument.spreadsheetml.worksheet+xml"/>
  <Override PartName="/xl/tables/table36.xml" ContentType="application/vnd.openxmlformats-officedocument.spreadsheetml.table+xml"/>
  <Override PartName="/xl/worksheets/sheet39.xml" ContentType="application/vnd.openxmlformats-officedocument.spreadsheetml.worksheet+xml"/>
  <Override PartName="/xl/tables/table37.xml" ContentType="application/vnd.openxmlformats-officedocument.spreadsheetml.table+xml"/>
  <Override PartName="/xl/worksheets/sheet40.xml" ContentType="application/vnd.openxmlformats-officedocument.spreadsheetml.worksheet+xml"/>
  <Override PartName="/xl/tables/table38.xml" ContentType="application/vnd.openxmlformats-officedocument.spreadsheetml.table+xml"/>
  <Override PartName="/xl/worksheets/sheet41.xml" ContentType="application/vnd.openxmlformats-officedocument.spreadsheetml.worksheet+xml"/>
  <Override PartName="/xl/tables/table39.xml" ContentType="application/vnd.openxmlformats-officedocument.spreadsheetml.table+xml"/>
  <Override PartName="/xl/worksheets/sheet42.xml" ContentType="application/vnd.openxmlformats-officedocument.spreadsheetml.worksheet+xml"/>
  <Override PartName="/xl/tables/table40.xml" ContentType="application/vnd.openxmlformats-officedocument.spreadsheetml.table+xml"/>
  <Override PartName="/xl/worksheets/sheet43.xml" ContentType="application/vnd.openxmlformats-officedocument.spreadsheetml.worksheet+xml"/>
  <Override PartName="/xl/tables/table41.xml" ContentType="application/vnd.openxmlformats-officedocument.spreadsheetml.table+xml"/>
  <Override PartName="/xl/worksheets/sheet44.xml" ContentType="application/vnd.openxmlformats-officedocument.spreadsheetml.worksheet+xml"/>
  <Override PartName="/xl/tables/table42.xml" ContentType="application/vnd.openxmlformats-officedocument.spreadsheetml.table+xml"/>
  <Override PartName="/xl/worksheets/sheet45.xml" ContentType="application/vnd.openxmlformats-officedocument.spreadsheetml.worksheet+xml"/>
  <Override PartName="/xl/tables/table43.xml" ContentType="application/vnd.openxmlformats-officedocument.spreadsheetml.table+xml"/>
  <Override PartName="/xl/worksheets/sheet46.xml" ContentType="application/vnd.openxmlformats-officedocument.spreadsheetml.worksheet+xml"/>
  <Override PartName="/xl/tables/table44.xml" ContentType="application/vnd.openxmlformats-officedocument.spreadsheetml.table+xml"/>
  <Override PartName="/xl/worksheets/sheet47.xml" ContentType="application/vnd.openxmlformats-officedocument.spreadsheetml.worksheet+xml"/>
  <Override PartName="/xl/tables/table45.xml" ContentType="application/vnd.openxmlformats-officedocument.spreadsheetml.table+xml"/>
  <Override PartName="/xl/worksheets/sheet48.xml" ContentType="application/vnd.openxmlformats-officedocument.spreadsheetml.worksheet+xml"/>
  <Override PartName="/xl/tables/table46.xml" ContentType="application/vnd.openxmlformats-officedocument.spreadsheetml.table+xml"/>
  <Override PartName="/xl/worksheets/sheet49.xml" ContentType="application/vnd.openxmlformats-officedocument.spreadsheetml.worksheet+xml"/>
  <Override PartName="/xl/tables/table47.xml" ContentType="application/vnd.openxmlformats-officedocument.spreadsheetml.table+xml"/>
  <Override PartName="/xl/worksheets/sheet50.xml" ContentType="application/vnd.openxmlformats-officedocument.spreadsheetml.worksheet+xml"/>
  <Override PartName="/xl/tables/table48.xml" ContentType="application/vnd.openxmlformats-officedocument.spreadsheetml.table+xml"/>
  <Override PartName="/xl/worksheets/sheet51.xml" ContentType="application/vnd.openxmlformats-officedocument.spreadsheetml.worksheet+xml"/>
  <Override PartName="/xl/tables/table49.xml" ContentType="application/vnd.openxmlformats-officedocument.spreadsheetml.table+xml"/>
  <Override PartName="/xl/worksheets/sheet52.xml" ContentType="application/vnd.openxmlformats-officedocument.spreadsheetml.worksheet+xml"/>
  <Override PartName="/xl/tables/table50.xml" ContentType="application/vnd.openxmlformats-officedocument.spreadsheetml.table+xml"/>
  <Override PartName="/xl/worksheets/sheet53.xml" ContentType="application/vnd.openxmlformats-officedocument.spreadsheetml.worksheet+xml"/>
  <Override PartName="/xl/tables/table51.xml" ContentType="application/vnd.openxmlformats-officedocument.spreadsheetml.table+xml"/>
  <Override PartName="/xl/worksheets/sheet54.xml" ContentType="application/vnd.openxmlformats-officedocument.spreadsheetml.worksheet+xml"/>
  <Override PartName="/xl/tables/table52.xml" ContentType="application/vnd.openxmlformats-officedocument.spreadsheetml.table+xml"/>
  <Override PartName="/xl/worksheets/sheet55.xml" ContentType="application/vnd.openxmlformats-officedocument.spreadsheetml.worksheet+xml"/>
  <Override PartName="/xl/tables/table53.xml" ContentType="application/vnd.openxmlformats-officedocument.spreadsheetml.table+xml"/>
  <Override PartName="/xl/worksheets/sheet56.xml" ContentType="application/vnd.openxmlformats-officedocument.spreadsheetml.worksheet+xml"/>
  <Override PartName="/xl/tables/table54.xml" ContentType="application/vnd.openxmlformats-officedocument.spreadsheetml.table+xml"/>
  <Override PartName="/xl/worksheets/sheet57.xml" ContentType="application/vnd.openxmlformats-officedocument.spreadsheetml.worksheet+xml"/>
  <Override PartName="/xl/tables/table55.xml" ContentType="application/vnd.openxmlformats-officedocument.spreadsheetml.table+xml"/>
  <Override PartName="/xl/worksheets/sheet58.xml" ContentType="application/vnd.openxmlformats-officedocument.spreadsheetml.worksheet+xml"/>
  <Override PartName="/xl/tables/table56.xml" ContentType="application/vnd.openxmlformats-officedocument.spreadsheetml.table+xml"/>
  <Override PartName="/xl/worksheets/sheet59.xml" ContentType="application/vnd.openxmlformats-officedocument.spreadsheetml.worksheet+xml"/>
  <Override PartName="/xl/tables/table57.xml" ContentType="application/vnd.openxmlformats-officedocument.spreadsheetml.table+xml"/>
  <Override PartName="/xl/worksheets/sheet60.xml" ContentType="application/vnd.openxmlformats-officedocument.spreadsheetml.worksheet+xml"/>
  <Override PartName="/xl/tables/table5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ackaging Configuration" sheetId="2" state="visible" r:id="rId2"/>
    <sheet name="Component Master" sheetId="3" state="visible" r:id="rId3"/>
    <sheet name="Product Master" sheetId="4" state="visible" r:id="rId4"/>
    <sheet name="Shipment" sheetId="5" state="visible" r:id="rId5"/>
    <sheet name="Statements" sheetId="6" state="visible" r:id="rId6"/>
    <sheet name="Technical File" sheetId="7" state="visible" r:id="rId7"/>
    <sheet name="Declaration of Conformity" sheetId="8" state="visible" r:id="rId8"/>
    <sheet name="NAV" sheetId="9" state="hidden" r:id="rId9"/>
    <sheet name="SEARCH" sheetId="10" state="hidden" r:id="rId10"/>
    <sheet name="SYS_WORKBOOK_INFO" sheetId="11" state="hidden" r:id="rId11"/>
    <sheet name="SYS_PARAMETER" sheetId="12" state="hidden" r:id="rId12"/>
    <sheet name="LKP_STATUS" sheetId="13" state="hidden" r:id="rId13"/>
    <sheet name="LKP_UOM" sheetId="14" state="hidden" r:id="rId14"/>
    <sheet name="LKP_PACKAGING_LEVEL" sheetId="15" state="hidden" r:id="rId15"/>
    <sheet name="LKP_PACKAGING_FUNCTION" sheetId="16" state="hidden" r:id="rId16"/>
    <sheet name="LKP_COMPONENT_TYPE" sheetId="17" state="hidden" r:id="rId17"/>
    <sheet name="LKP_MATERIAL_FAMILY" sheetId="18" state="hidden" r:id="rId18"/>
    <sheet name="LKP_PPWR_MATERIAL_CATEGORY" sheetId="19" state="hidden" r:id="rId19"/>
    <sheet name="LKP_MATERIAL" sheetId="20" state="hidden" r:id="rId20"/>
    <sheet name="LKP_RECYCLABILITY_CLASS" sheetId="21" state="hidden" r:id="rId21"/>
    <sheet name="LKP_OWNERSHIP_TYPE" sheetId="22" state="hidden" r:id="rId22"/>
    <sheet name="LKP_TRANSPORT_UNIT_TYPE" sheetId="23" state="hidden" r:id="rId23"/>
    <sheet name="LKP_LINE_ROLE" sheetId="24" state="hidden" r:id="rId24"/>
    <sheet name="LKP_PRODUCT_CATEGORY" sheetId="25" state="hidden" r:id="rId25"/>
    <sheet name="LKP_COUNTRY" sheetId="26" state="hidden" r:id="rId26"/>
    <sheet name="LKP_TRANSPORT_MODE" sheetId="27" state="hidden" r:id="rId27"/>
    <sheet name="LKP_INCOTERM" sheetId="28" state="hidden" r:id="rId28"/>
    <sheet name="LKP_STATEMENT_TYPE" sheetId="29" state="hidden" r:id="rId29"/>
    <sheet name="LKP_DOCUMENT_TYPE" sheetId="30" state="hidden" r:id="rId30"/>
    <sheet name="LKP_SCENARIO_TYPE" sheetId="31" state="hidden" r:id="rId31"/>
    <sheet name="LEGAL_ENTITY" sheetId="32" state="hidden" r:id="rId32"/>
    <sheet name="PERSON" sheetId="33" state="hidden" r:id="rId33"/>
    <sheet name="SUPPLIER" sheetId="34" state="hidden" r:id="rId34"/>
    <sheet name="CUSTOMER" sheetId="35" state="hidden" r:id="rId35"/>
    <sheet name="PLANT" sheetId="36" state="hidden" r:id="rId36"/>
    <sheet name="COMPONENT_MATERIAL" sheetId="37" state="hidden" r:id="rId37"/>
    <sheet name="PACKAGING_CONFIGURATION_LINE" sheetId="38" state="hidden" r:id="rId38"/>
    <sheet name="TRANSPORT_CONFIGURATION" sheetId="39" state="hidden" r:id="rId39"/>
    <sheet name="TRANSPORT_CONFIGURATION_LINE" sheetId="40" state="hidden" r:id="rId40"/>
    <sheet name="COMMERCIAL_SCENARIO" sheetId="41" state="hidden" r:id="rId41"/>
    <sheet name="SHIPMENT_LINE" sheetId="42" state="hidden" r:id="rId42"/>
    <sheet name="STATEMENT_SHIPMENT" sheetId="43" state="hidden" r:id="rId43"/>
    <sheet name="STATEMENT_LINE" sheetId="44" state="hidden" r:id="rId44"/>
    <sheet name="DOCUMENT_LIBRARY" sheetId="45" state="hidden" r:id="rId45"/>
    <sheet name="DOCUMENT_LINK" sheetId="46" state="hidden" r:id="rId46"/>
    <sheet name="SYS_RELATIONSHIPS" sheetId="47" state="hidden" r:id="rId47"/>
    <sheet name="ENG_MATERIAL_WEIGHT" sheetId="48" state="hidden" r:id="rId48"/>
    <sheet name="ENG_PACKAGING_WEIGHT" sheetId="49" state="hidden" r:id="rId49"/>
    <sheet name="ENG_TRANSPORT_WEIGHT" sheetId="50" state="hidden" r:id="rId50"/>
    <sheet name="ENG_SHIPMENT_WEIGHT" sheetId="51" state="hidden" r:id="rId51"/>
    <sheet name="ENG_PLASTIC_SUMMARY" sheetId="52" state="hidden" r:id="rId52"/>
    <sheet name="ENG_PAPER_SUMMARY" sheetId="53" state="hidden" r:id="rId53"/>
    <sheet name="ENG_WOOD_SUMMARY" sheetId="54" state="hidden" r:id="rId54"/>
    <sheet name="ENG_STATEMENT" sheetId="55" state="hidden" r:id="rId55"/>
    <sheet name="ENG_TECHNICAL_FILE" sheetId="56" state="hidden" r:id="rId56"/>
    <sheet name="ENG_DECLARATION" sheetId="57" state="hidden" r:id="rId57"/>
    <sheet name="ENG_IMPACT_ANALYSIS" sheetId="58" state="hidden" r:id="rId58"/>
    <sheet name="ENG_VALIDATION" sheetId="59" state="hidden" r:id="rId59"/>
    <sheet name="DOC_ENGINE_VARS" sheetId="60" state="hidden" r:id="rId60"/>
  </sheets>
  <definedNames>
    <definedName name="NR_INFO_KEY">'SYS_WORKBOOK_INFO'!$A$2:$A$1048576</definedName>
    <definedName name="NR_PARAMETER_ID">'SYS_PARAMETER'!$A$2:$A$1048576</definedName>
    <definedName name="NR_STATUS_ID">'LKP_STATUS'!$A$2:$A$1048576</definedName>
    <definedName name="NR_UOM_ID">'LKP_UOM'!$A$2:$A$1048576</definedName>
    <definedName name="NR_PACKAGING_LEVEL_ID">'LKP_PACKAGING_LEVEL'!$A$2:$A$1048576</definedName>
    <definedName name="NR_PACKAGING_FUNCTION_ID">'LKP_PACKAGING_FUNCTION'!$A$2:$A$1048576</definedName>
    <definedName name="NR_COMPONENT_TYPE_ID">'LKP_COMPONENT_TYPE'!$A$2:$A$1048576</definedName>
    <definedName name="NR_MATERIAL_FAMILY_ID">'LKP_MATERIAL_FAMILY'!$A$2:$A$1048576</definedName>
    <definedName name="NR_PPWR_MATERIAL_CATEGORY_ID">'LKP_PPWR_MATERIAL_CATEGORY'!$A$2:$A$1048576</definedName>
    <definedName name="NR_MATERIAL_ID">'LKP_MATERIAL'!$A$2:$A$1048576</definedName>
    <definedName name="NR_RECYCLABILITY_CLASS_ID">'LKP_RECYCLABILITY_CLASS'!$A$2:$A$1048576</definedName>
    <definedName name="NR_OWNERSHIP_TYPE_ID">'LKP_OWNERSHIP_TYPE'!$A$2:$A$1048576</definedName>
    <definedName name="NR_TRANSPORT_UNIT_TYPE_ID">'LKP_TRANSPORT_UNIT_TYPE'!$A$2:$A$1048576</definedName>
    <definedName name="NR_LINE_ROLE_ID">'LKP_LINE_ROLE'!$A$2:$A$1048576</definedName>
    <definedName name="NR_PRODUCT_CATEGORY_ID">'LKP_PRODUCT_CATEGORY'!$A$2:$A$1048576</definedName>
    <definedName name="NR_COUNTRY_ID">'LKP_COUNTRY'!$A$2:$A$1048576</definedName>
    <definedName name="NR_TRANSPORT_MODE_ID">'LKP_TRANSPORT_MODE'!$A$2:$A$1048576</definedName>
    <definedName name="NR_INCOTERM_ID">'LKP_INCOTERM'!$A$2:$A$1048576</definedName>
    <definedName name="NR_STATEMENT_TYPE_ID">'LKP_STATEMENT_TYPE'!$A$2:$A$1048576</definedName>
    <definedName name="NR_DOCUMENT_TYPE_ID">'LKP_DOCUMENT_TYPE'!$A$2:$A$1048576</definedName>
    <definedName name="NR_SCENARIO_TYPE_ID">'LKP_SCENARIO_TYPE'!$A$2:$A$1048576</definedName>
    <definedName name="NR_LEGAL_ENTITY_ID">'LEGAL_ENTITY'!$A$2:$A$1048576</definedName>
    <definedName name="NR_PERSON_ID">'PERSON'!$A$2:$A$1048576</definedName>
    <definedName name="NR_SUPPLIER_ID">'SUPPLIER'!$A$2:$A$1048576</definedName>
    <definedName name="NR_CUSTOMER_ID">'CUSTOMER'!$A$2:$A$1048576</definedName>
    <definedName name="NR_PLANT_ID">'PLANT'!$A$2:$A$1048576</definedName>
    <definedName name="NR_COMPONENT_MATERIAL_ID">'COMPONENT_MATERIAL'!$A$2:$A$1048576</definedName>
    <definedName name="NR_TRANSPORT_CONFIGURATION_ID">'TRANSPORT_CONFIGURATION'!$A$2:$A$1048576</definedName>
    <definedName name="NR_TRANSPORT_CONFIGURATION_LINE_ID">'TRANSPORT_CONFIGURATION_LINE'!$A$2:$A$1048576</definedName>
    <definedName name="NR_COMMERCIAL_SCENARIO_ID">'COMMERCIAL_SCENARIO'!$A$2:$A$1048576</definedName>
    <definedName name="NR_SHIPMENT_LINE_ID">'SHIPMENT_LINE'!$A$2:$A$1048576</definedName>
    <definedName name="NR_STATEMENT_SHIPMENT_ID">'STATEMENT_SHIPMENT'!$A$2:$A$1048576</definedName>
    <definedName name="NR_STATEMENT_LINE_ID">'STATEMENT_LINE'!$A$2:$A$1048576</definedName>
    <definedName name="NR_DOCUMENT_ID">'DOCUMENT_LIBRARY'!$A$2:$A$1048576</definedName>
    <definedName name="NR_DOCUMENT_LINK_ID">'DOCUMENT_LINK'!$A$2:$A$1048576</definedName>
    <definedName name="NR_RELATIONSHIP_ID">'SYS_RELATIONSHIPS'!$A$2:$A$1048576</definedName>
    <definedName name="NR_PRODUCT_ID">'Product Master'!$A$2:$A$1048576</definedName>
    <definedName name="NR_COMPONENT_ID">'Component Master'!$A$2:$A$1048576</definedName>
    <definedName name="NR_PACKAGING_CONFIGURATION_ID">'Packaging Configuration'!$A$2:$A$1048576</definedName>
    <definedName name="NR_SHIPMENT_ID">'Shipment'!$A$2:$A$1048576</definedName>
    <definedName name="NR_TECHNICAL_FILE_ID">'Technical File'!$A$2:$A$1048576</definedName>
    <definedName name="NR_DECLARATION_OF_CONFORMITY_ID">'Declaration of Conformity'!$A$2:$A$1048576</definedName>
    <definedName name="NR_STATEMENT_ID">'Statements'!$A$2:$A$1048576</definedName>
    <definedName name="NR_PACKAGING_CONFIGURATION_LINE_ID">'Packaging Configuration'!$A$10:$A$1048576</definedName>
    <definedName name="NR_SEARCH_TERM">'Dashboard'!$C$40</definedName>
    <definedName name="NR_WZ_PACK_CFG_ID">'Dashboard'!$D$8</definedName>
    <definedName name="NR_WZ_SCENARIO_ID">'Dashboard'!$D$9</definedName>
    <definedName name="NR_WZ_QTY">'Dashboard'!$D$10</definedName>
    <definedName name="NR_WZ_LOT">'Dashboard'!$D$11</definedName>
    <definedName name="NR_WZ_SHIPMENT_NO">'Dashboard'!$D$12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A2540"/>
      <sz val="20"/>
    </font>
    <font>
      <name val="Calibri"/>
      <color rgb="005D6D7E"/>
      <sz val="10"/>
    </font>
    <font>
      <name val="Calibri"/>
      <b val="1"/>
      <color rgb="001B4F72"/>
      <sz val="14"/>
    </font>
    <font>
      <name val="Calibri"/>
      <b val="1"/>
      <color rgb="00FFFFFF"/>
      <sz val="11"/>
    </font>
    <font>
      <name val="Calibri"/>
      <color rgb="000A2540"/>
      <sz val="11"/>
    </font>
    <font>
      <name val="Calibri"/>
      <b val="1"/>
      <color rgb="000A2540"/>
      <sz val="16"/>
    </font>
    <font>
      <name val="Calibri"/>
      <b val="1"/>
      <color rgb="000563C1"/>
      <sz val="11"/>
      <u val="single"/>
    </font>
    <font>
      <name val="Calibri"/>
      <b val="1"/>
      <color rgb="00FFFFFF"/>
      <sz val="13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0A2540"/>
      </patternFill>
    </fill>
    <fill>
      <patternFill patternType="solid">
        <fgColor rgb="00FFF4CC"/>
      </patternFill>
    </fill>
    <fill>
      <patternFill patternType="solid">
        <fgColor rgb="00F4F7FA"/>
      </patternFill>
    </fill>
    <fill>
      <patternFill patternType="solid">
        <fgColor rgb="00D6EAF8"/>
      </patternFill>
    </fill>
    <fill>
      <patternFill patternType="solid">
        <fgColor rgb="00E0E0E0"/>
      </patternFill>
    </fill>
    <fill>
      <patternFill patternType="solid">
        <fgColor rgb="001B4F72"/>
      </patternFill>
    </fill>
    <fill>
      <patternFill patternType="solid">
        <fgColor rgb="00C8E6C9"/>
      </patternFill>
    </fill>
    <fill>
      <patternFill patternType="solid">
        <fgColor rgb="001F4E79"/>
      </patternFill>
    </fill>
  </fills>
  <borders count="6">
    <border>
      <left/>
      <right/>
      <top/>
      <bottom/>
      <diagonal/>
    </border>
    <border>
      <left style="thin">
        <color rgb="00BFCFD9"/>
      </left>
      <right style="thin">
        <color rgb="00BFCFD9"/>
      </right>
      <top style="thin">
        <color rgb="00BFCFD9"/>
      </top>
      <bottom style="thin">
        <color rgb="00BFCFD9"/>
      </bottom>
    </border>
    <border>
      <left/>
      <right/>
      <top style="thin">
        <color rgb="00BFCFD9"/>
      </top>
      <bottom/>
      <diagonal/>
    </border>
    <border>
      <left/>
      <right style="thin">
        <color rgb="00BFCFD9"/>
      </right>
      <top style="thin">
        <color rgb="00BFCFD9"/>
      </top>
      <bottom/>
      <diagonal/>
    </border>
    <border>
      <left/>
      <right/>
      <top style="thin">
        <color rgb="00BFCFD9"/>
      </top>
      <bottom style="thin">
        <color rgb="00BFCFD9"/>
      </bottom>
      <diagonal/>
    </border>
    <border>
      <left/>
      <right style="thin">
        <color rgb="00BFCFD9"/>
      </right>
      <top style="thin">
        <color rgb="00BFCFD9"/>
      </top>
      <bottom style="thin">
        <color rgb="00BFCFD9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2" fillId="4" borderId="0" pivotButton="0" quotePrefix="0" xfId="0"/>
    <xf numFmtId="0" fontId="8" fillId="2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7" borderId="0" pivotButton="0" quotePrefix="0" xfId="0"/>
    <xf numFmtId="0" fontId="5" fillId="6" borderId="1" applyAlignment="1" pivotButton="0" quotePrefix="0" xfId="0">
      <alignment horizontal="center" vertical="center" wrapText="1"/>
    </xf>
    <xf numFmtId="0" fontId="3" fillId="4" borderId="0" pivotButton="0" quotePrefix="0" xfId="0"/>
    <xf numFmtId="0" fontId="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3" borderId="1" applyProtection="1" pivotButton="0" quotePrefix="0" xfId="0">
      <protection locked="0" hidden="0"/>
    </xf>
    <xf numFmtId="0" fontId="0" fillId="8" borderId="1" pivotButton="0" quotePrefix="0" xfId="0"/>
    <xf numFmtId="0" fontId="4" fillId="7" borderId="1" pivotButton="0" quotePrefix="0" xfId="0"/>
    <xf numFmtId="0" fontId="6" fillId="8" borderId="1" pivotButton="0" quotePrefix="0" xfId="0"/>
    <xf numFmtId="0" fontId="0" fillId="8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6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5" fillId="3" borderId="1" applyAlignment="1" applyProtection="1" pivotButton="0" quotePrefix="0" xfId="0">
      <alignment horizontal="left" vertical="center" wrapText="1"/>
      <protection locked="0" hidden="0"/>
    </xf>
    <xf numFmtId="0" fontId="5" fillId="6" borderId="1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8" borderId="1" pivotButton="0" quotePrefix="0" xfId="0"/>
    <xf numFmtId="0" fontId="4" fillId="2" borderId="0" pivotButton="0" quotePrefix="0" xfId="0"/>
    <xf numFmtId="0" fontId="2" fillId="5" borderId="0" pivotButton="0" quotePrefix="0" xfId="0"/>
    <xf numFmtId="0" fontId="2" fillId="3" borderId="0" pivotButton="0" quotePrefix="0" xfId="0"/>
    <xf numFmtId="0" fontId="2" fillId="8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3" borderId="1" applyProtection="1" pivotButton="0" quotePrefix="0" xfId="0">
      <protection locked="0" hidden="0"/>
    </xf>
    <xf numFmtId="0" fontId="5" fillId="0" borderId="0" pivotButton="0" quotePrefix="0" xfId="0"/>
    <xf numFmtId="0" fontId="7" fillId="0" borderId="0" pivotButton="0" quotePrefix="0" xfId="0"/>
    <xf numFmtId="0" fontId="5" fillId="5" borderId="1" applyAlignment="1" pivotButton="0" quotePrefix="0" xfId="0">
      <alignment horizontal="left" vertical="center" wrapText="1"/>
    </xf>
    <xf numFmtId="0" fontId="9" fillId="9" borderId="0" pivotButton="0" quotePrefix="0" xfId="0"/>
  </cellXfs>
  <cellStyles count="1">
    <cellStyle name="Normal" xfId="0" builtinId="0" hidden="0"/>
  </cellStyles>
  <dxfs count="7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5700"/>
      </font>
      <fill>
        <patternFill patternType="solid">
          <fgColor rgb="00FFEB9C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595959"/>
      </font>
      <fill>
        <patternFill patternType="solid">
          <fgColor rgb="00D9D9D9"/>
        </patternFill>
      </fill>
    </dxf>
    <dxf>
      <fill>
        <patternFill patternType="solid">
          <fgColor rgb="00F5B7B1"/>
        </patternFill>
      </fill>
    </dxf>
    <dxf>
      <fill>
        <patternFill patternType="solid">
          <fgColor rgb="00F9E79F"/>
        </patternFill>
      </fill>
    </dxf>
    <dxf>
      <fill>
        <patternFill patternType="solid">
          <fgColor rgb="00D5F5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styles" Target="styles.xml" Id="rId61" /><Relationship Type="http://schemas.openxmlformats.org/officeDocument/2006/relationships/theme" Target="theme/theme1.xml" Id="rId62" /></Relationships>
</file>

<file path=xl/tables/table1.xml><?xml version="1.0" encoding="utf-8"?>
<table xmlns="http://schemas.openxmlformats.org/spreadsheetml/2006/main" id="1" name="T_PACKAGING_CONFIGURATION" displayName="T_PACKAGING_CONFIGURATION" ref="A5:L6" headerRowCount="1">
  <autoFilter ref="A1:L2"/>
  <tableColumns count="12">
    <tableColumn id="1" name="PACKAGING_CONFIGURATION_ID"/>
    <tableColumn id="2" name="CONFIG_GROUP_CODE"/>
    <tableColumn id="3" name="REVISION_NO"/>
    <tableColumn id="4" name="PACKAGING_CONFIGURATION_NAME"/>
    <tableColumn id="5" name="DESCRIPTION"/>
    <tableColumn id="6" name="SUPERSEDES_ID"/>
    <tableColumn id="7" name="STATUS_ID"/>
    <tableColumn id="8" name="EFFECTIVE_FROM"/>
    <tableColumn id="9" name="EFFECTIVE_TO"/>
    <tableColumn id="10" name="NOTES"/>
    <tableColumn id="11" name="CREATED_AT"/>
    <tableColumn id="12" name="UPDATED_A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PACKAGING_CONFIGURATION_LINE" displayName="T_PACKAGING_CONFIGURATION_LINE" ref="A9:H10" headerRowCount="1">
  <autoFilter ref="A9:H10"/>
  <tableColumns count="8">
    <tableColumn id="1" name="PACKAGING_CONFIGURATION_LINE_ID"/>
    <tableColumn id="2" name="PACKAGING_CONFIGURATION_ID"/>
    <tableColumn id="3" name="COMPONENT_ID"/>
    <tableColumn id="4" name="QUANTITY"/>
    <tableColumn id="5" name="LINE_ROLE_ID"/>
    <tableColumn id="6" name="SORT_ORDER"/>
    <tableColumn id="7" name="IS_OPTIONAL"/>
    <tableColumn id="8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COMPONENT" displayName="T_COMPONENT" ref="A5:W6" headerRowCount="1">
  <autoFilter ref="A1:W2"/>
  <tableColumns count="23">
    <tableColumn id="1" name="COMPONENT_ID"/>
    <tableColumn id="2" name="COMPONENT_CODE"/>
    <tableColumn id="3" name="COMPONENT_NAME"/>
    <tableColumn id="4" name="COMPONENT_TYPE_ID"/>
    <tableColumn id="5" name="PACKAGING_LEVEL_ID"/>
    <tableColumn id="6" name="PACKAGING_FUNCTION_ID"/>
    <tableColumn id="7" name="OWNERSHIP_TYPE_ID"/>
    <tableColumn id="8" name="SUPPLIER_ID"/>
    <tableColumn id="9" name="WEIGHT_G"/>
    <tableColumn id="10" name="LENGTH_MM"/>
    <tableColumn id="11" name="WIDTH_MM"/>
    <tableColumn id="12" name="HEIGHT_MM"/>
    <tableColumn id="13" name="RECYCLED_CONTENT_PCT"/>
    <tableColumn id="14" name="RECYCLABILITY_CLASS_ID"/>
    <tableColumn id="15" name="REUSE_CYCLE_TARGET"/>
    <tableColumn id="16" name="SPEC_REF"/>
    <tableColumn id="17" name="STATUS_ID"/>
    <tableColumn id="18" name="EFFECTIVE_FROM"/>
    <tableColumn id="19" name="EFFECTIVE_TO"/>
    <tableColumn id="20" name="EXTERNAL_REF"/>
    <tableColumn id="21" name="NOTES"/>
    <tableColumn id="22" name="CREATED_AT"/>
    <tableColumn id="23" name="UPDATED_A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PRODUCT" displayName="T_PRODUCT" ref="A5:O6" headerRowCount="1">
  <autoFilter ref="A1:O2"/>
  <tableColumns count="15">
    <tableColumn id="1" name="PRODUCT_ID"/>
    <tableColumn id="2" name="PRODUCT_CODE"/>
    <tableColumn id="3" name="PRODUCT_NAME"/>
    <tableColumn id="4" name="PRODUCT_CATEGORY_ID"/>
    <tableColumn id="5" name="NET_WEIGHT_G"/>
    <tableColumn id="6" name="LENGTH_MM"/>
    <tableColumn id="7" name="WIDTH_MM"/>
    <tableColumn id="8" name="HEIGHT_MM"/>
    <tableColumn id="9" name="STATUS_ID"/>
    <tableColumn id="10" name="EFFECTIVE_FROM"/>
    <tableColumn id="11" name="EFFECTIVE_TO"/>
    <tableColumn id="12" name="EXTERNAL_REF"/>
    <tableColumn id="13" name="NOTES"/>
    <tableColumn id="14" name="CREATED_AT"/>
    <tableColumn id="15" name="UPDATED_A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SHIPMENT" displayName="T_SHIPMENT" ref="A5:P6" headerRowCount="1">
  <autoFilter ref="A1:P2"/>
  <tableColumns count="16">
    <tableColumn id="1" name="SHIPMENT_ID"/>
    <tableColumn id="2" name="SHIPMENT_NUMBER"/>
    <tableColumn id="3" name="COMMERCIAL_SCENARIO_ID"/>
    <tableColumn id="4" name="PLANT_ID"/>
    <tableColumn id="5" name="SHIP_DATE"/>
    <tableColumn id="6" name="QTY_PRODUCT_UNITS"/>
    <tableColumn id="7" name="PACKAGING_CONFIGURATION_ID"/>
    <tableColumn id="8" name="TRANSPORT_CONFIGURATION_ID"/>
    <tableColumn id="9" name="DESTINATION_COUNTRY_ID"/>
    <tableColumn id="10" name="TRANSPORT_MODE_ID"/>
    <tableColumn id="11" name="STATUS_ID"/>
    <tableColumn id="12" name="EXTERNAL_REF"/>
    <tableColumn id="13" name="NOTES"/>
    <tableColumn id="14" name="CONFIRMED_AT"/>
    <tableColumn id="15" name="CREATED_AT"/>
    <tableColumn id="16" name="UPDATED_A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STATEMENT" displayName="T_STATEMENT" ref="A5:N6" headerRowCount="1">
  <autoFilter ref="A1:N2"/>
  <tableColumns count="14">
    <tableColumn id="1" name="STATEMENT_ID"/>
    <tableColumn id="2" name="STATEMENT_CODE"/>
    <tableColumn id="3" name="STATEMENT_TYPE_ID"/>
    <tableColumn id="4" name="LEGAL_ENTITY_ID"/>
    <tableColumn id="5" name="COUNTRY_ID"/>
    <tableColumn id="6" name="PERIOD_YEAR"/>
    <tableColumn id="7" name="PERIOD_MONTH"/>
    <tableColumn id="8" name="PERIOD_FROM"/>
    <tableColumn id="9" name="PERIOD_TO"/>
    <tableColumn id="10" name="STATUS_ID"/>
    <tableColumn id="11" name="GENERATED_AT"/>
    <tableColumn id="12" name="APPROVED_BY_PERSON_ID"/>
    <tableColumn id="13" name="APPROVED_AT"/>
    <tableColumn id="14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TECHNICAL_FILE" displayName="T_TECHNICAL_FILE" ref="A5:R6" headerRowCount="1">
  <autoFilter ref="A1:R2"/>
  <tableColumns count="18">
    <tableColumn id="1" name="TECHNICAL_FILE_ID"/>
    <tableColumn id="2" name="TECHNICAL_FILE_CODE"/>
    <tableColumn id="3" name="TITLE"/>
    <tableColumn id="4" name="COMPONENT_ID"/>
    <tableColumn id="5" name="PACKAGING_CONFIGURATION_ID"/>
    <tableColumn id="6" name="TRANSPORT_CONFIGURATION_ID"/>
    <tableColumn id="7" name="REVISION_NO"/>
    <tableColumn id="8" name="ASSESSMENT_DATE"/>
    <tableColumn id="9" name="RECYCLABILITY_SUMMARY"/>
    <tableColumn id="10" name="SUBSTANCE_OF_CONCERN_NOTES"/>
    <tableColumn id="11" name="DESIGN_FOR_RECYCLING_NOTES"/>
    <tableColumn id="12" name="OWNER_PERSON_ID"/>
    <tableColumn id="13" name="STATUS_ID"/>
    <tableColumn id="14" name="EFFECTIVE_FROM"/>
    <tableColumn id="15" name="EFFECTIVE_TO"/>
    <tableColumn id="16" name="NOTES"/>
    <tableColumn id="17" name="CREATED_AT"/>
    <tableColumn id="18" name="UPDATED_A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DECLARATION_OF_CONFORMITY" displayName="T_DECLARATION_OF_CONFORMITY" ref="A5:S6" headerRowCount="1">
  <autoFilter ref="A1:S2"/>
  <tableColumns count="19">
    <tableColumn id="1" name="DECLARATION_OF_CONFORMITY_ID"/>
    <tableColumn id="2" name="DOC_NUMBER"/>
    <tableColumn id="3" name="TITLE"/>
    <tableColumn id="4" name="LEGAL_ENTITY_ID"/>
    <tableColumn id="5" name="PRODUCT_ID"/>
    <tableColumn id="6" name="PACKAGING_CONFIGURATION_ID"/>
    <tableColumn id="7" name="TRANSPORT_CONFIGURATION_ID"/>
    <tableColumn id="8" name="TECHNICAL_FILE_ID"/>
    <tableColumn id="9" name="RESPONSIBLE_PERSON_ID"/>
    <tableColumn id="10" name="REGULATION_REFERENCE"/>
    <tableColumn id="11" name="CONFORMITY_STATEMENT"/>
    <tableColumn id="12" name="ISSUE_DATE"/>
    <tableColumn id="13" name="VALID_UNTIL"/>
    <tableColumn id="14" name="REVISION_NO"/>
    <tableColumn id="15" name="STATUS_ID"/>
    <tableColumn id="16" name="APPROVED_AT"/>
    <tableColumn id="17" name="NOTES"/>
    <tableColumn id="18" name="CREATED_AT"/>
    <tableColumn id="19" name="UPDATED_A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SYS_WORKBOOK_INFO" displayName="T_SYS_WORKBOOK_INFO" ref="A1:C8" headerRowCount="1">
  <autoFilter ref="A1:C8"/>
  <tableColumns count="3">
    <tableColumn id="1" name="INFO_KEY"/>
    <tableColumn id="2" name="INFO_VALUE"/>
    <tableColumn id="3" name="UPDATED_A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SYS_PARAMETER" displayName="T_SYS_PARAMETER" ref="A1:D4" headerRowCount="1">
  <autoFilter ref="A1:D4"/>
  <tableColumns count="4">
    <tableColumn id="1" name="PARAMETER_ID"/>
    <tableColumn id="2" name="PARAMETER_CODE"/>
    <tableColumn id="3" name="PARAMETER_VALUE"/>
    <tableColumn id="4" name="DESCRIPT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LKP_STATUS" displayName="T_LKP_STATUS" ref="A1:F9" headerRowCount="1">
  <autoFilter ref="A1:F9"/>
  <tableColumns count="6">
    <tableColumn id="1" name="STATUS_ID"/>
    <tableColumn id="2" name="STATUS_CODE"/>
    <tableColumn id="3" name="STATUS_NAME"/>
    <tableColumn id="4" name="STATUS_DOMAIN"/>
    <tableColumn id="5" name="IS_EDITABLE"/>
    <tableColumn id="6" name="SORT_ORDER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_LKP_UOM" displayName="T_LKP_UOM" ref="A1:D7" headerRowCount="1">
  <autoFilter ref="A1:D7"/>
  <tableColumns count="4">
    <tableColumn id="1" name="UOM_ID"/>
    <tableColumn id="2" name="UOM_CODE"/>
    <tableColumn id="3" name="UOM_NAME"/>
    <tableColumn id="4" name="UOM_DIMENSION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_LKP_PACKAGING_LEVEL" displayName="T_LKP_PACKAGING_LEVEL" ref="A1:D4" headerRowCount="1">
  <autoFilter ref="A1:D4"/>
  <tableColumns count="4">
    <tableColumn id="1" name="PACKAGING_LEVEL_ID"/>
    <tableColumn id="2" name="PACKAGING_LEVEL_CODE"/>
    <tableColumn id="3" name="PACKAGING_LEVEL_NAME"/>
    <tableColumn id="4" name="SORT_ORDER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_LKP_PACKAGING_FUNCTION" displayName="T_LKP_PACKAGING_FUNCTION" ref="A1:C4" headerRowCount="1">
  <autoFilter ref="A1:C4"/>
  <tableColumns count="3">
    <tableColumn id="1" name="PACKAGING_FUNCTION_ID"/>
    <tableColumn id="2" name="PACKAGING_FUNCTION_CODE"/>
    <tableColumn id="3" name="PACKAGING_FUNCTION_NAM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_LKP_COMPONENT_TYPE" displayName="T_LKP_COMPONENT_TYPE" ref="A1:D15" headerRowCount="1">
  <autoFilter ref="A1:D15"/>
  <tableColumns count="4">
    <tableColumn id="1" name="COMPONENT_TYPE_ID"/>
    <tableColumn id="2" name="COMPONENT_TYPE_CODE"/>
    <tableColumn id="3" name="COMPONENT_TYPE_NAME"/>
    <tableColumn id="4" name="DEFAULT_PACKAGING_LEVEL_ID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_LKP_MATERIAL_FAMILY" displayName="T_LKP_MATERIAL_FAMILY" ref="A1:C7" headerRowCount="1">
  <autoFilter ref="A1:C7"/>
  <tableColumns count="3">
    <tableColumn id="1" name="MATERIAL_FAMILY_ID"/>
    <tableColumn id="2" name="MATERIAL_FAMILY_CODE"/>
    <tableColumn id="3" name="MATERIAL_FAMILY_NAM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_LKP_PPWR_MATERIAL_CATEGORY" displayName="T_LKP_PPWR_MATERIAL_CATEGORY" ref="A1:C8" headerRowCount="1">
  <autoFilter ref="A1:C8"/>
  <tableColumns count="3">
    <tableColumn id="1" name="PPWR_MATERIAL_CATEGORY_ID"/>
    <tableColumn id="2" name="PPWR_MATERIAL_CATEGORY_CODE"/>
    <tableColumn id="3" name="PPWR_MATERIAL_CATEGORY_NAM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_LKP_MATERIAL" displayName="T_LKP_MATERIAL" ref="A1:G11" headerRowCount="1">
  <autoFilter ref="A1:G11"/>
  <tableColumns count="7">
    <tableColumn id="1" name="MATERIAL_ID"/>
    <tableColumn id="2" name="MATERIAL_CODE"/>
    <tableColumn id="3" name="MATERIAL_NAME"/>
    <tableColumn id="4" name="MATERIAL_FAMILY_ID"/>
    <tableColumn id="5" name="PPWR_MATERIAL_CATEGORY_ID"/>
    <tableColumn id="6" name="IS_COMPOSITE"/>
    <tableColumn id="7" name="NOTE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_LKP_RECYCLABILITY_CLASS" displayName="T_LKP_RECYCLABILITY_CLASS" ref="A1:C5" headerRowCount="1">
  <autoFilter ref="A1:C5"/>
  <tableColumns count="3">
    <tableColumn id="1" name="RECYCLABILITY_CLASS_ID"/>
    <tableColumn id="2" name="RECYCLABILITY_CLASS_CODE"/>
    <tableColumn id="3" name="RECYCLABILITY_CLASS_NAM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_LKP_OWNERSHIP_TYPE" displayName="T_LKP_OWNERSHIP_TYPE" ref="A1:C5" headerRowCount="1">
  <autoFilter ref="A1:C5"/>
  <tableColumns count="3">
    <tableColumn id="1" name="OWNERSHIP_TYPE_ID"/>
    <tableColumn id="2" name="OWNERSHIP_TYPE_CODE"/>
    <tableColumn id="3" name="OWNERSHIP_TYPE_NAM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_LKP_TRANSPORT_UNIT_TYPE" displayName="T_LKP_TRANSPORT_UNIT_TYPE" ref="A1:C6" headerRowCount="1">
  <autoFilter ref="A1:C6"/>
  <tableColumns count="3">
    <tableColumn id="1" name="TRANSPORT_UNIT_TYPE_ID"/>
    <tableColumn id="2" name="TRANSPORT_UNIT_TYPE_CODE"/>
    <tableColumn id="3" name="TRANSPORT_UNIT_TYPE_NAM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_LKP_LINE_ROLE" displayName="T_LKP_LINE_ROLE" ref="A1:C12" headerRowCount="1">
  <autoFilter ref="A1:C12"/>
  <tableColumns count="3">
    <tableColumn id="1" name="LINE_ROLE_ID"/>
    <tableColumn id="2" name="LINE_ROLE_CODE"/>
    <tableColumn id="3" name="LINE_ROLE_NAM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_LKP_PRODUCT_CATEGORY" displayName="T_LKP_PRODUCT_CATEGORY" ref="A1:C4" headerRowCount="1">
  <autoFilter ref="A1:C4"/>
  <tableColumns count="3">
    <tableColumn id="1" name="PRODUCT_CATEGORY_ID"/>
    <tableColumn id="2" name="PRODUCT_CATEGORY_CODE"/>
    <tableColumn id="3" name="PRODUCT_CATEGORY_NAM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T_LKP_COUNTRY" displayName="T_LKP_COUNTRY" ref="A1:E11" headerRowCount="1">
  <autoFilter ref="A1:E11"/>
  <tableColumns count="5">
    <tableColumn id="1" name="COUNTRY_ID"/>
    <tableColumn id="2" name="ISO2"/>
    <tableColumn id="3" name="ISO3"/>
    <tableColumn id="4" name="COUNTRY_NAME"/>
    <tableColumn id="5" name="IS_EU_MARKET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T_LKP_TRANSPORT_MODE" displayName="T_LKP_TRANSPORT_MODE" ref="A1:C6" headerRowCount="1">
  <autoFilter ref="A1:C6"/>
  <tableColumns count="3">
    <tableColumn id="1" name="TRANSPORT_MODE_ID"/>
    <tableColumn id="2" name="TRANSPORT_MODE_CODE"/>
    <tableColumn id="3" name="TRANSPORT_MODE_NAME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T_LKP_INCOTERM" displayName="T_LKP_INCOTERM" ref="A1:C7" headerRowCount="1">
  <autoFilter ref="A1:C7"/>
  <tableColumns count="3">
    <tableColumn id="1" name="INCOTERM_ID"/>
    <tableColumn id="2" name="INCOTERM_CODE"/>
    <tableColumn id="3" name="INCOTERM_NAM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_LKP_STATEMENT_TYPE" displayName="T_LKP_STATEMENT_TYPE" ref="A1:C4" headerRowCount="1">
  <autoFilter ref="A1:C4"/>
  <tableColumns count="3">
    <tableColumn id="1" name="STATEMENT_TYPE_ID"/>
    <tableColumn id="2" name="STATEMENT_TYPE_CODE"/>
    <tableColumn id="3" name="STATEMENT_TYPE_NAME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T_LKP_DOCUMENT_TYPE" displayName="T_LKP_DOCUMENT_TYPE" ref="A1:C7" headerRowCount="1">
  <autoFilter ref="A1:C7"/>
  <tableColumns count="3">
    <tableColumn id="1" name="DOCUMENT_TYPE_ID"/>
    <tableColumn id="2" name="DOCUMENT_TYPE_CODE"/>
    <tableColumn id="3" name="DOCUMENT_TYPE_NAME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T_LKP_SCENARIO_TYPE" displayName="T_LKP_SCENARIO_TYPE" ref="A1:C6" headerRowCount="1">
  <autoFilter ref="A1:C6"/>
  <tableColumns count="3">
    <tableColumn id="1" name="SCENARIO_TYPE_ID"/>
    <tableColumn id="2" name="SCENARIO_TYPE_CODE"/>
    <tableColumn id="3" name="SCENARIO_TYPE_NAME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T_LEGAL_ENTITY" displayName="T_LEGAL_ENTITY" ref="A1:F2" headerRowCount="1">
  <autoFilter ref="A1:F2"/>
  <tableColumns count="6">
    <tableColumn id="1" name="LEGAL_ENTITY_ID"/>
    <tableColumn id="2" name="LEGAL_ENTITY_CODE"/>
    <tableColumn id="3" name="LEGAL_ENTITY_NAME"/>
    <tableColumn id="4" name="COUNTRY_ID"/>
    <tableColumn id="5" name="STATUS_ID"/>
    <tableColumn id="6" name="NOTES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T_PERSON" displayName="T_PERSON" ref="A1:F2" headerRowCount="1">
  <autoFilter ref="A1:F2"/>
  <tableColumns count="6">
    <tableColumn id="1" name="PERSON_ID"/>
    <tableColumn id="2" name="PERSON_CODE"/>
    <tableColumn id="3" name="FULL_NAME"/>
    <tableColumn id="4" name="EMAIL"/>
    <tableColumn id="5" name="JOB_TITLE"/>
    <tableColumn id="6" name="STATUS_ID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T_SUPPLIER" displayName="T_SUPPLIER" ref="A1:G2" headerRowCount="1">
  <autoFilter ref="A1:G2"/>
  <tableColumns count="7">
    <tableColumn id="1" name="SUPPLIER_ID"/>
    <tableColumn id="2" name="SUPPLIER_CODE"/>
    <tableColumn id="3" name="SUPPLIER_NAME"/>
    <tableColumn id="4" name="COUNTRY_ID"/>
    <tableColumn id="5" name="STATUS_ID"/>
    <tableColumn id="6" name="EXTERNAL_REF"/>
    <tableColumn id="7" name="NOTES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T_CUSTOMER" displayName="T_CUSTOMER" ref="A1:G2" headerRowCount="1">
  <autoFilter ref="A1:G2"/>
  <tableColumns count="7">
    <tableColumn id="1" name="CUSTOMER_ID"/>
    <tableColumn id="2" name="CUSTOMER_CODE"/>
    <tableColumn id="3" name="CUSTOMER_NAME"/>
    <tableColumn id="4" name="COUNTRY_ID"/>
    <tableColumn id="5" name="STATUS_ID"/>
    <tableColumn id="6" name="EXTERNAL_REF"/>
    <tableColumn id="7" name="NOTES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T_PLANT" displayName="T_PLANT" ref="A1:G2" headerRowCount="1">
  <autoFilter ref="A1:G2"/>
  <tableColumns count="7">
    <tableColumn id="1" name="PLANT_ID"/>
    <tableColumn id="2" name="PLANT_CODE"/>
    <tableColumn id="3" name="PLANT_NAME"/>
    <tableColumn id="4" name="LEGAL_ENTITY_ID"/>
    <tableColumn id="5" name="COUNTRY_ID"/>
    <tableColumn id="6" name="STATUS_ID"/>
    <tableColumn id="7" name="EXTERNAL_REF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T_COMPONENT_MATERIAL" displayName="T_COMPONENT_MATERIAL" ref="A1:F2" headerRowCount="1">
  <autoFilter ref="A1:F2"/>
  <tableColumns count="6">
    <tableColumn id="1" name="COMPONENT_MATERIAL_ID"/>
    <tableColumn id="2" name="COMPONENT_ID"/>
    <tableColumn id="3" name="MATERIAL_ID"/>
    <tableColumn id="4" name="SHARE_PCT"/>
    <tableColumn id="5" name="SORT_ORDER"/>
    <tableColumn id="6" name="NOTES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T_PKG_LINE_STUB" displayName="T_PKG_LINE_STUB" ref="A1:B2" headerRowCount="1">
  <autoFilter ref="A1:B2"/>
  <tableColumns count="2">
    <tableColumn id="1" name="NOTE"/>
    <tableColumn id="2" name="DETAIL"/>
  </tableColumns>
</table>
</file>

<file path=xl/tables/table37.xml><?xml version="1.0" encoding="utf-8"?>
<table xmlns="http://schemas.openxmlformats.org/spreadsheetml/2006/main" id="37" name="T_TRANSPORT_CONFIGURATION" displayName="T_TRANSPORT_CONFIGURATION" ref="A1:Q2" headerRowCount="1">
  <autoFilter ref="A1:Q2"/>
  <tableColumns count="17">
    <tableColumn id="1" name="TRANSPORT_CONFIGURATION_ID"/>
    <tableColumn id="2" name="CONFIG_GROUP_CODE"/>
    <tableColumn id="3" name="REVISION_NO"/>
    <tableColumn id="4" name="TRANSPORT_CONFIGURATION_NAME"/>
    <tableColumn id="5" name="PACKAGING_CONFIGURATION_ID"/>
    <tableColumn id="6" name="TRANSPORT_UNIT_TYPE_ID"/>
    <tableColumn id="7" name="UNITS_PER_LAYER"/>
    <tableColumn id="8" name="LAYERS_PER_UNIT"/>
    <tableColumn id="9" name="CONTAINER_PAYLOAD_UNITS"/>
    <tableColumn id="10" name="MAX_GROSS_WEIGHT_KG"/>
    <tableColumn id="11" name="SUPERSEDES_ID"/>
    <tableColumn id="12" name="STATUS_ID"/>
    <tableColumn id="13" name="EFFECTIVE_FROM"/>
    <tableColumn id="14" name="EFFECTIVE_TO"/>
    <tableColumn id="15" name="NOTES"/>
    <tableColumn id="16" name="CREATED_AT"/>
    <tableColumn id="17" name="UPDATED_AT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T_TRANSPORT_CONFIGURATION_LINE" displayName="T_TRANSPORT_CONFIGURATION_LINE" ref="A1:G2" headerRowCount="1">
  <autoFilter ref="A1:G2"/>
  <tableColumns count="7">
    <tableColumn id="1" name="TRANSPORT_CONFIGURATION_LINE_ID"/>
    <tableColumn id="2" name="TRANSPORT_CONFIGURATION_ID"/>
    <tableColumn id="3" name="COMPONENT_ID"/>
    <tableColumn id="4" name="QUANTITY_PER_TRANSPORT_UNIT"/>
    <tableColumn id="5" name="LINE_ROLE_ID"/>
    <tableColumn id="6" name="SORT_ORDER"/>
    <tableColumn id="7" name="NOTES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T_COMMERCIAL_SCENARIO" displayName="T_COMMERCIAL_SCENARIO" ref="A1:P2" headerRowCount="1">
  <autoFilter ref="A1:P2"/>
  <tableColumns count="16">
    <tableColumn id="1" name="COMMERCIAL_SCENARIO_ID"/>
    <tableColumn id="2" name="COMMERCIAL_SCENARIO_CODE"/>
    <tableColumn id="3" name="COMMERCIAL_SCENARIO_NAME"/>
    <tableColumn id="4" name="SCENARIO_TYPE_ID"/>
    <tableColumn id="5" name="PRODUCT_ID"/>
    <tableColumn id="6" name="TRANSPORT_CONFIGURATION_ID"/>
    <tableColumn id="7" name="CUSTOMER_ID"/>
    <tableColumn id="8" name="DESTINATION_COUNTRY_ID"/>
    <tableColumn id="9" name="INCOTERM_ID"/>
    <tableColumn id="10" name="TRANSPORT_MODE_ID"/>
    <tableColumn id="11" name="STATUS_ID"/>
    <tableColumn id="12" name="VALID_FROM"/>
    <tableColumn id="13" name="VALID_TO"/>
    <tableColumn id="14" name="NOTES"/>
    <tableColumn id="15" name="CREATED_AT"/>
    <tableColumn id="16" name="UPDATED_AT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T_SHIPMENT_LINE" displayName="T_SHIPMENT_LINE" ref="A1:L2" headerRowCount="1">
  <autoFilter ref="A1:L2"/>
  <tableColumns count="12">
    <tableColumn id="1" name="SHIPMENT_LINE_ID"/>
    <tableColumn id="2" name="SHIPMENT_ID"/>
    <tableColumn id="3" name="COMPONENT_ID"/>
    <tableColumn id="4" name="MATERIAL_ID"/>
    <tableColumn id="5" name="PACKAGING_LEVEL_ID"/>
    <tableColumn id="6" name="PACKAGING_FUNCTION_ID"/>
    <tableColumn id="7" name="OWNERSHIP_TYPE_ID"/>
    <tableColumn id="8" name="COMPONENT_QTY"/>
    <tableColumn id="9" name="WEIGHT_G"/>
    <tableColumn id="10" name="RECYCLED_CONTENT_PCT"/>
    <tableColumn id="11" name="SOURCE_LAYER"/>
    <tableColumn id="12" name="NOTES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T_STATEMENT_SHIPMENT" displayName="T_STATEMENT_SHIPMENT" ref="A1:D2" headerRowCount="1">
  <autoFilter ref="A1:D2"/>
  <tableColumns count="4">
    <tableColumn id="1" name="STATEMENT_SHIPMENT_ID"/>
    <tableColumn id="2" name="STATEMENT_ID"/>
    <tableColumn id="3" name="SHIPMENT_ID"/>
    <tableColumn id="4" name="INCLUDED_AT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T_STATEMENT_LINE" displayName="T_STATEMENT_LINE" ref="A1:I2" headerRowCount="1">
  <autoFilter ref="A1:I2"/>
  <tableColumns count="9">
    <tableColumn id="1" name="STATEMENT_LINE_ID"/>
    <tableColumn id="2" name="STATEMENT_ID"/>
    <tableColumn id="3" name="MATERIAL_ID"/>
    <tableColumn id="4" name="PACKAGING_LEVEL_ID"/>
    <tableColumn id="5" name="OWNERSHIP_TYPE_ID"/>
    <tableColumn id="6" name="TOTAL_WEIGHT_KG"/>
    <tableColumn id="7" name="RECYCLED_CONTENT_WEIGHT_KG"/>
    <tableColumn id="8" name="SOURCE_SHIPMENT_COUNT"/>
    <tableColumn id="9" name="NOTES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T_DOCUMENT_LIBRARY" displayName="T_DOCUMENT_LIBRARY" ref="A1:K2" headerRowCount="1">
  <autoFilter ref="A1:K2"/>
  <tableColumns count="11">
    <tableColumn id="1" name="DOCUMENT_ID"/>
    <tableColumn id="2" name="DOCUMENT_CODE"/>
    <tableColumn id="3" name="DOCUMENT_TITLE"/>
    <tableColumn id="4" name="DOCUMENT_TYPE_ID"/>
    <tableColumn id="5" name="FILE_URI"/>
    <tableColumn id="6" name="FILE_HASH"/>
    <tableColumn id="7" name="ISSUE_DATE"/>
    <tableColumn id="8" name="STATUS_ID"/>
    <tableColumn id="9" name="NOTES"/>
    <tableColumn id="10" name="CREATED_AT"/>
    <tableColumn id="11" name="UPDATED_AT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T_DOCUMENT_LINK" displayName="T_DOCUMENT_LINK" ref="A1:K2" headerRowCount="1">
  <autoFilter ref="A1:K2"/>
  <tableColumns count="11">
    <tableColumn id="1" name="DOCUMENT_LINK_ID"/>
    <tableColumn id="2" name="DOCUMENT_ID"/>
    <tableColumn id="3" name="COMPONENT_ID"/>
    <tableColumn id="4" name="PRODUCT_ID"/>
    <tableColumn id="5" name="PACKAGING_CONFIGURATION_ID"/>
    <tableColumn id="6" name="TRANSPORT_CONFIGURATION_ID"/>
    <tableColumn id="7" name="TECHNICAL_FILE_ID"/>
    <tableColumn id="8" name="DECLARATION_OF_CONFORMITY_ID"/>
    <tableColumn id="9" name="STATEMENT_ID"/>
    <tableColumn id="10" name="SORT_ORDER"/>
    <tableColumn id="11" name="NOTES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T_SYS_RELATIONSHIPS" displayName="T_SYS_RELATIONSHIPS" ref="A1:H91" headerRowCount="1">
  <autoFilter ref="A1:H91"/>
  <tableColumns count="8">
    <tableColumn id="1" name="RELATIONSHIP_ID"/>
    <tableColumn id="2" name="FROM_TABLE"/>
    <tableColumn id="3" name="FROM_COLUMN"/>
    <tableColumn id="4" name="TO_TABLE"/>
    <tableColumn id="5" name="TO_COLUMN"/>
    <tableColumn id="6" name="TO_NAMED_RANGE"/>
    <tableColumn id="7" name="IS_REQUIRED"/>
    <tableColumn id="8" name="RELATIONSHIP_CODE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id="46" name="T_ENG_MATERIAL_WEIGHT" displayName="T_ENG_MATERIAL_WEIGHT" ref="A1:I51" headerRowCount="1">
  <autoFilter ref="A1:I51"/>
  <tableColumns count="9">
    <tableColumn id="1" name="ROW_INDEX"/>
    <tableColumn id="2" name="COMPONENT_MATERIAL_ID"/>
    <tableColumn id="3" name="COMPONENT_ID"/>
    <tableColumn id="4" name="MATERIAL_ID"/>
    <tableColumn id="5" name="SHARE_PCT"/>
    <tableColumn id="6" name="UNIT_WEIGHT_G"/>
    <tableColumn id="7" name="MATERIAL_WEIGHT_G"/>
    <tableColumn id="8" name="MATERIAL_FAMILY_ID"/>
    <tableColumn id="9" name="MATERIAL_FAMILY_CODE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id="47" name="T_ENG_PACKAGING_WEIGHT" displayName="T_ENG_PACKAGING_WEIGHT" ref="A1:H51" headerRowCount="1">
  <autoFilter ref="A1:H51"/>
  <tableColumns count="8">
    <tableColumn id="1" name="ROW_INDEX"/>
    <tableColumn id="2" name="PACKAGING_CONFIGURATION_LINE_ID"/>
    <tableColumn id="3" name="PACKAGING_CONFIGURATION_ID"/>
    <tableColumn id="4" name="COMPONENT_ID"/>
    <tableColumn id="5" name="QUANTITY"/>
    <tableColumn id="6" name="IS_OPTIONAL"/>
    <tableColumn id="7" name="UNIT_WEIGHT_G"/>
    <tableColumn id="8" name="LINE_WEIGHT_G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id="48" name="T_ENG_TRANSPORT_WEIGHT" displayName="T_ENG_TRANSPORT_WEIGHT" ref="A1:G51" headerRowCount="1">
  <autoFilter ref="A1:G51"/>
  <tableColumns count="7">
    <tableColumn id="1" name="ROW_INDEX"/>
    <tableColumn id="2" name="TRANSPORT_CONFIGURATION_LINE_ID"/>
    <tableColumn id="3" name="TRANSPORT_CONFIGURATION_ID"/>
    <tableColumn id="4" name="COMPONENT_ID"/>
    <tableColumn id="5" name="QUANTITY_PER_TRANSPORT_UNIT"/>
    <tableColumn id="6" name="UNIT_WEIGHT_G"/>
    <tableColumn id="7" name="LINE_WEIGHT_G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id="49" name="T_ENG_SHIPMENT_WEIGHT" displayName="T_ENG_SHIPMENT_WEIGHT" ref="A1:O51" headerRowCount="1">
  <autoFilter ref="A1:O51"/>
  <tableColumns count="15">
    <tableColumn id="1" name="ROW_INDEX"/>
    <tableColumn id="2" name="SHIPMENT_ID"/>
    <tableColumn id="3" name="SHIPMENT_NUMBER"/>
    <tableColumn id="4" name="QTY_PRODUCT_UNITS"/>
    <tableColumn id="5" name="PACKAGING_CONFIGURATION_ID"/>
    <tableColumn id="6" name="TRANSPORT_CONFIGURATION_ID"/>
    <tableColumn id="7" name="UNITS_PER_LAYER"/>
    <tableColumn id="8" name="LAYERS_PER_UNIT"/>
    <tableColumn id="9" name="CONTAINER_PAYLOAD_UNITS"/>
    <tableColumn id="10" name="UNITS_PER_TRANSPORT_UNIT"/>
    <tableColumn id="11" name="PACKAGING_WEIGHT_PER_UNIT_G"/>
    <tableColumn id="12" name="TRANSPORT_WEIGHT_PER_UNIT_G"/>
    <tableColumn id="13" name="TOTAL_WEIGHT_PER_UNIT_G"/>
    <tableColumn id="14" name="SHIPMENT_PACKAGING_WEIGHT_G"/>
    <tableColumn id="15" name="SHIPMENT_PACKAGING_WEIGHT_KG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id="50" name="T_ENG_PLASTIC_SUMMARY" displayName="T_ENG_PLASTIC_SUMMARY" ref="A1:E2" headerRowCount="1">
  <autoFilter ref="A1:E2"/>
  <tableColumns count="5">
    <tableColumn id="1" name="MATERIAL_FAMILY_CODE"/>
    <tableColumn id="2" name="LINE_COUNT"/>
    <tableColumn id="3" name="TOTAL_MATERIAL_WEIGHT_G"/>
    <tableColumn id="4" name="TOTAL_MATERIAL_WEIGHT_KG"/>
    <tableColumn id="5" name="SHARE_OF_ALL_MATERIAL_PCT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id="51" name="T_ENG_PAPER_SUMMARY" displayName="T_ENG_PAPER_SUMMARY" ref="A1:E2" headerRowCount="1">
  <autoFilter ref="A1:E2"/>
  <tableColumns count="5">
    <tableColumn id="1" name="MATERIAL_FAMILY_CODE"/>
    <tableColumn id="2" name="LINE_COUNT"/>
    <tableColumn id="3" name="TOTAL_MATERIAL_WEIGHT_G"/>
    <tableColumn id="4" name="TOTAL_MATERIAL_WEIGHT_KG"/>
    <tableColumn id="5" name="SHARE_OF_ALL_MATERIAL_PCT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id="52" name="T_ENG_WOOD_SUMMARY" displayName="T_ENG_WOOD_SUMMARY" ref="A1:E2" headerRowCount="1">
  <autoFilter ref="A1:E2"/>
  <tableColumns count="5">
    <tableColumn id="1" name="MATERIAL_FAMILY_CODE"/>
    <tableColumn id="2" name="LINE_COUNT"/>
    <tableColumn id="3" name="TOTAL_MATERIAL_WEIGHT_G"/>
    <tableColumn id="4" name="TOTAL_MATERIAL_WEIGHT_KG"/>
    <tableColumn id="5" name="SHARE_OF_ALL_MATERIAL_PCT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id="53" name="T_ENG_STATEMENT" displayName="T_ENG_STATEMENT" ref="A1:L51" headerRowCount="1">
  <autoFilter ref="A1:L51"/>
  <tableColumns count="12">
    <tableColumn id="1" name="ROW_INDEX"/>
    <tableColumn id="2" name="STATEMENT_ID"/>
    <tableColumn id="3" name="STATEMENT_CODE"/>
    <tableColumn id="4" name="MATERIAL_ID"/>
    <tableColumn id="5" name="PACKAGING_LEVEL_ID"/>
    <tableColumn id="6" name="OWNERSHIP_TYPE_ID"/>
    <tableColumn id="7" name="FROZEN_TOTAL_WEIGHT_KG"/>
    <tableColumn id="8" name="RECOMPUTED_WEIGHT_G"/>
    <tableColumn id="9" name="RECOMPUTED_WEIGHT_KG"/>
    <tableColumn id="10" name="VARIANCE_KG"/>
    <tableColumn id="11" name="SOURCE_SHIPMENT_COUNT"/>
    <tableColumn id="12" name="RECONCILE_STATUS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id="54" name="T_ENG_TECHNICAL_FILE" displayName="T_ENG_TECHNICAL_FILE" ref="A1:J51" headerRowCount="1">
  <autoFilter ref="A1:J51"/>
  <tableColumns count="10">
    <tableColumn id="1" name="ROW_INDEX"/>
    <tableColumn id="2" name="TECHNICAL_FILE_ID"/>
    <tableColumn id="3" name="TECHNICAL_FILE_CODE"/>
    <tableColumn id="4" name="SUBJECT_COUNT"/>
    <tableColumn id="5" name="HAS_EXACTLY_ONE_SUBJECT"/>
    <tableColumn id="6" name="DOCUMENT_LINK_COUNT"/>
    <tableColumn id="7" name="HAS_DOCUMENT"/>
    <tableColumn id="8" name="STATUS_ID"/>
    <tableColumn id="9" name="COMPLETENESS_SCORE"/>
    <tableColumn id="10" name="ENGINE_STATUS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id="55" name="T_ENG_DECLARATION" displayName="T_ENG_DECLARATION" ref="A1:K51" headerRowCount="1">
  <autoFilter ref="A1:K51"/>
  <tableColumns count="11">
    <tableColumn id="1" name="ROW_INDEX"/>
    <tableColumn id="2" name="DECLARATION_OF_CONFORMITY_ID"/>
    <tableColumn id="3" name="DOC_NUMBER"/>
    <tableColumn id="4" name="HAS_LEGAL_ENTITY"/>
    <tableColumn id="5" name="HAS_TECHNICAL_FILE"/>
    <tableColumn id="6" name="HAS_RESPONSIBLE_PERSON"/>
    <tableColumn id="7" name="SCOPE_COUNT"/>
    <tableColumn id="8" name="HAS_SCOPE"/>
    <tableColumn id="9" name="DOCUMENT_LINK_COUNT"/>
    <tableColumn id="10" name="COMPLETENESS_SCORE"/>
    <tableColumn id="11" name="ENGINE_STATUS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id="56" name="T_ENG_IMPACT_ANALYSIS" displayName="T_ENG_IMPACT_ANALYSIS" ref="A1:L51" headerRowCount="1">
  <autoFilter ref="A1:L51"/>
  <tableColumns count="12">
    <tableColumn id="1" name="ROW_INDEX"/>
    <tableColumn id="2" name="COMPONENT_ID"/>
    <tableColumn id="3" name="COMPONENT_CODE"/>
    <tableColumn id="4" name="WEIGHT_G"/>
    <tableColumn id="5" name="USED_IN_PKG_LINES"/>
    <tableColumn id="6" name="USED_IN_TRN_LINES"/>
    <tableColumn id="7" name="AFFECTED_PACKAGING_CONFIGS"/>
    <tableColumn id="8" name="AFFECTED_TRANSPORT_CONFIGS"/>
    <tableColumn id="9" name="AFFECTED_SCENARIOS"/>
    <tableColumn id="10" name="AFFECTED_SHIPMENTS"/>
    <tableColumn id="11" name="IMPACT_SCORE"/>
    <tableColumn id="12" name="IMPACT_LEVEL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id="57" name="T_ENG_VALIDATION" displayName="T_ENG_VALIDATION" ref="A1:E28" headerRowCount="1">
  <autoFilter ref="A1:E28"/>
  <tableColumns count="5">
    <tableColumn id="1" name="ROW_INDEX"/>
    <tableColumn id="2" name="RULE_ID"/>
    <tableColumn id="3" name="RULE_NAME"/>
    <tableColumn id="4" name="RESULT"/>
    <tableColumn id="5" name="SEVERITY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id="58" name="T_DOC_ENGINE_VARS" displayName="T_DOC_ENGINE_VARS" ref="A1:D70" headerRowCount="1">
  <autoFilter ref="A1:D70"/>
  <tableColumns count="4">
    <tableColumn id="1" name="DOCUMENT_TYPE"/>
    <tableColumn id="2" name="TOKEN"/>
    <tableColumn id="3" name="SOURCE"/>
    <tableColumn id="4" name="WORD_PLACEHOLDER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ackaging Configuration'!A1" TargetMode="External" Id="rId1" /><Relationship Type="http://schemas.openxmlformats.org/officeDocument/2006/relationships/hyperlink" Target="#Shipment!A1" TargetMode="External" Id="rId2" /><Relationship Type="http://schemas.openxmlformats.org/officeDocument/2006/relationships/hyperlink" Target="#Statements!A1" TargetMode="External" Id="rId3" /><Relationship Type="http://schemas.openxmlformats.org/officeDocument/2006/relationships/hyperlink" Target="#'Declaration of Conformity'!A1" TargetMode="External" Id="rId4" /><Relationship Type="http://schemas.openxmlformats.org/officeDocument/2006/relationships/hyperlink" Target="#'Technical File'!A1" TargetMode="External" Id="rId5" /><Relationship Type="http://schemas.openxmlformats.org/officeDocument/2006/relationships/hyperlink" Target="#'Component Master'!A1" TargetMode="External" Id="rId6" /><Relationship Type="http://schemas.openxmlformats.org/officeDocument/2006/relationships/hyperlink" Target="#'Product Master'!A1" TargetMode="External" Id="rId7" /><Relationship Type="http://schemas.openxmlformats.org/officeDocument/2006/relationships/hyperlink" Target="#'Packaging Configuration'!A1" TargetMode="External" Id="rId8" /><Relationship Type="http://schemas.openxmlformats.org/officeDocument/2006/relationships/hyperlink" Target="#Shipment!A1" TargetMode="External" Id="rId9" /><Relationship Type="http://schemas.openxmlformats.org/officeDocument/2006/relationships/hyperlink" Target="#Shipment!A1" TargetMode="External" Id="rId10" /><Relationship Type="http://schemas.openxmlformats.org/officeDocument/2006/relationships/hyperlink" Target="#Shipment!A1" TargetMode="External" Id="rId11" /><Relationship Type="http://schemas.openxmlformats.org/officeDocument/2006/relationships/hyperlink" Target="#Shipment!A1" TargetMode="External" Id="rId12" /><Relationship Type="http://schemas.openxmlformats.org/officeDocument/2006/relationships/hyperlink" Target="#Statements!A1" TargetMode="External" Id="rId13" /><Relationship Type="http://schemas.openxmlformats.org/officeDocument/2006/relationships/hyperlink" Target="#'Declaration of Conformity'!A1" TargetMode="External" Id="rId14" /><Relationship Type="http://schemas.openxmlformats.org/officeDocument/2006/relationships/hyperlink" Target="#'Technical File'!A1" TargetMode="External" Id="rId15" /><Relationship Type="http://schemas.openxmlformats.org/officeDocument/2006/relationships/hyperlink" Target="#Shipment!A1" TargetMode="External" Id="rId16" /></Relationships>
</file>

<file path=xl/worksheets/_rels/sheet2.xml.rels><Relationships xmlns="http://schemas.openxmlformats.org/package/2006/relationships"><Relationship Type="http://schemas.openxmlformats.org/officeDocument/2006/relationships/hyperlink" Target="#Dashboard!B4" TargetMode="External" Id="rId1" /><Relationship Type="http://schemas.openxmlformats.org/officeDocument/2006/relationships/hyperlink" Target="#Dashboard!B4" TargetMode="External" Id="rId2" /><Relationship Type="http://schemas.openxmlformats.org/officeDocument/2006/relationships/hyperlink" Target="#Dashboard!B4" TargetMode="External" Id="rId3" /><Relationship Type="http://schemas.openxmlformats.org/officeDocument/2006/relationships/table" Target="/xl/tables/table1.xml" Id="rId4" /><Relationship Type="http://schemas.openxmlformats.org/officeDocument/2006/relationships/table" Target="/xl/tables/table2.xml" Id="rId5" /></Relationships>
</file>

<file path=xl/worksheets/_rels/sheet3.xml.rels><Relationships xmlns="http://schemas.openxmlformats.org/package/2006/relationships"><Relationship Type="http://schemas.openxmlformats.org/officeDocument/2006/relationships/hyperlink" Target="#Dashboard!B4" TargetMode="External" Id="rId1" /><Relationship Type="http://schemas.openxmlformats.org/officeDocument/2006/relationships/hyperlink" Target="#Dashboard!B4" TargetMode="External" Id="rId2" /><Relationship Type="http://schemas.openxmlformats.org/officeDocument/2006/relationships/hyperlink" Target="#Dashboard!B4" TargetMode="External" Id="rId3" /><Relationship Type="http://schemas.openxmlformats.org/officeDocument/2006/relationships/table" Target="/xl/tables/table3.xml" Id="rId4" /></Relationships>
</file>

<file path=xl/worksheets/_rels/sheet4.xml.rels><Relationships xmlns="http://schemas.openxmlformats.org/package/2006/relationships"><Relationship Type="http://schemas.openxmlformats.org/officeDocument/2006/relationships/hyperlink" Target="#Dashboard!B4" TargetMode="External" Id="rId1" /><Relationship Type="http://schemas.openxmlformats.org/officeDocument/2006/relationships/hyperlink" Target="#Dashboard!B4" TargetMode="External" Id="rId2" /><Relationship Type="http://schemas.openxmlformats.org/officeDocument/2006/relationships/hyperlink" Target="#Dashboard!B4" TargetMode="External" Id="rId3" /><Relationship Type="http://schemas.openxmlformats.org/officeDocument/2006/relationships/table" Target="/xl/tables/table4.xml" Id="rId4" /></Relationships>
</file>

<file path=xl/worksheets/_rels/sheet5.xml.rels><Relationships xmlns="http://schemas.openxmlformats.org/package/2006/relationships"><Relationship Type="http://schemas.openxmlformats.org/officeDocument/2006/relationships/hyperlink" Target="#Dashboard!B4" TargetMode="External" Id="rId1" /><Relationship Type="http://schemas.openxmlformats.org/officeDocument/2006/relationships/hyperlink" Target="#Dashboard!B4" TargetMode="External" Id="rId2" /><Relationship Type="http://schemas.openxmlformats.org/officeDocument/2006/relationships/hyperlink" Target="#Dashboard!B4" TargetMode="External" Id="rId3" /><Relationship Type="http://schemas.openxmlformats.org/officeDocument/2006/relationships/table" Target="/xl/tables/table5.xml" Id="rId4" /></Relationships>
</file>

<file path=xl/worksheets/_rels/sheet6.xml.rels><Relationships xmlns="http://schemas.openxmlformats.org/package/2006/relationships"><Relationship Type="http://schemas.openxmlformats.org/officeDocument/2006/relationships/hyperlink" Target="#Dashboard!B4" TargetMode="External" Id="rId1" /><Relationship Type="http://schemas.openxmlformats.org/officeDocument/2006/relationships/hyperlink" Target="#Dashboard!B4" TargetMode="External" Id="rId2" /><Relationship Type="http://schemas.openxmlformats.org/officeDocument/2006/relationships/hyperlink" Target="#Dashboard!B4" TargetMode="External" Id="rId3" /><Relationship Type="http://schemas.openxmlformats.org/officeDocument/2006/relationships/table" Target="/xl/tables/table6.xml" Id="rId4" /></Relationships>
</file>

<file path=xl/worksheets/_rels/sheet7.xml.rels><Relationships xmlns="http://schemas.openxmlformats.org/package/2006/relationships"><Relationship Type="http://schemas.openxmlformats.org/officeDocument/2006/relationships/hyperlink" Target="#Dashboard!B4" TargetMode="External" Id="rId1" /><Relationship Type="http://schemas.openxmlformats.org/officeDocument/2006/relationships/hyperlink" Target="#Dashboard!B4" TargetMode="External" Id="rId2" /><Relationship Type="http://schemas.openxmlformats.org/officeDocument/2006/relationships/hyperlink" Target="#Dashboard!B4" TargetMode="External" Id="rId3" /><Relationship Type="http://schemas.openxmlformats.org/officeDocument/2006/relationships/table" Target="/xl/tables/table7.xml" Id="rId4" /></Relationships>
</file>

<file path=xl/worksheets/_rels/sheet8.xml.rels><Relationships xmlns="http://schemas.openxmlformats.org/package/2006/relationships"><Relationship Type="http://schemas.openxmlformats.org/officeDocument/2006/relationships/hyperlink" Target="#Dashboard!B4" TargetMode="External" Id="rId1" /><Relationship Type="http://schemas.openxmlformats.org/officeDocument/2006/relationships/hyperlink" Target="#Dashboard!B4" TargetMode="External" Id="rId2" /><Relationship Type="http://schemas.openxmlformats.org/officeDocument/2006/relationships/hyperlink" Target="#Dashboard!B4" TargetMode="External" Id="rId3" /><Relationship Type="http://schemas.openxmlformats.org/officeDocument/2006/relationships/table" Target="/xl/tables/table8.xml" Id="rId4" /></Relationships>
</file>

<file path=xl/worksheets/_rels/sheet9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hyperlink" Target="#SEARCH!A1" TargetMode="External" Id="rId2" /><Relationship Type="http://schemas.openxmlformats.org/officeDocument/2006/relationships/hyperlink" Target="#PRODUCT!A1" TargetMode="External" Id="rId3" /><Relationship Type="http://schemas.openxmlformats.org/officeDocument/2006/relationships/hyperlink" Target="#COMPONENT!A1" TargetMode="External" Id="rId4" /><Relationship Type="http://schemas.openxmlformats.org/officeDocument/2006/relationships/hyperlink" Target="#COMPONENT_MATERIAL!A1" TargetMode="External" Id="rId5" /><Relationship Type="http://schemas.openxmlformats.org/officeDocument/2006/relationships/hyperlink" Target="#PACKAGING_CONFIGURATION!A1" TargetMode="External" Id="rId6" /><Relationship Type="http://schemas.openxmlformats.org/officeDocument/2006/relationships/hyperlink" Target="#PACKAGING_CONFIGURATION_LINE!A1" TargetMode="External" Id="rId7" /><Relationship Type="http://schemas.openxmlformats.org/officeDocument/2006/relationships/hyperlink" Target="#TRANSPORT_CONFIGURATION!A1" TargetMode="External" Id="rId8" /><Relationship Type="http://schemas.openxmlformats.org/officeDocument/2006/relationships/hyperlink" Target="#TRANSPORT_CONFIGURATION_LINE!A1" TargetMode="External" Id="rId9" /><Relationship Type="http://schemas.openxmlformats.org/officeDocument/2006/relationships/hyperlink" Target="#COMMERCIAL_SCENARIO!A1" TargetMode="External" Id="rId10" /><Relationship Type="http://schemas.openxmlformats.org/officeDocument/2006/relationships/hyperlink" Target="#SHIPMENT!A1" TargetMode="External" Id="rId11" /><Relationship Type="http://schemas.openxmlformats.org/officeDocument/2006/relationships/hyperlink" Target="#SHIPMENT_LINE!A1" TargetMode="External" Id="rId12" /><Relationship Type="http://schemas.openxmlformats.org/officeDocument/2006/relationships/hyperlink" Target="#TECHNICAL_FILE!A1" TargetMode="External" Id="rId13" /><Relationship Type="http://schemas.openxmlformats.org/officeDocument/2006/relationships/hyperlink" Target="#DECLARATION_OF_CONFORMITY!A1" TargetMode="External" Id="rId14" /><Relationship Type="http://schemas.openxmlformats.org/officeDocument/2006/relationships/hyperlink" Target="#STATEMENT!A1" TargetMode="External" Id="rId15" /><Relationship Type="http://schemas.openxmlformats.org/officeDocument/2006/relationships/hyperlink" Target="#STATEMENT_SHIPMENT!A1" TargetMode="External" Id="rId16" /><Relationship Type="http://schemas.openxmlformats.org/officeDocument/2006/relationships/hyperlink" Target="#STATEMENT_LINE!A1" TargetMode="External" Id="rId17" /><Relationship Type="http://schemas.openxmlformats.org/officeDocument/2006/relationships/hyperlink" Target="#DOCUMENT_LIBRARY!A1" TargetMode="External" Id="rId18" /><Relationship Type="http://schemas.openxmlformats.org/officeDocument/2006/relationships/hyperlink" Target="#DOCUMENT_LINK!A1" TargetMode="External" Id="rId19" /><Relationship Type="http://schemas.openxmlformats.org/officeDocument/2006/relationships/hyperlink" Target="#ENG_MATERIAL_WEIGHT!A1" TargetMode="External" Id="rId20" /><Relationship Type="http://schemas.openxmlformats.org/officeDocument/2006/relationships/hyperlink" Target="#ENG_PACKAGING_WEIGHT!A1" TargetMode="External" Id="rId21" /><Relationship Type="http://schemas.openxmlformats.org/officeDocument/2006/relationships/hyperlink" Target="#ENG_TRANSPORT_WEIGHT!A1" TargetMode="External" Id="rId22" /><Relationship Type="http://schemas.openxmlformats.org/officeDocument/2006/relationships/hyperlink" Target="#ENG_SHIPMENT_WEIGHT!A1" TargetMode="External" Id="rId23" /><Relationship Type="http://schemas.openxmlformats.org/officeDocument/2006/relationships/hyperlink" Target="#ENG_PLASTIC_SUMMARY!A1" TargetMode="External" Id="rId24" /><Relationship Type="http://schemas.openxmlformats.org/officeDocument/2006/relationships/hyperlink" Target="#ENG_PAPER_SUMMARY!A1" TargetMode="External" Id="rId25" /><Relationship Type="http://schemas.openxmlformats.org/officeDocument/2006/relationships/hyperlink" Target="#ENG_WOOD_SUMMARY!A1" TargetMode="External" Id="rId26" /><Relationship Type="http://schemas.openxmlformats.org/officeDocument/2006/relationships/hyperlink" Target="#ENG_STATEMENT!A1" TargetMode="External" Id="rId27" /><Relationship Type="http://schemas.openxmlformats.org/officeDocument/2006/relationships/hyperlink" Target="#ENG_TECHNICAL_FILE!A1" TargetMode="External" Id="rId28" /><Relationship Type="http://schemas.openxmlformats.org/officeDocument/2006/relationships/hyperlink" Target="#ENG_DECLARATION!A1" TargetMode="External" Id="rId29" /><Relationship Type="http://schemas.openxmlformats.org/officeDocument/2006/relationships/hyperlink" Target="#ENG_IMPACT_ANALYSIS!A1" TargetMode="External" Id="rId30" /><Relationship Type="http://schemas.openxmlformats.org/officeDocument/2006/relationships/hyperlink" Target="#ENG_VALIDATION!A1" TargetMode="External" Id="rId31" /><Relationship Type="http://schemas.openxmlformats.org/officeDocument/2006/relationships/hyperlink" Target="#LKP_STATUS!A1" TargetMode="External" Id="rId32" /><Relationship Type="http://schemas.openxmlformats.org/officeDocument/2006/relationships/hyperlink" Target="#LKP_UOM!A1" TargetMode="External" Id="rId33" /><Relationship Type="http://schemas.openxmlformats.org/officeDocument/2006/relationships/hyperlink" Target="#LKP_PACKAGING_LEVEL!A1" TargetMode="External" Id="rId34" /><Relationship Type="http://schemas.openxmlformats.org/officeDocument/2006/relationships/hyperlink" Target="#LKP_PACKAGING_FUNCTION!A1" TargetMode="External" Id="rId35" /><Relationship Type="http://schemas.openxmlformats.org/officeDocument/2006/relationships/hyperlink" Target="#LKP_COMPONENT_TYPE!A1" TargetMode="External" Id="rId36" /><Relationship Type="http://schemas.openxmlformats.org/officeDocument/2006/relationships/hyperlink" Target="#LKP_MATERIAL_FAMILY!A1" TargetMode="External" Id="rId37" /><Relationship Type="http://schemas.openxmlformats.org/officeDocument/2006/relationships/hyperlink" Target="#LKP_PPWR_MATERIAL_CATEGORY!A1" TargetMode="External" Id="rId38" /><Relationship Type="http://schemas.openxmlformats.org/officeDocument/2006/relationships/hyperlink" Target="#LKP_MATERIAL!A1" TargetMode="External" Id="rId39" /><Relationship Type="http://schemas.openxmlformats.org/officeDocument/2006/relationships/hyperlink" Target="#LKP_RECYCLABILITY_CLASS!A1" TargetMode="External" Id="rId40" /><Relationship Type="http://schemas.openxmlformats.org/officeDocument/2006/relationships/hyperlink" Target="#LKP_OWNERSHIP_TYPE!A1" TargetMode="External" Id="rId41" /><Relationship Type="http://schemas.openxmlformats.org/officeDocument/2006/relationships/hyperlink" Target="#LKP_TRANSPORT_UNIT_TYPE!A1" TargetMode="External" Id="rId42" /><Relationship Type="http://schemas.openxmlformats.org/officeDocument/2006/relationships/hyperlink" Target="#LKP_LINE_ROLE!A1" TargetMode="External" Id="rId43" /><Relationship Type="http://schemas.openxmlformats.org/officeDocument/2006/relationships/hyperlink" Target="#LKP_PRODUCT_CATEGORY!A1" TargetMode="External" Id="rId44" /><Relationship Type="http://schemas.openxmlformats.org/officeDocument/2006/relationships/hyperlink" Target="#LKP_COUNTRY!A1" TargetMode="External" Id="rId45" /><Relationship Type="http://schemas.openxmlformats.org/officeDocument/2006/relationships/hyperlink" Target="#LKP_TRANSPORT_MODE!A1" TargetMode="External" Id="rId46" /><Relationship Type="http://schemas.openxmlformats.org/officeDocument/2006/relationships/hyperlink" Target="#LKP_INCOTERM!A1" TargetMode="External" Id="rId47" /><Relationship Type="http://schemas.openxmlformats.org/officeDocument/2006/relationships/hyperlink" Target="#LKP_STATEMENT_TYPE!A1" TargetMode="External" Id="rId48" /><Relationship Type="http://schemas.openxmlformats.org/officeDocument/2006/relationships/hyperlink" Target="#LKP_DOCUMENT_TYPE!A1" TargetMode="External" Id="rId49" /><Relationship Type="http://schemas.openxmlformats.org/officeDocument/2006/relationships/hyperlink" Target="#LKP_SCENARIO_TYPE!A1" TargetMode="External" Id="rId50" /><Relationship Type="http://schemas.openxmlformats.org/officeDocument/2006/relationships/hyperlink" Target="#LEGAL_ENTITY!A1" TargetMode="External" Id="rId51" /><Relationship Type="http://schemas.openxmlformats.org/officeDocument/2006/relationships/hyperlink" Target="#PERSON!A1" TargetMode="External" Id="rId52" /><Relationship Type="http://schemas.openxmlformats.org/officeDocument/2006/relationships/hyperlink" Target="#SUPPLIER!A1" TargetMode="External" Id="rId53" /><Relationship Type="http://schemas.openxmlformats.org/officeDocument/2006/relationships/hyperlink" Target="#CUSTOMER!A1" TargetMode="External" Id="rId54" /><Relationship Type="http://schemas.openxmlformats.org/officeDocument/2006/relationships/hyperlink" Target="#PLANT!A1" TargetMode="External" Id="rId55" /></Relationships>
</file>

<file path=xl/worksheets/_rels/sheet10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hyperlink" Target="#NAV!A1" TargetMode="External" Id="rId2" /></Relationships>
</file>

<file path=xl/worksheets/_rels/sheet11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9.xml" Id="rId2" /></Relationships>
</file>

<file path=xl/worksheets/_rels/sheet12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10.xml" Id="rId2" /></Relationships>
</file>

<file path=xl/worksheets/_rels/sheet13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11.xml" Id="rId2" /></Relationships>
</file>

<file path=xl/worksheets/_rels/sheet14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12.xml" Id="rId2" /></Relationships>
</file>

<file path=xl/worksheets/_rels/sheet15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13.xml" Id="rId2" /></Relationships>
</file>

<file path=xl/worksheets/_rels/sheet16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14.xml" Id="rId2" /></Relationships>
</file>

<file path=xl/worksheets/_rels/sheet17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15.xml" Id="rId2" /></Relationships>
</file>

<file path=xl/worksheets/_rels/sheet18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16.xml" Id="rId2" /></Relationships>
</file>

<file path=xl/worksheets/_rels/sheet19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17.xml" Id="rId2" /></Relationships>
</file>

<file path=xl/worksheets/_rels/sheet20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18.xml" Id="rId2" /></Relationships>
</file>

<file path=xl/worksheets/_rels/sheet21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19.xml" Id="rId2" /></Relationships>
</file>

<file path=xl/worksheets/_rels/sheet22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20.xml" Id="rId2" /></Relationships>
</file>

<file path=xl/worksheets/_rels/sheet23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21.xml" Id="rId2" /></Relationships>
</file>

<file path=xl/worksheets/_rels/sheet24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22.xml" Id="rId2" /></Relationships>
</file>

<file path=xl/worksheets/_rels/sheet25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23.xml" Id="rId2" /></Relationships>
</file>

<file path=xl/worksheets/_rels/sheet26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24.xml" Id="rId2" /></Relationships>
</file>

<file path=xl/worksheets/_rels/sheet27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25.xml" Id="rId2" /></Relationships>
</file>

<file path=xl/worksheets/_rels/sheet28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26.xml" Id="rId2" /></Relationships>
</file>

<file path=xl/worksheets/_rels/sheet29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27.xml" Id="rId2" /></Relationships>
</file>

<file path=xl/worksheets/_rels/sheet30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28.xml" Id="rId2" /></Relationships>
</file>

<file path=xl/worksheets/_rels/sheet31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29.xml" Id="rId2" /></Relationships>
</file>

<file path=xl/worksheets/_rels/sheet32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30.xml" Id="rId2" /></Relationships>
</file>

<file path=xl/worksheets/_rels/sheet33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31.xml" Id="rId2" /></Relationships>
</file>

<file path=xl/worksheets/_rels/sheet34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32.xml" Id="rId2" /></Relationships>
</file>

<file path=xl/worksheets/_rels/sheet35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33.xml" Id="rId2" /></Relationships>
</file>

<file path=xl/worksheets/_rels/sheet36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34.xml" Id="rId2" /></Relationships>
</file>

<file path=xl/worksheets/_rels/sheet37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35.xml" Id="rId2" /></Relationships>
</file>

<file path=xl/worksheets/_rels/sheet38.xml.rels><Relationships xmlns="http://schemas.openxmlformats.org/package/2006/relationships"><Relationship Type="http://schemas.openxmlformats.org/officeDocument/2006/relationships/table" Target="/xl/tables/table36.xm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37.xml" Id="rId2" /></Relationships>
</file>

<file path=xl/worksheets/_rels/sheet40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38.xml" Id="rId2" /></Relationships>
</file>

<file path=xl/worksheets/_rels/sheet41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39.xml" Id="rId2" /></Relationships>
</file>

<file path=xl/worksheets/_rels/sheet42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40.xml" Id="rId2" /></Relationships>
</file>

<file path=xl/worksheets/_rels/sheet43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41.xml" Id="rId2" /></Relationships>
</file>

<file path=xl/worksheets/_rels/sheet44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42.xml" Id="rId2" /></Relationships>
</file>

<file path=xl/worksheets/_rels/sheet45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43.xml" Id="rId2" /></Relationships>
</file>

<file path=xl/worksheets/_rels/sheet46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44.xml" Id="rId2" /></Relationships>
</file>

<file path=xl/worksheets/_rels/sheet47.xml.rels><Relationships xmlns="http://schemas.openxmlformats.org/package/2006/relationships"><Relationship Type="http://schemas.openxmlformats.org/officeDocument/2006/relationships/table" Target="/xl/tables/table45.xm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46.xml" Id="rId2" /></Relationships>
</file>

<file path=xl/worksheets/_rels/sheet49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47.xml" Id="rId2" /></Relationships>
</file>

<file path=xl/worksheets/_rels/sheet50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48.xml" Id="rId2" /></Relationships>
</file>

<file path=xl/worksheets/_rels/sheet51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49.xml" Id="rId2" /></Relationships>
</file>

<file path=xl/worksheets/_rels/sheet52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50.xml" Id="rId2" /></Relationships>
</file>

<file path=xl/worksheets/_rels/sheet53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51.xml" Id="rId2" /></Relationships>
</file>

<file path=xl/worksheets/_rels/sheet54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52.xml" Id="rId2" /></Relationships>
</file>

<file path=xl/worksheets/_rels/sheet55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53.xml" Id="rId2" /></Relationships>
</file>

<file path=xl/worksheets/_rels/sheet56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54.xml" Id="rId2" /></Relationships>
</file>

<file path=xl/worksheets/_rels/sheet57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55.xml" Id="rId2" /></Relationships>
</file>

<file path=xl/worksheets/_rels/sheet58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56.xml" Id="rId2" /></Relationships>
</file>

<file path=xl/worksheets/_rels/sheet59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57.xml" Id="rId2" /></Relationships>
</file>

<file path=xl/worksheets/_rels/sheet60.xml.rels><Relationships xmlns="http://schemas.openxmlformats.org/package/2006/relationships"><Relationship Type="http://schemas.openxmlformats.org/officeDocument/2006/relationships/table" Target="/xl/tables/table5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showGridLines="0" workbookViewId="0">
      <selection activeCell="A1" sqref="A1"/>
    </sheetView>
  </sheetViews>
  <sheetFormatPr baseColWidth="8" defaultRowHeight="15"/>
  <cols>
    <col width="10" customWidth="1" min="2" max="2"/>
    <col width="44" customWidth="1" min="3" max="3"/>
    <col width="16" customWidth="1" min="4" max="4"/>
    <col width="56" customWidth="1" min="5" max="5"/>
    <col width="14" customWidth="1" min="6" max="6"/>
    <col width="10" customWidth="1" min="7" max="7"/>
    <col width="18" customWidth="1" min="9" max="9"/>
    <col width="14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0" customHeight="1">
      <c r="A2" s="1" t="n"/>
      <c r="B2" s="2" t="inlineStr">
        <is>
          <t>İNCI AKÜ  ·  PPWR COMMAND CENTER</t>
        </is>
      </c>
      <c r="K2" s="1" t="n"/>
      <c r="L2" s="1" t="n"/>
      <c r="M2" s="1" t="n"/>
    </row>
    <row r="3">
      <c r="A3" s="1" t="n"/>
      <c r="B3" s="3" t="inlineStr">
        <is>
          <t>Inci_Aku_PPWR_Packaging_Management_System_Rev00  |  Primary object: Packaging Configuration  ·  Yellow = select/enter  ·  Green = automatic</t>
        </is>
      </c>
      <c r="K3" s="1" t="n"/>
      <c r="L3" s="1" t="n"/>
      <c r="M3" s="1" t="n"/>
    </row>
    <row r="4" ht="30" customHeight="1">
      <c r="A4" s="1" t="n"/>
      <c r="B4" s="4">
        <f>IF(D8="","▶ NEXT: STEP 1 — Select Packaging Configuration",IF(D9="","▶ NEXT: STEP 2 — Select Commercial Scenario (Incoterms)",IF(OR(D10="",D10&lt;=0),"▶ NEXT: STEP 3 — Enter Quantity",IF(D11="","▶ NEXT: STEP 3 — Enter Lot Number",IF(D12="","▶ NEXT: STEP 3 — Create Shipment (GO), then paste Shipment Number",IF(D18="MISSING","▶ NEXT: STEP 4 — Generate Shipment Statement",IF(D20="MISSING","▶ NEXT: STEP 5 — Generate Declaration of Conformity",IF(D19="MISSING","▶ NEXT: STEP 6 — Reference Technical File for this Packaging Configuration",IF(D21&lt;&gt;"READY","▶ NEXT: STEP 7 — Finish package, then Archive Shipment","✅ READY — Archive Shipment (STEP 7) / export package")))))))))</f>
        <v/>
      </c>
      <c r="K4" s="1" t="n"/>
      <c r="L4" s="1" t="n"/>
      <c r="M4" s="1" t="n"/>
    </row>
    <row r="5">
      <c r="A5" s="1" t="n"/>
      <c r="B5" s="3" t="inlineStr">
        <is>
          <t>QUICK OPEN</t>
        </is>
      </c>
      <c r="C5" s="5" t="inlineStr">
        <is>
          <t>Packaging</t>
        </is>
      </c>
      <c r="D5" s="5" t="inlineStr">
        <is>
          <t>Shipment</t>
        </is>
      </c>
      <c r="E5" s="5" t="inlineStr">
        <is>
          <t>Statement</t>
        </is>
      </c>
      <c r="F5" s="5" t="inlineStr">
        <is>
          <t>DoC</t>
        </is>
      </c>
      <c r="G5" s="5" t="inlineStr">
        <is>
          <t>Tech File</t>
        </is>
      </c>
      <c r="H5" s="5" t="inlineStr">
        <is>
          <t>Components</t>
        </is>
      </c>
      <c r="I5" s="5" t="inlineStr">
        <is>
          <t>Products</t>
        </is>
      </c>
      <c r="J5" s="1" t="n"/>
      <c r="K5" s="1" t="n"/>
      <c r="L5" s="1" t="n"/>
      <c r="M5" s="1" t="n"/>
    </row>
    <row r="6">
      <c r="A6" s="1" t="n"/>
      <c r="B6" s="6" t="inlineStr">
        <is>
          <t>PPWR DAILY WORKFLOW  —  Packaging Configuration → Scenario → Shipment → Docs</t>
        </is>
      </c>
      <c r="H6" s="1" t="n"/>
      <c r="I6" s="1" t="n"/>
      <c r="J6" s="1" t="n"/>
      <c r="K6" s="1" t="n"/>
      <c r="L6" s="1" t="n"/>
      <c r="M6" s="1" t="n"/>
    </row>
    <row r="7">
      <c r="A7" s="1" t="n"/>
      <c r="B7" s="7" t="inlineStr">
        <is>
          <t>STEP</t>
        </is>
      </c>
      <c r="C7" s="7" t="inlineStr">
        <is>
          <t>WHAT TO DO</t>
        </is>
      </c>
      <c r="D7" s="7" t="inlineStr">
        <is>
          <t>YOUR INPUT</t>
        </is>
      </c>
      <c r="E7" s="7" t="inlineStr">
        <is>
          <t>AUTO RESULT</t>
        </is>
      </c>
      <c r="F7" s="7" t="inlineStr">
        <is>
          <t>STATUS</t>
        </is>
      </c>
      <c r="G7" s="7" t="inlineStr">
        <is>
          <t>GO</t>
        </is>
      </c>
      <c r="H7" s="1" t="n"/>
      <c r="I7" s="8" t="inlineStr">
        <is>
          <t>KPIs</t>
        </is>
      </c>
      <c r="J7" s="1" t="n"/>
      <c r="K7" s="1" t="n"/>
      <c r="L7" s="1" t="n"/>
      <c r="M7" s="1" t="n"/>
    </row>
    <row r="8">
      <c r="A8" s="1" t="n"/>
      <c r="B8" s="9" t="inlineStr">
        <is>
          <t>1</t>
        </is>
      </c>
      <c r="C8" s="10" t="inlineStr">
        <is>
          <t>Select Packaging Configuration</t>
        </is>
      </c>
      <c r="D8" s="11" t="n"/>
      <c r="E8" s="12">
        <f>IF(D8="","← select Packaging Configuration ID",IFERROR(INDEX(T_PACKAGING_CONFIGURATION[CONFIG_GROUP_CODE],MATCH(D8,T_PACKAGING_CONFIGURATION[PACKAGING_CONFIGURATION_ID],0))&amp;" · "&amp;INDEX(T_PACKAGING_CONFIGURATION[PACKAGING_CONFIGURATION_NAME],MATCH(D8,T_PACKAGING_CONFIGURATION[PACKAGING_CONFIGURATION_ID],0)),"⚠ unknown configuration"))</f>
        <v/>
      </c>
      <c r="F8" s="12">
        <f>IF(D8="","WAITING","DONE")</f>
        <v/>
      </c>
      <c r="G8" s="5" t="inlineStr">
        <is>
          <t>Pick</t>
        </is>
      </c>
      <c r="H8" s="1" t="n"/>
      <c r="I8" s="13" t="inlineStr">
        <is>
          <t>Packaging Configs</t>
        </is>
      </c>
      <c r="J8" s="14">
        <f>COUNTA(T_PACKAGING_CONFIGURATION[PACKAGING_CONFIGURATION_ID])</f>
        <v/>
      </c>
      <c r="K8" s="1" t="n"/>
      <c r="L8" s="1" t="n"/>
      <c r="M8" s="1" t="n"/>
    </row>
    <row r="9">
      <c r="A9" s="1" t="n"/>
      <c r="B9" s="9" t="inlineStr">
        <is>
          <t>2</t>
        </is>
      </c>
      <c r="C9" s="10" t="inlineStr">
        <is>
          <t>Select Commercial Scenario (Incoterms)</t>
        </is>
      </c>
      <c r="D9" s="11" t="n"/>
      <c r="E9" s="12">
        <f>IF(D9="","← select Commercial Scenario ID",IFERROR(INDEX(T_COMMERCIAL_SCENARIO[COMMERCIAL_SCENARIO_CODE],MATCH(D9,T_COMMERCIAL_SCENARIO[COMMERCIAL_SCENARIO_ID],0))&amp;" · Incoterm "&amp;IFERROR(INDEX(T_COMMERCIAL_SCENARIO[INCOTERM_ID],MATCH(D9,T_COMMERCIAL_SCENARIO[COMMERCIAL_SCENARIO_ID],0)),"-")&amp;" · Country "&amp;IFERROR(INDEX(T_COMMERCIAL_SCENARIO[DESTINATION_COUNTRY_ID],MATCH(D9,T_COMMERCIAL_SCENARIO[COMMERCIAL_SCENARIO_ID],0)),"-")&amp;" · Customer "&amp;IFERROR(INDEX(T_COMMERCIAL_SCENARIO[CUSTOMER_ID],MATCH(D9,T_COMMERCIAL_SCENARIO[COMMERCIAL_SCENARIO_ID],0)),"-"),"⚠ unknown scenario"))</f>
        <v/>
      </c>
      <c r="F9" s="12">
        <f>IF(D9="","WAITING","DONE")</f>
        <v/>
      </c>
      <c r="G9" s="5" t="inlineStr">
        <is>
          <t>Pick</t>
        </is>
      </c>
      <c r="H9" s="1" t="n"/>
      <c r="I9" s="13" t="inlineStr">
        <is>
          <t>Shipments</t>
        </is>
      </c>
      <c r="J9" s="14">
        <f>COUNTA(T_SHIPMENT[SHIPMENT_ID])</f>
        <v/>
      </c>
      <c r="K9" s="1" t="n"/>
      <c r="L9" s="1" t="n"/>
      <c r="M9" s="1" t="n"/>
    </row>
    <row r="10">
      <c r="A10" s="1" t="n"/>
      <c r="B10" s="9" t="inlineStr">
        <is>
          <t>3a</t>
        </is>
      </c>
      <c r="C10" s="10" t="inlineStr">
        <is>
          <t>Enter Quantity (units)</t>
        </is>
      </c>
      <c r="D10" s="11" t="n">
        <v>1</v>
      </c>
      <c r="E10" s="12">
        <f>IF(OR(D10="",D10&lt;=0),"← enter quantity &gt; 0",D10&amp;" units")</f>
        <v/>
      </c>
      <c r="F10" s="12">
        <f>IF(OR(D10="",D10&lt;=0),"WAITING","DONE")</f>
        <v/>
      </c>
      <c r="G10" s="5" t="inlineStr">
        <is>
          <t>Type</t>
        </is>
      </c>
      <c r="H10" s="1" t="n"/>
      <c r="I10" s="13" t="inlineStr">
        <is>
          <t>Statements</t>
        </is>
      </c>
      <c r="J10" s="14">
        <f>COUNTA(T_STATEMENT[STATEMENT_ID])</f>
        <v/>
      </c>
      <c r="K10" s="1" t="n"/>
      <c r="L10" s="1" t="n"/>
      <c r="M10" s="1" t="n"/>
    </row>
    <row r="11">
      <c r="A11" s="1" t="n"/>
      <c r="B11" s="9" t="inlineStr">
        <is>
          <t>3b</t>
        </is>
      </c>
      <c r="C11" s="10" t="inlineStr">
        <is>
          <t>Enter Lot Number</t>
        </is>
      </c>
      <c r="D11" s="11" t="n"/>
      <c r="E11" s="12">
        <f>IF(D11="","← enter Lot Number (→ Shipment EXTERNAL_REF)",D11)</f>
        <v/>
      </c>
      <c r="F11" s="12">
        <f>IF(D11="","WAITING","DONE")</f>
        <v/>
      </c>
      <c r="G11" s="5" t="inlineStr">
        <is>
          <t>Type</t>
        </is>
      </c>
      <c r="H11" s="1" t="n"/>
      <c r="I11" s="13" t="inlineStr">
        <is>
          <t>Tech Files</t>
        </is>
      </c>
      <c r="J11" s="14">
        <f>COUNTA(T_TECHNICAL_FILE[PACKAGING_CONFIGURATION_ID])</f>
        <v/>
      </c>
      <c r="K11" s="1" t="n"/>
      <c r="L11" s="1" t="n"/>
      <c r="M11" s="1" t="n"/>
    </row>
    <row r="12">
      <c r="A12" s="1" t="n"/>
      <c r="B12" s="9" t="inlineStr">
        <is>
          <t>3c</t>
        </is>
      </c>
      <c r="C12" s="10" t="inlineStr">
        <is>
          <t>Create Shipment → paste Number</t>
        </is>
      </c>
      <c r="D12" s="11" t="n"/>
      <c r="E12" s="12">
        <f>IF(D12="","← after create, paste SHIPMENT_NUMBER",IFERROR("OK · "&amp;TEXT(INDEX(T_SHIPMENT[SHIP_DATE],MATCH(D12,T_SHIPMENT[SHIPMENT_NUMBER],0)),"yyyy-mm-dd")&amp;" · Lot "&amp;IFERROR(INDEX(T_SHIPMENT[EXTERNAL_REF],MATCH(D12,T_SHIPMENT[SHIPMENT_NUMBER],0)),"-"),"⚠ create shipment / check number"))</f>
        <v/>
      </c>
      <c r="F12" s="12">
        <f>IF(D12="","WAITING",IF(ISNUMBER(MATCH(D12,T_SHIPMENT[SHIPMENT_NUMBER],0)),"DONE","⚠ not found"))</f>
        <v/>
      </c>
      <c r="G12" s="5" t="inlineStr">
        <is>
          <t>Create</t>
        </is>
      </c>
      <c r="H12" s="1" t="n"/>
      <c r="I12" s="13" t="inlineStr">
        <is>
          <t>Validation</t>
        </is>
      </c>
      <c r="J12" s="14">
        <f>IF(COUNTIF(T_ENG_VALIDATION[RESULT],"ERROR")&gt;0,"ACTION","OK")</f>
        <v/>
      </c>
      <c r="K12" s="1" t="n"/>
      <c r="L12" s="1" t="n"/>
      <c r="M12" s="1" t="n"/>
    </row>
    <row r="13">
      <c r="A13" s="1" t="n"/>
      <c r="B13" s="9" t="inlineStr">
        <is>
          <t>4</t>
        </is>
      </c>
      <c r="C13" s="10" t="inlineStr">
        <is>
          <t>Generate Shipment Statement</t>
        </is>
      </c>
      <c r="D13" s="10" t="inlineStr">
        <is>
          <t>auto</t>
        </is>
      </c>
      <c r="E13" s="12">
        <f>IF(D12="","Complete STEP 3 first",IF(COUNTIF(T_STATEMENT_SHIPMENT[SHIPMENT_ID],IFERROR(INDEX(T_SHIPMENT[SHIPMENT_ID],MATCH(D12,T_SHIPMENT[SHIPMENT_NUMBER],0)),0))&gt;0,"Statement linked","Open Statements — link this shipment"))</f>
        <v/>
      </c>
      <c r="F13" s="12">
        <f>IF(LEFT(E13,9)="Statement","DONE",IF(D12="","WAITING","NEXT"))</f>
        <v/>
      </c>
      <c r="G13" s="5" t="inlineStr">
        <is>
          <t>Open</t>
        </is>
      </c>
      <c r="H13" s="1" t="n"/>
      <c r="I13" s="13" t="inlineStr">
        <is>
          <t>Missing Lot#</t>
        </is>
      </c>
      <c r="J13" s="14">
        <f>COUNTBLANK(T_SHIPMENT[EXTERNAL_REF])</f>
        <v/>
      </c>
      <c r="K13" s="1" t="n"/>
      <c r="L13" s="1" t="n"/>
      <c r="M13" s="1" t="n"/>
    </row>
    <row r="14">
      <c r="A14" s="1" t="n"/>
      <c r="B14" s="9" t="inlineStr">
        <is>
          <t>5</t>
        </is>
      </c>
      <c r="C14" s="10" t="inlineStr">
        <is>
          <t>Generate Declaration of Conformity</t>
        </is>
      </c>
      <c r="D14" s="10" t="inlineStr">
        <is>
          <t>auto</t>
        </is>
      </c>
      <c r="E14" s="12">
        <f>IF(D8="","Complete STEP 1 first",IFERROR(INDEX(T_DECLARATION_OF_CONFORMITY[DOC_NUMBER],MATCH(D8,T_DECLARATION_OF_CONFORMITY[PACKAGING_CONFIGURATION_ID],0)),"Open DoC — variant from scenario; link TF of Packaging Configuration"))</f>
        <v/>
      </c>
      <c r="F14" s="12">
        <f>IF(D8="","WAITING",IF(ISNUMBER(SEARCH("Open DoC",E14)),"NEXT","DONE"))</f>
        <v/>
      </c>
      <c r="G14" s="5" t="inlineStr">
        <is>
          <t>Open</t>
        </is>
      </c>
      <c r="H14" s="1" t="n"/>
      <c r="I14" s="13" t="inlineStr">
        <is>
          <t>Latest Ship</t>
        </is>
      </c>
      <c r="J14" s="14">
        <f>IFERROR(TEXT(MAX(T_SHIPMENT[SHIP_DATE]),"yyyy-mm-dd"),"-")</f>
        <v/>
      </c>
      <c r="K14" s="1" t="n"/>
      <c r="L14" s="1" t="n"/>
      <c r="M14" s="1" t="n"/>
    </row>
    <row r="15">
      <c r="A15" s="1" t="n"/>
      <c r="B15" s="9" t="inlineStr">
        <is>
          <t>6</t>
        </is>
      </c>
      <c r="C15" s="10" t="inlineStr">
        <is>
          <t>Reference Technical File</t>
        </is>
      </c>
      <c r="D15" s="10" t="inlineStr">
        <is>
          <t>auto</t>
        </is>
      </c>
      <c r="E15" s="12">
        <f>IF(D8="","Complete STEP 1 first",IFERROR(INDEX(T_TECHNICAL_FILE[TECHNICAL_FILE_CODE],MATCH(D8,T_TECHNICAL_FILE[PACKAGING_CONFIGURATION_ID],0))&amp;" · rev "&amp;IFERROR(INDEX(T_TECHNICAL_FILE[REVISION_NO],MATCH(D8,T_TECHNICAL_FILE[PACKAGING_CONFIGURATION_ID],0)),"?"),"Open Technical File — PACKAGING_CONFIGURATION_ID only (never for Product)"))</f>
        <v/>
      </c>
      <c r="F15" s="12">
        <f>IF(D8="","WAITING",IF(ISNUMBER(SEARCH("Open Technical",E15)),"NEXT","DONE"))</f>
        <v/>
      </c>
      <c r="G15" s="5" t="inlineStr">
        <is>
          <t>Open</t>
        </is>
      </c>
      <c r="H15" s="1" t="n"/>
      <c r="I15" s="13" t="inlineStr">
        <is>
          <t>Revision</t>
        </is>
      </c>
      <c r="J15" s="14">
        <f>"Rev00"</f>
        <v/>
      </c>
      <c r="K15" s="1" t="n"/>
      <c r="L15" s="1" t="n"/>
      <c r="M15" s="1" t="n"/>
    </row>
    <row r="16">
      <c r="A16" s="1" t="n"/>
      <c r="B16" s="10" t="inlineStr">
        <is>
          <t>7</t>
        </is>
      </c>
      <c r="C16" s="10" t="inlineStr">
        <is>
          <t>Archive Shipment / export package</t>
        </is>
      </c>
      <c r="D16" s="10" t="inlineStr">
        <is>
          <t>auto</t>
        </is>
      </c>
      <c r="E16" s="12">
        <f>IF(AND(F8="DONE",F9="DONE",F10="DONE",F11="DONE",F12="DONE",F13="DONE",F14="DONE",F15="DONE"),"READY — archive: Statement + DoC + Tech File ref + shipment freeze (do not edit lines)","INCOMPLETE — finish steps showing NEXT / WAITING")</f>
        <v/>
      </c>
      <c r="F16" s="12">
        <f>IF(ISNUMBER(SEARCH("READY",E16)),"DONE","NEXT")</f>
        <v/>
      </c>
      <c r="G16" s="5" t="inlineStr">
        <is>
          <t>Archive</t>
        </is>
      </c>
      <c r="H16" s="1" t="n"/>
      <c r="I16" s="1" t="n"/>
      <c r="J16" s="1" t="n"/>
      <c r="K16" s="1" t="n"/>
      <c r="L16" s="1" t="n"/>
      <c r="M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</row>
    <row r="18">
      <c r="A18" s="1" t="n"/>
      <c r="B18" s="1" t="n"/>
      <c r="C18" s="3" t="inlineStr">
        <is>
          <t>flag_stmt</t>
        </is>
      </c>
      <c r="D18" s="15">
        <f>IF(F13="DONE","OK","MISSING")</f>
        <v/>
      </c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</row>
    <row r="19">
      <c r="A19" s="1" t="n"/>
      <c r="B19" s="1" t="n"/>
      <c r="C19" s="3" t="inlineStr">
        <is>
          <t>flag_tf</t>
        </is>
      </c>
      <c r="D19" s="15">
        <f>IF(F15="DONE","OK","MISSING")</f>
        <v/>
      </c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</row>
    <row r="20">
      <c r="A20" s="1" t="n"/>
      <c r="B20" s="1" t="n"/>
      <c r="C20" s="3" t="inlineStr">
        <is>
          <t>flag_doc</t>
        </is>
      </c>
      <c r="D20" s="15">
        <f>IF(F14="DONE","OK","MISSING")</f>
        <v/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</row>
    <row r="21">
      <c r="A21" s="1" t="n"/>
      <c r="B21" s="1" t="n"/>
      <c r="C21" s="3" t="inlineStr">
        <is>
          <t>flag_archive</t>
        </is>
      </c>
      <c r="D21" s="15">
        <f>IF(F16="DONE","READY","NOT READY")</f>
        <v/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</row>
    <row r="23">
      <c r="A23" s="1" t="n"/>
      <c r="B23" s="6" t="inlineStr">
        <is>
          <t>STEP 3 DRAFT — paste onto Shipment  |  Customer/Country/Incoterms come from Scenario  |  Lot Number → EXTERNAL_REF</t>
        </is>
      </c>
      <c r="H23" s="1" t="n"/>
      <c r="I23" s="1" t="n"/>
      <c r="J23" s="1" t="n"/>
      <c r="K23" s="1" t="n"/>
      <c r="L23" s="1" t="n"/>
      <c r="M23" s="1" t="n"/>
    </row>
    <row r="24">
      <c r="A24" s="1" t="n"/>
      <c r="B24" s="10" t="inlineStr">
        <is>
          <t>PACKAGING_CONFIGURATION_ID</t>
        </is>
      </c>
      <c r="C24" s="12">
        <f>D8</f>
        <v/>
      </c>
      <c r="D24" s="16" t="n"/>
      <c r="E24" s="17" t="n"/>
      <c r="F24" s="1" t="n"/>
      <c r="G24" s="1" t="n"/>
      <c r="H24" s="1" t="n"/>
      <c r="I24" s="1" t="n"/>
      <c r="J24" s="1" t="n"/>
      <c r="K24" s="1" t="n"/>
      <c r="L24" s="1" t="n"/>
      <c r="M24" s="1" t="n"/>
    </row>
    <row r="25">
      <c r="A25" s="1" t="n"/>
      <c r="B25" s="10" t="inlineStr">
        <is>
          <t>COMMERCIAL_SCENARIO_ID</t>
        </is>
      </c>
      <c r="C25" s="12">
        <f>D9</f>
        <v/>
      </c>
      <c r="D25" s="16" t="n"/>
      <c r="E25" s="17" t="n"/>
      <c r="F25" s="1" t="n"/>
      <c r="G25" s="1" t="n"/>
      <c r="H25" s="1" t="n"/>
      <c r="I25" s="1" t="n"/>
      <c r="J25" s="1" t="n"/>
      <c r="K25" s="1" t="n"/>
      <c r="L25" s="1" t="n"/>
      <c r="M25" s="1" t="n"/>
    </row>
    <row r="26">
      <c r="A26" s="1" t="n"/>
      <c r="B26" s="10" t="inlineStr">
        <is>
          <t>QTY_PRODUCT_UNITS</t>
        </is>
      </c>
      <c r="C26" s="12">
        <f>D10</f>
        <v/>
      </c>
      <c r="D26" s="16" t="n"/>
      <c r="E26" s="17" t="n"/>
      <c r="F26" s="1" t="n"/>
      <c r="G26" s="1" t="n"/>
      <c r="H26" s="1" t="n"/>
      <c r="I26" s="1" t="n"/>
      <c r="J26" s="1" t="n"/>
      <c r="K26" s="1" t="n"/>
      <c r="L26" s="1" t="n"/>
      <c r="M26" s="1" t="n"/>
    </row>
    <row r="27">
      <c r="A27" s="1" t="n"/>
      <c r="B27" s="10" t="inlineStr">
        <is>
          <t>EXTERNAL_REF (Lot Number)</t>
        </is>
      </c>
      <c r="C27" s="12">
        <f>D11</f>
        <v/>
      </c>
      <c r="D27" s="16" t="n"/>
      <c r="E27" s="17" t="n"/>
      <c r="F27" s="1" t="n"/>
      <c r="G27" s="1" t="n"/>
      <c r="H27" s="1" t="n"/>
      <c r="I27" s="1" t="n"/>
      <c r="J27" s="1" t="n"/>
      <c r="K27" s="1" t="n"/>
      <c r="L27" s="1" t="n"/>
      <c r="M27" s="1" t="n"/>
    </row>
    <row r="28">
      <c r="A28" s="1" t="n"/>
      <c r="B28" s="10" t="inlineStr">
        <is>
          <t>PRODUCT_ID (auto from scenario)</t>
        </is>
      </c>
      <c r="C28" s="12">
        <f>IF(D9="","",IFERROR(INDEX(T_COMMERCIAL_SCENARIO[PRODUCT_ID],MATCH(D9,T_COMMERCIAL_SCENARIO[COMMERCIAL_SCENARIO_ID],0)),""))</f>
        <v/>
      </c>
      <c r="D28" s="16" t="n"/>
      <c r="E28" s="17" t="n"/>
      <c r="F28" s="1" t="n"/>
      <c r="G28" s="1" t="n"/>
      <c r="H28" s="1" t="n"/>
      <c r="I28" s="1" t="n"/>
      <c r="J28" s="1" t="n"/>
      <c r="K28" s="1" t="n"/>
      <c r="L28" s="1" t="n"/>
      <c r="M28" s="1" t="n"/>
    </row>
    <row r="29">
      <c r="A29" s="1" t="n"/>
      <c r="B29" s="10" t="inlineStr">
        <is>
          <t>TRANSPORT_CONFIGURATION_ID (auto)</t>
        </is>
      </c>
      <c r="C29" s="12">
        <f>IF(D9="","",IFERROR(INDEX(T_COMMERCIAL_SCENARIO[TRANSPORT_CONFIGURATION_ID],MATCH(D9,T_COMMERCIAL_SCENARIO[COMMERCIAL_SCENARIO_ID],0)),""))</f>
        <v/>
      </c>
      <c r="D29" s="16" t="n"/>
      <c r="E29" s="17" t="n"/>
      <c r="F29" s="1" t="n"/>
      <c r="G29" s="1" t="n"/>
      <c r="H29" s="1" t="n"/>
      <c r="I29" s="1" t="n"/>
      <c r="J29" s="1" t="n"/>
      <c r="K29" s="1" t="n"/>
      <c r="L29" s="1" t="n"/>
      <c r="M29" s="1" t="n"/>
    </row>
    <row r="30">
      <c r="A30" s="1" t="n"/>
      <c r="B30" s="10" t="inlineStr">
        <is>
          <t>DESTINATION_COUNTRY_ID (auto)</t>
        </is>
      </c>
      <c r="C30" s="12">
        <f>IF(D9="","",IFERROR(INDEX(T_COMMERCIAL_SCENARIO[DESTINATION_COUNTRY_ID],MATCH(D9,T_COMMERCIAL_SCENARIO[COMMERCIAL_SCENARIO_ID],0)),""))</f>
        <v/>
      </c>
      <c r="D30" s="16" t="n"/>
      <c r="E30" s="17" t="n"/>
      <c r="F30" s="1" t="n"/>
      <c r="G30" s="1" t="n"/>
      <c r="H30" s="1" t="n"/>
      <c r="I30" s="1" t="n"/>
      <c r="J30" s="1" t="n"/>
      <c r="K30" s="1" t="n"/>
      <c r="L30" s="1" t="n"/>
      <c r="M30" s="1" t="n"/>
    </row>
    <row r="31">
      <c r="A31" s="1" t="n"/>
      <c r="B31" s="10" t="inlineStr">
        <is>
          <t>INCOTERM_ID (auto)</t>
        </is>
      </c>
      <c r="C31" s="12">
        <f>IF(D9="","",IFERROR(INDEX(T_COMMERCIAL_SCENARIO[INCOTERM_ID],MATCH(D9,T_COMMERCIAL_SCENARIO[COMMERCIAL_SCENARIO_ID],0)),""))</f>
        <v/>
      </c>
      <c r="D31" s="16" t="n"/>
      <c r="E31" s="17" t="n"/>
      <c r="F31" s="1" t="n"/>
      <c r="G31" s="1" t="n"/>
      <c r="H31" s="1" t="n"/>
      <c r="I31" s="1" t="n"/>
      <c r="J31" s="1" t="n"/>
      <c r="K31" s="1" t="n"/>
      <c r="L31" s="1" t="n"/>
      <c r="M31" s="1" t="n"/>
    </row>
    <row r="32">
      <c r="A32" s="1" t="n"/>
      <c r="B32" s="10" t="inlineStr">
        <is>
          <t>CUSTOMER_ID (auto)</t>
        </is>
      </c>
      <c r="C32" s="12">
        <f>IF(D9="","",IFERROR(INDEX(T_COMMERCIAL_SCENARIO[CUSTOMER_ID],MATCH(D9,T_COMMERCIAL_SCENARIO[COMMERCIAL_SCENARIO_ID],0)),""))</f>
        <v/>
      </c>
      <c r="D32" s="16" t="n"/>
      <c r="E32" s="17" t="n"/>
      <c r="F32" s="1" t="n"/>
      <c r="G32" s="1" t="n"/>
      <c r="H32" s="1" t="n"/>
      <c r="I32" s="1" t="n"/>
      <c r="J32" s="1" t="n"/>
      <c r="K32" s="1" t="n"/>
      <c r="L32" s="1" t="n"/>
      <c r="M32" s="1" t="n"/>
    </row>
    <row r="33">
      <c r="A33" s="1" t="n"/>
      <c r="B33" s="6" t="inlineStr">
        <is>
          <t>DOCUMENT PACKAGE (auto) — TF from Packaging Configuration · DoC from Scenario · Statement from Shipment</t>
        </is>
      </c>
      <c r="H33" s="1" t="n"/>
      <c r="I33" s="1" t="n"/>
      <c r="J33" s="1" t="n"/>
      <c r="K33" s="1" t="n"/>
      <c r="L33" s="1" t="n"/>
      <c r="M33" s="1" t="n"/>
    </row>
    <row r="34">
      <c r="A34" s="1" t="n"/>
      <c r="B34" s="10" t="inlineStr">
        <is>
          <t>Technical File</t>
        </is>
      </c>
      <c r="C34" s="12">
        <f>E15</f>
        <v/>
      </c>
      <c r="D34" s="16" t="n"/>
      <c r="E34" s="16" t="n"/>
      <c r="F34" s="17" t="n"/>
      <c r="G34" s="1" t="n"/>
      <c r="H34" s="1" t="n"/>
      <c r="I34" s="1" t="n"/>
      <c r="J34" s="1" t="n"/>
      <c r="K34" s="1" t="n"/>
      <c r="L34" s="1" t="n"/>
      <c r="M34" s="1" t="n"/>
    </row>
    <row r="35">
      <c r="A35" s="1" t="n"/>
      <c r="B35" s="10" t="inlineStr">
        <is>
          <t>Declaration of Conformity</t>
        </is>
      </c>
      <c r="C35" s="12">
        <f>E14</f>
        <v/>
      </c>
      <c r="D35" s="16" t="n"/>
      <c r="E35" s="16" t="n"/>
      <c r="F35" s="17" t="n"/>
      <c r="G35" s="1" t="n"/>
      <c r="H35" s="1" t="n"/>
      <c r="I35" s="1" t="n"/>
      <c r="J35" s="1" t="n"/>
      <c r="K35" s="1" t="n"/>
      <c r="L35" s="1" t="n"/>
      <c r="M35" s="1" t="n"/>
    </row>
    <row r="36">
      <c r="A36" s="1" t="n"/>
      <c r="B36" s="10" t="inlineStr">
        <is>
          <t>Shipment Statement</t>
        </is>
      </c>
      <c r="C36" s="12">
        <f>E13</f>
        <v/>
      </c>
      <c r="D36" s="16" t="n"/>
      <c r="E36" s="16" t="n"/>
      <c r="F36" s="17" t="n"/>
      <c r="G36" s="1" t="n"/>
      <c r="H36" s="1" t="n"/>
      <c r="I36" s="1" t="n"/>
      <c r="J36" s="1" t="n"/>
      <c r="K36" s="1" t="n"/>
      <c r="L36" s="1" t="n"/>
      <c r="M36" s="1" t="n"/>
    </row>
    <row r="37">
      <c r="A37" s="1" t="n"/>
      <c r="B37" s="10" t="inlineStr">
        <is>
          <t>Archive / export readiness</t>
        </is>
      </c>
      <c r="C37" s="12">
        <f>E16</f>
        <v/>
      </c>
      <c r="D37" s="16" t="n"/>
      <c r="E37" s="16" t="n"/>
      <c r="F37" s="17" t="n"/>
      <c r="G37" s="1" t="n"/>
      <c r="H37" s="1" t="n"/>
      <c r="I37" s="1" t="n"/>
      <c r="J37" s="1" t="n"/>
      <c r="K37" s="1" t="n"/>
      <c r="L37" s="1" t="n"/>
      <c r="M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</row>
    <row r="39">
      <c r="A39" s="1" t="n"/>
      <c r="B39" s="6" t="inlineStr">
        <is>
          <t>GLOBAL SEARCH — Packaging Config · Scenario · Shipment/Lot · Component</t>
        </is>
      </c>
      <c r="H39" s="1" t="n"/>
      <c r="I39" s="1" t="n"/>
      <c r="J39" s="1" t="n"/>
      <c r="K39" s="1" t="n"/>
      <c r="L39" s="1" t="n"/>
      <c r="M39" s="1" t="n"/>
    </row>
    <row r="40">
      <c r="A40" s="1" t="n"/>
      <c r="B40" s="18" t="inlineStr">
        <is>
          <t>Search</t>
        </is>
      </c>
      <c r="C40" s="11" t="inlineStr"/>
      <c r="D40" s="3" t="inlineStr">
        <is>
          <t>Microsoft 365 FILTER</t>
        </is>
      </c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</row>
    <row r="41">
      <c r="A41" s="1" t="n"/>
      <c r="B41" s="10" t="inlineStr">
        <is>
          <t>Packaging Config</t>
        </is>
      </c>
      <c r="C41" s="12">
        <f>IF(NR_SEARCH_TERM="","",IFERROR(FILTER(HSTACK(T_PACKAGING_CONFIGURATION[PACKAGING_CONFIGURATION_ID],T_PACKAGING_CONFIGURATION[CONFIG_GROUP_CODE],T_PACKAGING_CONFIGURATION[PACKAGING_CONFIGURATION_NAME]),(ISNUMBER(SEARCH(NR_SEARCH_TERM,T_PACKAGING_CONFIGURATION[CONFIG_GROUP_CODE]&amp;"")))+(ISNUMBER(SEARCH(NR_SEARCH_TERM,T_PACKAGING_CONFIGURATION[PACKAGING_CONFIGURATION_NAME]&amp;"")))),"(none)"))</f>
        <v/>
      </c>
      <c r="D41" s="16" t="n"/>
      <c r="E41" s="16" t="n"/>
      <c r="F41" s="17" t="n"/>
      <c r="G41" s="1" t="n"/>
      <c r="H41" s="1" t="n"/>
      <c r="I41" s="1" t="n"/>
      <c r="J41" s="1" t="n"/>
      <c r="K41" s="1" t="n"/>
      <c r="L41" s="1" t="n"/>
      <c r="M41" s="1" t="n"/>
    </row>
    <row r="42">
      <c r="A42" s="1" t="n"/>
      <c r="B42" s="10" t="inlineStr">
        <is>
          <t>Scenario</t>
        </is>
      </c>
      <c r="C42" s="12">
        <f>IF(NR_SEARCH_TERM="","",IFERROR(FILTER(HSTACK(T_COMMERCIAL_SCENARIO[COMMERCIAL_SCENARIO_ID],T_COMMERCIAL_SCENARIO[COMMERCIAL_SCENARIO_CODE],T_COMMERCIAL_SCENARIO[COMMERCIAL_SCENARIO_NAME]),(ISNUMBER(SEARCH(NR_SEARCH_TERM,T_COMMERCIAL_SCENARIO[COMMERCIAL_SCENARIO_CODE]&amp;"")))+(ISNUMBER(SEARCH(NR_SEARCH_TERM,T_COMMERCIAL_SCENARIO[COMMERCIAL_SCENARIO_NAME]&amp;"")))),"(none)"))</f>
        <v/>
      </c>
      <c r="D42" s="16" t="n"/>
      <c r="E42" s="16" t="n"/>
      <c r="F42" s="17" t="n"/>
      <c r="G42" s="1" t="n"/>
      <c r="H42" s="1" t="n"/>
      <c r="I42" s="1" t="n"/>
      <c r="J42" s="1" t="n"/>
      <c r="K42" s="1" t="n"/>
      <c r="L42" s="1" t="n"/>
      <c r="M42" s="1" t="n"/>
    </row>
    <row r="43">
      <c r="A43" s="1" t="n"/>
      <c r="B43" s="10" t="inlineStr">
        <is>
          <t>Shipment / Lot</t>
        </is>
      </c>
      <c r="C43" s="12">
        <f>IF(NR_SEARCH_TERM="","",IFERROR(FILTER(HSTACK(T_SHIPMENT[SHIPMENT_NUMBER],T_SHIPMENT[EXTERNAL_REF],T_SHIPMENT[PACKAGING_CONFIGURATION_ID]),(ISNUMBER(SEARCH(NR_SEARCH_TERM,T_SHIPMENT[SHIPMENT_NUMBER]&amp;"")))+(ISNUMBER(SEARCH(NR_SEARCH_TERM,T_SHIPMENT[EXTERNAL_REF]&amp;"")))),"(none)"))</f>
        <v/>
      </c>
      <c r="D43" s="16" t="n"/>
      <c r="E43" s="16" t="n"/>
      <c r="F43" s="17" t="n"/>
      <c r="G43" s="1" t="n"/>
      <c r="H43" s="1" t="n"/>
      <c r="I43" s="1" t="n"/>
      <c r="J43" s="1" t="n"/>
      <c r="K43" s="1" t="n"/>
      <c r="L43" s="1" t="n"/>
      <c r="M43" s="1" t="n"/>
    </row>
    <row r="44">
      <c r="A44" s="1" t="n"/>
      <c r="B44" s="10" t="inlineStr">
        <is>
          <t>Component</t>
        </is>
      </c>
      <c r="C44" s="12">
        <f>IF(NR_SEARCH_TERM="","",IFERROR(FILTER(HSTACK(T_COMPONENT[COMPONENT_ID],T_COMPONENT[COMPONENT_CODE],T_COMPONENT[COMPONENT_NAME]),(ISNUMBER(SEARCH(NR_SEARCH_TERM,T_COMPONENT[COMPONENT_CODE]&amp;"")))+(ISNUMBER(SEARCH(NR_SEARCH_TERM,T_COMPONENT[COMPONENT_NAME]&amp;"")))),"(none)"))</f>
        <v/>
      </c>
      <c r="D44" s="16" t="n"/>
      <c r="E44" s="16" t="n"/>
      <c r="F44" s="17" t="n"/>
      <c r="G44" s="1" t="n"/>
      <c r="H44" s="1" t="n"/>
      <c r="I44" s="1" t="n"/>
      <c r="J44" s="1" t="n"/>
      <c r="K44" s="1" t="n"/>
      <c r="L44" s="1" t="n"/>
      <c r="M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</row>
    <row r="46">
      <c r="A46" s="1" t="n"/>
      <c r="B46" s="3" t="inlineStr">
        <is>
          <t>Ship flow: Config → Scenario → Qty+Lot → Statement → DoC → Tech File ref → Archive  ·  Import: templates/import  ·  Doc engine: DOC_ENGINE_VARS  ·  PIMS_UI / PIMS_TECH</t>
        </is>
      </c>
      <c r="K46" s="1" t="n"/>
      <c r="L46" s="1" t="n"/>
      <c r="M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mergeCells count="25">
    <mergeCell ref="B39:G39"/>
    <mergeCell ref="C31:E31"/>
    <mergeCell ref="B23:G23"/>
    <mergeCell ref="C37:F37"/>
    <mergeCell ref="C27:E27"/>
    <mergeCell ref="C34:F34"/>
    <mergeCell ref="C42:F42"/>
    <mergeCell ref="B33:G33"/>
    <mergeCell ref="C32:E32"/>
    <mergeCell ref="B6:G6"/>
    <mergeCell ref="C28:E28"/>
    <mergeCell ref="C35:F35"/>
    <mergeCell ref="B4:J4"/>
    <mergeCell ref="C30:E30"/>
    <mergeCell ref="C41:F41"/>
    <mergeCell ref="C44:F44"/>
    <mergeCell ref="C24:E24"/>
    <mergeCell ref="B3:J3"/>
    <mergeCell ref="B46:J46"/>
    <mergeCell ref="C43:F43"/>
    <mergeCell ref="C26:E26"/>
    <mergeCell ref="C29:E29"/>
    <mergeCell ref="C36:F36"/>
    <mergeCell ref="C25:E25"/>
    <mergeCell ref="B2:J2"/>
  </mergeCells>
  <dataValidations count="2">
    <dataValidation sqref="D8" showDropDown="0" showInputMessage="0" showErrorMessage="0" allowBlank="1" errorTitle="PPWR Workflow" error="Select a valid ID" type="list">
      <formula1>=NR_PACKAGING_CONFIGURATION_ID</formula1>
    </dataValidation>
    <dataValidation sqref="D9" showDropDown="0" showInputMessage="0" showErrorMessage="0" allowBlank="1" errorTitle="PPWR Workflow" error="Select a valid ID" type="list">
      <formula1>=NR_COMMERCIAL_SCENARIO_ID</formula1>
    </dataValidation>
  </dataValidations>
  <hyperlinks>
    <hyperlink xmlns:r="http://schemas.openxmlformats.org/officeDocument/2006/relationships" ref="C5" r:id="rId1"/>
    <hyperlink xmlns:r="http://schemas.openxmlformats.org/officeDocument/2006/relationships" ref="D5" r:id="rId2"/>
    <hyperlink xmlns:r="http://schemas.openxmlformats.org/officeDocument/2006/relationships" ref="E5" r:id="rId3"/>
    <hyperlink xmlns:r="http://schemas.openxmlformats.org/officeDocument/2006/relationships" ref="F5" r:id="rId4"/>
    <hyperlink xmlns:r="http://schemas.openxmlformats.org/officeDocument/2006/relationships" ref="G5" r:id="rId5"/>
    <hyperlink xmlns:r="http://schemas.openxmlformats.org/officeDocument/2006/relationships" ref="H5" r:id="rId6"/>
    <hyperlink xmlns:r="http://schemas.openxmlformats.org/officeDocument/2006/relationships" ref="I5" r:id="rId7"/>
    <hyperlink xmlns:r="http://schemas.openxmlformats.org/officeDocument/2006/relationships" ref="G8" r:id="rId8"/>
    <hyperlink xmlns:r="http://schemas.openxmlformats.org/officeDocument/2006/relationships" ref="G9" r:id="rId9"/>
    <hyperlink xmlns:r="http://schemas.openxmlformats.org/officeDocument/2006/relationships" ref="G10" r:id="rId10"/>
    <hyperlink xmlns:r="http://schemas.openxmlformats.org/officeDocument/2006/relationships" ref="G11" r:id="rId11"/>
    <hyperlink xmlns:r="http://schemas.openxmlformats.org/officeDocument/2006/relationships" ref="G12" r:id="rId12"/>
    <hyperlink xmlns:r="http://schemas.openxmlformats.org/officeDocument/2006/relationships" ref="G13" r:id="rId13"/>
    <hyperlink xmlns:r="http://schemas.openxmlformats.org/officeDocument/2006/relationships" ref="G14" r:id="rId14"/>
    <hyperlink xmlns:r="http://schemas.openxmlformats.org/officeDocument/2006/relationships" ref="G15" r:id="rId15"/>
    <hyperlink xmlns:r="http://schemas.openxmlformats.org/officeDocument/2006/relationships" ref="G16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15" customWidth="1" min="3" max="3"/>
    <col width="32" customWidth="1" min="4" max="4"/>
    <col width="15" customWidth="1" min="5" max="5"/>
    <col width="17" customWidth="1" min="6" max="6"/>
    <col width="13" customWidth="1" min="7" max="7"/>
    <col width="18" customWidth="1" min="8" max="8"/>
    <col width="16" customWidth="1" min="9" max="9"/>
    <col width="12" customWidth="1" min="10" max="10"/>
    <col width="14" customWidth="1" min="11" max="11"/>
    <col width="14" customWidth="1" min="12" max="12"/>
    <col width="28" customWidth="1" min="14" max="14"/>
    <col width="22" customWidth="1" min="15" max="15"/>
  </cols>
  <sheetData>
    <row r="1" ht="26" customHeight="1">
      <c r="A1" s="2" t="inlineStr">
        <is>
          <t>İNCI AKÜ  |  Packaging Configuration</t>
        </is>
      </c>
      <c r="F1" s="5" t="inlineStr">
        <is>
          <t>HOME</t>
        </is>
      </c>
      <c r="G1" s="5" t="inlineStr">
        <is>
          <t>Dashboard</t>
        </is>
      </c>
      <c r="H1" s="5" t="inlineStr">
        <is>
          <t>BACK</t>
        </is>
      </c>
    </row>
    <row r="2" ht="32" customHeight="1">
      <c r="A2" s="3" t="inlineStr">
        <is>
          <t>PRIMARY OBJECT (Dashboard STEP 1). One physical arrangement. Owns exactly one Technical File. Edit recipe here.</t>
        </is>
      </c>
    </row>
    <row r="3">
      <c r="A3" s="19" t="inlineStr">
        <is>
          <t>INPUT</t>
        </is>
      </c>
      <c r="B3" s="20" t="inlineStr">
        <is>
          <t>CALC</t>
        </is>
      </c>
      <c r="C3" s="21" t="inlineStr">
        <is>
          <t>OUTPUT</t>
        </is>
      </c>
      <c r="D3" s="7" t="inlineStr">
        <is>
          <t>PROTECTED</t>
        </is>
      </c>
    </row>
    <row r="5">
      <c r="A5" s="5" t="inlineStr">
        <is>
          <t>PACKAGING_CONFIGURATION_ID</t>
        </is>
      </c>
      <c r="B5" s="5" t="inlineStr">
        <is>
          <t>CONFIG_GROUP_CODE</t>
        </is>
      </c>
      <c r="C5" s="5" t="inlineStr">
        <is>
          <t>REVISION_NO</t>
        </is>
      </c>
      <c r="D5" s="5" t="inlineStr">
        <is>
          <t>PACKAGING_CONFIGURATION_NAME</t>
        </is>
      </c>
      <c r="E5" s="5" t="inlineStr">
        <is>
          <t>DESCRIPTION</t>
        </is>
      </c>
      <c r="F5" s="5" t="inlineStr">
        <is>
          <t>SUPERSEDES_ID</t>
        </is>
      </c>
      <c r="G5" s="5" t="inlineStr">
        <is>
          <t>STATUS_ID</t>
        </is>
      </c>
      <c r="H5" s="5" t="inlineStr">
        <is>
          <t>EFFECTIVE_FROM</t>
        </is>
      </c>
      <c r="I5" s="5" t="inlineStr">
        <is>
          <t>EFFECTIVE_TO</t>
        </is>
      </c>
      <c r="J5" s="5" t="inlineStr">
        <is>
          <t>NOTES</t>
        </is>
      </c>
      <c r="K5" s="5" t="inlineStr">
        <is>
          <t>CREATED_AT</t>
        </is>
      </c>
      <c r="L5" s="5" t="inlineStr">
        <is>
          <t>UPDATED_AT</t>
        </is>
      </c>
      <c r="N5" s="6" t="inlineStr">
        <is>
          <t>PRIMARY OBJECT · RECIPE TOTALS</t>
        </is>
      </c>
      <c r="O5" s="22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N6" s="24" t="inlineStr">
        <is>
          <t>Configurations</t>
        </is>
      </c>
      <c r="O6" s="14">
        <f>COUNTA(T_PACKAGING_CONFIGURATION[PACKAGING_CONFIGURATION_ID])</f>
        <v/>
      </c>
    </row>
    <row r="7">
      <c r="N7" s="24" t="inlineStr">
        <is>
          <t>Recipe Lines</t>
        </is>
      </c>
      <c r="O7" s="14">
        <f>COUNTA(T_PACKAGING_CONFIGURATION_LINE[PACKAGING_CONFIGURATION_LINE_ID])</f>
        <v/>
      </c>
    </row>
    <row r="8">
      <c r="A8" s="25" t="inlineStr">
        <is>
          <t>PACKAGING RECIPE LINES (edit quantities here)</t>
        </is>
      </c>
      <c r="N8" s="24" t="inlineStr">
        <is>
          <t>Technical Files</t>
        </is>
      </c>
      <c r="O8" s="14">
        <f>COUNTA(T_TECHNICAL_FILE[PACKAGING_CONFIGURATION_ID])</f>
        <v/>
      </c>
    </row>
    <row r="9">
      <c r="A9" s="26" t="inlineStr">
        <is>
          <t>PACKAGING_CONFIGURATION_LINE_ID</t>
        </is>
      </c>
      <c r="B9" s="26" t="inlineStr">
        <is>
          <t>PACKAGING_CONFIGURATION_ID</t>
        </is>
      </c>
      <c r="C9" s="26" t="inlineStr">
        <is>
          <t>COMPONENT_ID</t>
        </is>
      </c>
      <c r="D9" s="26" t="inlineStr">
        <is>
          <t>QUANTITY</t>
        </is>
      </c>
      <c r="E9" s="26" t="inlineStr">
        <is>
          <t>LINE_ROLE_ID</t>
        </is>
      </c>
      <c r="F9" s="26" t="inlineStr">
        <is>
          <t>SORT_ORDER</t>
        </is>
      </c>
      <c r="G9" s="26" t="inlineStr">
        <is>
          <t>IS_OPTIONAL</t>
        </is>
      </c>
      <c r="H9" s="26" t="inlineStr">
        <is>
          <t>NOTES</t>
        </is>
      </c>
      <c r="I9" s="26" t="n"/>
      <c r="J9" s="26" t="inlineStr">
        <is>
          <t>Dashboard</t>
        </is>
      </c>
      <c r="N9" s="24" t="inlineStr">
        <is>
          <t>Total Line Weight g</t>
        </is>
      </c>
      <c r="O9" s="27">
        <f>IFERROR(SUM(T_ENG_PACKAGING_WEIGHT[LINE_WEIGHT_G]),0)</f>
        <v/>
      </c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N10" s="24" t="inlineStr">
        <is>
          <t>Plastic kg</t>
        </is>
      </c>
      <c r="O10" s="27">
        <f>IFERROR(INDEX(T_ENG_PLASTIC_SUMMARY[TOTAL_MATERIAL_WEIGHT_KG],1),0)</f>
        <v/>
      </c>
    </row>
    <row r="11">
      <c r="N11" s="24" t="inlineStr">
        <is>
          <t>Paper kg</t>
        </is>
      </c>
      <c r="O11" s="27">
        <f>IFERROR(INDEX(T_ENG_PAPER_SUMMARY[TOTAL_MATERIAL_WEIGHT_KG],1),0)</f>
        <v/>
      </c>
    </row>
    <row r="12">
      <c r="N12" s="24" t="inlineStr">
        <is>
          <t>Wood kg</t>
        </is>
      </c>
      <c r="O12" s="27">
        <f>IFERROR(INDEX(T_ENG_WOOD_SUMMARY[TOTAL_MATERIAL_WEIGHT_KG],1),0)</f>
        <v/>
      </c>
    </row>
    <row r="14">
      <c r="N14" s="28" t="inlineStr">
        <is>
          <t>OWNERSHIP RULES</t>
        </is>
      </c>
    </row>
    <row r="15">
      <c r="N15" s="29" t="inlineStr">
        <is>
          <t>1 Technical File ↔ 1 Packaging Configuration</t>
        </is>
      </c>
    </row>
    <row r="16">
      <c r="N16" s="29" t="inlineStr">
        <is>
          <t>Commercial Scenario does NOT edit this recipe/TF</t>
        </is>
      </c>
    </row>
    <row r="17">
      <c r="N17" s="29" t="inlineStr">
        <is>
          <t>Starter: pallet-based recipe · Industrial: 1 batt/pallet</t>
        </is>
      </c>
    </row>
    <row r="18">
      <c r="N18" s="29" t="inlineStr">
        <is>
          <t>Shipments pin this configuration revision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mergeCells count="2">
    <mergeCell ref="A1:D1"/>
    <mergeCell ref="A2:H2"/>
  </mergeCells>
  <dataValidations count="2">
    <dataValidation sqref="F2:F1048576" showDropDown="0" showInputMessage="0" showErrorMessage="1" allowBlank="1" errorTitle="Invalid FK" error="Value must exist in NR_PACKAGING_CONFIGURATION_ID" promptTitle="Foreign Key" prompt="Select SUPERSEDES_ID from NR_PACKAGING_CONFIGURATION_ID" type="list">
      <formula1>=NR_PACKAGING_CONFIGURATION_ID</formula1>
    </dataValidation>
    <dataValidation sqref="G2:G1048576" showDropDown="0" showInputMessage="0" showErrorMessage="1" allowBlank="1" errorTitle="Invalid FK" error="Value must exist in NR_STATUS_ID" promptTitle="Foreign Key" prompt="Select STATUS_ID from NR_STATUS_ID" type="list">
      <formula1>=NR_STATUS_ID</formula1>
    </dataValidation>
  </dataValidations>
  <hyperlinks>
    <hyperlink xmlns:r="http://schemas.openxmlformats.org/officeDocument/2006/relationships" ref="F1" r:id="rId1"/>
    <hyperlink xmlns:r="http://schemas.openxmlformats.org/officeDocument/2006/relationships" ref="G1" r:id="rId2"/>
    <hyperlink xmlns:r="http://schemas.openxmlformats.org/officeDocument/2006/relationships" ref="H1" r:id="rId3"/>
  </hyperlinks>
  <pageMargins left="0.75" right="0.75" top="1" bottom="1" header="0.5" footer="0.5"/>
  <tableParts count="2"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1" customWidth="1" min="4" max="4"/>
    <col width="22" customWidth="1" min="5" max="5"/>
    <col width="25" customWidth="1" min="6" max="6"/>
    <col width="21" customWidth="1" min="7" max="7"/>
    <col width="15" customWidth="1" min="8" max="8"/>
    <col width="12" customWidth="1" min="9" max="9"/>
    <col width="13" customWidth="1" min="10" max="10"/>
    <col width="12" customWidth="1" min="11" max="11"/>
    <col width="13" customWidth="1" min="12" max="12"/>
    <col width="24" customWidth="1" min="13" max="13"/>
    <col width="26" customWidth="1" min="14" max="14"/>
    <col width="22" customWidth="1" min="15" max="15"/>
    <col width="12" customWidth="1" min="16" max="16"/>
    <col width="13" customWidth="1" min="17" max="17"/>
    <col width="18" customWidth="1" min="18" max="18"/>
    <col width="16" customWidth="1" min="19" max="19"/>
    <col width="16" customWidth="1" min="20" max="20"/>
    <col width="12" customWidth="1" min="21" max="21"/>
    <col width="14" customWidth="1" min="22" max="22"/>
    <col width="14" customWidth="1" min="23" max="23"/>
    <col width="28" customWidth="1" min="25" max="25"/>
    <col width="22" customWidth="1" min="26" max="26"/>
  </cols>
  <sheetData>
    <row r="1" ht="26" customHeight="1">
      <c r="A1" s="2" t="inlineStr">
        <is>
          <t>İNCI AKÜ  |  Component Master</t>
        </is>
      </c>
      <c r="F1" s="5" t="inlineStr">
        <is>
          <t>HOME</t>
        </is>
      </c>
      <c r="G1" s="5" t="inlineStr">
        <is>
          <t>Dashboard</t>
        </is>
      </c>
      <c r="H1" s="5" t="inlineStr">
        <is>
          <t>BACK</t>
        </is>
      </c>
    </row>
    <row r="2" ht="32" customHeight="1">
      <c r="A2" s="3" t="inlineStr">
        <is>
          <t>Hierarchy bottom: parts of Packaging Configurations. Weight + supplier + evidence required.</t>
        </is>
      </c>
    </row>
    <row r="3">
      <c r="A3" s="19" t="inlineStr">
        <is>
          <t>INPUT</t>
        </is>
      </c>
      <c r="B3" s="20" t="inlineStr">
        <is>
          <t>CALC</t>
        </is>
      </c>
      <c r="C3" s="21" t="inlineStr">
        <is>
          <t>OUTPUT</t>
        </is>
      </c>
      <c r="D3" s="7" t="inlineStr">
        <is>
          <t>PROTECTED</t>
        </is>
      </c>
    </row>
    <row r="5">
      <c r="A5" s="5" t="inlineStr">
        <is>
          <t>COMPONENT_ID</t>
        </is>
      </c>
      <c r="B5" s="5" t="inlineStr">
        <is>
          <t>COMPONENT_CODE</t>
        </is>
      </c>
      <c r="C5" s="5" t="inlineStr">
        <is>
          <t>COMPONENT_NAME</t>
        </is>
      </c>
      <c r="D5" s="5" t="inlineStr">
        <is>
          <t>COMPONENT_TYPE_ID</t>
        </is>
      </c>
      <c r="E5" s="5" t="inlineStr">
        <is>
          <t>PACKAGING_LEVEL_ID</t>
        </is>
      </c>
      <c r="F5" s="5" t="inlineStr">
        <is>
          <t>PACKAGING_FUNCTION_ID</t>
        </is>
      </c>
      <c r="G5" s="5" t="inlineStr">
        <is>
          <t>OWNERSHIP_TYPE_ID</t>
        </is>
      </c>
      <c r="H5" s="5" t="inlineStr">
        <is>
          <t>SUPPLIER_ID</t>
        </is>
      </c>
      <c r="I5" s="5" t="inlineStr">
        <is>
          <t>WEIGHT_G</t>
        </is>
      </c>
      <c r="J5" s="5" t="inlineStr">
        <is>
          <t>LENGTH_MM</t>
        </is>
      </c>
      <c r="K5" s="5" t="inlineStr">
        <is>
          <t>WIDTH_MM</t>
        </is>
      </c>
      <c r="L5" s="5" t="inlineStr">
        <is>
          <t>HEIGHT_MM</t>
        </is>
      </c>
      <c r="M5" s="5" t="inlineStr">
        <is>
          <t>RECYCLED_CONTENT_PCT</t>
        </is>
      </c>
      <c r="N5" s="5" t="inlineStr">
        <is>
          <t>RECYCLABILITY_CLASS_ID</t>
        </is>
      </c>
      <c r="O5" s="5" t="inlineStr">
        <is>
          <t>REUSE_CYCLE_TARGET</t>
        </is>
      </c>
      <c r="P5" s="5" t="inlineStr">
        <is>
          <t>SPEC_REF</t>
        </is>
      </c>
      <c r="Q5" s="5" t="inlineStr">
        <is>
          <t>STATUS_ID</t>
        </is>
      </c>
      <c r="R5" s="5" t="inlineStr">
        <is>
          <t>EFFECTIVE_FROM</t>
        </is>
      </c>
      <c r="S5" s="5" t="inlineStr">
        <is>
          <t>EFFECTIVE_TO</t>
        </is>
      </c>
      <c r="T5" s="5" t="inlineStr">
        <is>
          <t>EXTERNAL_REF</t>
        </is>
      </c>
      <c r="U5" s="5" t="inlineStr">
        <is>
          <t>NOTES</t>
        </is>
      </c>
      <c r="V5" s="5" t="inlineStr">
        <is>
          <t>CREATED_AT</t>
        </is>
      </c>
      <c r="W5" s="5" t="inlineStr">
        <is>
          <t>UPDATED_AT</t>
        </is>
      </c>
      <c r="Y5" s="6" t="inlineStr">
        <is>
          <t>COMPONENT STATUS (auto)</t>
        </is>
      </c>
      <c r="Z5" s="22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Y6" s="24" t="inlineStr">
        <is>
          <t>Total Components</t>
        </is>
      </c>
      <c r="Z6" s="14">
        <f>COUNTA(T_COMPONENT[COMPONENT_ID])</f>
        <v/>
      </c>
    </row>
    <row r="7">
      <c r="Y7" s="24" t="inlineStr">
        <is>
          <t>Missing Weight</t>
        </is>
      </c>
      <c r="Z7" s="14">
        <f>COUNTIF(T_COMPONENT[WEIGHT_G],"&lt;=0")+COUNTBLANK(T_COMPONENT[WEIGHT_G])</f>
        <v/>
      </c>
    </row>
    <row r="8">
      <c r="Y8" s="24" t="inlineStr">
        <is>
          <t>Missing Supplier</t>
        </is>
      </c>
      <c r="Z8" s="14">
        <f>COUNTBLANK(T_COMPONENT[SUPPLIER_ID])</f>
        <v/>
      </c>
    </row>
    <row r="9">
      <c r="Y9" s="24" t="inlineStr">
        <is>
          <t>With Evidence Docs</t>
        </is>
      </c>
      <c r="Z9" s="27">
        <f>SUMPRODUCT((T_DOCUMENT_LINK[COMPONENT_ID]&lt;&gt;"")*1)</f>
        <v/>
      </c>
    </row>
    <row r="10">
      <c r="Y10" s="24" t="inlineStr">
        <is>
          <t>Returnable / Pool</t>
        </is>
      </c>
      <c r="Z10" s="27">
        <f>COUNTIF(T_COMPONENT[OWNERSHIP_TYPE_ID],"&gt;1")</f>
        <v/>
      </c>
    </row>
    <row r="11">
      <c r="Y11" s="24" t="inlineStr">
        <is>
          <t>Active Hint</t>
        </is>
      </c>
      <c r="Z11" s="27" t="inlineStr">
        <is>
          <t>Set STATUS_ID = ACTIVE (2)</t>
        </is>
      </c>
    </row>
    <row r="13">
      <c r="Y13" s="28" t="inlineStr">
        <is>
          <t>INCI RULES</t>
        </is>
      </c>
    </row>
    <row r="14">
      <c r="Y14" s="29" t="inlineStr">
        <is>
          <t>1) Enter WEIGHT_G (grams) — only weight source</t>
        </is>
      </c>
    </row>
    <row r="15">
      <c r="Y15" s="29" t="inlineStr">
        <is>
          <t>2) Fill COMPONENT_MATERIAL shares (~100%)</t>
        </is>
      </c>
    </row>
    <row r="16">
      <c r="Y16" s="29" t="inlineStr">
        <is>
          <t>3) Supplier required for PPWR traceability</t>
        </is>
      </c>
    </row>
    <row r="17">
      <c r="Y17" s="29" t="inlineStr">
        <is>
          <t>4) Attach evidence via DOCUMENT_LINK</t>
        </is>
      </c>
    </row>
    <row r="18">
      <c r="Y18" s="29" t="inlineStr">
        <is>
          <t>5) Container materials = type DUNNAGE/LINER/…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mergeCells count="2">
    <mergeCell ref="A1:D1"/>
    <mergeCell ref="A2:H2"/>
  </mergeCells>
  <dataValidations count="7">
    <dataValidation sqref="D2:D1048576" showDropDown="0" showInputMessage="0" showErrorMessage="1" allowBlank="1" errorTitle="Invalid FK" error="Value must exist in NR_COMPONENT_TYPE_ID" promptTitle="Foreign Key" prompt="Select COMPONENT_TYPE_ID from NR_COMPONENT_TYPE_ID" type="list">
      <formula1>=NR_COMPONENT_TYPE_ID</formula1>
    </dataValidation>
    <dataValidation sqref="E2:E1048576" showDropDown="0" showInputMessage="0" showErrorMessage="1" allowBlank="1" errorTitle="Invalid FK" error="Value must exist in NR_PACKAGING_LEVEL_ID" promptTitle="Foreign Key" prompt="Select PACKAGING_LEVEL_ID from NR_PACKAGING_LEVEL_ID" type="list">
      <formula1>=NR_PACKAGING_LEVEL_ID</formula1>
    </dataValidation>
    <dataValidation sqref="F2:F1048576" showDropDown="0" showInputMessage="0" showErrorMessage="1" allowBlank="1" errorTitle="Invalid FK" error="Value must exist in NR_PACKAGING_FUNCTION_ID" promptTitle="Foreign Key" prompt="Select PACKAGING_FUNCTION_ID from NR_PACKAGING_FUNCTION_ID" type="list">
      <formula1>=NR_PACKAGING_FUNCTION_ID</formula1>
    </dataValidation>
    <dataValidation sqref="G2:G1048576" showDropDown="0" showInputMessage="0" showErrorMessage="1" allowBlank="1" errorTitle="Invalid FK" error="Value must exist in NR_OWNERSHIP_TYPE_ID" promptTitle="Foreign Key" prompt="Select OWNERSHIP_TYPE_ID from NR_OWNERSHIP_TYPE_ID" type="list">
      <formula1>=NR_OWNERSHIP_TYPE_ID</formula1>
    </dataValidation>
    <dataValidation sqref="H2:H1048576" showDropDown="0" showInputMessage="0" showErrorMessage="1" allowBlank="1" errorTitle="Invalid FK" error="Value must exist in NR_SUPPLIER_ID" promptTitle="Foreign Key" prompt="Select SUPPLIER_ID from NR_SUPPLIER_ID" type="list">
      <formula1>=NR_SUPPLIER_ID</formula1>
    </dataValidation>
    <dataValidation sqref="N2:N1048576" showDropDown="0" showInputMessage="0" showErrorMessage="1" allowBlank="1" errorTitle="Invalid FK" error="Value must exist in NR_RECYCLABILITY_CLASS_ID" promptTitle="Foreign Key" prompt="Select RECYCLABILITY_CLASS_ID from NR_RECYCLABILITY_CLASS_ID" type="list">
      <formula1>=NR_RECYCLABILITY_CLASS_ID</formula1>
    </dataValidation>
    <dataValidation sqref="Q2:Q1048576" showDropDown="0" showInputMessage="0" showErrorMessage="1" allowBlank="1" errorTitle="Invalid FK" error="Value must exist in NR_STATUS_ID" promptTitle="Foreign Key" prompt="Select STATUS_ID from NR_STATUS_ID" type="list">
      <formula1>=NR_STATUS_ID</formula1>
    </dataValidation>
  </dataValidations>
  <hyperlinks>
    <hyperlink xmlns:r="http://schemas.openxmlformats.org/officeDocument/2006/relationships" ref="F1" r:id="rId1"/>
    <hyperlink xmlns:r="http://schemas.openxmlformats.org/officeDocument/2006/relationships" ref="G1" r:id="rId2"/>
    <hyperlink xmlns:r="http://schemas.openxmlformats.org/officeDocument/2006/relationships" ref="H1" r:id="rId3"/>
  </hyperlinks>
  <pageMargins left="0.75" right="0.75" top="1" bottom="1" header="0.5" footer="0.5"/>
  <tableParts count="1">
    <tablePart xmlns:r="http://schemas.openxmlformats.org/officeDocument/2006/relationships" r:id="rId4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3" customWidth="1" min="4" max="4"/>
    <col width="16" customWidth="1" min="5" max="5"/>
    <col width="13" customWidth="1" min="6" max="6"/>
    <col width="12" customWidth="1" min="7" max="7"/>
    <col width="13" customWidth="1" min="8" max="8"/>
    <col width="13" customWidth="1" min="9" max="9"/>
    <col width="18" customWidth="1" min="10" max="10"/>
    <col width="16" customWidth="1" min="11" max="11"/>
    <col width="16" customWidth="1" min="12" max="12"/>
    <col width="12" customWidth="1" min="13" max="13"/>
    <col width="14" customWidth="1" min="14" max="14"/>
    <col width="14" customWidth="1" min="15" max="15"/>
    <col width="28" customWidth="1" min="17" max="17"/>
    <col width="22" customWidth="1" min="18" max="18"/>
  </cols>
  <sheetData>
    <row r="1" ht="26" customHeight="1">
      <c r="A1" s="2" t="inlineStr">
        <is>
          <t>İNCI AKÜ  |  Product Master</t>
        </is>
      </c>
      <c r="F1" s="5" t="inlineStr">
        <is>
          <t>HOME</t>
        </is>
      </c>
      <c r="G1" s="5" t="inlineStr">
        <is>
          <t>Dashboard</t>
        </is>
      </c>
      <c r="H1" s="5" t="inlineStr">
        <is>
          <t>BACK</t>
        </is>
      </c>
    </row>
    <row r="2" ht="32" customHeight="1">
      <c r="A2" s="3" t="inlineStr">
        <is>
          <t>ERP link only — NOT the PPWR primary object. Products link to Packaging Configurations via scenarios.</t>
        </is>
      </c>
    </row>
    <row r="3">
      <c r="A3" s="19" t="inlineStr">
        <is>
          <t>INPUT</t>
        </is>
      </c>
      <c r="B3" s="20" t="inlineStr">
        <is>
          <t>CALC</t>
        </is>
      </c>
      <c r="C3" s="21" t="inlineStr">
        <is>
          <t>OUTPUT</t>
        </is>
      </c>
      <c r="D3" s="7" t="inlineStr">
        <is>
          <t>PROTECTED</t>
        </is>
      </c>
    </row>
    <row r="5">
      <c r="A5" s="5" t="inlineStr">
        <is>
          <t>PRODUCT_ID</t>
        </is>
      </c>
      <c r="B5" s="5" t="inlineStr">
        <is>
          <t>PRODUCT_CODE</t>
        </is>
      </c>
      <c r="C5" s="5" t="inlineStr">
        <is>
          <t>PRODUCT_NAME</t>
        </is>
      </c>
      <c r="D5" s="5" t="inlineStr">
        <is>
          <t>PRODUCT_CATEGORY_ID</t>
        </is>
      </c>
      <c r="E5" s="5" t="inlineStr">
        <is>
          <t>NET_WEIGHT_G</t>
        </is>
      </c>
      <c r="F5" s="5" t="inlineStr">
        <is>
          <t>LENGTH_MM</t>
        </is>
      </c>
      <c r="G5" s="5" t="inlineStr">
        <is>
          <t>WIDTH_MM</t>
        </is>
      </c>
      <c r="H5" s="5" t="inlineStr">
        <is>
          <t>HEIGHT_MM</t>
        </is>
      </c>
      <c r="I5" s="5" t="inlineStr">
        <is>
          <t>STATUS_ID</t>
        </is>
      </c>
      <c r="J5" s="5" t="inlineStr">
        <is>
          <t>EFFECTIVE_FROM</t>
        </is>
      </c>
      <c r="K5" s="5" t="inlineStr">
        <is>
          <t>EFFECTIVE_TO</t>
        </is>
      </c>
      <c r="L5" s="5" t="inlineStr">
        <is>
          <t>EXTERNAL_REF</t>
        </is>
      </c>
      <c r="M5" s="5" t="inlineStr">
        <is>
          <t>NOTES</t>
        </is>
      </c>
      <c r="N5" s="5" t="inlineStr">
        <is>
          <t>CREATED_AT</t>
        </is>
      </c>
      <c r="O5" s="5" t="inlineStr">
        <is>
          <t>UPDATED_AT</t>
        </is>
      </c>
      <c r="Q5" s="6" t="inlineStr">
        <is>
          <t>ERP PRODUCT REFERENCE (auto)</t>
        </is>
      </c>
      <c r="R5" s="22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Q6" s="24" t="inlineStr">
        <is>
          <t>Total Products</t>
        </is>
      </c>
      <c r="R6" s="14">
        <f>COUNTA(T_PRODUCT[PRODUCT_ID])</f>
        <v/>
      </c>
    </row>
    <row r="7">
      <c r="Q7" s="24" t="inlineStr">
        <is>
          <t>Starter Batteries</t>
        </is>
      </c>
      <c r="R7" s="14">
        <f>COUNTIF(T_PRODUCT[PRODUCT_CATEGORY_ID],1)</f>
        <v/>
      </c>
    </row>
    <row r="8">
      <c r="Q8" s="24" t="inlineStr">
        <is>
          <t>Industrial Batteries</t>
        </is>
      </c>
      <c r="R8" s="14">
        <f>COUNTIF(T_PRODUCT[PRODUCT_CATEGORY_ID],2)</f>
        <v/>
      </c>
    </row>
    <row r="9">
      <c r="Q9" s="24" t="inlineStr">
        <is>
          <t>Linked Scenarios</t>
        </is>
      </c>
      <c r="R9" s="27">
        <f>COUNTA(T_COMMERCIAL_SCENARIO[COMMERCIAL_SCENARIO_ID])</f>
        <v/>
      </c>
    </row>
    <row r="10">
      <c r="Q10" s="24" t="inlineStr">
        <is>
          <t>Products w/ Scenario</t>
        </is>
      </c>
      <c r="R10" s="27">
        <f>SUMPRODUCT((T_COMMERCIAL_SCENARIO[PRODUCT_ID]&lt;&gt;"")*1)</f>
        <v/>
      </c>
    </row>
    <row r="12">
      <c r="Q12" s="28" t="inlineStr">
        <is>
          <t>NOT THE PRIMARY OBJECT</t>
        </is>
      </c>
    </row>
    <row r="13">
      <c r="Q13" s="29" t="inlineStr">
        <is>
          <t>PPWR primary object = Packaging Configuration</t>
        </is>
      </c>
    </row>
    <row r="14">
      <c r="Q14" s="29" t="inlineStr">
        <is>
          <t>Product only links to configurations (via scenario)</t>
        </is>
      </c>
    </row>
    <row r="15">
      <c r="Q15" s="29" t="inlineStr">
        <is>
          <t>Never create a Technical File for a Product</t>
        </is>
      </c>
    </row>
    <row r="16">
      <c r="Q16" s="29" t="inlineStr">
        <is>
          <t>Daily work starts on Dashboard STEP 1 (Packaging Config)</t>
        </is>
      </c>
    </row>
    <row r="17">
      <c r="Q17" s="29" t="inlineStr">
        <is>
          <t>Scenario chooses DoC variant only — never edits TF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mergeCells count="2">
    <mergeCell ref="A1:D1"/>
    <mergeCell ref="A2:H2"/>
  </mergeCells>
  <dataValidations count="2">
    <dataValidation sqref="D2:D1048576" showDropDown="0" showInputMessage="0" showErrorMessage="1" allowBlank="1" errorTitle="Invalid FK" error="Value must exist in NR_PRODUCT_CATEGORY_ID" promptTitle="Foreign Key" prompt="Select PRODUCT_CATEGORY_ID from NR_PRODUCT_CATEGORY_ID" type="list">
      <formula1>=NR_PRODUCT_CATEGORY_ID</formula1>
    </dataValidation>
    <dataValidation sqref="I2:I1048576" showDropDown="0" showInputMessage="0" showErrorMessage="1" allowBlank="1" errorTitle="Invalid FK" error="Value must exist in NR_STATUS_ID" promptTitle="Foreign Key" prompt="Select STATUS_ID from NR_STATUS_ID" type="list">
      <formula1>=NR_STATUS_ID</formula1>
    </dataValidation>
  </dataValidations>
  <hyperlinks>
    <hyperlink xmlns:r="http://schemas.openxmlformats.org/officeDocument/2006/relationships" ref="F1" r:id="rId1"/>
    <hyperlink xmlns:r="http://schemas.openxmlformats.org/officeDocument/2006/relationships" ref="G1" r:id="rId2"/>
    <hyperlink xmlns:r="http://schemas.openxmlformats.org/officeDocument/2006/relationships" ref="H1" r:id="rId3"/>
  </hyperlinks>
  <pageMargins left="0.75" right="0.75" top="1" bottom="1" header="0.5" footer="0.5"/>
  <tableParts count="1">
    <tablePart xmlns:r="http://schemas.openxmlformats.org/officeDocument/2006/relationships" r:id="rId4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26" customWidth="1" min="3" max="3"/>
    <col width="12" customWidth="1" min="4" max="4"/>
    <col width="13" customWidth="1" min="5" max="5"/>
    <col width="21" customWidth="1" min="6" max="6"/>
    <col width="30" customWidth="1" min="7" max="7"/>
    <col width="30" customWidth="1" min="8" max="8"/>
    <col width="26" customWidth="1" min="9" max="9"/>
    <col width="21" customWidth="1" min="10" max="10"/>
    <col width="13" customWidth="1" min="11" max="11"/>
    <col width="16" customWidth="1" min="12" max="12"/>
    <col width="12" customWidth="1" min="13" max="13"/>
    <col width="16" customWidth="1" min="14" max="14"/>
    <col width="14" customWidth="1" min="15" max="15"/>
    <col width="14" customWidth="1" min="16" max="16"/>
    <col width="28" customWidth="1" min="18" max="18"/>
    <col width="22" customWidth="1" min="19" max="19"/>
  </cols>
  <sheetData>
    <row r="1" ht="26" customHeight="1">
      <c r="A1" s="2" t="inlineStr">
        <is>
          <t>İNCI AKÜ  |  Shipment</t>
        </is>
      </c>
      <c r="F1" s="5" t="inlineStr">
        <is>
          <t>HOME</t>
        </is>
      </c>
      <c r="G1" s="5" t="inlineStr">
        <is>
          <t>Dashboard</t>
        </is>
      </c>
      <c r="H1" s="5" t="inlineStr">
        <is>
          <t>BACK</t>
        </is>
      </c>
    </row>
    <row r="2" ht="32" customHeight="1">
      <c r="A2" s="3" t="inlineStr">
        <is>
          <t>Dashboard STEP 3: paste Packaging Config + Scenario + Qty + Lot Number (EXTERNAL_REF). Customer/Country/Incoterms come from scenario.</t>
        </is>
      </c>
    </row>
    <row r="3">
      <c r="A3" s="19" t="inlineStr">
        <is>
          <t>INPUT</t>
        </is>
      </c>
      <c r="B3" s="20" t="inlineStr">
        <is>
          <t>CALC</t>
        </is>
      </c>
      <c r="C3" s="21" t="inlineStr">
        <is>
          <t>OUTPUT</t>
        </is>
      </c>
      <c r="D3" s="7" t="inlineStr">
        <is>
          <t>PROTECTED</t>
        </is>
      </c>
    </row>
    <row r="5">
      <c r="A5" s="5" t="inlineStr">
        <is>
          <t>SHIPMENT_ID</t>
        </is>
      </c>
      <c r="B5" s="5" t="inlineStr">
        <is>
          <t>SHIPMENT_NUMBER</t>
        </is>
      </c>
      <c r="C5" s="5" t="inlineStr">
        <is>
          <t>COMMERCIAL_SCENARIO_ID</t>
        </is>
      </c>
      <c r="D5" s="5" t="inlineStr">
        <is>
          <t>PLANT_ID</t>
        </is>
      </c>
      <c r="E5" s="5" t="inlineStr">
        <is>
          <t>SHIP_DATE</t>
        </is>
      </c>
      <c r="F5" s="5" t="inlineStr">
        <is>
          <t>QTY_PRODUCT_UNITS</t>
        </is>
      </c>
      <c r="G5" s="5" t="inlineStr">
        <is>
          <t>PACKAGING_CONFIGURATION_ID</t>
        </is>
      </c>
      <c r="H5" s="5" t="inlineStr">
        <is>
          <t>TRANSPORT_CONFIGURATION_ID</t>
        </is>
      </c>
      <c r="I5" s="5" t="inlineStr">
        <is>
          <t>DESTINATION_COUNTRY_ID</t>
        </is>
      </c>
      <c r="J5" s="5" t="inlineStr">
        <is>
          <t>TRANSPORT_MODE_ID</t>
        </is>
      </c>
      <c r="K5" s="5" t="inlineStr">
        <is>
          <t>STATUS_ID</t>
        </is>
      </c>
      <c r="L5" s="5" t="inlineStr">
        <is>
          <t>EXTERNAL_REF</t>
        </is>
      </c>
      <c r="M5" s="5" t="inlineStr">
        <is>
          <t>NOTES</t>
        </is>
      </c>
      <c r="N5" s="5" t="inlineStr">
        <is>
          <t>CONFIRMED_AT</t>
        </is>
      </c>
      <c r="O5" s="5" t="inlineStr">
        <is>
          <t>CREATED_AT</t>
        </is>
      </c>
      <c r="P5" s="5" t="inlineStr">
        <is>
          <t>UPDATED_AT</t>
        </is>
      </c>
      <c r="R5" s="6" t="inlineStr">
        <is>
          <t>SHIPMENT AUTO CALC</t>
        </is>
      </c>
      <c r="S5" s="22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R6" s="24" t="inlineStr">
        <is>
          <t>Shipments</t>
        </is>
      </c>
      <c r="S6" s="14">
        <f>COUNTA(T_SHIPMENT[SHIPMENT_ID])</f>
        <v/>
      </c>
    </row>
    <row r="7">
      <c r="R7" s="24" t="inlineStr">
        <is>
          <t>Latest Ship Date</t>
        </is>
      </c>
      <c r="S7" s="14">
        <f>IFERROR(MAX(T_SHIPMENT[SHIP_DATE]),"-")</f>
        <v/>
      </c>
    </row>
    <row r="8">
      <c r="R8" s="24" t="inlineStr">
        <is>
          <t>Total Pack Weight kg</t>
        </is>
      </c>
      <c r="S8" s="14">
        <f>IFERROR(SUM(T_ENG_SHIPMENT_WEIGHT[SHIPMENT_PACKAGING_WEIGHT_KG]),0)</f>
        <v/>
      </c>
    </row>
    <row r="9">
      <c r="R9" s="24" t="inlineStr">
        <is>
          <t>Freeze Lines</t>
        </is>
      </c>
      <c r="S9" s="27">
        <f>COUNTA(T_SHIPMENT_LINE[SHIPMENT_LINE_ID])</f>
        <v/>
      </c>
    </row>
    <row r="10">
      <c r="R10" s="24" t="inlineStr">
        <is>
          <t>Scenarios Ready</t>
        </is>
      </c>
      <c r="S10" s="27">
        <f>COUNTA(T_COMMERCIAL_SCENARIO[COMMERCIAL_SCENARIO_ID])</f>
        <v/>
      </c>
    </row>
    <row r="11">
      <c r="R11" s="24" t="inlineStr">
        <is>
          <t>Tech Files on Configs</t>
        </is>
      </c>
      <c r="S11" s="27">
        <f>COUNTA(T_TECHNICAL_FILE[PACKAGING_CONFIGURATION_ID])</f>
        <v/>
      </c>
    </row>
    <row r="12">
      <c r="R12" s="24" t="inlineStr">
        <is>
          <t>DoC Variants Ready</t>
        </is>
      </c>
      <c r="S12" s="27">
        <f>COUNTA(T_DECLARATION_OF_CONFORMITY[DECLARATION_OF_CONFORMITY_ID])</f>
        <v/>
      </c>
    </row>
    <row r="14">
      <c r="R14" s="28" t="inlineStr">
        <is>
          <t>MINIMUM INPUT (PPWR)</t>
        </is>
      </c>
    </row>
    <row r="15">
      <c r="R15" s="30" t="inlineStr">
        <is>
          <t>Customer / Country / Incoterms ← Scenario</t>
        </is>
      </c>
    </row>
    <row r="16">
      <c r="R16" s="30" t="inlineStr">
        <is>
          <t>Packaging Configuration</t>
        </is>
      </c>
    </row>
    <row r="17">
      <c r="R17" s="30" t="inlineStr">
        <is>
          <t>Quantity</t>
        </is>
      </c>
    </row>
    <row r="18">
      <c r="R18" s="30" t="inlineStr">
        <is>
          <t>Lot Number → EXTERNAL_REF</t>
        </is>
      </c>
    </row>
    <row r="19">
      <c r="R19" s="30" t="inlineStr">
        <is>
          <t>Paste draft from Dashboard STEP 3</t>
        </is>
      </c>
    </row>
    <row r="21">
      <c r="R21" s="28" t="inlineStr">
        <is>
          <t>AUTO DETERMINED</t>
        </is>
      </c>
    </row>
    <row r="22">
      <c r="R22" s="31" t="inlineStr">
        <is>
          <t>Technical File ← Packaging Configuration</t>
        </is>
      </c>
    </row>
    <row r="23">
      <c r="R23" s="31" t="inlineStr">
        <is>
          <t>DoC variant ← Commercial Scenario</t>
        </is>
      </c>
    </row>
    <row r="24">
      <c r="R24" s="31" t="inlineStr">
        <is>
          <t>Statement ← shipment freeze</t>
        </is>
      </c>
    </row>
    <row r="25">
      <c r="R25" s="31" t="inlineStr">
        <is>
          <t>Required documents ← package checklist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mergeCells count="2">
    <mergeCell ref="A1:D1"/>
    <mergeCell ref="A2:H2"/>
  </mergeCells>
  <dataValidations count="7">
    <dataValidation sqref="C2:C1048576" showDropDown="0" showInputMessage="0" showErrorMessage="1" allowBlank="1" errorTitle="Invalid FK" error="Value must exist in NR_COMMERCIAL_SCENARIO_ID" promptTitle="Foreign Key" prompt="Select COMMERCIAL_SCENARIO_ID from NR_COMMERCIAL_SCENARIO_ID" type="list">
      <formula1>=NR_COMMERCIAL_SCENARIO_ID</formula1>
    </dataValidation>
    <dataValidation sqref="D2:D1048576" showDropDown="0" showInputMessage="0" showErrorMessage="1" allowBlank="1" errorTitle="Invalid FK" error="Value must exist in NR_PLANT_ID" promptTitle="Foreign Key" prompt="Select PLANT_ID from NR_PLANT_ID" type="list">
      <formula1>=NR_PLANT_ID</formula1>
    </dataValidation>
    <dataValidation sqref="G2:G1048576" showDropDown="0" showInputMessage="0" showErrorMessage="1" allowBlank="1" errorTitle="Invalid FK" error="Value must exist in NR_PACKAGING_CONFIGURATION_ID" promptTitle="Foreign Key" prompt="Select PACKAGING_CONFIGURATION_ID from NR_PACKAGING_CONFIGURATION_ID" type="list">
      <formula1>=NR_PACKAGING_CONFIGURATION_ID</formula1>
    </dataValidation>
    <dataValidation sqref="H2:H1048576" showDropDown="0" showInputMessage="0" showErrorMessage="1" allowBlank="1" errorTitle="Invalid FK" error="Value must exist in NR_TRANSPORT_CONFIGURATION_ID" promptTitle="Foreign Key" prompt="Select TRANSPORT_CONFIGURATION_ID from NR_TRANSPORT_CONFIGURATION_ID" type="list">
      <formula1>=NR_TRANSPORT_CONFIGURATION_ID</formula1>
    </dataValidation>
    <dataValidation sqref="I2:I1048576" showDropDown="0" showInputMessage="0" showErrorMessage="1" allowBlank="1" errorTitle="Invalid FK" error="Value must exist in NR_COUNTRY_ID" promptTitle="Foreign Key" prompt="Select DESTINATION_COUNTRY_ID from NR_COUNTRY_ID" type="list">
      <formula1>=NR_COUNTRY_ID</formula1>
    </dataValidation>
    <dataValidation sqref="J2:J1048576" showDropDown="0" showInputMessage="0" showErrorMessage="1" allowBlank="1" errorTitle="Invalid FK" error="Value must exist in NR_TRANSPORT_MODE_ID" promptTitle="Foreign Key" prompt="Select TRANSPORT_MODE_ID from NR_TRANSPORT_MODE_ID" type="list">
      <formula1>=NR_TRANSPORT_MODE_ID</formula1>
    </dataValidation>
    <dataValidation sqref="K2:K1048576" showDropDown="0" showInputMessage="0" showErrorMessage="1" allowBlank="1" errorTitle="Invalid FK" error="Value must exist in NR_STATUS_ID" promptTitle="Foreign Key" prompt="Select STATUS_ID from NR_STATUS_ID" type="list">
      <formula1>=NR_STATUS_ID</formula1>
    </dataValidation>
  </dataValidations>
  <hyperlinks>
    <hyperlink xmlns:r="http://schemas.openxmlformats.org/officeDocument/2006/relationships" ref="F1" r:id="rId1"/>
    <hyperlink xmlns:r="http://schemas.openxmlformats.org/officeDocument/2006/relationships" ref="G1" r:id="rId2"/>
    <hyperlink xmlns:r="http://schemas.openxmlformats.org/officeDocument/2006/relationships" ref="H1" r:id="rId3"/>
  </hyperlinks>
  <pageMargins left="0.75" right="0.75" top="1" bottom="1" header="0.5" footer="0.5"/>
  <tableParts count="1">
    <tablePart xmlns:r="http://schemas.openxmlformats.org/officeDocument/2006/relationships" r:id="rId4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1" customWidth="1" min="3" max="3"/>
    <col width="19" customWidth="1" min="4" max="4"/>
    <col width="14" customWidth="1" min="5" max="5"/>
    <col width="15" customWidth="1" min="6" max="6"/>
    <col width="16" customWidth="1" min="7" max="7"/>
    <col width="15" customWidth="1" min="8" max="8"/>
    <col width="13" customWidth="1" min="9" max="9"/>
    <col width="13" customWidth="1" min="10" max="10"/>
    <col width="16" customWidth="1" min="11" max="11"/>
    <col width="25" customWidth="1" min="12" max="12"/>
    <col width="15" customWidth="1" min="13" max="13"/>
    <col width="12" customWidth="1" min="14" max="14"/>
    <col width="28" customWidth="1" min="16" max="16"/>
    <col width="22" customWidth="1" min="17" max="17"/>
  </cols>
  <sheetData>
    <row r="1" ht="26" customHeight="1">
      <c r="A1" s="2" t="inlineStr">
        <is>
          <t>İNCI AKÜ  |  Statements</t>
        </is>
      </c>
      <c r="F1" s="5" t="inlineStr">
        <is>
          <t>HOME</t>
        </is>
      </c>
      <c r="G1" s="5" t="inlineStr">
        <is>
          <t>Dashboard</t>
        </is>
      </c>
      <c r="H1" s="5" t="inlineStr">
        <is>
          <t>BACK</t>
        </is>
      </c>
    </row>
    <row r="2" ht="32" customHeight="1">
      <c r="A2" s="3" t="inlineStr">
        <is>
          <t>Dashboard STEP 4: Shipment Statement. Link shipment; composition assembles automatically.</t>
        </is>
      </c>
    </row>
    <row r="3">
      <c r="A3" s="19" t="inlineStr">
        <is>
          <t>INPUT</t>
        </is>
      </c>
      <c r="B3" s="20" t="inlineStr">
        <is>
          <t>CALC</t>
        </is>
      </c>
      <c r="C3" s="21" t="inlineStr">
        <is>
          <t>OUTPUT</t>
        </is>
      </c>
      <c r="D3" s="7" t="inlineStr">
        <is>
          <t>PROTECTED</t>
        </is>
      </c>
    </row>
    <row r="5">
      <c r="A5" s="5" t="inlineStr">
        <is>
          <t>STATEMENT_ID</t>
        </is>
      </c>
      <c r="B5" s="5" t="inlineStr">
        <is>
          <t>STATEMENT_CODE</t>
        </is>
      </c>
      <c r="C5" s="5" t="inlineStr">
        <is>
          <t>STATEMENT_TYPE_ID</t>
        </is>
      </c>
      <c r="D5" s="5" t="inlineStr">
        <is>
          <t>LEGAL_ENTITY_ID</t>
        </is>
      </c>
      <c r="E5" s="5" t="inlineStr">
        <is>
          <t>COUNTRY_ID</t>
        </is>
      </c>
      <c r="F5" s="5" t="inlineStr">
        <is>
          <t>PERIOD_YEAR</t>
        </is>
      </c>
      <c r="G5" s="5" t="inlineStr">
        <is>
          <t>PERIOD_MONTH</t>
        </is>
      </c>
      <c r="H5" s="5" t="inlineStr">
        <is>
          <t>PERIOD_FROM</t>
        </is>
      </c>
      <c r="I5" s="5" t="inlineStr">
        <is>
          <t>PERIOD_TO</t>
        </is>
      </c>
      <c r="J5" s="5" t="inlineStr">
        <is>
          <t>STATUS_ID</t>
        </is>
      </c>
      <c r="K5" s="5" t="inlineStr">
        <is>
          <t>GENERATED_AT</t>
        </is>
      </c>
      <c r="L5" s="5" t="inlineStr">
        <is>
          <t>APPROVED_BY_PERSON_ID</t>
        </is>
      </c>
      <c r="M5" s="5" t="inlineStr">
        <is>
          <t>APPROVED_AT</t>
        </is>
      </c>
      <c r="N5" s="5" t="inlineStr">
        <is>
          <t>NOTES</t>
        </is>
      </c>
      <c r="P5" s="6" t="inlineStr">
        <is>
          <t>STATEMENT PACK (auto)</t>
        </is>
      </c>
      <c r="Q5" s="22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P6" s="24" t="inlineStr">
        <is>
          <t>Statements</t>
        </is>
      </c>
      <c r="Q6" s="14">
        <f>COUNTA(T_STATEMENT[STATEMENT_ID])</f>
        <v/>
      </c>
    </row>
    <row r="7">
      <c r="P7" s="24" t="inlineStr">
        <is>
          <t>Statement Lines</t>
        </is>
      </c>
      <c r="Q7" s="14">
        <f>COUNTA(T_STATEMENT_LINE[STATEMENT_LINE_ID])</f>
        <v/>
      </c>
    </row>
    <row r="8">
      <c r="P8" s="24" t="inlineStr">
        <is>
          <t>Linked Shipments</t>
        </is>
      </c>
      <c r="Q8" s="14">
        <f>COUNTA(T_STATEMENT_SHIPMENT[SHIPMENT_ID])</f>
        <v/>
      </c>
    </row>
    <row r="9">
      <c r="P9" s="24" t="inlineStr">
        <is>
          <t>Variance Rows</t>
        </is>
      </c>
      <c r="Q9" s="27">
        <f>COUNTIF(T_ENG_STATEMENT[RECONCILE_STATUS],"VARIANCE")</f>
        <v/>
      </c>
    </row>
    <row r="10">
      <c r="P10" s="24" t="inlineStr">
        <is>
          <t>OK Rows</t>
        </is>
      </c>
      <c r="Q10" s="27">
        <f>COUNTIF(T_ENG_STATEMENT[RECONCILE_STATUS],"OK")</f>
        <v/>
      </c>
    </row>
    <row r="12">
      <c r="P12" s="28" t="inlineStr">
        <is>
          <t>AUTO CONTENT</t>
        </is>
      </c>
    </row>
    <row r="13">
      <c r="P13" s="31" t="inlineStr">
        <is>
          <t>Composition ← SHIPMENT_LINE freeze</t>
        </is>
      </c>
    </row>
    <row r="14">
      <c r="P14" s="31" t="inlineStr">
        <is>
          <t>Material breakdown ← ENG_STATEMENT</t>
        </is>
      </c>
    </row>
    <row r="15">
      <c r="P15" s="31" t="inlineStr">
        <is>
          <t>Weights / component list ← engines</t>
        </is>
      </c>
    </row>
    <row r="16">
      <c r="P16" s="31" t="inlineStr">
        <is>
          <t>Supplier traceability ← COMPONENT.SUPPLIER_ID</t>
        </is>
      </c>
    </row>
    <row r="17">
      <c r="P17" s="31" t="inlineStr">
        <is>
          <t>Customer/Country/Incoterms ← scenario/shipment</t>
        </is>
      </c>
    </row>
    <row r="18">
      <c r="P18" s="31" t="inlineStr">
        <is>
          <t>Document refs ← DOCUMENT_LINK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mergeCells count="2">
    <mergeCell ref="A1:D1"/>
    <mergeCell ref="A2:H2"/>
  </mergeCells>
  <dataValidations count="5">
    <dataValidation sqref="C2:C1048576" showDropDown="0" showInputMessage="0" showErrorMessage="1" allowBlank="1" errorTitle="Invalid FK" error="Value must exist in NR_STATEMENT_TYPE_ID" promptTitle="Foreign Key" prompt="Select STATEMENT_TYPE_ID from NR_STATEMENT_TYPE_ID" type="list">
      <formula1>=NR_STATEMENT_TYPE_ID</formula1>
    </dataValidation>
    <dataValidation sqref="D2:D1048576" showDropDown="0" showInputMessage="0" showErrorMessage="1" allowBlank="1" errorTitle="Invalid FK" error="Value must exist in NR_LEGAL_ENTITY_ID" promptTitle="Foreign Key" prompt="Select LEGAL_ENTITY_ID from NR_LEGAL_ENTITY_ID" type="list">
      <formula1>=NR_LEGAL_ENTITY_ID</formula1>
    </dataValidation>
    <dataValidation sqref="E2:E1048576" showDropDown="0" showInputMessage="0" showErrorMessage="1" allowBlank="1" errorTitle="Invalid FK" error="Value must exist in NR_COUNTRY_ID" promptTitle="Foreign Key" prompt="Select COUNTRY_ID from NR_COUNTRY_ID" type="list">
      <formula1>=NR_COUNTRY_ID</formula1>
    </dataValidation>
    <dataValidation sqref="J2:J1048576" showDropDown="0" showInputMessage="0" showErrorMessage="1" allowBlank="1" errorTitle="Invalid FK" error="Value must exist in NR_STATUS_ID" promptTitle="Foreign Key" prompt="Select STATUS_ID from NR_STATUS_ID" type="list">
      <formula1>=NR_STATUS_ID</formula1>
    </dataValidation>
    <dataValidation sqref="L2:L1048576" showDropDown="0" showInputMessage="0" showErrorMessage="1" allowBlank="1" errorTitle="Invalid FK" error="Value must exist in NR_PERSON_ID" promptTitle="Foreign Key" prompt="Select APPROVED_BY_PERSON_ID from NR_PERSON_ID" type="list">
      <formula1>=NR_PERSON_ID</formula1>
    </dataValidation>
  </dataValidations>
  <hyperlinks>
    <hyperlink xmlns:r="http://schemas.openxmlformats.org/officeDocument/2006/relationships" ref="F1" r:id="rId1"/>
    <hyperlink xmlns:r="http://schemas.openxmlformats.org/officeDocument/2006/relationships" ref="G1" r:id="rId2"/>
    <hyperlink xmlns:r="http://schemas.openxmlformats.org/officeDocument/2006/relationships" ref="H1" r:id="rId3"/>
  </hyperlinks>
  <pageMargins left="0.75" right="0.75" top="1" bottom="1" header="0.5" footer="0.5"/>
  <tableParts count="1">
    <tablePart xmlns:r="http://schemas.openxmlformats.org/officeDocument/2006/relationships" r:id="rId4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12" customWidth="1" min="3" max="3"/>
    <col width="16" customWidth="1" min="4" max="4"/>
    <col width="30" customWidth="1" min="5" max="5"/>
    <col width="30" customWidth="1" min="6" max="6"/>
    <col width="15" customWidth="1" min="7" max="7"/>
    <col width="19" customWidth="1" min="8" max="8"/>
    <col width="25" customWidth="1" min="9" max="9"/>
    <col width="30" customWidth="1" min="10" max="10"/>
    <col width="30" customWidth="1" min="11" max="11"/>
    <col width="19" customWidth="1" min="12" max="12"/>
    <col width="13" customWidth="1" min="13" max="13"/>
    <col width="18" customWidth="1" min="14" max="14"/>
    <col width="16" customWidth="1" min="15" max="15"/>
    <col width="12" customWidth="1" min="16" max="16"/>
    <col width="14" customWidth="1" min="17" max="17"/>
    <col width="14" customWidth="1" min="18" max="18"/>
    <col width="28" customWidth="1" min="20" max="20"/>
    <col width="22" customWidth="1" min="21" max="21"/>
  </cols>
  <sheetData>
    <row r="1" ht="26" customHeight="1">
      <c r="A1" s="2" t="inlineStr">
        <is>
          <t>İNCI AKÜ  |  Technical File</t>
        </is>
      </c>
      <c r="F1" s="5" t="inlineStr">
        <is>
          <t>HOME</t>
        </is>
      </c>
      <c r="G1" s="5" t="inlineStr">
        <is>
          <t>Dashboard</t>
        </is>
      </c>
      <c r="H1" s="5" t="inlineStr">
        <is>
          <t>BACK</t>
        </is>
      </c>
    </row>
    <row r="2" ht="32" customHeight="1">
      <c r="A2" s="3" t="inlineStr">
        <is>
          <t>Dashboard STEP 6: belongs ONLY to Packaging Configuration — never to a Product. Version when components change.</t>
        </is>
      </c>
    </row>
    <row r="3">
      <c r="A3" s="19" t="inlineStr">
        <is>
          <t>INPUT</t>
        </is>
      </c>
      <c r="B3" s="20" t="inlineStr">
        <is>
          <t>CALC</t>
        </is>
      </c>
      <c r="C3" s="21" t="inlineStr">
        <is>
          <t>OUTPUT</t>
        </is>
      </c>
      <c r="D3" s="7" t="inlineStr">
        <is>
          <t>PROTECTED</t>
        </is>
      </c>
    </row>
    <row r="5">
      <c r="A5" s="5" t="inlineStr">
        <is>
          <t>TECHNICAL_FILE_ID</t>
        </is>
      </c>
      <c r="B5" s="5" t="inlineStr">
        <is>
          <t>TECHNICAL_FILE_CODE</t>
        </is>
      </c>
      <c r="C5" s="5" t="inlineStr">
        <is>
          <t>TITLE</t>
        </is>
      </c>
      <c r="D5" s="5" t="inlineStr">
        <is>
          <t>COMPONENT_ID</t>
        </is>
      </c>
      <c r="E5" s="5" t="inlineStr">
        <is>
          <t>PACKAGING_CONFIGURATION_ID</t>
        </is>
      </c>
      <c r="F5" s="5" t="inlineStr">
        <is>
          <t>TRANSPORT_CONFIGURATION_ID</t>
        </is>
      </c>
      <c r="G5" s="5" t="inlineStr">
        <is>
          <t>REVISION_NO</t>
        </is>
      </c>
      <c r="H5" s="5" t="inlineStr">
        <is>
          <t>ASSESSMENT_DATE</t>
        </is>
      </c>
      <c r="I5" s="5" t="inlineStr">
        <is>
          <t>RECYCLABILITY_SUMMARY</t>
        </is>
      </c>
      <c r="J5" s="5" t="inlineStr">
        <is>
          <t>SUBSTANCE_OF_CONCERN_NOTES</t>
        </is>
      </c>
      <c r="K5" s="5" t="inlineStr">
        <is>
          <t>DESIGN_FOR_RECYCLING_NOTES</t>
        </is>
      </c>
      <c r="L5" s="5" t="inlineStr">
        <is>
          <t>OWNER_PERSON_ID</t>
        </is>
      </c>
      <c r="M5" s="5" t="inlineStr">
        <is>
          <t>STATUS_ID</t>
        </is>
      </c>
      <c r="N5" s="5" t="inlineStr">
        <is>
          <t>EFFECTIVE_FROM</t>
        </is>
      </c>
      <c r="O5" s="5" t="inlineStr">
        <is>
          <t>EFFECTIVE_TO</t>
        </is>
      </c>
      <c r="P5" s="5" t="inlineStr">
        <is>
          <t>NOTES</t>
        </is>
      </c>
      <c r="Q5" s="5" t="inlineStr">
        <is>
          <t>CREATED_AT</t>
        </is>
      </c>
      <c r="R5" s="5" t="inlineStr">
        <is>
          <t>UPDATED_AT</t>
        </is>
      </c>
      <c r="T5" s="6" t="inlineStr">
        <is>
          <t>TECH FILE ASSEMBLY (auto)</t>
        </is>
      </c>
      <c r="U5" s="22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T6" s="24" t="inlineStr">
        <is>
          <t>Technical Files</t>
        </is>
      </c>
      <c r="U6" s="14">
        <f>COUNTA(T_TECHNICAL_FILE[TECHNICAL_FILE_ID])</f>
        <v/>
      </c>
    </row>
    <row r="7">
      <c r="T7" s="24" t="inlineStr">
        <is>
          <t>On Packaging Config</t>
        </is>
      </c>
      <c r="U7" s="14">
        <f>COUNTA(T_TECHNICAL_FILE[PACKAGING_CONFIGURATION_ID])</f>
        <v/>
      </c>
    </row>
    <row r="8">
      <c r="T8" s="24" t="inlineStr">
        <is>
          <t>Complete</t>
        </is>
      </c>
      <c r="U8" s="14">
        <f>COUNTIF(T_ENG_TECHNICAL_FILE[ENGINE_STATUS],"COMPLETE")</f>
        <v/>
      </c>
    </row>
    <row r="9">
      <c r="T9" s="24" t="inlineStr">
        <is>
          <t>Incomplete</t>
        </is>
      </c>
      <c r="U9" s="27">
        <f>COUNTIF(T_ENG_TECHNICAL_FILE[ENGINE_STATUS],"INCOMPLETE")</f>
        <v/>
      </c>
    </row>
    <row r="10">
      <c r="T10" s="24" t="inlineStr">
        <is>
          <t>Linked Documents</t>
        </is>
      </c>
      <c r="U10" s="27">
        <f>COUNTA(T_DOCUMENT_LINK[DOCUMENT_LINK_ID])</f>
        <v/>
      </c>
    </row>
    <row r="12">
      <c r="T12" s="28" t="inlineStr">
        <is>
          <t>OWNERSHIP</t>
        </is>
      </c>
    </row>
    <row r="13">
      <c r="T13" s="29" t="inlineStr">
        <is>
          <t>NEVER create TF for a Product</t>
        </is>
      </c>
    </row>
    <row r="14">
      <c r="T14" s="29" t="inlineStr">
        <is>
          <t>PACKAGING_CONFIGURATION_ID only</t>
        </is>
      </c>
    </row>
    <row r="15">
      <c r="T15" s="29" t="inlineStr">
        <is>
          <t>Leave COMPONENT_ID / TRANSPORT blank</t>
        </is>
      </c>
    </row>
    <row r="16">
      <c r="T16" s="29" t="inlineStr">
        <is>
          <t>Component change → increase REVISION_NO</t>
        </is>
      </c>
    </row>
    <row r="17">
      <c r="T17" s="29" t="inlineStr">
        <is>
          <t>Commercial Scenario NEVER changes this file</t>
        </is>
      </c>
    </row>
    <row r="19">
      <c r="T19" s="28" t="inlineStr">
        <is>
          <t>DOSSIER CONTENT</t>
        </is>
      </c>
    </row>
    <row r="20">
      <c r="T20" s="31" t="inlineStr">
        <is>
          <t>Config description · drawings · photos (DOCUMENT_LINK)</t>
        </is>
      </c>
    </row>
    <row r="21">
      <c r="T21" s="31" t="inlineStr">
        <is>
          <t>Component list · materials · weights (engines)</t>
        </is>
      </c>
    </row>
    <row r="22">
      <c r="T22" s="31" t="inlineStr">
        <is>
          <t>Supplier + evidence matrices (DOCUMENT_LINK)</t>
        </is>
      </c>
    </row>
    <row r="23">
      <c r="T23" s="31" t="inlineStr">
        <is>
          <t>Recyclability / minimisation / empty space / PFAS / labelling</t>
        </is>
      </c>
    </row>
    <row r="24">
      <c r="T24" s="31" t="inlineStr">
        <is>
          <t>Revision history (REVISION_NO + dates)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mergeCells count="2">
    <mergeCell ref="A1:D1"/>
    <mergeCell ref="A2:H2"/>
  </mergeCells>
  <dataValidations count="5">
    <dataValidation sqref="D2:D1048576" showDropDown="0" showInputMessage="0" showErrorMessage="1" allowBlank="1" errorTitle="Invalid FK" error="Value must exist in NR_COMPONENT_ID" promptTitle="Foreign Key" prompt="Select COMPONENT_ID from NR_COMPONENT_ID" type="list">
      <formula1>=NR_COMPONENT_ID</formula1>
    </dataValidation>
    <dataValidation sqref="E2:E1048576" showDropDown="0" showInputMessage="0" showErrorMessage="1" allowBlank="1" errorTitle="Invalid FK" error="Value must exist in NR_PACKAGING_CONFIGURATION_ID" promptTitle="Foreign Key" prompt="Select PACKAGING_CONFIGURATION_ID from NR_PACKAGING_CONFIGURATION_ID" type="list">
      <formula1>=NR_PACKAGING_CONFIGURATION_ID</formula1>
    </dataValidation>
    <dataValidation sqref="F2:F1048576" showDropDown="0" showInputMessage="0" showErrorMessage="1" allowBlank="1" errorTitle="Invalid FK" error="Value must exist in NR_TRANSPORT_CONFIGURATION_ID" promptTitle="Foreign Key" prompt="Select TRANSPORT_CONFIGURATION_ID from NR_TRANSPORT_CONFIGURATION_ID" type="list">
      <formula1>=NR_TRANSPORT_CONFIGURATION_ID</formula1>
    </dataValidation>
    <dataValidation sqref="L2:L1048576" showDropDown="0" showInputMessage="0" showErrorMessage="1" allowBlank="1" errorTitle="Invalid FK" error="Value must exist in NR_PERSON_ID" promptTitle="Foreign Key" prompt="Select OWNER_PERSON_ID from NR_PERSON_ID" type="list">
      <formula1>=NR_PERSON_ID</formula1>
    </dataValidation>
    <dataValidation sqref="M2:M1048576" showDropDown="0" showInputMessage="0" showErrorMessage="1" allowBlank="1" errorTitle="Invalid FK" error="Value must exist in NR_STATUS_ID" promptTitle="Foreign Key" prompt="Select STATUS_ID from NR_STATUS_ID" type="list">
      <formula1>=NR_STATUS_ID</formula1>
    </dataValidation>
  </dataValidations>
  <hyperlinks>
    <hyperlink xmlns:r="http://schemas.openxmlformats.org/officeDocument/2006/relationships" ref="F1" r:id="rId1"/>
    <hyperlink xmlns:r="http://schemas.openxmlformats.org/officeDocument/2006/relationships" ref="G1" r:id="rId2"/>
    <hyperlink xmlns:r="http://schemas.openxmlformats.org/officeDocument/2006/relationships" ref="H1" r:id="rId3"/>
  </hyperlinks>
  <pageMargins left="0.75" right="0.75" top="1" bottom="1" header="0.5" footer="0.5"/>
  <tableParts count="1"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9" customWidth="1" min="4" max="4"/>
    <col width="14" customWidth="1" min="5" max="5"/>
    <col width="30" customWidth="1" min="6" max="6"/>
    <col width="30" customWidth="1" min="7" max="7"/>
    <col width="21" customWidth="1" min="8" max="8"/>
    <col width="25" customWidth="1" min="9" max="9"/>
    <col width="24" customWidth="1" min="10" max="10"/>
    <col width="24" customWidth="1" min="11" max="11"/>
    <col width="14" customWidth="1" min="12" max="12"/>
    <col width="15" customWidth="1" min="13" max="13"/>
    <col width="15" customWidth="1" min="14" max="14"/>
    <col width="13" customWidth="1" min="15" max="15"/>
    <col width="15" customWidth="1" min="16" max="16"/>
    <col width="12" customWidth="1" min="17" max="17"/>
    <col width="14" customWidth="1" min="18" max="18"/>
    <col width="14" customWidth="1" min="19" max="19"/>
    <col width="28" customWidth="1" min="21" max="21"/>
    <col width="22" customWidth="1" min="22" max="22"/>
  </cols>
  <sheetData>
    <row r="1" ht="26" customHeight="1">
      <c r="A1" s="2" t="inlineStr">
        <is>
          <t>İNCI AKÜ  |  Declaration of Conformity</t>
        </is>
      </c>
      <c r="F1" s="5" t="inlineStr">
        <is>
          <t>HOME</t>
        </is>
      </c>
      <c r="G1" s="5" t="inlineStr">
        <is>
          <t>Dashboard</t>
        </is>
      </c>
      <c r="H1" s="5" t="inlineStr">
        <is>
          <t>BACK</t>
        </is>
      </c>
    </row>
    <row r="2" ht="32" customHeight="1">
      <c r="A2" s="3" t="inlineStr">
        <is>
          <t>Dashboard STEP 5: variant from Commercial Scenario (Incoterms). TF stays on Packaging Configuration.</t>
        </is>
      </c>
    </row>
    <row r="3">
      <c r="A3" s="19" t="inlineStr">
        <is>
          <t>INPUT</t>
        </is>
      </c>
      <c r="B3" s="20" t="inlineStr">
        <is>
          <t>CALC</t>
        </is>
      </c>
      <c r="C3" s="21" t="inlineStr">
        <is>
          <t>OUTPUT</t>
        </is>
      </c>
      <c r="D3" s="7" t="inlineStr">
        <is>
          <t>PROTECTED</t>
        </is>
      </c>
    </row>
    <row r="5">
      <c r="A5" s="5" t="inlineStr">
        <is>
          <t>DECLARATION_OF_CONFORMITY_ID</t>
        </is>
      </c>
      <c r="B5" s="5" t="inlineStr">
        <is>
          <t>DOC_NUMBER</t>
        </is>
      </c>
      <c r="C5" s="5" t="inlineStr">
        <is>
          <t>TITLE</t>
        </is>
      </c>
      <c r="D5" s="5" t="inlineStr">
        <is>
          <t>LEGAL_ENTITY_ID</t>
        </is>
      </c>
      <c r="E5" s="5" t="inlineStr">
        <is>
          <t>PRODUCT_ID</t>
        </is>
      </c>
      <c r="F5" s="5" t="inlineStr">
        <is>
          <t>PACKAGING_CONFIGURATION_ID</t>
        </is>
      </c>
      <c r="G5" s="5" t="inlineStr">
        <is>
          <t>TRANSPORT_CONFIGURATION_ID</t>
        </is>
      </c>
      <c r="H5" s="5" t="inlineStr">
        <is>
          <t>TECHNICAL_FILE_ID</t>
        </is>
      </c>
      <c r="I5" s="5" t="inlineStr">
        <is>
          <t>RESPONSIBLE_PERSON_ID</t>
        </is>
      </c>
      <c r="J5" s="5" t="inlineStr">
        <is>
          <t>REGULATION_REFERENCE</t>
        </is>
      </c>
      <c r="K5" s="5" t="inlineStr">
        <is>
          <t>CONFORMITY_STATEMENT</t>
        </is>
      </c>
      <c r="L5" s="5" t="inlineStr">
        <is>
          <t>ISSUE_DATE</t>
        </is>
      </c>
      <c r="M5" s="5" t="inlineStr">
        <is>
          <t>VALID_UNTIL</t>
        </is>
      </c>
      <c r="N5" s="5" t="inlineStr">
        <is>
          <t>REVISION_NO</t>
        </is>
      </c>
      <c r="O5" s="5" t="inlineStr">
        <is>
          <t>STATUS_ID</t>
        </is>
      </c>
      <c r="P5" s="5" t="inlineStr">
        <is>
          <t>APPROVED_AT</t>
        </is>
      </c>
      <c r="Q5" s="5" t="inlineStr">
        <is>
          <t>NOTES</t>
        </is>
      </c>
      <c r="R5" s="5" t="inlineStr">
        <is>
          <t>CREATED_AT</t>
        </is>
      </c>
      <c r="S5" s="5" t="inlineStr">
        <is>
          <t>UPDATED_AT</t>
        </is>
      </c>
      <c r="U5" s="6" t="inlineStr">
        <is>
          <t>DoC EXPORT READY (auto)</t>
        </is>
      </c>
      <c r="V5" s="22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U6" s="24" t="inlineStr">
        <is>
          <t>Declarations</t>
        </is>
      </c>
      <c r="V6" s="14">
        <f>COUNTA(T_DECLARATION_OF_CONFORMITY[DECLARATION_OF_CONFORMITY_ID])</f>
        <v/>
      </c>
    </row>
    <row r="7">
      <c r="U7" s="24" t="inlineStr">
        <is>
          <t>Complete</t>
        </is>
      </c>
      <c r="V7" s="14">
        <f>COUNTIF(T_ENG_DECLARATION[ENGINE_STATUS],"COMPLETE")</f>
        <v/>
      </c>
    </row>
    <row r="8">
      <c r="U8" s="24" t="inlineStr">
        <is>
          <t>Incomplete</t>
        </is>
      </c>
      <c r="V8" s="14">
        <f>COUNTIF(T_ENG_DECLARATION[ENGINE_STATUS],"INCOMPLETE")</f>
        <v/>
      </c>
    </row>
    <row r="9">
      <c r="U9" s="24" t="inlineStr">
        <is>
          <t>With Documents</t>
        </is>
      </c>
      <c r="V9" s="27">
        <f>COUNTIF(T_DOCUMENT_LINK[DECLARATION_OF_CONFORMITY_ID],"&gt;0")</f>
        <v/>
      </c>
    </row>
    <row r="10">
      <c r="U10" s="24" t="inlineStr">
        <is>
          <t>Scenarios (variants)</t>
        </is>
      </c>
      <c r="V10" s="27">
        <f>COUNTA(T_COMMERCIAL_SCENARIO[COMMERCIAL_SCENARIO_ID])</f>
        <v/>
      </c>
    </row>
    <row r="12">
      <c r="U12" s="28" t="inlineStr">
        <is>
          <t>VARIANT RULE</t>
        </is>
      </c>
    </row>
    <row r="13">
      <c r="U13" s="31" t="inlineStr">
        <is>
          <t>DoC variant ← Commercial Scenario</t>
        </is>
      </c>
    </row>
    <row r="14">
      <c r="U14" s="31" t="inlineStr">
        <is>
          <t>Technical File ← Packaging Configuration</t>
        </is>
      </c>
    </row>
    <row r="15">
      <c r="U15" s="31" t="inlineStr">
        <is>
          <t>Scenario attaches DoC — does not rewrite TF</t>
        </is>
      </c>
    </row>
    <row r="16">
      <c r="U16" s="31" t="inlineStr">
        <is>
          <t>Link TECHNICAL_FILE_ID from the config's TF</t>
        </is>
      </c>
    </row>
    <row r="17">
      <c r="U17" s="31" t="inlineStr">
        <is>
          <t>Legal entity + responsible person required</t>
        </is>
      </c>
    </row>
    <row r="18">
      <c r="U18" s="31" t="inlineStr">
        <is>
          <t>Attach signed PDF in DOCUMENT_LIBRARY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mergeCells count="2">
    <mergeCell ref="A1:D1"/>
    <mergeCell ref="A2:H2"/>
  </mergeCells>
  <dataValidations count="7">
    <dataValidation sqref="D2:D1048576" showDropDown="0" showInputMessage="0" showErrorMessage="1" allowBlank="1" errorTitle="Invalid FK" error="Value must exist in NR_LEGAL_ENTITY_ID" promptTitle="Foreign Key" prompt="Select LEGAL_ENTITY_ID from NR_LEGAL_ENTITY_ID" type="list">
      <formula1>=NR_LEGAL_ENTITY_ID</formula1>
    </dataValidation>
    <dataValidation sqref="E2:E1048576" showDropDown="0" showInputMessage="0" showErrorMessage="1" allowBlank="1" errorTitle="Invalid FK" error="Value must exist in NR_PRODUCT_ID" promptTitle="Foreign Key" prompt="Select PRODUCT_ID from NR_PRODUCT_ID" type="list">
      <formula1>=NR_PRODUCT_ID</formula1>
    </dataValidation>
    <dataValidation sqref="F2:F1048576" showDropDown="0" showInputMessage="0" showErrorMessage="1" allowBlank="1" errorTitle="Invalid FK" error="Value must exist in NR_PACKAGING_CONFIGURATION_ID" promptTitle="Foreign Key" prompt="Select PACKAGING_CONFIGURATION_ID from NR_PACKAGING_CONFIGURATION_ID" type="list">
      <formula1>=NR_PACKAGING_CONFIGURATION_ID</formula1>
    </dataValidation>
    <dataValidation sqref="G2:G1048576" showDropDown="0" showInputMessage="0" showErrorMessage="1" allowBlank="1" errorTitle="Invalid FK" error="Value must exist in NR_TRANSPORT_CONFIGURATION_ID" promptTitle="Foreign Key" prompt="Select TRANSPORT_CONFIGURATION_ID from NR_TRANSPORT_CONFIGURATION_ID" type="list">
      <formula1>=NR_TRANSPORT_CONFIGURATION_ID</formula1>
    </dataValidation>
    <dataValidation sqref="H2:H1048576" showDropDown="0" showInputMessage="0" showErrorMessage="1" allowBlank="1" errorTitle="Invalid FK" error="Value must exist in NR_TECHNICAL_FILE_ID" promptTitle="Foreign Key" prompt="Select TECHNICAL_FILE_ID from NR_TECHNICAL_FILE_ID" type="list">
      <formula1>=NR_TECHNICAL_FILE_ID</formula1>
    </dataValidation>
    <dataValidation sqref="I2:I1048576" showDropDown="0" showInputMessage="0" showErrorMessage="1" allowBlank="1" errorTitle="Invalid FK" error="Value must exist in NR_PERSON_ID" promptTitle="Foreign Key" prompt="Select RESPONSIBLE_PERSON_ID from NR_PERSON_ID" type="list">
      <formula1>=NR_PERSON_ID</formula1>
    </dataValidation>
    <dataValidation sqref="O2:O1048576" showDropDown="0" showInputMessage="0" showErrorMessage="1" allowBlank="1" errorTitle="Invalid FK" error="Value must exist in NR_STATUS_ID" promptTitle="Foreign Key" prompt="Select STATUS_ID from NR_STATUS_ID" type="list">
      <formula1>=NR_STATUS_ID</formula1>
    </dataValidation>
  </dataValidations>
  <hyperlinks>
    <hyperlink xmlns:r="http://schemas.openxmlformats.org/officeDocument/2006/relationships" ref="F1" r:id="rId1"/>
    <hyperlink xmlns:r="http://schemas.openxmlformats.org/officeDocument/2006/relationships" ref="G1" r:id="rId2"/>
    <hyperlink xmlns:r="http://schemas.openxmlformats.org/officeDocument/2006/relationships" ref="H1" r:id="rId3"/>
  </hyperlinks>
  <pageMargins left="0.75" right="0.75" top="1" bottom="1" header="0.5" footer="0.5"/>
  <tableParts count="1"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32" t="inlineStr">
        <is>
          <t>PIMS NAVIGATION</t>
        </is>
      </c>
    </row>
    <row r="2">
      <c r="A2" s="33" t="inlineStr">
        <is>
          <t>Click a button to jump (native hyperlinks — no VBA)</t>
        </is>
      </c>
    </row>
    <row r="4">
      <c r="A4" s="25" t="inlineStr">
        <is>
          <t>HOME</t>
        </is>
      </c>
    </row>
    <row r="5">
      <c r="A5" s="5" t="inlineStr">
        <is>
          <t>Dashboard</t>
        </is>
      </c>
      <c r="B5" s="5" t="inlineStr">
        <is>
          <t>Search</t>
        </is>
      </c>
    </row>
    <row r="7">
      <c r="A7" s="25" t="inlineStr">
        <is>
          <t>MASTERS</t>
        </is>
      </c>
    </row>
    <row r="8">
      <c r="A8" s="5" t="inlineStr">
        <is>
          <t>PRODUCT</t>
        </is>
      </c>
      <c r="B8" s="5" t="inlineStr">
        <is>
          <t>COMPONENT</t>
        </is>
      </c>
      <c r="C8" s="5" t="inlineStr">
        <is>
          <t>COMPONENT_MATERIAL</t>
        </is>
      </c>
    </row>
    <row r="10">
      <c r="A10" s="25" t="inlineStr">
        <is>
          <t>CONFIGURATIONS</t>
        </is>
      </c>
    </row>
    <row r="11">
      <c r="A11" s="5" t="inlineStr">
        <is>
          <t>PACKAGING_CONFIGURATION</t>
        </is>
      </c>
      <c r="B11" s="5" t="inlineStr">
        <is>
          <t>PACKAGING_CONFIGURATION_LINE</t>
        </is>
      </c>
      <c r="C11" s="5" t="inlineStr">
        <is>
          <t>TRANSPORT_CONFIGURATION</t>
        </is>
      </c>
      <c r="D11" s="5" t="inlineStr">
        <is>
          <t>TRANSPORT_CONFIGURATION_LINE</t>
        </is>
      </c>
    </row>
    <row r="14">
      <c r="A14" s="25" t="inlineStr">
        <is>
          <t>OPERATIONS</t>
        </is>
      </c>
    </row>
    <row r="15">
      <c r="A15" s="5" t="inlineStr">
        <is>
          <t>COMMERCIAL_SCENARIO</t>
        </is>
      </c>
      <c r="B15" s="5" t="inlineStr">
        <is>
          <t>SHIPMENT</t>
        </is>
      </c>
      <c r="C15" s="5" t="inlineStr">
        <is>
          <t>SHIPMENT_LINE</t>
        </is>
      </c>
    </row>
    <row r="17">
      <c r="A17" s="25" t="inlineStr">
        <is>
          <t>COMPLIANCE</t>
        </is>
      </c>
    </row>
    <row r="18">
      <c r="A18" s="5" t="inlineStr">
        <is>
          <t>TECHNICAL_FILE</t>
        </is>
      </c>
      <c r="B18" s="5" t="inlineStr">
        <is>
          <t>DECLARATION_OF_CONFORMITY</t>
        </is>
      </c>
      <c r="C18" s="5" t="inlineStr">
        <is>
          <t>STATEMENT</t>
        </is>
      </c>
      <c r="D18" s="5" t="inlineStr">
        <is>
          <t>STATEMENT_SHIPMENT</t>
        </is>
      </c>
    </row>
    <row r="19">
      <c r="A19" s="5" t="inlineStr">
        <is>
          <t>STATEMENT_LINE</t>
        </is>
      </c>
      <c r="B19" s="5" t="inlineStr">
        <is>
          <t>DOCUMENT_LIBRARY</t>
        </is>
      </c>
      <c r="C19" s="5" t="inlineStr">
        <is>
          <t>DOCUMENT_LINK</t>
        </is>
      </c>
    </row>
    <row r="21">
      <c r="A21" s="25" t="inlineStr">
        <is>
          <t>ENGINES</t>
        </is>
      </c>
    </row>
    <row r="22">
      <c r="A22" s="5" t="inlineStr">
        <is>
          <t>ENG_MATERIAL_WEIGHT</t>
        </is>
      </c>
      <c r="B22" s="5" t="inlineStr">
        <is>
          <t>ENG_PACKAGING_WEIGHT</t>
        </is>
      </c>
      <c r="C22" s="5" t="inlineStr">
        <is>
          <t>ENG_TRANSPORT_WEIGHT</t>
        </is>
      </c>
      <c r="D22" s="5" t="inlineStr">
        <is>
          <t>ENG_SHIPMENT_WEIGHT</t>
        </is>
      </c>
    </row>
    <row r="23">
      <c r="A23" s="5" t="inlineStr">
        <is>
          <t>ENG_PLASTIC_SUMMARY</t>
        </is>
      </c>
      <c r="B23" s="5" t="inlineStr">
        <is>
          <t>ENG_PAPER_SUMMARY</t>
        </is>
      </c>
      <c r="C23" s="5" t="inlineStr">
        <is>
          <t>ENG_WOOD_SUMMARY</t>
        </is>
      </c>
      <c r="D23" s="5" t="inlineStr">
        <is>
          <t>ENG_STATEMENT</t>
        </is>
      </c>
    </row>
    <row r="24">
      <c r="A24" s="5" t="inlineStr">
        <is>
          <t>ENG_TECHNICAL_FILE</t>
        </is>
      </c>
      <c r="B24" s="5" t="inlineStr">
        <is>
          <t>ENG_DECLARATION</t>
        </is>
      </c>
      <c r="C24" s="5" t="inlineStr">
        <is>
          <t>ENG_IMPACT_ANALYSIS</t>
        </is>
      </c>
      <c r="D24" s="5" t="inlineStr">
        <is>
          <t>ENG_VALIDATION</t>
        </is>
      </c>
    </row>
    <row r="27">
      <c r="A27" s="25" t="inlineStr">
        <is>
          <t>LOOKUPS</t>
        </is>
      </c>
    </row>
    <row r="28">
      <c r="A28" s="5" t="inlineStr">
        <is>
          <t>LKP_STATUS</t>
        </is>
      </c>
      <c r="B28" s="5" t="inlineStr">
        <is>
          <t>LKP_UOM</t>
        </is>
      </c>
      <c r="C28" s="5" t="inlineStr">
        <is>
          <t>LKP_PACKAGING_LEVEL</t>
        </is>
      </c>
      <c r="D28" s="5" t="inlineStr">
        <is>
          <t>LKP_PACKAGING_FUNCTION</t>
        </is>
      </c>
    </row>
    <row r="29">
      <c r="A29" s="5" t="inlineStr">
        <is>
          <t>LKP_COMPONENT_TYPE</t>
        </is>
      </c>
      <c r="B29" s="5" t="inlineStr">
        <is>
          <t>LKP_MATERIAL_FAMILY</t>
        </is>
      </c>
      <c r="C29" s="5" t="inlineStr">
        <is>
          <t>LKP_PPWR_MATERIAL_CATEGORY</t>
        </is>
      </c>
      <c r="D29" s="5" t="inlineStr">
        <is>
          <t>LKP_MATERIAL</t>
        </is>
      </c>
    </row>
    <row r="30">
      <c r="A30" s="5" t="inlineStr">
        <is>
          <t>LKP_RECYCLABILITY_CLASS</t>
        </is>
      </c>
      <c r="B30" s="5" t="inlineStr">
        <is>
          <t>LKP_OWNERSHIP_TYPE</t>
        </is>
      </c>
      <c r="C30" s="5" t="inlineStr">
        <is>
          <t>LKP_TRANSPORT_UNIT_TYPE</t>
        </is>
      </c>
      <c r="D30" s="5" t="inlineStr">
        <is>
          <t>LKP_LINE_ROLE</t>
        </is>
      </c>
    </row>
    <row r="31">
      <c r="A31" s="5" t="inlineStr">
        <is>
          <t>LKP_PRODUCT_CATEGORY</t>
        </is>
      </c>
      <c r="B31" s="5" t="inlineStr">
        <is>
          <t>LKP_COUNTRY</t>
        </is>
      </c>
      <c r="C31" s="5" t="inlineStr">
        <is>
          <t>LKP_TRANSPORT_MODE</t>
        </is>
      </c>
      <c r="D31" s="5" t="inlineStr">
        <is>
          <t>LKP_INCOTERM</t>
        </is>
      </c>
    </row>
    <row r="32">
      <c r="A32" s="5" t="inlineStr">
        <is>
          <t>LKP_STATEMENT_TYPE</t>
        </is>
      </c>
      <c r="B32" s="5" t="inlineStr">
        <is>
          <t>LKP_DOCUMENT_TYPE</t>
        </is>
      </c>
      <c r="C32" s="5" t="inlineStr">
        <is>
          <t>LKP_SCENARIO_TYPE</t>
        </is>
      </c>
    </row>
    <row r="34">
      <c r="A34" s="25" t="inlineStr">
        <is>
          <t>ORGANIZATION</t>
        </is>
      </c>
    </row>
    <row r="35">
      <c r="A35" s="5" t="inlineStr">
        <is>
          <t>LEGAL_ENTITY</t>
        </is>
      </c>
      <c r="B35" s="5" t="inlineStr">
        <is>
          <t>PERSON</t>
        </is>
      </c>
      <c r="C35" s="5" t="inlineStr">
        <is>
          <t>SUPPLIER</t>
        </is>
      </c>
      <c r="D35" s="5" t="inlineStr">
        <is>
          <t>CUSTOMER</t>
        </is>
      </c>
    </row>
    <row r="36">
      <c r="A36" s="5" t="inlineStr">
        <is>
          <t>PLANT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A8" r:id="rId3"/>
    <hyperlink xmlns:r="http://schemas.openxmlformats.org/officeDocument/2006/relationships" ref="B8" r:id="rId4"/>
    <hyperlink xmlns:r="http://schemas.openxmlformats.org/officeDocument/2006/relationships" ref="C8" r:id="rId5"/>
    <hyperlink xmlns:r="http://schemas.openxmlformats.org/officeDocument/2006/relationships" ref="A11" r:id="rId6"/>
    <hyperlink xmlns:r="http://schemas.openxmlformats.org/officeDocument/2006/relationships" ref="B11" r:id="rId7"/>
    <hyperlink xmlns:r="http://schemas.openxmlformats.org/officeDocument/2006/relationships" ref="C11" r:id="rId8"/>
    <hyperlink xmlns:r="http://schemas.openxmlformats.org/officeDocument/2006/relationships" ref="D11" r:id="rId9"/>
    <hyperlink xmlns:r="http://schemas.openxmlformats.org/officeDocument/2006/relationships" ref="A15" r:id="rId10"/>
    <hyperlink xmlns:r="http://schemas.openxmlformats.org/officeDocument/2006/relationships" ref="B15" r:id="rId11"/>
    <hyperlink xmlns:r="http://schemas.openxmlformats.org/officeDocument/2006/relationships" ref="C15" r:id="rId12"/>
    <hyperlink xmlns:r="http://schemas.openxmlformats.org/officeDocument/2006/relationships" ref="A18" r:id="rId13"/>
    <hyperlink xmlns:r="http://schemas.openxmlformats.org/officeDocument/2006/relationships" ref="B18" r:id="rId14"/>
    <hyperlink xmlns:r="http://schemas.openxmlformats.org/officeDocument/2006/relationships" ref="C18" r:id="rId15"/>
    <hyperlink xmlns:r="http://schemas.openxmlformats.org/officeDocument/2006/relationships" ref="D18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C19" r:id="rId19"/>
    <hyperlink xmlns:r="http://schemas.openxmlformats.org/officeDocument/2006/relationships" ref="A22" r:id="rId20"/>
    <hyperlink xmlns:r="http://schemas.openxmlformats.org/officeDocument/2006/relationships" ref="B22" r:id="rId21"/>
    <hyperlink xmlns:r="http://schemas.openxmlformats.org/officeDocument/2006/relationships" ref="C22" r:id="rId22"/>
    <hyperlink xmlns:r="http://schemas.openxmlformats.org/officeDocument/2006/relationships" ref="D22" r:id="rId23"/>
    <hyperlink xmlns:r="http://schemas.openxmlformats.org/officeDocument/2006/relationships" ref="A23" r:id="rId24"/>
    <hyperlink xmlns:r="http://schemas.openxmlformats.org/officeDocument/2006/relationships" ref="B23" r:id="rId25"/>
    <hyperlink xmlns:r="http://schemas.openxmlformats.org/officeDocument/2006/relationships" ref="C23" r:id="rId26"/>
    <hyperlink xmlns:r="http://schemas.openxmlformats.org/officeDocument/2006/relationships" ref="D23" r:id="rId27"/>
    <hyperlink xmlns:r="http://schemas.openxmlformats.org/officeDocument/2006/relationships" ref="A24" r:id="rId28"/>
    <hyperlink xmlns:r="http://schemas.openxmlformats.org/officeDocument/2006/relationships" ref="B24" r:id="rId29"/>
    <hyperlink xmlns:r="http://schemas.openxmlformats.org/officeDocument/2006/relationships" ref="C24" r:id="rId30"/>
    <hyperlink xmlns:r="http://schemas.openxmlformats.org/officeDocument/2006/relationships" ref="D24" r:id="rId31"/>
    <hyperlink xmlns:r="http://schemas.openxmlformats.org/officeDocument/2006/relationships" ref="A28" r:id="rId32"/>
    <hyperlink xmlns:r="http://schemas.openxmlformats.org/officeDocument/2006/relationships" ref="B28" r:id="rId33"/>
    <hyperlink xmlns:r="http://schemas.openxmlformats.org/officeDocument/2006/relationships" ref="C28" r:id="rId34"/>
    <hyperlink xmlns:r="http://schemas.openxmlformats.org/officeDocument/2006/relationships" ref="D28" r:id="rId35"/>
    <hyperlink xmlns:r="http://schemas.openxmlformats.org/officeDocument/2006/relationships" ref="A29" r:id="rId36"/>
    <hyperlink xmlns:r="http://schemas.openxmlformats.org/officeDocument/2006/relationships" ref="B29" r:id="rId37"/>
    <hyperlink xmlns:r="http://schemas.openxmlformats.org/officeDocument/2006/relationships" ref="C29" r:id="rId38"/>
    <hyperlink xmlns:r="http://schemas.openxmlformats.org/officeDocument/2006/relationships" ref="D29" r:id="rId39"/>
    <hyperlink xmlns:r="http://schemas.openxmlformats.org/officeDocument/2006/relationships" ref="A30" r:id="rId40"/>
    <hyperlink xmlns:r="http://schemas.openxmlformats.org/officeDocument/2006/relationships" ref="B30" r:id="rId41"/>
    <hyperlink xmlns:r="http://schemas.openxmlformats.org/officeDocument/2006/relationships" ref="C30" r:id="rId42"/>
    <hyperlink xmlns:r="http://schemas.openxmlformats.org/officeDocument/2006/relationships" ref="D30" r:id="rId43"/>
    <hyperlink xmlns:r="http://schemas.openxmlformats.org/officeDocument/2006/relationships" ref="A31" r:id="rId44"/>
    <hyperlink xmlns:r="http://schemas.openxmlformats.org/officeDocument/2006/relationships" ref="B31" r:id="rId45"/>
    <hyperlink xmlns:r="http://schemas.openxmlformats.org/officeDocument/2006/relationships" ref="C31" r:id="rId46"/>
    <hyperlink xmlns:r="http://schemas.openxmlformats.org/officeDocument/2006/relationships" ref="D31" r:id="rId47"/>
    <hyperlink xmlns:r="http://schemas.openxmlformats.org/officeDocument/2006/relationships" ref="A32" r:id="rId48"/>
    <hyperlink xmlns:r="http://schemas.openxmlformats.org/officeDocument/2006/relationships" ref="B32" r:id="rId49"/>
    <hyperlink xmlns:r="http://schemas.openxmlformats.org/officeDocument/2006/relationships" ref="C32" r:id="rId50"/>
    <hyperlink xmlns:r="http://schemas.openxmlformats.org/officeDocument/2006/relationships" ref="A35" r:id="rId51"/>
    <hyperlink xmlns:r="http://schemas.openxmlformats.org/officeDocument/2006/relationships" ref="B35" r:id="rId52"/>
    <hyperlink xmlns:r="http://schemas.openxmlformats.org/officeDocument/2006/relationships" ref="C35" r:id="rId53"/>
    <hyperlink xmlns:r="http://schemas.openxmlformats.org/officeDocument/2006/relationships" ref="D35" r:id="rId54"/>
    <hyperlink xmlns:r="http://schemas.openxmlformats.org/officeDocument/2006/relationships" ref="A36" r:id="rId55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40" customWidth="1" min="3" max="3"/>
  </cols>
  <sheetData>
    <row r="1">
      <c r="A1" s="32" t="inlineStr">
        <is>
          <t>PIMS SEARCH</t>
        </is>
      </c>
    </row>
    <row r="2">
      <c r="A2" s="33" t="inlineStr">
        <is>
          <t>Type a search term in the yellow cell. Results use native FILTER (Microsoft 365). Table AutoFilters remain available on every data sheet.</t>
        </is>
      </c>
    </row>
    <row r="4">
      <c r="A4" s="28" t="inlineStr">
        <is>
          <t>SEARCH_TERM</t>
        </is>
      </c>
      <c r="B4" s="34" t="inlineStr"/>
      <c r="C4" s="33" t="inlineStr">
        <is>
          <t>← user input</t>
        </is>
      </c>
    </row>
    <row r="6">
      <c r="A6" s="25" t="inlineStr">
        <is>
          <t>COMPONENT MATCHES</t>
        </is>
      </c>
    </row>
    <row r="7">
      <c r="A7" s="35">
        <f>IF(NR_SEARCH_TERM="","(enter search term)",IFERROR(FILTER(HSTACK(T_COMPONENT[COMPONENT_ID],T_COMPONENT[COMPONENT_CODE],T_COMPONENT[COMPONENT_NAME]),(ISNUMBER(SEARCH(NR_SEARCH_TERM,T_COMPONENT[COMPONENT_CODE]&amp;"")))+(ISNUMBER(SEARCH(NR_SEARCH_TERM,T_COMPONENT[COMPONENT_NAME]&amp;"")))),"(no matches)"))</f>
        <v/>
      </c>
    </row>
    <row r="9">
      <c r="A9" s="25" t="inlineStr">
        <is>
          <t>PRODUCT MATCHES</t>
        </is>
      </c>
    </row>
    <row r="10">
      <c r="A10">
        <f>IF(NR_SEARCH_TERM="","(enter search term)",IFERROR(FILTER(HSTACK(T_PRODUCT[PRODUCT_ID],T_PRODUCT[PRODUCT_CODE],T_PRODUCT[PRODUCT_NAME]),(ISNUMBER(SEARCH(NR_SEARCH_TERM,T_PRODUCT[PRODUCT_CODE]&amp;"")))+(ISNUMBER(SEARCH(NR_SEARCH_TERM,T_PRODUCT[PRODUCT_NAME]&amp;"")))),"(no matches)"))</f>
        <v/>
      </c>
    </row>
    <row r="12">
      <c r="A12" s="25" t="inlineStr">
        <is>
          <t>SHIPMENT MATCHES</t>
        </is>
      </c>
    </row>
    <row r="13">
      <c r="A13">
        <f>IF(NR_SEARCH_TERM="","(enter search term)",IFERROR(FILTER(HSTACK(T_SHIPMENT[SHIPMENT_ID],T_SHIPMENT[SHIPMENT_NUMBER]),ISNUMBER(SEARCH(NR_SEARCH_TERM,T_SHIPMENT[SHIPMENT_NUMBER]&amp;""))),"(no matches)"))</f>
        <v/>
      </c>
    </row>
    <row r="15">
      <c r="A15" s="25" t="inlineStr">
        <is>
          <t>SCENARIO MATCHES</t>
        </is>
      </c>
    </row>
    <row r="16">
      <c r="A16">
        <f>IF(NR_SEARCH_TERM="","(enter search term)",IFERROR(FILTER(HSTACK(T_COMMERCIAL_SCENARIO[COMMERCIAL_SCENARIO_ID],T_COMMERCIAL_SCENARIO[COMMERCIAL_SCENARIO_CODE],T_COMMERCIAL_SCENARIO[COMMERCIAL_SCENARIO_NAME]),(ISNUMBER(SEARCH(NR_SEARCH_TERM,T_COMMERCIAL_SCENARIO[COMMERCIAL_SCENARIO_CODE]&amp;"")))+(ISNUMBER(SEARCH(NR_SEARCH_TERM,T_COMMERCIAL_SCENARIO[COMMERCIAL_SCENARIO_NAME]&amp;"")))),"(no matches)"))</f>
        <v/>
      </c>
    </row>
    <row r="18">
      <c r="A18" s="33" t="inlineStr">
        <is>
          <t>ALTERNATE: Use dropdown filters on Excel Tables (filter arrows in header row).</t>
        </is>
      </c>
    </row>
    <row r="20">
      <c r="A20" s="5" t="inlineStr">
        <is>
          <t>Dashboard</t>
        </is>
      </c>
      <c r="B20" s="5" t="inlineStr">
        <is>
          <t>Navigation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mergeCells count="1">
    <mergeCell ref="A2:F2"/>
  </mergeCells>
  <hyperlinks>
    <hyperlink xmlns:r="http://schemas.openxmlformats.org/officeDocument/2006/relationships" ref="A20" r:id="rId1"/>
    <hyperlink xmlns:r="http://schemas.openxmlformats.org/officeDocument/2006/relationships" ref="B20" r:id="rId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</cols>
  <sheetData>
    <row r="1">
      <c r="A1" s="5" t="inlineStr">
        <is>
          <t>INFO_KEY</t>
        </is>
      </c>
      <c r="B1" s="5" t="inlineStr">
        <is>
          <t>INFO_VALUE</t>
        </is>
      </c>
      <c r="C1" s="5" t="inlineStr">
        <is>
          <t>UPDATED_AT</t>
        </is>
      </c>
      <c r="E1" s="36" t="inlineStr">
        <is>
          <t>Dashboard</t>
        </is>
      </c>
    </row>
    <row r="2">
      <c r="A2" s="37" t="inlineStr">
        <is>
          <t>SCHEMA_VERSION</t>
        </is>
      </c>
      <c r="B2" s="37" t="inlineStr">
        <is>
          <t>1.0.0</t>
        </is>
      </c>
      <c r="C2" s="37" t="inlineStr">
        <is>
          <t>2026-08-02T08:21:24Z</t>
        </is>
      </c>
    </row>
    <row r="3">
      <c r="A3" s="37" t="inlineStr">
        <is>
          <t>WORKBOOK_NAME</t>
        </is>
      </c>
      <c r="B3" s="37" t="inlineStr">
        <is>
          <t>Inci_Aku_PPWR_Packaging_Management_System_Rev00.xlsx</t>
        </is>
      </c>
      <c r="C3" s="37" t="inlineStr">
        <is>
          <t>2026-08-02T08:21:24Z</t>
        </is>
      </c>
    </row>
    <row r="4">
      <c r="A4" s="37" t="inlineStr">
        <is>
          <t>PROJECT_NAME</t>
        </is>
      </c>
      <c r="B4" s="37" t="inlineStr">
        <is>
          <t>Inci_Aku_PPWR_Packaging_Management_System</t>
        </is>
      </c>
      <c r="C4" s="37" t="inlineStr">
        <is>
          <t>2026-08-02T08:21:24Z</t>
        </is>
      </c>
    </row>
    <row r="5">
      <c r="A5" s="37" t="inlineStr">
        <is>
          <t>REVISION</t>
        </is>
      </c>
      <c r="B5" s="37" t="inlineStr">
        <is>
          <t>Rev00</t>
        </is>
      </c>
      <c r="C5" s="37" t="inlineStr">
        <is>
          <t>2026-08-02T08:21:24Z</t>
        </is>
      </c>
    </row>
    <row r="6">
      <c r="A6" s="37" t="inlineStr">
        <is>
          <t>GENERATED_AT_UTC</t>
        </is>
      </c>
      <c r="B6" s="37" t="inlineStr">
        <is>
          <t>2026-08-02T08:21:24Z</t>
        </is>
      </c>
      <c r="C6" s="37" t="inlineStr">
        <is>
          <t>2026-08-02T08:21:24Z</t>
        </is>
      </c>
    </row>
    <row r="7">
      <c r="A7" s="37" t="inlineStr">
        <is>
          <t>EXCEL_ENGINE</t>
        </is>
      </c>
      <c r="B7" s="37" t="inlineStr">
        <is>
          <t>openpyxl</t>
        </is>
      </c>
      <c r="C7" s="37" t="inlineStr">
        <is>
          <t>2026-08-02T08:21:24Z</t>
        </is>
      </c>
    </row>
    <row r="8">
      <c r="A8" s="37" t="inlineStr">
        <is>
          <t>TECH_SHEET_PROTECTION</t>
        </is>
      </c>
      <c r="B8" s="37" t="inlineStr">
        <is>
          <t>ENABLED</t>
        </is>
      </c>
      <c r="C8" s="37" t="inlineStr">
        <is>
          <t>2026-08-02T08:21:24Z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hyperlinks>
    <hyperlink xmlns:r="http://schemas.openxmlformats.org/officeDocument/2006/relationships" ref="E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9" customWidth="1" min="3" max="3"/>
    <col width="15" customWidth="1" min="4" max="4"/>
  </cols>
  <sheetData>
    <row r="1">
      <c r="A1" s="5" t="inlineStr">
        <is>
          <t>PARAMETER_ID</t>
        </is>
      </c>
      <c r="B1" s="5" t="inlineStr">
        <is>
          <t>PARAMETER_CODE</t>
        </is>
      </c>
      <c r="C1" s="5" t="inlineStr">
        <is>
          <t>PARAMETER_VALUE</t>
        </is>
      </c>
      <c r="D1" s="5" t="inlineStr">
        <is>
          <t>DESCRIPTION</t>
        </is>
      </c>
      <c r="F1" s="36" t="inlineStr">
        <is>
          <t>Dashboard</t>
        </is>
      </c>
    </row>
    <row r="2">
      <c r="A2" s="37" t="n">
        <v>1</v>
      </c>
      <c r="B2" s="37" t="inlineStr">
        <is>
          <t>WEIGHT_UOM</t>
        </is>
      </c>
      <c r="C2" s="37" t="inlineStr">
        <is>
          <t>G</t>
        </is>
      </c>
      <c r="D2" s="37" t="inlineStr">
        <is>
          <t>Mass unit for COMPONENT.WEIGHT_G</t>
        </is>
      </c>
    </row>
    <row r="3">
      <c r="A3" s="37" t="n">
        <v>2</v>
      </c>
      <c r="B3" s="37" t="inlineStr">
        <is>
          <t>TRANSPORT_ALLOCATION_METHOD</t>
        </is>
      </c>
      <c r="C3" s="37" t="inlineStr">
        <is>
          <t>PER_PRODUCT_UNIT</t>
        </is>
      </c>
      <c r="D3" s="37" t="inlineStr">
        <is>
          <t>How transport-line weight allocates to product units</t>
        </is>
      </c>
    </row>
    <row r="4">
      <c r="A4" s="37" t="n">
        <v>3</v>
      </c>
      <c r="B4" s="37" t="inlineStr">
        <is>
          <t>MATERIAL_SHARE_TOLERANCE_PCT</t>
        </is>
      </c>
      <c r="C4" s="37" t="inlineStr">
        <is>
          <t>0.5</t>
        </is>
      </c>
      <c r="D4" s="37" t="inlineStr">
        <is>
          <t>Allowed deviation from 100% material shares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hyperlinks>
    <hyperlink xmlns:r="http://schemas.openxmlformats.org/officeDocument/2006/relationships" ref="F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7" customWidth="1" min="4" max="4"/>
    <col width="15" customWidth="1" min="5" max="5"/>
    <col width="14" customWidth="1" min="6" max="6"/>
  </cols>
  <sheetData>
    <row r="1">
      <c r="A1" s="5" t="inlineStr">
        <is>
          <t>STATUS_ID</t>
        </is>
      </c>
      <c r="B1" s="5" t="inlineStr">
        <is>
          <t>STATUS_CODE</t>
        </is>
      </c>
      <c r="C1" s="5" t="inlineStr">
        <is>
          <t>STATUS_NAME</t>
        </is>
      </c>
      <c r="D1" s="5" t="inlineStr">
        <is>
          <t>STATUS_DOMAIN</t>
        </is>
      </c>
      <c r="E1" s="5" t="inlineStr">
        <is>
          <t>IS_EDITABLE</t>
        </is>
      </c>
      <c r="F1" s="5" t="inlineStr">
        <is>
          <t>SORT_ORDER</t>
        </is>
      </c>
      <c r="H1" s="36" t="inlineStr">
        <is>
          <t>Dashboard</t>
        </is>
      </c>
    </row>
    <row r="2">
      <c r="A2" s="23" t="n">
        <v>1</v>
      </c>
      <c r="B2" s="23" t="inlineStr">
        <is>
          <t>DRAFT</t>
        </is>
      </c>
      <c r="C2" s="23" t="inlineStr">
        <is>
          <t>Draft</t>
        </is>
      </c>
      <c r="D2" s="23" t="inlineStr">
        <is>
          <t>MASTER</t>
        </is>
      </c>
      <c r="E2" s="23" t="b">
        <v>1</v>
      </c>
      <c r="F2" s="23" t="n">
        <v>1</v>
      </c>
    </row>
    <row r="3">
      <c r="A3" s="23" t="n">
        <v>2</v>
      </c>
      <c r="B3" s="23" t="inlineStr">
        <is>
          <t>ACTIVE</t>
        </is>
      </c>
      <c r="C3" s="23" t="inlineStr">
        <is>
          <t>Active</t>
        </is>
      </c>
      <c r="D3" s="23" t="inlineStr">
        <is>
          <t>MASTER</t>
        </is>
      </c>
      <c r="E3" s="23" t="b">
        <v>1</v>
      </c>
      <c r="F3" s="23" t="n">
        <v>2</v>
      </c>
    </row>
    <row r="4">
      <c r="A4" s="23" t="n">
        <v>3</v>
      </c>
      <c r="B4" s="23" t="inlineStr">
        <is>
          <t>OBSOLETE</t>
        </is>
      </c>
      <c r="C4" s="23" t="inlineStr">
        <is>
          <t>Obsolete</t>
        </is>
      </c>
      <c r="D4" s="23" t="inlineStr">
        <is>
          <t>MASTER</t>
        </is>
      </c>
      <c r="E4" s="23" t="b">
        <v>0</v>
      </c>
      <c r="F4" s="23" t="n">
        <v>3</v>
      </c>
    </row>
    <row r="5">
      <c r="A5" s="23" t="n">
        <v>4</v>
      </c>
      <c r="B5" s="23" t="inlineStr">
        <is>
          <t>CONFIRMED</t>
        </is>
      </c>
      <c r="C5" s="23" t="inlineStr">
        <is>
          <t>Confirmed</t>
        </is>
      </c>
      <c r="D5" s="23" t="inlineStr">
        <is>
          <t>SHIPMENT</t>
        </is>
      </c>
      <c r="E5" s="23" t="b">
        <v>0</v>
      </c>
      <c r="F5" s="23" t="n">
        <v>4</v>
      </c>
    </row>
    <row r="6">
      <c r="A6" s="23" t="n">
        <v>5</v>
      </c>
      <c r="B6" s="23" t="inlineStr">
        <is>
          <t>CANCELLED</t>
        </is>
      </c>
      <c r="C6" s="23" t="inlineStr">
        <is>
          <t>Cancelled</t>
        </is>
      </c>
      <c r="D6" s="23" t="inlineStr">
        <is>
          <t>SHIPMENT</t>
        </is>
      </c>
      <c r="E6" s="23" t="b">
        <v>0</v>
      </c>
      <c r="F6" s="23" t="n">
        <v>5</v>
      </c>
    </row>
    <row r="7">
      <c r="A7" s="23" t="n">
        <v>6</v>
      </c>
      <c r="B7" s="23" t="inlineStr">
        <is>
          <t>APPROVED_DOC</t>
        </is>
      </c>
      <c r="C7" s="23" t="inlineStr">
        <is>
          <t>Approved (Document)</t>
        </is>
      </c>
      <c r="D7" s="23" t="inlineStr">
        <is>
          <t>DOCUMENT</t>
        </is>
      </c>
      <c r="E7" s="23" t="b">
        <v>0</v>
      </c>
      <c r="F7" s="23" t="n">
        <v>6</v>
      </c>
    </row>
    <row r="8">
      <c r="A8" s="23" t="n">
        <v>7</v>
      </c>
      <c r="B8" s="23" t="inlineStr">
        <is>
          <t>REVOKED</t>
        </is>
      </c>
      <c r="C8" s="23" t="inlineStr">
        <is>
          <t>Revoked</t>
        </is>
      </c>
      <c r="D8" s="23" t="inlineStr">
        <is>
          <t>DOCUMENT</t>
        </is>
      </c>
      <c r="E8" s="23" t="b">
        <v>0</v>
      </c>
      <c r="F8" s="23" t="n">
        <v>7</v>
      </c>
    </row>
    <row r="9">
      <c r="A9" s="23" t="n">
        <v>8</v>
      </c>
      <c r="B9" s="23" t="inlineStr">
        <is>
          <t>APPROVED_STM</t>
        </is>
      </c>
      <c r="C9" s="23" t="inlineStr">
        <is>
          <t>Approved (Statement)</t>
        </is>
      </c>
      <c r="D9" s="23" t="inlineStr">
        <is>
          <t>STATEMENT</t>
        </is>
      </c>
      <c r="E9" s="23" t="b">
        <v>0</v>
      </c>
      <c r="F9" s="23" t="n">
        <v>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hyperlinks>
    <hyperlink xmlns:r="http://schemas.openxmlformats.org/officeDocument/2006/relationships" ref="H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</cols>
  <sheetData>
    <row r="1">
      <c r="A1" s="5" t="inlineStr">
        <is>
          <t>UOM_ID</t>
        </is>
      </c>
      <c r="B1" s="5" t="inlineStr">
        <is>
          <t>UOM_CODE</t>
        </is>
      </c>
      <c r="C1" s="5" t="inlineStr">
        <is>
          <t>UOM_NAME</t>
        </is>
      </c>
      <c r="D1" s="5" t="inlineStr">
        <is>
          <t>UOM_DIMENSION</t>
        </is>
      </c>
      <c r="F1" s="36" t="inlineStr">
        <is>
          <t>Dashboard</t>
        </is>
      </c>
    </row>
    <row r="2">
      <c r="A2" s="23" t="n">
        <v>1</v>
      </c>
      <c r="B2" s="23" t="inlineStr">
        <is>
          <t>G</t>
        </is>
      </c>
      <c r="C2" s="23" t="inlineStr">
        <is>
          <t>Gram</t>
        </is>
      </c>
      <c r="D2" s="23" t="inlineStr">
        <is>
          <t>MASS</t>
        </is>
      </c>
    </row>
    <row r="3">
      <c r="A3" s="23" t="n">
        <v>2</v>
      </c>
      <c r="B3" s="23" t="inlineStr">
        <is>
          <t>KG</t>
        </is>
      </c>
      <c r="C3" s="23" t="inlineStr">
        <is>
          <t>Kilogram</t>
        </is>
      </c>
      <c r="D3" s="23" t="inlineStr">
        <is>
          <t>MASS</t>
        </is>
      </c>
    </row>
    <row r="4">
      <c r="A4" s="23" t="n">
        <v>3</v>
      </c>
      <c r="B4" s="23" t="inlineStr">
        <is>
          <t>MM</t>
        </is>
      </c>
      <c r="C4" s="23" t="inlineStr">
        <is>
          <t>Millimeter</t>
        </is>
      </c>
      <c r="D4" s="23" t="inlineStr">
        <is>
          <t>LENGTH</t>
        </is>
      </c>
    </row>
    <row r="5">
      <c r="A5" s="23" t="n">
        <v>4</v>
      </c>
      <c r="B5" s="23" t="inlineStr">
        <is>
          <t>PCS</t>
        </is>
      </c>
      <c r="C5" s="23" t="inlineStr">
        <is>
          <t>Pieces</t>
        </is>
      </c>
      <c r="D5" s="23" t="inlineStr">
        <is>
          <t>COUNT</t>
        </is>
      </c>
    </row>
    <row r="6">
      <c r="A6" s="23" t="n">
        <v>5</v>
      </c>
      <c r="B6" s="23" t="inlineStr">
        <is>
          <t>PAL</t>
        </is>
      </c>
      <c r="C6" s="23" t="inlineStr">
        <is>
          <t>Pallet</t>
        </is>
      </c>
      <c r="D6" s="23" t="inlineStr">
        <is>
          <t>COUNT</t>
        </is>
      </c>
    </row>
    <row r="7">
      <c r="A7" s="23" t="n">
        <v>6</v>
      </c>
      <c r="B7" s="23" t="inlineStr">
        <is>
          <t>TEU</t>
        </is>
      </c>
      <c r="C7" s="23" t="inlineStr">
        <is>
          <t>TEU</t>
        </is>
      </c>
      <c r="D7" s="23" t="inlineStr">
        <is>
          <t>VOLUME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hyperlinks>
    <hyperlink xmlns:r="http://schemas.openxmlformats.org/officeDocument/2006/relationships" ref="F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14" customWidth="1" min="4" max="4"/>
  </cols>
  <sheetData>
    <row r="1">
      <c r="A1" s="5" t="inlineStr">
        <is>
          <t>PACKAGING_LEVEL_ID</t>
        </is>
      </c>
      <c r="B1" s="5" t="inlineStr">
        <is>
          <t>PACKAGING_LEVEL_CODE</t>
        </is>
      </c>
      <c r="C1" s="5" t="inlineStr">
        <is>
          <t>PACKAGING_LEVEL_NAME</t>
        </is>
      </c>
      <c r="D1" s="5" t="inlineStr">
        <is>
          <t>SORT_ORDER</t>
        </is>
      </c>
      <c r="F1" s="36" t="inlineStr">
        <is>
          <t>Dashboard</t>
        </is>
      </c>
    </row>
    <row r="2">
      <c r="A2" s="23" t="n">
        <v>1</v>
      </c>
      <c r="B2" s="23" t="inlineStr">
        <is>
          <t>PRIMARY</t>
        </is>
      </c>
      <c r="C2" s="23" t="inlineStr">
        <is>
          <t>Primary</t>
        </is>
      </c>
      <c r="D2" s="23" t="n">
        <v>1</v>
      </c>
    </row>
    <row r="3">
      <c r="A3" s="23" t="n">
        <v>2</v>
      </c>
      <c r="B3" s="23" t="inlineStr">
        <is>
          <t>SECONDARY</t>
        </is>
      </c>
      <c r="C3" s="23" t="inlineStr">
        <is>
          <t>Secondary</t>
        </is>
      </c>
      <c r="D3" s="23" t="n">
        <v>2</v>
      </c>
    </row>
    <row r="4">
      <c r="A4" s="23" t="n">
        <v>3</v>
      </c>
      <c r="B4" s="23" t="inlineStr">
        <is>
          <t>TERTIARY</t>
        </is>
      </c>
      <c r="C4" s="23" t="inlineStr">
        <is>
          <t>Tertiary</t>
        </is>
      </c>
      <c r="D4" s="23" t="n">
        <v>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hyperlinks>
    <hyperlink xmlns:r="http://schemas.openxmlformats.org/officeDocument/2006/relationships" ref="F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</cols>
  <sheetData>
    <row r="1">
      <c r="A1" s="5" t="inlineStr">
        <is>
          <t>PACKAGING_FUNCTION_ID</t>
        </is>
      </c>
      <c r="B1" s="5" t="inlineStr">
        <is>
          <t>PACKAGING_FUNCTION_CODE</t>
        </is>
      </c>
      <c r="C1" s="5" t="inlineStr">
        <is>
          <t>PACKAGING_FUNCTION_NAME</t>
        </is>
      </c>
      <c r="E1" s="36" t="inlineStr">
        <is>
          <t>Dashboard</t>
        </is>
      </c>
    </row>
    <row r="2">
      <c r="A2" s="23" t="n">
        <v>1</v>
      </c>
      <c r="B2" s="23" t="inlineStr">
        <is>
          <t>SALES</t>
        </is>
      </c>
      <c r="C2" s="23" t="inlineStr">
        <is>
          <t>Sales Packaging</t>
        </is>
      </c>
    </row>
    <row r="3">
      <c r="A3" s="23" t="n">
        <v>2</v>
      </c>
      <c r="B3" s="23" t="inlineStr">
        <is>
          <t>GROUPED</t>
        </is>
      </c>
      <c r="C3" s="23" t="inlineStr">
        <is>
          <t>Grouped Packaging</t>
        </is>
      </c>
    </row>
    <row r="4">
      <c r="A4" s="23" t="n">
        <v>3</v>
      </c>
      <c r="B4" s="23" t="inlineStr">
        <is>
          <t>TRANSPORT</t>
        </is>
      </c>
      <c r="C4" s="23" t="inlineStr">
        <is>
          <t>Transport Packaging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hyperlinks>
    <hyperlink xmlns:r="http://schemas.openxmlformats.org/officeDocument/2006/relationships" ref="E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  <col width="30" customWidth="1" min="4" max="4"/>
  </cols>
  <sheetData>
    <row r="1">
      <c r="A1" s="5" t="inlineStr">
        <is>
          <t>COMPONENT_TYPE_ID</t>
        </is>
      </c>
      <c r="B1" s="5" t="inlineStr">
        <is>
          <t>COMPONENT_TYPE_CODE</t>
        </is>
      </c>
      <c r="C1" s="5" t="inlineStr">
        <is>
          <t>COMPONENT_TYPE_NAME</t>
        </is>
      </c>
      <c r="D1" s="5" t="inlineStr">
        <is>
          <t>DEFAULT_PACKAGING_LEVEL_ID</t>
        </is>
      </c>
      <c r="F1" s="36" t="inlineStr">
        <is>
          <t>Dashboard</t>
        </is>
      </c>
    </row>
    <row r="2">
      <c r="A2" s="23" t="n">
        <v>1</v>
      </c>
      <c r="B2" s="23" t="inlineStr">
        <is>
          <t>CARTON</t>
        </is>
      </c>
      <c r="C2" s="23" t="inlineStr">
        <is>
          <t>Carton</t>
        </is>
      </c>
      <c r="D2" s="23" t="n">
        <v>2</v>
      </c>
    </row>
    <row r="3">
      <c r="A3" s="23" t="n">
        <v>2</v>
      </c>
      <c r="B3" s="23" t="inlineStr">
        <is>
          <t>DIVIDER</t>
        </is>
      </c>
      <c r="C3" s="23" t="inlineStr">
        <is>
          <t>Divider</t>
        </is>
      </c>
      <c r="D3" s="23" t="n">
        <v>2</v>
      </c>
    </row>
    <row r="4">
      <c r="A4" s="23" t="n">
        <v>3</v>
      </c>
      <c r="B4" s="23" t="inlineStr">
        <is>
          <t>FILM</t>
        </is>
      </c>
      <c r="C4" s="23" t="inlineStr">
        <is>
          <t>Film</t>
        </is>
      </c>
      <c r="D4" s="23" t="n">
        <v>3</v>
      </c>
    </row>
    <row r="5">
      <c r="A5" s="23" t="n">
        <v>4</v>
      </c>
      <c r="B5" s="23" t="inlineStr">
        <is>
          <t>STRAP</t>
        </is>
      </c>
      <c r="C5" s="23" t="inlineStr">
        <is>
          <t>Strap</t>
        </is>
      </c>
      <c r="D5" s="23" t="n">
        <v>3</v>
      </c>
    </row>
    <row r="6">
      <c r="A6" s="23" t="n">
        <v>5</v>
      </c>
      <c r="B6" s="23" t="inlineStr">
        <is>
          <t>LABEL</t>
        </is>
      </c>
      <c r="C6" s="23" t="inlineStr">
        <is>
          <t>Label</t>
        </is>
      </c>
      <c r="D6" s="23" t="n">
        <v>1</v>
      </c>
    </row>
    <row r="7">
      <c r="A7" s="23" t="n">
        <v>6</v>
      </c>
      <c r="B7" s="23" t="inlineStr">
        <is>
          <t>PALLET</t>
        </is>
      </c>
      <c r="C7" s="23" t="inlineStr">
        <is>
          <t>Pallet</t>
        </is>
      </c>
      <c r="D7" s="23" t="n">
        <v>3</v>
      </c>
    </row>
    <row r="8">
      <c r="A8" s="23" t="n">
        <v>7</v>
      </c>
      <c r="B8" s="23" t="inlineStr">
        <is>
          <t>BAG</t>
        </is>
      </c>
      <c r="C8" s="23" t="inlineStr">
        <is>
          <t>Bag</t>
        </is>
      </c>
      <c r="D8" s="23" t="n">
        <v>1</v>
      </c>
    </row>
    <row r="9">
      <c r="A9" s="23" t="n">
        <v>8</v>
      </c>
      <c r="B9" s="23" t="inlineStr">
        <is>
          <t>CAP</t>
        </is>
      </c>
      <c r="C9" s="23" t="inlineStr">
        <is>
          <t>Cap</t>
        </is>
      </c>
      <c r="D9" s="23" t="n">
        <v>1</v>
      </c>
    </row>
    <row r="10">
      <c r="A10" s="23" t="n">
        <v>9</v>
      </c>
      <c r="B10" s="23" t="inlineStr">
        <is>
          <t>DUNNAGE</t>
        </is>
      </c>
      <c r="C10" s="23" t="inlineStr">
        <is>
          <t>Dunnage</t>
        </is>
      </c>
      <c r="D10" s="23" t="n">
        <v>3</v>
      </c>
    </row>
    <row r="11">
      <c r="A11" s="23" t="n">
        <v>10</v>
      </c>
      <c r="B11" s="23" t="inlineStr">
        <is>
          <t>AIRBAG</t>
        </is>
      </c>
      <c r="C11" s="23" t="inlineStr">
        <is>
          <t>Airbag</t>
        </is>
      </c>
      <c r="D11" s="23" t="n">
        <v>3</v>
      </c>
    </row>
    <row r="12">
      <c r="A12" s="23" t="n">
        <v>11</v>
      </c>
      <c r="B12" s="23" t="inlineStr">
        <is>
          <t>DESICCANT</t>
        </is>
      </c>
      <c r="C12" s="23" t="inlineStr">
        <is>
          <t>Desiccant</t>
        </is>
      </c>
      <c r="D12" s="23" t="n">
        <v>3</v>
      </c>
    </row>
    <row r="13">
      <c r="A13" s="23" t="n">
        <v>12</v>
      </c>
      <c r="B13" s="23" t="inlineStr">
        <is>
          <t>CONTAINER_LINER</t>
        </is>
      </c>
      <c r="C13" s="23" t="inlineStr">
        <is>
          <t>Container Liner</t>
        </is>
      </c>
      <c r="D13" s="23" t="n">
        <v>3</v>
      </c>
    </row>
    <row r="14">
      <c r="A14" s="23" t="n">
        <v>13</v>
      </c>
      <c r="B14" s="23" t="inlineStr">
        <is>
          <t>LASHING</t>
        </is>
      </c>
      <c r="C14" s="23" t="inlineStr">
        <is>
          <t>Lashing</t>
        </is>
      </c>
      <c r="D14" s="23" t="n">
        <v>3</v>
      </c>
    </row>
    <row r="15">
      <c r="A15" s="23" t="n">
        <v>14</v>
      </c>
      <c r="B15" s="23" t="inlineStr">
        <is>
          <t>OTHER</t>
        </is>
      </c>
      <c r="C15" s="23" t="inlineStr">
        <is>
          <t>Other</t>
        </is>
      </c>
      <c r="D15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dataValidations count="1">
    <dataValidation sqref="D2:D1048576" showDropDown="0" showInputMessage="0" showErrorMessage="1" allowBlank="1" errorTitle="Invalid FK" error="Value must exist in NR_PACKAGING_LEVEL_ID" promptTitle="Foreign Key" prompt="Select DEFAULT_PACKAGING_LEVEL_ID from NR_PACKAGING_LEVEL_ID" type="list">
      <formula1>=NR_PACKAGING_LEVEL_ID</formula1>
    </dataValidation>
  </dataValidations>
  <hyperlinks>
    <hyperlink xmlns:r="http://schemas.openxmlformats.org/officeDocument/2006/relationships" ref="F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</cols>
  <sheetData>
    <row r="1">
      <c r="A1" s="5" t="inlineStr">
        <is>
          <t>MATERIAL_FAMILY_ID</t>
        </is>
      </c>
      <c r="B1" s="5" t="inlineStr">
        <is>
          <t>MATERIAL_FAMILY_CODE</t>
        </is>
      </c>
      <c r="C1" s="5" t="inlineStr">
        <is>
          <t>MATERIAL_FAMILY_NAME</t>
        </is>
      </c>
      <c r="E1" s="36" t="inlineStr">
        <is>
          <t>Dashboard</t>
        </is>
      </c>
    </row>
    <row r="2">
      <c r="A2" s="23" t="n">
        <v>1</v>
      </c>
      <c r="B2" s="23" t="inlineStr">
        <is>
          <t>PLASTIC</t>
        </is>
      </c>
      <c r="C2" s="23" t="inlineStr">
        <is>
          <t>Plastic</t>
        </is>
      </c>
    </row>
    <row r="3">
      <c r="A3" s="23" t="n">
        <v>2</v>
      </c>
      <c r="B3" s="23" t="inlineStr">
        <is>
          <t>PAPER</t>
        </is>
      </c>
      <c r="C3" s="23" t="inlineStr">
        <is>
          <t>Paper / Board</t>
        </is>
      </c>
    </row>
    <row r="4">
      <c r="A4" s="23" t="n">
        <v>3</v>
      </c>
      <c r="B4" s="23" t="inlineStr">
        <is>
          <t>WOOD</t>
        </is>
      </c>
      <c r="C4" s="23" t="inlineStr">
        <is>
          <t>Wood</t>
        </is>
      </c>
    </row>
    <row r="5">
      <c r="A5" s="23" t="n">
        <v>4</v>
      </c>
      <c r="B5" s="23" t="inlineStr">
        <is>
          <t>METAL</t>
        </is>
      </c>
      <c r="C5" s="23" t="inlineStr">
        <is>
          <t>Metal</t>
        </is>
      </c>
    </row>
    <row r="6">
      <c r="A6" s="23" t="n">
        <v>5</v>
      </c>
      <c r="B6" s="23" t="inlineStr">
        <is>
          <t>COMPOSITE</t>
        </is>
      </c>
      <c r="C6" s="23" t="inlineStr">
        <is>
          <t>Composite</t>
        </is>
      </c>
    </row>
    <row r="7">
      <c r="A7" s="23" t="n">
        <v>6</v>
      </c>
      <c r="B7" s="23" t="inlineStr">
        <is>
          <t>OTHER</t>
        </is>
      </c>
      <c r="C7" s="23" t="inlineStr">
        <is>
          <t>Other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hyperlinks>
    <hyperlink xmlns:r="http://schemas.openxmlformats.org/officeDocument/2006/relationships" ref="E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5" t="inlineStr">
        <is>
          <t>PPWR_MATERIAL_CATEGORY_ID</t>
        </is>
      </c>
      <c r="B1" s="5" t="inlineStr">
        <is>
          <t>PPWR_MATERIAL_CATEGORY_CODE</t>
        </is>
      </c>
      <c r="C1" s="5" t="inlineStr">
        <is>
          <t>PPWR_MATERIAL_CATEGORY_NAME</t>
        </is>
      </c>
      <c r="E1" s="36" t="inlineStr">
        <is>
          <t>Dashboard</t>
        </is>
      </c>
    </row>
    <row r="2">
      <c r="A2" s="23" t="n">
        <v>1</v>
      </c>
      <c r="B2" s="23" t="inlineStr">
        <is>
          <t>PLASTIC</t>
        </is>
      </c>
      <c r="C2" s="23" t="inlineStr">
        <is>
          <t>Plastic</t>
        </is>
      </c>
    </row>
    <row r="3">
      <c r="A3" s="23" t="n">
        <v>2</v>
      </c>
      <c r="B3" s="23" t="inlineStr">
        <is>
          <t>PAPER_CARDBOARD</t>
        </is>
      </c>
      <c r="C3" s="23" t="inlineStr">
        <is>
          <t>Paper and cardboard</t>
        </is>
      </c>
    </row>
    <row r="4">
      <c r="A4" s="23" t="n">
        <v>3</v>
      </c>
      <c r="B4" s="23" t="inlineStr">
        <is>
          <t>WOOD</t>
        </is>
      </c>
      <c r="C4" s="23" t="inlineStr">
        <is>
          <t>Wood</t>
        </is>
      </c>
    </row>
    <row r="5">
      <c r="A5" s="23" t="n">
        <v>4</v>
      </c>
      <c r="B5" s="23" t="inlineStr">
        <is>
          <t>FERROUS</t>
        </is>
      </c>
      <c r="C5" s="23" t="inlineStr">
        <is>
          <t>Ferrous metals</t>
        </is>
      </c>
    </row>
    <row r="6">
      <c r="A6" s="23" t="n">
        <v>5</v>
      </c>
      <c r="B6" s="23" t="inlineStr">
        <is>
          <t>ALUMINIUM</t>
        </is>
      </c>
      <c r="C6" s="23" t="inlineStr">
        <is>
          <t>Aluminium</t>
        </is>
      </c>
    </row>
    <row r="7">
      <c r="A7" s="23" t="n">
        <v>6</v>
      </c>
      <c r="B7" s="23" t="inlineStr">
        <is>
          <t>GLASS</t>
        </is>
      </c>
      <c r="C7" s="23" t="inlineStr">
        <is>
          <t>Glass</t>
        </is>
      </c>
    </row>
    <row r="8">
      <c r="A8" s="23" t="n">
        <v>7</v>
      </c>
      <c r="B8" s="23" t="inlineStr">
        <is>
          <t>OTHER</t>
        </is>
      </c>
      <c r="C8" s="23" t="inlineStr">
        <is>
          <t>Other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hyperlinks>
    <hyperlink xmlns:r="http://schemas.openxmlformats.org/officeDocument/2006/relationships" ref="E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22" customWidth="1" min="4" max="4"/>
    <col width="29" customWidth="1" min="5" max="5"/>
    <col width="16" customWidth="1" min="6" max="6"/>
    <col width="12" customWidth="1" min="7" max="7"/>
  </cols>
  <sheetData>
    <row r="1">
      <c r="A1" s="5" t="inlineStr">
        <is>
          <t>MATERIAL_ID</t>
        </is>
      </c>
      <c r="B1" s="5" t="inlineStr">
        <is>
          <t>MATERIAL_CODE</t>
        </is>
      </c>
      <c r="C1" s="5" t="inlineStr">
        <is>
          <t>MATERIAL_NAME</t>
        </is>
      </c>
      <c r="D1" s="5" t="inlineStr">
        <is>
          <t>MATERIAL_FAMILY_ID</t>
        </is>
      </c>
      <c r="E1" s="5" t="inlineStr">
        <is>
          <t>PPWR_MATERIAL_CATEGORY_ID</t>
        </is>
      </c>
      <c r="F1" s="5" t="inlineStr">
        <is>
          <t>IS_COMPOSITE</t>
        </is>
      </c>
      <c r="G1" s="5" t="inlineStr">
        <is>
          <t>NOTES</t>
        </is>
      </c>
      <c r="I1" s="36" t="inlineStr">
        <is>
          <t>Dashboard</t>
        </is>
      </c>
    </row>
    <row r="2">
      <c r="A2" s="23" t="n">
        <v>1</v>
      </c>
      <c r="B2" s="23" t="inlineStr">
        <is>
          <t>LDPE</t>
        </is>
      </c>
      <c r="C2" s="23" t="inlineStr">
        <is>
          <t>LDPE</t>
        </is>
      </c>
      <c r="D2" s="23" t="n">
        <v>1</v>
      </c>
      <c r="E2" s="23" t="n">
        <v>1</v>
      </c>
      <c r="F2" s="23" t="b">
        <v>0</v>
      </c>
      <c r="G2" s="23" t="n"/>
    </row>
    <row r="3">
      <c r="A3" s="23" t="n">
        <v>2</v>
      </c>
      <c r="B3" s="23" t="inlineStr">
        <is>
          <t>HDPE</t>
        </is>
      </c>
      <c r="C3" s="23" t="inlineStr">
        <is>
          <t>HDPE</t>
        </is>
      </c>
      <c r="D3" s="23" t="n">
        <v>1</v>
      </c>
      <c r="E3" s="23" t="n">
        <v>1</v>
      </c>
      <c r="F3" s="23" t="b">
        <v>0</v>
      </c>
      <c r="G3" s="23" t="n"/>
    </row>
    <row r="4">
      <c r="A4" s="23" t="n">
        <v>3</v>
      </c>
      <c r="B4" s="23" t="inlineStr">
        <is>
          <t>PP</t>
        </is>
      </c>
      <c r="C4" s="23" t="inlineStr">
        <is>
          <t>Polypropylene</t>
        </is>
      </c>
      <c r="D4" s="23" t="n">
        <v>1</v>
      </c>
      <c r="E4" s="23" t="n">
        <v>1</v>
      </c>
      <c r="F4" s="23" t="b">
        <v>0</v>
      </c>
      <c r="G4" s="23" t="n"/>
    </row>
    <row r="5">
      <c r="A5" s="23" t="n">
        <v>4</v>
      </c>
      <c r="B5" s="23" t="inlineStr">
        <is>
          <t>PET</t>
        </is>
      </c>
      <c r="C5" s="23" t="inlineStr">
        <is>
          <t>PET</t>
        </is>
      </c>
      <c r="D5" s="23" t="n">
        <v>1</v>
      </c>
      <c r="E5" s="23" t="n">
        <v>1</v>
      </c>
      <c r="F5" s="23" t="b">
        <v>0</v>
      </c>
      <c r="G5" s="23" t="n"/>
    </row>
    <row r="6">
      <c r="A6" s="23" t="n">
        <v>5</v>
      </c>
      <c r="B6" s="23" t="inlineStr">
        <is>
          <t>PAPER_BOARD</t>
        </is>
      </c>
      <c r="C6" s="23" t="inlineStr">
        <is>
          <t>Paperboard</t>
        </is>
      </c>
      <c r="D6" s="23" t="n">
        <v>2</v>
      </c>
      <c r="E6" s="23" t="n">
        <v>2</v>
      </c>
      <c r="F6" s="23" t="b">
        <v>0</v>
      </c>
      <c r="G6" s="23" t="n"/>
    </row>
    <row r="7">
      <c r="A7" s="23" t="n">
        <v>6</v>
      </c>
      <c r="B7" s="23" t="inlineStr">
        <is>
          <t>CORRUGATED</t>
        </is>
      </c>
      <c r="C7" s="23" t="inlineStr">
        <is>
          <t>Corrugated board</t>
        </is>
      </c>
      <c r="D7" s="23" t="n">
        <v>2</v>
      </c>
      <c r="E7" s="23" t="n">
        <v>2</v>
      </c>
      <c r="F7" s="23" t="b">
        <v>0</v>
      </c>
      <c r="G7" s="23" t="n"/>
    </row>
    <row r="8">
      <c r="A8" s="23" t="n">
        <v>7</v>
      </c>
      <c r="B8" s="23" t="inlineStr">
        <is>
          <t>WOOD</t>
        </is>
      </c>
      <c r="C8" s="23" t="inlineStr">
        <is>
          <t>Wood</t>
        </is>
      </c>
      <c r="D8" s="23" t="n">
        <v>3</v>
      </c>
      <c r="E8" s="23" t="n">
        <v>3</v>
      </c>
      <c r="F8" s="23" t="b">
        <v>0</v>
      </c>
      <c r="G8" s="23" t="n"/>
    </row>
    <row r="9">
      <c r="A9" s="23" t="n">
        <v>8</v>
      </c>
      <c r="B9" s="23" t="inlineStr">
        <is>
          <t>STEEL</t>
        </is>
      </c>
      <c r="C9" s="23" t="inlineStr">
        <is>
          <t>Steel</t>
        </is>
      </c>
      <c r="D9" s="23" t="n">
        <v>4</v>
      </c>
      <c r="E9" s="23" t="n">
        <v>4</v>
      </c>
      <c r="F9" s="23" t="b">
        <v>0</v>
      </c>
      <c r="G9" s="23" t="n"/>
    </row>
    <row r="10">
      <c r="A10" s="23" t="n">
        <v>9</v>
      </c>
      <c r="B10" s="23" t="inlineStr">
        <is>
          <t>ALUMINIUM</t>
        </is>
      </c>
      <c r="C10" s="23" t="inlineStr">
        <is>
          <t>Aluminium</t>
        </is>
      </c>
      <c r="D10" s="23" t="n">
        <v>4</v>
      </c>
      <c r="E10" s="23" t="n">
        <v>5</v>
      </c>
      <c r="F10" s="23" t="b">
        <v>0</v>
      </c>
      <c r="G10" s="23" t="n"/>
    </row>
    <row r="11">
      <c r="A11" s="23" t="n">
        <v>10</v>
      </c>
      <c r="B11" s="23" t="inlineStr">
        <is>
          <t>COMPOSITE</t>
        </is>
      </c>
      <c r="C11" s="23" t="inlineStr">
        <is>
          <t>Composite</t>
        </is>
      </c>
      <c r="D11" s="23" t="n">
        <v>5</v>
      </c>
      <c r="E11" s="23" t="n">
        <v>7</v>
      </c>
      <c r="F11" s="23" t="b">
        <v>1</v>
      </c>
      <c r="G11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dataValidations count="2">
    <dataValidation sqref="D2:D1048576" showDropDown="0" showInputMessage="0" showErrorMessage="1" allowBlank="1" errorTitle="Invalid FK" error="Value must exist in NR_MATERIAL_FAMILY_ID" promptTitle="Foreign Key" prompt="Select MATERIAL_FAMILY_ID from NR_MATERIAL_FAMILY_ID" type="list">
      <formula1>=NR_MATERIAL_FAMILY_ID</formula1>
    </dataValidation>
    <dataValidation sqref="E2:E1048576" showDropDown="0" showInputMessage="0" showErrorMessage="1" allowBlank="1" errorTitle="Invalid FK" error="Value must exist in NR_PPWR_MATERIAL_CATEGORY_ID" promptTitle="Foreign Key" prompt="Select PPWR_MATERIAL_CATEGORY_ID from NR_PPWR_MATERIAL_CATEGORY_ID" type="list">
      <formula1>=NR_PPWR_MATERIAL_CATEGORY_ID</formula1>
    </dataValidation>
  </dataValidations>
  <hyperlinks>
    <hyperlink xmlns:r="http://schemas.openxmlformats.org/officeDocument/2006/relationships" ref="I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</cols>
  <sheetData>
    <row r="1">
      <c r="A1" s="5" t="inlineStr">
        <is>
          <t>RECYCLABILITY_CLASS_ID</t>
        </is>
      </c>
      <c r="B1" s="5" t="inlineStr">
        <is>
          <t>RECYCLABILITY_CLASS_CODE</t>
        </is>
      </c>
      <c r="C1" s="5" t="inlineStr">
        <is>
          <t>RECYCLABILITY_CLASS_NAME</t>
        </is>
      </c>
      <c r="E1" s="36" t="inlineStr">
        <is>
          <t>Dashboard</t>
        </is>
      </c>
    </row>
    <row r="2">
      <c r="A2" s="23" t="n">
        <v>1</v>
      </c>
      <c r="B2" s="23" t="inlineStr">
        <is>
          <t>A</t>
        </is>
      </c>
      <c r="C2" s="23" t="inlineStr">
        <is>
          <t>Class A</t>
        </is>
      </c>
    </row>
    <row r="3">
      <c r="A3" s="23" t="n">
        <v>2</v>
      </c>
      <c r="B3" s="23" t="inlineStr">
        <is>
          <t>B</t>
        </is>
      </c>
      <c r="C3" s="23" t="inlineStr">
        <is>
          <t>Class B</t>
        </is>
      </c>
    </row>
    <row r="4">
      <c r="A4" s="23" t="n">
        <v>3</v>
      </c>
      <c r="B4" s="23" t="inlineStr">
        <is>
          <t>C</t>
        </is>
      </c>
      <c r="C4" s="23" t="inlineStr">
        <is>
          <t>Class C</t>
        </is>
      </c>
    </row>
    <row r="5">
      <c r="A5" s="23" t="n">
        <v>4</v>
      </c>
      <c r="B5" s="23" t="inlineStr">
        <is>
          <t>NOT_ASSESSED</t>
        </is>
      </c>
      <c r="C5" s="23" t="inlineStr">
        <is>
          <t>Not assessed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hyperlinks>
    <hyperlink xmlns:r="http://schemas.openxmlformats.org/officeDocument/2006/relationships" ref="E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</cols>
  <sheetData>
    <row r="1">
      <c r="A1" s="5" t="inlineStr">
        <is>
          <t>OWNERSHIP_TYPE_ID</t>
        </is>
      </c>
      <c r="B1" s="5" t="inlineStr">
        <is>
          <t>OWNERSHIP_TYPE_CODE</t>
        </is>
      </c>
      <c r="C1" s="5" t="inlineStr">
        <is>
          <t>OWNERSHIP_TYPE_NAME</t>
        </is>
      </c>
      <c r="E1" s="36" t="inlineStr">
        <is>
          <t>Dashboard</t>
        </is>
      </c>
    </row>
    <row r="2">
      <c r="A2" s="23" t="n">
        <v>1</v>
      </c>
      <c r="B2" s="23" t="inlineStr">
        <is>
          <t>DISPOSABLE</t>
        </is>
      </c>
      <c r="C2" s="23" t="inlineStr">
        <is>
          <t>Disposable</t>
        </is>
      </c>
    </row>
    <row r="3">
      <c r="A3" s="23" t="n">
        <v>2</v>
      </c>
      <c r="B3" s="23" t="inlineStr">
        <is>
          <t>COMPANY_RETURNABLE</t>
        </is>
      </c>
      <c r="C3" s="23" t="inlineStr">
        <is>
          <t>Company returnable</t>
        </is>
      </c>
    </row>
    <row r="4">
      <c r="A4" s="23" t="n">
        <v>3</v>
      </c>
      <c r="B4" s="23" t="inlineStr">
        <is>
          <t>CUSTOMER_RETURNABLE</t>
        </is>
      </c>
      <c r="C4" s="23" t="inlineStr">
        <is>
          <t>Customer returnable</t>
        </is>
      </c>
    </row>
    <row r="5">
      <c r="A5" s="23" t="n">
        <v>4</v>
      </c>
      <c r="B5" s="23" t="inlineStr">
        <is>
          <t>POOL</t>
        </is>
      </c>
      <c r="C5" s="23" t="inlineStr">
        <is>
          <t>Pool packaging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hyperlinks>
    <hyperlink xmlns:r="http://schemas.openxmlformats.org/officeDocument/2006/relationships" ref="E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</cols>
  <sheetData>
    <row r="1">
      <c r="A1" s="5" t="inlineStr">
        <is>
          <t>TRANSPORT_UNIT_TYPE_ID</t>
        </is>
      </c>
      <c r="B1" s="5" t="inlineStr">
        <is>
          <t>TRANSPORT_UNIT_TYPE_CODE</t>
        </is>
      </c>
      <c r="C1" s="5" t="inlineStr">
        <is>
          <t>TRANSPORT_UNIT_TYPE_NAME</t>
        </is>
      </c>
      <c r="E1" s="36" t="inlineStr">
        <is>
          <t>Dashboard</t>
        </is>
      </c>
    </row>
    <row r="2">
      <c r="A2" s="23" t="n">
        <v>1</v>
      </c>
      <c r="B2" s="23" t="inlineStr">
        <is>
          <t>PIECE_PACK</t>
        </is>
      </c>
      <c r="C2" s="23" t="inlineStr">
        <is>
          <t>Piece pack</t>
        </is>
      </c>
    </row>
    <row r="3">
      <c r="A3" s="23" t="n">
        <v>2</v>
      </c>
      <c r="B3" s="23" t="inlineStr">
        <is>
          <t>PALLET</t>
        </is>
      </c>
      <c r="C3" s="23" t="inlineStr">
        <is>
          <t>Pallet</t>
        </is>
      </c>
    </row>
    <row r="4">
      <c r="A4" s="23" t="n">
        <v>3</v>
      </c>
      <c r="B4" s="23" t="inlineStr">
        <is>
          <t>CONTAINER</t>
        </is>
      </c>
      <c r="C4" s="23" t="inlineStr">
        <is>
          <t>Container</t>
        </is>
      </c>
    </row>
    <row r="5">
      <c r="A5" s="23" t="n">
        <v>4</v>
      </c>
      <c r="B5" s="23" t="inlineStr">
        <is>
          <t>TRUCK</t>
        </is>
      </c>
      <c r="C5" s="23" t="inlineStr">
        <is>
          <t>Truck</t>
        </is>
      </c>
    </row>
    <row r="6">
      <c r="A6" s="23" t="n">
        <v>5</v>
      </c>
      <c r="B6" s="23" t="inlineStr">
        <is>
          <t>STILLAGE</t>
        </is>
      </c>
      <c r="C6" s="23" t="inlineStr">
        <is>
          <t>Stillage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hyperlinks>
    <hyperlink xmlns:r="http://schemas.openxmlformats.org/officeDocument/2006/relationships" ref="E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>
      <c r="A1" s="5" t="inlineStr">
        <is>
          <t>LINE_ROLE_ID</t>
        </is>
      </c>
      <c r="B1" s="5" t="inlineStr">
        <is>
          <t>LINE_ROLE_CODE</t>
        </is>
      </c>
      <c r="C1" s="5" t="inlineStr">
        <is>
          <t>LINE_ROLE_NAME</t>
        </is>
      </c>
      <c r="E1" s="36" t="inlineStr">
        <is>
          <t>Dashboard</t>
        </is>
      </c>
    </row>
    <row r="2">
      <c r="A2" s="23" t="n">
        <v>1</v>
      </c>
      <c r="B2" s="23" t="inlineStr">
        <is>
          <t>BASE</t>
        </is>
      </c>
      <c r="C2" s="23" t="inlineStr">
        <is>
          <t>Base</t>
        </is>
      </c>
    </row>
    <row r="3">
      <c r="A3" s="23" t="n">
        <v>2</v>
      </c>
      <c r="B3" s="23" t="inlineStr">
        <is>
          <t>PALLET</t>
        </is>
      </c>
      <c r="C3" s="23" t="inlineStr">
        <is>
          <t>Pallet</t>
        </is>
      </c>
    </row>
    <row r="4">
      <c r="A4" s="23" t="n">
        <v>3</v>
      </c>
      <c r="B4" s="23" t="inlineStr">
        <is>
          <t>WRAP</t>
        </is>
      </c>
      <c r="C4" s="23" t="inlineStr">
        <is>
          <t>Wrap</t>
        </is>
      </c>
    </row>
    <row r="5">
      <c r="A5" s="23" t="n">
        <v>4</v>
      </c>
      <c r="B5" s="23" t="inlineStr">
        <is>
          <t>CORNER</t>
        </is>
      </c>
      <c r="C5" s="23" t="inlineStr">
        <is>
          <t>Corner</t>
        </is>
      </c>
    </row>
    <row r="6">
      <c r="A6" s="23" t="n">
        <v>5</v>
      </c>
      <c r="B6" s="23" t="inlineStr">
        <is>
          <t>LAYER_PAD</t>
        </is>
      </c>
      <c r="C6" s="23" t="inlineStr">
        <is>
          <t>Layer pad</t>
        </is>
      </c>
    </row>
    <row r="7">
      <c r="A7" s="23" t="n">
        <v>6</v>
      </c>
      <c r="B7" s="23" t="inlineStr">
        <is>
          <t>LABEL</t>
        </is>
      </c>
      <c r="C7" s="23" t="inlineStr">
        <is>
          <t>Label</t>
        </is>
      </c>
    </row>
    <row r="8">
      <c r="A8" s="23" t="n">
        <v>7</v>
      </c>
      <c r="B8" s="23" t="inlineStr">
        <is>
          <t>DUNNAGE</t>
        </is>
      </c>
      <c r="C8" s="23" t="inlineStr">
        <is>
          <t>Dunnage</t>
        </is>
      </c>
    </row>
    <row r="9">
      <c r="A9" s="23" t="n">
        <v>8</v>
      </c>
      <c r="B9" s="23" t="inlineStr">
        <is>
          <t>AIRBAG</t>
        </is>
      </c>
      <c r="C9" s="23" t="inlineStr">
        <is>
          <t>Airbag</t>
        </is>
      </c>
    </row>
    <row r="10">
      <c r="A10" s="23" t="n">
        <v>9</v>
      </c>
      <c r="B10" s="23" t="inlineStr">
        <is>
          <t>LINER</t>
        </is>
      </c>
      <c r="C10" s="23" t="inlineStr">
        <is>
          <t>Liner</t>
        </is>
      </c>
    </row>
    <row r="11">
      <c r="A11" s="23" t="n">
        <v>10</v>
      </c>
      <c r="B11" s="23" t="inlineStr">
        <is>
          <t>LASHING</t>
        </is>
      </c>
      <c r="C11" s="23" t="inlineStr">
        <is>
          <t>Lashing</t>
        </is>
      </c>
    </row>
    <row r="12">
      <c r="A12" s="23" t="n">
        <v>11</v>
      </c>
      <c r="B12" s="23" t="inlineStr">
        <is>
          <t>OTHER</t>
        </is>
      </c>
      <c r="C12" s="23" t="inlineStr">
        <is>
          <t>Other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hyperlinks>
    <hyperlink xmlns:r="http://schemas.openxmlformats.org/officeDocument/2006/relationships" ref="E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25" customWidth="1" min="3" max="3"/>
  </cols>
  <sheetData>
    <row r="1">
      <c r="A1" s="5" t="inlineStr">
        <is>
          <t>PRODUCT_CATEGORY_ID</t>
        </is>
      </c>
      <c r="B1" s="5" t="inlineStr">
        <is>
          <t>PRODUCT_CATEGORY_CODE</t>
        </is>
      </c>
      <c r="C1" s="5" t="inlineStr">
        <is>
          <t>PRODUCT_CATEGORY_NAME</t>
        </is>
      </c>
      <c r="E1" s="36" t="inlineStr">
        <is>
          <t>Dashboard</t>
        </is>
      </c>
    </row>
    <row r="2">
      <c r="A2" s="23" t="n">
        <v>1</v>
      </c>
      <c r="B2" s="23" t="inlineStr">
        <is>
          <t>STARTER_BATTERY</t>
        </is>
      </c>
      <c r="C2" s="23" t="inlineStr">
        <is>
          <t>Starter Battery</t>
        </is>
      </c>
    </row>
    <row r="3">
      <c r="A3" s="23" t="n">
        <v>2</v>
      </c>
      <c r="B3" s="23" t="inlineStr">
        <is>
          <t>INDUSTRIAL_BATTERY</t>
        </is>
      </c>
      <c r="C3" s="23" t="inlineStr">
        <is>
          <t>Industrial Battery</t>
        </is>
      </c>
    </row>
    <row r="4">
      <c r="A4" s="23" t="n">
        <v>3</v>
      </c>
      <c r="B4" s="23" t="inlineStr">
        <is>
          <t>OTHER</t>
        </is>
      </c>
      <c r="C4" s="23" t="inlineStr">
        <is>
          <t>Other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hyperlinks>
    <hyperlink xmlns:r="http://schemas.openxmlformats.org/officeDocument/2006/relationships" ref="E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16" customWidth="1" min="5" max="5"/>
  </cols>
  <sheetData>
    <row r="1">
      <c r="A1" s="5" t="inlineStr">
        <is>
          <t>COUNTRY_ID</t>
        </is>
      </c>
      <c r="B1" s="5" t="inlineStr">
        <is>
          <t>ISO2</t>
        </is>
      </c>
      <c r="C1" s="5" t="inlineStr">
        <is>
          <t>ISO3</t>
        </is>
      </c>
      <c r="D1" s="5" t="inlineStr">
        <is>
          <t>COUNTRY_NAME</t>
        </is>
      </c>
      <c r="E1" s="5" t="inlineStr">
        <is>
          <t>IS_EU_MARKET</t>
        </is>
      </c>
      <c r="G1" s="36" t="inlineStr">
        <is>
          <t>Dashboard</t>
        </is>
      </c>
    </row>
    <row r="2">
      <c r="A2" s="23" t="n">
        <v>1</v>
      </c>
      <c r="B2" s="23" t="inlineStr">
        <is>
          <t>TR</t>
        </is>
      </c>
      <c r="C2" s="23" t="inlineStr">
        <is>
          <t>TUR</t>
        </is>
      </c>
      <c r="D2" s="23" t="inlineStr">
        <is>
          <t>Türkiye</t>
        </is>
      </c>
      <c r="E2" s="23" t="b">
        <v>0</v>
      </c>
    </row>
    <row r="3">
      <c r="A3" s="23" t="n">
        <v>2</v>
      </c>
      <c r="B3" s="23" t="inlineStr">
        <is>
          <t>DE</t>
        </is>
      </c>
      <c r="C3" s="23" t="inlineStr">
        <is>
          <t>DEU</t>
        </is>
      </c>
      <c r="D3" s="23" t="inlineStr">
        <is>
          <t>Germany</t>
        </is>
      </c>
      <c r="E3" s="23" t="b">
        <v>1</v>
      </c>
    </row>
    <row r="4">
      <c r="A4" s="23" t="n">
        <v>3</v>
      </c>
      <c r="B4" s="23" t="inlineStr">
        <is>
          <t>FR</t>
        </is>
      </c>
      <c r="C4" s="23" t="inlineStr">
        <is>
          <t>FRA</t>
        </is>
      </c>
      <c r="D4" s="23" t="inlineStr">
        <is>
          <t>France</t>
        </is>
      </c>
      <c r="E4" s="23" t="b">
        <v>1</v>
      </c>
    </row>
    <row r="5">
      <c r="A5" s="23" t="n">
        <v>4</v>
      </c>
      <c r="B5" s="23" t="inlineStr">
        <is>
          <t>IT</t>
        </is>
      </c>
      <c r="C5" s="23" t="inlineStr">
        <is>
          <t>ITA</t>
        </is>
      </c>
      <c r="D5" s="23" t="inlineStr">
        <is>
          <t>Italy</t>
        </is>
      </c>
      <c r="E5" s="23" t="b">
        <v>1</v>
      </c>
    </row>
    <row r="6">
      <c r="A6" s="23" t="n">
        <v>5</v>
      </c>
      <c r="B6" s="23" t="inlineStr">
        <is>
          <t>ES</t>
        </is>
      </c>
      <c r="C6" s="23" t="inlineStr">
        <is>
          <t>ESP</t>
        </is>
      </c>
      <c r="D6" s="23" t="inlineStr">
        <is>
          <t>Spain</t>
        </is>
      </c>
      <c r="E6" s="23" t="b">
        <v>1</v>
      </c>
    </row>
    <row r="7">
      <c r="A7" s="23" t="n">
        <v>6</v>
      </c>
      <c r="B7" s="23" t="inlineStr">
        <is>
          <t>NL</t>
        </is>
      </c>
      <c r="C7" s="23" t="inlineStr">
        <is>
          <t>NLD</t>
        </is>
      </c>
      <c r="D7" s="23" t="inlineStr">
        <is>
          <t>Netherlands</t>
        </is>
      </c>
      <c r="E7" s="23" t="b">
        <v>1</v>
      </c>
    </row>
    <row r="8">
      <c r="A8" s="23" t="n">
        <v>7</v>
      </c>
      <c r="B8" s="23" t="inlineStr">
        <is>
          <t>BE</t>
        </is>
      </c>
      <c r="C8" s="23" t="inlineStr">
        <is>
          <t>BEL</t>
        </is>
      </c>
      <c r="D8" s="23" t="inlineStr">
        <is>
          <t>Belgium</t>
        </is>
      </c>
      <c r="E8" s="23" t="b">
        <v>1</v>
      </c>
    </row>
    <row r="9">
      <c r="A9" s="23" t="n">
        <v>8</v>
      </c>
      <c r="B9" s="23" t="inlineStr">
        <is>
          <t>AT</t>
        </is>
      </c>
      <c r="C9" s="23" t="inlineStr">
        <is>
          <t>AUT</t>
        </is>
      </c>
      <c r="D9" s="23" t="inlineStr">
        <is>
          <t>Austria</t>
        </is>
      </c>
      <c r="E9" s="23" t="b">
        <v>1</v>
      </c>
    </row>
    <row r="10">
      <c r="A10" s="23" t="n">
        <v>9</v>
      </c>
      <c r="B10" s="23" t="inlineStr">
        <is>
          <t>PL</t>
        </is>
      </c>
      <c r="C10" s="23" t="inlineStr">
        <is>
          <t>POL</t>
        </is>
      </c>
      <c r="D10" s="23" t="inlineStr">
        <is>
          <t>Poland</t>
        </is>
      </c>
      <c r="E10" s="23" t="b">
        <v>1</v>
      </c>
    </row>
    <row r="11">
      <c r="A11" s="23" t="n">
        <v>10</v>
      </c>
      <c r="B11" s="23" t="inlineStr">
        <is>
          <t>GB</t>
        </is>
      </c>
      <c r="C11" s="23" t="inlineStr">
        <is>
          <t>GBR</t>
        </is>
      </c>
      <c r="D11" s="23" t="inlineStr">
        <is>
          <t>United Kingdom</t>
        </is>
      </c>
      <c r="E11" s="23" t="b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hyperlinks>
    <hyperlink xmlns:r="http://schemas.openxmlformats.org/officeDocument/2006/relationships" ref="G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</cols>
  <sheetData>
    <row r="1">
      <c r="A1" s="5" t="inlineStr">
        <is>
          <t>TRANSPORT_MODE_ID</t>
        </is>
      </c>
      <c r="B1" s="5" t="inlineStr">
        <is>
          <t>TRANSPORT_MODE_CODE</t>
        </is>
      </c>
      <c r="C1" s="5" t="inlineStr">
        <is>
          <t>TRANSPORT_MODE_NAME</t>
        </is>
      </c>
      <c r="E1" s="36" t="inlineStr">
        <is>
          <t>Dashboard</t>
        </is>
      </c>
    </row>
    <row r="2">
      <c r="A2" s="23" t="n">
        <v>1</v>
      </c>
      <c r="B2" s="23" t="inlineStr">
        <is>
          <t>ROAD</t>
        </is>
      </c>
      <c r="C2" s="23" t="inlineStr">
        <is>
          <t>Road</t>
        </is>
      </c>
    </row>
    <row r="3">
      <c r="A3" s="23" t="n">
        <v>2</v>
      </c>
      <c r="B3" s="23" t="inlineStr">
        <is>
          <t>SEA</t>
        </is>
      </c>
      <c r="C3" s="23" t="inlineStr">
        <is>
          <t>Sea</t>
        </is>
      </c>
    </row>
    <row r="4">
      <c r="A4" s="23" t="n">
        <v>3</v>
      </c>
      <c r="B4" s="23" t="inlineStr">
        <is>
          <t>AIR</t>
        </is>
      </c>
      <c r="C4" s="23" t="inlineStr">
        <is>
          <t>Air</t>
        </is>
      </c>
    </row>
    <row r="5">
      <c r="A5" s="23" t="n">
        <v>4</v>
      </c>
      <c r="B5" s="23" t="inlineStr">
        <is>
          <t>RAIL</t>
        </is>
      </c>
      <c r="C5" s="23" t="inlineStr">
        <is>
          <t>Rail</t>
        </is>
      </c>
    </row>
    <row r="6">
      <c r="A6" s="23" t="n">
        <v>5</v>
      </c>
      <c r="B6" s="23" t="inlineStr">
        <is>
          <t>MULTI</t>
        </is>
      </c>
      <c r="C6" s="23" t="inlineStr">
        <is>
          <t>Multimodal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hyperlinks>
    <hyperlink xmlns:r="http://schemas.openxmlformats.org/officeDocument/2006/relationships" ref="E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</cols>
  <sheetData>
    <row r="1">
      <c r="A1" s="5" t="inlineStr">
        <is>
          <t>INCOTERM_ID</t>
        </is>
      </c>
      <c r="B1" s="5" t="inlineStr">
        <is>
          <t>INCOTERM_CODE</t>
        </is>
      </c>
      <c r="C1" s="5" t="inlineStr">
        <is>
          <t>INCOTERM_NAME</t>
        </is>
      </c>
      <c r="E1" s="36" t="inlineStr">
        <is>
          <t>Dashboard</t>
        </is>
      </c>
    </row>
    <row r="2">
      <c r="A2" s="23" t="n">
        <v>1</v>
      </c>
      <c r="B2" s="23" t="inlineStr">
        <is>
          <t>EXW</t>
        </is>
      </c>
      <c r="C2" s="23" t="inlineStr">
        <is>
          <t>Ex Works</t>
        </is>
      </c>
    </row>
    <row r="3">
      <c r="A3" s="23" t="n">
        <v>2</v>
      </c>
      <c r="B3" s="23" t="inlineStr">
        <is>
          <t>FCA</t>
        </is>
      </c>
      <c r="C3" s="23" t="inlineStr">
        <is>
          <t>Free Carrier</t>
        </is>
      </c>
    </row>
    <row r="4">
      <c r="A4" s="23" t="n">
        <v>3</v>
      </c>
      <c r="B4" s="23" t="inlineStr">
        <is>
          <t>FOB</t>
        </is>
      </c>
      <c r="C4" s="23" t="inlineStr">
        <is>
          <t>Free On Board</t>
        </is>
      </c>
    </row>
    <row r="5">
      <c r="A5" s="23" t="n">
        <v>4</v>
      </c>
      <c r="B5" s="23" t="inlineStr">
        <is>
          <t>CIF</t>
        </is>
      </c>
      <c r="C5" s="23" t="inlineStr">
        <is>
          <t>Cost Insurance Freight</t>
        </is>
      </c>
    </row>
    <row r="6">
      <c r="A6" s="23" t="n">
        <v>5</v>
      </c>
      <c r="B6" s="23" t="inlineStr">
        <is>
          <t>DAP</t>
        </is>
      </c>
      <c r="C6" s="23" t="inlineStr">
        <is>
          <t>Delivered At Place</t>
        </is>
      </c>
    </row>
    <row r="7">
      <c r="A7" s="23" t="n">
        <v>6</v>
      </c>
      <c r="B7" s="23" t="inlineStr">
        <is>
          <t>DDP</t>
        </is>
      </c>
      <c r="C7" s="23" t="inlineStr">
        <is>
          <t>Delivered Duty Paid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hyperlinks>
    <hyperlink xmlns:r="http://schemas.openxmlformats.org/officeDocument/2006/relationships" ref="E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</cols>
  <sheetData>
    <row r="1">
      <c r="A1" s="5" t="inlineStr">
        <is>
          <t>STATEMENT_TYPE_ID</t>
        </is>
      </c>
      <c r="B1" s="5" t="inlineStr">
        <is>
          <t>STATEMENT_TYPE_CODE</t>
        </is>
      </c>
      <c r="C1" s="5" t="inlineStr">
        <is>
          <t>STATEMENT_TYPE_NAME</t>
        </is>
      </c>
      <c r="E1" s="36" t="inlineStr">
        <is>
          <t>Dashboard</t>
        </is>
      </c>
    </row>
    <row r="2">
      <c r="A2" s="23" t="n">
        <v>1</v>
      </c>
      <c r="B2" s="23" t="inlineStr">
        <is>
          <t>ANNUAL_MARKET</t>
        </is>
      </c>
      <c r="C2" s="23" t="inlineStr">
        <is>
          <t>Annual market statement</t>
        </is>
      </c>
    </row>
    <row r="3">
      <c r="A3" s="23" t="n">
        <v>2</v>
      </c>
      <c r="B3" s="23" t="inlineStr">
        <is>
          <t>QUARTERLY</t>
        </is>
      </c>
      <c r="C3" s="23" t="inlineStr">
        <is>
          <t>Quarterly statement</t>
        </is>
      </c>
    </row>
    <row r="4">
      <c r="A4" s="23" t="n">
        <v>3</v>
      </c>
      <c r="B4" s="23" t="inlineStr">
        <is>
          <t>INTERNAL_AUDIT</t>
        </is>
      </c>
      <c r="C4" s="23" t="inlineStr">
        <is>
          <t>Internal audit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hyperlinks>
    <hyperlink xmlns:r="http://schemas.openxmlformats.org/officeDocument/2006/relationships" ref="E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</cols>
  <sheetData>
    <row r="1">
      <c r="A1" s="5" t="inlineStr">
        <is>
          <t>DOCUMENT_TYPE_ID</t>
        </is>
      </c>
      <c r="B1" s="5" t="inlineStr">
        <is>
          <t>DOCUMENT_TYPE_CODE</t>
        </is>
      </c>
      <c r="C1" s="5" t="inlineStr">
        <is>
          <t>DOCUMENT_TYPE_NAME</t>
        </is>
      </c>
      <c r="E1" s="36" t="inlineStr">
        <is>
          <t>Dashboard</t>
        </is>
      </c>
    </row>
    <row r="2">
      <c r="A2" s="23" t="n">
        <v>1</v>
      </c>
      <c r="B2" s="23" t="inlineStr">
        <is>
          <t>TECH_FILE</t>
        </is>
      </c>
      <c r="C2" s="23" t="inlineStr">
        <is>
          <t>Technical File</t>
        </is>
      </c>
    </row>
    <row r="3">
      <c r="A3" s="23" t="n">
        <v>2</v>
      </c>
      <c r="B3" s="23" t="inlineStr">
        <is>
          <t>TEST_REPORT</t>
        </is>
      </c>
      <c r="C3" s="23" t="inlineStr">
        <is>
          <t>Test Report</t>
        </is>
      </c>
    </row>
    <row r="4">
      <c r="A4" s="23" t="n">
        <v>3</v>
      </c>
      <c r="B4" s="23" t="inlineStr">
        <is>
          <t>SPEC</t>
        </is>
      </c>
      <c r="C4" s="23" t="inlineStr">
        <is>
          <t>Specification</t>
        </is>
      </c>
    </row>
    <row r="5">
      <c r="A5" s="23" t="n">
        <v>4</v>
      </c>
      <c r="B5" s="23" t="inlineStr">
        <is>
          <t>DOC_PDF</t>
        </is>
      </c>
      <c r="C5" s="23" t="inlineStr">
        <is>
          <t>Declaration PDF</t>
        </is>
      </c>
    </row>
    <row r="6">
      <c r="A6" s="23" t="n">
        <v>5</v>
      </c>
      <c r="B6" s="23" t="inlineStr">
        <is>
          <t>CERTIFICATE</t>
        </is>
      </c>
      <c r="C6" s="23" t="inlineStr">
        <is>
          <t>Certificate</t>
        </is>
      </c>
    </row>
    <row r="7">
      <c r="A7" s="23" t="n">
        <v>6</v>
      </c>
      <c r="B7" s="23" t="inlineStr">
        <is>
          <t>OTHER</t>
        </is>
      </c>
      <c r="C7" s="23" t="inlineStr">
        <is>
          <t>Other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hyperlinks>
    <hyperlink xmlns:r="http://schemas.openxmlformats.org/officeDocument/2006/relationships" ref="E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</cols>
  <sheetData>
    <row r="1">
      <c r="A1" s="5" t="inlineStr">
        <is>
          <t>SCENARIO_TYPE_ID</t>
        </is>
      </c>
      <c r="B1" s="5" t="inlineStr">
        <is>
          <t>SCENARIO_TYPE_CODE</t>
        </is>
      </c>
      <c r="C1" s="5" t="inlineStr">
        <is>
          <t>SCENARIO_TYPE_NAME</t>
        </is>
      </c>
      <c r="E1" s="36" t="inlineStr">
        <is>
          <t>Dashboard</t>
        </is>
      </c>
    </row>
    <row r="2">
      <c r="A2" s="23" t="n">
        <v>1</v>
      </c>
      <c r="B2" s="23" t="inlineStr">
        <is>
          <t>ENGINEERING_DEFAULT</t>
        </is>
      </c>
      <c r="C2" s="23" t="inlineStr">
        <is>
          <t>Engineering default</t>
        </is>
      </c>
    </row>
    <row r="3">
      <c r="A3" s="23" t="n">
        <v>2</v>
      </c>
      <c r="B3" s="23" t="inlineStr">
        <is>
          <t>CUSTOMER</t>
        </is>
      </c>
      <c r="C3" s="23" t="inlineStr">
        <is>
          <t>Customer scenario</t>
        </is>
      </c>
    </row>
    <row r="4">
      <c r="A4" s="23" t="n">
        <v>3</v>
      </c>
      <c r="B4" s="23" t="inlineStr">
        <is>
          <t>EXPORT</t>
        </is>
      </c>
      <c r="C4" s="23" t="inlineStr">
        <is>
          <t>Export scenario</t>
        </is>
      </c>
    </row>
    <row r="5">
      <c r="A5" s="23" t="n">
        <v>4</v>
      </c>
      <c r="B5" s="23" t="inlineStr">
        <is>
          <t>INTERNAL</t>
        </is>
      </c>
      <c r="C5" s="23" t="inlineStr">
        <is>
          <t>Internal</t>
        </is>
      </c>
    </row>
    <row r="6">
      <c r="A6" s="23" t="n">
        <v>5</v>
      </c>
      <c r="B6" s="23" t="inlineStr">
        <is>
          <t>SAMPLE</t>
        </is>
      </c>
      <c r="C6" s="23" t="inlineStr">
        <is>
          <t>Sample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hyperlinks>
    <hyperlink xmlns:r="http://schemas.openxmlformats.org/officeDocument/2006/relationships" ref="E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14" customWidth="1" min="4" max="4"/>
    <col width="13" customWidth="1" min="5" max="5"/>
    <col width="12" customWidth="1" min="6" max="6"/>
  </cols>
  <sheetData>
    <row r="1">
      <c r="A1" s="5" t="inlineStr">
        <is>
          <t>LEGAL_ENTITY_ID</t>
        </is>
      </c>
      <c r="B1" s="5" t="inlineStr">
        <is>
          <t>LEGAL_ENTITY_CODE</t>
        </is>
      </c>
      <c r="C1" s="5" t="inlineStr">
        <is>
          <t>LEGAL_ENTITY_NAME</t>
        </is>
      </c>
      <c r="D1" s="5" t="inlineStr">
        <is>
          <t>COUNTRY_ID</t>
        </is>
      </c>
      <c r="E1" s="5" t="inlineStr">
        <is>
          <t>STATUS_ID</t>
        </is>
      </c>
      <c r="F1" s="5" t="inlineStr">
        <is>
          <t>NOTES</t>
        </is>
      </c>
      <c r="H1" s="36" t="inlineStr">
        <is>
          <t>Dashboard</t>
        </is>
      </c>
    </row>
    <row r="2">
      <c r="A2" s="23" t="n">
        <v>1</v>
      </c>
      <c r="B2" s="23" t="inlineStr">
        <is>
          <t>INCI_AKU</t>
        </is>
      </c>
      <c r="C2" s="23" t="inlineStr">
        <is>
          <t>İnci Akü Sanayi ve Ticaret A.Ş.</t>
        </is>
      </c>
      <c r="D2" s="23" t="n">
        <v>1</v>
      </c>
      <c r="E2" s="23" t="n">
        <v>2</v>
      </c>
      <c r="F2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dataValidations count="2">
    <dataValidation sqref="D2:D1048576" showDropDown="0" showInputMessage="0" showErrorMessage="1" allowBlank="1" errorTitle="Invalid FK" error="Value must exist in NR_COUNTRY_ID" promptTitle="Foreign Key" prompt="Select COUNTRY_ID from NR_COUNTRY_ID" type="list">
      <formula1>=NR_COUNTRY_ID</formula1>
    </dataValidation>
    <dataValidation sqref="E2:E1048576" showDropDown="0" showInputMessage="0" showErrorMessage="1" allowBlank="1" errorTitle="Invalid FK" error="Value must exist in NR_STATUS_ID" promptTitle="Foreign Key" prompt="Select STATUS_ID from NR_STATUS_ID" type="list">
      <formula1>=NR_STATUS_ID</formula1>
    </dataValidation>
  </dataValidations>
  <hyperlinks>
    <hyperlink xmlns:r="http://schemas.openxmlformats.org/officeDocument/2006/relationships" ref="H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2" customWidth="1" min="4" max="4"/>
    <col width="13" customWidth="1" min="5" max="5"/>
    <col width="13" customWidth="1" min="6" max="6"/>
  </cols>
  <sheetData>
    <row r="1">
      <c r="A1" s="5" t="inlineStr">
        <is>
          <t>PERSON_ID</t>
        </is>
      </c>
      <c r="B1" s="5" t="inlineStr">
        <is>
          <t>PERSON_CODE</t>
        </is>
      </c>
      <c r="C1" s="5" t="inlineStr">
        <is>
          <t>FULL_NAME</t>
        </is>
      </c>
      <c r="D1" s="5" t="inlineStr">
        <is>
          <t>EMAIL</t>
        </is>
      </c>
      <c r="E1" s="5" t="inlineStr">
        <is>
          <t>JOB_TITLE</t>
        </is>
      </c>
      <c r="F1" s="5" t="inlineStr">
        <is>
          <t>STATUS_ID</t>
        </is>
      </c>
      <c r="H1" s="36" t="inlineStr">
        <is>
          <t>Dashboard</t>
        </is>
      </c>
    </row>
    <row r="2">
      <c r="A2" s="23" t="n">
        <v>1</v>
      </c>
      <c r="B2" s="23" t="inlineStr">
        <is>
          <t>P-COMPLIANCE</t>
        </is>
      </c>
      <c r="C2" s="23" t="inlineStr">
        <is>
          <t>PPWR Compliance Officer</t>
        </is>
      </c>
      <c r="D2" s="23" t="inlineStr">
        <is>
          <t>compliance@inciaku.example</t>
        </is>
      </c>
      <c r="E2" s="23" t="inlineStr">
        <is>
          <t>Compliance Officer</t>
        </is>
      </c>
      <c r="F2" s="23" t="n">
        <v>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dataValidations count="1">
    <dataValidation sqref="F2:F1048576" showDropDown="0" showInputMessage="0" showErrorMessage="1" allowBlank="1" errorTitle="Invalid FK" error="Value must exist in NR_STATUS_ID" promptTitle="Foreign Key" prompt="Select STATUS_ID from NR_STATUS_ID" type="list">
      <formula1>=NR_STATUS_ID</formula1>
    </dataValidation>
  </dataValidations>
  <hyperlinks>
    <hyperlink xmlns:r="http://schemas.openxmlformats.org/officeDocument/2006/relationships" ref="H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14" customWidth="1" min="4" max="4"/>
    <col width="13" customWidth="1" min="5" max="5"/>
    <col width="16" customWidth="1" min="6" max="6"/>
    <col width="12" customWidth="1" min="7" max="7"/>
  </cols>
  <sheetData>
    <row r="1">
      <c r="A1" s="5" t="inlineStr">
        <is>
          <t>SUPPLIER_ID</t>
        </is>
      </c>
      <c r="B1" s="5" t="inlineStr">
        <is>
          <t>SUPPLIER_CODE</t>
        </is>
      </c>
      <c r="C1" s="5" t="inlineStr">
        <is>
          <t>SUPPLIER_NAME</t>
        </is>
      </c>
      <c r="D1" s="5" t="inlineStr">
        <is>
          <t>COUNTRY_ID</t>
        </is>
      </c>
      <c r="E1" s="5" t="inlineStr">
        <is>
          <t>STATUS_ID</t>
        </is>
      </c>
      <c r="F1" s="5" t="inlineStr">
        <is>
          <t>EXTERNAL_REF</t>
        </is>
      </c>
      <c r="G1" s="5" t="inlineStr">
        <is>
          <t>NOTES</t>
        </is>
      </c>
      <c r="I1" s="36" t="inlineStr">
        <is>
          <t>Dashboard</t>
        </is>
      </c>
    </row>
    <row r="2">
      <c r="A2" s="23" t="n"/>
      <c r="B2" s="23" t="n"/>
      <c r="C2" s="23" t="n"/>
      <c r="D2" s="23" t="n"/>
      <c r="E2" s="23" t="n"/>
      <c r="F2" s="23" t="n"/>
      <c r="G2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dataValidations count="2">
    <dataValidation sqref="D2:D1048576" showDropDown="0" showInputMessage="0" showErrorMessage="1" allowBlank="1" errorTitle="Invalid FK" error="Value must exist in NR_COUNTRY_ID" promptTitle="Foreign Key" prompt="Select COUNTRY_ID from NR_COUNTRY_ID" type="list">
      <formula1>=NR_COUNTRY_ID</formula1>
    </dataValidation>
    <dataValidation sqref="E2:E1048576" showDropDown="0" showInputMessage="0" showErrorMessage="1" allowBlank="1" errorTitle="Invalid FK" error="Value must exist in NR_STATUS_ID" promptTitle="Foreign Key" prompt="Select STATUS_ID from NR_STATUS_ID" type="list">
      <formula1>=NR_STATUS_ID</formula1>
    </dataValidation>
  </dataValidations>
  <hyperlinks>
    <hyperlink xmlns:r="http://schemas.openxmlformats.org/officeDocument/2006/relationships" ref="I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14" customWidth="1" min="4" max="4"/>
    <col width="13" customWidth="1" min="5" max="5"/>
    <col width="16" customWidth="1" min="6" max="6"/>
    <col width="12" customWidth="1" min="7" max="7"/>
  </cols>
  <sheetData>
    <row r="1">
      <c r="A1" s="5" t="inlineStr">
        <is>
          <t>CUSTOMER_ID</t>
        </is>
      </c>
      <c r="B1" s="5" t="inlineStr">
        <is>
          <t>CUSTOMER_CODE</t>
        </is>
      </c>
      <c r="C1" s="5" t="inlineStr">
        <is>
          <t>CUSTOMER_NAME</t>
        </is>
      </c>
      <c r="D1" s="5" t="inlineStr">
        <is>
          <t>COUNTRY_ID</t>
        </is>
      </c>
      <c r="E1" s="5" t="inlineStr">
        <is>
          <t>STATUS_ID</t>
        </is>
      </c>
      <c r="F1" s="5" t="inlineStr">
        <is>
          <t>EXTERNAL_REF</t>
        </is>
      </c>
      <c r="G1" s="5" t="inlineStr">
        <is>
          <t>NOTES</t>
        </is>
      </c>
      <c r="I1" s="36" t="inlineStr">
        <is>
          <t>Dashboard</t>
        </is>
      </c>
    </row>
    <row r="2">
      <c r="A2" s="23" t="n"/>
      <c r="B2" s="23" t="n"/>
      <c r="C2" s="23" t="n"/>
      <c r="D2" s="23" t="n"/>
      <c r="E2" s="23" t="n"/>
      <c r="F2" s="23" t="n"/>
      <c r="G2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dataValidations count="2">
    <dataValidation sqref="D2:D1048576" showDropDown="0" showInputMessage="0" showErrorMessage="1" allowBlank="1" errorTitle="Invalid FK" error="Value must exist in NR_COUNTRY_ID" promptTitle="Foreign Key" prompt="Select COUNTRY_ID from NR_COUNTRY_ID" type="list">
      <formula1>=NR_COUNTRY_ID</formula1>
    </dataValidation>
    <dataValidation sqref="E2:E1048576" showDropDown="0" showInputMessage="0" showErrorMessage="1" allowBlank="1" errorTitle="Invalid FK" error="Value must exist in NR_STATUS_ID" promptTitle="Foreign Key" prompt="Select STATUS_ID from NR_STATUS_ID" type="list">
      <formula1>=NR_STATUS_ID</formula1>
    </dataValidation>
  </dataValidations>
  <hyperlinks>
    <hyperlink xmlns:r="http://schemas.openxmlformats.org/officeDocument/2006/relationships" ref="I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9" customWidth="1" min="4" max="4"/>
    <col width="14" customWidth="1" min="5" max="5"/>
    <col width="13" customWidth="1" min="6" max="6"/>
    <col width="16" customWidth="1" min="7" max="7"/>
  </cols>
  <sheetData>
    <row r="1">
      <c r="A1" s="5" t="inlineStr">
        <is>
          <t>PLANT_ID</t>
        </is>
      </c>
      <c r="B1" s="5" t="inlineStr">
        <is>
          <t>PLANT_CODE</t>
        </is>
      </c>
      <c r="C1" s="5" t="inlineStr">
        <is>
          <t>PLANT_NAME</t>
        </is>
      </c>
      <c r="D1" s="5" t="inlineStr">
        <is>
          <t>LEGAL_ENTITY_ID</t>
        </is>
      </c>
      <c r="E1" s="5" t="inlineStr">
        <is>
          <t>COUNTRY_ID</t>
        </is>
      </c>
      <c r="F1" s="5" t="inlineStr">
        <is>
          <t>STATUS_ID</t>
        </is>
      </c>
      <c r="G1" s="5" t="inlineStr">
        <is>
          <t>EXTERNAL_REF</t>
        </is>
      </c>
      <c r="I1" s="36" t="inlineStr">
        <is>
          <t>Dashboard</t>
        </is>
      </c>
    </row>
    <row r="2">
      <c r="A2" s="23" t="n">
        <v>1</v>
      </c>
      <c r="B2" s="23" t="inlineStr">
        <is>
          <t>MANISA</t>
        </is>
      </c>
      <c r="C2" s="23" t="inlineStr">
        <is>
          <t>Manisa Plant</t>
        </is>
      </c>
      <c r="D2" s="23" t="n">
        <v>1</v>
      </c>
      <c r="E2" s="23" t="n">
        <v>1</v>
      </c>
      <c r="F2" s="23" t="n">
        <v>2</v>
      </c>
      <c r="G2" s="23" t="inlineStr">
        <is>
          <t>PLANT-01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dataValidations count="3">
    <dataValidation sqref="D2:D1048576" showDropDown="0" showInputMessage="0" showErrorMessage="1" allowBlank="1" errorTitle="Invalid FK" error="Value must exist in NR_LEGAL_ENTITY_ID" promptTitle="Foreign Key" prompt="Select LEGAL_ENTITY_ID from NR_LEGAL_ENTITY_ID" type="list">
      <formula1>=NR_LEGAL_ENTITY_ID</formula1>
    </dataValidation>
    <dataValidation sqref="E2:E1048576" showDropDown="0" showInputMessage="0" showErrorMessage="1" allowBlank="1" errorTitle="Invalid FK" error="Value must exist in NR_COUNTRY_ID" promptTitle="Foreign Key" prompt="Select COUNTRY_ID from NR_COUNTRY_ID" type="list">
      <formula1>=NR_COUNTRY_ID</formula1>
    </dataValidation>
    <dataValidation sqref="F2:F1048576" showDropDown="0" showInputMessage="0" showErrorMessage="1" allowBlank="1" errorTitle="Invalid FK" error="Value must exist in NR_STATUS_ID" promptTitle="Foreign Key" prompt="Select STATUS_ID from NR_STATUS_ID" type="list">
      <formula1>=NR_STATUS_ID</formula1>
    </dataValidation>
  </dataValidations>
  <hyperlinks>
    <hyperlink xmlns:r="http://schemas.openxmlformats.org/officeDocument/2006/relationships" ref="I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3" customWidth="1" min="4" max="4"/>
    <col width="14" customWidth="1" min="5" max="5"/>
    <col width="12" customWidth="1" min="6" max="6"/>
  </cols>
  <sheetData>
    <row r="1">
      <c r="A1" s="5" t="inlineStr">
        <is>
          <t>COMPONENT_MATERIAL_ID</t>
        </is>
      </c>
      <c r="B1" s="5" t="inlineStr">
        <is>
          <t>COMPONENT_ID</t>
        </is>
      </c>
      <c r="C1" s="5" t="inlineStr">
        <is>
          <t>MATERIAL_ID</t>
        </is>
      </c>
      <c r="D1" s="5" t="inlineStr">
        <is>
          <t>SHARE_PCT</t>
        </is>
      </c>
      <c r="E1" s="5" t="inlineStr">
        <is>
          <t>SORT_ORDER</t>
        </is>
      </c>
      <c r="F1" s="5" t="inlineStr">
        <is>
          <t>NOTES</t>
        </is>
      </c>
      <c r="H1" s="36" t="inlineStr">
        <is>
          <t>Dashboard</t>
        </is>
      </c>
    </row>
    <row r="2">
      <c r="A2" s="23" t="n"/>
      <c r="B2" s="23" t="n"/>
      <c r="C2" s="23" t="n"/>
      <c r="D2" s="23" t="n"/>
      <c r="E2" s="23" t="n"/>
      <c r="F2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dataValidations count="2">
    <dataValidation sqref="B2:B1048576" showDropDown="0" showInputMessage="0" showErrorMessage="1" allowBlank="1" errorTitle="Invalid FK" error="Value must exist in NR_COMPONENT_ID" promptTitle="Foreign Key" prompt="Select COMPONENT_ID from NR_COMPONENT_ID" type="list">
      <formula1>=NR_COMPONENT_ID</formula1>
    </dataValidation>
    <dataValidation sqref="C2:C1048576" showDropDown="0" showInputMessage="0" showErrorMessage="1" allowBlank="1" errorTitle="Invalid FK" error="Value must exist in NR_MATERIAL_ID" promptTitle="Foreign Key" prompt="Select MATERIAL_ID from NR_MATERIAL_ID" type="list">
      <formula1>=NR_MATERIAL_ID</formula1>
    </dataValidation>
  </dataValidations>
  <hyperlinks>
    <hyperlink xmlns:r="http://schemas.openxmlformats.org/officeDocument/2006/relationships" ref="H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16" customWidth="1" min="3" max="3"/>
    <col width="12" customWidth="1" min="4" max="4"/>
    <col width="16" customWidth="1" min="5" max="5"/>
    <col width="14" customWidth="1" min="6" max="6"/>
    <col width="15" customWidth="1" min="7" max="7"/>
    <col width="12" customWidth="1" min="8" max="8"/>
  </cols>
  <sheetData>
    <row r="1">
      <c r="A1" t="inlineStr">
        <is>
          <t>NOTE</t>
        </is>
      </c>
      <c r="B1" t="inlineStr">
        <is>
          <t>DETAIL</t>
        </is>
      </c>
    </row>
    <row r="2">
      <c r="A2" t="inlineStr">
        <is>
          <t>MOVED</t>
        </is>
      </c>
      <c r="B2" t="inlineStr">
        <is>
          <t>T_PACKAGING_CONFIGURATION_LINE lives on Packaging Configuration sheet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dataValidations count="3">
    <dataValidation sqref="B2:B1048576" showDropDown="0" showInputMessage="0" showErrorMessage="1" allowBlank="1" errorTitle="Invalid FK" error="Value must exist in NR_PACKAGING_CONFIGURATION_ID" promptTitle="Foreign Key" prompt="Select PACKAGING_CONFIGURATION_ID from NR_PACKAGING_CONFIGURATION_ID" type="list">
      <formula1>=NR_PACKAGING_CONFIGURATION_ID</formula1>
    </dataValidation>
    <dataValidation sqref="C2:C1048576" showDropDown="0" showInputMessage="0" showErrorMessage="1" allowBlank="1" errorTitle="Invalid FK" error="Value must exist in NR_COMPONENT_ID" promptTitle="Foreign Key" prompt="Select COMPONENT_ID from NR_COMPONENT_ID" type="list">
      <formula1>=NR_COMPONENT_ID</formula1>
    </dataValidation>
    <dataValidation sqref="E2:E1048576" showDropDown="0" showInputMessage="0" showErrorMessage="1" allowBlank="1" errorTitle="Invalid FK" error="Value must exist in NR_LINE_ROLE_ID" promptTitle="Foreign Key" prompt="Select LINE_ROLE_ID from NR_LINE_ROLE_ID" type="list">
      <formula1>=NR_LINE_ROLE_ID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15" customWidth="1" min="3" max="3"/>
    <col width="32" customWidth="1" min="4" max="4"/>
    <col width="30" customWidth="1" min="5" max="5"/>
    <col width="26" customWidth="1" min="6" max="6"/>
    <col width="19" customWidth="1" min="7" max="7"/>
    <col width="19" customWidth="1" min="8" max="8"/>
    <col width="27" customWidth="1" min="9" max="9"/>
    <col width="23" customWidth="1" min="10" max="10"/>
    <col width="17" customWidth="1" min="11" max="11"/>
    <col width="13" customWidth="1" min="12" max="12"/>
    <col width="18" customWidth="1" min="13" max="13"/>
    <col width="16" customWidth="1" min="14" max="14"/>
    <col width="12" customWidth="1" min="15" max="15"/>
    <col width="14" customWidth="1" min="16" max="16"/>
    <col width="14" customWidth="1" min="17" max="17"/>
  </cols>
  <sheetData>
    <row r="1">
      <c r="A1" s="5" t="inlineStr">
        <is>
          <t>TRANSPORT_CONFIGURATION_ID</t>
        </is>
      </c>
      <c r="B1" s="5" t="inlineStr">
        <is>
          <t>CONFIG_GROUP_CODE</t>
        </is>
      </c>
      <c r="C1" s="5" t="inlineStr">
        <is>
          <t>REVISION_NO</t>
        </is>
      </c>
      <c r="D1" s="5" t="inlineStr">
        <is>
          <t>TRANSPORT_CONFIGURATION_NAME</t>
        </is>
      </c>
      <c r="E1" s="5" t="inlineStr">
        <is>
          <t>PACKAGING_CONFIGURATION_ID</t>
        </is>
      </c>
      <c r="F1" s="5" t="inlineStr">
        <is>
          <t>TRANSPORT_UNIT_TYPE_ID</t>
        </is>
      </c>
      <c r="G1" s="5" t="inlineStr">
        <is>
          <t>UNITS_PER_LAYER</t>
        </is>
      </c>
      <c r="H1" s="5" t="inlineStr">
        <is>
          <t>LAYERS_PER_UNIT</t>
        </is>
      </c>
      <c r="I1" s="5" t="inlineStr">
        <is>
          <t>CONTAINER_PAYLOAD_UNITS</t>
        </is>
      </c>
      <c r="J1" s="5" t="inlineStr">
        <is>
          <t>MAX_GROSS_WEIGHT_KG</t>
        </is>
      </c>
      <c r="K1" s="5" t="inlineStr">
        <is>
          <t>SUPERSEDES_ID</t>
        </is>
      </c>
      <c r="L1" s="5" t="inlineStr">
        <is>
          <t>STATUS_ID</t>
        </is>
      </c>
      <c r="M1" s="5" t="inlineStr">
        <is>
          <t>EFFECTIVE_FROM</t>
        </is>
      </c>
      <c r="N1" s="5" t="inlineStr">
        <is>
          <t>EFFECTIVE_TO</t>
        </is>
      </c>
      <c r="O1" s="5" t="inlineStr">
        <is>
          <t>NOTES</t>
        </is>
      </c>
      <c r="P1" s="5" t="inlineStr">
        <is>
          <t>CREATED_AT</t>
        </is>
      </c>
      <c r="Q1" s="5" t="inlineStr">
        <is>
          <t>UPDATED_AT</t>
        </is>
      </c>
      <c r="S1" s="36" t="inlineStr">
        <is>
          <t>Dashboard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dataValidations count="4">
    <dataValidation sqref="E2:E1048576" showDropDown="0" showInputMessage="0" showErrorMessage="1" allowBlank="1" errorTitle="Invalid FK" error="Value must exist in NR_PACKAGING_CONFIGURATION_ID" promptTitle="Foreign Key" prompt="Select PACKAGING_CONFIGURATION_ID from NR_PACKAGING_CONFIGURATION_ID" type="list">
      <formula1>=NR_PACKAGING_CONFIGURATION_ID</formula1>
    </dataValidation>
    <dataValidation sqref="F2:F1048576" showDropDown="0" showInputMessage="0" showErrorMessage="1" allowBlank="1" errorTitle="Invalid FK" error="Value must exist in NR_TRANSPORT_UNIT_TYPE_ID" promptTitle="Foreign Key" prompt="Select TRANSPORT_UNIT_TYPE_ID from NR_TRANSPORT_UNIT_TYPE_ID" type="list">
      <formula1>=NR_TRANSPORT_UNIT_TYPE_ID</formula1>
    </dataValidation>
    <dataValidation sqref="K2:K1048576" showDropDown="0" showInputMessage="0" showErrorMessage="1" allowBlank="1" errorTitle="Invalid FK" error="Value must exist in NR_TRANSPORT_CONFIGURATION_ID" promptTitle="Foreign Key" prompt="Select SUPERSEDES_ID from NR_TRANSPORT_CONFIGURATION_ID" type="list">
      <formula1>=NR_TRANSPORT_CONFIGURATION_ID</formula1>
    </dataValidation>
    <dataValidation sqref="L2:L1048576" showDropDown="0" showInputMessage="0" showErrorMessage="1" allowBlank="1" errorTitle="Invalid FK" error="Value must exist in NR_STATUS_ID" promptTitle="Foreign Key" prompt="Select STATUS_ID from NR_STATUS_ID" type="list">
      <formula1>=NR_STATUS_ID</formula1>
    </dataValidation>
  </dataValidations>
  <hyperlinks>
    <hyperlink xmlns:r="http://schemas.openxmlformats.org/officeDocument/2006/relationships" ref="S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16" customWidth="1" min="3" max="3"/>
    <col width="31" customWidth="1" min="4" max="4"/>
    <col width="16" customWidth="1" min="5" max="5"/>
    <col width="14" customWidth="1" min="6" max="6"/>
    <col width="12" customWidth="1" min="7" max="7"/>
  </cols>
  <sheetData>
    <row r="1">
      <c r="A1" s="5" t="inlineStr">
        <is>
          <t>TRANSPORT_CONFIGURATION_LINE_ID</t>
        </is>
      </c>
      <c r="B1" s="5" t="inlineStr">
        <is>
          <t>TRANSPORT_CONFIGURATION_ID</t>
        </is>
      </c>
      <c r="C1" s="5" t="inlineStr">
        <is>
          <t>COMPONENT_ID</t>
        </is>
      </c>
      <c r="D1" s="5" t="inlineStr">
        <is>
          <t>QUANTITY_PER_TRANSPORT_UNIT</t>
        </is>
      </c>
      <c r="E1" s="5" t="inlineStr">
        <is>
          <t>LINE_ROLE_ID</t>
        </is>
      </c>
      <c r="F1" s="5" t="inlineStr">
        <is>
          <t>SORT_ORDER</t>
        </is>
      </c>
      <c r="G1" s="5" t="inlineStr">
        <is>
          <t>NOTES</t>
        </is>
      </c>
      <c r="I1" s="36" t="inlineStr">
        <is>
          <t>Dashboard</t>
        </is>
      </c>
    </row>
    <row r="2">
      <c r="A2" s="23" t="n"/>
      <c r="B2" s="23" t="n"/>
      <c r="C2" s="23" t="n"/>
      <c r="D2" s="23" t="n"/>
      <c r="E2" s="23" t="n"/>
      <c r="F2" s="23" t="n"/>
      <c r="G2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dataValidations count="3">
    <dataValidation sqref="B2:B1048576" showDropDown="0" showInputMessage="0" showErrorMessage="1" allowBlank="1" errorTitle="Invalid FK" error="Value must exist in NR_TRANSPORT_CONFIGURATION_ID" promptTitle="Foreign Key" prompt="Select TRANSPORT_CONFIGURATION_ID from NR_TRANSPORT_CONFIGURATION_ID" type="list">
      <formula1>=NR_TRANSPORT_CONFIGURATION_ID</formula1>
    </dataValidation>
    <dataValidation sqref="C2:C1048576" showDropDown="0" showInputMessage="0" showErrorMessage="1" allowBlank="1" errorTitle="Invalid FK" error="Value must exist in NR_COMPONENT_ID" promptTitle="Foreign Key" prompt="Select COMPONENT_ID from NR_COMPONENT_ID" type="list">
      <formula1>=NR_COMPONENT_ID</formula1>
    </dataValidation>
    <dataValidation sqref="E2:E1048576" showDropDown="0" showInputMessage="0" showErrorMessage="1" allowBlank="1" errorTitle="Invalid FK" error="Value must exist in NR_LINE_ROLE_ID" promptTitle="Foreign Key" prompt="Select LINE_ROLE_ID from NR_LINE_ROLE_ID" type="list">
      <formula1>=NR_LINE_ROLE_ID</formula1>
    </dataValidation>
  </dataValidations>
  <hyperlinks>
    <hyperlink xmlns:r="http://schemas.openxmlformats.org/officeDocument/2006/relationships" ref="I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  <col width="20" customWidth="1" min="4" max="4"/>
    <col width="14" customWidth="1" min="5" max="5"/>
    <col width="30" customWidth="1" min="6" max="6"/>
    <col width="15" customWidth="1" min="7" max="7"/>
    <col width="26" customWidth="1" min="8" max="8"/>
    <col width="15" customWidth="1" min="9" max="9"/>
    <col width="21" customWidth="1" min="10" max="10"/>
    <col width="13" customWidth="1" min="11" max="11"/>
    <col width="14" customWidth="1" min="12" max="12"/>
    <col width="12" customWidth="1" min="13" max="13"/>
    <col width="12" customWidth="1" min="14" max="14"/>
    <col width="14" customWidth="1" min="15" max="15"/>
    <col width="14" customWidth="1" min="16" max="16"/>
  </cols>
  <sheetData>
    <row r="1">
      <c r="A1" s="5" t="inlineStr">
        <is>
          <t>COMMERCIAL_SCENARIO_ID</t>
        </is>
      </c>
      <c r="B1" s="5" t="inlineStr">
        <is>
          <t>COMMERCIAL_SCENARIO_CODE</t>
        </is>
      </c>
      <c r="C1" s="5" t="inlineStr">
        <is>
          <t>COMMERCIAL_SCENARIO_NAME</t>
        </is>
      </c>
      <c r="D1" s="5" t="inlineStr">
        <is>
          <t>SCENARIO_TYPE_ID</t>
        </is>
      </c>
      <c r="E1" s="5" t="inlineStr">
        <is>
          <t>PRODUCT_ID</t>
        </is>
      </c>
      <c r="F1" s="5" t="inlineStr">
        <is>
          <t>TRANSPORT_CONFIGURATION_ID</t>
        </is>
      </c>
      <c r="G1" s="5" t="inlineStr">
        <is>
          <t>CUSTOMER_ID</t>
        </is>
      </c>
      <c r="H1" s="5" t="inlineStr">
        <is>
          <t>DESTINATION_COUNTRY_ID</t>
        </is>
      </c>
      <c r="I1" s="5" t="inlineStr">
        <is>
          <t>INCOTERM_ID</t>
        </is>
      </c>
      <c r="J1" s="5" t="inlineStr">
        <is>
          <t>TRANSPORT_MODE_ID</t>
        </is>
      </c>
      <c r="K1" s="5" t="inlineStr">
        <is>
          <t>STATUS_ID</t>
        </is>
      </c>
      <c r="L1" s="5" t="inlineStr">
        <is>
          <t>VALID_FROM</t>
        </is>
      </c>
      <c r="M1" s="5" t="inlineStr">
        <is>
          <t>VALID_TO</t>
        </is>
      </c>
      <c r="N1" s="5" t="inlineStr">
        <is>
          <t>NOTES</t>
        </is>
      </c>
      <c r="O1" s="5" t="inlineStr">
        <is>
          <t>CREATED_AT</t>
        </is>
      </c>
      <c r="P1" s="5" t="inlineStr">
        <is>
          <t>UPDATED_AT</t>
        </is>
      </c>
      <c r="R1" s="36" t="inlineStr">
        <is>
          <t>Dashboard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dataValidations count="8">
    <dataValidation sqref="D2:D1048576" showDropDown="0" showInputMessage="0" showErrorMessage="1" allowBlank="1" errorTitle="Invalid FK" error="Value must exist in NR_SCENARIO_TYPE_ID" promptTitle="Foreign Key" prompt="Select SCENARIO_TYPE_ID from NR_SCENARIO_TYPE_ID" type="list">
      <formula1>=NR_SCENARIO_TYPE_ID</formula1>
    </dataValidation>
    <dataValidation sqref="E2:E1048576" showDropDown="0" showInputMessage="0" showErrorMessage="1" allowBlank="1" errorTitle="Invalid FK" error="Value must exist in NR_PRODUCT_ID" promptTitle="Foreign Key" prompt="Select PRODUCT_ID from NR_PRODUCT_ID" type="list">
      <formula1>=NR_PRODUCT_ID</formula1>
    </dataValidation>
    <dataValidation sqref="F2:F1048576" showDropDown="0" showInputMessage="0" showErrorMessage="1" allowBlank="1" errorTitle="Invalid FK" error="Value must exist in NR_TRANSPORT_CONFIGURATION_ID" promptTitle="Foreign Key" prompt="Select TRANSPORT_CONFIGURATION_ID from NR_TRANSPORT_CONFIGURATION_ID" type="list">
      <formula1>=NR_TRANSPORT_CONFIGURATION_ID</formula1>
    </dataValidation>
    <dataValidation sqref="G2:G1048576" showDropDown="0" showInputMessage="0" showErrorMessage="1" allowBlank="1" errorTitle="Invalid FK" error="Value must exist in NR_CUSTOMER_ID" promptTitle="Foreign Key" prompt="Select CUSTOMER_ID from NR_CUSTOMER_ID" type="list">
      <formula1>=NR_CUSTOMER_ID</formula1>
    </dataValidation>
    <dataValidation sqref="H2:H1048576" showDropDown="0" showInputMessage="0" showErrorMessage="1" allowBlank="1" errorTitle="Invalid FK" error="Value must exist in NR_COUNTRY_ID" promptTitle="Foreign Key" prompt="Select DESTINATION_COUNTRY_ID from NR_COUNTRY_ID" type="list">
      <formula1>=NR_COUNTRY_ID</formula1>
    </dataValidation>
    <dataValidation sqref="I2:I1048576" showDropDown="0" showInputMessage="0" showErrorMessage="1" allowBlank="1" errorTitle="Invalid FK" error="Value must exist in NR_INCOTERM_ID" promptTitle="Foreign Key" prompt="Select INCOTERM_ID from NR_INCOTERM_ID" type="list">
      <formula1>=NR_INCOTERM_ID</formula1>
    </dataValidation>
    <dataValidation sqref="J2:J1048576" showDropDown="0" showInputMessage="0" showErrorMessage="1" allowBlank="1" errorTitle="Invalid FK" error="Value must exist in NR_TRANSPORT_MODE_ID" promptTitle="Foreign Key" prompt="Select TRANSPORT_MODE_ID from NR_TRANSPORT_MODE_ID" type="list">
      <formula1>=NR_TRANSPORT_MODE_ID</formula1>
    </dataValidation>
    <dataValidation sqref="K2:K1048576" showDropDown="0" showInputMessage="0" showErrorMessage="1" allowBlank="1" errorTitle="Invalid FK" error="Value must exist in NR_STATUS_ID" promptTitle="Foreign Key" prompt="Select STATUS_ID from NR_STATUS_ID" type="list">
      <formula1>=NR_STATUS_ID</formula1>
    </dataValidation>
  </dataValidations>
  <hyperlinks>
    <hyperlink xmlns:r="http://schemas.openxmlformats.org/officeDocument/2006/relationships" ref="R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6" customWidth="1" min="3" max="3"/>
    <col width="15" customWidth="1" min="4" max="4"/>
    <col width="22" customWidth="1" min="5" max="5"/>
    <col width="25" customWidth="1" min="6" max="6"/>
    <col width="21" customWidth="1" min="7" max="7"/>
    <col width="17" customWidth="1" min="8" max="8"/>
    <col width="12" customWidth="1" min="9" max="9"/>
    <col width="24" customWidth="1" min="10" max="10"/>
    <col width="16" customWidth="1" min="11" max="11"/>
    <col width="12" customWidth="1" min="12" max="12"/>
  </cols>
  <sheetData>
    <row r="1">
      <c r="A1" s="5" t="inlineStr">
        <is>
          <t>SHIPMENT_LINE_ID</t>
        </is>
      </c>
      <c r="B1" s="5" t="inlineStr">
        <is>
          <t>SHIPMENT_ID</t>
        </is>
      </c>
      <c r="C1" s="5" t="inlineStr">
        <is>
          <t>COMPONENT_ID</t>
        </is>
      </c>
      <c r="D1" s="5" t="inlineStr">
        <is>
          <t>MATERIAL_ID</t>
        </is>
      </c>
      <c r="E1" s="5" t="inlineStr">
        <is>
          <t>PACKAGING_LEVEL_ID</t>
        </is>
      </c>
      <c r="F1" s="5" t="inlineStr">
        <is>
          <t>PACKAGING_FUNCTION_ID</t>
        </is>
      </c>
      <c r="G1" s="5" t="inlineStr">
        <is>
          <t>OWNERSHIP_TYPE_ID</t>
        </is>
      </c>
      <c r="H1" s="5" t="inlineStr">
        <is>
          <t>COMPONENT_QTY</t>
        </is>
      </c>
      <c r="I1" s="5" t="inlineStr">
        <is>
          <t>WEIGHT_G</t>
        </is>
      </c>
      <c r="J1" s="5" t="inlineStr">
        <is>
          <t>RECYCLED_CONTENT_PCT</t>
        </is>
      </c>
      <c r="K1" s="5" t="inlineStr">
        <is>
          <t>SOURCE_LAYER</t>
        </is>
      </c>
      <c r="L1" s="5" t="inlineStr">
        <is>
          <t>NOTES</t>
        </is>
      </c>
      <c r="N1" s="36" t="inlineStr">
        <is>
          <t>Dashboard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dataValidations count="6">
    <dataValidation sqref="B2:B1048576" showDropDown="0" showInputMessage="0" showErrorMessage="1" allowBlank="1" errorTitle="Invalid FK" error="Value must exist in NR_SHIPMENT_ID" promptTitle="Foreign Key" prompt="Select SHIPMENT_ID from NR_SHIPMENT_ID" type="list">
      <formula1>=NR_SHIPMENT_ID</formula1>
    </dataValidation>
    <dataValidation sqref="C2:C1048576" showDropDown="0" showInputMessage="0" showErrorMessage="1" allowBlank="1" errorTitle="Invalid FK" error="Value must exist in NR_COMPONENT_ID" promptTitle="Foreign Key" prompt="Select COMPONENT_ID from NR_COMPONENT_ID" type="list">
      <formula1>=NR_COMPONENT_ID</formula1>
    </dataValidation>
    <dataValidation sqref="D2:D1048576" showDropDown="0" showInputMessage="0" showErrorMessage="1" allowBlank="1" errorTitle="Invalid FK" error="Value must exist in NR_MATERIAL_ID" promptTitle="Foreign Key" prompt="Select MATERIAL_ID from NR_MATERIAL_ID" type="list">
      <formula1>=NR_MATERIAL_ID</formula1>
    </dataValidation>
    <dataValidation sqref="E2:E1048576" showDropDown="0" showInputMessage="0" showErrorMessage="1" allowBlank="1" errorTitle="Invalid FK" error="Value must exist in NR_PACKAGING_LEVEL_ID" promptTitle="Foreign Key" prompt="Select PACKAGING_LEVEL_ID from NR_PACKAGING_LEVEL_ID" type="list">
      <formula1>=NR_PACKAGING_LEVEL_ID</formula1>
    </dataValidation>
    <dataValidation sqref="F2:F1048576" showDropDown="0" showInputMessage="0" showErrorMessage="1" allowBlank="1" errorTitle="Invalid FK" error="Value must exist in NR_PACKAGING_FUNCTION_ID" promptTitle="Foreign Key" prompt="Select PACKAGING_FUNCTION_ID from NR_PACKAGING_FUNCTION_ID" type="list">
      <formula1>=NR_PACKAGING_FUNCTION_ID</formula1>
    </dataValidation>
    <dataValidation sqref="G2:G1048576" showDropDown="0" showInputMessage="0" showErrorMessage="1" allowBlank="1" errorTitle="Invalid FK" error="Value must exist in NR_OWNERSHIP_TYPE_ID" promptTitle="Foreign Key" prompt="Select OWNERSHIP_TYPE_ID from NR_OWNERSHIP_TYPE_ID" type="list">
      <formula1>=NR_OWNERSHIP_TYPE_ID</formula1>
    </dataValidation>
  </dataValidations>
  <hyperlinks>
    <hyperlink xmlns:r="http://schemas.openxmlformats.org/officeDocument/2006/relationships" ref="N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5" customWidth="1" min="4" max="4"/>
  </cols>
  <sheetData>
    <row r="1">
      <c r="A1" s="5" t="inlineStr">
        <is>
          <t>STATEMENT_SHIPMENT_ID</t>
        </is>
      </c>
      <c r="B1" s="5" t="inlineStr">
        <is>
          <t>STATEMENT_ID</t>
        </is>
      </c>
      <c r="C1" s="5" t="inlineStr">
        <is>
          <t>SHIPMENT_ID</t>
        </is>
      </c>
      <c r="D1" s="5" t="inlineStr">
        <is>
          <t>INCLUDED_AT</t>
        </is>
      </c>
      <c r="F1" s="36" t="inlineStr">
        <is>
          <t>Dashboard</t>
        </is>
      </c>
    </row>
    <row r="2">
      <c r="A2" s="23" t="n"/>
      <c r="B2" s="23" t="n"/>
      <c r="C2" s="23" t="n"/>
      <c r="D2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dataValidations count="2">
    <dataValidation sqref="B2:B1048576" showDropDown="0" showInputMessage="0" showErrorMessage="1" allowBlank="1" errorTitle="Invalid FK" error="Value must exist in NR_STATEMENT_ID" promptTitle="Foreign Key" prompt="Select STATEMENT_ID from NR_STATEMENT_ID" type="list">
      <formula1>=NR_STATEMENT_ID</formula1>
    </dataValidation>
    <dataValidation sqref="C2:C1048576" showDropDown="0" showInputMessage="0" showErrorMessage="1" allowBlank="1" errorTitle="Invalid FK" error="Value must exist in NR_SHIPMENT_ID" promptTitle="Foreign Key" prompt="Select SHIPMENT_ID from NR_SHIPMENT_ID" type="list">
      <formula1>=NR_SHIPMENT_ID</formula1>
    </dataValidation>
  </dataValidations>
  <hyperlinks>
    <hyperlink xmlns:r="http://schemas.openxmlformats.org/officeDocument/2006/relationships" ref="F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5" customWidth="1" min="3" max="3"/>
    <col width="22" customWidth="1" min="4" max="4"/>
    <col width="21" customWidth="1" min="5" max="5"/>
    <col width="19" customWidth="1" min="6" max="6"/>
    <col width="30" customWidth="1" min="7" max="7"/>
    <col width="25" customWidth="1" min="8" max="8"/>
    <col width="12" customWidth="1" min="9" max="9"/>
  </cols>
  <sheetData>
    <row r="1">
      <c r="A1" s="5" t="inlineStr">
        <is>
          <t>STATEMENT_LINE_ID</t>
        </is>
      </c>
      <c r="B1" s="5" t="inlineStr">
        <is>
          <t>STATEMENT_ID</t>
        </is>
      </c>
      <c r="C1" s="5" t="inlineStr">
        <is>
          <t>MATERIAL_ID</t>
        </is>
      </c>
      <c r="D1" s="5" t="inlineStr">
        <is>
          <t>PACKAGING_LEVEL_ID</t>
        </is>
      </c>
      <c r="E1" s="5" t="inlineStr">
        <is>
          <t>OWNERSHIP_TYPE_ID</t>
        </is>
      </c>
      <c r="F1" s="5" t="inlineStr">
        <is>
          <t>TOTAL_WEIGHT_KG</t>
        </is>
      </c>
      <c r="G1" s="5" t="inlineStr">
        <is>
          <t>RECYCLED_CONTENT_WEIGHT_KG</t>
        </is>
      </c>
      <c r="H1" s="5" t="inlineStr">
        <is>
          <t>SOURCE_SHIPMENT_COUNT</t>
        </is>
      </c>
      <c r="I1" s="5" t="inlineStr">
        <is>
          <t>NOTES</t>
        </is>
      </c>
      <c r="K1" s="36" t="inlineStr">
        <is>
          <t>Dashboard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dataValidations count="4">
    <dataValidation sqref="B2:B1048576" showDropDown="0" showInputMessage="0" showErrorMessage="1" allowBlank="1" errorTitle="Invalid FK" error="Value must exist in NR_STATEMENT_ID" promptTitle="Foreign Key" prompt="Select STATEMENT_ID from NR_STATEMENT_ID" type="list">
      <formula1>=NR_STATEMENT_ID</formula1>
    </dataValidation>
    <dataValidation sqref="C2:C1048576" showDropDown="0" showInputMessage="0" showErrorMessage="1" allowBlank="1" errorTitle="Invalid FK" error="Value must exist in NR_MATERIAL_ID" promptTitle="Foreign Key" prompt="Select MATERIAL_ID from NR_MATERIAL_ID" type="list">
      <formula1>=NR_MATERIAL_ID</formula1>
    </dataValidation>
    <dataValidation sqref="D2:D1048576" showDropDown="0" showInputMessage="0" showErrorMessage="1" allowBlank="1" errorTitle="Invalid FK" error="Value must exist in NR_PACKAGING_LEVEL_ID" promptTitle="Foreign Key" prompt="Select PACKAGING_LEVEL_ID from NR_PACKAGING_LEVEL_ID" type="list">
      <formula1>=NR_PACKAGING_LEVEL_ID</formula1>
    </dataValidation>
    <dataValidation sqref="E2:E1048576" showDropDown="0" showInputMessage="0" showErrorMessage="1" allowBlank="1" errorTitle="Invalid FK" error="Value must exist in NR_OWNERSHIP_TYPE_ID" promptTitle="Foreign Key" prompt="Select OWNERSHIP_TYPE_ID from NR_OWNERSHIP_TYPE_ID" type="list">
      <formula1>=NR_OWNERSHIP_TYPE_ID</formula1>
    </dataValidation>
  </dataValidations>
  <hyperlinks>
    <hyperlink xmlns:r="http://schemas.openxmlformats.org/officeDocument/2006/relationships" ref="K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8" customWidth="1" min="3" max="3"/>
    <col width="20" customWidth="1" min="4" max="4"/>
    <col width="12" customWidth="1" min="5" max="5"/>
    <col width="13" customWidth="1" min="6" max="6"/>
    <col width="14" customWidth="1" min="7" max="7"/>
    <col width="13" customWidth="1" min="8" max="8"/>
    <col width="12" customWidth="1" min="9" max="9"/>
    <col width="14" customWidth="1" min="10" max="10"/>
    <col width="14" customWidth="1" min="11" max="11"/>
  </cols>
  <sheetData>
    <row r="1">
      <c r="A1" s="5" t="inlineStr">
        <is>
          <t>DOCUMENT_ID</t>
        </is>
      </c>
      <c r="B1" s="5" t="inlineStr">
        <is>
          <t>DOCUMENT_CODE</t>
        </is>
      </c>
      <c r="C1" s="5" t="inlineStr">
        <is>
          <t>DOCUMENT_TITLE</t>
        </is>
      </c>
      <c r="D1" s="5" t="inlineStr">
        <is>
          <t>DOCUMENT_TYPE_ID</t>
        </is>
      </c>
      <c r="E1" s="5" t="inlineStr">
        <is>
          <t>FILE_URI</t>
        </is>
      </c>
      <c r="F1" s="5" t="inlineStr">
        <is>
          <t>FILE_HASH</t>
        </is>
      </c>
      <c r="G1" s="5" t="inlineStr">
        <is>
          <t>ISSUE_DATE</t>
        </is>
      </c>
      <c r="H1" s="5" t="inlineStr">
        <is>
          <t>STATUS_ID</t>
        </is>
      </c>
      <c r="I1" s="5" t="inlineStr">
        <is>
          <t>NOTES</t>
        </is>
      </c>
      <c r="J1" s="5" t="inlineStr">
        <is>
          <t>CREATED_AT</t>
        </is>
      </c>
      <c r="K1" s="5" t="inlineStr">
        <is>
          <t>UPDATED_AT</t>
        </is>
      </c>
      <c r="M1" s="36" t="inlineStr">
        <is>
          <t>Dashboard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dataValidations count="2">
    <dataValidation sqref="D2:D1048576" showDropDown="0" showInputMessage="0" showErrorMessage="1" allowBlank="1" errorTitle="Invalid FK" error="Value must exist in NR_DOCUMENT_TYPE_ID" promptTitle="Foreign Key" prompt="Select DOCUMENT_TYPE_ID from NR_DOCUMENT_TYPE_ID" type="list">
      <formula1>=NR_DOCUMENT_TYPE_ID</formula1>
    </dataValidation>
    <dataValidation sqref="H2:H1048576" showDropDown="0" showInputMessage="0" showErrorMessage="1" allowBlank="1" errorTitle="Invalid FK" error="Value must exist in NR_STATUS_ID" promptTitle="Foreign Key" prompt="Select STATUS_ID from NR_STATUS_ID" type="list">
      <formula1>=NR_STATUS_ID</formula1>
    </dataValidation>
  </dataValidations>
  <hyperlinks>
    <hyperlink xmlns:r="http://schemas.openxmlformats.org/officeDocument/2006/relationships" ref="M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6" customWidth="1" min="3" max="3"/>
    <col width="14" customWidth="1" min="4" max="4"/>
    <col width="30" customWidth="1" min="5" max="5"/>
    <col width="30" customWidth="1" min="6" max="6"/>
    <col width="21" customWidth="1" min="7" max="7"/>
    <col width="32" customWidth="1" min="8" max="8"/>
    <col width="16" customWidth="1" min="9" max="9"/>
    <col width="14" customWidth="1" min="10" max="10"/>
    <col width="12" customWidth="1" min="11" max="11"/>
  </cols>
  <sheetData>
    <row r="1">
      <c r="A1" s="5" t="inlineStr">
        <is>
          <t>DOCUMENT_LINK_ID</t>
        </is>
      </c>
      <c r="B1" s="5" t="inlineStr">
        <is>
          <t>DOCUMENT_ID</t>
        </is>
      </c>
      <c r="C1" s="5" t="inlineStr">
        <is>
          <t>COMPONENT_ID</t>
        </is>
      </c>
      <c r="D1" s="5" t="inlineStr">
        <is>
          <t>PRODUCT_ID</t>
        </is>
      </c>
      <c r="E1" s="5" t="inlineStr">
        <is>
          <t>PACKAGING_CONFIGURATION_ID</t>
        </is>
      </c>
      <c r="F1" s="5" t="inlineStr">
        <is>
          <t>TRANSPORT_CONFIGURATION_ID</t>
        </is>
      </c>
      <c r="G1" s="5" t="inlineStr">
        <is>
          <t>TECHNICAL_FILE_ID</t>
        </is>
      </c>
      <c r="H1" s="5" t="inlineStr">
        <is>
          <t>DECLARATION_OF_CONFORMITY_ID</t>
        </is>
      </c>
      <c r="I1" s="5" t="inlineStr">
        <is>
          <t>STATEMENT_ID</t>
        </is>
      </c>
      <c r="J1" s="5" t="inlineStr">
        <is>
          <t>SORT_ORDER</t>
        </is>
      </c>
      <c r="K1" s="5" t="inlineStr">
        <is>
          <t>NOTES</t>
        </is>
      </c>
      <c r="M1" s="36" t="inlineStr">
        <is>
          <t>Dashboard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dataValidations count="8">
    <dataValidation sqref="B2:B1048576" showDropDown="0" showInputMessage="0" showErrorMessage="1" allowBlank="1" errorTitle="Invalid FK" error="Value must exist in NR_DOCUMENT_ID" promptTitle="Foreign Key" prompt="Select DOCUMENT_ID from NR_DOCUMENT_ID" type="list">
      <formula1>=NR_DOCUMENT_ID</formula1>
    </dataValidation>
    <dataValidation sqref="C2:C1048576" showDropDown="0" showInputMessage="0" showErrorMessage="1" allowBlank="1" errorTitle="Invalid FK" error="Value must exist in NR_COMPONENT_ID" promptTitle="Foreign Key" prompt="Select COMPONENT_ID from NR_COMPONENT_ID" type="list">
      <formula1>=NR_COMPONENT_ID</formula1>
    </dataValidation>
    <dataValidation sqref="D2:D1048576" showDropDown="0" showInputMessage="0" showErrorMessage="1" allowBlank="1" errorTitle="Invalid FK" error="Value must exist in NR_PRODUCT_ID" promptTitle="Foreign Key" prompt="Select PRODUCT_ID from NR_PRODUCT_ID" type="list">
      <formula1>=NR_PRODUCT_ID</formula1>
    </dataValidation>
    <dataValidation sqref="E2:E1048576" showDropDown="0" showInputMessage="0" showErrorMessage="1" allowBlank="1" errorTitle="Invalid FK" error="Value must exist in NR_PACKAGING_CONFIGURATION_ID" promptTitle="Foreign Key" prompt="Select PACKAGING_CONFIGURATION_ID from NR_PACKAGING_CONFIGURATION_ID" type="list">
      <formula1>=NR_PACKAGING_CONFIGURATION_ID</formula1>
    </dataValidation>
    <dataValidation sqref="F2:F1048576" showDropDown="0" showInputMessage="0" showErrorMessage="1" allowBlank="1" errorTitle="Invalid FK" error="Value must exist in NR_TRANSPORT_CONFIGURATION_ID" promptTitle="Foreign Key" prompt="Select TRANSPORT_CONFIGURATION_ID from NR_TRANSPORT_CONFIGURATION_ID" type="list">
      <formula1>=NR_TRANSPORT_CONFIGURATION_ID</formula1>
    </dataValidation>
    <dataValidation sqref="G2:G1048576" showDropDown="0" showInputMessage="0" showErrorMessage="1" allowBlank="1" errorTitle="Invalid FK" error="Value must exist in NR_TECHNICAL_FILE_ID" promptTitle="Foreign Key" prompt="Select TECHNICAL_FILE_ID from NR_TECHNICAL_FILE_ID" type="list">
      <formula1>=NR_TECHNICAL_FILE_ID</formula1>
    </dataValidation>
    <dataValidation sqref="H2:H1048576" showDropDown="0" showInputMessage="0" showErrorMessage="1" allowBlank="1" errorTitle="Invalid FK" error="Value must exist in NR_DECLARATION_OF_CONFORMITY_ID" promptTitle="Foreign Key" prompt="Select DECLARATION_OF_CONFORMITY_ID from NR_DECLARATION_OF_CONFORMITY_ID" type="list">
      <formula1>=NR_DECLARATION_OF_CONFORMITY_ID</formula1>
    </dataValidation>
    <dataValidation sqref="I2:I1048576" showDropDown="0" showInputMessage="0" showErrorMessage="1" allowBlank="1" errorTitle="Invalid FK" error="Value must exist in NR_STATEMENT_ID" promptTitle="Foreign Key" prompt="Select STATEMENT_ID from NR_STATEMENT_ID" type="list">
      <formula1>=NR_STATEMENT_ID</formula1>
    </dataValidation>
  </dataValidations>
  <hyperlinks>
    <hyperlink xmlns:r="http://schemas.openxmlformats.org/officeDocument/2006/relationships" ref="M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RELATIONSHIP_ID</t>
        </is>
      </c>
      <c r="B1" s="5" t="inlineStr">
        <is>
          <t>FROM_TABLE</t>
        </is>
      </c>
      <c r="C1" s="5" t="inlineStr">
        <is>
          <t>FROM_COLUMN</t>
        </is>
      </c>
      <c r="D1" s="5" t="inlineStr">
        <is>
          <t>TO_TABLE</t>
        </is>
      </c>
      <c r="E1" s="5" t="inlineStr">
        <is>
          <t>TO_COLUMN</t>
        </is>
      </c>
      <c r="F1" s="5" t="inlineStr">
        <is>
          <t>TO_NAMED_RANGE</t>
        </is>
      </c>
      <c r="G1" s="5" t="inlineStr">
        <is>
          <t>IS_REQUIRED</t>
        </is>
      </c>
      <c r="H1" s="5" t="inlineStr">
        <is>
          <t>RELATIONSHIP_CODE</t>
        </is>
      </c>
    </row>
    <row r="2">
      <c r="A2" s="24" t="n">
        <v>1</v>
      </c>
      <c r="B2" s="24" t="inlineStr">
        <is>
          <t>LKP_COMPONENT_TYPE</t>
        </is>
      </c>
      <c r="C2" s="24" t="inlineStr">
        <is>
          <t>DEFAULT_PACKAGING_LEVEL_ID</t>
        </is>
      </c>
      <c r="D2" s="24" t="inlineStr">
        <is>
          <t>LKP_PACKAGING_LEVEL</t>
        </is>
      </c>
      <c r="E2" s="24" t="inlineStr">
        <is>
          <t>PACKAGING_LEVEL_ID</t>
        </is>
      </c>
      <c r="F2" s="24" t="inlineStr">
        <is>
          <t>NR_PACKAGING_LEVEL_ID</t>
        </is>
      </c>
      <c r="G2" s="24" t="inlineStr">
        <is>
          <t>N</t>
        </is>
      </c>
      <c r="H2" s="24" t="inlineStr">
        <is>
          <t>FK_LKP_COMPONENT_TYPE_DEFAULT_PACKAGING_LEVEL_ID</t>
        </is>
      </c>
    </row>
    <row r="3">
      <c r="A3" s="24" t="n">
        <v>2</v>
      </c>
      <c r="B3" s="24" t="inlineStr">
        <is>
          <t>LKP_MATERIAL</t>
        </is>
      </c>
      <c r="C3" s="24" t="inlineStr">
        <is>
          <t>MATERIAL_FAMILY_ID</t>
        </is>
      </c>
      <c r="D3" s="24" t="inlineStr">
        <is>
          <t>LKP_MATERIAL_FAMILY</t>
        </is>
      </c>
      <c r="E3" s="24" t="inlineStr">
        <is>
          <t>MATERIAL_FAMILY_ID</t>
        </is>
      </c>
      <c r="F3" s="24" t="inlineStr">
        <is>
          <t>NR_MATERIAL_FAMILY_ID</t>
        </is>
      </c>
      <c r="G3" s="24" t="inlineStr">
        <is>
          <t>Y</t>
        </is>
      </c>
      <c r="H3" s="24" t="inlineStr">
        <is>
          <t>FK_LKP_MATERIAL_MATERIAL_FAMILY_ID</t>
        </is>
      </c>
    </row>
    <row r="4">
      <c r="A4" s="24" t="n">
        <v>3</v>
      </c>
      <c r="B4" s="24" t="inlineStr">
        <is>
          <t>LKP_MATERIAL</t>
        </is>
      </c>
      <c r="C4" s="24" t="inlineStr">
        <is>
          <t>PPWR_MATERIAL_CATEGORY_ID</t>
        </is>
      </c>
      <c r="D4" s="24" t="inlineStr">
        <is>
          <t>LKP_PPWR_MATERIAL_CATEGORY</t>
        </is>
      </c>
      <c r="E4" s="24" t="inlineStr">
        <is>
          <t>PPWR_MATERIAL_CATEGORY_ID</t>
        </is>
      </c>
      <c r="F4" s="24" t="inlineStr">
        <is>
          <t>NR_PPWR_MATERIAL_CATEGORY_ID</t>
        </is>
      </c>
      <c r="G4" s="24" t="inlineStr">
        <is>
          <t>N</t>
        </is>
      </c>
      <c r="H4" s="24" t="inlineStr">
        <is>
          <t>FK_LKP_MATERIAL_PPWR_MATERIAL_CATEGORY_ID</t>
        </is>
      </c>
    </row>
    <row r="5">
      <c r="A5" s="24" t="n">
        <v>4</v>
      </c>
      <c r="B5" s="24" t="inlineStr">
        <is>
          <t>LEGAL_ENTITY</t>
        </is>
      </c>
      <c r="C5" s="24" t="inlineStr">
        <is>
          <t>COUNTRY_ID</t>
        </is>
      </c>
      <c r="D5" s="24" t="inlineStr">
        <is>
          <t>LKP_COUNTRY</t>
        </is>
      </c>
      <c r="E5" s="24" t="inlineStr">
        <is>
          <t>COUNTRY_ID</t>
        </is>
      </c>
      <c r="F5" s="24" t="inlineStr">
        <is>
          <t>NR_COUNTRY_ID</t>
        </is>
      </c>
      <c r="G5" s="24" t="inlineStr">
        <is>
          <t>Y</t>
        </is>
      </c>
      <c r="H5" s="24" t="inlineStr">
        <is>
          <t>FK_LEGAL_ENTITY_COUNTRY_ID</t>
        </is>
      </c>
    </row>
    <row r="6">
      <c r="A6" s="24" t="n">
        <v>5</v>
      </c>
      <c r="B6" s="24" t="inlineStr">
        <is>
          <t>LEGAL_ENTITY</t>
        </is>
      </c>
      <c r="C6" s="24" t="inlineStr">
        <is>
          <t>STATUS_ID</t>
        </is>
      </c>
      <c r="D6" s="24" t="inlineStr">
        <is>
          <t>LKP_STATUS</t>
        </is>
      </c>
      <c r="E6" s="24" t="inlineStr">
        <is>
          <t>STATUS_ID</t>
        </is>
      </c>
      <c r="F6" s="24" t="inlineStr">
        <is>
          <t>NR_STATUS_ID</t>
        </is>
      </c>
      <c r="G6" s="24" t="inlineStr">
        <is>
          <t>Y</t>
        </is>
      </c>
      <c r="H6" s="24" t="inlineStr">
        <is>
          <t>FK_LEGAL_ENTITY_STATUS_ID</t>
        </is>
      </c>
    </row>
    <row r="7">
      <c r="A7" s="24" t="n">
        <v>6</v>
      </c>
      <c r="B7" s="24" t="inlineStr">
        <is>
          <t>PERSON</t>
        </is>
      </c>
      <c r="C7" s="24" t="inlineStr">
        <is>
          <t>STATUS_ID</t>
        </is>
      </c>
      <c r="D7" s="24" t="inlineStr">
        <is>
          <t>LKP_STATUS</t>
        </is>
      </c>
      <c r="E7" s="24" t="inlineStr">
        <is>
          <t>STATUS_ID</t>
        </is>
      </c>
      <c r="F7" s="24" t="inlineStr">
        <is>
          <t>NR_STATUS_ID</t>
        </is>
      </c>
      <c r="G7" s="24" t="inlineStr">
        <is>
          <t>Y</t>
        </is>
      </c>
      <c r="H7" s="24" t="inlineStr">
        <is>
          <t>FK_PERSON_STATUS_ID</t>
        </is>
      </c>
    </row>
    <row r="8">
      <c r="A8" s="24" t="n">
        <v>7</v>
      </c>
      <c r="B8" s="24" t="inlineStr">
        <is>
          <t>SUPPLIER</t>
        </is>
      </c>
      <c r="C8" s="24" t="inlineStr">
        <is>
          <t>COUNTRY_ID</t>
        </is>
      </c>
      <c r="D8" s="24" t="inlineStr">
        <is>
          <t>LKP_COUNTRY</t>
        </is>
      </c>
      <c r="E8" s="24" t="inlineStr">
        <is>
          <t>COUNTRY_ID</t>
        </is>
      </c>
      <c r="F8" s="24" t="inlineStr">
        <is>
          <t>NR_COUNTRY_ID</t>
        </is>
      </c>
      <c r="G8" s="24" t="inlineStr">
        <is>
          <t>N</t>
        </is>
      </c>
      <c r="H8" s="24" t="inlineStr">
        <is>
          <t>FK_SUPPLIER_COUNTRY_ID</t>
        </is>
      </c>
    </row>
    <row r="9">
      <c r="A9" s="24" t="n">
        <v>8</v>
      </c>
      <c r="B9" s="24" t="inlineStr">
        <is>
          <t>SUPPLIER</t>
        </is>
      </c>
      <c r="C9" s="24" t="inlineStr">
        <is>
          <t>STATUS_ID</t>
        </is>
      </c>
      <c r="D9" s="24" t="inlineStr">
        <is>
          <t>LKP_STATUS</t>
        </is>
      </c>
      <c r="E9" s="24" t="inlineStr">
        <is>
          <t>STATUS_ID</t>
        </is>
      </c>
      <c r="F9" s="24" t="inlineStr">
        <is>
          <t>NR_STATUS_ID</t>
        </is>
      </c>
      <c r="G9" s="24" t="inlineStr">
        <is>
          <t>Y</t>
        </is>
      </c>
      <c r="H9" s="24" t="inlineStr">
        <is>
          <t>FK_SUPPLIER_STATUS_ID</t>
        </is>
      </c>
    </row>
    <row r="10">
      <c r="A10" s="24" t="n">
        <v>9</v>
      </c>
      <c r="B10" s="24" t="inlineStr">
        <is>
          <t>CUSTOMER</t>
        </is>
      </c>
      <c r="C10" s="24" t="inlineStr">
        <is>
          <t>COUNTRY_ID</t>
        </is>
      </c>
      <c r="D10" s="24" t="inlineStr">
        <is>
          <t>LKP_COUNTRY</t>
        </is>
      </c>
      <c r="E10" s="24" t="inlineStr">
        <is>
          <t>COUNTRY_ID</t>
        </is>
      </c>
      <c r="F10" s="24" t="inlineStr">
        <is>
          <t>NR_COUNTRY_ID</t>
        </is>
      </c>
      <c r="G10" s="24" t="inlineStr">
        <is>
          <t>N</t>
        </is>
      </c>
      <c r="H10" s="24" t="inlineStr">
        <is>
          <t>FK_CUSTOMER_COUNTRY_ID</t>
        </is>
      </c>
    </row>
    <row r="11">
      <c r="A11" s="24" t="n">
        <v>10</v>
      </c>
      <c r="B11" s="24" t="inlineStr">
        <is>
          <t>CUSTOMER</t>
        </is>
      </c>
      <c r="C11" s="24" t="inlineStr">
        <is>
          <t>STATUS_ID</t>
        </is>
      </c>
      <c r="D11" s="24" t="inlineStr">
        <is>
          <t>LKP_STATUS</t>
        </is>
      </c>
      <c r="E11" s="24" t="inlineStr">
        <is>
          <t>STATUS_ID</t>
        </is>
      </c>
      <c r="F11" s="24" t="inlineStr">
        <is>
          <t>NR_STATUS_ID</t>
        </is>
      </c>
      <c r="G11" s="24" t="inlineStr">
        <is>
          <t>Y</t>
        </is>
      </c>
      <c r="H11" s="24" t="inlineStr">
        <is>
          <t>FK_CUSTOMER_STATUS_ID</t>
        </is>
      </c>
    </row>
    <row r="12">
      <c r="A12" s="24" t="n">
        <v>11</v>
      </c>
      <c r="B12" s="24" t="inlineStr">
        <is>
          <t>PLANT</t>
        </is>
      </c>
      <c r="C12" s="24" t="inlineStr">
        <is>
          <t>LEGAL_ENTITY_ID</t>
        </is>
      </c>
      <c r="D12" s="24" t="inlineStr">
        <is>
          <t>LEGAL_ENTITY</t>
        </is>
      </c>
      <c r="E12" s="24" t="inlineStr">
        <is>
          <t>LEGAL_ENTITY_ID</t>
        </is>
      </c>
      <c r="F12" s="24" t="inlineStr">
        <is>
          <t>NR_LEGAL_ENTITY_ID</t>
        </is>
      </c>
      <c r="G12" s="24" t="inlineStr">
        <is>
          <t>Y</t>
        </is>
      </c>
      <c r="H12" s="24" t="inlineStr">
        <is>
          <t>FK_PLANT_LEGAL_ENTITY_ID</t>
        </is>
      </c>
    </row>
    <row r="13">
      <c r="A13" s="24" t="n">
        <v>12</v>
      </c>
      <c r="B13" s="24" t="inlineStr">
        <is>
          <t>PLANT</t>
        </is>
      </c>
      <c r="C13" s="24" t="inlineStr">
        <is>
          <t>COUNTRY_ID</t>
        </is>
      </c>
      <c r="D13" s="24" t="inlineStr">
        <is>
          <t>LKP_COUNTRY</t>
        </is>
      </c>
      <c r="E13" s="24" t="inlineStr">
        <is>
          <t>COUNTRY_ID</t>
        </is>
      </c>
      <c r="F13" s="24" t="inlineStr">
        <is>
          <t>NR_COUNTRY_ID</t>
        </is>
      </c>
      <c r="G13" s="24" t="inlineStr">
        <is>
          <t>Y</t>
        </is>
      </c>
      <c r="H13" s="24" t="inlineStr">
        <is>
          <t>FK_PLANT_COUNTRY_ID</t>
        </is>
      </c>
    </row>
    <row r="14">
      <c r="A14" s="24" t="n">
        <v>13</v>
      </c>
      <c r="B14" s="24" t="inlineStr">
        <is>
          <t>PLANT</t>
        </is>
      </c>
      <c r="C14" s="24" t="inlineStr">
        <is>
          <t>STATUS_ID</t>
        </is>
      </c>
      <c r="D14" s="24" t="inlineStr">
        <is>
          <t>LKP_STATUS</t>
        </is>
      </c>
      <c r="E14" s="24" t="inlineStr">
        <is>
          <t>STATUS_ID</t>
        </is>
      </c>
      <c r="F14" s="24" t="inlineStr">
        <is>
          <t>NR_STATUS_ID</t>
        </is>
      </c>
      <c r="G14" s="24" t="inlineStr">
        <is>
          <t>Y</t>
        </is>
      </c>
      <c r="H14" s="24" t="inlineStr">
        <is>
          <t>FK_PLANT_STATUS_ID</t>
        </is>
      </c>
    </row>
    <row r="15">
      <c r="A15" s="24" t="n">
        <v>14</v>
      </c>
      <c r="B15" s="24" t="inlineStr">
        <is>
          <t>PRODUCT</t>
        </is>
      </c>
      <c r="C15" s="24" t="inlineStr">
        <is>
          <t>PRODUCT_CATEGORY_ID</t>
        </is>
      </c>
      <c r="D15" s="24" t="inlineStr">
        <is>
          <t>LKP_PRODUCT_CATEGORY</t>
        </is>
      </c>
      <c r="E15" s="24" t="inlineStr">
        <is>
          <t>PRODUCT_CATEGORY_ID</t>
        </is>
      </c>
      <c r="F15" s="24" t="inlineStr">
        <is>
          <t>NR_PRODUCT_CATEGORY_ID</t>
        </is>
      </c>
      <c r="G15" s="24" t="inlineStr">
        <is>
          <t>Y</t>
        </is>
      </c>
      <c r="H15" s="24" t="inlineStr">
        <is>
          <t>FK_PRODUCT_PRODUCT_CATEGORY_ID</t>
        </is>
      </c>
    </row>
    <row r="16">
      <c r="A16" s="24" t="n">
        <v>15</v>
      </c>
      <c r="B16" s="24" t="inlineStr">
        <is>
          <t>PRODUCT</t>
        </is>
      </c>
      <c r="C16" s="24" t="inlineStr">
        <is>
          <t>STATUS_ID</t>
        </is>
      </c>
      <c r="D16" s="24" t="inlineStr">
        <is>
          <t>LKP_STATUS</t>
        </is>
      </c>
      <c r="E16" s="24" t="inlineStr">
        <is>
          <t>STATUS_ID</t>
        </is>
      </c>
      <c r="F16" s="24" t="inlineStr">
        <is>
          <t>NR_STATUS_ID</t>
        </is>
      </c>
      <c r="G16" s="24" t="inlineStr">
        <is>
          <t>Y</t>
        </is>
      </c>
      <c r="H16" s="24" t="inlineStr">
        <is>
          <t>FK_PRODUCT_STATUS_ID</t>
        </is>
      </c>
    </row>
    <row r="17">
      <c r="A17" s="24" t="n">
        <v>16</v>
      </c>
      <c r="B17" s="24" t="inlineStr">
        <is>
          <t>COMPONENT</t>
        </is>
      </c>
      <c r="C17" s="24" t="inlineStr">
        <is>
          <t>COMPONENT_TYPE_ID</t>
        </is>
      </c>
      <c r="D17" s="24" t="inlineStr">
        <is>
          <t>LKP_COMPONENT_TYPE</t>
        </is>
      </c>
      <c r="E17" s="24" t="inlineStr">
        <is>
          <t>COMPONENT_TYPE_ID</t>
        </is>
      </c>
      <c r="F17" s="24" t="inlineStr">
        <is>
          <t>NR_COMPONENT_TYPE_ID</t>
        </is>
      </c>
      <c r="G17" s="24" t="inlineStr">
        <is>
          <t>Y</t>
        </is>
      </c>
      <c r="H17" s="24" t="inlineStr">
        <is>
          <t>FK_COMPONENT_COMPONENT_TYPE_ID</t>
        </is>
      </c>
    </row>
    <row r="18">
      <c r="A18" s="24" t="n">
        <v>17</v>
      </c>
      <c r="B18" s="24" t="inlineStr">
        <is>
          <t>COMPONENT</t>
        </is>
      </c>
      <c r="C18" s="24" t="inlineStr">
        <is>
          <t>PACKAGING_LEVEL_ID</t>
        </is>
      </c>
      <c r="D18" s="24" t="inlineStr">
        <is>
          <t>LKP_PACKAGING_LEVEL</t>
        </is>
      </c>
      <c r="E18" s="24" t="inlineStr">
        <is>
          <t>PACKAGING_LEVEL_ID</t>
        </is>
      </c>
      <c r="F18" s="24" t="inlineStr">
        <is>
          <t>NR_PACKAGING_LEVEL_ID</t>
        </is>
      </c>
      <c r="G18" s="24" t="inlineStr">
        <is>
          <t>Y</t>
        </is>
      </c>
      <c r="H18" s="24" t="inlineStr">
        <is>
          <t>FK_COMPONENT_PACKAGING_LEVEL_ID</t>
        </is>
      </c>
    </row>
    <row r="19">
      <c r="A19" s="24" t="n">
        <v>18</v>
      </c>
      <c r="B19" s="24" t="inlineStr">
        <is>
          <t>COMPONENT</t>
        </is>
      </c>
      <c r="C19" s="24" t="inlineStr">
        <is>
          <t>PACKAGING_FUNCTION_ID</t>
        </is>
      </c>
      <c r="D19" s="24" t="inlineStr">
        <is>
          <t>LKP_PACKAGING_FUNCTION</t>
        </is>
      </c>
      <c r="E19" s="24" t="inlineStr">
        <is>
          <t>PACKAGING_FUNCTION_ID</t>
        </is>
      </c>
      <c r="F19" s="24" t="inlineStr">
        <is>
          <t>NR_PACKAGING_FUNCTION_ID</t>
        </is>
      </c>
      <c r="G19" s="24" t="inlineStr">
        <is>
          <t>Y</t>
        </is>
      </c>
      <c r="H19" s="24" t="inlineStr">
        <is>
          <t>FK_COMPONENT_PACKAGING_FUNCTION_ID</t>
        </is>
      </c>
    </row>
    <row r="20">
      <c r="A20" s="24" t="n">
        <v>19</v>
      </c>
      <c r="B20" s="24" t="inlineStr">
        <is>
          <t>COMPONENT</t>
        </is>
      </c>
      <c r="C20" s="24" t="inlineStr">
        <is>
          <t>OWNERSHIP_TYPE_ID</t>
        </is>
      </c>
      <c r="D20" s="24" t="inlineStr">
        <is>
          <t>LKP_OWNERSHIP_TYPE</t>
        </is>
      </c>
      <c r="E20" s="24" t="inlineStr">
        <is>
          <t>OWNERSHIP_TYPE_ID</t>
        </is>
      </c>
      <c r="F20" s="24" t="inlineStr">
        <is>
          <t>NR_OWNERSHIP_TYPE_ID</t>
        </is>
      </c>
      <c r="G20" s="24" t="inlineStr">
        <is>
          <t>Y</t>
        </is>
      </c>
      <c r="H20" s="24" t="inlineStr">
        <is>
          <t>FK_COMPONENT_OWNERSHIP_TYPE_ID</t>
        </is>
      </c>
    </row>
    <row r="21">
      <c r="A21" s="24" t="n">
        <v>20</v>
      </c>
      <c r="B21" s="24" t="inlineStr">
        <is>
          <t>COMPONENT</t>
        </is>
      </c>
      <c r="C21" s="24" t="inlineStr">
        <is>
          <t>SUPPLIER_ID</t>
        </is>
      </c>
      <c r="D21" s="24" t="inlineStr">
        <is>
          <t>SUPPLIER</t>
        </is>
      </c>
      <c r="E21" s="24" t="inlineStr">
        <is>
          <t>SUPPLIER_ID</t>
        </is>
      </c>
      <c r="F21" s="24" t="inlineStr">
        <is>
          <t>NR_SUPPLIER_ID</t>
        </is>
      </c>
      <c r="G21" s="24" t="inlineStr">
        <is>
          <t>N</t>
        </is>
      </c>
      <c r="H21" s="24" t="inlineStr">
        <is>
          <t>FK_COMPONENT_SUPPLIER_ID</t>
        </is>
      </c>
    </row>
    <row r="22">
      <c r="A22" s="24" t="n">
        <v>21</v>
      </c>
      <c r="B22" s="24" t="inlineStr">
        <is>
          <t>COMPONENT</t>
        </is>
      </c>
      <c r="C22" s="24" t="inlineStr">
        <is>
          <t>RECYCLABILITY_CLASS_ID</t>
        </is>
      </c>
      <c r="D22" s="24" t="inlineStr">
        <is>
          <t>LKP_RECYCLABILITY_CLASS</t>
        </is>
      </c>
      <c r="E22" s="24" t="inlineStr">
        <is>
          <t>RECYCLABILITY_CLASS_ID</t>
        </is>
      </c>
      <c r="F22" s="24" t="inlineStr">
        <is>
          <t>NR_RECYCLABILITY_CLASS_ID</t>
        </is>
      </c>
      <c r="G22" s="24" t="inlineStr">
        <is>
          <t>N</t>
        </is>
      </c>
      <c r="H22" s="24" t="inlineStr">
        <is>
          <t>FK_COMPONENT_RECYCLABILITY_CLASS_ID</t>
        </is>
      </c>
    </row>
    <row r="23">
      <c r="A23" s="24" t="n">
        <v>22</v>
      </c>
      <c r="B23" s="24" t="inlineStr">
        <is>
          <t>COMPONENT</t>
        </is>
      </c>
      <c r="C23" s="24" t="inlineStr">
        <is>
          <t>STATUS_ID</t>
        </is>
      </c>
      <c r="D23" s="24" t="inlineStr">
        <is>
          <t>LKP_STATUS</t>
        </is>
      </c>
      <c r="E23" s="24" t="inlineStr">
        <is>
          <t>STATUS_ID</t>
        </is>
      </c>
      <c r="F23" s="24" t="inlineStr">
        <is>
          <t>NR_STATUS_ID</t>
        </is>
      </c>
      <c r="G23" s="24" t="inlineStr">
        <is>
          <t>Y</t>
        </is>
      </c>
      <c r="H23" s="24" t="inlineStr">
        <is>
          <t>FK_COMPONENT_STATUS_ID</t>
        </is>
      </c>
    </row>
    <row r="24">
      <c r="A24" s="24" t="n">
        <v>23</v>
      </c>
      <c r="B24" s="24" t="inlineStr">
        <is>
          <t>COMPONENT_MATERIAL</t>
        </is>
      </c>
      <c r="C24" s="24" t="inlineStr">
        <is>
          <t>COMPONENT_ID</t>
        </is>
      </c>
      <c r="D24" s="24" t="inlineStr">
        <is>
          <t>COMPONENT</t>
        </is>
      </c>
      <c r="E24" s="24" t="inlineStr">
        <is>
          <t>COMPONENT_ID</t>
        </is>
      </c>
      <c r="F24" s="24" t="inlineStr">
        <is>
          <t>NR_COMPONENT_ID</t>
        </is>
      </c>
      <c r="G24" s="24" t="inlineStr">
        <is>
          <t>Y</t>
        </is>
      </c>
      <c r="H24" s="24" t="inlineStr">
        <is>
          <t>FK_COMPONENT_MATERIAL_COMPONENT_ID</t>
        </is>
      </c>
    </row>
    <row r="25">
      <c r="A25" s="24" t="n">
        <v>24</v>
      </c>
      <c r="B25" s="24" t="inlineStr">
        <is>
          <t>COMPONENT_MATERIAL</t>
        </is>
      </c>
      <c r="C25" s="24" t="inlineStr">
        <is>
          <t>MATERIAL_ID</t>
        </is>
      </c>
      <c r="D25" s="24" t="inlineStr">
        <is>
          <t>LKP_MATERIAL</t>
        </is>
      </c>
      <c r="E25" s="24" t="inlineStr">
        <is>
          <t>MATERIAL_ID</t>
        </is>
      </c>
      <c r="F25" s="24" t="inlineStr">
        <is>
          <t>NR_MATERIAL_ID</t>
        </is>
      </c>
      <c r="G25" s="24" t="inlineStr">
        <is>
          <t>Y</t>
        </is>
      </c>
      <c r="H25" s="24" t="inlineStr">
        <is>
          <t>FK_COMPONENT_MATERIAL_MATERIAL_ID</t>
        </is>
      </c>
    </row>
    <row r="26">
      <c r="A26" s="24" t="n">
        <v>25</v>
      </c>
      <c r="B26" s="24" t="inlineStr">
        <is>
          <t>PACKAGING_CONFIGURATION</t>
        </is>
      </c>
      <c r="C26" s="24" t="inlineStr">
        <is>
          <t>SUPERSEDES_ID</t>
        </is>
      </c>
      <c r="D26" s="24" t="inlineStr">
        <is>
          <t>PACKAGING_CONFIGURATION</t>
        </is>
      </c>
      <c r="E26" s="24" t="inlineStr">
        <is>
          <t>PACKAGING_CONFIGURATION_ID</t>
        </is>
      </c>
      <c r="F26" s="24" t="inlineStr">
        <is>
          <t>NR_PACKAGING_CONFIGURATION_ID</t>
        </is>
      </c>
      <c r="G26" s="24" t="inlineStr">
        <is>
          <t>N</t>
        </is>
      </c>
      <c r="H26" s="24" t="inlineStr">
        <is>
          <t>FK_PACKAGING_CONFIGURATION_SUPERSEDES_ID</t>
        </is>
      </c>
    </row>
    <row r="27">
      <c r="A27" s="24" t="n">
        <v>26</v>
      </c>
      <c r="B27" s="24" t="inlineStr">
        <is>
          <t>PACKAGING_CONFIGURATION</t>
        </is>
      </c>
      <c r="C27" s="24" t="inlineStr">
        <is>
          <t>STATUS_ID</t>
        </is>
      </c>
      <c r="D27" s="24" t="inlineStr">
        <is>
          <t>LKP_STATUS</t>
        </is>
      </c>
      <c r="E27" s="24" t="inlineStr">
        <is>
          <t>STATUS_ID</t>
        </is>
      </c>
      <c r="F27" s="24" t="inlineStr">
        <is>
          <t>NR_STATUS_ID</t>
        </is>
      </c>
      <c r="G27" s="24" t="inlineStr">
        <is>
          <t>Y</t>
        </is>
      </c>
      <c r="H27" s="24" t="inlineStr">
        <is>
          <t>FK_PACKAGING_CONFIGURATION_STATUS_ID</t>
        </is>
      </c>
    </row>
    <row r="28">
      <c r="A28" s="24" t="n">
        <v>27</v>
      </c>
      <c r="B28" s="24" t="inlineStr">
        <is>
          <t>PACKAGING_CONFIGURATION_LINE</t>
        </is>
      </c>
      <c r="C28" s="24" t="inlineStr">
        <is>
          <t>PACKAGING_CONFIGURATION_ID</t>
        </is>
      </c>
      <c r="D28" s="24" t="inlineStr">
        <is>
          <t>PACKAGING_CONFIGURATION</t>
        </is>
      </c>
      <c r="E28" s="24" t="inlineStr">
        <is>
          <t>PACKAGING_CONFIGURATION_ID</t>
        </is>
      </c>
      <c r="F28" s="24" t="inlineStr">
        <is>
          <t>NR_PACKAGING_CONFIGURATION_ID</t>
        </is>
      </c>
      <c r="G28" s="24" t="inlineStr">
        <is>
          <t>Y</t>
        </is>
      </c>
      <c r="H28" s="24" t="inlineStr">
        <is>
          <t>FK_PACKAGING_CONFIGURATION_LINE_PACKAGING_CONFIGURATION_ID</t>
        </is>
      </c>
    </row>
    <row r="29">
      <c r="A29" s="24" t="n">
        <v>28</v>
      </c>
      <c r="B29" s="24" t="inlineStr">
        <is>
          <t>PACKAGING_CONFIGURATION_LINE</t>
        </is>
      </c>
      <c r="C29" s="24" t="inlineStr">
        <is>
          <t>COMPONENT_ID</t>
        </is>
      </c>
      <c r="D29" s="24" t="inlineStr">
        <is>
          <t>COMPONENT</t>
        </is>
      </c>
      <c r="E29" s="24" t="inlineStr">
        <is>
          <t>COMPONENT_ID</t>
        </is>
      </c>
      <c r="F29" s="24" t="inlineStr">
        <is>
          <t>NR_COMPONENT_ID</t>
        </is>
      </c>
      <c r="G29" s="24" t="inlineStr">
        <is>
          <t>Y</t>
        </is>
      </c>
      <c r="H29" s="24" t="inlineStr">
        <is>
          <t>FK_PACKAGING_CONFIGURATION_LINE_COMPONENT_ID</t>
        </is>
      </c>
    </row>
    <row r="30">
      <c r="A30" s="24" t="n">
        <v>29</v>
      </c>
      <c r="B30" s="24" t="inlineStr">
        <is>
          <t>PACKAGING_CONFIGURATION_LINE</t>
        </is>
      </c>
      <c r="C30" s="24" t="inlineStr">
        <is>
          <t>LINE_ROLE_ID</t>
        </is>
      </c>
      <c r="D30" s="24" t="inlineStr">
        <is>
          <t>LKP_LINE_ROLE</t>
        </is>
      </c>
      <c r="E30" s="24" t="inlineStr">
        <is>
          <t>LINE_ROLE_ID</t>
        </is>
      </c>
      <c r="F30" s="24" t="inlineStr">
        <is>
          <t>NR_LINE_ROLE_ID</t>
        </is>
      </c>
      <c r="G30" s="24" t="inlineStr">
        <is>
          <t>Y</t>
        </is>
      </c>
      <c r="H30" s="24" t="inlineStr">
        <is>
          <t>FK_PACKAGING_CONFIGURATION_LINE_LINE_ROLE_ID</t>
        </is>
      </c>
    </row>
    <row r="31">
      <c r="A31" s="24" t="n">
        <v>30</v>
      </c>
      <c r="B31" s="24" t="inlineStr">
        <is>
          <t>TRANSPORT_CONFIGURATION</t>
        </is>
      </c>
      <c r="C31" s="24" t="inlineStr">
        <is>
          <t>PACKAGING_CONFIGURATION_ID</t>
        </is>
      </c>
      <c r="D31" s="24" t="inlineStr">
        <is>
          <t>PACKAGING_CONFIGURATION</t>
        </is>
      </c>
      <c r="E31" s="24" t="inlineStr">
        <is>
          <t>PACKAGING_CONFIGURATION_ID</t>
        </is>
      </c>
      <c r="F31" s="24" t="inlineStr">
        <is>
          <t>NR_PACKAGING_CONFIGURATION_ID</t>
        </is>
      </c>
      <c r="G31" s="24" t="inlineStr">
        <is>
          <t>Y</t>
        </is>
      </c>
      <c r="H31" s="24" t="inlineStr">
        <is>
          <t>FK_TRANSPORT_CONFIGURATION_PACKAGING_CONFIGURATION_ID</t>
        </is>
      </c>
    </row>
    <row r="32">
      <c r="A32" s="24" t="n">
        <v>31</v>
      </c>
      <c r="B32" s="24" t="inlineStr">
        <is>
          <t>TRANSPORT_CONFIGURATION</t>
        </is>
      </c>
      <c r="C32" s="24" t="inlineStr">
        <is>
          <t>TRANSPORT_UNIT_TYPE_ID</t>
        </is>
      </c>
      <c r="D32" s="24" t="inlineStr">
        <is>
          <t>LKP_TRANSPORT_UNIT_TYPE</t>
        </is>
      </c>
      <c r="E32" s="24" t="inlineStr">
        <is>
          <t>TRANSPORT_UNIT_TYPE_ID</t>
        </is>
      </c>
      <c r="F32" s="24" t="inlineStr">
        <is>
          <t>NR_TRANSPORT_UNIT_TYPE_ID</t>
        </is>
      </c>
      <c r="G32" s="24" t="inlineStr">
        <is>
          <t>Y</t>
        </is>
      </c>
      <c r="H32" s="24" t="inlineStr">
        <is>
          <t>FK_TRANSPORT_CONFIGURATION_TRANSPORT_UNIT_TYPE_ID</t>
        </is>
      </c>
    </row>
    <row r="33">
      <c r="A33" s="24" t="n">
        <v>32</v>
      </c>
      <c r="B33" s="24" t="inlineStr">
        <is>
          <t>TRANSPORT_CONFIGURATION</t>
        </is>
      </c>
      <c r="C33" s="24" t="inlineStr">
        <is>
          <t>SUPERSEDES_ID</t>
        </is>
      </c>
      <c r="D33" s="24" t="inlineStr">
        <is>
          <t>TRANSPORT_CONFIGURATION</t>
        </is>
      </c>
      <c r="E33" s="24" t="inlineStr">
        <is>
          <t>TRANSPORT_CONFIGURATION_ID</t>
        </is>
      </c>
      <c r="F33" s="24" t="inlineStr">
        <is>
          <t>NR_TRANSPORT_CONFIGURATION_ID</t>
        </is>
      </c>
      <c r="G33" s="24" t="inlineStr">
        <is>
          <t>N</t>
        </is>
      </c>
      <c r="H33" s="24" t="inlineStr">
        <is>
          <t>FK_TRANSPORT_CONFIGURATION_SUPERSEDES_ID</t>
        </is>
      </c>
    </row>
    <row r="34">
      <c r="A34" s="24" t="n">
        <v>33</v>
      </c>
      <c r="B34" s="24" t="inlineStr">
        <is>
          <t>TRANSPORT_CONFIGURATION</t>
        </is>
      </c>
      <c r="C34" s="24" t="inlineStr">
        <is>
          <t>STATUS_ID</t>
        </is>
      </c>
      <c r="D34" s="24" t="inlineStr">
        <is>
          <t>LKP_STATUS</t>
        </is>
      </c>
      <c r="E34" s="24" t="inlineStr">
        <is>
          <t>STATUS_ID</t>
        </is>
      </c>
      <c r="F34" s="24" t="inlineStr">
        <is>
          <t>NR_STATUS_ID</t>
        </is>
      </c>
      <c r="G34" s="24" t="inlineStr">
        <is>
          <t>Y</t>
        </is>
      </c>
      <c r="H34" s="24" t="inlineStr">
        <is>
          <t>FK_TRANSPORT_CONFIGURATION_STATUS_ID</t>
        </is>
      </c>
    </row>
    <row r="35">
      <c r="A35" s="24" t="n">
        <v>34</v>
      </c>
      <c r="B35" s="24" t="inlineStr">
        <is>
          <t>TRANSPORT_CONFIGURATION_LINE</t>
        </is>
      </c>
      <c r="C35" s="24" t="inlineStr">
        <is>
          <t>TRANSPORT_CONFIGURATION_ID</t>
        </is>
      </c>
      <c r="D35" s="24" t="inlineStr">
        <is>
          <t>TRANSPORT_CONFIGURATION</t>
        </is>
      </c>
      <c r="E35" s="24" t="inlineStr">
        <is>
          <t>TRANSPORT_CONFIGURATION_ID</t>
        </is>
      </c>
      <c r="F35" s="24" t="inlineStr">
        <is>
          <t>NR_TRANSPORT_CONFIGURATION_ID</t>
        </is>
      </c>
      <c r="G35" s="24" t="inlineStr">
        <is>
          <t>Y</t>
        </is>
      </c>
      <c r="H35" s="24" t="inlineStr">
        <is>
          <t>FK_TRANSPORT_CONFIGURATION_LINE_TRANSPORT_CONFIGURATION_ID</t>
        </is>
      </c>
    </row>
    <row r="36">
      <c r="A36" s="24" t="n">
        <v>35</v>
      </c>
      <c r="B36" s="24" t="inlineStr">
        <is>
          <t>TRANSPORT_CONFIGURATION_LINE</t>
        </is>
      </c>
      <c r="C36" s="24" t="inlineStr">
        <is>
          <t>COMPONENT_ID</t>
        </is>
      </c>
      <c r="D36" s="24" t="inlineStr">
        <is>
          <t>COMPONENT</t>
        </is>
      </c>
      <c r="E36" s="24" t="inlineStr">
        <is>
          <t>COMPONENT_ID</t>
        </is>
      </c>
      <c r="F36" s="24" t="inlineStr">
        <is>
          <t>NR_COMPONENT_ID</t>
        </is>
      </c>
      <c r="G36" s="24" t="inlineStr">
        <is>
          <t>Y</t>
        </is>
      </c>
      <c r="H36" s="24" t="inlineStr">
        <is>
          <t>FK_TRANSPORT_CONFIGURATION_LINE_COMPONENT_ID</t>
        </is>
      </c>
    </row>
    <row r="37">
      <c r="A37" s="24" t="n">
        <v>36</v>
      </c>
      <c r="B37" s="24" t="inlineStr">
        <is>
          <t>TRANSPORT_CONFIGURATION_LINE</t>
        </is>
      </c>
      <c r="C37" s="24" t="inlineStr">
        <is>
          <t>LINE_ROLE_ID</t>
        </is>
      </c>
      <c r="D37" s="24" t="inlineStr">
        <is>
          <t>LKP_LINE_ROLE</t>
        </is>
      </c>
      <c r="E37" s="24" t="inlineStr">
        <is>
          <t>LINE_ROLE_ID</t>
        </is>
      </c>
      <c r="F37" s="24" t="inlineStr">
        <is>
          <t>NR_LINE_ROLE_ID</t>
        </is>
      </c>
      <c r="G37" s="24" t="inlineStr">
        <is>
          <t>Y</t>
        </is>
      </c>
      <c r="H37" s="24" t="inlineStr">
        <is>
          <t>FK_TRANSPORT_CONFIGURATION_LINE_LINE_ROLE_ID</t>
        </is>
      </c>
    </row>
    <row r="38">
      <c r="A38" s="24" t="n">
        <v>37</v>
      </c>
      <c r="B38" s="24" t="inlineStr">
        <is>
          <t>COMMERCIAL_SCENARIO</t>
        </is>
      </c>
      <c r="C38" s="24" t="inlineStr">
        <is>
          <t>SCENARIO_TYPE_ID</t>
        </is>
      </c>
      <c r="D38" s="24" t="inlineStr">
        <is>
          <t>LKP_SCENARIO_TYPE</t>
        </is>
      </c>
      <c r="E38" s="24" t="inlineStr">
        <is>
          <t>SCENARIO_TYPE_ID</t>
        </is>
      </c>
      <c r="F38" s="24" t="inlineStr">
        <is>
          <t>NR_SCENARIO_TYPE_ID</t>
        </is>
      </c>
      <c r="G38" s="24" t="inlineStr">
        <is>
          <t>Y</t>
        </is>
      </c>
      <c r="H38" s="24" t="inlineStr">
        <is>
          <t>FK_COMMERCIAL_SCENARIO_SCENARIO_TYPE_ID</t>
        </is>
      </c>
    </row>
    <row r="39">
      <c r="A39" s="24" t="n">
        <v>38</v>
      </c>
      <c r="B39" s="24" t="inlineStr">
        <is>
          <t>COMMERCIAL_SCENARIO</t>
        </is>
      </c>
      <c r="C39" s="24" t="inlineStr">
        <is>
          <t>PRODUCT_ID</t>
        </is>
      </c>
      <c r="D39" s="24" t="inlineStr">
        <is>
          <t>PRODUCT</t>
        </is>
      </c>
      <c r="E39" s="24" t="inlineStr">
        <is>
          <t>PRODUCT_ID</t>
        </is>
      </c>
      <c r="F39" s="24" t="inlineStr">
        <is>
          <t>NR_PRODUCT_ID</t>
        </is>
      </c>
      <c r="G39" s="24" t="inlineStr">
        <is>
          <t>Y</t>
        </is>
      </c>
      <c r="H39" s="24" t="inlineStr">
        <is>
          <t>FK_COMMERCIAL_SCENARIO_PRODUCT_ID</t>
        </is>
      </c>
    </row>
    <row r="40">
      <c r="A40" s="24" t="n">
        <v>39</v>
      </c>
      <c r="B40" s="24" t="inlineStr">
        <is>
          <t>COMMERCIAL_SCENARIO</t>
        </is>
      </c>
      <c r="C40" s="24" t="inlineStr">
        <is>
          <t>TRANSPORT_CONFIGURATION_ID</t>
        </is>
      </c>
      <c r="D40" s="24" t="inlineStr">
        <is>
          <t>TRANSPORT_CONFIGURATION</t>
        </is>
      </c>
      <c r="E40" s="24" t="inlineStr">
        <is>
          <t>TRANSPORT_CONFIGURATION_ID</t>
        </is>
      </c>
      <c r="F40" s="24" t="inlineStr">
        <is>
          <t>NR_TRANSPORT_CONFIGURATION_ID</t>
        </is>
      </c>
      <c r="G40" s="24" t="inlineStr">
        <is>
          <t>Y</t>
        </is>
      </c>
      <c r="H40" s="24" t="inlineStr">
        <is>
          <t>FK_COMMERCIAL_SCENARIO_TRANSPORT_CONFIGURATION_ID</t>
        </is>
      </c>
    </row>
    <row r="41">
      <c r="A41" s="24" t="n">
        <v>40</v>
      </c>
      <c r="B41" s="24" t="inlineStr">
        <is>
          <t>COMMERCIAL_SCENARIO</t>
        </is>
      </c>
      <c r="C41" s="24" t="inlineStr">
        <is>
          <t>CUSTOMER_ID</t>
        </is>
      </c>
      <c r="D41" s="24" t="inlineStr">
        <is>
          <t>CUSTOMER</t>
        </is>
      </c>
      <c r="E41" s="24" t="inlineStr">
        <is>
          <t>CUSTOMER_ID</t>
        </is>
      </c>
      <c r="F41" s="24" t="inlineStr">
        <is>
          <t>NR_CUSTOMER_ID</t>
        </is>
      </c>
      <c r="G41" s="24" t="inlineStr">
        <is>
          <t>N</t>
        </is>
      </c>
      <c r="H41" s="24" t="inlineStr">
        <is>
          <t>FK_COMMERCIAL_SCENARIO_CUSTOMER_ID</t>
        </is>
      </c>
    </row>
    <row r="42">
      <c r="A42" s="24" t="n">
        <v>41</v>
      </c>
      <c r="B42" s="24" t="inlineStr">
        <is>
          <t>COMMERCIAL_SCENARIO</t>
        </is>
      </c>
      <c r="C42" s="24" t="inlineStr">
        <is>
          <t>DESTINATION_COUNTRY_ID</t>
        </is>
      </c>
      <c r="D42" s="24" t="inlineStr">
        <is>
          <t>LKP_COUNTRY</t>
        </is>
      </c>
      <c r="E42" s="24" t="inlineStr">
        <is>
          <t>COUNTRY_ID</t>
        </is>
      </c>
      <c r="F42" s="24" t="inlineStr">
        <is>
          <t>NR_COUNTRY_ID</t>
        </is>
      </c>
      <c r="G42" s="24" t="inlineStr">
        <is>
          <t>Y</t>
        </is>
      </c>
      <c r="H42" s="24" t="inlineStr">
        <is>
          <t>FK_COMMERCIAL_SCENARIO_DESTINATION_COUNTRY_ID</t>
        </is>
      </c>
    </row>
    <row r="43">
      <c r="A43" s="24" t="n">
        <v>42</v>
      </c>
      <c r="B43" s="24" t="inlineStr">
        <is>
          <t>COMMERCIAL_SCENARIO</t>
        </is>
      </c>
      <c r="C43" s="24" t="inlineStr">
        <is>
          <t>INCOTERM_ID</t>
        </is>
      </c>
      <c r="D43" s="24" t="inlineStr">
        <is>
          <t>LKP_INCOTERM</t>
        </is>
      </c>
      <c r="E43" s="24" t="inlineStr">
        <is>
          <t>INCOTERM_ID</t>
        </is>
      </c>
      <c r="F43" s="24" t="inlineStr">
        <is>
          <t>NR_INCOTERM_ID</t>
        </is>
      </c>
      <c r="G43" s="24" t="inlineStr">
        <is>
          <t>N</t>
        </is>
      </c>
      <c r="H43" s="24" t="inlineStr">
        <is>
          <t>FK_COMMERCIAL_SCENARIO_INCOTERM_ID</t>
        </is>
      </c>
    </row>
    <row r="44">
      <c r="A44" s="24" t="n">
        <v>43</v>
      </c>
      <c r="B44" s="24" t="inlineStr">
        <is>
          <t>COMMERCIAL_SCENARIO</t>
        </is>
      </c>
      <c r="C44" s="24" t="inlineStr">
        <is>
          <t>TRANSPORT_MODE_ID</t>
        </is>
      </c>
      <c r="D44" s="24" t="inlineStr">
        <is>
          <t>LKP_TRANSPORT_MODE</t>
        </is>
      </c>
      <c r="E44" s="24" t="inlineStr">
        <is>
          <t>TRANSPORT_MODE_ID</t>
        </is>
      </c>
      <c r="F44" s="24" t="inlineStr">
        <is>
          <t>NR_TRANSPORT_MODE_ID</t>
        </is>
      </c>
      <c r="G44" s="24" t="inlineStr">
        <is>
          <t>N</t>
        </is>
      </c>
      <c r="H44" s="24" t="inlineStr">
        <is>
          <t>FK_COMMERCIAL_SCENARIO_TRANSPORT_MODE_ID</t>
        </is>
      </c>
    </row>
    <row r="45">
      <c r="A45" s="24" t="n">
        <v>44</v>
      </c>
      <c r="B45" s="24" t="inlineStr">
        <is>
          <t>COMMERCIAL_SCENARIO</t>
        </is>
      </c>
      <c r="C45" s="24" t="inlineStr">
        <is>
          <t>STATUS_ID</t>
        </is>
      </c>
      <c r="D45" s="24" t="inlineStr">
        <is>
          <t>LKP_STATUS</t>
        </is>
      </c>
      <c r="E45" s="24" t="inlineStr">
        <is>
          <t>STATUS_ID</t>
        </is>
      </c>
      <c r="F45" s="24" t="inlineStr">
        <is>
          <t>NR_STATUS_ID</t>
        </is>
      </c>
      <c r="G45" s="24" t="inlineStr">
        <is>
          <t>Y</t>
        </is>
      </c>
      <c r="H45" s="24" t="inlineStr">
        <is>
          <t>FK_COMMERCIAL_SCENARIO_STATUS_ID</t>
        </is>
      </c>
    </row>
    <row r="46">
      <c r="A46" s="24" t="n">
        <v>45</v>
      </c>
      <c r="B46" s="24" t="inlineStr">
        <is>
          <t>SHIPMENT</t>
        </is>
      </c>
      <c r="C46" s="24" t="inlineStr">
        <is>
          <t>COMMERCIAL_SCENARIO_ID</t>
        </is>
      </c>
      <c r="D46" s="24" t="inlineStr">
        <is>
          <t>COMMERCIAL_SCENARIO</t>
        </is>
      </c>
      <c r="E46" s="24" t="inlineStr">
        <is>
          <t>COMMERCIAL_SCENARIO_ID</t>
        </is>
      </c>
      <c r="F46" s="24" t="inlineStr">
        <is>
          <t>NR_COMMERCIAL_SCENARIO_ID</t>
        </is>
      </c>
      <c r="G46" s="24" t="inlineStr">
        <is>
          <t>Y</t>
        </is>
      </c>
      <c r="H46" s="24" t="inlineStr">
        <is>
          <t>FK_SHIPMENT_COMMERCIAL_SCENARIO_ID</t>
        </is>
      </c>
    </row>
    <row r="47">
      <c r="A47" s="24" t="n">
        <v>46</v>
      </c>
      <c r="B47" s="24" t="inlineStr">
        <is>
          <t>SHIPMENT</t>
        </is>
      </c>
      <c r="C47" s="24" t="inlineStr">
        <is>
          <t>PLANT_ID</t>
        </is>
      </c>
      <c r="D47" s="24" t="inlineStr">
        <is>
          <t>PLANT</t>
        </is>
      </c>
      <c r="E47" s="24" t="inlineStr">
        <is>
          <t>PLANT_ID</t>
        </is>
      </c>
      <c r="F47" s="24" t="inlineStr">
        <is>
          <t>NR_PLANT_ID</t>
        </is>
      </c>
      <c r="G47" s="24" t="inlineStr">
        <is>
          <t>Y</t>
        </is>
      </c>
      <c r="H47" s="24" t="inlineStr">
        <is>
          <t>FK_SHIPMENT_PLANT_ID</t>
        </is>
      </c>
    </row>
    <row r="48">
      <c r="A48" s="24" t="n">
        <v>47</v>
      </c>
      <c r="B48" s="24" t="inlineStr">
        <is>
          <t>SHIPMENT</t>
        </is>
      </c>
      <c r="C48" s="24" t="inlineStr">
        <is>
          <t>PACKAGING_CONFIGURATION_ID</t>
        </is>
      </c>
      <c r="D48" s="24" t="inlineStr">
        <is>
          <t>PACKAGING_CONFIGURATION</t>
        </is>
      </c>
      <c r="E48" s="24" t="inlineStr">
        <is>
          <t>PACKAGING_CONFIGURATION_ID</t>
        </is>
      </c>
      <c r="F48" s="24" t="inlineStr">
        <is>
          <t>NR_PACKAGING_CONFIGURATION_ID</t>
        </is>
      </c>
      <c r="G48" s="24" t="inlineStr">
        <is>
          <t>Y</t>
        </is>
      </c>
      <c r="H48" s="24" t="inlineStr">
        <is>
          <t>FK_SHIPMENT_PACKAGING_CONFIGURATION_ID</t>
        </is>
      </c>
    </row>
    <row r="49">
      <c r="A49" s="24" t="n">
        <v>48</v>
      </c>
      <c r="B49" s="24" t="inlineStr">
        <is>
          <t>SHIPMENT</t>
        </is>
      </c>
      <c r="C49" s="24" t="inlineStr">
        <is>
          <t>TRANSPORT_CONFIGURATION_ID</t>
        </is>
      </c>
      <c r="D49" s="24" t="inlineStr">
        <is>
          <t>TRANSPORT_CONFIGURATION</t>
        </is>
      </c>
      <c r="E49" s="24" t="inlineStr">
        <is>
          <t>TRANSPORT_CONFIGURATION_ID</t>
        </is>
      </c>
      <c r="F49" s="24" t="inlineStr">
        <is>
          <t>NR_TRANSPORT_CONFIGURATION_ID</t>
        </is>
      </c>
      <c r="G49" s="24" t="inlineStr">
        <is>
          <t>Y</t>
        </is>
      </c>
      <c r="H49" s="24" t="inlineStr">
        <is>
          <t>FK_SHIPMENT_TRANSPORT_CONFIGURATION_ID</t>
        </is>
      </c>
    </row>
    <row r="50">
      <c r="A50" s="24" t="n">
        <v>49</v>
      </c>
      <c r="B50" s="24" t="inlineStr">
        <is>
          <t>SHIPMENT</t>
        </is>
      </c>
      <c r="C50" s="24" t="inlineStr">
        <is>
          <t>DESTINATION_COUNTRY_ID</t>
        </is>
      </c>
      <c r="D50" s="24" t="inlineStr">
        <is>
          <t>LKP_COUNTRY</t>
        </is>
      </c>
      <c r="E50" s="24" t="inlineStr">
        <is>
          <t>COUNTRY_ID</t>
        </is>
      </c>
      <c r="F50" s="24" t="inlineStr">
        <is>
          <t>NR_COUNTRY_ID</t>
        </is>
      </c>
      <c r="G50" s="24" t="inlineStr">
        <is>
          <t>N</t>
        </is>
      </c>
      <c r="H50" s="24" t="inlineStr">
        <is>
          <t>FK_SHIPMENT_DESTINATION_COUNTRY_ID</t>
        </is>
      </c>
    </row>
    <row r="51">
      <c r="A51" s="24" t="n">
        <v>50</v>
      </c>
      <c r="B51" s="24" t="inlineStr">
        <is>
          <t>SHIPMENT</t>
        </is>
      </c>
      <c r="C51" s="24" t="inlineStr">
        <is>
          <t>TRANSPORT_MODE_ID</t>
        </is>
      </c>
      <c r="D51" s="24" t="inlineStr">
        <is>
          <t>LKP_TRANSPORT_MODE</t>
        </is>
      </c>
      <c r="E51" s="24" t="inlineStr">
        <is>
          <t>TRANSPORT_MODE_ID</t>
        </is>
      </c>
      <c r="F51" s="24" t="inlineStr">
        <is>
          <t>NR_TRANSPORT_MODE_ID</t>
        </is>
      </c>
      <c r="G51" s="24" t="inlineStr">
        <is>
          <t>N</t>
        </is>
      </c>
      <c r="H51" s="24" t="inlineStr">
        <is>
          <t>FK_SHIPMENT_TRANSPORT_MODE_ID</t>
        </is>
      </c>
    </row>
    <row r="52">
      <c r="A52" s="24" t="n">
        <v>51</v>
      </c>
      <c r="B52" s="24" t="inlineStr">
        <is>
          <t>SHIPMENT</t>
        </is>
      </c>
      <c r="C52" s="24" t="inlineStr">
        <is>
          <t>STATUS_ID</t>
        </is>
      </c>
      <c r="D52" s="24" t="inlineStr">
        <is>
          <t>LKP_STATUS</t>
        </is>
      </c>
      <c r="E52" s="24" t="inlineStr">
        <is>
          <t>STATUS_ID</t>
        </is>
      </c>
      <c r="F52" s="24" t="inlineStr">
        <is>
          <t>NR_STATUS_ID</t>
        </is>
      </c>
      <c r="G52" s="24" t="inlineStr">
        <is>
          <t>Y</t>
        </is>
      </c>
      <c r="H52" s="24" t="inlineStr">
        <is>
          <t>FK_SHIPMENT_STATUS_ID</t>
        </is>
      </c>
    </row>
    <row r="53">
      <c r="A53" s="24" t="n">
        <v>52</v>
      </c>
      <c r="B53" s="24" t="inlineStr">
        <is>
          <t>SHIPMENT_LINE</t>
        </is>
      </c>
      <c r="C53" s="24" t="inlineStr">
        <is>
          <t>SHIPMENT_ID</t>
        </is>
      </c>
      <c r="D53" s="24" t="inlineStr">
        <is>
          <t>SHIPMENT</t>
        </is>
      </c>
      <c r="E53" s="24" t="inlineStr">
        <is>
          <t>SHIPMENT_ID</t>
        </is>
      </c>
      <c r="F53" s="24" t="inlineStr">
        <is>
          <t>NR_SHIPMENT_ID</t>
        </is>
      </c>
      <c r="G53" s="24" t="inlineStr">
        <is>
          <t>Y</t>
        </is>
      </c>
      <c r="H53" s="24" t="inlineStr">
        <is>
          <t>FK_SHIPMENT_LINE_SHIPMENT_ID</t>
        </is>
      </c>
    </row>
    <row r="54">
      <c r="A54" s="24" t="n">
        <v>53</v>
      </c>
      <c r="B54" s="24" t="inlineStr">
        <is>
          <t>SHIPMENT_LINE</t>
        </is>
      </c>
      <c r="C54" s="24" t="inlineStr">
        <is>
          <t>COMPONENT_ID</t>
        </is>
      </c>
      <c r="D54" s="24" t="inlineStr">
        <is>
          <t>COMPONENT</t>
        </is>
      </c>
      <c r="E54" s="24" t="inlineStr">
        <is>
          <t>COMPONENT_ID</t>
        </is>
      </c>
      <c r="F54" s="24" t="inlineStr">
        <is>
          <t>NR_COMPONENT_ID</t>
        </is>
      </c>
      <c r="G54" s="24" t="inlineStr">
        <is>
          <t>Y</t>
        </is>
      </c>
      <c r="H54" s="24" t="inlineStr">
        <is>
          <t>FK_SHIPMENT_LINE_COMPONENT_ID</t>
        </is>
      </c>
    </row>
    <row r="55">
      <c r="A55" s="24" t="n">
        <v>54</v>
      </c>
      <c r="B55" s="24" t="inlineStr">
        <is>
          <t>SHIPMENT_LINE</t>
        </is>
      </c>
      <c r="C55" s="24" t="inlineStr">
        <is>
          <t>MATERIAL_ID</t>
        </is>
      </c>
      <c r="D55" s="24" t="inlineStr">
        <is>
          <t>LKP_MATERIAL</t>
        </is>
      </c>
      <c r="E55" s="24" t="inlineStr">
        <is>
          <t>MATERIAL_ID</t>
        </is>
      </c>
      <c r="F55" s="24" t="inlineStr">
        <is>
          <t>NR_MATERIAL_ID</t>
        </is>
      </c>
      <c r="G55" s="24" t="inlineStr">
        <is>
          <t>Y</t>
        </is>
      </c>
      <c r="H55" s="24" t="inlineStr">
        <is>
          <t>FK_SHIPMENT_LINE_MATERIAL_ID</t>
        </is>
      </c>
    </row>
    <row r="56">
      <c r="A56" s="24" t="n">
        <v>55</v>
      </c>
      <c r="B56" s="24" t="inlineStr">
        <is>
          <t>SHIPMENT_LINE</t>
        </is>
      </c>
      <c r="C56" s="24" t="inlineStr">
        <is>
          <t>PACKAGING_LEVEL_ID</t>
        </is>
      </c>
      <c r="D56" s="24" t="inlineStr">
        <is>
          <t>LKP_PACKAGING_LEVEL</t>
        </is>
      </c>
      <c r="E56" s="24" t="inlineStr">
        <is>
          <t>PACKAGING_LEVEL_ID</t>
        </is>
      </c>
      <c r="F56" s="24" t="inlineStr">
        <is>
          <t>NR_PACKAGING_LEVEL_ID</t>
        </is>
      </c>
      <c r="G56" s="24" t="inlineStr">
        <is>
          <t>Y</t>
        </is>
      </c>
      <c r="H56" s="24" t="inlineStr">
        <is>
          <t>FK_SHIPMENT_LINE_PACKAGING_LEVEL_ID</t>
        </is>
      </c>
    </row>
    <row r="57">
      <c r="A57" s="24" t="n">
        <v>56</v>
      </c>
      <c r="B57" s="24" t="inlineStr">
        <is>
          <t>SHIPMENT_LINE</t>
        </is>
      </c>
      <c r="C57" s="24" t="inlineStr">
        <is>
          <t>PACKAGING_FUNCTION_ID</t>
        </is>
      </c>
      <c r="D57" s="24" t="inlineStr">
        <is>
          <t>LKP_PACKAGING_FUNCTION</t>
        </is>
      </c>
      <c r="E57" s="24" t="inlineStr">
        <is>
          <t>PACKAGING_FUNCTION_ID</t>
        </is>
      </c>
      <c r="F57" s="24" t="inlineStr">
        <is>
          <t>NR_PACKAGING_FUNCTION_ID</t>
        </is>
      </c>
      <c r="G57" s="24" t="inlineStr">
        <is>
          <t>Y</t>
        </is>
      </c>
      <c r="H57" s="24" t="inlineStr">
        <is>
          <t>FK_SHIPMENT_LINE_PACKAGING_FUNCTION_ID</t>
        </is>
      </c>
    </row>
    <row r="58">
      <c r="A58" s="24" t="n">
        <v>57</v>
      </c>
      <c r="B58" s="24" t="inlineStr">
        <is>
          <t>SHIPMENT_LINE</t>
        </is>
      </c>
      <c r="C58" s="24" t="inlineStr">
        <is>
          <t>OWNERSHIP_TYPE_ID</t>
        </is>
      </c>
      <c r="D58" s="24" t="inlineStr">
        <is>
          <t>LKP_OWNERSHIP_TYPE</t>
        </is>
      </c>
      <c r="E58" s="24" t="inlineStr">
        <is>
          <t>OWNERSHIP_TYPE_ID</t>
        </is>
      </c>
      <c r="F58" s="24" t="inlineStr">
        <is>
          <t>NR_OWNERSHIP_TYPE_ID</t>
        </is>
      </c>
      <c r="G58" s="24" t="inlineStr">
        <is>
          <t>Y</t>
        </is>
      </c>
      <c r="H58" s="24" t="inlineStr">
        <is>
          <t>FK_SHIPMENT_LINE_OWNERSHIP_TYPE_ID</t>
        </is>
      </c>
    </row>
    <row r="59">
      <c r="A59" s="24" t="n">
        <v>58</v>
      </c>
      <c r="B59" s="24" t="inlineStr">
        <is>
          <t>TECHNICAL_FILE</t>
        </is>
      </c>
      <c r="C59" s="24" t="inlineStr">
        <is>
          <t>COMPONENT_ID</t>
        </is>
      </c>
      <c r="D59" s="24" t="inlineStr">
        <is>
          <t>COMPONENT</t>
        </is>
      </c>
      <c r="E59" s="24" t="inlineStr">
        <is>
          <t>COMPONENT_ID</t>
        </is>
      </c>
      <c r="F59" s="24" t="inlineStr">
        <is>
          <t>NR_COMPONENT_ID</t>
        </is>
      </c>
      <c r="G59" s="24" t="inlineStr">
        <is>
          <t>N</t>
        </is>
      </c>
      <c r="H59" s="24" t="inlineStr">
        <is>
          <t>FK_TECHNICAL_FILE_COMPONENT_ID</t>
        </is>
      </c>
    </row>
    <row r="60">
      <c r="A60" s="24" t="n">
        <v>59</v>
      </c>
      <c r="B60" s="24" t="inlineStr">
        <is>
          <t>TECHNICAL_FILE</t>
        </is>
      </c>
      <c r="C60" s="24" t="inlineStr">
        <is>
          <t>PACKAGING_CONFIGURATION_ID</t>
        </is>
      </c>
      <c r="D60" s="24" t="inlineStr">
        <is>
          <t>PACKAGING_CONFIGURATION</t>
        </is>
      </c>
      <c r="E60" s="24" t="inlineStr">
        <is>
          <t>PACKAGING_CONFIGURATION_ID</t>
        </is>
      </c>
      <c r="F60" s="24" t="inlineStr">
        <is>
          <t>NR_PACKAGING_CONFIGURATION_ID</t>
        </is>
      </c>
      <c r="G60" s="24" t="inlineStr">
        <is>
          <t>N</t>
        </is>
      </c>
      <c r="H60" s="24" t="inlineStr">
        <is>
          <t>FK_TECHNICAL_FILE_PACKAGING_CONFIGURATION_ID</t>
        </is>
      </c>
    </row>
    <row r="61">
      <c r="A61" s="24" t="n">
        <v>60</v>
      </c>
      <c r="B61" s="24" t="inlineStr">
        <is>
          <t>TECHNICAL_FILE</t>
        </is>
      </c>
      <c r="C61" s="24" t="inlineStr">
        <is>
          <t>TRANSPORT_CONFIGURATION_ID</t>
        </is>
      </c>
      <c r="D61" s="24" t="inlineStr">
        <is>
          <t>TRANSPORT_CONFIGURATION</t>
        </is>
      </c>
      <c r="E61" s="24" t="inlineStr">
        <is>
          <t>TRANSPORT_CONFIGURATION_ID</t>
        </is>
      </c>
      <c r="F61" s="24" t="inlineStr">
        <is>
          <t>NR_TRANSPORT_CONFIGURATION_ID</t>
        </is>
      </c>
      <c r="G61" s="24" t="inlineStr">
        <is>
          <t>N</t>
        </is>
      </c>
      <c r="H61" s="24" t="inlineStr">
        <is>
          <t>FK_TECHNICAL_FILE_TRANSPORT_CONFIGURATION_ID</t>
        </is>
      </c>
    </row>
    <row r="62">
      <c r="A62" s="24" t="n">
        <v>61</v>
      </c>
      <c r="B62" s="24" t="inlineStr">
        <is>
          <t>TECHNICAL_FILE</t>
        </is>
      </c>
      <c r="C62" s="24" t="inlineStr">
        <is>
          <t>OWNER_PERSON_ID</t>
        </is>
      </c>
      <c r="D62" s="24" t="inlineStr">
        <is>
          <t>PERSON</t>
        </is>
      </c>
      <c r="E62" s="24" t="inlineStr">
        <is>
          <t>PERSON_ID</t>
        </is>
      </c>
      <c r="F62" s="24" t="inlineStr">
        <is>
          <t>NR_PERSON_ID</t>
        </is>
      </c>
      <c r="G62" s="24" t="inlineStr">
        <is>
          <t>N</t>
        </is>
      </c>
      <c r="H62" s="24" t="inlineStr">
        <is>
          <t>FK_TECHNICAL_FILE_OWNER_PERSON_ID</t>
        </is>
      </c>
    </row>
    <row r="63">
      <c r="A63" s="24" t="n">
        <v>62</v>
      </c>
      <c r="B63" s="24" t="inlineStr">
        <is>
          <t>TECHNICAL_FILE</t>
        </is>
      </c>
      <c r="C63" s="24" t="inlineStr">
        <is>
          <t>STATUS_ID</t>
        </is>
      </c>
      <c r="D63" s="24" t="inlineStr">
        <is>
          <t>LKP_STATUS</t>
        </is>
      </c>
      <c r="E63" s="24" t="inlineStr">
        <is>
          <t>STATUS_ID</t>
        </is>
      </c>
      <c r="F63" s="24" t="inlineStr">
        <is>
          <t>NR_STATUS_ID</t>
        </is>
      </c>
      <c r="G63" s="24" t="inlineStr">
        <is>
          <t>Y</t>
        </is>
      </c>
      <c r="H63" s="24" t="inlineStr">
        <is>
          <t>FK_TECHNICAL_FILE_STATUS_ID</t>
        </is>
      </c>
    </row>
    <row r="64">
      <c r="A64" s="24" t="n">
        <v>63</v>
      </c>
      <c r="B64" s="24" t="inlineStr">
        <is>
          <t>DECLARATION_OF_CONFORMITY</t>
        </is>
      </c>
      <c r="C64" s="24" t="inlineStr">
        <is>
          <t>LEGAL_ENTITY_ID</t>
        </is>
      </c>
      <c r="D64" s="24" t="inlineStr">
        <is>
          <t>LEGAL_ENTITY</t>
        </is>
      </c>
      <c r="E64" s="24" t="inlineStr">
        <is>
          <t>LEGAL_ENTITY_ID</t>
        </is>
      </c>
      <c r="F64" s="24" t="inlineStr">
        <is>
          <t>NR_LEGAL_ENTITY_ID</t>
        </is>
      </c>
      <c r="G64" s="24" t="inlineStr">
        <is>
          <t>Y</t>
        </is>
      </c>
      <c r="H64" s="24" t="inlineStr">
        <is>
          <t>FK_DECLARATION_OF_CONFORMITY_LEGAL_ENTITY_ID</t>
        </is>
      </c>
    </row>
    <row r="65">
      <c r="A65" s="24" t="n">
        <v>64</v>
      </c>
      <c r="B65" s="24" t="inlineStr">
        <is>
          <t>DECLARATION_OF_CONFORMITY</t>
        </is>
      </c>
      <c r="C65" s="24" t="inlineStr">
        <is>
          <t>PRODUCT_ID</t>
        </is>
      </c>
      <c r="D65" s="24" t="inlineStr">
        <is>
          <t>PRODUCT</t>
        </is>
      </c>
      <c r="E65" s="24" t="inlineStr">
        <is>
          <t>PRODUCT_ID</t>
        </is>
      </c>
      <c r="F65" s="24" t="inlineStr">
        <is>
          <t>NR_PRODUCT_ID</t>
        </is>
      </c>
      <c r="G65" s="24" t="inlineStr">
        <is>
          <t>N</t>
        </is>
      </c>
      <c r="H65" s="24" t="inlineStr">
        <is>
          <t>FK_DECLARATION_OF_CONFORMITY_PRODUCT_ID</t>
        </is>
      </c>
    </row>
    <row r="66">
      <c r="A66" s="24" t="n">
        <v>65</v>
      </c>
      <c r="B66" s="24" t="inlineStr">
        <is>
          <t>DECLARATION_OF_CONFORMITY</t>
        </is>
      </c>
      <c r="C66" s="24" t="inlineStr">
        <is>
          <t>PACKAGING_CONFIGURATION_ID</t>
        </is>
      </c>
      <c r="D66" s="24" t="inlineStr">
        <is>
          <t>PACKAGING_CONFIGURATION</t>
        </is>
      </c>
      <c r="E66" s="24" t="inlineStr">
        <is>
          <t>PACKAGING_CONFIGURATION_ID</t>
        </is>
      </c>
      <c r="F66" s="24" t="inlineStr">
        <is>
          <t>NR_PACKAGING_CONFIGURATION_ID</t>
        </is>
      </c>
      <c r="G66" s="24" t="inlineStr">
        <is>
          <t>N</t>
        </is>
      </c>
      <c r="H66" s="24" t="inlineStr">
        <is>
          <t>FK_DECLARATION_OF_CONFORMITY_PACKAGING_CONFIGURATION_ID</t>
        </is>
      </c>
    </row>
    <row r="67">
      <c r="A67" s="24" t="n">
        <v>66</v>
      </c>
      <c r="B67" s="24" t="inlineStr">
        <is>
          <t>DECLARATION_OF_CONFORMITY</t>
        </is>
      </c>
      <c r="C67" s="24" t="inlineStr">
        <is>
          <t>TRANSPORT_CONFIGURATION_ID</t>
        </is>
      </c>
      <c r="D67" s="24" t="inlineStr">
        <is>
          <t>TRANSPORT_CONFIGURATION</t>
        </is>
      </c>
      <c r="E67" s="24" t="inlineStr">
        <is>
          <t>TRANSPORT_CONFIGURATION_ID</t>
        </is>
      </c>
      <c r="F67" s="24" t="inlineStr">
        <is>
          <t>NR_TRANSPORT_CONFIGURATION_ID</t>
        </is>
      </c>
      <c r="G67" s="24" t="inlineStr">
        <is>
          <t>N</t>
        </is>
      </c>
      <c r="H67" s="24" t="inlineStr">
        <is>
          <t>FK_DECLARATION_OF_CONFORMITY_TRANSPORT_CONFIGURATION_ID</t>
        </is>
      </c>
    </row>
    <row r="68">
      <c r="A68" s="24" t="n">
        <v>67</v>
      </c>
      <c r="B68" s="24" t="inlineStr">
        <is>
          <t>DECLARATION_OF_CONFORMITY</t>
        </is>
      </c>
      <c r="C68" s="24" t="inlineStr">
        <is>
          <t>TECHNICAL_FILE_ID</t>
        </is>
      </c>
      <c r="D68" s="24" t="inlineStr">
        <is>
          <t>TECHNICAL_FILE</t>
        </is>
      </c>
      <c r="E68" s="24" t="inlineStr">
        <is>
          <t>TECHNICAL_FILE_ID</t>
        </is>
      </c>
      <c r="F68" s="24" t="inlineStr">
        <is>
          <t>NR_TECHNICAL_FILE_ID</t>
        </is>
      </c>
      <c r="G68" s="24" t="inlineStr">
        <is>
          <t>Y</t>
        </is>
      </c>
      <c r="H68" s="24" t="inlineStr">
        <is>
          <t>FK_DECLARATION_OF_CONFORMITY_TECHNICAL_FILE_ID</t>
        </is>
      </c>
    </row>
    <row r="69">
      <c r="A69" s="24" t="n">
        <v>68</v>
      </c>
      <c r="B69" s="24" t="inlineStr">
        <is>
          <t>DECLARATION_OF_CONFORMITY</t>
        </is>
      </c>
      <c r="C69" s="24" t="inlineStr">
        <is>
          <t>RESPONSIBLE_PERSON_ID</t>
        </is>
      </c>
      <c r="D69" s="24" t="inlineStr">
        <is>
          <t>PERSON</t>
        </is>
      </c>
      <c r="E69" s="24" t="inlineStr">
        <is>
          <t>PERSON_ID</t>
        </is>
      </c>
      <c r="F69" s="24" t="inlineStr">
        <is>
          <t>NR_PERSON_ID</t>
        </is>
      </c>
      <c r="G69" s="24" t="inlineStr">
        <is>
          <t>Y</t>
        </is>
      </c>
      <c r="H69" s="24" t="inlineStr">
        <is>
          <t>FK_DECLARATION_OF_CONFORMITY_RESPONSIBLE_PERSON_ID</t>
        </is>
      </c>
    </row>
    <row r="70">
      <c r="A70" s="24" t="n">
        <v>69</v>
      </c>
      <c r="B70" s="24" t="inlineStr">
        <is>
          <t>DECLARATION_OF_CONFORMITY</t>
        </is>
      </c>
      <c r="C70" s="24" t="inlineStr">
        <is>
          <t>STATUS_ID</t>
        </is>
      </c>
      <c r="D70" s="24" t="inlineStr">
        <is>
          <t>LKP_STATUS</t>
        </is>
      </c>
      <c r="E70" s="24" t="inlineStr">
        <is>
          <t>STATUS_ID</t>
        </is>
      </c>
      <c r="F70" s="24" t="inlineStr">
        <is>
          <t>NR_STATUS_ID</t>
        </is>
      </c>
      <c r="G70" s="24" t="inlineStr">
        <is>
          <t>Y</t>
        </is>
      </c>
      <c r="H70" s="24" t="inlineStr">
        <is>
          <t>FK_DECLARATION_OF_CONFORMITY_STATUS_ID</t>
        </is>
      </c>
    </row>
    <row r="71">
      <c r="A71" s="24" t="n">
        <v>70</v>
      </c>
      <c r="B71" s="24" t="inlineStr">
        <is>
          <t>STATEMENT</t>
        </is>
      </c>
      <c r="C71" s="24" t="inlineStr">
        <is>
          <t>STATEMENT_TYPE_ID</t>
        </is>
      </c>
      <c r="D71" s="24" t="inlineStr">
        <is>
          <t>LKP_STATEMENT_TYPE</t>
        </is>
      </c>
      <c r="E71" s="24" t="inlineStr">
        <is>
          <t>STATEMENT_TYPE_ID</t>
        </is>
      </c>
      <c r="F71" s="24" t="inlineStr">
        <is>
          <t>NR_STATEMENT_TYPE_ID</t>
        </is>
      </c>
      <c r="G71" s="24" t="inlineStr">
        <is>
          <t>Y</t>
        </is>
      </c>
      <c r="H71" s="24" t="inlineStr">
        <is>
          <t>FK_STATEMENT_STATEMENT_TYPE_ID</t>
        </is>
      </c>
    </row>
    <row r="72">
      <c r="A72" s="24" t="n">
        <v>71</v>
      </c>
      <c r="B72" s="24" t="inlineStr">
        <is>
          <t>STATEMENT</t>
        </is>
      </c>
      <c r="C72" s="24" t="inlineStr">
        <is>
          <t>LEGAL_ENTITY_ID</t>
        </is>
      </c>
      <c r="D72" s="24" t="inlineStr">
        <is>
          <t>LEGAL_ENTITY</t>
        </is>
      </c>
      <c r="E72" s="24" t="inlineStr">
        <is>
          <t>LEGAL_ENTITY_ID</t>
        </is>
      </c>
      <c r="F72" s="24" t="inlineStr">
        <is>
          <t>NR_LEGAL_ENTITY_ID</t>
        </is>
      </c>
      <c r="G72" s="24" t="inlineStr">
        <is>
          <t>Y</t>
        </is>
      </c>
      <c r="H72" s="24" t="inlineStr">
        <is>
          <t>FK_STATEMENT_LEGAL_ENTITY_ID</t>
        </is>
      </c>
    </row>
    <row r="73">
      <c r="A73" s="24" t="n">
        <v>72</v>
      </c>
      <c r="B73" s="24" t="inlineStr">
        <is>
          <t>STATEMENT</t>
        </is>
      </c>
      <c r="C73" s="24" t="inlineStr">
        <is>
          <t>COUNTRY_ID</t>
        </is>
      </c>
      <c r="D73" s="24" t="inlineStr">
        <is>
          <t>LKP_COUNTRY</t>
        </is>
      </c>
      <c r="E73" s="24" t="inlineStr">
        <is>
          <t>COUNTRY_ID</t>
        </is>
      </c>
      <c r="F73" s="24" t="inlineStr">
        <is>
          <t>NR_COUNTRY_ID</t>
        </is>
      </c>
      <c r="G73" s="24" t="inlineStr">
        <is>
          <t>Y</t>
        </is>
      </c>
      <c r="H73" s="24" t="inlineStr">
        <is>
          <t>FK_STATEMENT_COUNTRY_ID</t>
        </is>
      </c>
    </row>
    <row r="74">
      <c r="A74" s="24" t="n">
        <v>73</v>
      </c>
      <c r="B74" s="24" t="inlineStr">
        <is>
          <t>STATEMENT</t>
        </is>
      </c>
      <c r="C74" s="24" t="inlineStr">
        <is>
          <t>STATUS_ID</t>
        </is>
      </c>
      <c r="D74" s="24" t="inlineStr">
        <is>
          <t>LKP_STATUS</t>
        </is>
      </c>
      <c r="E74" s="24" t="inlineStr">
        <is>
          <t>STATUS_ID</t>
        </is>
      </c>
      <c r="F74" s="24" t="inlineStr">
        <is>
          <t>NR_STATUS_ID</t>
        </is>
      </c>
      <c r="G74" s="24" t="inlineStr">
        <is>
          <t>Y</t>
        </is>
      </c>
      <c r="H74" s="24" t="inlineStr">
        <is>
          <t>FK_STATEMENT_STATUS_ID</t>
        </is>
      </c>
    </row>
    <row r="75">
      <c r="A75" s="24" t="n">
        <v>74</v>
      </c>
      <c r="B75" s="24" t="inlineStr">
        <is>
          <t>STATEMENT</t>
        </is>
      </c>
      <c r="C75" s="24" t="inlineStr">
        <is>
          <t>APPROVED_BY_PERSON_ID</t>
        </is>
      </c>
      <c r="D75" s="24" t="inlineStr">
        <is>
          <t>PERSON</t>
        </is>
      </c>
      <c r="E75" s="24" t="inlineStr">
        <is>
          <t>PERSON_ID</t>
        </is>
      </c>
      <c r="F75" s="24" t="inlineStr">
        <is>
          <t>NR_PERSON_ID</t>
        </is>
      </c>
      <c r="G75" s="24" t="inlineStr">
        <is>
          <t>N</t>
        </is>
      </c>
      <c r="H75" s="24" t="inlineStr">
        <is>
          <t>FK_STATEMENT_APPROVED_BY_PERSON_ID</t>
        </is>
      </c>
    </row>
    <row r="76">
      <c r="A76" s="24" t="n">
        <v>75</v>
      </c>
      <c r="B76" s="24" t="inlineStr">
        <is>
          <t>STATEMENT_SHIPMENT</t>
        </is>
      </c>
      <c r="C76" s="24" t="inlineStr">
        <is>
          <t>STATEMENT_ID</t>
        </is>
      </c>
      <c r="D76" s="24" t="inlineStr">
        <is>
          <t>STATEMENT</t>
        </is>
      </c>
      <c r="E76" s="24" t="inlineStr">
        <is>
          <t>STATEMENT_ID</t>
        </is>
      </c>
      <c r="F76" s="24" t="inlineStr">
        <is>
          <t>NR_STATEMENT_ID</t>
        </is>
      </c>
      <c r="G76" s="24" t="inlineStr">
        <is>
          <t>Y</t>
        </is>
      </c>
      <c r="H76" s="24" t="inlineStr">
        <is>
          <t>FK_STATEMENT_SHIPMENT_STATEMENT_ID</t>
        </is>
      </c>
    </row>
    <row r="77">
      <c r="A77" s="24" t="n">
        <v>76</v>
      </c>
      <c r="B77" s="24" t="inlineStr">
        <is>
          <t>STATEMENT_SHIPMENT</t>
        </is>
      </c>
      <c r="C77" s="24" t="inlineStr">
        <is>
          <t>SHIPMENT_ID</t>
        </is>
      </c>
      <c r="D77" s="24" t="inlineStr">
        <is>
          <t>SHIPMENT</t>
        </is>
      </c>
      <c r="E77" s="24" t="inlineStr">
        <is>
          <t>SHIPMENT_ID</t>
        </is>
      </c>
      <c r="F77" s="24" t="inlineStr">
        <is>
          <t>NR_SHIPMENT_ID</t>
        </is>
      </c>
      <c r="G77" s="24" t="inlineStr">
        <is>
          <t>Y</t>
        </is>
      </c>
      <c r="H77" s="24" t="inlineStr">
        <is>
          <t>FK_STATEMENT_SHIPMENT_SHIPMENT_ID</t>
        </is>
      </c>
    </row>
    <row r="78">
      <c r="A78" s="24" t="n">
        <v>77</v>
      </c>
      <c r="B78" s="24" t="inlineStr">
        <is>
          <t>STATEMENT_LINE</t>
        </is>
      </c>
      <c r="C78" s="24" t="inlineStr">
        <is>
          <t>STATEMENT_ID</t>
        </is>
      </c>
      <c r="D78" s="24" t="inlineStr">
        <is>
          <t>STATEMENT</t>
        </is>
      </c>
      <c r="E78" s="24" t="inlineStr">
        <is>
          <t>STATEMENT_ID</t>
        </is>
      </c>
      <c r="F78" s="24" t="inlineStr">
        <is>
          <t>NR_STATEMENT_ID</t>
        </is>
      </c>
      <c r="G78" s="24" t="inlineStr">
        <is>
          <t>Y</t>
        </is>
      </c>
      <c r="H78" s="24" t="inlineStr">
        <is>
          <t>FK_STATEMENT_LINE_STATEMENT_ID</t>
        </is>
      </c>
    </row>
    <row r="79">
      <c r="A79" s="24" t="n">
        <v>78</v>
      </c>
      <c r="B79" s="24" t="inlineStr">
        <is>
          <t>STATEMENT_LINE</t>
        </is>
      </c>
      <c r="C79" s="24" t="inlineStr">
        <is>
          <t>MATERIAL_ID</t>
        </is>
      </c>
      <c r="D79" s="24" t="inlineStr">
        <is>
          <t>LKP_MATERIAL</t>
        </is>
      </c>
      <c r="E79" s="24" t="inlineStr">
        <is>
          <t>MATERIAL_ID</t>
        </is>
      </c>
      <c r="F79" s="24" t="inlineStr">
        <is>
          <t>NR_MATERIAL_ID</t>
        </is>
      </c>
      <c r="G79" s="24" t="inlineStr">
        <is>
          <t>Y</t>
        </is>
      </c>
      <c r="H79" s="24" t="inlineStr">
        <is>
          <t>FK_STATEMENT_LINE_MATERIAL_ID</t>
        </is>
      </c>
    </row>
    <row r="80">
      <c r="A80" s="24" t="n">
        <v>79</v>
      </c>
      <c r="B80" s="24" t="inlineStr">
        <is>
          <t>STATEMENT_LINE</t>
        </is>
      </c>
      <c r="C80" s="24" t="inlineStr">
        <is>
          <t>PACKAGING_LEVEL_ID</t>
        </is>
      </c>
      <c r="D80" s="24" t="inlineStr">
        <is>
          <t>LKP_PACKAGING_LEVEL</t>
        </is>
      </c>
      <c r="E80" s="24" t="inlineStr">
        <is>
          <t>PACKAGING_LEVEL_ID</t>
        </is>
      </c>
      <c r="F80" s="24" t="inlineStr">
        <is>
          <t>NR_PACKAGING_LEVEL_ID</t>
        </is>
      </c>
      <c r="G80" s="24" t="inlineStr">
        <is>
          <t>Y</t>
        </is>
      </c>
      <c r="H80" s="24" t="inlineStr">
        <is>
          <t>FK_STATEMENT_LINE_PACKAGING_LEVEL_ID</t>
        </is>
      </c>
    </row>
    <row r="81">
      <c r="A81" s="24" t="n">
        <v>80</v>
      </c>
      <c r="B81" s="24" t="inlineStr">
        <is>
          <t>STATEMENT_LINE</t>
        </is>
      </c>
      <c r="C81" s="24" t="inlineStr">
        <is>
          <t>OWNERSHIP_TYPE_ID</t>
        </is>
      </c>
      <c r="D81" s="24" t="inlineStr">
        <is>
          <t>LKP_OWNERSHIP_TYPE</t>
        </is>
      </c>
      <c r="E81" s="24" t="inlineStr">
        <is>
          <t>OWNERSHIP_TYPE_ID</t>
        </is>
      </c>
      <c r="F81" s="24" t="inlineStr">
        <is>
          <t>NR_OWNERSHIP_TYPE_ID</t>
        </is>
      </c>
      <c r="G81" s="24" t="inlineStr">
        <is>
          <t>Y</t>
        </is>
      </c>
      <c r="H81" s="24" t="inlineStr">
        <is>
          <t>FK_STATEMENT_LINE_OWNERSHIP_TYPE_ID</t>
        </is>
      </c>
    </row>
    <row r="82">
      <c r="A82" s="24" t="n">
        <v>81</v>
      </c>
      <c r="B82" s="24" t="inlineStr">
        <is>
          <t>DOCUMENT_LIBRARY</t>
        </is>
      </c>
      <c r="C82" s="24" t="inlineStr">
        <is>
          <t>DOCUMENT_TYPE_ID</t>
        </is>
      </c>
      <c r="D82" s="24" t="inlineStr">
        <is>
          <t>LKP_DOCUMENT_TYPE</t>
        </is>
      </c>
      <c r="E82" s="24" t="inlineStr">
        <is>
          <t>DOCUMENT_TYPE_ID</t>
        </is>
      </c>
      <c r="F82" s="24" t="inlineStr">
        <is>
          <t>NR_DOCUMENT_TYPE_ID</t>
        </is>
      </c>
      <c r="G82" s="24" t="inlineStr">
        <is>
          <t>Y</t>
        </is>
      </c>
      <c r="H82" s="24" t="inlineStr">
        <is>
          <t>FK_DOCUMENT_LIBRARY_DOCUMENT_TYPE_ID</t>
        </is>
      </c>
    </row>
    <row r="83">
      <c r="A83" s="24" t="n">
        <v>82</v>
      </c>
      <c r="B83" s="24" t="inlineStr">
        <is>
          <t>DOCUMENT_LIBRARY</t>
        </is>
      </c>
      <c r="C83" s="24" t="inlineStr">
        <is>
          <t>STATUS_ID</t>
        </is>
      </c>
      <c r="D83" s="24" t="inlineStr">
        <is>
          <t>LKP_STATUS</t>
        </is>
      </c>
      <c r="E83" s="24" t="inlineStr">
        <is>
          <t>STATUS_ID</t>
        </is>
      </c>
      <c r="F83" s="24" t="inlineStr">
        <is>
          <t>NR_STATUS_ID</t>
        </is>
      </c>
      <c r="G83" s="24" t="inlineStr">
        <is>
          <t>Y</t>
        </is>
      </c>
      <c r="H83" s="24" t="inlineStr">
        <is>
          <t>FK_DOCUMENT_LIBRARY_STATUS_ID</t>
        </is>
      </c>
    </row>
    <row r="84">
      <c r="A84" s="24" t="n">
        <v>83</v>
      </c>
      <c r="B84" s="24" t="inlineStr">
        <is>
          <t>DOCUMENT_LINK</t>
        </is>
      </c>
      <c r="C84" s="24" t="inlineStr">
        <is>
          <t>DOCUMENT_ID</t>
        </is>
      </c>
      <c r="D84" s="24" t="inlineStr">
        <is>
          <t>DOCUMENT_LIBRARY</t>
        </is>
      </c>
      <c r="E84" s="24" t="inlineStr">
        <is>
          <t>DOCUMENT_ID</t>
        </is>
      </c>
      <c r="F84" s="24" t="inlineStr">
        <is>
          <t>NR_DOCUMENT_ID</t>
        </is>
      </c>
      <c r="G84" s="24" t="inlineStr">
        <is>
          <t>Y</t>
        </is>
      </c>
      <c r="H84" s="24" t="inlineStr">
        <is>
          <t>FK_DOCUMENT_LINK_DOCUMENT_ID</t>
        </is>
      </c>
    </row>
    <row r="85">
      <c r="A85" s="24" t="n">
        <v>84</v>
      </c>
      <c r="B85" s="24" t="inlineStr">
        <is>
          <t>DOCUMENT_LINK</t>
        </is>
      </c>
      <c r="C85" s="24" t="inlineStr">
        <is>
          <t>COMPONENT_ID</t>
        </is>
      </c>
      <c r="D85" s="24" t="inlineStr">
        <is>
          <t>COMPONENT</t>
        </is>
      </c>
      <c r="E85" s="24" t="inlineStr">
        <is>
          <t>COMPONENT_ID</t>
        </is>
      </c>
      <c r="F85" s="24" t="inlineStr">
        <is>
          <t>NR_COMPONENT_ID</t>
        </is>
      </c>
      <c r="G85" s="24" t="inlineStr">
        <is>
          <t>N</t>
        </is>
      </c>
      <c r="H85" s="24" t="inlineStr">
        <is>
          <t>FK_DOCUMENT_LINK_COMPONENT_ID</t>
        </is>
      </c>
    </row>
    <row r="86">
      <c r="A86" s="24" t="n">
        <v>85</v>
      </c>
      <c r="B86" s="24" t="inlineStr">
        <is>
          <t>DOCUMENT_LINK</t>
        </is>
      </c>
      <c r="C86" s="24" t="inlineStr">
        <is>
          <t>PRODUCT_ID</t>
        </is>
      </c>
      <c r="D86" s="24" t="inlineStr">
        <is>
          <t>PRODUCT</t>
        </is>
      </c>
      <c r="E86" s="24" t="inlineStr">
        <is>
          <t>PRODUCT_ID</t>
        </is>
      </c>
      <c r="F86" s="24" t="inlineStr">
        <is>
          <t>NR_PRODUCT_ID</t>
        </is>
      </c>
      <c r="G86" s="24" t="inlineStr">
        <is>
          <t>N</t>
        </is>
      </c>
      <c r="H86" s="24" t="inlineStr">
        <is>
          <t>FK_DOCUMENT_LINK_PRODUCT_ID</t>
        </is>
      </c>
    </row>
    <row r="87">
      <c r="A87" s="24" t="n">
        <v>86</v>
      </c>
      <c r="B87" s="24" t="inlineStr">
        <is>
          <t>DOCUMENT_LINK</t>
        </is>
      </c>
      <c r="C87" s="24" t="inlineStr">
        <is>
          <t>PACKAGING_CONFIGURATION_ID</t>
        </is>
      </c>
      <c r="D87" s="24" t="inlineStr">
        <is>
          <t>PACKAGING_CONFIGURATION</t>
        </is>
      </c>
      <c r="E87" s="24" t="inlineStr">
        <is>
          <t>PACKAGING_CONFIGURATION_ID</t>
        </is>
      </c>
      <c r="F87" s="24" t="inlineStr">
        <is>
          <t>NR_PACKAGING_CONFIGURATION_ID</t>
        </is>
      </c>
      <c r="G87" s="24" t="inlineStr">
        <is>
          <t>N</t>
        </is>
      </c>
      <c r="H87" s="24" t="inlineStr">
        <is>
          <t>FK_DOCUMENT_LINK_PACKAGING_CONFIGURATION_ID</t>
        </is>
      </c>
    </row>
    <row r="88">
      <c r="A88" s="24" t="n">
        <v>87</v>
      </c>
      <c r="B88" s="24" t="inlineStr">
        <is>
          <t>DOCUMENT_LINK</t>
        </is>
      </c>
      <c r="C88" s="24" t="inlineStr">
        <is>
          <t>TRANSPORT_CONFIGURATION_ID</t>
        </is>
      </c>
      <c r="D88" s="24" t="inlineStr">
        <is>
          <t>TRANSPORT_CONFIGURATION</t>
        </is>
      </c>
      <c r="E88" s="24" t="inlineStr">
        <is>
          <t>TRANSPORT_CONFIGURATION_ID</t>
        </is>
      </c>
      <c r="F88" s="24" t="inlineStr">
        <is>
          <t>NR_TRANSPORT_CONFIGURATION_ID</t>
        </is>
      </c>
      <c r="G88" s="24" t="inlineStr">
        <is>
          <t>N</t>
        </is>
      </c>
      <c r="H88" s="24" t="inlineStr">
        <is>
          <t>FK_DOCUMENT_LINK_TRANSPORT_CONFIGURATION_ID</t>
        </is>
      </c>
    </row>
    <row r="89">
      <c r="A89" s="24" t="n">
        <v>88</v>
      </c>
      <c r="B89" s="24" t="inlineStr">
        <is>
          <t>DOCUMENT_LINK</t>
        </is>
      </c>
      <c r="C89" s="24" t="inlineStr">
        <is>
          <t>TECHNICAL_FILE_ID</t>
        </is>
      </c>
      <c r="D89" s="24" t="inlineStr">
        <is>
          <t>TECHNICAL_FILE</t>
        </is>
      </c>
      <c r="E89" s="24" t="inlineStr">
        <is>
          <t>TECHNICAL_FILE_ID</t>
        </is>
      </c>
      <c r="F89" s="24" t="inlineStr">
        <is>
          <t>NR_TECHNICAL_FILE_ID</t>
        </is>
      </c>
      <c r="G89" s="24" t="inlineStr">
        <is>
          <t>N</t>
        </is>
      </c>
      <c r="H89" s="24" t="inlineStr">
        <is>
          <t>FK_DOCUMENT_LINK_TECHNICAL_FILE_ID</t>
        </is>
      </c>
    </row>
    <row r="90">
      <c r="A90" s="24" t="n">
        <v>89</v>
      </c>
      <c r="B90" s="24" t="inlineStr">
        <is>
          <t>DOCUMENT_LINK</t>
        </is>
      </c>
      <c r="C90" s="24" t="inlineStr">
        <is>
          <t>DECLARATION_OF_CONFORMITY_ID</t>
        </is>
      </c>
      <c r="D90" s="24" t="inlineStr">
        <is>
          <t>DECLARATION_OF_CONFORMITY</t>
        </is>
      </c>
      <c r="E90" s="24" t="inlineStr">
        <is>
          <t>DECLARATION_OF_CONFORMITY_ID</t>
        </is>
      </c>
      <c r="F90" s="24" t="inlineStr">
        <is>
          <t>NR_DECLARATION_OF_CONFORMITY_ID</t>
        </is>
      </c>
      <c r="G90" s="24" t="inlineStr">
        <is>
          <t>N</t>
        </is>
      </c>
      <c r="H90" s="24" t="inlineStr">
        <is>
          <t>FK_DOCUMENT_LINK_DECLARATION_OF_CONFORMITY_ID</t>
        </is>
      </c>
    </row>
    <row r="91">
      <c r="A91" s="24" t="n">
        <v>90</v>
      </c>
      <c r="B91" s="24" t="inlineStr">
        <is>
          <t>DOCUMENT_LINK</t>
        </is>
      </c>
      <c r="C91" s="24" t="inlineStr">
        <is>
          <t>STATEMENT_ID</t>
        </is>
      </c>
      <c r="D91" s="24" t="inlineStr">
        <is>
          <t>STATEMENT</t>
        </is>
      </c>
      <c r="E91" s="24" t="inlineStr">
        <is>
          <t>STATEMENT_ID</t>
        </is>
      </c>
      <c r="F91" s="24" t="inlineStr">
        <is>
          <t>NR_STATEMENT_ID</t>
        </is>
      </c>
      <c r="G91" s="24" t="inlineStr">
        <is>
          <t>N</t>
        </is>
      </c>
      <c r="H91" s="24" t="inlineStr">
        <is>
          <t>FK_DOCUMENT_LINK_STATEMENT_ID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6" customWidth="1" min="3" max="3"/>
    <col width="15" customWidth="1" min="4" max="4"/>
    <col width="13" customWidth="1" min="5" max="5"/>
    <col width="17" customWidth="1" min="6" max="6"/>
    <col width="21" customWidth="1" min="7" max="7"/>
    <col width="22" customWidth="1" min="8" max="8"/>
    <col width="24" customWidth="1" min="9" max="9"/>
  </cols>
  <sheetData>
    <row r="1">
      <c r="A1" s="5" t="inlineStr">
        <is>
          <t>ROW_INDEX</t>
        </is>
      </c>
      <c r="B1" s="5" t="inlineStr">
        <is>
          <t>COMPONENT_MATERIAL_ID</t>
        </is>
      </c>
      <c r="C1" s="5" t="inlineStr">
        <is>
          <t>COMPONENT_ID</t>
        </is>
      </c>
      <c r="D1" s="5" t="inlineStr">
        <is>
          <t>MATERIAL_ID</t>
        </is>
      </c>
      <c r="E1" s="5" t="inlineStr">
        <is>
          <t>SHARE_PCT</t>
        </is>
      </c>
      <c r="F1" s="5" t="inlineStr">
        <is>
          <t>UNIT_WEIGHT_G</t>
        </is>
      </c>
      <c r="G1" s="5" t="inlineStr">
        <is>
          <t>MATERIAL_WEIGHT_G</t>
        </is>
      </c>
      <c r="H1" s="5" t="inlineStr">
        <is>
          <t>MATERIAL_FAMILY_ID</t>
        </is>
      </c>
      <c r="I1" s="5" t="inlineStr">
        <is>
          <t>MATERIAL_FAMILY_CODE</t>
        </is>
      </c>
      <c r="K1" s="36" t="inlineStr">
        <is>
          <t>Dashboard</t>
        </is>
      </c>
    </row>
    <row r="2">
      <c r="A2" s="37" t="n">
        <v>1</v>
      </c>
      <c r="B2" s="37">
        <f>IFERROR(INDEX(T_COMPONENT_MATERIAL[COMPONENT_MATERIAL_ID],[@ROW_INDEX]),"")</f>
        <v/>
      </c>
      <c r="C2" s="37">
        <f>IFERROR(INDEX(T_COMPONENT_MATERIAL[COMPONENT_ID],[@ROW_INDEX]),"")</f>
        <v/>
      </c>
      <c r="D2" s="37">
        <f>IFERROR(INDEX(T_COMPONENT_MATERIAL[MATERIAL_ID],[@ROW_INDEX]),"")</f>
        <v/>
      </c>
      <c r="E2" s="37">
        <f>IFERROR(INDEX(T_COMPONENT_MATERIAL[SHARE_PCT],[@ROW_INDEX]),"")</f>
        <v/>
      </c>
      <c r="F2" s="37">
        <f>IF([@COMPONENT_ID]="","",IFERROR(INDEX(T_COMPONENT[WEIGHT_G],MATCH([@COMPONENT_ID],T_COMPONENT[COMPONENT_ID],0)),""))</f>
        <v/>
      </c>
      <c r="G2" s="37">
        <f>IF(OR([@UNIT_WEIGHT_G]="",[@SHARE_PCT]=""),"",[@UNIT_WEIGHT_G]*[@SHARE_PCT]/100)</f>
        <v/>
      </c>
      <c r="H2" s="37">
        <f>IF([@MATERIAL_ID]="","",IFERROR(INDEX(T_LKP_MATERIAL[MATERIAL_FAMILY_ID],MATCH([@MATERIAL_ID],T_LKP_MATERIAL[MATERIAL_ID],0)),""))</f>
        <v/>
      </c>
      <c r="I2" s="37">
        <f>IF([@MATERIAL_FAMILY_ID]="","",IFERROR(INDEX(T_LKP_MATERIAL_FAMILY[MATERIAL_FAMILY_CODE],MATCH([@MATERIAL_FAMILY_ID],T_LKP_MATERIAL_FAMILY[MATERIAL_FAMILY_ID],0)),""))</f>
        <v/>
      </c>
    </row>
    <row r="3">
      <c r="A3" s="37" t="n">
        <v>2</v>
      </c>
      <c r="B3" s="37">
        <f>IFERROR(INDEX(T_COMPONENT_MATERIAL[COMPONENT_MATERIAL_ID],[@ROW_INDEX]),"")</f>
        <v/>
      </c>
      <c r="C3" s="37">
        <f>IFERROR(INDEX(T_COMPONENT_MATERIAL[COMPONENT_ID],[@ROW_INDEX]),"")</f>
        <v/>
      </c>
      <c r="D3" s="37">
        <f>IFERROR(INDEX(T_COMPONENT_MATERIAL[MATERIAL_ID],[@ROW_INDEX]),"")</f>
        <v/>
      </c>
      <c r="E3" s="37">
        <f>IFERROR(INDEX(T_COMPONENT_MATERIAL[SHARE_PCT],[@ROW_INDEX]),"")</f>
        <v/>
      </c>
      <c r="F3" s="37">
        <f>IF([@COMPONENT_ID]="","",IFERROR(INDEX(T_COMPONENT[WEIGHT_G],MATCH([@COMPONENT_ID],T_COMPONENT[COMPONENT_ID],0)),""))</f>
        <v/>
      </c>
      <c r="G3" s="37">
        <f>IF(OR([@UNIT_WEIGHT_G]="",[@SHARE_PCT]=""),"",[@UNIT_WEIGHT_G]*[@SHARE_PCT]/100)</f>
        <v/>
      </c>
      <c r="H3" s="37">
        <f>IF([@MATERIAL_ID]="","",IFERROR(INDEX(T_LKP_MATERIAL[MATERIAL_FAMILY_ID],MATCH([@MATERIAL_ID],T_LKP_MATERIAL[MATERIAL_ID],0)),""))</f>
        <v/>
      </c>
      <c r="I3" s="37">
        <f>IF([@MATERIAL_FAMILY_ID]="","",IFERROR(INDEX(T_LKP_MATERIAL_FAMILY[MATERIAL_FAMILY_CODE],MATCH([@MATERIAL_FAMILY_ID],T_LKP_MATERIAL_FAMILY[MATERIAL_FAMILY_ID],0)),""))</f>
        <v/>
      </c>
    </row>
    <row r="4">
      <c r="A4" s="37" t="n">
        <v>3</v>
      </c>
      <c r="B4" s="37">
        <f>IFERROR(INDEX(T_COMPONENT_MATERIAL[COMPONENT_MATERIAL_ID],[@ROW_INDEX]),"")</f>
        <v/>
      </c>
      <c r="C4" s="37">
        <f>IFERROR(INDEX(T_COMPONENT_MATERIAL[COMPONENT_ID],[@ROW_INDEX]),"")</f>
        <v/>
      </c>
      <c r="D4" s="37">
        <f>IFERROR(INDEX(T_COMPONENT_MATERIAL[MATERIAL_ID],[@ROW_INDEX]),"")</f>
        <v/>
      </c>
      <c r="E4" s="37">
        <f>IFERROR(INDEX(T_COMPONENT_MATERIAL[SHARE_PCT],[@ROW_INDEX]),"")</f>
        <v/>
      </c>
      <c r="F4" s="37">
        <f>IF([@COMPONENT_ID]="","",IFERROR(INDEX(T_COMPONENT[WEIGHT_G],MATCH([@COMPONENT_ID],T_COMPONENT[COMPONENT_ID],0)),""))</f>
        <v/>
      </c>
      <c r="G4" s="37">
        <f>IF(OR([@UNIT_WEIGHT_G]="",[@SHARE_PCT]=""),"",[@UNIT_WEIGHT_G]*[@SHARE_PCT]/100)</f>
        <v/>
      </c>
      <c r="H4" s="37">
        <f>IF([@MATERIAL_ID]="","",IFERROR(INDEX(T_LKP_MATERIAL[MATERIAL_FAMILY_ID],MATCH([@MATERIAL_ID],T_LKP_MATERIAL[MATERIAL_ID],0)),""))</f>
        <v/>
      </c>
      <c r="I4" s="37">
        <f>IF([@MATERIAL_FAMILY_ID]="","",IFERROR(INDEX(T_LKP_MATERIAL_FAMILY[MATERIAL_FAMILY_CODE],MATCH([@MATERIAL_FAMILY_ID],T_LKP_MATERIAL_FAMILY[MATERIAL_FAMILY_ID],0)),""))</f>
        <v/>
      </c>
    </row>
    <row r="5">
      <c r="A5" s="37" t="n">
        <v>4</v>
      </c>
      <c r="B5" s="37">
        <f>IFERROR(INDEX(T_COMPONENT_MATERIAL[COMPONENT_MATERIAL_ID],[@ROW_INDEX]),"")</f>
        <v/>
      </c>
      <c r="C5" s="37">
        <f>IFERROR(INDEX(T_COMPONENT_MATERIAL[COMPONENT_ID],[@ROW_INDEX]),"")</f>
        <v/>
      </c>
      <c r="D5" s="37">
        <f>IFERROR(INDEX(T_COMPONENT_MATERIAL[MATERIAL_ID],[@ROW_INDEX]),"")</f>
        <v/>
      </c>
      <c r="E5" s="37">
        <f>IFERROR(INDEX(T_COMPONENT_MATERIAL[SHARE_PCT],[@ROW_INDEX]),"")</f>
        <v/>
      </c>
      <c r="F5" s="37">
        <f>IF([@COMPONENT_ID]="","",IFERROR(INDEX(T_COMPONENT[WEIGHT_G],MATCH([@COMPONENT_ID],T_COMPONENT[COMPONENT_ID],0)),""))</f>
        <v/>
      </c>
      <c r="G5" s="37">
        <f>IF(OR([@UNIT_WEIGHT_G]="",[@SHARE_PCT]=""),"",[@UNIT_WEIGHT_G]*[@SHARE_PCT]/100)</f>
        <v/>
      </c>
      <c r="H5" s="37">
        <f>IF([@MATERIAL_ID]="","",IFERROR(INDEX(T_LKP_MATERIAL[MATERIAL_FAMILY_ID],MATCH([@MATERIAL_ID],T_LKP_MATERIAL[MATERIAL_ID],0)),""))</f>
        <v/>
      </c>
      <c r="I5" s="37">
        <f>IF([@MATERIAL_FAMILY_ID]="","",IFERROR(INDEX(T_LKP_MATERIAL_FAMILY[MATERIAL_FAMILY_CODE],MATCH([@MATERIAL_FAMILY_ID],T_LKP_MATERIAL_FAMILY[MATERIAL_FAMILY_ID],0)),""))</f>
        <v/>
      </c>
    </row>
    <row r="6">
      <c r="A6" s="37" t="n">
        <v>5</v>
      </c>
      <c r="B6" s="37">
        <f>IFERROR(INDEX(T_COMPONENT_MATERIAL[COMPONENT_MATERIAL_ID],[@ROW_INDEX]),"")</f>
        <v/>
      </c>
      <c r="C6" s="37">
        <f>IFERROR(INDEX(T_COMPONENT_MATERIAL[COMPONENT_ID],[@ROW_INDEX]),"")</f>
        <v/>
      </c>
      <c r="D6" s="37">
        <f>IFERROR(INDEX(T_COMPONENT_MATERIAL[MATERIAL_ID],[@ROW_INDEX]),"")</f>
        <v/>
      </c>
      <c r="E6" s="37">
        <f>IFERROR(INDEX(T_COMPONENT_MATERIAL[SHARE_PCT],[@ROW_INDEX]),"")</f>
        <v/>
      </c>
      <c r="F6" s="37">
        <f>IF([@COMPONENT_ID]="","",IFERROR(INDEX(T_COMPONENT[WEIGHT_G],MATCH([@COMPONENT_ID],T_COMPONENT[COMPONENT_ID],0)),""))</f>
        <v/>
      </c>
      <c r="G6" s="37">
        <f>IF(OR([@UNIT_WEIGHT_G]="",[@SHARE_PCT]=""),"",[@UNIT_WEIGHT_G]*[@SHARE_PCT]/100)</f>
        <v/>
      </c>
      <c r="H6" s="37">
        <f>IF([@MATERIAL_ID]="","",IFERROR(INDEX(T_LKP_MATERIAL[MATERIAL_FAMILY_ID],MATCH([@MATERIAL_ID],T_LKP_MATERIAL[MATERIAL_ID],0)),""))</f>
        <v/>
      </c>
      <c r="I6" s="37">
        <f>IF([@MATERIAL_FAMILY_ID]="","",IFERROR(INDEX(T_LKP_MATERIAL_FAMILY[MATERIAL_FAMILY_CODE],MATCH([@MATERIAL_FAMILY_ID],T_LKP_MATERIAL_FAMILY[MATERIAL_FAMILY_ID],0)),""))</f>
        <v/>
      </c>
    </row>
    <row r="7">
      <c r="A7" s="37" t="n">
        <v>6</v>
      </c>
      <c r="B7" s="37">
        <f>IFERROR(INDEX(T_COMPONENT_MATERIAL[COMPONENT_MATERIAL_ID],[@ROW_INDEX]),"")</f>
        <v/>
      </c>
      <c r="C7" s="37">
        <f>IFERROR(INDEX(T_COMPONENT_MATERIAL[COMPONENT_ID],[@ROW_INDEX]),"")</f>
        <v/>
      </c>
      <c r="D7" s="37">
        <f>IFERROR(INDEX(T_COMPONENT_MATERIAL[MATERIAL_ID],[@ROW_INDEX]),"")</f>
        <v/>
      </c>
      <c r="E7" s="37">
        <f>IFERROR(INDEX(T_COMPONENT_MATERIAL[SHARE_PCT],[@ROW_INDEX]),"")</f>
        <v/>
      </c>
      <c r="F7" s="37">
        <f>IF([@COMPONENT_ID]="","",IFERROR(INDEX(T_COMPONENT[WEIGHT_G],MATCH([@COMPONENT_ID],T_COMPONENT[COMPONENT_ID],0)),""))</f>
        <v/>
      </c>
      <c r="G7" s="37">
        <f>IF(OR([@UNIT_WEIGHT_G]="",[@SHARE_PCT]=""),"",[@UNIT_WEIGHT_G]*[@SHARE_PCT]/100)</f>
        <v/>
      </c>
      <c r="H7" s="37">
        <f>IF([@MATERIAL_ID]="","",IFERROR(INDEX(T_LKP_MATERIAL[MATERIAL_FAMILY_ID],MATCH([@MATERIAL_ID],T_LKP_MATERIAL[MATERIAL_ID],0)),""))</f>
        <v/>
      </c>
      <c r="I7" s="37">
        <f>IF([@MATERIAL_FAMILY_ID]="","",IFERROR(INDEX(T_LKP_MATERIAL_FAMILY[MATERIAL_FAMILY_CODE],MATCH([@MATERIAL_FAMILY_ID],T_LKP_MATERIAL_FAMILY[MATERIAL_FAMILY_ID],0)),""))</f>
        <v/>
      </c>
    </row>
    <row r="8">
      <c r="A8" s="37" t="n">
        <v>7</v>
      </c>
      <c r="B8" s="37">
        <f>IFERROR(INDEX(T_COMPONENT_MATERIAL[COMPONENT_MATERIAL_ID],[@ROW_INDEX]),"")</f>
        <v/>
      </c>
      <c r="C8" s="37">
        <f>IFERROR(INDEX(T_COMPONENT_MATERIAL[COMPONENT_ID],[@ROW_INDEX]),"")</f>
        <v/>
      </c>
      <c r="D8" s="37">
        <f>IFERROR(INDEX(T_COMPONENT_MATERIAL[MATERIAL_ID],[@ROW_INDEX]),"")</f>
        <v/>
      </c>
      <c r="E8" s="37">
        <f>IFERROR(INDEX(T_COMPONENT_MATERIAL[SHARE_PCT],[@ROW_INDEX]),"")</f>
        <v/>
      </c>
      <c r="F8" s="37">
        <f>IF([@COMPONENT_ID]="","",IFERROR(INDEX(T_COMPONENT[WEIGHT_G],MATCH([@COMPONENT_ID],T_COMPONENT[COMPONENT_ID],0)),""))</f>
        <v/>
      </c>
      <c r="G8" s="37">
        <f>IF(OR([@UNIT_WEIGHT_G]="",[@SHARE_PCT]=""),"",[@UNIT_WEIGHT_G]*[@SHARE_PCT]/100)</f>
        <v/>
      </c>
      <c r="H8" s="37">
        <f>IF([@MATERIAL_ID]="","",IFERROR(INDEX(T_LKP_MATERIAL[MATERIAL_FAMILY_ID],MATCH([@MATERIAL_ID],T_LKP_MATERIAL[MATERIAL_ID],0)),""))</f>
        <v/>
      </c>
      <c r="I8" s="37">
        <f>IF([@MATERIAL_FAMILY_ID]="","",IFERROR(INDEX(T_LKP_MATERIAL_FAMILY[MATERIAL_FAMILY_CODE],MATCH([@MATERIAL_FAMILY_ID],T_LKP_MATERIAL_FAMILY[MATERIAL_FAMILY_ID],0)),""))</f>
        <v/>
      </c>
    </row>
    <row r="9">
      <c r="A9" s="37" t="n">
        <v>8</v>
      </c>
      <c r="B9" s="37">
        <f>IFERROR(INDEX(T_COMPONENT_MATERIAL[COMPONENT_MATERIAL_ID],[@ROW_INDEX]),"")</f>
        <v/>
      </c>
      <c r="C9" s="37">
        <f>IFERROR(INDEX(T_COMPONENT_MATERIAL[COMPONENT_ID],[@ROW_INDEX]),"")</f>
        <v/>
      </c>
      <c r="D9" s="37">
        <f>IFERROR(INDEX(T_COMPONENT_MATERIAL[MATERIAL_ID],[@ROW_INDEX]),"")</f>
        <v/>
      </c>
      <c r="E9" s="37">
        <f>IFERROR(INDEX(T_COMPONENT_MATERIAL[SHARE_PCT],[@ROW_INDEX]),"")</f>
        <v/>
      </c>
      <c r="F9" s="37">
        <f>IF([@COMPONENT_ID]="","",IFERROR(INDEX(T_COMPONENT[WEIGHT_G],MATCH([@COMPONENT_ID],T_COMPONENT[COMPONENT_ID],0)),""))</f>
        <v/>
      </c>
      <c r="G9" s="37">
        <f>IF(OR([@UNIT_WEIGHT_G]="",[@SHARE_PCT]=""),"",[@UNIT_WEIGHT_G]*[@SHARE_PCT]/100)</f>
        <v/>
      </c>
      <c r="H9" s="37">
        <f>IF([@MATERIAL_ID]="","",IFERROR(INDEX(T_LKP_MATERIAL[MATERIAL_FAMILY_ID],MATCH([@MATERIAL_ID],T_LKP_MATERIAL[MATERIAL_ID],0)),""))</f>
        <v/>
      </c>
      <c r="I9" s="37">
        <f>IF([@MATERIAL_FAMILY_ID]="","",IFERROR(INDEX(T_LKP_MATERIAL_FAMILY[MATERIAL_FAMILY_CODE],MATCH([@MATERIAL_FAMILY_ID],T_LKP_MATERIAL_FAMILY[MATERIAL_FAMILY_ID],0)),""))</f>
        <v/>
      </c>
    </row>
    <row r="10">
      <c r="A10" s="37" t="n">
        <v>9</v>
      </c>
      <c r="B10" s="37">
        <f>IFERROR(INDEX(T_COMPONENT_MATERIAL[COMPONENT_MATERIAL_ID],[@ROW_INDEX]),"")</f>
        <v/>
      </c>
      <c r="C10" s="37">
        <f>IFERROR(INDEX(T_COMPONENT_MATERIAL[COMPONENT_ID],[@ROW_INDEX]),"")</f>
        <v/>
      </c>
      <c r="D10" s="37">
        <f>IFERROR(INDEX(T_COMPONENT_MATERIAL[MATERIAL_ID],[@ROW_INDEX]),"")</f>
        <v/>
      </c>
      <c r="E10" s="37">
        <f>IFERROR(INDEX(T_COMPONENT_MATERIAL[SHARE_PCT],[@ROW_INDEX]),"")</f>
        <v/>
      </c>
      <c r="F10" s="37">
        <f>IF([@COMPONENT_ID]="","",IFERROR(INDEX(T_COMPONENT[WEIGHT_G],MATCH([@COMPONENT_ID],T_COMPONENT[COMPONENT_ID],0)),""))</f>
        <v/>
      </c>
      <c r="G10" s="37">
        <f>IF(OR([@UNIT_WEIGHT_G]="",[@SHARE_PCT]=""),"",[@UNIT_WEIGHT_G]*[@SHARE_PCT]/100)</f>
        <v/>
      </c>
      <c r="H10" s="37">
        <f>IF([@MATERIAL_ID]="","",IFERROR(INDEX(T_LKP_MATERIAL[MATERIAL_FAMILY_ID],MATCH([@MATERIAL_ID],T_LKP_MATERIAL[MATERIAL_ID],0)),""))</f>
        <v/>
      </c>
      <c r="I10" s="37">
        <f>IF([@MATERIAL_FAMILY_ID]="","",IFERROR(INDEX(T_LKP_MATERIAL_FAMILY[MATERIAL_FAMILY_CODE],MATCH([@MATERIAL_FAMILY_ID],T_LKP_MATERIAL_FAMILY[MATERIAL_FAMILY_ID],0)),""))</f>
        <v/>
      </c>
    </row>
    <row r="11">
      <c r="A11" s="37" t="n">
        <v>10</v>
      </c>
      <c r="B11" s="37">
        <f>IFERROR(INDEX(T_COMPONENT_MATERIAL[COMPONENT_MATERIAL_ID],[@ROW_INDEX]),"")</f>
        <v/>
      </c>
      <c r="C11" s="37">
        <f>IFERROR(INDEX(T_COMPONENT_MATERIAL[COMPONENT_ID],[@ROW_INDEX]),"")</f>
        <v/>
      </c>
      <c r="D11" s="37">
        <f>IFERROR(INDEX(T_COMPONENT_MATERIAL[MATERIAL_ID],[@ROW_INDEX]),"")</f>
        <v/>
      </c>
      <c r="E11" s="37">
        <f>IFERROR(INDEX(T_COMPONENT_MATERIAL[SHARE_PCT],[@ROW_INDEX]),"")</f>
        <v/>
      </c>
      <c r="F11" s="37">
        <f>IF([@COMPONENT_ID]="","",IFERROR(INDEX(T_COMPONENT[WEIGHT_G],MATCH([@COMPONENT_ID],T_COMPONENT[COMPONENT_ID],0)),""))</f>
        <v/>
      </c>
      <c r="G11" s="37">
        <f>IF(OR([@UNIT_WEIGHT_G]="",[@SHARE_PCT]=""),"",[@UNIT_WEIGHT_G]*[@SHARE_PCT]/100)</f>
        <v/>
      </c>
      <c r="H11" s="37">
        <f>IF([@MATERIAL_ID]="","",IFERROR(INDEX(T_LKP_MATERIAL[MATERIAL_FAMILY_ID],MATCH([@MATERIAL_ID],T_LKP_MATERIAL[MATERIAL_ID],0)),""))</f>
        <v/>
      </c>
      <c r="I11" s="37">
        <f>IF([@MATERIAL_FAMILY_ID]="","",IFERROR(INDEX(T_LKP_MATERIAL_FAMILY[MATERIAL_FAMILY_CODE],MATCH([@MATERIAL_FAMILY_ID],T_LKP_MATERIAL_FAMILY[MATERIAL_FAMILY_ID],0)),""))</f>
        <v/>
      </c>
    </row>
    <row r="12">
      <c r="A12" s="37" t="n">
        <v>11</v>
      </c>
      <c r="B12" s="37">
        <f>IFERROR(INDEX(T_COMPONENT_MATERIAL[COMPONENT_MATERIAL_ID],[@ROW_INDEX]),"")</f>
        <v/>
      </c>
      <c r="C12" s="37">
        <f>IFERROR(INDEX(T_COMPONENT_MATERIAL[COMPONENT_ID],[@ROW_INDEX]),"")</f>
        <v/>
      </c>
      <c r="D12" s="37">
        <f>IFERROR(INDEX(T_COMPONENT_MATERIAL[MATERIAL_ID],[@ROW_INDEX]),"")</f>
        <v/>
      </c>
      <c r="E12" s="37">
        <f>IFERROR(INDEX(T_COMPONENT_MATERIAL[SHARE_PCT],[@ROW_INDEX]),"")</f>
        <v/>
      </c>
      <c r="F12" s="37">
        <f>IF([@COMPONENT_ID]="","",IFERROR(INDEX(T_COMPONENT[WEIGHT_G],MATCH([@COMPONENT_ID],T_COMPONENT[COMPONENT_ID],0)),""))</f>
        <v/>
      </c>
      <c r="G12" s="37">
        <f>IF(OR([@UNIT_WEIGHT_G]="",[@SHARE_PCT]=""),"",[@UNIT_WEIGHT_G]*[@SHARE_PCT]/100)</f>
        <v/>
      </c>
      <c r="H12" s="37">
        <f>IF([@MATERIAL_ID]="","",IFERROR(INDEX(T_LKP_MATERIAL[MATERIAL_FAMILY_ID],MATCH([@MATERIAL_ID],T_LKP_MATERIAL[MATERIAL_ID],0)),""))</f>
        <v/>
      </c>
      <c r="I12" s="37">
        <f>IF([@MATERIAL_FAMILY_ID]="","",IFERROR(INDEX(T_LKP_MATERIAL_FAMILY[MATERIAL_FAMILY_CODE],MATCH([@MATERIAL_FAMILY_ID],T_LKP_MATERIAL_FAMILY[MATERIAL_FAMILY_ID],0)),""))</f>
        <v/>
      </c>
    </row>
    <row r="13">
      <c r="A13" s="37" t="n">
        <v>12</v>
      </c>
      <c r="B13" s="37">
        <f>IFERROR(INDEX(T_COMPONENT_MATERIAL[COMPONENT_MATERIAL_ID],[@ROW_INDEX]),"")</f>
        <v/>
      </c>
      <c r="C13" s="37">
        <f>IFERROR(INDEX(T_COMPONENT_MATERIAL[COMPONENT_ID],[@ROW_INDEX]),"")</f>
        <v/>
      </c>
      <c r="D13" s="37">
        <f>IFERROR(INDEX(T_COMPONENT_MATERIAL[MATERIAL_ID],[@ROW_INDEX]),"")</f>
        <v/>
      </c>
      <c r="E13" s="37">
        <f>IFERROR(INDEX(T_COMPONENT_MATERIAL[SHARE_PCT],[@ROW_INDEX]),"")</f>
        <v/>
      </c>
      <c r="F13" s="37">
        <f>IF([@COMPONENT_ID]="","",IFERROR(INDEX(T_COMPONENT[WEIGHT_G],MATCH([@COMPONENT_ID],T_COMPONENT[COMPONENT_ID],0)),""))</f>
        <v/>
      </c>
      <c r="G13" s="37">
        <f>IF(OR([@UNIT_WEIGHT_G]="",[@SHARE_PCT]=""),"",[@UNIT_WEIGHT_G]*[@SHARE_PCT]/100)</f>
        <v/>
      </c>
      <c r="H13" s="37">
        <f>IF([@MATERIAL_ID]="","",IFERROR(INDEX(T_LKP_MATERIAL[MATERIAL_FAMILY_ID],MATCH([@MATERIAL_ID],T_LKP_MATERIAL[MATERIAL_ID],0)),""))</f>
        <v/>
      </c>
      <c r="I13" s="37">
        <f>IF([@MATERIAL_FAMILY_ID]="","",IFERROR(INDEX(T_LKP_MATERIAL_FAMILY[MATERIAL_FAMILY_CODE],MATCH([@MATERIAL_FAMILY_ID],T_LKP_MATERIAL_FAMILY[MATERIAL_FAMILY_ID],0)),""))</f>
        <v/>
      </c>
    </row>
    <row r="14">
      <c r="A14" s="37" t="n">
        <v>13</v>
      </c>
      <c r="B14" s="37">
        <f>IFERROR(INDEX(T_COMPONENT_MATERIAL[COMPONENT_MATERIAL_ID],[@ROW_INDEX]),"")</f>
        <v/>
      </c>
      <c r="C14" s="37">
        <f>IFERROR(INDEX(T_COMPONENT_MATERIAL[COMPONENT_ID],[@ROW_INDEX]),"")</f>
        <v/>
      </c>
      <c r="D14" s="37">
        <f>IFERROR(INDEX(T_COMPONENT_MATERIAL[MATERIAL_ID],[@ROW_INDEX]),"")</f>
        <v/>
      </c>
      <c r="E14" s="37">
        <f>IFERROR(INDEX(T_COMPONENT_MATERIAL[SHARE_PCT],[@ROW_INDEX]),"")</f>
        <v/>
      </c>
      <c r="F14" s="37">
        <f>IF([@COMPONENT_ID]="","",IFERROR(INDEX(T_COMPONENT[WEIGHT_G],MATCH([@COMPONENT_ID],T_COMPONENT[COMPONENT_ID],0)),""))</f>
        <v/>
      </c>
      <c r="G14" s="37">
        <f>IF(OR([@UNIT_WEIGHT_G]="",[@SHARE_PCT]=""),"",[@UNIT_WEIGHT_G]*[@SHARE_PCT]/100)</f>
        <v/>
      </c>
      <c r="H14" s="37">
        <f>IF([@MATERIAL_ID]="","",IFERROR(INDEX(T_LKP_MATERIAL[MATERIAL_FAMILY_ID],MATCH([@MATERIAL_ID],T_LKP_MATERIAL[MATERIAL_ID],0)),""))</f>
        <v/>
      </c>
      <c r="I14" s="37">
        <f>IF([@MATERIAL_FAMILY_ID]="","",IFERROR(INDEX(T_LKP_MATERIAL_FAMILY[MATERIAL_FAMILY_CODE],MATCH([@MATERIAL_FAMILY_ID],T_LKP_MATERIAL_FAMILY[MATERIAL_FAMILY_ID],0)),""))</f>
        <v/>
      </c>
    </row>
    <row r="15">
      <c r="A15" s="37" t="n">
        <v>14</v>
      </c>
      <c r="B15" s="37">
        <f>IFERROR(INDEX(T_COMPONENT_MATERIAL[COMPONENT_MATERIAL_ID],[@ROW_INDEX]),"")</f>
        <v/>
      </c>
      <c r="C15" s="37">
        <f>IFERROR(INDEX(T_COMPONENT_MATERIAL[COMPONENT_ID],[@ROW_INDEX]),"")</f>
        <v/>
      </c>
      <c r="D15" s="37">
        <f>IFERROR(INDEX(T_COMPONENT_MATERIAL[MATERIAL_ID],[@ROW_INDEX]),"")</f>
        <v/>
      </c>
      <c r="E15" s="37">
        <f>IFERROR(INDEX(T_COMPONENT_MATERIAL[SHARE_PCT],[@ROW_INDEX]),"")</f>
        <v/>
      </c>
      <c r="F15" s="37">
        <f>IF([@COMPONENT_ID]="","",IFERROR(INDEX(T_COMPONENT[WEIGHT_G],MATCH([@COMPONENT_ID],T_COMPONENT[COMPONENT_ID],0)),""))</f>
        <v/>
      </c>
      <c r="G15" s="37">
        <f>IF(OR([@UNIT_WEIGHT_G]="",[@SHARE_PCT]=""),"",[@UNIT_WEIGHT_G]*[@SHARE_PCT]/100)</f>
        <v/>
      </c>
      <c r="H15" s="37">
        <f>IF([@MATERIAL_ID]="","",IFERROR(INDEX(T_LKP_MATERIAL[MATERIAL_FAMILY_ID],MATCH([@MATERIAL_ID],T_LKP_MATERIAL[MATERIAL_ID],0)),""))</f>
        <v/>
      </c>
      <c r="I15" s="37">
        <f>IF([@MATERIAL_FAMILY_ID]="","",IFERROR(INDEX(T_LKP_MATERIAL_FAMILY[MATERIAL_FAMILY_CODE],MATCH([@MATERIAL_FAMILY_ID],T_LKP_MATERIAL_FAMILY[MATERIAL_FAMILY_ID],0)),""))</f>
        <v/>
      </c>
    </row>
    <row r="16">
      <c r="A16" s="37" t="n">
        <v>15</v>
      </c>
      <c r="B16" s="37">
        <f>IFERROR(INDEX(T_COMPONENT_MATERIAL[COMPONENT_MATERIAL_ID],[@ROW_INDEX]),"")</f>
        <v/>
      </c>
      <c r="C16" s="37">
        <f>IFERROR(INDEX(T_COMPONENT_MATERIAL[COMPONENT_ID],[@ROW_INDEX]),"")</f>
        <v/>
      </c>
      <c r="D16" s="37">
        <f>IFERROR(INDEX(T_COMPONENT_MATERIAL[MATERIAL_ID],[@ROW_INDEX]),"")</f>
        <v/>
      </c>
      <c r="E16" s="37">
        <f>IFERROR(INDEX(T_COMPONENT_MATERIAL[SHARE_PCT],[@ROW_INDEX]),"")</f>
        <v/>
      </c>
      <c r="F16" s="37">
        <f>IF([@COMPONENT_ID]="","",IFERROR(INDEX(T_COMPONENT[WEIGHT_G],MATCH([@COMPONENT_ID],T_COMPONENT[COMPONENT_ID],0)),""))</f>
        <v/>
      </c>
      <c r="G16" s="37">
        <f>IF(OR([@UNIT_WEIGHT_G]="",[@SHARE_PCT]=""),"",[@UNIT_WEIGHT_G]*[@SHARE_PCT]/100)</f>
        <v/>
      </c>
      <c r="H16" s="37">
        <f>IF([@MATERIAL_ID]="","",IFERROR(INDEX(T_LKP_MATERIAL[MATERIAL_FAMILY_ID],MATCH([@MATERIAL_ID],T_LKP_MATERIAL[MATERIAL_ID],0)),""))</f>
        <v/>
      </c>
      <c r="I16" s="37">
        <f>IF([@MATERIAL_FAMILY_ID]="","",IFERROR(INDEX(T_LKP_MATERIAL_FAMILY[MATERIAL_FAMILY_CODE],MATCH([@MATERIAL_FAMILY_ID],T_LKP_MATERIAL_FAMILY[MATERIAL_FAMILY_ID],0)),""))</f>
        <v/>
      </c>
    </row>
    <row r="17">
      <c r="A17" s="37" t="n">
        <v>16</v>
      </c>
      <c r="B17" s="37">
        <f>IFERROR(INDEX(T_COMPONENT_MATERIAL[COMPONENT_MATERIAL_ID],[@ROW_INDEX]),"")</f>
        <v/>
      </c>
      <c r="C17" s="37">
        <f>IFERROR(INDEX(T_COMPONENT_MATERIAL[COMPONENT_ID],[@ROW_INDEX]),"")</f>
        <v/>
      </c>
      <c r="D17" s="37">
        <f>IFERROR(INDEX(T_COMPONENT_MATERIAL[MATERIAL_ID],[@ROW_INDEX]),"")</f>
        <v/>
      </c>
      <c r="E17" s="37">
        <f>IFERROR(INDEX(T_COMPONENT_MATERIAL[SHARE_PCT],[@ROW_INDEX]),"")</f>
        <v/>
      </c>
      <c r="F17" s="37">
        <f>IF([@COMPONENT_ID]="","",IFERROR(INDEX(T_COMPONENT[WEIGHT_G],MATCH([@COMPONENT_ID],T_COMPONENT[COMPONENT_ID],0)),""))</f>
        <v/>
      </c>
      <c r="G17" s="37">
        <f>IF(OR([@UNIT_WEIGHT_G]="",[@SHARE_PCT]=""),"",[@UNIT_WEIGHT_G]*[@SHARE_PCT]/100)</f>
        <v/>
      </c>
      <c r="H17" s="37">
        <f>IF([@MATERIAL_ID]="","",IFERROR(INDEX(T_LKP_MATERIAL[MATERIAL_FAMILY_ID],MATCH([@MATERIAL_ID],T_LKP_MATERIAL[MATERIAL_ID],0)),""))</f>
        <v/>
      </c>
      <c r="I17" s="37">
        <f>IF([@MATERIAL_FAMILY_ID]="","",IFERROR(INDEX(T_LKP_MATERIAL_FAMILY[MATERIAL_FAMILY_CODE],MATCH([@MATERIAL_FAMILY_ID],T_LKP_MATERIAL_FAMILY[MATERIAL_FAMILY_ID],0)),""))</f>
        <v/>
      </c>
    </row>
    <row r="18">
      <c r="A18" s="37" t="n">
        <v>17</v>
      </c>
      <c r="B18" s="37">
        <f>IFERROR(INDEX(T_COMPONENT_MATERIAL[COMPONENT_MATERIAL_ID],[@ROW_INDEX]),"")</f>
        <v/>
      </c>
      <c r="C18" s="37">
        <f>IFERROR(INDEX(T_COMPONENT_MATERIAL[COMPONENT_ID],[@ROW_INDEX]),"")</f>
        <v/>
      </c>
      <c r="D18" s="37">
        <f>IFERROR(INDEX(T_COMPONENT_MATERIAL[MATERIAL_ID],[@ROW_INDEX]),"")</f>
        <v/>
      </c>
      <c r="E18" s="37">
        <f>IFERROR(INDEX(T_COMPONENT_MATERIAL[SHARE_PCT],[@ROW_INDEX]),"")</f>
        <v/>
      </c>
      <c r="F18" s="37">
        <f>IF([@COMPONENT_ID]="","",IFERROR(INDEX(T_COMPONENT[WEIGHT_G],MATCH([@COMPONENT_ID],T_COMPONENT[COMPONENT_ID],0)),""))</f>
        <v/>
      </c>
      <c r="G18" s="37">
        <f>IF(OR([@UNIT_WEIGHT_G]="",[@SHARE_PCT]=""),"",[@UNIT_WEIGHT_G]*[@SHARE_PCT]/100)</f>
        <v/>
      </c>
      <c r="H18" s="37">
        <f>IF([@MATERIAL_ID]="","",IFERROR(INDEX(T_LKP_MATERIAL[MATERIAL_FAMILY_ID],MATCH([@MATERIAL_ID],T_LKP_MATERIAL[MATERIAL_ID],0)),""))</f>
        <v/>
      </c>
      <c r="I18" s="37">
        <f>IF([@MATERIAL_FAMILY_ID]="","",IFERROR(INDEX(T_LKP_MATERIAL_FAMILY[MATERIAL_FAMILY_CODE],MATCH([@MATERIAL_FAMILY_ID],T_LKP_MATERIAL_FAMILY[MATERIAL_FAMILY_ID],0)),""))</f>
        <v/>
      </c>
    </row>
    <row r="19">
      <c r="A19" s="37" t="n">
        <v>18</v>
      </c>
      <c r="B19" s="37">
        <f>IFERROR(INDEX(T_COMPONENT_MATERIAL[COMPONENT_MATERIAL_ID],[@ROW_INDEX]),"")</f>
        <v/>
      </c>
      <c r="C19" s="37">
        <f>IFERROR(INDEX(T_COMPONENT_MATERIAL[COMPONENT_ID],[@ROW_INDEX]),"")</f>
        <v/>
      </c>
      <c r="D19" s="37">
        <f>IFERROR(INDEX(T_COMPONENT_MATERIAL[MATERIAL_ID],[@ROW_INDEX]),"")</f>
        <v/>
      </c>
      <c r="E19" s="37">
        <f>IFERROR(INDEX(T_COMPONENT_MATERIAL[SHARE_PCT],[@ROW_INDEX]),"")</f>
        <v/>
      </c>
      <c r="F19" s="37">
        <f>IF([@COMPONENT_ID]="","",IFERROR(INDEX(T_COMPONENT[WEIGHT_G],MATCH([@COMPONENT_ID],T_COMPONENT[COMPONENT_ID],0)),""))</f>
        <v/>
      </c>
      <c r="G19" s="37">
        <f>IF(OR([@UNIT_WEIGHT_G]="",[@SHARE_PCT]=""),"",[@UNIT_WEIGHT_G]*[@SHARE_PCT]/100)</f>
        <v/>
      </c>
      <c r="H19" s="37">
        <f>IF([@MATERIAL_ID]="","",IFERROR(INDEX(T_LKP_MATERIAL[MATERIAL_FAMILY_ID],MATCH([@MATERIAL_ID],T_LKP_MATERIAL[MATERIAL_ID],0)),""))</f>
        <v/>
      </c>
      <c r="I19" s="37">
        <f>IF([@MATERIAL_FAMILY_ID]="","",IFERROR(INDEX(T_LKP_MATERIAL_FAMILY[MATERIAL_FAMILY_CODE],MATCH([@MATERIAL_FAMILY_ID],T_LKP_MATERIAL_FAMILY[MATERIAL_FAMILY_ID],0)),""))</f>
        <v/>
      </c>
    </row>
    <row r="20">
      <c r="A20" s="37" t="n">
        <v>19</v>
      </c>
      <c r="B20" s="37">
        <f>IFERROR(INDEX(T_COMPONENT_MATERIAL[COMPONENT_MATERIAL_ID],[@ROW_INDEX]),"")</f>
        <v/>
      </c>
      <c r="C20" s="37">
        <f>IFERROR(INDEX(T_COMPONENT_MATERIAL[COMPONENT_ID],[@ROW_INDEX]),"")</f>
        <v/>
      </c>
      <c r="D20" s="37">
        <f>IFERROR(INDEX(T_COMPONENT_MATERIAL[MATERIAL_ID],[@ROW_INDEX]),"")</f>
        <v/>
      </c>
      <c r="E20" s="37">
        <f>IFERROR(INDEX(T_COMPONENT_MATERIAL[SHARE_PCT],[@ROW_INDEX]),"")</f>
        <v/>
      </c>
      <c r="F20" s="37">
        <f>IF([@COMPONENT_ID]="","",IFERROR(INDEX(T_COMPONENT[WEIGHT_G],MATCH([@COMPONENT_ID],T_COMPONENT[COMPONENT_ID],0)),""))</f>
        <v/>
      </c>
      <c r="G20" s="37">
        <f>IF(OR([@UNIT_WEIGHT_G]="",[@SHARE_PCT]=""),"",[@UNIT_WEIGHT_G]*[@SHARE_PCT]/100)</f>
        <v/>
      </c>
      <c r="H20" s="37">
        <f>IF([@MATERIAL_ID]="","",IFERROR(INDEX(T_LKP_MATERIAL[MATERIAL_FAMILY_ID],MATCH([@MATERIAL_ID],T_LKP_MATERIAL[MATERIAL_ID],0)),""))</f>
        <v/>
      </c>
      <c r="I20" s="37">
        <f>IF([@MATERIAL_FAMILY_ID]="","",IFERROR(INDEX(T_LKP_MATERIAL_FAMILY[MATERIAL_FAMILY_CODE],MATCH([@MATERIAL_FAMILY_ID],T_LKP_MATERIAL_FAMILY[MATERIAL_FAMILY_ID],0)),""))</f>
        <v/>
      </c>
    </row>
    <row r="21">
      <c r="A21" s="37" t="n">
        <v>20</v>
      </c>
      <c r="B21" s="37">
        <f>IFERROR(INDEX(T_COMPONENT_MATERIAL[COMPONENT_MATERIAL_ID],[@ROW_INDEX]),"")</f>
        <v/>
      </c>
      <c r="C21" s="37">
        <f>IFERROR(INDEX(T_COMPONENT_MATERIAL[COMPONENT_ID],[@ROW_INDEX]),"")</f>
        <v/>
      </c>
      <c r="D21" s="37">
        <f>IFERROR(INDEX(T_COMPONENT_MATERIAL[MATERIAL_ID],[@ROW_INDEX]),"")</f>
        <v/>
      </c>
      <c r="E21" s="37">
        <f>IFERROR(INDEX(T_COMPONENT_MATERIAL[SHARE_PCT],[@ROW_INDEX]),"")</f>
        <v/>
      </c>
      <c r="F21" s="37">
        <f>IF([@COMPONENT_ID]="","",IFERROR(INDEX(T_COMPONENT[WEIGHT_G],MATCH([@COMPONENT_ID],T_COMPONENT[COMPONENT_ID],0)),""))</f>
        <v/>
      </c>
      <c r="G21" s="37">
        <f>IF(OR([@UNIT_WEIGHT_G]="",[@SHARE_PCT]=""),"",[@UNIT_WEIGHT_G]*[@SHARE_PCT]/100)</f>
        <v/>
      </c>
      <c r="H21" s="37">
        <f>IF([@MATERIAL_ID]="","",IFERROR(INDEX(T_LKP_MATERIAL[MATERIAL_FAMILY_ID],MATCH([@MATERIAL_ID],T_LKP_MATERIAL[MATERIAL_ID],0)),""))</f>
        <v/>
      </c>
      <c r="I21" s="37">
        <f>IF([@MATERIAL_FAMILY_ID]="","",IFERROR(INDEX(T_LKP_MATERIAL_FAMILY[MATERIAL_FAMILY_CODE],MATCH([@MATERIAL_FAMILY_ID],T_LKP_MATERIAL_FAMILY[MATERIAL_FAMILY_ID],0)),""))</f>
        <v/>
      </c>
    </row>
    <row r="22">
      <c r="A22" s="37" t="n">
        <v>21</v>
      </c>
      <c r="B22" s="37">
        <f>IFERROR(INDEX(T_COMPONENT_MATERIAL[COMPONENT_MATERIAL_ID],[@ROW_INDEX]),"")</f>
        <v/>
      </c>
      <c r="C22" s="37">
        <f>IFERROR(INDEX(T_COMPONENT_MATERIAL[COMPONENT_ID],[@ROW_INDEX]),"")</f>
        <v/>
      </c>
      <c r="D22" s="37">
        <f>IFERROR(INDEX(T_COMPONENT_MATERIAL[MATERIAL_ID],[@ROW_INDEX]),"")</f>
        <v/>
      </c>
      <c r="E22" s="37">
        <f>IFERROR(INDEX(T_COMPONENT_MATERIAL[SHARE_PCT],[@ROW_INDEX]),"")</f>
        <v/>
      </c>
      <c r="F22" s="37">
        <f>IF([@COMPONENT_ID]="","",IFERROR(INDEX(T_COMPONENT[WEIGHT_G],MATCH([@COMPONENT_ID],T_COMPONENT[COMPONENT_ID],0)),""))</f>
        <v/>
      </c>
      <c r="G22" s="37">
        <f>IF(OR([@UNIT_WEIGHT_G]="",[@SHARE_PCT]=""),"",[@UNIT_WEIGHT_G]*[@SHARE_PCT]/100)</f>
        <v/>
      </c>
      <c r="H22" s="37">
        <f>IF([@MATERIAL_ID]="","",IFERROR(INDEX(T_LKP_MATERIAL[MATERIAL_FAMILY_ID],MATCH([@MATERIAL_ID],T_LKP_MATERIAL[MATERIAL_ID],0)),""))</f>
        <v/>
      </c>
      <c r="I22" s="37">
        <f>IF([@MATERIAL_FAMILY_ID]="","",IFERROR(INDEX(T_LKP_MATERIAL_FAMILY[MATERIAL_FAMILY_CODE],MATCH([@MATERIAL_FAMILY_ID],T_LKP_MATERIAL_FAMILY[MATERIAL_FAMILY_ID],0)),""))</f>
        <v/>
      </c>
    </row>
    <row r="23">
      <c r="A23" s="37" t="n">
        <v>22</v>
      </c>
      <c r="B23" s="37">
        <f>IFERROR(INDEX(T_COMPONENT_MATERIAL[COMPONENT_MATERIAL_ID],[@ROW_INDEX]),"")</f>
        <v/>
      </c>
      <c r="C23" s="37">
        <f>IFERROR(INDEX(T_COMPONENT_MATERIAL[COMPONENT_ID],[@ROW_INDEX]),"")</f>
        <v/>
      </c>
      <c r="D23" s="37">
        <f>IFERROR(INDEX(T_COMPONENT_MATERIAL[MATERIAL_ID],[@ROW_INDEX]),"")</f>
        <v/>
      </c>
      <c r="E23" s="37">
        <f>IFERROR(INDEX(T_COMPONENT_MATERIAL[SHARE_PCT],[@ROW_INDEX]),"")</f>
        <v/>
      </c>
      <c r="F23" s="37">
        <f>IF([@COMPONENT_ID]="","",IFERROR(INDEX(T_COMPONENT[WEIGHT_G],MATCH([@COMPONENT_ID],T_COMPONENT[COMPONENT_ID],0)),""))</f>
        <v/>
      </c>
      <c r="G23" s="37">
        <f>IF(OR([@UNIT_WEIGHT_G]="",[@SHARE_PCT]=""),"",[@UNIT_WEIGHT_G]*[@SHARE_PCT]/100)</f>
        <v/>
      </c>
      <c r="H23" s="37">
        <f>IF([@MATERIAL_ID]="","",IFERROR(INDEX(T_LKP_MATERIAL[MATERIAL_FAMILY_ID],MATCH([@MATERIAL_ID],T_LKP_MATERIAL[MATERIAL_ID],0)),""))</f>
        <v/>
      </c>
      <c r="I23" s="37">
        <f>IF([@MATERIAL_FAMILY_ID]="","",IFERROR(INDEX(T_LKP_MATERIAL_FAMILY[MATERIAL_FAMILY_CODE],MATCH([@MATERIAL_FAMILY_ID],T_LKP_MATERIAL_FAMILY[MATERIAL_FAMILY_ID],0)),""))</f>
        <v/>
      </c>
    </row>
    <row r="24">
      <c r="A24" s="37" t="n">
        <v>23</v>
      </c>
      <c r="B24" s="37">
        <f>IFERROR(INDEX(T_COMPONENT_MATERIAL[COMPONENT_MATERIAL_ID],[@ROW_INDEX]),"")</f>
        <v/>
      </c>
      <c r="C24" s="37">
        <f>IFERROR(INDEX(T_COMPONENT_MATERIAL[COMPONENT_ID],[@ROW_INDEX]),"")</f>
        <v/>
      </c>
      <c r="D24" s="37">
        <f>IFERROR(INDEX(T_COMPONENT_MATERIAL[MATERIAL_ID],[@ROW_INDEX]),"")</f>
        <v/>
      </c>
      <c r="E24" s="37">
        <f>IFERROR(INDEX(T_COMPONENT_MATERIAL[SHARE_PCT],[@ROW_INDEX]),"")</f>
        <v/>
      </c>
      <c r="F24" s="37">
        <f>IF([@COMPONENT_ID]="","",IFERROR(INDEX(T_COMPONENT[WEIGHT_G],MATCH([@COMPONENT_ID],T_COMPONENT[COMPONENT_ID],0)),""))</f>
        <v/>
      </c>
      <c r="G24" s="37">
        <f>IF(OR([@UNIT_WEIGHT_G]="",[@SHARE_PCT]=""),"",[@UNIT_WEIGHT_G]*[@SHARE_PCT]/100)</f>
        <v/>
      </c>
      <c r="H24" s="37">
        <f>IF([@MATERIAL_ID]="","",IFERROR(INDEX(T_LKP_MATERIAL[MATERIAL_FAMILY_ID],MATCH([@MATERIAL_ID],T_LKP_MATERIAL[MATERIAL_ID],0)),""))</f>
        <v/>
      </c>
      <c r="I24" s="37">
        <f>IF([@MATERIAL_FAMILY_ID]="","",IFERROR(INDEX(T_LKP_MATERIAL_FAMILY[MATERIAL_FAMILY_CODE],MATCH([@MATERIAL_FAMILY_ID],T_LKP_MATERIAL_FAMILY[MATERIAL_FAMILY_ID],0)),""))</f>
        <v/>
      </c>
    </row>
    <row r="25">
      <c r="A25" s="37" t="n">
        <v>24</v>
      </c>
      <c r="B25" s="37">
        <f>IFERROR(INDEX(T_COMPONENT_MATERIAL[COMPONENT_MATERIAL_ID],[@ROW_INDEX]),"")</f>
        <v/>
      </c>
      <c r="C25" s="37">
        <f>IFERROR(INDEX(T_COMPONENT_MATERIAL[COMPONENT_ID],[@ROW_INDEX]),"")</f>
        <v/>
      </c>
      <c r="D25" s="37">
        <f>IFERROR(INDEX(T_COMPONENT_MATERIAL[MATERIAL_ID],[@ROW_INDEX]),"")</f>
        <v/>
      </c>
      <c r="E25" s="37">
        <f>IFERROR(INDEX(T_COMPONENT_MATERIAL[SHARE_PCT],[@ROW_INDEX]),"")</f>
        <v/>
      </c>
      <c r="F25" s="37">
        <f>IF([@COMPONENT_ID]="","",IFERROR(INDEX(T_COMPONENT[WEIGHT_G],MATCH([@COMPONENT_ID],T_COMPONENT[COMPONENT_ID],0)),""))</f>
        <v/>
      </c>
      <c r="G25" s="37">
        <f>IF(OR([@UNIT_WEIGHT_G]="",[@SHARE_PCT]=""),"",[@UNIT_WEIGHT_G]*[@SHARE_PCT]/100)</f>
        <v/>
      </c>
      <c r="H25" s="37">
        <f>IF([@MATERIAL_ID]="","",IFERROR(INDEX(T_LKP_MATERIAL[MATERIAL_FAMILY_ID],MATCH([@MATERIAL_ID],T_LKP_MATERIAL[MATERIAL_ID],0)),""))</f>
        <v/>
      </c>
      <c r="I25" s="37">
        <f>IF([@MATERIAL_FAMILY_ID]="","",IFERROR(INDEX(T_LKP_MATERIAL_FAMILY[MATERIAL_FAMILY_CODE],MATCH([@MATERIAL_FAMILY_ID],T_LKP_MATERIAL_FAMILY[MATERIAL_FAMILY_ID],0)),""))</f>
        <v/>
      </c>
    </row>
    <row r="26">
      <c r="A26" s="37" t="n">
        <v>25</v>
      </c>
      <c r="B26" s="37">
        <f>IFERROR(INDEX(T_COMPONENT_MATERIAL[COMPONENT_MATERIAL_ID],[@ROW_INDEX]),"")</f>
        <v/>
      </c>
      <c r="C26" s="37">
        <f>IFERROR(INDEX(T_COMPONENT_MATERIAL[COMPONENT_ID],[@ROW_INDEX]),"")</f>
        <v/>
      </c>
      <c r="D26" s="37">
        <f>IFERROR(INDEX(T_COMPONENT_MATERIAL[MATERIAL_ID],[@ROW_INDEX]),"")</f>
        <v/>
      </c>
      <c r="E26" s="37">
        <f>IFERROR(INDEX(T_COMPONENT_MATERIAL[SHARE_PCT],[@ROW_INDEX]),"")</f>
        <v/>
      </c>
      <c r="F26" s="37">
        <f>IF([@COMPONENT_ID]="","",IFERROR(INDEX(T_COMPONENT[WEIGHT_G],MATCH([@COMPONENT_ID],T_COMPONENT[COMPONENT_ID],0)),""))</f>
        <v/>
      </c>
      <c r="G26" s="37">
        <f>IF(OR([@UNIT_WEIGHT_G]="",[@SHARE_PCT]=""),"",[@UNIT_WEIGHT_G]*[@SHARE_PCT]/100)</f>
        <v/>
      </c>
      <c r="H26" s="37">
        <f>IF([@MATERIAL_ID]="","",IFERROR(INDEX(T_LKP_MATERIAL[MATERIAL_FAMILY_ID],MATCH([@MATERIAL_ID],T_LKP_MATERIAL[MATERIAL_ID],0)),""))</f>
        <v/>
      </c>
      <c r="I26" s="37">
        <f>IF([@MATERIAL_FAMILY_ID]="","",IFERROR(INDEX(T_LKP_MATERIAL_FAMILY[MATERIAL_FAMILY_CODE],MATCH([@MATERIAL_FAMILY_ID],T_LKP_MATERIAL_FAMILY[MATERIAL_FAMILY_ID],0)),""))</f>
        <v/>
      </c>
    </row>
    <row r="27">
      <c r="A27" s="37" t="n">
        <v>26</v>
      </c>
      <c r="B27" s="37">
        <f>IFERROR(INDEX(T_COMPONENT_MATERIAL[COMPONENT_MATERIAL_ID],[@ROW_INDEX]),"")</f>
        <v/>
      </c>
      <c r="C27" s="37">
        <f>IFERROR(INDEX(T_COMPONENT_MATERIAL[COMPONENT_ID],[@ROW_INDEX]),"")</f>
        <v/>
      </c>
      <c r="D27" s="37">
        <f>IFERROR(INDEX(T_COMPONENT_MATERIAL[MATERIAL_ID],[@ROW_INDEX]),"")</f>
        <v/>
      </c>
      <c r="E27" s="37">
        <f>IFERROR(INDEX(T_COMPONENT_MATERIAL[SHARE_PCT],[@ROW_INDEX]),"")</f>
        <v/>
      </c>
      <c r="F27" s="37">
        <f>IF([@COMPONENT_ID]="","",IFERROR(INDEX(T_COMPONENT[WEIGHT_G],MATCH([@COMPONENT_ID],T_COMPONENT[COMPONENT_ID],0)),""))</f>
        <v/>
      </c>
      <c r="G27" s="37">
        <f>IF(OR([@UNIT_WEIGHT_G]="",[@SHARE_PCT]=""),"",[@UNIT_WEIGHT_G]*[@SHARE_PCT]/100)</f>
        <v/>
      </c>
      <c r="H27" s="37">
        <f>IF([@MATERIAL_ID]="","",IFERROR(INDEX(T_LKP_MATERIAL[MATERIAL_FAMILY_ID],MATCH([@MATERIAL_ID],T_LKP_MATERIAL[MATERIAL_ID],0)),""))</f>
        <v/>
      </c>
      <c r="I27" s="37">
        <f>IF([@MATERIAL_FAMILY_ID]="","",IFERROR(INDEX(T_LKP_MATERIAL_FAMILY[MATERIAL_FAMILY_CODE],MATCH([@MATERIAL_FAMILY_ID],T_LKP_MATERIAL_FAMILY[MATERIAL_FAMILY_ID],0)),""))</f>
        <v/>
      </c>
    </row>
    <row r="28">
      <c r="A28" s="37" t="n">
        <v>27</v>
      </c>
      <c r="B28" s="37">
        <f>IFERROR(INDEX(T_COMPONENT_MATERIAL[COMPONENT_MATERIAL_ID],[@ROW_INDEX]),"")</f>
        <v/>
      </c>
      <c r="C28" s="37">
        <f>IFERROR(INDEX(T_COMPONENT_MATERIAL[COMPONENT_ID],[@ROW_INDEX]),"")</f>
        <v/>
      </c>
      <c r="D28" s="37">
        <f>IFERROR(INDEX(T_COMPONENT_MATERIAL[MATERIAL_ID],[@ROW_INDEX]),"")</f>
        <v/>
      </c>
      <c r="E28" s="37">
        <f>IFERROR(INDEX(T_COMPONENT_MATERIAL[SHARE_PCT],[@ROW_INDEX]),"")</f>
        <v/>
      </c>
      <c r="F28" s="37">
        <f>IF([@COMPONENT_ID]="","",IFERROR(INDEX(T_COMPONENT[WEIGHT_G],MATCH([@COMPONENT_ID],T_COMPONENT[COMPONENT_ID],0)),""))</f>
        <v/>
      </c>
      <c r="G28" s="37">
        <f>IF(OR([@UNIT_WEIGHT_G]="",[@SHARE_PCT]=""),"",[@UNIT_WEIGHT_G]*[@SHARE_PCT]/100)</f>
        <v/>
      </c>
      <c r="H28" s="37">
        <f>IF([@MATERIAL_ID]="","",IFERROR(INDEX(T_LKP_MATERIAL[MATERIAL_FAMILY_ID],MATCH([@MATERIAL_ID],T_LKP_MATERIAL[MATERIAL_ID],0)),""))</f>
        <v/>
      </c>
      <c r="I28" s="37">
        <f>IF([@MATERIAL_FAMILY_ID]="","",IFERROR(INDEX(T_LKP_MATERIAL_FAMILY[MATERIAL_FAMILY_CODE],MATCH([@MATERIAL_FAMILY_ID],T_LKP_MATERIAL_FAMILY[MATERIAL_FAMILY_ID],0)),""))</f>
        <v/>
      </c>
    </row>
    <row r="29">
      <c r="A29" s="37" t="n">
        <v>28</v>
      </c>
      <c r="B29" s="37">
        <f>IFERROR(INDEX(T_COMPONENT_MATERIAL[COMPONENT_MATERIAL_ID],[@ROW_INDEX]),"")</f>
        <v/>
      </c>
      <c r="C29" s="37">
        <f>IFERROR(INDEX(T_COMPONENT_MATERIAL[COMPONENT_ID],[@ROW_INDEX]),"")</f>
        <v/>
      </c>
      <c r="D29" s="37">
        <f>IFERROR(INDEX(T_COMPONENT_MATERIAL[MATERIAL_ID],[@ROW_INDEX]),"")</f>
        <v/>
      </c>
      <c r="E29" s="37">
        <f>IFERROR(INDEX(T_COMPONENT_MATERIAL[SHARE_PCT],[@ROW_INDEX]),"")</f>
        <v/>
      </c>
      <c r="F29" s="37">
        <f>IF([@COMPONENT_ID]="","",IFERROR(INDEX(T_COMPONENT[WEIGHT_G],MATCH([@COMPONENT_ID],T_COMPONENT[COMPONENT_ID],0)),""))</f>
        <v/>
      </c>
      <c r="G29" s="37">
        <f>IF(OR([@UNIT_WEIGHT_G]="",[@SHARE_PCT]=""),"",[@UNIT_WEIGHT_G]*[@SHARE_PCT]/100)</f>
        <v/>
      </c>
      <c r="H29" s="37">
        <f>IF([@MATERIAL_ID]="","",IFERROR(INDEX(T_LKP_MATERIAL[MATERIAL_FAMILY_ID],MATCH([@MATERIAL_ID],T_LKP_MATERIAL[MATERIAL_ID],0)),""))</f>
        <v/>
      </c>
      <c r="I29" s="37">
        <f>IF([@MATERIAL_FAMILY_ID]="","",IFERROR(INDEX(T_LKP_MATERIAL_FAMILY[MATERIAL_FAMILY_CODE],MATCH([@MATERIAL_FAMILY_ID],T_LKP_MATERIAL_FAMILY[MATERIAL_FAMILY_ID],0)),""))</f>
        <v/>
      </c>
    </row>
    <row r="30">
      <c r="A30" s="37" t="n">
        <v>29</v>
      </c>
      <c r="B30" s="37">
        <f>IFERROR(INDEX(T_COMPONENT_MATERIAL[COMPONENT_MATERIAL_ID],[@ROW_INDEX]),"")</f>
        <v/>
      </c>
      <c r="C30" s="37">
        <f>IFERROR(INDEX(T_COMPONENT_MATERIAL[COMPONENT_ID],[@ROW_INDEX]),"")</f>
        <v/>
      </c>
      <c r="D30" s="37">
        <f>IFERROR(INDEX(T_COMPONENT_MATERIAL[MATERIAL_ID],[@ROW_INDEX]),"")</f>
        <v/>
      </c>
      <c r="E30" s="37">
        <f>IFERROR(INDEX(T_COMPONENT_MATERIAL[SHARE_PCT],[@ROW_INDEX]),"")</f>
        <v/>
      </c>
      <c r="F30" s="37">
        <f>IF([@COMPONENT_ID]="","",IFERROR(INDEX(T_COMPONENT[WEIGHT_G],MATCH([@COMPONENT_ID],T_COMPONENT[COMPONENT_ID],0)),""))</f>
        <v/>
      </c>
      <c r="G30" s="37">
        <f>IF(OR([@UNIT_WEIGHT_G]="",[@SHARE_PCT]=""),"",[@UNIT_WEIGHT_G]*[@SHARE_PCT]/100)</f>
        <v/>
      </c>
      <c r="H30" s="37">
        <f>IF([@MATERIAL_ID]="","",IFERROR(INDEX(T_LKP_MATERIAL[MATERIAL_FAMILY_ID],MATCH([@MATERIAL_ID],T_LKP_MATERIAL[MATERIAL_ID],0)),""))</f>
        <v/>
      </c>
      <c r="I30" s="37">
        <f>IF([@MATERIAL_FAMILY_ID]="","",IFERROR(INDEX(T_LKP_MATERIAL_FAMILY[MATERIAL_FAMILY_CODE],MATCH([@MATERIAL_FAMILY_ID],T_LKP_MATERIAL_FAMILY[MATERIAL_FAMILY_ID],0)),""))</f>
        <v/>
      </c>
    </row>
    <row r="31">
      <c r="A31" s="37" t="n">
        <v>30</v>
      </c>
      <c r="B31" s="37">
        <f>IFERROR(INDEX(T_COMPONENT_MATERIAL[COMPONENT_MATERIAL_ID],[@ROW_INDEX]),"")</f>
        <v/>
      </c>
      <c r="C31" s="37">
        <f>IFERROR(INDEX(T_COMPONENT_MATERIAL[COMPONENT_ID],[@ROW_INDEX]),"")</f>
        <v/>
      </c>
      <c r="D31" s="37">
        <f>IFERROR(INDEX(T_COMPONENT_MATERIAL[MATERIAL_ID],[@ROW_INDEX]),"")</f>
        <v/>
      </c>
      <c r="E31" s="37">
        <f>IFERROR(INDEX(T_COMPONENT_MATERIAL[SHARE_PCT],[@ROW_INDEX]),"")</f>
        <v/>
      </c>
      <c r="F31" s="37">
        <f>IF([@COMPONENT_ID]="","",IFERROR(INDEX(T_COMPONENT[WEIGHT_G],MATCH([@COMPONENT_ID],T_COMPONENT[COMPONENT_ID],0)),""))</f>
        <v/>
      </c>
      <c r="G31" s="37">
        <f>IF(OR([@UNIT_WEIGHT_G]="",[@SHARE_PCT]=""),"",[@UNIT_WEIGHT_G]*[@SHARE_PCT]/100)</f>
        <v/>
      </c>
      <c r="H31" s="37">
        <f>IF([@MATERIAL_ID]="","",IFERROR(INDEX(T_LKP_MATERIAL[MATERIAL_FAMILY_ID],MATCH([@MATERIAL_ID],T_LKP_MATERIAL[MATERIAL_ID],0)),""))</f>
        <v/>
      </c>
      <c r="I31" s="37">
        <f>IF([@MATERIAL_FAMILY_ID]="","",IFERROR(INDEX(T_LKP_MATERIAL_FAMILY[MATERIAL_FAMILY_CODE],MATCH([@MATERIAL_FAMILY_ID],T_LKP_MATERIAL_FAMILY[MATERIAL_FAMILY_ID],0)),""))</f>
        <v/>
      </c>
    </row>
    <row r="32">
      <c r="A32" s="37" t="n">
        <v>31</v>
      </c>
      <c r="B32" s="37">
        <f>IFERROR(INDEX(T_COMPONENT_MATERIAL[COMPONENT_MATERIAL_ID],[@ROW_INDEX]),"")</f>
        <v/>
      </c>
      <c r="C32" s="37">
        <f>IFERROR(INDEX(T_COMPONENT_MATERIAL[COMPONENT_ID],[@ROW_INDEX]),"")</f>
        <v/>
      </c>
      <c r="D32" s="37">
        <f>IFERROR(INDEX(T_COMPONENT_MATERIAL[MATERIAL_ID],[@ROW_INDEX]),"")</f>
        <v/>
      </c>
      <c r="E32" s="37">
        <f>IFERROR(INDEX(T_COMPONENT_MATERIAL[SHARE_PCT],[@ROW_INDEX]),"")</f>
        <v/>
      </c>
      <c r="F32" s="37">
        <f>IF([@COMPONENT_ID]="","",IFERROR(INDEX(T_COMPONENT[WEIGHT_G],MATCH([@COMPONENT_ID],T_COMPONENT[COMPONENT_ID],0)),""))</f>
        <v/>
      </c>
      <c r="G32" s="37">
        <f>IF(OR([@UNIT_WEIGHT_G]="",[@SHARE_PCT]=""),"",[@UNIT_WEIGHT_G]*[@SHARE_PCT]/100)</f>
        <v/>
      </c>
      <c r="H32" s="37">
        <f>IF([@MATERIAL_ID]="","",IFERROR(INDEX(T_LKP_MATERIAL[MATERIAL_FAMILY_ID],MATCH([@MATERIAL_ID],T_LKP_MATERIAL[MATERIAL_ID],0)),""))</f>
        <v/>
      </c>
      <c r="I32" s="37">
        <f>IF([@MATERIAL_FAMILY_ID]="","",IFERROR(INDEX(T_LKP_MATERIAL_FAMILY[MATERIAL_FAMILY_CODE],MATCH([@MATERIAL_FAMILY_ID],T_LKP_MATERIAL_FAMILY[MATERIAL_FAMILY_ID],0)),""))</f>
        <v/>
      </c>
    </row>
    <row r="33">
      <c r="A33" s="37" t="n">
        <v>32</v>
      </c>
      <c r="B33" s="37">
        <f>IFERROR(INDEX(T_COMPONENT_MATERIAL[COMPONENT_MATERIAL_ID],[@ROW_INDEX]),"")</f>
        <v/>
      </c>
      <c r="C33" s="37">
        <f>IFERROR(INDEX(T_COMPONENT_MATERIAL[COMPONENT_ID],[@ROW_INDEX]),"")</f>
        <v/>
      </c>
      <c r="D33" s="37">
        <f>IFERROR(INDEX(T_COMPONENT_MATERIAL[MATERIAL_ID],[@ROW_INDEX]),"")</f>
        <v/>
      </c>
      <c r="E33" s="37">
        <f>IFERROR(INDEX(T_COMPONENT_MATERIAL[SHARE_PCT],[@ROW_INDEX]),"")</f>
        <v/>
      </c>
      <c r="F33" s="37">
        <f>IF([@COMPONENT_ID]="","",IFERROR(INDEX(T_COMPONENT[WEIGHT_G],MATCH([@COMPONENT_ID],T_COMPONENT[COMPONENT_ID],0)),""))</f>
        <v/>
      </c>
      <c r="G33" s="37">
        <f>IF(OR([@UNIT_WEIGHT_G]="",[@SHARE_PCT]=""),"",[@UNIT_WEIGHT_G]*[@SHARE_PCT]/100)</f>
        <v/>
      </c>
      <c r="H33" s="37">
        <f>IF([@MATERIAL_ID]="","",IFERROR(INDEX(T_LKP_MATERIAL[MATERIAL_FAMILY_ID],MATCH([@MATERIAL_ID],T_LKP_MATERIAL[MATERIAL_ID],0)),""))</f>
        <v/>
      </c>
      <c r="I33" s="37">
        <f>IF([@MATERIAL_FAMILY_ID]="","",IFERROR(INDEX(T_LKP_MATERIAL_FAMILY[MATERIAL_FAMILY_CODE],MATCH([@MATERIAL_FAMILY_ID],T_LKP_MATERIAL_FAMILY[MATERIAL_FAMILY_ID],0)),""))</f>
        <v/>
      </c>
    </row>
    <row r="34">
      <c r="A34" s="37" t="n">
        <v>33</v>
      </c>
      <c r="B34" s="37">
        <f>IFERROR(INDEX(T_COMPONENT_MATERIAL[COMPONENT_MATERIAL_ID],[@ROW_INDEX]),"")</f>
        <v/>
      </c>
      <c r="C34" s="37">
        <f>IFERROR(INDEX(T_COMPONENT_MATERIAL[COMPONENT_ID],[@ROW_INDEX]),"")</f>
        <v/>
      </c>
      <c r="D34" s="37">
        <f>IFERROR(INDEX(T_COMPONENT_MATERIAL[MATERIAL_ID],[@ROW_INDEX]),"")</f>
        <v/>
      </c>
      <c r="E34" s="37">
        <f>IFERROR(INDEX(T_COMPONENT_MATERIAL[SHARE_PCT],[@ROW_INDEX]),"")</f>
        <v/>
      </c>
      <c r="F34" s="37">
        <f>IF([@COMPONENT_ID]="","",IFERROR(INDEX(T_COMPONENT[WEIGHT_G],MATCH([@COMPONENT_ID],T_COMPONENT[COMPONENT_ID],0)),""))</f>
        <v/>
      </c>
      <c r="G34" s="37">
        <f>IF(OR([@UNIT_WEIGHT_G]="",[@SHARE_PCT]=""),"",[@UNIT_WEIGHT_G]*[@SHARE_PCT]/100)</f>
        <v/>
      </c>
      <c r="H34" s="37">
        <f>IF([@MATERIAL_ID]="","",IFERROR(INDEX(T_LKP_MATERIAL[MATERIAL_FAMILY_ID],MATCH([@MATERIAL_ID],T_LKP_MATERIAL[MATERIAL_ID],0)),""))</f>
        <v/>
      </c>
      <c r="I34" s="37">
        <f>IF([@MATERIAL_FAMILY_ID]="","",IFERROR(INDEX(T_LKP_MATERIAL_FAMILY[MATERIAL_FAMILY_CODE],MATCH([@MATERIAL_FAMILY_ID],T_LKP_MATERIAL_FAMILY[MATERIAL_FAMILY_ID],0)),""))</f>
        <v/>
      </c>
    </row>
    <row r="35">
      <c r="A35" s="37" t="n">
        <v>34</v>
      </c>
      <c r="B35" s="37">
        <f>IFERROR(INDEX(T_COMPONENT_MATERIAL[COMPONENT_MATERIAL_ID],[@ROW_INDEX]),"")</f>
        <v/>
      </c>
      <c r="C35" s="37">
        <f>IFERROR(INDEX(T_COMPONENT_MATERIAL[COMPONENT_ID],[@ROW_INDEX]),"")</f>
        <v/>
      </c>
      <c r="D35" s="37">
        <f>IFERROR(INDEX(T_COMPONENT_MATERIAL[MATERIAL_ID],[@ROW_INDEX]),"")</f>
        <v/>
      </c>
      <c r="E35" s="37">
        <f>IFERROR(INDEX(T_COMPONENT_MATERIAL[SHARE_PCT],[@ROW_INDEX]),"")</f>
        <v/>
      </c>
      <c r="F35" s="37">
        <f>IF([@COMPONENT_ID]="","",IFERROR(INDEX(T_COMPONENT[WEIGHT_G],MATCH([@COMPONENT_ID],T_COMPONENT[COMPONENT_ID],0)),""))</f>
        <v/>
      </c>
      <c r="G35" s="37">
        <f>IF(OR([@UNIT_WEIGHT_G]="",[@SHARE_PCT]=""),"",[@UNIT_WEIGHT_G]*[@SHARE_PCT]/100)</f>
        <v/>
      </c>
      <c r="H35" s="37">
        <f>IF([@MATERIAL_ID]="","",IFERROR(INDEX(T_LKP_MATERIAL[MATERIAL_FAMILY_ID],MATCH([@MATERIAL_ID],T_LKP_MATERIAL[MATERIAL_ID],0)),""))</f>
        <v/>
      </c>
      <c r="I35" s="37">
        <f>IF([@MATERIAL_FAMILY_ID]="","",IFERROR(INDEX(T_LKP_MATERIAL_FAMILY[MATERIAL_FAMILY_CODE],MATCH([@MATERIAL_FAMILY_ID],T_LKP_MATERIAL_FAMILY[MATERIAL_FAMILY_ID],0)),""))</f>
        <v/>
      </c>
    </row>
    <row r="36">
      <c r="A36" s="37" t="n">
        <v>35</v>
      </c>
      <c r="B36" s="37">
        <f>IFERROR(INDEX(T_COMPONENT_MATERIAL[COMPONENT_MATERIAL_ID],[@ROW_INDEX]),"")</f>
        <v/>
      </c>
      <c r="C36" s="37">
        <f>IFERROR(INDEX(T_COMPONENT_MATERIAL[COMPONENT_ID],[@ROW_INDEX]),"")</f>
        <v/>
      </c>
      <c r="D36" s="37">
        <f>IFERROR(INDEX(T_COMPONENT_MATERIAL[MATERIAL_ID],[@ROW_INDEX]),"")</f>
        <v/>
      </c>
      <c r="E36" s="37">
        <f>IFERROR(INDEX(T_COMPONENT_MATERIAL[SHARE_PCT],[@ROW_INDEX]),"")</f>
        <v/>
      </c>
      <c r="F36" s="37">
        <f>IF([@COMPONENT_ID]="","",IFERROR(INDEX(T_COMPONENT[WEIGHT_G],MATCH([@COMPONENT_ID],T_COMPONENT[COMPONENT_ID],0)),""))</f>
        <v/>
      </c>
      <c r="G36" s="37">
        <f>IF(OR([@UNIT_WEIGHT_G]="",[@SHARE_PCT]=""),"",[@UNIT_WEIGHT_G]*[@SHARE_PCT]/100)</f>
        <v/>
      </c>
      <c r="H36" s="37">
        <f>IF([@MATERIAL_ID]="","",IFERROR(INDEX(T_LKP_MATERIAL[MATERIAL_FAMILY_ID],MATCH([@MATERIAL_ID],T_LKP_MATERIAL[MATERIAL_ID],0)),""))</f>
        <v/>
      </c>
      <c r="I36" s="37">
        <f>IF([@MATERIAL_FAMILY_ID]="","",IFERROR(INDEX(T_LKP_MATERIAL_FAMILY[MATERIAL_FAMILY_CODE],MATCH([@MATERIAL_FAMILY_ID],T_LKP_MATERIAL_FAMILY[MATERIAL_FAMILY_ID],0)),""))</f>
        <v/>
      </c>
    </row>
    <row r="37">
      <c r="A37" s="37" t="n">
        <v>36</v>
      </c>
      <c r="B37" s="37">
        <f>IFERROR(INDEX(T_COMPONENT_MATERIAL[COMPONENT_MATERIAL_ID],[@ROW_INDEX]),"")</f>
        <v/>
      </c>
      <c r="C37" s="37">
        <f>IFERROR(INDEX(T_COMPONENT_MATERIAL[COMPONENT_ID],[@ROW_INDEX]),"")</f>
        <v/>
      </c>
      <c r="D37" s="37">
        <f>IFERROR(INDEX(T_COMPONENT_MATERIAL[MATERIAL_ID],[@ROW_INDEX]),"")</f>
        <v/>
      </c>
      <c r="E37" s="37">
        <f>IFERROR(INDEX(T_COMPONENT_MATERIAL[SHARE_PCT],[@ROW_INDEX]),"")</f>
        <v/>
      </c>
      <c r="F37" s="37">
        <f>IF([@COMPONENT_ID]="","",IFERROR(INDEX(T_COMPONENT[WEIGHT_G],MATCH([@COMPONENT_ID],T_COMPONENT[COMPONENT_ID],0)),""))</f>
        <v/>
      </c>
      <c r="G37" s="37">
        <f>IF(OR([@UNIT_WEIGHT_G]="",[@SHARE_PCT]=""),"",[@UNIT_WEIGHT_G]*[@SHARE_PCT]/100)</f>
        <v/>
      </c>
      <c r="H37" s="37">
        <f>IF([@MATERIAL_ID]="","",IFERROR(INDEX(T_LKP_MATERIAL[MATERIAL_FAMILY_ID],MATCH([@MATERIAL_ID],T_LKP_MATERIAL[MATERIAL_ID],0)),""))</f>
        <v/>
      </c>
      <c r="I37" s="37">
        <f>IF([@MATERIAL_FAMILY_ID]="","",IFERROR(INDEX(T_LKP_MATERIAL_FAMILY[MATERIAL_FAMILY_CODE],MATCH([@MATERIAL_FAMILY_ID],T_LKP_MATERIAL_FAMILY[MATERIAL_FAMILY_ID],0)),""))</f>
        <v/>
      </c>
    </row>
    <row r="38">
      <c r="A38" s="37" t="n">
        <v>37</v>
      </c>
      <c r="B38" s="37">
        <f>IFERROR(INDEX(T_COMPONENT_MATERIAL[COMPONENT_MATERIAL_ID],[@ROW_INDEX]),"")</f>
        <v/>
      </c>
      <c r="C38" s="37">
        <f>IFERROR(INDEX(T_COMPONENT_MATERIAL[COMPONENT_ID],[@ROW_INDEX]),"")</f>
        <v/>
      </c>
      <c r="D38" s="37">
        <f>IFERROR(INDEX(T_COMPONENT_MATERIAL[MATERIAL_ID],[@ROW_INDEX]),"")</f>
        <v/>
      </c>
      <c r="E38" s="37">
        <f>IFERROR(INDEX(T_COMPONENT_MATERIAL[SHARE_PCT],[@ROW_INDEX]),"")</f>
        <v/>
      </c>
      <c r="F38" s="37">
        <f>IF([@COMPONENT_ID]="","",IFERROR(INDEX(T_COMPONENT[WEIGHT_G],MATCH([@COMPONENT_ID],T_COMPONENT[COMPONENT_ID],0)),""))</f>
        <v/>
      </c>
      <c r="G38" s="37">
        <f>IF(OR([@UNIT_WEIGHT_G]="",[@SHARE_PCT]=""),"",[@UNIT_WEIGHT_G]*[@SHARE_PCT]/100)</f>
        <v/>
      </c>
      <c r="H38" s="37">
        <f>IF([@MATERIAL_ID]="","",IFERROR(INDEX(T_LKP_MATERIAL[MATERIAL_FAMILY_ID],MATCH([@MATERIAL_ID],T_LKP_MATERIAL[MATERIAL_ID],0)),""))</f>
        <v/>
      </c>
      <c r="I38" s="37">
        <f>IF([@MATERIAL_FAMILY_ID]="","",IFERROR(INDEX(T_LKP_MATERIAL_FAMILY[MATERIAL_FAMILY_CODE],MATCH([@MATERIAL_FAMILY_ID],T_LKP_MATERIAL_FAMILY[MATERIAL_FAMILY_ID],0)),""))</f>
        <v/>
      </c>
    </row>
    <row r="39">
      <c r="A39" s="37" t="n">
        <v>38</v>
      </c>
      <c r="B39" s="37">
        <f>IFERROR(INDEX(T_COMPONENT_MATERIAL[COMPONENT_MATERIAL_ID],[@ROW_INDEX]),"")</f>
        <v/>
      </c>
      <c r="C39" s="37">
        <f>IFERROR(INDEX(T_COMPONENT_MATERIAL[COMPONENT_ID],[@ROW_INDEX]),"")</f>
        <v/>
      </c>
      <c r="D39" s="37">
        <f>IFERROR(INDEX(T_COMPONENT_MATERIAL[MATERIAL_ID],[@ROW_INDEX]),"")</f>
        <v/>
      </c>
      <c r="E39" s="37">
        <f>IFERROR(INDEX(T_COMPONENT_MATERIAL[SHARE_PCT],[@ROW_INDEX]),"")</f>
        <v/>
      </c>
      <c r="F39" s="37">
        <f>IF([@COMPONENT_ID]="","",IFERROR(INDEX(T_COMPONENT[WEIGHT_G],MATCH([@COMPONENT_ID],T_COMPONENT[COMPONENT_ID],0)),""))</f>
        <v/>
      </c>
      <c r="G39" s="37">
        <f>IF(OR([@UNIT_WEIGHT_G]="",[@SHARE_PCT]=""),"",[@UNIT_WEIGHT_G]*[@SHARE_PCT]/100)</f>
        <v/>
      </c>
      <c r="H39" s="37">
        <f>IF([@MATERIAL_ID]="","",IFERROR(INDEX(T_LKP_MATERIAL[MATERIAL_FAMILY_ID],MATCH([@MATERIAL_ID],T_LKP_MATERIAL[MATERIAL_ID],0)),""))</f>
        <v/>
      </c>
      <c r="I39" s="37">
        <f>IF([@MATERIAL_FAMILY_ID]="","",IFERROR(INDEX(T_LKP_MATERIAL_FAMILY[MATERIAL_FAMILY_CODE],MATCH([@MATERIAL_FAMILY_ID],T_LKP_MATERIAL_FAMILY[MATERIAL_FAMILY_ID],0)),""))</f>
        <v/>
      </c>
    </row>
    <row r="40">
      <c r="A40" s="37" t="n">
        <v>39</v>
      </c>
      <c r="B40" s="37">
        <f>IFERROR(INDEX(T_COMPONENT_MATERIAL[COMPONENT_MATERIAL_ID],[@ROW_INDEX]),"")</f>
        <v/>
      </c>
      <c r="C40" s="37">
        <f>IFERROR(INDEX(T_COMPONENT_MATERIAL[COMPONENT_ID],[@ROW_INDEX]),"")</f>
        <v/>
      </c>
      <c r="D40" s="37">
        <f>IFERROR(INDEX(T_COMPONENT_MATERIAL[MATERIAL_ID],[@ROW_INDEX]),"")</f>
        <v/>
      </c>
      <c r="E40" s="37">
        <f>IFERROR(INDEX(T_COMPONENT_MATERIAL[SHARE_PCT],[@ROW_INDEX]),"")</f>
        <v/>
      </c>
      <c r="F40" s="37">
        <f>IF([@COMPONENT_ID]="","",IFERROR(INDEX(T_COMPONENT[WEIGHT_G],MATCH([@COMPONENT_ID],T_COMPONENT[COMPONENT_ID],0)),""))</f>
        <v/>
      </c>
      <c r="G40" s="37">
        <f>IF(OR([@UNIT_WEIGHT_G]="",[@SHARE_PCT]=""),"",[@UNIT_WEIGHT_G]*[@SHARE_PCT]/100)</f>
        <v/>
      </c>
      <c r="H40" s="37">
        <f>IF([@MATERIAL_ID]="","",IFERROR(INDEX(T_LKP_MATERIAL[MATERIAL_FAMILY_ID],MATCH([@MATERIAL_ID],T_LKP_MATERIAL[MATERIAL_ID],0)),""))</f>
        <v/>
      </c>
      <c r="I40" s="37">
        <f>IF([@MATERIAL_FAMILY_ID]="","",IFERROR(INDEX(T_LKP_MATERIAL_FAMILY[MATERIAL_FAMILY_CODE],MATCH([@MATERIAL_FAMILY_ID],T_LKP_MATERIAL_FAMILY[MATERIAL_FAMILY_ID],0)),""))</f>
        <v/>
      </c>
    </row>
    <row r="41">
      <c r="A41" s="37" t="n">
        <v>40</v>
      </c>
      <c r="B41" s="37">
        <f>IFERROR(INDEX(T_COMPONENT_MATERIAL[COMPONENT_MATERIAL_ID],[@ROW_INDEX]),"")</f>
        <v/>
      </c>
      <c r="C41" s="37">
        <f>IFERROR(INDEX(T_COMPONENT_MATERIAL[COMPONENT_ID],[@ROW_INDEX]),"")</f>
        <v/>
      </c>
      <c r="D41" s="37">
        <f>IFERROR(INDEX(T_COMPONENT_MATERIAL[MATERIAL_ID],[@ROW_INDEX]),"")</f>
        <v/>
      </c>
      <c r="E41" s="37">
        <f>IFERROR(INDEX(T_COMPONENT_MATERIAL[SHARE_PCT],[@ROW_INDEX]),"")</f>
        <v/>
      </c>
      <c r="F41" s="37">
        <f>IF([@COMPONENT_ID]="","",IFERROR(INDEX(T_COMPONENT[WEIGHT_G],MATCH([@COMPONENT_ID],T_COMPONENT[COMPONENT_ID],0)),""))</f>
        <v/>
      </c>
      <c r="G41" s="37">
        <f>IF(OR([@UNIT_WEIGHT_G]="",[@SHARE_PCT]=""),"",[@UNIT_WEIGHT_G]*[@SHARE_PCT]/100)</f>
        <v/>
      </c>
      <c r="H41" s="37">
        <f>IF([@MATERIAL_ID]="","",IFERROR(INDEX(T_LKP_MATERIAL[MATERIAL_FAMILY_ID],MATCH([@MATERIAL_ID],T_LKP_MATERIAL[MATERIAL_ID],0)),""))</f>
        <v/>
      </c>
      <c r="I41" s="37">
        <f>IF([@MATERIAL_FAMILY_ID]="","",IFERROR(INDEX(T_LKP_MATERIAL_FAMILY[MATERIAL_FAMILY_CODE],MATCH([@MATERIAL_FAMILY_ID],T_LKP_MATERIAL_FAMILY[MATERIAL_FAMILY_ID],0)),""))</f>
        <v/>
      </c>
    </row>
    <row r="42">
      <c r="A42" s="37" t="n">
        <v>41</v>
      </c>
      <c r="B42" s="37">
        <f>IFERROR(INDEX(T_COMPONENT_MATERIAL[COMPONENT_MATERIAL_ID],[@ROW_INDEX]),"")</f>
        <v/>
      </c>
      <c r="C42" s="37">
        <f>IFERROR(INDEX(T_COMPONENT_MATERIAL[COMPONENT_ID],[@ROW_INDEX]),"")</f>
        <v/>
      </c>
      <c r="D42" s="37">
        <f>IFERROR(INDEX(T_COMPONENT_MATERIAL[MATERIAL_ID],[@ROW_INDEX]),"")</f>
        <v/>
      </c>
      <c r="E42" s="37">
        <f>IFERROR(INDEX(T_COMPONENT_MATERIAL[SHARE_PCT],[@ROW_INDEX]),"")</f>
        <v/>
      </c>
      <c r="F42" s="37">
        <f>IF([@COMPONENT_ID]="","",IFERROR(INDEX(T_COMPONENT[WEIGHT_G],MATCH([@COMPONENT_ID],T_COMPONENT[COMPONENT_ID],0)),""))</f>
        <v/>
      </c>
      <c r="G42" s="37">
        <f>IF(OR([@UNIT_WEIGHT_G]="",[@SHARE_PCT]=""),"",[@UNIT_WEIGHT_G]*[@SHARE_PCT]/100)</f>
        <v/>
      </c>
      <c r="H42" s="37">
        <f>IF([@MATERIAL_ID]="","",IFERROR(INDEX(T_LKP_MATERIAL[MATERIAL_FAMILY_ID],MATCH([@MATERIAL_ID],T_LKP_MATERIAL[MATERIAL_ID],0)),""))</f>
        <v/>
      </c>
      <c r="I42" s="37">
        <f>IF([@MATERIAL_FAMILY_ID]="","",IFERROR(INDEX(T_LKP_MATERIAL_FAMILY[MATERIAL_FAMILY_CODE],MATCH([@MATERIAL_FAMILY_ID],T_LKP_MATERIAL_FAMILY[MATERIAL_FAMILY_ID],0)),""))</f>
        <v/>
      </c>
    </row>
    <row r="43">
      <c r="A43" s="37" t="n">
        <v>42</v>
      </c>
      <c r="B43" s="37">
        <f>IFERROR(INDEX(T_COMPONENT_MATERIAL[COMPONENT_MATERIAL_ID],[@ROW_INDEX]),"")</f>
        <v/>
      </c>
      <c r="C43" s="37">
        <f>IFERROR(INDEX(T_COMPONENT_MATERIAL[COMPONENT_ID],[@ROW_INDEX]),"")</f>
        <v/>
      </c>
      <c r="D43" s="37">
        <f>IFERROR(INDEX(T_COMPONENT_MATERIAL[MATERIAL_ID],[@ROW_INDEX]),"")</f>
        <v/>
      </c>
      <c r="E43" s="37">
        <f>IFERROR(INDEX(T_COMPONENT_MATERIAL[SHARE_PCT],[@ROW_INDEX]),"")</f>
        <v/>
      </c>
      <c r="F43" s="37">
        <f>IF([@COMPONENT_ID]="","",IFERROR(INDEX(T_COMPONENT[WEIGHT_G],MATCH([@COMPONENT_ID],T_COMPONENT[COMPONENT_ID],0)),""))</f>
        <v/>
      </c>
      <c r="G43" s="37">
        <f>IF(OR([@UNIT_WEIGHT_G]="",[@SHARE_PCT]=""),"",[@UNIT_WEIGHT_G]*[@SHARE_PCT]/100)</f>
        <v/>
      </c>
      <c r="H43" s="37">
        <f>IF([@MATERIAL_ID]="","",IFERROR(INDEX(T_LKP_MATERIAL[MATERIAL_FAMILY_ID],MATCH([@MATERIAL_ID],T_LKP_MATERIAL[MATERIAL_ID],0)),""))</f>
        <v/>
      </c>
      <c r="I43" s="37">
        <f>IF([@MATERIAL_FAMILY_ID]="","",IFERROR(INDEX(T_LKP_MATERIAL_FAMILY[MATERIAL_FAMILY_CODE],MATCH([@MATERIAL_FAMILY_ID],T_LKP_MATERIAL_FAMILY[MATERIAL_FAMILY_ID],0)),""))</f>
        <v/>
      </c>
    </row>
    <row r="44">
      <c r="A44" s="37" t="n">
        <v>43</v>
      </c>
      <c r="B44" s="37">
        <f>IFERROR(INDEX(T_COMPONENT_MATERIAL[COMPONENT_MATERIAL_ID],[@ROW_INDEX]),"")</f>
        <v/>
      </c>
      <c r="C44" s="37">
        <f>IFERROR(INDEX(T_COMPONENT_MATERIAL[COMPONENT_ID],[@ROW_INDEX]),"")</f>
        <v/>
      </c>
      <c r="D44" s="37">
        <f>IFERROR(INDEX(T_COMPONENT_MATERIAL[MATERIAL_ID],[@ROW_INDEX]),"")</f>
        <v/>
      </c>
      <c r="E44" s="37">
        <f>IFERROR(INDEX(T_COMPONENT_MATERIAL[SHARE_PCT],[@ROW_INDEX]),"")</f>
        <v/>
      </c>
      <c r="F44" s="37">
        <f>IF([@COMPONENT_ID]="","",IFERROR(INDEX(T_COMPONENT[WEIGHT_G],MATCH([@COMPONENT_ID],T_COMPONENT[COMPONENT_ID],0)),""))</f>
        <v/>
      </c>
      <c r="G44" s="37">
        <f>IF(OR([@UNIT_WEIGHT_G]="",[@SHARE_PCT]=""),"",[@UNIT_WEIGHT_G]*[@SHARE_PCT]/100)</f>
        <v/>
      </c>
      <c r="H44" s="37">
        <f>IF([@MATERIAL_ID]="","",IFERROR(INDEX(T_LKP_MATERIAL[MATERIAL_FAMILY_ID],MATCH([@MATERIAL_ID],T_LKP_MATERIAL[MATERIAL_ID],0)),""))</f>
        <v/>
      </c>
      <c r="I44" s="37">
        <f>IF([@MATERIAL_FAMILY_ID]="","",IFERROR(INDEX(T_LKP_MATERIAL_FAMILY[MATERIAL_FAMILY_CODE],MATCH([@MATERIAL_FAMILY_ID],T_LKP_MATERIAL_FAMILY[MATERIAL_FAMILY_ID],0)),""))</f>
        <v/>
      </c>
    </row>
    <row r="45">
      <c r="A45" s="37" t="n">
        <v>44</v>
      </c>
      <c r="B45" s="37">
        <f>IFERROR(INDEX(T_COMPONENT_MATERIAL[COMPONENT_MATERIAL_ID],[@ROW_INDEX]),"")</f>
        <v/>
      </c>
      <c r="C45" s="37">
        <f>IFERROR(INDEX(T_COMPONENT_MATERIAL[COMPONENT_ID],[@ROW_INDEX]),"")</f>
        <v/>
      </c>
      <c r="D45" s="37">
        <f>IFERROR(INDEX(T_COMPONENT_MATERIAL[MATERIAL_ID],[@ROW_INDEX]),"")</f>
        <v/>
      </c>
      <c r="E45" s="37">
        <f>IFERROR(INDEX(T_COMPONENT_MATERIAL[SHARE_PCT],[@ROW_INDEX]),"")</f>
        <v/>
      </c>
      <c r="F45" s="37">
        <f>IF([@COMPONENT_ID]="","",IFERROR(INDEX(T_COMPONENT[WEIGHT_G],MATCH([@COMPONENT_ID],T_COMPONENT[COMPONENT_ID],0)),""))</f>
        <v/>
      </c>
      <c r="G45" s="37">
        <f>IF(OR([@UNIT_WEIGHT_G]="",[@SHARE_PCT]=""),"",[@UNIT_WEIGHT_G]*[@SHARE_PCT]/100)</f>
        <v/>
      </c>
      <c r="H45" s="37">
        <f>IF([@MATERIAL_ID]="","",IFERROR(INDEX(T_LKP_MATERIAL[MATERIAL_FAMILY_ID],MATCH([@MATERIAL_ID],T_LKP_MATERIAL[MATERIAL_ID],0)),""))</f>
        <v/>
      </c>
      <c r="I45" s="37">
        <f>IF([@MATERIAL_FAMILY_ID]="","",IFERROR(INDEX(T_LKP_MATERIAL_FAMILY[MATERIAL_FAMILY_CODE],MATCH([@MATERIAL_FAMILY_ID],T_LKP_MATERIAL_FAMILY[MATERIAL_FAMILY_ID],0)),""))</f>
        <v/>
      </c>
    </row>
    <row r="46">
      <c r="A46" s="37" t="n">
        <v>45</v>
      </c>
      <c r="B46" s="37">
        <f>IFERROR(INDEX(T_COMPONENT_MATERIAL[COMPONENT_MATERIAL_ID],[@ROW_INDEX]),"")</f>
        <v/>
      </c>
      <c r="C46" s="37">
        <f>IFERROR(INDEX(T_COMPONENT_MATERIAL[COMPONENT_ID],[@ROW_INDEX]),"")</f>
        <v/>
      </c>
      <c r="D46" s="37">
        <f>IFERROR(INDEX(T_COMPONENT_MATERIAL[MATERIAL_ID],[@ROW_INDEX]),"")</f>
        <v/>
      </c>
      <c r="E46" s="37">
        <f>IFERROR(INDEX(T_COMPONENT_MATERIAL[SHARE_PCT],[@ROW_INDEX]),"")</f>
        <v/>
      </c>
      <c r="F46" s="37">
        <f>IF([@COMPONENT_ID]="","",IFERROR(INDEX(T_COMPONENT[WEIGHT_G],MATCH([@COMPONENT_ID],T_COMPONENT[COMPONENT_ID],0)),""))</f>
        <v/>
      </c>
      <c r="G46" s="37">
        <f>IF(OR([@UNIT_WEIGHT_G]="",[@SHARE_PCT]=""),"",[@UNIT_WEIGHT_G]*[@SHARE_PCT]/100)</f>
        <v/>
      </c>
      <c r="H46" s="37">
        <f>IF([@MATERIAL_ID]="","",IFERROR(INDEX(T_LKP_MATERIAL[MATERIAL_FAMILY_ID],MATCH([@MATERIAL_ID],T_LKP_MATERIAL[MATERIAL_ID],0)),""))</f>
        <v/>
      </c>
      <c r="I46" s="37">
        <f>IF([@MATERIAL_FAMILY_ID]="","",IFERROR(INDEX(T_LKP_MATERIAL_FAMILY[MATERIAL_FAMILY_CODE],MATCH([@MATERIAL_FAMILY_ID],T_LKP_MATERIAL_FAMILY[MATERIAL_FAMILY_ID],0)),""))</f>
        <v/>
      </c>
    </row>
    <row r="47">
      <c r="A47" s="37" t="n">
        <v>46</v>
      </c>
      <c r="B47" s="37">
        <f>IFERROR(INDEX(T_COMPONENT_MATERIAL[COMPONENT_MATERIAL_ID],[@ROW_INDEX]),"")</f>
        <v/>
      </c>
      <c r="C47" s="37">
        <f>IFERROR(INDEX(T_COMPONENT_MATERIAL[COMPONENT_ID],[@ROW_INDEX]),"")</f>
        <v/>
      </c>
      <c r="D47" s="37">
        <f>IFERROR(INDEX(T_COMPONENT_MATERIAL[MATERIAL_ID],[@ROW_INDEX]),"")</f>
        <v/>
      </c>
      <c r="E47" s="37">
        <f>IFERROR(INDEX(T_COMPONENT_MATERIAL[SHARE_PCT],[@ROW_INDEX]),"")</f>
        <v/>
      </c>
      <c r="F47" s="37">
        <f>IF([@COMPONENT_ID]="","",IFERROR(INDEX(T_COMPONENT[WEIGHT_G],MATCH([@COMPONENT_ID],T_COMPONENT[COMPONENT_ID],0)),""))</f>
        <v/>
      </c>
      <c r="G47" s="37">
        <f>IF(OR([@UNIT_WEIGHT_G]="",[@SHARE_PCT]=""),"",[@UNIT_WEIGHT_G]*[@SHARE_PCT]/100)</f>
        <v/>
      </c>
      <c r="H47" s="37">
        <f>IF([@MATERIAL_ID]="","",IFERROR(INDEX(T_LKP_MATERIAL[MATERIAL_FAMILY_ID],MATCH([@MATERIAL_ID],T_LKP_MATERIAL[MATERIAL_ID],0)),""))</f>
        <v/>
      </c>
      <c r="I47" s="37">
        <f>IF([@MATERIAL_FAMILY_ID]="","",IFERROR(INDEX(T_LKP_MATERIAL_FAMILY[MATERIAL_FAMILY_CODE],MATCH([@MATERIAL_FAMILY_ID],T_LKP_MATERIAL_FAMILY[MATERIAL_FAMILY_ID],0)),""))</f>
        <v/>
      </c>
    </row>
    <row r="48">
      <c r="A48" s="37" t="n">
        <v>47</v>
      </c>
      <c r="B48" s="37">
        <f>IFERROR(INDEX(T_COMPONENT_MATERIAL[COMPONENT_MATERIAL_ID],[@ROW_INDEX]),"")</f>
        <v/>
      </c>
      <c r="C48" s="37">
        <f>IFERROR(INDEX(T_COMPONENT_MATERIAL[COMPONENT_ID],[@ROW_INDEX]),"")</f>
        <v/>
      </c>
      <c r="D48" s="37">
        <f>IFERROR(INDEX(T_COMPONENT_MATERIAL[MATERIAL_ID],[@ROW_INDEX]),"")</f>
        <v/>
      </c>
      <c r="E48" s="37">
        <f>IFERROR(INDEX(T_COMPONENT_MATERIAL[SHARE_PCT],[@ROW_INDEX]),"")</f>
        <v/>
      </c>
      <c r="F48" s="37">
        <f>IF([@COMPONENT_ID]="","",IFERROR(INDEX(T_COMPONENT[WEIGHT_G],MATCH([@COMPONENT_ID],T_COMPONENT[COMPONENT_ID],0)),""))</f>
        <v/>
      </c>
      <c r="G48" s="37">
        <f>IF(OR([@UNIT_WEIGHT_G]="",[@SHARE_PCT]=""),"",[@UNIT_WEIGHT_G]*[@SHARE_PCT]/100)</f>
        <v/>
      </c>
      <c r="H48" s="37">
        <f>IF([@MATERIAL_ID]="","",IFERROR(INDEX(T_LKP_MATERIAL[MATERIAL_FAMILY_ID],MATCH([@MATERIAL_ID],T_LKP_MATERIAL[MATERIAL_ID],0)),""))</f>
        <v/>
      </c>
      <c r="I48" s="37">
        <f>IF([@MATERIAL_FAMILY_ID]="","",IFERROR(INDEX(T_LKP_MATERIAL_FAMILY[MATERIAL_FAMILY_CODE],MATCH([@MATERIAL_FAMILY_ID],T_LKP_MATERIAL_FAMILY[MATERIAL_FAMILY_ID],0)),""))</f>
        <v/>
      </c>
    </row>
    <row r="49">
      <c r="A49" s="37" t="n">
        <v>48</v>
      </c>
      <c r="B49" s="37">
        <f>IFERROR(INDEX(T_COMPONENT_MATERIAL[COMPONENT_MATERIAL_ID],[@ROW_INDEX]),"")</f>
        <v/>
      </c>
      <c r="C49" s="37">
        <f>IFERROR(INDEX(T_COMPONENT_MATERIAL[COMPONENT_ID],[@ROW_INDEX]),"")</f>
        <v/>
      </c>
      <c r="D49" s="37">
        <f>IFERROR(INDEX(T_COMPONENT_MATERIAL[MATERIAL_ID],[@ROW_INDEX]),"")</f>
        <v/>
      </c>
      <c r="E49" s="37">
        <f>IFERROR(INDEX(T_COMPONENT_MATERIAL[SHARE_PCT],[@ROW_INDEX]),"")</f>
        <v/>
      </c>
      <c r="F49" s="37">
        <f>IF([@COMPONENT_ID]="","",IFERROR(INDEX(T_COMPONENT[WEIGHT_G],MATCH([@COMPONENT_ID],T_COMPONENT[COMPONENT_ID],0)),""))</f>
        <v/>
      </c>
      <c r="G49" s="37">
        <f>IF(OR([@UNIT_WEIGHT_G]="",[@SHARE_PCT]=""),"",[@UNIT_WEIGHT_G]*[@SHARE_PCT]/100)</f>
        <v/>
      </c>
      <c r="H49" s="37">
        <f>IF([@MATERIAL_ID]="","",IFERROR(INDEX(T_LKP_MATERIAL[MATERIAL_FAMILY_ID],MATCH([@MATERIAL_ID],T_LKP_MATERIAL[MATERIAL_ID],0)),""))</f>
        <v/>
      </c>
      <c r="I49" s="37">
        <f>IF([@MATERIAL_FAMILY_ID]="","",IFERROR(INDEX(T_LKP_MATERIAL_FAMILY[MATERIAL_FAMILY_CODE],MATCH([@MATERIAL_FAMILY_ID],T_LKP_MATERIAL_FAMILY[MATERIAL_FAMILY_ID],0)),""))</f>
        <v/>
      </c>
    </row>
    <row r="50">
      <c r="A50" s="37" t="n">
        <v>49</v>
      </c>
      <c r="B50" s="37">
        <f>IFERROR(INDEX(T_COMPONENT_MATERIAL[COMPONENT_MATERIAL_ID],[@ROW_INDEX]),"")</f>
        <v/>
      </c>
      <c r="C50" s="37">
        <f>IFERROR(INDEX(T_COMPONENT_MATERIAL[COMPONENT_ID],[@ROW_INDEX]),"")</f>
        <v/>
      </c>
      <c r="D50" s="37">
        <f>IFERROR(INDEX(T_COMPONENT_MATERIAL[MATERIAL_ID],[@ROW_INDEX]),"")</f>
        <v/>
      </c>
      <c r="E50" s="37">
        <f>IFERROR(INDEX(T_COMPONENT_MATERIAL[SHARE_PCT],[@ROW_INDEX]),"")</f>
        <v/>
      </c>
      <c r="F50" s="37">
        <f>IF([@COMPONENT_ID]="","",IFERROR(INDEX(T_COMPONENT[WEIGHT_G],MATCH([@COMPONENT_ID],T_COMPONENT[COMPONENT_ID],0)),""))</f>
        <v/>
      </c>
      <c r="G50" s="37">
        <f>IF(OR([@UNIT_WEIGHT_G]="",[@SHARE_PCT]=""),"",[@UNIT_WEIGHT_G]*[@SHARE_PCT]/100)</f>
        <v/>
      </c>
      <c r="H50" s="37">
        <f>IF([@MATERIAL_ID]="","",IFERROR(INDEX(T_LKP_MATERIAL[MATERIAL_FAMILY_ID],MATCH([@MATERIAL_ID],T_LKP_MATERIAL[MATERIAL_ID],0)),""))</f>
        <v/>
      </c>
      <c r="I50" s="37">
        <f>IF([@MATERIAL_FAMILY_ID]="","",IFERROR(INDEX(T_LKP_MATERIAL_FAMILY[MATERIAL_FAMILY_CODE],MATCH([@MATERIAL_FAMILY_ID],T_LKP_MATERIAL_FAMILY[MATERIAL_FAMILY_ID],0)),""))</f>
        <v/>
      </c>
    </row>
    <row r="51">
      <c r="A51" s="37" t="n">
        <v>50</v>
      </c>
      <c r="B51" s="37">
        <f>IFERROR(INDEX(T_COMPONENT_MATERIAL[COMPONENT_MATERIAL_ID],[@ROW_INDEX]),"")</f>
        <v/>
      </c>
      <c r="C51" s="37">
        <f>IFERROR(INDEX(T_COMPONENT_MATERIAL[COMPONENT_ID],[@ROW_INDEX]),"")</f>
        <v/>
      </c>
      <c r="D51" s="37">
        <f>IFERROR(INDEX(T_COMPONENT_MATERIAL[MATERIAL_ID],[@ROW_INDEX]),"")</f>
        <v/>
      </c>
      <c r="E51" s="37">
        <f>IFERROR(INDEX(T_COMPONENT_MATERIAL[SHARE_PCT],[@ROW_INDEX]),"")</f>
        <v/>
      </c>
      <c r="F51" s="37">
        <f>IF([@COMPONENT_ID]="","",IFERROR(INDEX(T_COMPONENT[WEIGHT_G],MATCH([@COMPONENT_ID],T_COMPONENT[COMPONENT_ID],0)),""))</f>
        <v/>
      </c>
      <c r="G51" s="37">
        <f>IF(OR([@UNIT_WEIGHT_G]="",[@SHARE_PCT]=""),"",[@UNIT_WEIGHT_G]*[@SHARE_PCT]/100)</f>
        <v/>
      </c>
      <c r="H51" s="37">
        <f>IF([@MATERIAL_ID]="","",IFERROR(INDEX(T_LKP_MATERIAL[MATERIAL_FAMILY_ID],MATCH([@MATERIAL_ID],T_LKP_MATERIAL[MATERIAL_ID],0)),""))</f>
        <v/>
      </c>
      <c r="I51" s="37">
        <f>IF([@MATERIAL_FAMILY_ID]="","",IFERROR(INDEX(T_LKP_MATERIAL_FAMILY[MATERIAL_FAMILY_CODE],MATCH([@MATERIAL_FAMILY_ID],T_LKP_MATERIAL_FAMILY[MATERIAL_FAMILY_ID],0)),""))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hyperlinks>
    <hyperlink xmlns:r="http://schemas.openxmlformats.org/officeDocument/2006/relationships" ref="K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13" customWidth="1" min="1" max="1"/>
    <col width="34" customWidth="1" min="2" max="2"/>
    <col width="30" customWidth="1" min="3" max="3"/>
    <col width="16" customWidth="1" min="4" max="4"/>
    <col width="12" customWidth="1" min="5" max="5"/>
    <col width="15" customWidth="1" min="6" max="6"/>
    <col width="17" customWidth="1" min="7" max="7"/>
    <col width="17" customWidth="1" min="8" max="8"/>
  </cols>
  <sheetData>
    <row r="1">
      <c r="A1" s="5" t="inlineStr">
        <is>
          <t>ROW_INDEX</t>
        </is>
      </c>
      <c r="B1" s="5" t="inlineStr">
        <is>
          <t>PACKAGING_CONFIGURATION_LINE_ID</t>
        </is>
      </c>
      <c r="C1" s="5" t="inlineStr">
        <is>
          <t>PACKAGING_CONFIGURATION_ID</t>
        </is>
      </c>
      <c r="D1" s="5" t="inlineStr">
        <is>
          <t>COMPONENT_ID</t>
        </is>
      </c>
      <c r="E1" s="5" t="inlineStr">
        <is>
          <t>QUANTITY</t>
        </is>
      </c>
      <c r="F1" s="5" t="inlineStr">
        <is>
          <t>IS_OPTIONAL</t>
        </is>
      </c>
      <c r="G1" s="5" t="inlineStr">
        <is>
          <t>UNIT_WEIGHT_G</t>
        </is>
      </c>
      <c r="H1" s="5" t="inlineStr">
        <is>
          <t>LINE_WEIGHT_G</t>
        </is>
      </c>
      <c r="J1" s="36" t="inlineStr">
        <is>
          <t>Dashboard</t>
        </is>
      </c>
    </row>
    <row r="2">
      <c r="A2" s="37" t="n">
        <v>1</v>
      </c>
      <c r="B2" s="37">
        <f>IFERROR(INDEX(T_PACKAGING_CONFIGURATION_LINE[PACKAGING_CONFIGURATION_LINE_ID],[@ROW_INDEX]),"")</f>
        <v/>
      </c>
      <c r="C2" s="37">
        <f>IFERROR(INDEX(T_PACKAGING_CONFIGURATION_LINE[PACKAGING_CONFIGURATION_ID],[@ROW_INDEX]),"")</f>
        <v/>
      </c>
      <c r="D2" s="37">
        <f>IFERROR(INDEX(T_PACKAGING_CONFIGURATION_LINE[COMPONENT_ID],[@ROW_INDEX]),"")</f>
        <v/>
      </c>
      <c r="E2" s="37">
        <f>IFERROR(INDEX(T_PACKAGING_CONFIGURATION_LINE[QUANTITY],[@ROW_INDEX]),"")</f>
        <v/>
      </c>
      <c r="F2" s="37">
        <f>IFERROR(INDEX(T_PACKAGING_CONFIGURATION_LINE[IS_OPTIONAL],[@ROW_INDEX]),"")</f>
        <v/>
      </c>
      <c r="G2" s="37">
        <f>IF([@COMPONENT_ID]="","",IFERROR(INDEX(T_COMPONENT[WEIGHT_G],MATCH([@COMPONENT_ID],T_COMPONENT[COMPONENT_ID],0)),""))</f>
        <v/>
      </c>
      <c r="H2" s="37">
        <f>IF(OR([@QUANTITY]="",[@UNIT_WEIGHT_G]=""),"",IF([@IS_OPTIONAL]=TRUE,0,[@QUANTITY]*[@UNIT_WEIGHT_G]))</f>
        <v/>
      </c>
    </row>
    <row r="3">
      <c r="A3" s="37" t="n">
        <v>2</v>
      </c>
      <c r="B3" s="37">
        <f>IFERROR(INDEX(T_PACKAGING_CONFIGURATION_LINE[PACKAGING_CONFIGURATION_LINE_ID],[@ROW_INDEX]),"")</f>
        <v/>
      </c>
      <c r="C3" s="37">
        <f>IFERROR(INDEX(T_PACKAGING_CONFIGURATION_LINE[PACKAGING_CONFIGURATION_ID],[@ROW_INDEX]),"")</f>
        <v/>
      </c>
      <c r="D3" s="37">
        <f>IFERROR(INDEX(T_PACKAGING_CONFIGURATION_LINE[COMPONENT_ID],[@ROW_INDEX]),"")</f>
        <v/>
      </c>
      <c r="E3" s="37">
        <f>IFERROR(INDEX(T_PACKAGING_CONFIGURATION_LINE[QUANTITY],[@ROW_INDEX]),"")</f>
        <v/>
      </c>
      <c r="F3" s="37">
        <f>IFERROR(INDEX(T_PACKAGING_CONFIGURATION_LINE[IS_OPTIONAL],[@ROW_INDEX]),"")</f>
        <v/>
      </c>
      <c r="G3" s="37">
        <f>IF([@COMPONENT_ID]="","",IFERROR(INDEX(T_COMPONENT[WEIGHT_G],MATCH([@COMPONENT_ID],T_COMPONENT[COMPONENT_ID],0)),""))</f>
        <v/>
      </c>
      <c r="H3" s="37">
        <f>IF(OR([@QUANTITY]="",[@UNIT_WEIGHT_G]=""),"",IF([@IS_OPTIONAL]=TRUE,0,[@QUANTITY]*[@UNIT_WEIGHT_G]))</f>
        <v/>
      </c>
    </row>
    <row r="4">
      <c r="A4" s="37" t="n">
        <v>3</v>
      </c>
      <c r="B4" s="37">
        <f>IFERROR(INDEX(T_PACKAGING_CONFIGURATION_LINE[PACKAGING_CONFIGURATION_LINE_ID],[@ROW_INDEX]),"")</f>
        <v/>
      </c>
      <c r="C4" s="37">
        <f>IFERROR(INDEX(T_PACKAGING_CONFIGURATION_LINE[PACKAGING_CONFIGURATION_ID],[@ROW_INDEX]),"")</f>
        <v/>
      </c>
      <c r="D4" s="37">
        <f>IFERROR(INDEX(T_PACKAGING_CONFIGURATION_LINE[COMPONENT_ID],[@ROW_INDEX]),"")</f>
        <v/>
      </c>
      <c r="E4" s="37">
        <f>IFERROR(INDEX(T_PACKAGING_CONFIGURATION_LINE[QUANTITY],[@ROW_INDEX]),"")</f>
        <v/>
      </c>
      <c r="F4" s="37">
        <f>IFERROR(INDEX(T_PACKAGING_CONFIGURATION_LINE[IS_OPTIONAL],[@ROW_INDEX]),"")</f>
        <v/>
      </c>
      <c r="G4" s="37">
        <f>IF([@COMPONENT_ID]="","",IFERROR(INDEX(T_COMPONENT[WEIGHT_G],MATCH([@COMPONENT_ID],T_COMPONENT[COMPONENT_ID],0)),""))</f>
        <v/>
      </c>
      <c r="H4" s="37">
        <f>IF(OR([@QUANTITY]="",[@UNIT_WEIGHT_G]=""),"",IF([@IS_OPTIONAL]=TRUE,0,[@QUANTITY]*[@UNIT_WEIGHT_G]))</f>
        <v/>
      </c>
    </row>
    <row r="5">
      <c r="A5" s="37" t="n">
        <v>4</v>
      </c>
      <c r="B5" s="37">
        <f>IFERROR(INDEX(T_PACKAGING_CONFIGURATION_LINE[PACKAGING_CONFIGURATION_LINE_ID],[@ROW_INDEX]),"")</f>
        <v/>
      </c>
      <c r="C5" s="37">
        <f>IFERROR(INDEX(T_PACKAGING_CONFIGURATION_LINE[PACKAGING_CONFIGURATION_ID],[@ROW_INDEX]),"")</f>
        <v/>
      </c>
      <c r="D5" s="37">
        <f>IFERROR(INDEX(T_PACKAGING_CONFIGURATION_LINE[COMPONENT_ID],[@ROW_INDEX]),"")</f>
        <v/>
      </c>
      <c r="E5" s="37">
        <f>IFERROR(INDEX(T_PACKAGING_CONFIGURATION_LINE[QUANTITY],[@ROW_INDEX]),"")</f>
        <v/>
      </c>
      <c r="F5" s="37">
        <f>IFERROR(INDEX(T_PACKAGING_CONFIGURATION_LINE[IS_OPTIONAL],[@ROW_INDEX]),"")</f>
        <v/>
      </c>
      <c r="G5" s="37">
        <f>IF([@COMPONENT_ID]="","",IFERROR(INDEX(T_COMPONENT[WEIGHT_G],MATCH([@COMPONENT_ID],T_COMPONENT[COMPONENT_ID],0)),""))</f>
        <v/>
      </c>
      <c r="H5" s="37">
        <f>IF(OR([@QUANTITY]="",[@UNIT_WEIGHT_G]=""),"",IF([@IS_OPTIONAL]=TRUE,0,[@QUANTITY]*[@UNIT_WEIGHT_G]))</f>
        <v/>
      </c>
    </row>
    <row r="6">
      <c r="A6" s="37" t="n">
        <v>5</v>
      </c>
      <c r="B6" s="37">
        <f>IFERROR(INDEX(T_PACKAGING_CONFIGURATION_LINE[PACKAGING_CONFIGURATION_LINE_ID],[@ROW_INDEX]),"")</f>
        <v/>
      </c>
      <c r="C6" s="37">
        <f>IFERROR(INDEX(T_PACKAGING_CONFIGURATION_LINE[PACKAGING_CONFIGURATION_ID],[@ROW_INDEX]),"")</f>
        <v/>
      </c>
      <c r="D6" s="37">
        <f>IFERROR(INDEX(T_PACKAGING_CONFIGURATION_LINE[COMPONENT_ID],[@ROW_INDEX]),"")</f>
        <v/>
      </c>
      <c r="E6" s="37">
        <f>IFERROR(INDEX(T_PACKAGING_CONFIGURATION_LINE[QUANTITY],[@ROW_INDEX]),"")</f>
        <v/>
      </c>
      <c r="F6" s="37">
        <f>IFERROR(INDEX(T_PACKAGING_CONFIGURATION_LINE[IS_OPTIONAL],[@ROW_INDEX]),"")</f>
        <v/>
      </c>
      <c r="G6" s="37">
        <f>IF([@COMPONENT_ID]="","",IFERROR(INDEX(T_COMPONENT[WEIGHT_G],MATCH([@COMPONENT_ID],T_COMPONENT[COMPONENT_ID],0)),""))</f>
        <v/>
      </c>
      <c r="H6" s="37">
        <f>IF(OR([@QUANTITY]="",[@UNIT_WEIGHT_G]=""),"",IF([@IS_OPTIONAL]=TRUE,0,[@QUANTITY]*[@UNIT_WEIGHT_G]))</f>
        <v/>
      </c>
    </row>
    <row r="7">
      <c r="A7" s="37" t="n">
        <v>6</v>
      </c>
      <c r="B7" s="37">
        <f>IFERROR(INDEX(T_PACKAGING_CONFIGURATION_LINE[PACKAGING_CONFIGURATION_LINE_ID],[@ROW_INDEX]),"")</f>
        <v/>
      </c>
      <c r="C7" s="37">
        <f>IFERROR(INDEX(T_PACKAGING_CONFIGURATION_LINE[PACKAGING_CONFIGURATION_ID],[@ROW_INDEX]),"")</f>
        <v/>
      </c>
      <c r="D7" s="37">
        <f>IFERROR(INDEX(T_PACKAGING_CONFIGURATION_LINE[COMPONENT_ID],[@ROW_INDEX]),"")</f>
        <v/>
      </c>
      <c r="E7" s="37">
        <f>IFERROR(INDEX(T_PACKAGING_CONFIGURATION_LINE[QUANTITY],[@ROW_INDEX]),"")</f>
        <v/>
      </c>
      <c r="F7" s="37">
        <f>IFERROR(INDEX(T_PACKAGING_CONFIGURATION_LINE[IS_OPTIONAL],[@ROW_INDEX]),"")</f>
        <v/>
      </c>
      <c r="G7" s="37">
        <f>IF([@COMPONENT_ID]="","",IFERROR(INDEX(T_COMPONENT[WEIGHT_G],MATCH([@COMPONENT_ID],T_COMPONENT[COMPONENT_ID],0)),""))</f>
        <v/>
      </c>
      <c r="H7" s="37">
        <f>IF(OR([@QUANTITY]="",[@UNIT_WEIGHT_G]=""),"",IF([@IS_OPTIONAL]=TRUE,0,[@QUANTITY]*[@UNIT_WEIGHT_G]))</f>
        <v/>
      </c>
    </row>
    <row r="8">
      <c r="A8" s="37" t="n">
        <v>7</v>
      </c>
      <c r="B8" s="37">
        <f>IFERROR(INDEX(T_PACKAGING_CONFIGURATION_LINE[PACKAGING_CONFIGURATION_LINE_ID],[@ROW_INDEX]),"")</f>
        <v/>
      </c>
      <c r="C8" s="37">
        <f>IFERROR(INDEX(T_PACKAGING_CONFIGURATION_LINE[PACKAGING_CONFIGURATION_ID],[@ROW_INDEX]),"")</f>
        <v/>
      </c>
      <c r="D8" s="37">
        <f>IFERROR(INDEX(T_PACKAGING_CONFIGURATION_LINE[COMPONENT_ID],[@ROW_INDEX]),"")</f>
        <v/>
      </c>
      <c r="E8" s="37">
        <f>IFERROR(INDEX(T_PACKAGING_CONFIGURATION_LINE[QUANTITY],[@ROW_INDEX]),"")</f>
        <v/>
      </c>
      <c r="F8" s="37">
        <f>IFERROR(INDEX(T_PACKAGING_CONFIGURATION_LINE[IS_OPTIONAL],[@ROW_INDEX]),"")</f>
        <v/>
      </c>
      <c r="G8" s="37">
        <f>IF([@COMPONENT_ID]="","",IFERROR(INDEX(T_COMPONENT[WEIGHT_G],MATCH([@COMPONENT_ID],T_COMPONENT[COMPONENT_ID],0)),""))</f>
        <v/>
      </c>
      <c r="H8" s="37">
        <f>IF(OR([@QUANTITY]="",[@UNIT_WEIGHT_G]=""),"",IF([@IS_OPTIONAL]=TRUE,0,[@QUANTITY]*[@UNIT_WEIGHT_G]))</f>
        <v/>
      </c>
    </row>
    <row r="9">
      <c r="A9" s="37" t="n">
        <v>8</v>
      </c>
      <c r="B9" s="37">
        <f>IFERROR(INDEX(T_PACKAGING_CONFIGURATION_LINE[PACKAGING_CONFIGURATION_LINE_ID],[@ROW_INDEX]),"")</f>
        <v/>
      </c>
      <c r="C9" s="37">
        <f>IFERROR(INDEX(T_PACKAGING_CONFIGURATION_LINE[PACKAGING_CONFIGURATION_ID],[@ROW_INDEX]),"")</f>
        <v/>
      </c>
      <c r="D9" s="37">
        <f>IFERROR(INDEX(T_PACKAGING_CONFIGURATION_LINE[COMPONENT_ID],[@ROW_INDEX]),"")</f>
        <v/>
      </c>
      <c r="E9" s="37">
        <f>IFERROR(INDEX(T_PACKAGING_CONFIGURATION_LINE[QUANTITY],[@ROW_INDEX]),"")</f>
        <v/>
      </c>
      <c r="F9" s="37">
        <f>IFERROR(INDEX(T_PACKAGING_CONFIGURATION_LINE[IS_OPTIONAL],[@ROW_INDEX]),"")</f>
        <v/>
      </c>
      <c r="G9" s="37">
        <f>IF([@COMPONENT_ID]="","",IFERROR(INDEX(T_COMPONENT[WEIGHT_G],MATCH([@COMPONENT_ID],T_COMPONENT[COMPONENT_ID],0)),""))</f>
        <v/>
      </c>
      <c r="H9" s="37">
        <f>IF(OR([@QUANTITY]="",[@UNIT_WEIGHT_G]=""),"",IF([@IS_OPTIONAL]=TRUE,0,[@QUANTITY]*[@UNIT_WEIGHT_G]))</f>
        <v/>
      </c>
    </row>
    <row r="10">
      <c r="A10" s="37" t="n">
        <v>9</v>
      </c>
      <c r="B10" s="37">
        <f>IFERROR(INDEX(T_PACKAGING_CONFIGURATION_LINE[PACKAGING_CONFIGURATION_LINE_ID],[@ROW_INDEX]),"")</f>
        <v/>
      </c>
      <c r="C10" s="37">
        <f>IFERROR(INDEX(T_PACKAGING_CONFIGURATION_LINE[PACKAGING_CONFIGURATION_ID],[@ROW_INDEX]),"")</f>
        <v/>
      </c>
      <c r="D10" s="37">
        <f>IFERROR(INDEX(T_PACKAGING_CONFIGURATION_LINE[COMPONENT_ID],[@ROW_INDEX]),"")</f>
        <v/>
      </c>
      <c r="E10" s="37">
        <f>IFERROR(INDEX(T_PACKAGING_CONFIGURATION_LINE[QUANTITY],[@ROW_INDEX]),"")</f>
        <v/>
      </c>
      <c r="F10" s="37">
        <f>IFERROR(INDEX(T_PACKAGING_CONFIGURATION_LINE[IS_OPTIONAL],[@ROW_INDEX]),"")</f>
        <v/>
      </c>
      <c r="G10" s="37">
        <f>IF([@COMPONENT_ID]="","",IFERROR(INDEX(T_COMPONENT[WEIGHT_G],MATCH([@COMPONENT_ID],T_COMPONENT[COMPONENT_ID],0)),""))</f>
        <v/>
      </c>
      <c r="H10" s="37">
        <f>IF(OR([@QUANTITY]="",[@UNIT_WEIGHT_G]=""),"",IF([@IS_OPTIONAL]=TRUE,0,[@QUANTITY]*[@UNIT_WEIGHT_G]))</f>
        <v/>
      </c>
    </row>
    <row r="11">
      <c r="A11" s="37" t="n">
        <v>10</v>
      </c>
      <c r="B11" s="37">
        <f>IFERROR(INDEX(T_PACKAGING_CONFIGURATION_LINE[PACKAGING_CONFIGURATION_LINE_ID],[@ROW_INDEX]),"")</f>
        <v/>
      </c>
      <c r="C11" s="37">
        <f>IFERROR(INDEX(T_PACKAGING_CONFIGURATION_LINE[PACKAGING_CONFIGURATION_ID],[@ROW_INDEX]),"")</f>
        <v/>
      </c>
      <c r="D11" s="37">
        <f>IFERROR(INDEX(T_PACKAGING_CONFIGURATION_LINE[COMPONENT_ID],[@ROW_INDEX]),"")</f>
        <v/>
      </c>
      <c r="E11" s="37">
        <f>IFERROR(INDEX(T_PACKAGING_CONFIGURATION_LINE[QUANTITY],[@ROW_INDEX]),"")</f>
        <v/>
      </c>
      <c r="F11" s="37">
        <f>IFERROR(INDEX(T_PACKAGING_CONFIGURATION_LINE[IS_OPTIONAL],[@ROW_INDEX]),"")</f>
        <v/>
      </c>
      <c r="G11" s="37">
        <f>IF([@COMPONENT_ID]="","",IFERROR(INDEX(T_COMPONENT[WEIGHT_G],MATCH([@COMPONENT_ID],T_COMPONENT[COMPONENT_ID],0)),""))</f>
        <v/>
      </c>
      <c r="H11" s="37">
        <f>IF(OR([@QUANTITY]="",[@UNIT_WEIGHT_G]=""),"",IF([@IS_OPTIONAL]=TRUE,0,[@QUANTITY]*[@UNIT_WEIGHT_G]))</f>
        <v/>
      </c>
    </row>
    <row r="12">
      <c r="A12" s="37" t="n">
        <v>11</v>
      </c>
      <c r="B12" s="37">
        <f>IFERROR(INDEX(T_PACKAGING_CONFIGURATION_LINE[PACKAGING_CONFIGURATION_LINE_ID],[@ROW_INDEX]),"")</f>
        <v/>
      </c>
      <c r="C12" s="37">
        <f>IFERROR(INDEX(T_PACKAGING_CONFIGURATION_LINE[PACKAGING_CONFIGURATION_ID],[@ROW_INDEX]),"")</f>
        <v/>
      </c>
      <c r="D12" s="37">
        <f>IFERROR(INDEX(T_PACKAGING_CONFIGURATION_LINE[COMPONENT_ID],[@ROW_INDEX]),"")</f>
        <v/>
      </c>
      <c r="E12" s="37">
        <f>IFERROR(INDEX(T_PACKAGING_CONFIGURATION_LINE[QUANTITY],[@ROW_INDEX]),"")</f>
        <v/>
      </c>
      <c r="F12" s="37">
        <f>IFERROR(INDEX(T_PACKAGING_CONFIGURATION_LINE[IS_OPTIONAL],[@ROW_INDEX]),"")</f>
        <v/>
      </c>
      <c r="G12" s="37">
        <f>IF([@COMPONENT_ID]="","",IFERROR(INDEX(T_COMPONENT[WEIGHT_G],MATCH([@COMPONENT_ID],T_COMPONENT[COMPONENT_ID],0)),""))</f>
        <v/>
      </c>
      <c r="H12" s="37">
        <f>IF(OR([@QUANTITY]="",[@UNIT_WEIGHT_G]=""),"",IF([@IS_OPTIONAL]=TRUE,0,[@QUANTITY]*[@UNIT_WEIGHT_G]))</f>
        <v/>
      </c>
    </row>
    <row r="13">
      <c r="A13" s="37" t="n">
        <v>12</v>
      </c>
      <c r="B13" s="37">
        <f>IFERROR(INDEX(T_PACKAGING_CONFIGURATION_LINE[PACKAGING_CONFIGURATION_LINE_ID],[@ROW_INDEX]),"")</f>
        <v/>
      </c>
      <c r="C13" s="37">
        <f>IFERROR(INDEX(T_PACKAGING_CONFIGURATION_LINE[PACKAGING_CONFIGURATION_ID],[@ROW_INDEX]),"")</f>
        <v/>
      </c>
      <c r="D13" s="37">
        <f>IFERROR(INDEX(T_PACKAGING_CONFIGURATION_LINE[COMPONENT_ID],[@ROW_INDEX]),"")</f>
        <v/>
      </c>
      <c r="E13" s="37">
        <f>IFERROR(INDEX(T_PACKAGING_CONFIGURATION_LINE[QUANTITY],[@ROW_INDEX]),"")</f>
        <v/>
      </c>
      <c r="F13" s="37">
        <f>IFERROR(INDEX(T_PACKAGING_CONFIGURATION_LINE[IS_OPTIONAL],[@ROW_INDEX]),"")</f>
        <v/>
      </c>
      <c r="G13" s="37">
        <f>IF([@COMPONENT_ID]="","",IFERROR(INDEX(T_COMPONENT[WEIGHT_G],MATCH([@COMPONENT_ID],T_COMPONENT[COMPONENT_ID],0)),""))</f>
        <v/>
      </c>
      <c r="H13" s="37">
        <f>IF(OR([@QUANTITY]="",[@UNIT_WEIGHT_G]=""),"",IF([@IS_OPTIONAL]=TRUE,0,[@QUANTITY]*[@UNIT_WEIGHT_G]))</f>
        <v/>
      </c>
    </row>
    <row r="14">
      <c r="A14" s="37" t="n">
        <v>13</v>
      </c>
      <c r="B14" s="37">
        <f>IFERROR(INDEX(T_PACKAGING_CONFIGURATION_LINE[PACKAGING_CONFIGURATION_LINE_ID],[@ROW_INDEX]),"")</f>
        <v/>
      </c>
      <c r="C14" s="37">
        <f>IFERROR(INDEX(T_PACKAGING_CONFIGURATION_LINE[PACKAGING_CONFIGURATION_ID],[@ROW_INDEX]),"")</f>
        <v/>
      </c>
      <c r="D14" s="37">
        <f>IFERROR(INDEX(T_PACKAGING_CONFIGURATION_LINE[COMPONENT_ID],[@ROW_INDEX]),"")</f>
        <v/>
      </c>
      <c r="E14" s="37">
        <f>IFERROR(INDEX(T_PACKAGING_CONFIGURATION_LINE[QUANTITY],[@ROW_INDEX]),"")</f>
        <v/>
      </c>
      <c r="F14" s="37">
        <f>IFERROR(INDEX(T_PACKAGING_CONFIGURATION_LINE[IS_OPTIONAL],[@ROW_INDEX]),"")</f>
        <v/>
      </c>
      <c r="G14" s="37">
        <f>IF([@COMPONENT_ID]="","",IFERROR(INDEX(T_COMPONENT[WEIGHT_G],MATCH([@COMPONENT_ID],T_COMPONENT[COMPONENT_ID],0)),""))</f>
        <v/>
      </c>
      <c r="H14" s="37">
        <f>IF(OR([@QUANTITY]="",[@UNIT_WEIGHT_G]=""),"",IF([@IS_OPTIONAL]=TRUE,0,[@QUANTITY]*[@UNIT_WEIGHT_G]))</f>
        <v/>
      </c>
    </row>
    <row r="15">
      <c r="A15" s="37" t="n">
        <v>14</v>
      </c>
      <c r="B15" s="37">
        <f>IFERROR(INDEX(T_PACKAGING_CONFIGURATION_LINE[PACKAGING_CONFIGURATION_LINE_ID],[@ROW_INDEX]),"")</f>
        <v/>
      </c>
      <c r="C15" s="37">
        <f>IFERROR(INDEX(T_PACKAGING_CONFIGURATION_LINE[PACKAGING_CONFIGURATION_ID],[@ROW_INDEX]),"")</f>
        <v/>
      </c>
      <c r="D15" s="37">
        <f>IFERROR(INDEX(T_PACKAGING_CONFIGURATION_LINE[COMPONENT_ID],[@ROW_INDEX]),"")</f>
        <v/>
      </c>
      <c r="E15" s="37">
        <f>IFERROR(INDEX(T_PACKAGING_CONFIGURATION_LINE[QUANTITY],[@ROW_INDEX]),"")</f>
        <v/>
      </c>
      <c r="F15" s="37">
        <f>IFERROR(INDEX(T_PACKAGING_CONFIGURATION_LINE[IS_OPTIONAL],[@ROW_INDEX]),"")</f>
        <v/>
      </c>
      <c r="G15" s="37">
        <f>IF([@COMPONENT_ID]="","",IFERROR(INDEX(T_COMPONENT[WEIGHT_G],MATCH([@COMPONENT_ID],T_COMPONENT[COMPONENT_ID],0)),""))</f>
        <v/>
      </c>
      <c r="H15" s="37">
        <f>IF(OR([@QUANTITY]="",[@UNIT_WEIGHT_G]=""),"",IF([@IS_OPTIONAL]=TRUE,0,[@QUANTITY]*[@UNIT_WEIGHT_G]))</f>
        <v/>
      </c>
    </row>
    <row r="16">
      <c r="A16" s="37" t="n">
        <v>15</v>
      </c>
      <c r="B16" s="37">
        <f>IFERROR(INDEX(T_PACKAGING_CONFIGURATION_LINE[PACKAGING_CONFIGURATION_LINE_ID],[@ROW_INDEX]),"")</f>
        <v/>
      </c>
      <c r="C16" s="37">
        <f>IFERROR(INDEX(T_PACKAGING_CONFIGURATION_LINE[PACKAGING_CONFIGURATION_ID],[@ROW_INDEX]),"")</f>
        <v/>
      </c>
      <c r="D16" s="37">
        <f>IFERROR(INDEX(T_PACKAGING_CONFIGURATION_LINE[COMPONENT_ID],[@ROW_INDEX]),"")</f>
        <v/>
      </c>
      <c r="E16" s="37">
        <f>IFERROR(INDEX(T_PACKAGING_CONFIGURATION_LINE[QUANTITY],[@ROW_INDEX]),"")</f>
        <v/>
      </c>
      <c r="F16" s="37">
        <f>IFERROR(INDEX(T_PACKAGING_CONFIGURATION_LINE[IS_OPTIONAL],[@ROW_INDEX]),"")</f>
        <v/>
      </c>
      <c r="G16" s="37">
        <f>IF([@COMPONENT_ID]="","",IFERROR(INDEX(T_COMPONENT[WEIGHT_G],MATCH([@COMPONENT_ID],T_COMPONENT[COMPONENT_ID],0)),""))</f>
        <v/>
      </c>
      <c r="H16" s="37">
        <f>IF(OR([@QUANTITY]="",[@UNIT_WEIGHT_G]=""),"",IF([@IS_OPTIONAL]=TRUE,0,[@QUANTITY]*[@UNIT_WEIGHT_G]))</f>
        <v/>
      </c>
    </row>
    <row r="17">
      <c r="A17" s="37" t="n">
        <v>16</v>
      </c>
      <c r="B17" s="37">
        <f>IFERROR(INDEX(T_PACKAGING_CONFIGURATION_LINE[PACKAGING_CONFIGURATION_LINE_ID],[@ROW_INDEX]),"")</f>
        <v/>
      </c>
      <c r="C17" s="37">
        <f>IFERROR(INDEX(T_PACKAGING_CONFIGURATION_LINE[PACKAGING_CONFIGURATION_ID],[@ROW_INDEX]),"")</f>
        <v/>
      </c>
      <c r="D17" s="37">
        <f>IFERROR(INDEX(T_PACKAGING_CONFIGURATION_LINE[COMPONENT_ID],[@ROW_INDEX]),"")</f>
        <v/>
      </c>
      <c r="E17" s="37">
        <f>IFERROR(INDEX(T_PACKAGING_CONFIGURATION_LINE[QUANTITY],[@ROW_INDEX]),"")</f>
        <v/>
      </c>
      <c r="F17" s="37">
        <f>IFERROR(INDEX(T_PACKAGING_CONFIGURATION_LINE[IS_OPTIONAL],[@ROW_INDEX]),"")</f>
        <v/>
      </c>
      <c r="G17" s="37">
        <f>IF([@COMPONENT_ID]="","",IFERROR(INDEX(T_COMPONENT[WEIGHT_G],MATCH([@COMPONENT_ID],T_COMPONENT[COMPONENT_ID],0)),""))</f>
        <v/>
      </c>
      <c r="H17" s="37">
        <f>IF(OR([@QUANTITY]="",[@UNIT_WEIGHT_G]=""),"",IF([@IS_OPTIONAL]=TRUE,0,[@QUANTITY]*[@UNIT_WEIGHT_G]))</f>
        <v/>
      </c>
    </row>
    <row r="18">
      <c r="A18" s="37" t="n">
        <v>17</v>
      </c>
      <c r="B18" s="37">
        <f>IFERROR(INDEX(T_PACKAGING_CONFIGURATION_LINE[PACKAGING_CONFIGURATION_LINE_ID],[@ROW_INDEX]),"")</f>
        <v/>
      </c>
      <c r="C18" s="37">
        <f>IFERROR(INDEX(T_PACKAGING_CONFIGURATION_LINE[PACKAGING_CONFIGURATION_ID],[@ROW_INDEX]),"")</f>
        <v/>
      </c>
      <c r="D18" s="37">
        <f>IFERROR(INDEX(T_PACKAGING_CONFIGURATION_LINE[COMPONENT_ID],[@ROW_INDEX]),"")</f>
        <v/>
      </c>
      <c r="E18" s="37">
        <f>IFERROR(INDEX(T_PACKAGING_CONFIGURATION_LINE[QUANTITY],[@ROW_INDEX]),"")</f>
        <v/>
      </c>
      <c r="F18" s="37">
        <f>IFERROR(INDEX(T_PACKAGING_CONFIGURATION_LINE[IS_OPTIONAL],[@ROW_INDEX]),"")</f>
        <v/>
      </c>
      <c r="G18" s="37">
        <f>IF([@COMPONENT_ID]="","",IFERROR(INDEX(T_COMPONENT[WEIGHT_G],MATCH([@COMPONENT_ID],T_COMPONENT[COMPONENT_ID],0)),""))</f>
        <v/>
      </c>
      <c r="H18" s="37">
        <f>IF(OR([@QUANTITY]="",[@UNIT_WEIGHT_G]=""),"",IF([@IS_OPTIONAL]=TRUE,0,[@QUANTITY]*[@UNIT_WEIGHT_G]))</f>
        <v/>
      </c>
    </row>
    <row r="19">
      <c r="A19" s="37" t="n">
        <v>18</v>
      </c>
      <c r="B19" s="37">
        <f>IFERROR(INDEX(T_PACKAGING_CONFIGURATION_LINE[PACKAGING_CONFIGURATION_LINE_ID],[@ROW_INDEX]),"")</f>
        <v/>
      </c>
      <c r="C19" s="37">
        <f>IFERROR(INDEX(T_PACKAGING_CONFIGURATION_LINE[PACKAGING_CONFIGURATION_ID],[@ROW_INDEX]),"")</f>
        <v/>
      </c>
      <c r="D19" s="37">
        <f>IFERROR(INDEX(T_PACKAGING_CONFIGURATION_LINE[COMPONENT_ID],[@ROW_INDEX]),"")</f>
        <v/>
      </c>
      <c r="E19" s="37">
        <f>IFERROR(INDEX(T_PACKAGING_CONFIGURATION_LINE[QUANTITY],[@ROW_INDEX]),"")</f>
        <v/>
      </c>
      <c r="F19" s="37">
        <f>IFERROR(INDEX(T_PACKAGING_CONFIGURATION_LINE[IS_OPTIONAL],[@ROW_INDEX]),"")</f>
        <v/>
      </c>
      <c r="G19" s="37">
        <f>IF([@COMPONENT_ID]="","",IFERROR(INDEX(T_COMPONENT[WEIGHT_G],MATCH([@COMPONENT_ID],T_COMPONENT[COMPONENT_ID],0)),""))</f>
        <v/>
      </c>
      <c r="H19" s="37">
        <f>IF(OR([@QUANTITY]="",[@UNIT_WEIGHT_G]=""),"",IF([@IS_OPTIONAL]=TRUE,0,[@QUANTITY]*[@UNIT_WEIGHT_G]))</f>
        <v/>
      </c>
    </row>
    <row r="20">
      <c r="A20" s="37" t="n">
        <v>19</v>
      </c>
      <c r="B20" s="37">
        <f>IFERROR(INDEX(T_PACKAGING_CONFIGURATION_LINE[PACKAGING_CONFIGURATION_LINE_ID],[@ROW_INDEX]),"")</f>
        <v/>
      </c>
      <c r="C20" s="37">
        <f>IFERROR(INDEX(T_PACKAGING_CONFIGURATION_LINE[PACKAGING_CONFIGURATION_ID],[@ROW_INDEX]),"")</f>
        <v/>
      </c>
      <c r="D20" s="37">
        <f>IFERROR(INDEX(T_PACKAGING_CONFIGURATION_LINE[COMPONENT_ID],[@ROW_INDEX]),"")</f>
        <v/>
      </c>
      <c r="E20" s="37">
        <f>IFERROR(INDEX(T_PACKAGING_CONFIGURATION_LINE[QUANTITY],[@ROW_INDEX]),"")</f>
        <v/>
      </c>
      <c r="F20" s="37">
        <f>IFERROR(INDEX(T_PACKAGING_CONFIGURATION_LINE[IS_OPTIONAL],[@ROW_INDEX]),"")</f>
        <v/>
      </c>
      <c r="G20" s="37">
        <f>IF([@COMPONENT_ID]="","",IFERROR(INDEX(T_COMPONENT[WEIGHT_G],MATCH([@COMPONENT_ID],T_COMPONENT[COMPONENT_ID],0)),""))</f>
        <v/>
      </c>
      <c r="H20" s="37">
        <f>IF(OR([@QUANTITY]="",[@UNIT_WEIGHT_G]=""),"",IF([@IS_OPTIONAL]=TRUE,0,[@QUANTITY]*[@UNIT_WEIGHT_G]))</f>
        <v/>
      </c>
    </row>
    <row r="21">
      <c r="A21" s="37" t="n">
        <v>20</v>
      </c>
      <c r="B21" s="37">
        <f>IFERROR(INDEX(T_PACKAGING_CONFIGURATION_LINE[PACKAGING_CONFIGURATION_LINE_ID],[@ROW_INDEX]),"")</f>
        <v/>
      </c>
      <c r="C21" s="37">
        <f>IFERROR(INDEX(T_PACKAGING_CONFIGURATION_LINE[PACKAGING_CONFIGURATION_ID],[@ROW_INDEX]),"")</f>
        <v/>
      </c>
      <c r="D21" s="37">
        <f>IFERROR(INDEX(T_PACKAGING_CONFIGURATION_LINE[COMPONENT_ID],[@ROW_INDEX]),"")</f>
        <v/>
      </c>
      <c r="E21" s="37">
        <f>IFERROR(INDEX(T_PACKAGING_CONFIGURATION_LINE[QUANTITY],[@ROW_INDEX]),"")</f>
        <v/>
      </c>
      <c r="F21" s="37">
        <f>IFERROR(INDEX(T_PACKAGING_CONFIGURATION_LINE[IS_OPTIONAL],[@ROW_INDEX]),"")</f>
        <v/>
      </c>
      <c r="G21" s="37">
        <f>IF([@COMPONENT_ID]="","",IFERROR(INDEX(T_COMPONENT[WEIGHT_G],MATCH([@COMPONENT_ID],T_COMPONENT[COMPONENT_ID],0)),""))</f>
        <v/>
      </c>
      <c r="H21" s="37">
        <f>IF(OR([@QUANTITY]="",[@UNIT_WEIGHT_G]=""),"",IF([@IS_OPTIONAL]=TRUE,0,[@QUANTITY]*[@UNIT_WEIGHT_G]))</f>
        <v/>
      </c>
    </row>
    <row r="22">
      <c r="A22" s="37" t="n">
        <v>21</v>
      </c>
      <c r="B22" s="37">
        <f>IFERROR(INDEX(T_PACKAGING_CONFIGURATION_LINE[PACKAGING_CONFIGURATION_LINE_ID],[@ROW_INDEX]),"")</f>
        <v/>
      </c>
      <c r="C22" s="37">
        <f>IFERROR(INDEX(T_PACKAGING_CONFIGURATION_LINE[PACKAGING_CONFIGURATION_ID],[@ROW_INDEX]),"")</f>
        <v/>
      </c>
      <c r="D22" s="37">
        <f>IFERROR(INDEX(T_PACKAGING_CONFIGURATION_LINE[COMPONENT_ID],[@ROW_INDEX]),"")</f>
        <v/>
      </c>
      <c r="E22" s="37">
        <f>IFERROR(INDEX(T_PACKAGING_CONFIGURATION_LINE[QUANTITY],[@ROW_INDEX]),"")</f>
        <v/>
      </c>
      <c r="F22" s="37">
        <f>IFERROR(INDEX(T_PACKAGING_CONFIGURATION_LINE[IS_OPTIONAL],[@ROW_INDEX]),"")</f>
        <v/>
      </c>
      <c r="G22" s="37">
        <f>IF([@COMPONENT_ID]="","",IFERROR(INDEX(T_COMPONENT[WEIGHT_G],MATCH([@COMPONENT_ID],T_COMPONENT[COMPONENT_ID],0)),""))</f>
        <v/>
      </c>
      <c r="H22" s="37">
        <f>IF(OR([@QUANTITY]="",[@UNIT_WEIGHT_G]=""),"",IF([@IS_OPTIONAL]=TRUE,0,[@QUANTITY]*[@UNIT_WEIGHT_G]))</f>
        <v/>
      </c>
    </row>
    <row r="23">
      <c r="A23" s="37" t="n">
        <v>22</v>
      </c>
      <c r="B23" s="37">
        <f>IFERROR(INDEX(T_PACKAGING_CONFIGURATION_LINE[PACKAGING_CONFIGURATION_LINE_ID],[@ROW_INDEX]),"")</f>
        <v/>
      </c>
      <c r="C23" s="37">
        <f>IFERROR(INDEX(T_PACKAGING_CONFIGURATION_LINE[PACKAGING_CONFIGURATION_ID],[@ROW_INDEX]),"")</f>
        <v/>
      </c>
      <c r="D23" s="37">
        <f>IFERROR(INDEX(T_PACKAGING_CONFIGURATION_LINE[COMPONENT_ID],[@ROW_INDEX]),"")</f>
        <v/>
      </c>
      <c r="E23" s="37">
        <f>IFERROR(INDEX(T_PACKAGING_CONFIGURATION_LINE[QUANTITY],[@ROW_INDEX]),"")</f>
        <v/>
      </c>
      <c r="F23" s="37">
        <f>IFERROR(INDEX(T_PACKAGING_CONFIGURATION_LINE[IS_OPTIONAL],[@ROW_INDEX]),"")</f>
        <v/>
      </c>
      <c r="G23" s="37">
        <f>IF([@COMPONENT_ID]="","",IFERROR(INDEX(T_COMPONENT[WEIGHT_G],MATCH([@COMPONENT_ID],T_COMPONENT[COMPONENT_ID],0)),""))</f>
        <v/>
      </c>
      <c r="H23" s="37">
        <f>IF(OR([@QUANTITY]="",[@UNIT_WEIGHT_G]=""),"",IF([@IS_OPTIONAL]=TRUE,0,[@QUANTITY]*[@UNIT_WEIGHT_G]))</f>
        <v/>
      </c>
    </row>
    <row r="24">
      <c r="A24" s="37" t="n">
        <v>23</v>
      </c>
      <c r="B24" s="37">
        <f>IFERROR(INDEX(T_PACKAGING_CONFIGURATION_LINE[PACKAGING_CONFIGURATION_LINE_ID],[@ROW_INDEX]),"")</f>
        <v/>
      </c>
      <c r="C24" s="37">
        <f>IFERROR(INDEX(T_PACKAGING_CONFIGURATION_LINE[PACKAGING_CONFIGURATION_ID],[@ROW_INDEX]),"")</f>
        <v/>
      </c>
      <c r="D24" s="37">
        <f>IFERROR(INDEX(T_PACKAGING_CONFIGURATION_LINE[COMPONENT_ID],[@ROW_INDEX]),"")</f>
        <v/>
      </c>
      <c r="E24" s="37">
        <f>IFERROR(INDEX(T_PACKAGING_CONFIGURATION_LINE[QUANTITY],[@ROW_INDEX]),"")</f>
        <v/>
      </c>
      <c r="F24" s="37">
        <f>IFERROR(INDEX(T_PACKAGING_CONFIGURATION_LINE[IS_OPTIONAL],[@ROW_INDEX]),"")</f>
        <v/>
      </c>
      <c r="G24" s="37">
        <f>IF([@COMPONENT_ID]="","",IFERROR(INDEX(T_COMPONENT[WEIGHT_G],MATCH([@COMPONENT_ID],T_COMPONENT[COMPONENT_ID],0)),""))</f>
        <v/>
      </c>
      <c r="H24" s="37">
        <f>IF(OR([@QUANTITY]="",[@UNIT_WEIGHT_G]=""),"",IF([@IS_OPTIONAL]=TRUE,0,[@QUANTITY]*[@UNIT_WEIGHT_G]))</f>
        <v/>
      </c>
    </row>
    <row r="25">
      <c r="A25" s="37" t="n">
        <v>24</v>
      </c>
      <c r="B25" s="37">
        <f>IFERROR(INDEX(T_PACKAGING_CONFIGURATION_LINE[PACKAGING_CONFIGURATION_LINE_ID],[@ROW_INDEX]),"")</f>
        <v/>
      </c>
      <c r="C25" s="37">
        <f>IFERROR(INDEX(T_PACKAGING_CONFIGURATION_LINE[PACKAGING_CONFIGURATION_ID],[@ROW_INDEX]),"")</f>
        <v/>
      </c>
      <c r="D25" s="37">
        <f>IFERROR(INDEX(T_PACKAGING_CONFIGURATION_LINE[COMPONENT_ID],[@ROW_INDEX]),"")</f>
        <v/>
      </c>
      <c r="E25" s="37">
        <f>IFERROR(INDEX(T_PACKAGING_CONFIGURATION_LINE[QUANTITY],[@ROW_INDEX]),"")</f>
        <v/>
      </c>
      <c r="F25" s="37">
        <f>IFERROR(INDEX(T_PACKAGING_CONFIGURATION_LINE[IS_OPTIONAL],[@ROW_INDEX]),"")</f>
        <v/>
      </c>
      <c r="G25" s="37">
        <f>IF([@COMPONENT_ID]="","",IFERROR(INDEX(T_COMPONENT[WEIGHT_G],MATCH([@COMPONENT_ID],T_COMPONENT[COMPONENT_ID],0)),""))</f>
        <v/>
      </c>
      <c r="H25" s="37">
        <f>IF(OR([@QUANTITY]="",[@UNIT_WEIGHT_G]=""),"",IF([@IS_OPTIONAL]=TRUE,0,[@QUANTITY]*[@UNIT_WEIGHT_G]))</f>
        <v/>
      </c>
    </row>
    <row r="26">
      <c r="A26" s="37" t="n">
        <v>25</v>
      </c>
      <c r="B26" s="37">
        <f>IFERROR(INDEX(T_PACKAGING_CONFIGURATION_LINE[PACKAGING_CONFIGURATION_LINE_ID],[@ROW_INDEX]),"")</f>
        <v/>
      </c>
      <c r="C26" s="37">
        <f>IFERROR(INDEX(T_PACKAGING_CONFIGURATION_LINE[PACKAGING_CONFIGURATION_ID],[@ROW_INDEX]),"")</f>
        <v/>
      </c>
      <c r="D26" s="37">
        <f>IFERROR(INDEX(T_PACKAGING_CONFIGURATION_LINE[COMPONENT_ID],[@ROW_INDEX]),"")</f>
        <v/>
      </c>
      <c r="E26" s="37">
        <f>IFERROR(INDEX(T_PACKAGING_CONFIGURATION_LINE[QUANTITY],[@ROW_INDEX]),"")</f>
        <v/>
      </c>
      <c r="F26" s="37">
        <f>IFERROR(INDEX(T_PACKAGING_CONFIGURATION_LINE[IS_OPTIONAL],[@ROW_INDEX]),"")</f>
        <v/>
      </c>
      <c r="G26" s="37">
        <f>IF([@COMPONENT_ID]="","",IFERROR(INDEX(T_COMPONENT[WEIGHT_G],MATCH([@COMPONENT_ID],T_COMPONENT[COMPONENT_ID],0)),""))</f>
        <v/>
      </c>
      <c r="H26" s="37">
        <f>IF(OR([@QUANTITY]="",[@UNIT_WEIGHT_G]=""),"",IF([@IS_OPTIONAL]=TRUE,0,[@QUANTITY]*[@UNIT_WEIGHT_G]))</f>
        <v/>
      </c>
    </row>
    <row r="27">
      <c r="A27" s="37" t="n">
        <v>26</v>
      </c>
      <c r="B27" s="37">
        <f>IFERROR(INDEX(T_PACKAGING_CONFIGURATION_LINE[PACKAGING_CONFIGURATION_LINE_ID],[@ROW_INDEX]),"")</f>
        <v/>
      </c>
      <c r="C27" s="37">
        <f>IFERROR(INDEX(T_PACKAGING_CONFIGURATION_LINE[PACKAGING_CONFIGURATION_ID],[@ROW_INDEX]),"")</f>
        <v/>
      </c>
      <c r="D27" s="37">
        <f>IFERROR(INDEX(T_PACKAGING_CONFIGURATION_LINE[COMPONENT_ID],[@ROW_INDEX]),"")</f>
        <v/>
      </c>
      <c r="E27" s="37">
        <f>IFERROR(INDEX(T_PACKAGING_CONFIGURATION_LINE[QUANTITY],[@ROW_INDEX]),"")</f>
        <v/>
      </c>
      <c r="F27" s="37">
        <f>IFERROR(INDEX(T_PACKAGING_CONFIGURATION_LINE[IS_OPTIONAL],[@ROW_INDEX]),"")</f>
        <v/>
      </c>
      <c r="G27" s="37">
        <f>IF([@COMPONENT_ID]="","",IFERROR(INDEX(T_COMPONENT[WEIGHT_G],MATCH([@COMPONENT_ID],T_COMPONENT[COMPONENT_ID],0)),""))</f>
        <v/>
      </c>
      <c r="H27" s="37">
        <f>IF(OR([@QUANTITY]="",[@UNIT_WEIGHT_G]=""),"",IF([@IS_OPTIONAL]=TRUE,0,[@QUANTITY]*[@UNIT_WEIGHT_G]))</f>
        <v/>
      </c>
    </row>
    <row r="28">
      <c r="A28" s="37" t="n">
        <v>27</v>
      </c>
      <c r="B28" s="37">
        <f>IFERROR(INDEX(T_PACKAGING_CONFIGURATION_LINE[PACKAGING_CONFIGURATION_LINE_ID],[@ROW_INDEX]),"")</f>
        <v/>
      </c>
      <c r="C28" s="37">
        <f>IFERROR(INDEX(T_PACKAGING_CONFIGURATION_LINE[PACKAGING_CONFIGURATION_ID],[@ROW_INDEX]),"")</f>
        <v/>
      </c>
      <c r="D28" s="37">
        <f>IFERROR(INDEX(T_PACKAGING_CONFIGURATION_LINE[COMPONENT_ID],[@ROW_INDEX]),"")</f>
        <v/>
      </c>
      <c r="E28" s="37">
        <f>IFERROR(INDEX(T_PACKAGING_CONFIGURATION_LINE[QUANTITY],[@ROW_INDEX]),"")</f>
        <v/>
      </c>
      <c r="F28" s="37">
        <f>IFERROR(INDEX(T_PACKAGING_CONFIGURATION_LINE[IS_OPTIONAL],[@ROW_INDEX]),"")</f>
        <v/>
      </c>
      <c r="G28" s="37">
        <f>IF([@COMPONENT_ID]="","",IFERROR(INDEX(T_COMPONENT[WEIGHT_G],MATCH([@COMPONENT_ID],T_COMPONENT[COMPONENT_ID],0)),""))</f>
        <v/>
      </c>
      <c r="H28" s="37">
        <f>IF(OR([@QUANTITY]="",[@UNIT_WEIGHT_G]=""),"",IF([@IS_OPTIONAL]=TRUE,0,[@QUANTITY]*[@UNIT_WEIGHT_G]))</f>
        <v/>
      </c>
    </row>
    <row r="29">
      <c r="A29" s="37" t="n">
        <v>28</v>
      </c>
      <c r="B29" s="37">
        <f>IFERROR(INDEX(T_PACKAGING_CONFIGURATION_LINE[PACKAGING_CONFIGURATION_LINE_ID],[@ROW_INDEX]),"")</f>
        <v/>
      </c>
      <c r="C29" s="37">
        <f>IFERROR(INDEX(T_PACKAGING_CONFIGURATION_LINE[PACKAGING_CONFIGURATION_ID],[@ROW_INDEX]),"")</f>
        <v/>
      </c>
      <c r="D29" s="37">
        <f>IFERROR(INDEX(T_PACKAGING_CONFIGURATION_LINE[COMPONENT_ID],[@ROW_INDEX]),"")</f>
        <v/>
      </c>
      <c r="E29" s="37">
        <f>IFERROR(INDEX(T_PACKAGING_CONFIGURATION_LINE[QUANTITY],[@ROW_INDEX]),"")</f>
        <v/>
      </c>
      <c r="F29" s="37">
        <f>IFERROR(INDEX(T_PACKAGING_CONFIGURATION_LINE[IS_OPTIONAL],[@ROW_INDEX]),"")</f>
        <v/>
      </c>
      <c r="G29" s="37">
        <f>IF([@COMPONENT_ID]="","",IFERROR(INDEX(T_COMPONENT[WEIGHT_G],MATCH([@COMPONENT_ID],T_COMPONENT[COMPONENT_ID],0)),""))</f>
        <v/>
      </c>
      <c r="H29" s="37">
        <f>IF(OR([@QUANTITY]="",[@UNIT_WEIGHT_G]=""),"",IF([@IS_OPTIONAL]=TRUE,0,[@QUANTITY]*[@UNIT_WEIGHT_G]))</f>
        <v/>
      </c>
    </row>
    <row r="30">
      <c r="A30" s="37" t="n">
        <v>29</v>
      </c>
      <c r="B30" s="37">
        <f>IFERROR(INDEX(T_PACKAGING_CONFIGURATION_LINE[PACKAGING_CONFIGURATION_LINE_ID],[@ROW_INDEX]),"")</f>
        <v/>
      </c>
      <c r="C30" s="37">
        <f>IFERROR(INDEX(T_PACKAGING_CONFIGURATION_LINE[PACKAGING_CONFIGURATION_ID],[@ROW_INDEX]),"")</f>
        <v/>
      </c>
      <c r="D30" s="37">
        <f>IFERROR(INDEX(T_PACKAGING_CONFIGURATION_LINE[COMPONENT_ID],[@ROW_INDEX]),"")</f>
        <v/>
      </c>
      <c r="E30" s="37">
        <f>IFERROR(INDEX(T_PACKAGING_CONFIGURATION_LINE[QUANTITY],[@ROW_INDEX]),"")</f>
        <v/>
      </c>
      <c r="F30" s="37">
        <f>IFERROR(INDEX(T_PACKAGING_CONFIGURATION_LINE[IS_OPTIONAL],[@ROW_INDEX]),"")</f>
        <v/>
      </c>
      <c r="G30" s="37">
        <f>IF([@COMPONENT_ID]="","",IFERROR(INDEX(T_COMPONENT[WEIGHT_G],MATCH([@COMPONENT_ID],T_COMPONENT[COMPONENT_ID],0)),""))</f>
        <v/>
      </c>
      <c r="H30" s="37">
        <f>IF(OR([@QUANTITY]="",[@UNIT_WEIGHT_G]=""),"",IF([@IS_OPTIONAL]=TRUE,0,[@QUANTITY]*[@UNIT_WEIGHT_G]))</f>
        <v/>
      </c>
    </row>
    <row r="31">
      <c r="A31" s="37" t="n">
        <v>30</v>
      </c>
      <c r="B31" s="37">
        <f>IFERROR(INDEX(T_PACKAGING_CONFIGURATION_LINE[PACKAGING_CONFIGURATION_LINE_ID],[@ROW_INDEX]),"")</f>
        <v/>
      </c>
      <c r="C31" s="37">
        <f>IFERROR(INDEX(T_PACKAGING_CONFIGURATION_LINE[PACKAGING_CONFIGURATION_ID],[@ROW_INDEX]),"")</f>
        <v/>
      </c>
      <c r="D31" s="37">
        <f>IFERROR(INDEX(T_PACKAGING_CONFIGURATION_LINE[COMPONENT_ID],[@ROW_INDEX]),"")</f>
        <v/>
      </c>
      <c r="E31" s="37">
        <f>IFERROR(INDEX(T_PACKAGING_CONFIGURATION_LINE[QUANTITY],[@ROW_INDEX]),"")</f>
        <v/>
      </c>
      <c r="F31" s="37">
        <f>IFERROR(INDEX(T_PACKAGING_CONFIGURATION_LINE[IS_OPTIONAL],[@ROW_INDEX]),"")</f>
        <v/>
      </c>
      <c r="G31" s="37">
        <f>IF([@COMPONENT_ID]="","",IFERROR(INDEX(T_COMPONENT[WEIGHT_G],MATCH([@COMPONENT_ID],T_COMPONENT[COMPONENT_ID],0)),""))</f>
        <v/>
      </c>
      <c r="H31" s="37">
        <f>IF(OR([@QUANTITY]="",[@UNIT_WEIGHT_G]=""),"",IF([@IS_OPTIONAL]=TRUE,0,[@QUANTITY]*[@UNIT_WEIGHT_G]))</f>
        <v/>
      </c>
    </row>
    <row r="32">
      <c r="A32" s="37" t="n">
        <v>31</v>
      </c>
      <c r="B32" s="37">
        <f>IFERROR(INDEX(T_PACKAGING_CONFIGURATION_LINE[PACKAGING_CONFIGURATION_LINE_ID],[@ROW_INDEX]),"")</f>
        <v/>
      </c>
      <c r="C32" s="37">
        <f>IFERROR(INDEX(T_PACKAGING_CONFIGURATION_LINE[PACKAGING_CONFIGURATION_ID],[@ROW_INDEX]),"")</f>
        <v/>
      </c>
      <c r="D32" s="37">
        <f>IFERROR(INDEX(T_PACKAGING_CONFIGURATION_LINE[COMPONENT_ID],[@ROW_INDEX]),"")</f>
        <v/>
      </c>
      <c r="E32" s="37">
        <f>IFERROR(INDEX(T_PACKAGING_CONFIGURATION_LINE[QUANTITY],[@ROW_INDEX]),"")</f>
        <v/>
      </c>
      <c r="F32" s="37">
        <f>IFERROR(INDEX(T_PACKAGING_CONFIGURATION_LINE[IS_OPTIONAL],[@ROW_INDEX]),"")</f>
        <v/>
      </c>
      <c r="G32" s="37">
        <f>IF([@COMPONENT_ID]="","",IFERROR(INDEX(T_COMPONENT[WEIGHT_G],MATCH([@COMPONENT_ID],T_COMPONENT[COMPONENT_ID],0)),""))</f>
        <v/>
      </c>
      <c r="H32" s="37">
        <f>IF(OR([@QUANTITY]="",[@UNIT_WEIGHT_G]=""),"",IF([@IS_OPTIONAL]=TRUE,0,[@QUANTITY]*[@UNIT_WEIGHT_G]))</f>
        <v/>
      </c>
    </row>
    <row r="33">
      <c r="A33" s="37" t="n">
        <v>32</v>
      </c>
      <c r="B33" s="37">
        <f>IFERROR(INDEX(T_PACKAGING_CONFIGURATION_LINE[PACKAGING_CONFIGURATION_LINE_ID],[@ROW_INDEX]),"")</f>
        <v/>
      </c>
      <c r="C33" s="37">
        <f>IFERROR(INDEX(T_PACKAGING_CONFIGURATION_LINE[PACKAGING_CONFIGURATION_ID],[@ROW_INDEX]),"")</f>
        <v/>
      </c>
      <c r="D33" s="37">
        <f>IFERROR(INDEX(T_PACKAGING_CONFIGURATION_LINE[COMPONENT_ID],[@ROW_INDEX]),"")</f>
        <v/>
      </c>
      <c r="E33" s="37">
        <f>IFERROR(INDEX(T_PACKAGING_CONFIGURATION_LINE[QUANTITY],[@ROW_INDEX]),"")</f>
        <v/>
      </c>
      <c r="F33" s="37">
        <f>IFERROR(INDEX(T_PACKAGING_CONFIGURATION_LINE[IS_OPTIONAL],[@ROW_INDEX]),"")</f>
        <v/>
      </c>
      <c r="G33" s="37">
        <f>IF([@COMPONENT_ID]="","",IFERROR(INDEX(T_COMPONENT[WEIGHT_G],MATCH([@COMPONENT_ID],T_COMPONENT[COMPONENT_ID],0)),""))</f>
        <v/>
      </c>
      <c r="H33" s="37">
        <f>IF(OR([@QUANTITY]="",[@UNIT_WEIGHT_G]=""),"",IF([@IS_OPTIONAL]=TRUE,0,[@QUANTITY]*[@UNIT_WEIGHT_G]))</f>
        <v/>
      </c>
    </row>
    <row r="34">
      <c r="A34" s="37" t="n">
        <v>33</v>
      </c>
      <c r="B34" s="37">
        <f>IFERROR(INDEX(T_PACKAGING_CONFIGURATION_LINE[PACKAGING_CONFIGURATION_LINE_ID],[@ROW_INDEX]),"")</f>
        <v/>
      </c>
      <c r="C34" s="37">
        <f>IFERROR(INDEX(T_PACKAGING_CONFIGURATION_LINE[PACKAGING_CONFIGURATION_ID],[@ROW_INDEX]),"")</f>
        <v/>
      </c>
      <c r="D34" s="37">
        <f>IFERROR(INDEX(T_PACKAGING_CONFIGURATION_LINE[COMPONENT_ID],[@ROW_INDEX]),"")</f>
        <v/>
      </c>
      <c r="E34" s="37">
        <f>IFERROR(INDEX(T_PACKAGING_CONFIGURATION_LINE[QUANTITY],[@ROW_INDEX]),"")</f>
        <v/>
      </c>
      <c r="F34" s="37">
        <f>IFERROR(INDEX(T_PACKAGING_CONFIGURATION_LINE[IS_OPTIONAL],[@ROW_INDEX]),"")</f>
        <v/>
      </c>
      <c r="G34" s="37">
        <f>IF([@COMPONENT_ID]="","",IFERROR(INDEX(T_COMPONENT[WEIGHT_G],MATCH([@COMPONENT_ID],T_COMPONENT[COMPONENT_ID],0)),""))</f>
        <v/>
      </c>
      <c r="H34" s="37">
        <f>IF(OR([@QUANTITY]="",[@UNIT_WEIGHT_G]=""),"",IF([@IS_OPTIONAL]=TRUE,0,[@QUANTITY]*[@UNIT_WEIGHT_G]))</f>
        <v/>
      </c>
    </row>
    <row r="35">
      <c r="A35" s="37" t="n">
        <v>34</v>
      </c>
      <c r="B35" s="37">
        <f>IFERROR(INDEX(T_PACKAGING_CONFIGURATION_LINE[PACKAGING_CONFIGURATION_LINE_ID],[@ROW_INDEX]),"")</f>
        <v/>
      </c>
      <c r="C35" s="37">
        <f>IFERROR(INDEX(T_PACKAGING_CONFIGURATION_LINE[PACKAGING_CONFIGURATION_ID],[@ROW_INDEX]),"")</f>
        <v/>
      </c>
      <c r="D35" s="37">
        <f>IFERROR(INDEX(T_PACKAGING_CONFIGURATION_LINE[COMPONENT_ID],[@ROW_INDEX]),"")</f>
        <v/>
      </c>
      <c r="E35" s="37">
        <f>IFERROR(INDEX(T_PACKAGING_CONFIGURATION_LINE[QUANTITY],[@ROW_INDEX]),"")</f>
        <v/>
      </c>
      <c r="F35" s="37">
        <f>IFERROR(INDEX(T_PACKAGING_CONFIGURATION_LINE[IS_OPTIONAL],[@ROW_INDEX]),"")</f>
        <v/>
      </c>
      <c r="G35" s="37">
        <f>IF([@COMPONENT_ID]="","",IFERROR(INDEX(T_COMPONENT[WEIGHT_G],MATCH([@COMPONENT_ID],T_COMPONENT[COMPONENT_ID],0)),""))</f>
        <v/>
      </c>
      <c r="H35" s="37">
        <f>IF(OR([@QUANTITY]="",[@UNIT_WEIGHT_G]=""),"",IF([@IS_OPTIONAL]=TRUE,0,[@QUANTITY]*[@UNIT_WEIGHT_G]))</f>
        <v/>
      </c>
    </row>
    <row r="36">
      <c r="A36" s="37" t="n">
        <v>35</v>
      </c>
      <c r="B36" s="37">
        <f>IFERROR(INDEX(T_PACKAGING_CONFIGURATION_LINE[PACKAGING_CONFIGURATION_LINE_ID],[@ROW_INDEX]),"")</f>
        <v/>
      </c>
      <c r="C36" s="37">
        <f>IFERROR(INDEX(T_PACKAGING_CONFIGURATION_LINE[PACKAGING_CONFIGURATION_ID],[@ROW_INDEX]),"")</f>
        <v/>
      </c>
      <c r="D36" s="37">
        <f>IFERROR(INDEX(T_PACKAGING_CONFIGURATION_LINE[COMPONENT_ID],[@ROW_INDEX]),"")</f>
        <v/>
      </c>
      <c r="E36" s="37">
        <f>IFERROR(INDEX(T_PACKAGING_CONFIGURATION_LINE[QUANTITY],[@ROW_INDEX]),"")</f>
        <v/>
      </c>
      <c r="F36" s="37">
        <f>IFERROR(INDEX(T_PACKAGING_CONFIGURATION_LINE[IS_OPTIONAL],[@ROW_INDEX]),"")</f>
        <v/>
      </c>
      <c r="G36" s="37">
        <f>IF([@COMPONENT_ID]="","",IFERROR(INDEX(T_COMPONENT[WEIGHT_G],MATCH([@COMPONENT_ID],T_COMPONENT[COMPONENT_ID],0)),""))</f>
        <v/>
      </c>
      <c r="H36" s="37">
        <f>IF(OR([@QUANTITY]="",[@UNIT_WEIGHT_G]=""),"",IF([@IS_OPTIONAL]=TRUE,0,[@QUANTITY]*[@UNIT_WEIGHT_G]))</f>
        <v/>
      </c>
    </row>
    <row r="37">
      <c r="A37" s="37" t="n">
        <v>36</v>
      </c>
      <c r="B37" s="37">
        <f>IFERROR(INDEX(T_PACKAGING_CONFIGURATION_LINE[PACKAGING_CONFIGURATION_LINE_ID],[@ROW_INDEX]),"")</f>
        <v/>
      </c>
      <c r="C37" s="37">
        <f>IFERROR(INDEX(T_PACKAGING_CONFIGURATION_LINE[PACKAGING_CONFIGURATION_ID],[@ROW_INDEX]),"")</f>
        <v/>
      </c>
      <c r="D37" s="37">
        <f>IFERROR(INDEX(T_PACKAGING_CONFIGURATION_LINE[COMPONENT_ID],[@ROW_INDEX]),"")</f>
        <v/>
      </c>
      <c r="E37" s="37">
        <f>IFERROR(INDEX(T_PACKAGING_CONFIGURATION_LINE[QUANTITY],[@ROW_INDEX]),"")</f>
        <v/>
      </c>
      <c r="F37" s="37">
        <f>IFERROR(INDEX(T_PACKAGING_CONFIGURATION_LINE[IS_OPTIONAL],[@ROW_INDEX]),"")</f>
        <v/>
      </c>
      <c r="G37" s="37">
        <f>IF([@COMPONENT_ID]="","",IFERROR(INDEX(T_COMPONENT[WEIGHT_G],MATCH([@COMPONENT_ID],T_COMPONENT[COMPONENT_ID],0)),""))</f>
        <v/>
      </c>
      <c r="H37" s="37">
        <f>IF(OR([@QUANTITY]="",[@UNIT_WEIGHT_G]=""),"",IF([@IS_OPTIONAL]=TRUE,0,[@QUANTITY]*[@UNIT_WEIGHT_G]))</f>
        <v/>
      </c>
    </row>
    <row r="38">
      <c r="A38" s="37" t="n">
        <v>37</v>
      </c>
      <c r="B38" s="37">
        <f>IFERROR(INDEX(T_PACKAGING_CONFIGURATION_LINE[PACKAGING_CONFIGURATION_LINE_ID],[@ROW_INDEX]),"")</f>
        <v/>
      </c>
      <c r="C38" s="37">
        <f>IFERROR(INDEX(T_PACKAGING_CONFIGURATION_LINE[PACKAGING_CONFIGURATION_ID],[@ROW_INDEX]),"")</f>
        <v/>
      </c>
      <c r="D38" s="37">
        <f>IFERROR(INDEX(T_PACKAGING_CONFIGURATION_LINE[COMPONENT_ID],[@ROW_INDEX]),"")</f>
        <v/>
      </c>
      <c r="E38" s="37">
        <f>IFERROR(INDEX(T_PACKAGING_CONFIGURATION_LINE[QUANTITY],[@ROW_INDEX]),"")</f>
        <v/>
      </c>
      <c r="F38" s="37">
        <f>IFERROR(INDEX(T_PACKAGING_CONFIGURATION_LINE[IS_OPTIONAL],[@ROW_INDEX]),"")</f>
        <v/>
      </c>
      <c r="G38" s="37">
        <f>IF([@COMPONENT_ID]="","",IFERROR(INDEX(T_COMPONENT[WEIGHT_G],MATCH([@COMPONENT_ID],T_COMPONENT[COMPONENT_ID],0)),""))</f>
        <v/>
      </c>
      <c r="H38" s="37">
        <f>IF(OR([@QUANTITY]="",[@UNIT_WEIGHT_G]=""),"",IF([@IS_OPTIONAL]=TRUE,0,[@QUANTITY]*[@UNIT_WEIGHT_G]))</f>
        <v/>
      </c>
    </row>
    <row r="39">
      <c r="A39" s="37" t="n">
        <v>38</v>
      </c>
      <c r="B39" s="37">
        <f>IFERROR(INDEX(T_PACKAGING_CONFIGURATION_LINE[PACKAGING_CONFIGURATION_LINE_ID],[@ROW_INDEX]),"")</f>
        <v/>
      </c>
      <c r="C39" s="37">
        <f>IFERROR(INDEX(T_PACKAGING_CONFIGURATION_LINE[PACKAGING_CONFIGURATION_ID],[@ROW_INDEX]),"")</f>
        <v/>
      </c>
      <c r="D39" s="37">
        <f>IFERROR(INDEX(T_PACKAGING_CONFIGURATION_LINE[COMPONENT_ID],[@ROW_INDEX]),"")</f>
        <v/>
      </c>
      <c r="E39" s="37">
        <f>IFERROR(INDEX(T_PACKAGING_CONFIGURATION_LINE[QUANTITY],[@ROW_INDEX]),"")</f>
        <v/>
      </c>
      <c r="F39" s="37">
        <f>IFERROR(INDEX(T_PACKAGING_CONFIGURATION_LINE[IS_OPTIONAL],[@ROW_INDEX]),"")</f>
        <v/>
      </c>
      <c r="G39" s="37">
        <f>IF([@COMPONENT_ID]="","",IFERROR(INDEX(T_COMPONENT[WEIGHT_G],MATCH([@COMPONENT_ID],T_COMPONENT[COMPONENT_ID],0)),""))</f>
        <v/>
      </c>
      <c r="H39" s="37">
        <f>IF(OR([@QUANTITY]="",[@UNIT_WEIGHT_G]=""),"",IF([@IS_OPTIONAL]=TRUE,0,[@QUANTITY]*[@UNIT_WEIGHT_G]))</f>
        <v/>
      </c>
    </row>
    <row r="40">
      <c r="A40" s="37" t="n">
        <v>39</v>
      </c>
      <c r="B40" s="37">
        <f>IFERROR(INDEX(T_PACKAGING_CONFIGURATION_LINE[PACKAGING_CONFIGURATION_LINE_ID],[@ROW_INDEX]),"")</f>
        <v/>
      </c>
      <c r="C40" s="37">
        <f>IFERROR(INDEX(T_PACKAGING_CONFIGURATION_LINE[PACKAGING_CONFIGURATION_ID],[@ROW_INDEX]),"")</f>
        <v/>
      </c>
      <c r="D40" s="37">
        <f>IFERROR(INDEX(T_PACKAGING_CONFIGURATION_LINE[COMPONENT_ID],[@ROW_INDEX]),"")</f>
        <v/>
      </c>
      <c r="E40" s="37">
        <f>IFERROR(INDEX(T_PACKAGING_CONFIGURATION_LINE[QUANTITY],[@ROW_INDEX]),"")</f>
        <v/>
      </c>
      <c r="F40" s="37">
        <f>IFERROR(INDEX(T_PACKAGING_CONFIGURATION_LINE[IS_OPTIONAL],[@ROW_INDEX]),"")</f>
        <v/>
      </c>
      <c r="G40" s="37">
        <f>IF([@COMPONENT_ID]="","",IFERROR(INDEX(T_COMPONENT[WEIGHT_G],MATCH([@COMPONENT_ID],T_COMPONENT[COMPONENT_ID],0)),""))</f>
        <v/>
      </c>
      <c r="H40" s="37">
        <f>IF(OR([@QUANTITY]="",[@UNIT_WEIGHT_G]=""),"",IF([@IS_OPTIONAL]=TRUE,0,[@QUANTITY]*[@UNIT_WEIGHT_G]))</f>
        <v/>
      </c>
    </row>
    <row r="41">
      <c r="A41" s="37" t="n">
        <v>40</v>
      </c>
      <c r="B41" s="37">
        <f>IFERROR(INDEX(T_PACKAGING_CONFIGURATION_LINE[PACKAGING_CONFIGURATION_LINE_ID],[@ROW_INDEX]),"")</f>
        <v/>
      </c>
      <c r="C41" s="37">
        <f>IFERROR(INDEX(T_PACKAGING_CONFIGURATION_LINE[PACKAGING_CONFIGURATION_ID],[@ROW_INDEX]),"")</f>
        <v/>
      </c>
      <c r="D41" s="37">
        <f>IFERROR(INDEX(T_PACKAGING_CONFIGURATION_LINE[COMPONENT_ID],[@ROW_INDEX]),"")</f>
        <v/>
      </c>
      <c r="E41" s="37">
        <f>IFERROR(INDEX(T_PACKAGING_CONFIGURATION_LINE[QUANTITY],[@ROW_INDEX]),"")</f>
        <v/>
      </c>
      <c r="F41" s="37">
        <f>IFERROR(INDEX(T_PACKAGING_CONFIGURATION_LINE[IS_OPTIONAL],[@ROW_INDEX]),"")</f>
        <v/>
      </c>
      <c r="G41" s="37">
        <f>IF([@COMPONENT_ID]="","",IFERROR(INDEX(T_COMPONENT[WEIGHT_G],MATCH([@COMPONENT_ID],T_COMPONENT[COMPONENT_ID],0)),""))</f>
        <v/>
      </c>
      <c r="H41" s="37">
        <f>IF(OR([@QUANTITY]="",[@UNIT_WEIGHT_G]=""),"",IF([@IS_OPTIONAL]=TRUE,0,[@QUANTITY]*[@UNIT_WEIGHT_G]))</f>
        <v/>
      </c>
    </row>
    <row r="42">
      <c r="A42" s="37" t="n">
        <v>41</v>
      </c>
      <c r="B42" s="37">
        <f>IFERROR(INDEX(T_PACKAGING_CONFIGURATION_LINE[PACKAGING_CONFIGURATION_LINE_ID],[@ROW_INDEX]),"")</f>
        <v/>
      </c>
      <c r="C42" s="37">
        <f>IFERROR(INDEX(T_PACKAGING_CONFIGURATION_LINE[PACKAGING_CONFIGURATION_ID],[@ROW_INDEX]),"")</f>
        <v/>
      </c>
      <c r="D42" s="37">
        <f>IFERROR(INDEX(T_PACKAGING_CONFIGURATION_LINE[COMPONENT_ID],[@ROW_INDEX]),"")</f>
        <v/>
      </c>
      <c r="E42" s="37">
        <f>IFERROR(INDEX(T_PACKAGING_CONFIGURATION_LINE[QUANTITY],[@ROW_INDEX]),"")</f>
        <v/>
      </c>
      <c r="F42" s="37">
        <f>IFERROR(INDEX(T_PACKAGING_CONFIGURATION_LINE[IS_OPTIONAL],[@ROW_INDEX]),"")</f>
        <v/>
      </c>
      <c r="G42" s="37">
        <f>IF([@COMPONENT_ID]="","",IFERROR(INDEX(T_COMPONENT[WEIGHT_G],MATCH([@COMPONENT_ID],T_COMPONENT[COMPONENT_ID],0)),""))</f>
        <v/>
      </c>
      <c r="H42" s="37">
        <f>IF(OR([@QUANTITY]="",[@UNIT_WEIGHT_G]=""),"",IF([@IS_OPTIONAL]=TRUE,0,[@QUANTITY]*[@UNIT_WEIGHT_G]))</f>
        <v/>
      </c>
    </row>
    <row r="43">
      <c r="A43" s="37" t="n">
        <v>42</v>
      </c>
      <c r="B43" s="37">
        <f>IFERROR(INDEX(T_PACKAGING_CONFIGURATION_LINE[PACKAGING_CONFIGURATION_LINE_ID],[@ROW_INDEX]),"")</f>
        <v/>
      </c>
      <c r="C43" s="37">
        <f>IFERROR(INDEX(T_PACKAGING_CONFIGURATION_LINE[PACKAGING_CONFIGURATION_ID],[@ROW_INDEX]),"")</f>
        <v/>
      </c>
      <c r="D43" s="37">
        <f>IFERROR(INDEX(T_PACKAGING_CONFIGURATION_LINE[COMPONENT_ID],[@ROW_INDEX]),"")</f>
        <v/>
      </c>
      <c r="E43" s="37">
        <f>IFERROR(INDEX(T_PACKAGING_CONFIGURATION_LINE[QUANTITY],[@ROW_INDEX]),"")</f>
        <v/>
      </c>
      <c r="F43" s="37">
        <f>IFERROR(INDEX(T_PACKAGING_CONFIGURATION_LINE[IS_OPTIONAL],[@ROW_INDEX]),"")</f>
        <v/>
      </c>
      <c r="G43" s="37">
        <f>IF([@COMPONENT_ID]="","",IFERROR(INDEX(T_COMPONENT[WEIGHT_G],MATCH([@COMPONENT_ID],T_COMPONENT[COMPONENT_ID],0)),""))</f>
        <v/>
      </c>
      <c r="H43" s="37">
        <f>IF(OR([@QUANTITY]="",[@UNIT_WEIGHT_G]=""),"",IF([@IS_OPTIONAL]=TRUE,0,[@QUANTITY]*[@UNIT_WEIGHT_G]))</f>
        <v/>
      </c>
    </row>
    <row r="44">
      <c r="A44" s="37" t="n">
        <v>43</v>
      </c>
      <c r="B44" s="37">
        <f>IFERROR(INDEX(T_PACKAGING_CONFIGURATION_LINE[PACKAGING_CONFIGURATION_LINE_ID],[@ROW_INDEX]),"")</f>
        <v/>
      </c>
      <c r="C44" s="37">
        <f>IFERROR(INDEX(T_PACKAGING_CONFIGURATION_LINE[PACKAGING_CONFIGURATION_ID],[@ROW_INDEX]),"")</f>
        <v/>
      </c>
      <c r="D44" s="37">
        <f>IFERROR(INDEX(T_PACKAGING_CONFIGURATION_LINE[COMPONENT_ID],[@ROW_INDEX]),"")</f>
        <v/>
      </c>
      <c r="E44" s="37">
        <f>IFERROR(INDEX(T_PACKAGING_CONFIGURATION_LINE[QUANTITY],[@ROW_INDEX]),"")</f>
        <v/>
      </c>
      <c r="F44" s="37">
        <f>IFERROR(INDEX(T_PACKAGING_CONFIGURATION_LINE[IS_OPTIONAL],[@ROW_INDEX]),"")</f>
        <v/>
      </c>
      <c r="G44" s="37">
        <f>IF([@COMPONENT_ID]="","",IFERROR(INDEX(T_COMPONENT[WEIGHT_G],MATCH([@COMPONENT_ID],T_COMPONENT[COMPONENT_ID],0)),""))</f>
        <v/>
      </c>
      <c r="H44" s="37">
        <f>IF(OR([@QUANTITY]="",[@UNIT_WEIGHT_G]=""),"",IF([@IS_OPTIONAL]=TRUE,0,[@QUANTITY]*[@UNIT_WEIGHT_G]))</f>
        <v/>
      </c>
    </row>
    <row r="45">
      <c r="A45" s="37" t="n">
        <v>44</v>
      </c>
      <c r="B45" s="37">
        <f>IFERROR(INDEX(T_PACKAGING_CONFIGURATION_LINE[PACKAGING_CONFIGURATION_LINE_ID],[@ROW_INDEX]),"")</f>
        <v/>
      </c>
      <c r="C45" s="37">
        <f>IFERROR(INDEX(T_PACKAGING_CONFIGURATION_LINE[PACKAGING_CONFIGURATION_ID],[@ROW_INDEX]),"")</f>
        <v/>
      </c>
      <c r="D45" s="37">
        <f>IFERROR(INDEX(T_PACKAGING_CONFIGURATION_LINE[COMPONENT_ID],[@ROW_INDEX]),"")</f>
        <v/>
      </c>
      <c r="E45" s="37">
        <f>IFERROR(INDEX(T_PACKAGING_CONFIGURATION_LINE[QUANTITY],[@ROW_INDEX]),"")</f>
        <v/>
      </c>
      <c r="F45" s="37">
        <f>IFERROR(INDEX(T_PACKAGING_CONFIGURATION_LINE[IS_OPTIONAL],[@ROW_INDEX]),"")</f>
        <v/>
      </c>
      <c r="G45" s="37">
        <f>IF([@COMPONENT_ID]="","",IFERROR(INDEX(T_COMPONENT[WEIGHT_G],MATCH([@COMPONENT_ID],T_COMPONENT[COMPONENT_ID],0)),""))</f>
        <v/>
      </c>
      <c r="H45" s="37">
        <f>IF(OR([@QUANTITY]="",[@UNIT_WEIGHT_G]=""),"",IF([@IS_OPTIONAL]=TRUE,0,[@QUANTITY]*[@UNIT_WEIGHT_G]))</f>
        <v/>
      </c>
    </row>
    <row r="46">
      <c r="A46" s="37" t="n">
        <v>45</v>
      </c>
      <c r="B46" s="37">
        <f>IFERROR(INDEX(T_PACKAGING_CONFIGURATION_LINE[PACKAGING_CONFIGURATION_LINE_ID],[@ROW_INDEX]),"")</f>
        <v/>
      </c>
      <c r="C46" s="37">
        <f>IFERROR(INDEX(T_PACKAGING_CONFIGURATION_LINE[PACKAGING_CONFIGURATION_ID],[@ROW_INDEX]),"")</f>
        <v/>
      </c>
      <c r="D46" s="37">
        <f>IFERROR(INDEX(T_PACKAGING_CONFIGURATION_LINE[COMPONENT_ID],[@ROW_INDEX]),"")</f>
        <v/>
      </c>
      <c r="E46" s="37">
        <f>IFERROR(INDEX(T_PACKAGING_CONFIGURATION_LINE[QUANTITY],[@ROW_INDEX]),"")</f>
        <v/>
      </c>
      <c r="F46" s="37">
        <f>IFERROR(INDEX(T_PACKAGING_CONFIGURATION_LINE[IS_OPTIONAL],[@ROW_INDEX]),"")</f>
        <v/>
      </c>
      <c r="G46" s="37">
        <f>IF([@COMPONENT_ID]="","",IFERROR(INDEX(T_COMPONENT[WEIGHT_G],MATCH([@COMPONENT_ID],T_COMPONENT[COMPONENT_ID],0)),""))</f>
        <v/>
      </c>
      <c r="H46" s="37">
        <f>IF(OR([@QUANTITY]="",[@UNIT_WEIGHT_G]=""),"",IF([@IS_OPTIONAL]=TRUE,0,[@QUANTITY]*[@UNIT_WEIGHT_G]))</f>
        <v/>
      </c>
    </row>
    <row r="47">
      <c r="A47" s="37" t="n">
        <v>46</v>
      </c>
      <c r="B47" s="37">
        <f>IFERROR(INDEX(T_PACKAGING_CONFIGURATION_LINE[PACKAGING_CONFIGURATION_LINE_ID],[@ROW_INDEX]),"")</f>
        <v/>
      </c>
      <c r="C47" s="37">
        <f>IFERROR(INDEX(T_PACKAGING_CONFIGURATION_LINE[PACKAGING_CONFIGURATION_ID],[@ROW_INDEX]),"")</f>
        <v/>
      </c>
      <c r="D47" s="37">
        <f>IFERROR(INDEX(T_PACKAGING_CONFIGURATION_LINE[COMPONENT_ID],[@ROW_INDEX]),"")</f>
        <v/>
      </c>
      <c r="E47" s="37">
        <f>IFERROR(INDEX(T_PACKAGING_CONFIGURATION_LINE[QUANTITY],[@ROW_INDEX]),"")</f>
        <v/>
      </c>
      <c r="F47" s="37">
        <f>IFERROR(INDEX(T_PACKAGING_CONFIGURATION_LINE[IS_OPTIONAL],[@ROW_INDEX]),"")</f>
        <v/>
      </c>
      <c r="G47" s="37">
        <f>IF([@COMPONENT_ID]="","",IFERROR(INDEX(T_COMPONENT[WEIGHT_G],MATCH([@COMPONENT_ID],T_COMPONENT[COMPONENT_ID],0)),""))</f>
        <v/>
      </c>
      <c r="H47" s="37">
        <f>IF(OR([@QUANTITY]="",[@UNIT_WEIGHT_G]=""),"",IF([@IS_OPTIONAL]=TRUE,0,[@QUANTITY]*[@UNIT_WEIGHT_G]))</f>
        <v/>
      </c>
    </row>
    <row r="48">
      <c r="A48" s="37" t="n">
        <v>47</v>
      </c>
      <c r="B48" s="37">
        <f>IFERROR(INDEX(T_PACKAGING_CONFIGURATION_LINE[PACKAGING_CONFIGURATION_LINE_ID],[@ROW_INDEX]),"")</f>
        <v/>
      </c>
      <c r="C48" s="37">
        <f>IFERROR(INDEX(T_PACKAGING_CONFIGURATION_LINE[PACKAGING_CONFIGURATION_ID],[@ROW_INDEX]),"")</f>
        <v/>
      </c>
      <c r="D48" s="37">
        <f>IFERROR(INDEX(T_PACKAGING_CONFIGURATION_LINE[COMPONENT_ID],[@ROW_INDEX]),"")</f>
        <v/>
      </c>
      <c r="E48" s="37">
        <f>IFERROR(INDEX(T_PACKAGING_CONFIGURATION_LINE[QUANTITY],[@ROW_INDEX]),"")</f>
        <v/>
      </c>
      <c r="F48" s="37">
        <f>IFERROR(INDEX(T_PACKAGING_CONFIGURATION_LINE[IS_OPTIONAL],[@ROW_INDEX]),"")</f>
        <v/>
      </c>
      <c r="G48" s="37">
        <f>IF([@COMPONENT_ID]="","",IFERROR(INDEX(T_COMPONENT[WEIGHT_G],MATCH([@COMPONENT_ID],T_COMPONENT[COMPONENT_ID],0)),""))</f>
        <v/>
      </c>
      <c r="H48" s="37">
        <f>IF(OR([@QUANTITY]="",[@UNIT_WEIGHT_G]=""),"",IF([@IS_OPTIONAL]=TRUE,0,[@QUANTITY]*[@UNIT_WEIGHT_G]))</f>
        <v/>
      </c>
    </row>
    <row r="49">
      <c r="A49" s="37" t="n">
        <v>48</v>
      </c>
      <c r="B49" s="37">
        <f>IFERROR(INDEX(T_PACKAGING_CONFIGURATION_LINE[PACKAGING_CONFIGURATION_LINE_ID],[@ROW_INDEX]),"")</f>
        <v/>
      </c>
      <c r="C49" s="37">
        <f>IFERROR(INDEX(T_PACKAGING_CONFIGURATION_LINE[PACKAGING_CONFIGURATION_ID],[@ROW_INDEX]),"")</f>
        <v/>
      </c>
      <c r="D49" s="37">
        <f>IFERROR(INDEX(T_PACKAGING_CONFIGURATION_LINE[COMPONENT_ID],[@ROW_INDEX]),"")</f>
        <v/>
      </c>
      <c r="E49" s="37">
        <f>IFERROR(INDEX(T_PACKAGING_CONFIGURATION_LINE[QUANTITY],[@ROW_INDEX]),"")</f>
        <v/>
      </c>
      <c r="F49" s="37">
        <f>IFERROR(INDEX(T_PACKAGING_CONFIGURATION_LINE[IS_OPTIONAL],[@ROW_INDEX]),"")</f>
        <v/>
      </c>
      <c r="G49" s="37">
        <f>IF([@COMPONENT_ID]="","",IFERROR(INDEX(T_COMPONENT[WEIGHT_G],MATCH([@COMPONENT_ID],T_COMPONENT[COMPONENT_ID],0)),""))</f>
        <v/>
      </c>
      <c r="H49" s="37">
        <f>IF(OR([@QUANTITY]="",[@UNIT_WEIGHT_G]=""),"",IF([@IS_OPTIONAL]=TRUE,0,[@QUANTITY]*[@UNIT_WEIGHT_G]))</f>
        <v/>
      </c>
    </row>
    <row r="50">
      <c r="A50" s="37" t="n">
        <v>49</v>
      </c>
      <c r="B50" s="37">
        <f>IFERROR(INDEX(T_PACKAGING_CONFIGURATION_LINE[PACKAGING_CONFIGURATION_LINE_ID],[@ROW_INDEX]),"")</f>
        <v/>
      </c>
      <c r="C50" s="37">
        <f>IFERROR(INDEX(T_PACKAGING_CONFIGURATION_LINE[PACKAGING_CONFIGURATION_ID],[@ROW_INDEX]),"")</f>
        <v/>
      </c>
      <c r="D50" s="37">
        <f>IFERROR(INDEX(T_PACKAGING_CONFIGURATION_LINE[COMPONENT_ID],[@ROW_INDEX]),"")</f>
        <v/>
      </c>
      <c r="E50" s="37">
        <f>IFERROR(INDEX(T_PACKAGING_CONFIGURATION_LINE[QUANTITY],[@ROW_INDEX]),"")</f>
        <v/>
      </c>
      <c r="F50" s="37">
        <f>IFERROR(INDEX(T_PACKAGING_CONFIGURATION_LINE[IS_OPTIONAL],[@ROW_INDEX]),"")</f>
        <v/>
      </c>
      <c r="G50" s="37">
        <f>IF([@COMPONENT_ID]="","",IFERROR(INDEX(T_COMPONENT[WEIGHT_G],MATCH([@COMPONENT_ID],T_COMPONENT[COMPONENT_ID],0)),""))</f>
        <v/>
      </c>
      <c r="H50" s="37">
        <f>IF(OR([@QUANTITY]="",[@UNIT_WEIGHT_G]=""),"",IF([@IS_OPTIONAL]=TRUE,0,[@QUANTITY]*[@UNIT_WEIGHT_G]))</f>
        <v/>
      </c>
    </row>
    <row r="51">
      <c r="A51" s="37" t="n">
        <v>50</v>
      </c>
      <c r="B51" s="37">
        <f>IFERROR(INDEX(T_PACKAGING_CONFIGURATION_LINE[PACKAGING_CONFIGURATION_LINE_ID],[@ROW_INDEX]),"")</f>
        <v/>
      </c>
      <c r="C51" s="37">
        <f>IFERROR(INDEX(T_PACKAGING_CONFIGURATION_LINE[PACKAGING_CONFIGURATION_ID],[@ROW_INDEX]),"")</f>
        <v/>
      </c>
      <c r="D51" s="37">
        <f>IFERROR(INDEX(T_PACKAGING_CONFIGURATION_LINE[COMPONENT_ID],[@ROW_INDEX]),"")</f>
        <v/>
      </c>
      <c r="E51" s="37">
        <f>IFERROR(INDEX(T_PACKAGING_CONFIGURATION_LINE[QUANTITY],[@ROW_INDEX]),"")</f>
        <v/>
      </c>
      <c r="F51" s="37">
        <f>IFERROR(INDEX(T_PACKAGING_CONFIGURATION_LINE[IS_OPTIONAL],[@ROW_INDEX]),"")</f>
        <v/>
      </c>
      <c r="G51" s="37">
        <f>IF([@COMPONENT_ID]="","",IFERROR(INDEX(T_COMPONENT[WEIGHT_G],MATCH([@COMPONENT_ID],T_COMPONENT[COMPONENT_ID],0)),""))</f>
        <v/>
      </c>
      <c r="H51" s="37">
        <f>IF(OR([@QUANTITY]="",[@UNIT_WEIGHT_G]=""),"",IF([@IS_OPTIONAL]=TRUE,0,[@QUANTITY]*[@UNIT_WEIGHT_G]))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hyperlinks>
    <hyperlink xmlns:r="http://schemas.openxmlformats.org/officeDocument/2006/relationships" ref="J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3" customWidth="1" min="1" max="1"/>
    <col width="34" customWidth="1" min="2" max="2"/>
    <col width="30" customWidth="1" min="3" max="3"/>
    <col width="16" customWidth="1" min="4" max="4"/>
    <col width="31" customWidth="1" min="5" max="5"/>
    <col width="17" customWidth="1" min="6" max="6"/>
    <col width="17" customWidth="1" min="7" max="7"/>
  </cols>
  <sheetData>
    <row r="1">
      <c r="A1" s="5" t="inlineStr">
        <is>
          <t>ROW_INDEX</t>
        </is>
      </c>
      <c r="B1" s="5" t="inlineStr">
        <is>
          <t>TRANSPORT_CONFIGURATION_LINE_ID</t>
        </is>
      </c>
      <c r="C1" s="5" t="inlineStr">
        <is>
          <t>TRANSPORT_CONFIGURATION_ID</t>
        </is>
      </c>
      <c r="D1" s="5" t="inlineStr">
        <is>
          <t>COMPONENT_ID</t>
        </is>
      </c>
      <c r="E1" s="5" t="inlineStr">
        <is>
          <t>QUANTITY_PER_TRANSPORT_UNIT</t>
        </is>
      </c>
      <c r="F1" s="5" t="inlineStr">
        <is>
          <t>UNIT_WEIGHT_G</t>
        </is>
      </c>
      <c r="G1" s="5" t="inlineStr">
        <is>
          <t>LINE_WEIGHT_G</t>
        </is>
      </c>
      <c r="I1" s="36" t="inlineStr">
        <is>
          <t>Dashboard</t>
        </is>
      </c>
    </row>
    <row r="2">
      <c r="A2" s="37" t="n">
        <v>1</v>
      </c>
      <c r="B2" s="37">
        <f>IFERROR(INDEX(T_TRANSPORT_CONFIGURATION_LINE[TRANSPORT_CONFIGURATION_LINE_ID],[@ROW_INDEX]),"")</f>
        <v/>
      </c>
      <c r="C2" s="37">
        <f>IFERROR(INDEX(T_TRANSPORT_CONFIGURATION_LINE[TRANSPORT_CONFIGURATION_ID],[@ROW_INDEX]),"")</f>
        <v/>
      </c>
      <c r="D2" s="37">
        <f>IFERROR(INDEX(T_TRANSPORT_CONFIGURATION_LINE[COMPONENT_ID],[@ROW_INDEX]),"")</f>
        <v/>
      </c>
      <c r="E2" s="37">
        <f>IFERROR(INDEX(T_TRANSPORT_CONFIGURATION_LINE[QUANTITY_PER_TRANSPORT_UNIT],[@ROW_INDEX]),"")</f>
        <v/>
      </c>
      <c r="F2" s="37">
        <f>IF([@COMPONENT_ID]="","",IFERROR(INDEX(T_COMPONENT[WEIGHT_G],MATCH([@COMPONENT_ID],T_COMPONENT[COMPONENT_ID],0)),""))</f>
        <v/>
      </c>
      <c r="G2" s="37">
        <f>IF(OR([@QUANTITY_PER_TRANSPORT_UNIT]="",[@UNIT_WEIGHT_G]=""),"",[@QUANTITY_PER_TRANSPORT_UNIT]*[@UNIT_WEIGHT_G])</f>
        <v/>
      </c>
    </row>
    <row r="3">
      <c r="A3" s="37" t="n">
        <v>2</v>
      </c>
      <c r="B3" s="37">
        <f>IFERROR(INDEX(T_TRANSPORT_CONFIGURATION_LINE[TRANSPORT_CONFIGURATION_LINE_ID],[@ROW_INDEX]),"")</f>
        <v/>
      </c>
      <c r="C3" s="37">
        <f>IFERROR(INDEX(T_TRANSPORT_CONFIGURATION_LINE[TRANSPORT_CONFIGURATION_ID],[@ROW_INDEX]),"")</f>
        <v/>
      </c>
      <c r="D3" s="37">
        <f>IFERROR(INDEX(T_TRANSPORT_CONFIGURATION_LINE[COMPONENT_ID],[@ROW_INDEX]),"")</f>
        <v/>
      </c>
      <c r="E3" s="37">
        <f>IFERROR(INDEX(T_TRANSPORT_CONFIGURATION_LINE[QUANTITY_PER_TRANSPORT_UNIT],[@ROW_INDEX]),"")</f>
        <v/>
      </c>
      <c r="F3" s="37">
        <f>IF([@COMPONENT_ID]="","",IFERROR(INDEX(T_COMPONENT[WEIGHT_G],MATCH([@COMPONENT_ID],T_COMPONENT[COMPONENT_ID],0)),""))</f>
        <v/>
      </c>
      <c r="G3" s="37">
        <f>IF(OR([@QUANTITY_PER_TRANSPORT_UNIT]="",[@UNIT_WEIGHT_G]=""),"",[@QUANTITY_PER_TRANSPORT_UNIT]*[@UNIT_WEIGHT_G])</f>
        <v/>
      </c>
    </row>
    <row r="4">
      <c r="A4" s="37" t="n">
        <v>3</v>
      </c>
      <c r="B4" s="37">
        <f>IFERROR(INDEX(T_TRANSPORT_CONFIGURATION_LINE[TRANSPORT_CONFIGURATION_LINE_ID],[@ROW_INDEX]),"")</f>
        <v/>
      </c>
      <c r="C4" s="37">
        <f>IFERROR(INDEX(T_TRANSPORT_CONFIGURATION_LINE[TRANSPORT_CONFIGURATION_ID],[@ROW_INDEX]),"")</f>
        <v/>
      </c>
      <c r="D4" s="37">
        <f>IFERROR(INDEX(T_TRANSPORT_CONFIGURATION_LINE[COMPONENT_ID],[@ROW_INDEX]),"")</f>
        <v/>
      </c>
      <c r="E4" s="37">
        <f>IFERROR(INDEX(T_TRANSPORT_CONFIGURATION_LINE[QUANTITY_PER_TRANSPORT_UNIT],[@ROW_INDEX]),"")</f>
        <v/>
      </c>
      <c r="F4" s="37">
        <f>IF([@COMPONENT_ID]="","",IFERROR(INDEX(T_COMPONENT[WEIGHT_G],MATCH([@COMPONENT_ID],T_COMPONENT[COMPONENT_ID],0)),""))</f>
        <v/>
      </c>
      <c r="G4" s="37">
        <f>IF(OR([@QUANTITY_PER_TRANSPORT_UNIT]="",[@UNIT_WEIGHT_G]=""),"",[@QUANTITY_PER_TRANSPORT_UNIT]*[@UNIT_WEIGHT_G])</f>
        <v/>
      </c>
    </row>
    <row r="5">
      <c r="A5" s="37" t="n">
        <v>4</v>
      </c>
      <c r="B5" s="37">
        <f>IFERROR(INDEX(T_TRANSPORT_CONFIGURATION_LINE[TRANSPORT_CONFIGURATION_LINE_ID],[@ROW_INDEX]),"")</f>
        <v/>
      </c>
      <c r="C5" s="37">
        <f>IFERROR(INDEX(T_TRANSPORT_CONFIGURATION_LINE[TRANSPORT_CONFIGURATION_ID],[@ROW_INDEX]),"")</f>
        <v/>
      </c>
      <c r="D5" s="37">
        <f>IFERROR(INDEX(T_TRANSPORT_CONFIGURATION_LINE[COMPONENT_ID],[@ROW_INDEX]),"")</f>
        <v/>
      </c>
      <c r="E5" s="37">
        <f>IFERROR(INDEX(T_TRANSPORT_CONFIGURATION_LINE[QUANTITY_PER_TRANSPORT_UNIT],[@ROW_INDEX]),"")</f>
        <v/>
      </c>
      <c r="F5" s="37">
        <f>IF([@COMPONENT_ID]="","",IFERROR(INDEX(T_COMPONENT[WEIGHT_G],MATCH([@COMPONENT_ID],T_COMPONENT[COMPONENT_ID],0)),""))</f>
        <v/>
      </c>
      <c r="G5" s="37">
        <f>IF(OR([@QUANTITY_PER_TRANSPORT_UNIT]="",[@UNIT_WEIGHT_G]=""),"",[@QUANTITY_PER_TRANSPORT_UNIT]*[@UNIT_WEIGHT_G])</f>
        <v/>
      </c>
    </row>
    <row r="6">
      <c r="A6" s="37" t="n">
        <v>5</v>
      </c>
      <c r="B6" s="37">
        <f>IFERROR(INDEX(T_TRANSPORT_CONFIGURATION_LINE[TRANSPORT_CONFIGURATION_LINE_ID],[@ROW_INDEX]),"")</f>
        <v/>
      </c>
      <c r="C6" s="37">
        <f>IFERROR(INDEX(T_TRANSPORT_CONFIGURATION_LINE[TRANSPORT_CONFIGURATION_ID],[@ROW_INDEX]),"")</f>
        <v/>
      </c>
      <c r="D6" s="37">
        <f>IFERROR(INDEX(T_TRANSPORT_CONFIGURATION_LINE[COMPONENT_ID],[@ROW_INDEX]),"")</f>
        <v/>
      </c>
      <c r="E6" s="37">
        <f>IFERROR(INDEX(T_TRANSPORT_CONFIGURATION_LINE[QUANTITY_PER_TRANSPORT_UNIT],[@ROW_INDEX]),"")</f>
        <v/>
      </c>
      <c r="F6" s="37">
        <f>IF([@COMPONENT_ID]="","",IFERROR(INDEX(T_COMPONENT[WEIGHT_G],MATCH([@COMPONENT_ID],T_COMPONENT[COMPONENT_ID],0)),""))</f>
        <v/>
      </c>
      <c r="G6" s="37">
        <f>IF(OR([@QUANTITY_PER_TRANSPORT_UNIT]="",[@UNIT_WEIGHT_G]=""),"",[@QUANTITY_PER_TRANSPORT_UNIT]*[@UNIT_WEIGHT_G])</f>
        <v/>
      </c>
    </row>
    <row r="7">
      <c r="A7" s="37" t="n">
        <v>6</v>
      </c>
      <c r="B7" s="37">
        <f>IFERROR(INDEX(T_TRANSPORT_CONFIGURATION_LINE[TRANSPORT_CONFIGURATION_LINE_ID],[@ROW_INDEX]),"")</f>
        <v/>
      </c>
      <c r="C7" s="37">
        <f>IFERROR(INDEX(T_TRANSPORT_CONFIGURATION_LINE[TRANSPORT_CONFIGURATION_ID],[@ROW_INDEX]),"")</f>
        <v/>
      </c>
      <c r="D7" s="37">
        <f>IFERROR(INDEX(T_TRANSPORT_CONFIGURATION_LINE[COMPONENT_ID],[@ROW_INDEX]),"")</f>
        <v/>
      </c>
      <c r="E7" s="37">
        <f>IFERROR(INDEX(T_TRANSPORT_CONFIGURATION_LINE[QUANTITY_PER_TRANSPORT_UNIT],[@ROW_INDEX]),"")</f>
        <v/>
      </c>
      <c r="F7" s="37">
        <f>IF([@COMPONENT_ID]="","",IFERROR(INDEX(T_COMPONENT[WEIGHT_G],MATCH([@COMPONENT_ID],T_COMPONENT[COMPONENT_ID],0)),""))</f>
        <v/>
      </c>
      <c r="G7" s="37">
        <f>IF(OR([@QUANTITY_PER_TRANSPORT_UNIT]="",[@UNIT_WEIGHT_G]=""),"",[@QUANTITY_PER_TRANSPORT_UNIT]*[@UNIT_WEIGHT_G])</f>
        <v/>
      </c>
    </row>
    <row r="8">
      <c r="A8" s="37" t="n">
        <v>7</v>
      </c>
      <c r="B8" s="37">
        <f>IFERROR(INDEX(T_TRANSPORT_CONFIGURATION_LINE[TRANSPORT_CONFIGURATION_LINE_ID],[@ROW_INDEX]),"")</f>
        <v/>
      </c>
      <c r="C8" s="37">
        <f>IFERROR(INDEX(T_TRANSPORT_CONFIGURATION_LINE[TRANSPORT_CONFIGURATION_ID],[@ROW_INDEX]),"")</f>
        <v/>
      </c>
      <c r="D8" s="37">
        <f>IFERROR(INDEX(T_TRANSPORT_CONFIGURATION_LINE[COMPONENT_ID],[@ROW_INDEX]),"")</f>
        <v/>
      </c>
      <c r="E8" s="37">
        <f>IFERROR(INDEX(T_TRANSPORT_CONFIGURATION_LINE[QUANTITY_PER_TRANSPORT_UNIT],[@ROW_INDEX]),"")</f>
        <v/>
      </c>
      <c r="F8" s="37">
        <f>IF([@COMPONENT_ID]="","",IFERROR(INDEX(T_COMPONENT[WEIGHT_G],MATCH([@COMPONENT_ID],T_COMPONENT[COMPONENT_ID],0)),""))</f>
        <v/>
      </c>
      <c r="G8" s="37">
        <f>IF(OR([@QUANTITY_PER_TRANSPORT_UNIT]="",[@UNIT_WEIGHT_G]=""),"",[@QUANTITY_PER_TRANSPORT_UNIT]*[@UNIT_WEIGHT_G])</f>
        <v/>
      </c>
    </row>
    <row r="9">
      <c r="A9" s="37" t="n">
        <v>8</v>
      </c>
      <c r="B9" s="37">
        <f>IFERROR(INDEX(T_TRANSPORT_CONFIGURATION_LINE[TRANSPORT_CONFIGURATION_LINE_ID],[@ROW_INDEX]),"")</f>
        <v/>
      </c>
      <c r="C9" s="37">
        <f>IFERROR(INDEX(T_TRANSPORT_CONFIGURATION_LINE[TRANSPORT_CONFIGURATION_ID],[@ROW_INDEX]),"")</f>
        <v/>
      </c>
      <c r="D9" s="37">
        <f>IFERROR(INDEX(T_TRANSPORT_CONFIGURATION_LINE[COMPONENT_ID],[@ROW_INDEX]),"")</f>
        <v/>
      </c>
      <c r="E9" s="37">
        <f>IFERROR(INDEX(T_TRANSPORT_CONFIGURATION_LINE[QUANTITY_PER_TRANSPORT_UNIT],[@ROW_INDEX]),"")</f>
        <v/>
      </c>
      <c r="F9" s="37">
        <f>IF([@COMPONENT_ID]="","",IFERROR(INDEX(T_COMPONENT[WEIGHT_G],MATCH([@COMPONENT_ID],T_COMPONENT[COMPONENT_ID],0)),""))</f>
        <v/>
      </c>
      <c r="G9" s="37">
        <f>IF(OR([@QUANTITY_PER_TRANSPORT_UNIT]="",[@UNIT_WEIGHT_G]=""),"",[@QUANTITY_PER_TRANSPORT_UNIT]*[@UNIT_WEIGHT_G])</f>
        <v/>
      </c>
    </row>
    <row r="10">
      <c r="A10" s="37" t="n">
        <v>9</v>
      </c>
      <c r="B10" s="37">
        <f>IFERROR(INDEX(T_TRANSPORT_CONFIGURATION_LINE[TRANSPORT_CONFIGURATION_LINE_ID],[@ROW_INDEX]),"")</f>
        <v/>
      </c>
      <c r="C10" s="37">
        <f>IFERROR(INDEX(T_TRANSPORT_CONFIGURATION_LINE[TRANSPORT_CONFIGURATION_ID],[@ROW_INDEX]),"")</f>
        <v/>
      </c>
      <c r="D10" s="37">
        <f>IFERROR(INDEX(T_TRANSPORT_CONFIGURATION_LINE[COMPONENT_ID],[@ROW_INDEX]),"")</f>
        <v/>
      </c>
      <c r="E10" s="37">
        <f>IFERROR(INDEX(T_TRANSPORT_CONFIGURATION_LINE[QUANTITY_PER_TRANSPORT_UNIT],[@ROW_INDEX]),"")</f>
        <v/>
      </c>
      <c r="F10" s="37">
        <f>IF([@COMPONENT_ID]="","",IFERROR(INDEX(T_COMPONENT[WEIGHT_G],MATCH([@COMPONENT_ID],T_COMPONENT[COMPONENT_ID],0)),""))</f>
        <v/>
      </c>
      <c r="G10" s="37">
        <f>IF(OR([@QUANTITY_PER_TRANSPORT_UNIT]="",[@UNIT_WEIGHT_G]=""),"",[@QUANTITY_PER_TRANSPORT_UNIT]*[@UNIT_WEIGHT_G])</f>
        <v/>
      </c>
    </row>
    <row r="11">
      <c r="A11" s="37" t="n">
        <v>10</v>
      </c>
      <c r="B11" s="37">
        <f>IFERROR(INDEX(T_TRANSPORT_CONFIGURATION_LINE[TRANSPORT_CONFIGURATION_LINE_ID],[@ROW_INDEX]),"")</f>
        <v/>
      </c>
      <c r="C11" s="37">
        <f>IFERROR(INDEX(T_TRANSPORT_CONFIGURATION_LINE[TRANSPORT_CONFIGURATION_ID],[@ROW_INDEX]),"")</f>
        <v/>
      </c>
      <c r="D11" s="37">
        <f>IFERROR(INDEX(T_TRANSPORT_CONFIGURATION_LINE[COMPONENT_ID],[@ROW_INDEX]),"")</f>
        <v/>
      </c>
      <c r="E11" s="37">
        <f>IFERROR(INDEX(T_TRANSPORT_CONFIGURATION_LINE[QUANTITY_PER_TRANSPORT_UNIT],[@ROW_INDEX]),"")</f>
        <v/>
      </c>
      <c r="F11" s="37">
        <f>IF([@COMPONENT_ID]="","",IFERROR(INDEX(T_COMPONENT[WEIGHT_G],MATCH([@COMPONENT_ID],T_COMPONENT[COMPONENT_ID],0)),""))</f>
        <v/>
      </c>
      <c r="G11" s="37">
        <f>IF(OR([@QUANTITY_PER_TRANSPORT_UNIT]="",[@UNIT_WEIGHT_G]=""),"",[@QUANTITY_PER_TRANSPORT_UNIT]*[@UNIT_WEIGHT_G])</f>
        <v/>
      </c>
    </row>
    <row r="12">
      <c r="A12" s="37" t="n">
        <v>11</v>
      </c>
      <c r="B12" s="37">
        <f>IFERROR(INDEX(T_TRANSPORT_CONFIGURATION_LINE[TRANSPORT_CONFIGURATION_LINE_ID],[@ROW_INDEX]),"")</f>
        <v/>
      </c>
      <c r="C12" s="37">
        <f>IFERROR(INDEX(T_TRANSPORT_CONFIGURATION_LINE[TRANSPORT_CONFIGURATION_ID],[@ROW_INDEX]),"")</f>
        <v/>
      </c>
      <c r="D12" s="37">
        <f>IFERROR(INDEX(T_TRANSPORT_CONFIGURATION_LINE[COMPONENT_ID],[@ROW_INDEX]),"")</f>
        <v/>
      </c>
      <c r="E12" s="37">
        <f>IFERROR(INDEX(T_TRANSPORT_CONFIGURATION_LINE[QUANTITY_PER_TRANSPORT_UNIT],[@ROW_INDEX]),"")</f>
        <v/>
      </c>
      <c r="F12" s="37">
        <f>IF([@COMPONENT_ID]="","",IFERROR(INDEX(T_COMPONENT[WEIGHT_G],MATCH([@COMPONENT_ID],T_COMPONENT[COMPONENT_ID],0)),""))</f>
        <v/>
      </c>
      <c r="G12" s="37">
        <f>IF(OR([@QUANTITY_PER_TRANSPORT_UNIT]="",[@UNIT_WEIGHT_G]=""),"",[@QUANTITY_PER_TRANSPORT_UNIT]*[@UNIT_WEIGHT_G])</f>
        <v/>
      </c>
    </row>
    <row r="13">
      <c r="A13" s="37" t="n">
        <v>12</v>
      </c>
      <c r="B13" s="37">
        <f>IFERROR(INDEX(T_TRANSPORT_CONFIGURATION_LINE[TRANSPORT_CONFIGURATION_LINE_ID],[@ROW_INDEX]),"")</f>
        <v/>
      </c>
      <c r="C13" s="37">
        <f>IFERROR(INDEX(T_TRANSPORT_CONFIGURATION_LINE[TRANSPORT_CONFIGURATION_ID],[@ROW_INDEX]),"")</f>
        <v/>
      </c>
      <c r="D13" s="37">
        <f>IFERROR(INDEX(T_TRANSPORT_CONFIGURATION_LINE[COMPONENT_ID],[@ROW_INDEX]),"")</f>
        <v/>
      </c>
      <c r="E13" s="37">
        <f>IFERROR(INDEX(T_TRANSPORT_CONFIGURATION_LINE[QUANTITY_PER_TRANSPORT_UNIT],[@ROW_INDEX]),"")</f>
        <v/>
      </c>
      <c r="F13" s="37">
        <f>IF([@COMPONENT_ID]="","",IFERROR(INDEX(T_COMPONENT[WEIGHT_G],MATCH([@COMPONENT_ID],T_COMPONENT[COMPONENT_ID],0)),""))</f>
        <v/>
      </c>
      <c r="G13" s="37">
        <f>IF(OR([@QUANTITY_PER_TRANSPORT_UNIT]="",[@UNIT_WEIGHT_G]=""),"",[@QUANTITY_PER_TRANSPORT_UNIT]*[@UNIT_WEIGHT_G])</f>
        <v/>
      </c>
    </row>
    <row r="14">
      <c r="A14" s="37" t="n">
        <v>13</v>
      </c>
      <c r="B14" s="37">
        <f>IFERROR(INDEX(T_TRANSPORT_CONFIGURATION_LINE[TRANSPORT_CONFIGURATION_LINE_ID],[@ROW_INDEX]),"")</f>
        <v/>
      </c>
      <c r="C14" s="37">
        <f>IFERROR(INDEX(T_TRANSPORT_CONFIGURATION_LINE[TRANSPORT_CONFIGURATION_ID],[@ROW_INDEX]),"")</f>
        <v/>
      </c>
      <c r="D14" s="37">
        <f>IFERROR(INDEX(T_TRANSPORT_CONFIGURATION_LINE[COMPONENT_ID],[@ROW_INDEX]),"")</f>
        <v/>
      </c>
      <c r="E14" s="37">
        <f>IFERROR(INDEX(T_TRANSPORT_CONFIGURATION_LINE[QUANTITY_PER_TRANSPORT_UNIT],[@ROW_INDEX]),"")</f>
        <v/>
      </c>
      <c r="F14" s="37">
        <f>IF([@COMPONENT_ID]="","",IFERROR(INDEX(T_COMPONENT[WEIGHT_G],MATCH([@COMPONENT_ID],T_COMPONENT[COMPONENT_ID],0)),""))</f>
        <v/>
      </c>
      <c r="G14" s="37">
        <f>IF(OR([@QUANTITY_PER_TRANSPORT_UNIT]="",[@UNIT_WEIGHT_G]=""),"",[@QUANTITY_PER_TRANSPORT_UNIT]*[@UNIT_WEIGHT_G])</f>
        <v/>
      </c>
    </row>
    <row r="15">
      <c r="A15" s="37" t="n">
        <v>14</v>
      </c>
      <c r="B15" s="37">
        <f>IFERROR(INDEX(T_TRANSPORT_CONFIGURATION_LINE[TRANSPORT_CONFIGURATION_LINE_ID],[@ROW_INDEX]),"")</f>
        <v/>
      </c>
      <c r="C15" s="37">
        <f>IFERROR(INDEX(T_TRANSPORT_CONFIGURATION_LINE[TRANSPORT_CONFIGURATION_ID],[@ROW_INDEX]),"")</f>
        <v/>
      </c>
      <c r="D15" s="37">
        <f>IFERROR(INDEX(T_TRANSPORT_CONFIGURATION_LINE[COMPONENT_ID],[@ROW_INDEX]),"")</f>
        <v/>
      </c>
      <c r="E15" s="37">
        <f>IFERROR(INDEX(T_TRANSPORT_CONFIGURATION_LINE[QUANTITY_PER_TRANSPORT_UNIT],[@ROW_INDEX]),"")</f>
        <v/>
      </c>
      <c r="F15" s="37">
        <f>IF([@COMPONENT_ID]="","",IFERROR(INDEX(T_COMPONENT[WEIGHT_G],MATCH([@COMPONENT_ID],T_COMPONENT[COMPONENT_ID],0)),""))</f>
        <v/>
      </c>
      <c r="G15" s="37">
        <f>IF(OR([@QUANTITY_PER_TRANSPORT_UNIT]="",[@UNIT_WEIGHT_G]=""),"",[@QUANTITY_PER_TRANSPORT_UNIT]*[@UNIT_WEIGHT_G])</f>
        <v/>
      </c>
    </row>
    <row r="16">
      <c r="A16" s="37" t="n">
        <v>15</v>
      </c>
      <c r="B16" s="37">
        <f>IFERROR(INDEX(T_TRANSPORT_CONFIGURATION_LINE[TRANSPORT_CONFIGURATION_LINE_ID],[@ROW_INDEX]),"")</f>
        <v/>
      </c>
      <c r="C16" s="37">
        <f>IFERROR(INDEX(T_TRANSPORT_CONFIGURATION_LINE[TRANSPORT_CONFIGURATION_ID],[@ROW_INDEX]),"")</f>
        <v/>
      </c>
      <c r="D16" s="37">
        <f>IFERROR(INDEX(T_TRANSPORT_CONFIGURATION_LINE[COMPONENT_ID],[@ROW_INDEX]),"")</f>
        <v/>
      </c>
      <c r="E16" s="37">
        <f>IFERROR(INDEX(T_TRANSPORT_CONFIGURATION_LINE[QUANTITY_PER_TRANSPORT_UNIT],[@ROW_INDEX]),"")</f>
        <v/>
      </c>
      <c r="F16" s="37">
        <f>IF([@COMPONENT_ID]="","",IFERROR(INDEX(T_COMPONENT[WEIGHT_G],MATCH([@COMPONENT_ID],T_COMPONENT[COMPONENT_ID],0)),""))</f>
        <v/>
      </c>
      <c r="G16" s="37">
        <f>IF(OR([@QUANTITY_PER_TRANSPORT_UNIT]="",[@UNIT_WEIGHT_G]=""),"",[@QUANTITY_PER_TRANSPORT_UNIT]*[@UNIT_WEIGHT_G])</f>
        <v/>
      </c>
    </row>
    <row r="17">
      <c r="A17" s="37" t="n">
        <v>16</v>
      </c>
      <c r="B17" s="37">
        <f>IFERROR(INDEX(T_TRANSPORT_CONFIGURATION_LINE[TRANSPORT_CONFIGURATION_LINE_ID],[@ROW_INDEX]),"")</f>
        <v/>
      </c>
      <c r="C17" s="37">
        <f>IFERROR(INDEX(T_TRANSPORT_CONFIGURATION_LINE[TRANSPORT_CONFIGURATION_ID],[@ROW_INDEX]),"")</f>
        <v/>
      </c>
      <c r="D17" s="37">
        <f>IFERROR(INDEX(T_TRANSPORT_CONFIGURATION_LINE[COMPONENT_ID],[@ROW_INDEX]),"")</f>
        <v/>
      </c>
      <c r="E17" s="37">
        <f>IFERROR(INDEX(T_TRANSPORT_CONFIGURATION_LINE[QUANTITY_PER_TRANSPORT_UNIT],[@ROW_INDEX]),"")</f>
        <v/>
      </c>
      <c r="F17" s="37">
        <f>IF([@COMPONENT_ID]="","",IFERROR(INDEX(T_COMPONENT[WEIGHT_G],MATCH([@COMPONENT_ID],T_COMPONENT[COMPONENT_ID],0)),""))</f>
        <v/>
      </c>
      <c r="G17" s="37">
        <f>IF(OR([@QUANTITY_PER_TRANSPORT_UNIT]="",[@UNIT_WEIGHT_G]=""),"",[@QUANTITY_PER_TRANSPORT_UNIT]*[@UNIT_WEIGHT_G])</f>
        <v/>
      </c>
    </row>
    <row r="18">
      <c r="A18" s="37" t="n">
        <v>17</v>
      </c>
      <c r="B18" s="37">
        <f>IFERROR(INDEX(T_TRANSPORT_CONFIGURATION_LINE[TRANSPORT_CONFIGURATION_LINE_ID],[@ROW_INDEX]),"")</f>
        <v/>
      </c>
      <c r="C18" s="37">
        <f>IFERROR(INDEX(T_TRANSPORT_CONFIGURATION_LINE[TRANSPORT_CONFIGURATION_ID],[@ROW_INDEX]),"")</f>
        <v/>
      </c>
      <c r="D18" s="37">
        <f>IFERROR(INDEX(T_TRANSPORT_CONFIGURATION_LINE[COMPONENT_ID],[@ROW_INDEX]),"")</f>
        <v/>
      </c>
      <c r="E18" s="37">
        <f>IFERROR(INDEX(T_TRANSPORT_CONFIGURATION_LINE[QUANTITY_PER_TRANSPORT_UNIT],[@ROW_INDEX]),"")</f>
        <v/>
      </c>
      <c r="F18" s="37">
        <f>IF([@COMPONENT_ID]="","",IFERROR(INDEX(T_COMPONENT[WEIGHT_G],MATCH([@COMPONENT_ID],T_COMPONENT[COMPONENT_ID],0)),""))</f>
        <v/>
      </c>
      <c r="G18" s="37">
        <f>IF(OR([@QUANTITY_PER_TRANSPORT_UNIT]="",[@UNIT_WEIGHT_G]=""),"",[@QUANTITY_PER_TRANSPORT_UNIT]*[@UNIT_WEIGHT_G])</f>
        <v/>
      </c>
    </row>
    <row r="19">
      <c r="A19" s="37" t="n">
        <v>18</v>
      </c>
      <c r="B19" s="37">
        <f>IFERROR(INDEX(T_TRANSPORT_CONFIGURATION_LINE[TRANSPORT_CONFIGURATION_LINE_ID],[@ROW_INDEX]),"")</f>
        <v/>
      </c>
      <c r="C19" s="37">
        <f>IFERROR(INDEX(T_TRANSPORT_CONFIGURATION_LINE[TRANSPORT_CONFIGURATION_ID],[@ROW_INDEX]),"")</f>
        <v/>
      </c>
      <c r="D19" s="37">
        <f>IFERROR(INDEX(T_TRANSPORT_CONFIGURATION_LINE[COMPONENT_ID],[@ROW_INDEX]),"")</f>
        <v/>
      </c>
      <c r="E19" s="37">
        <f>IFERROR(INDEX(T_TRANSPORT_CONFIGURATION_LINE[QUANTITY_PER_TRANSPORT_UNIT],[@ROW_INDEX]),"")</f>
        <v/>
      </c>
      <c r="F19" s="37">
        <f>IF([@COMPONENT_ID]="","",IFERROR(INDEX(T_COMPONENT[WEIGHT_G],MATCH([@COMPONENT_ID],T_COMPONENT[COMPONENT_ID],0)),""))</f>
        <v/>
      </c>
      <c r="G19" s="37">
        <f>IF(OR([@QUANTITY_PER_TRANSPORT_UNIT]="",[@UNIT_WEIGHT_G]=""),"",[@QUANTITY_PER_TRANSPORT_UNIT]*[@UNIT_WEIGHT_G])</f>
        <v/>
      </c>
    </row>
    <row r="20">
      <c r="A20" s="37" t="n">
        <v>19</v>
      </c>
      <c r="B20" s="37">
        <f>IFERROR(INDEX(T_TRANSPORT_CONFIGURATION_LINE[TRANSPORT_CONFIGURATION_LINE_ID],[@ROW_INDEX]),"")</f>
        <v/>
      </c>
      <c r="C20" s="37">
        <f>IFERROR(INDEX(T_TRANSPORT_CONFIGURATION_LINE[TRANSPORT_CONFIGURATION_ID],[@ROW_INDEX]),"")</f>
        <v/>
      </c>
      <c r="D20" s="37">
        <f>IFERROR(INDEX(T_TRANSPORT_CONFIGURATION_LINE[COMPONENT_ID],[@ROW_INDEX]),"")</f>
        <v/>
      </c>
      <c r="E20" s="37">
        <f>IFERROR(INDEX(T_TRANSPORT_CONFIGURATION_LINE[QUANTITY_PER_TRANSPORT_UNIT],[@ROW_INDEX]),"")</f>
        <v/>
      </c>
      <c r="F20" s="37">
        <f>IF([@COMPONENT_ID]="","",IFERROR(INDEX(T_COMPONENT[WEIGHT_G],MATCH([@COMPONENT_ID],T_COMPONENT[COMPONENT_ID],0)),""))</f>
        <v/>
      </c>
      <c r="G20" s="37">
        <f>IF(OR([@QUANTITY_PER_TRANSPORT_UNIT]="",[@UNIT_WEIGHT_G]=""),"",[@QUANTITY_PER_TRANSPORT_UNIT]*[@UNIT_WEIGHT_G])</f>
        <v/>
      </c>
    </row>
    <row r="21">
      <c r="A21" s="37" t="n">
        <v>20</v>
      </c>
      <c r="B21" s="37">
        <f>IFERROR(INDEX(T_TRANSPORT_CONFIGURATION_LINE[TRANSPORT_CONFIGURATION_LINE_ID],[@ROW_INDEX]),"")</f>
        <v/>
      </c>
      <c r="C21" s="37">
        <f>IFERROR(INDEX(T_TRANSPORT_CONFIGURATION_LINE[TRANSPORT_CONFIGURATION_ID],[@ROW_INDEX]),"")</f>
        <v/>
      </c>
      <c r="D21" s="37">
        <f>IFERROR(INDEX(T_TRANSPORT_CONFIGURATION_LINE[COMPONENT_ID],[@ROW_INDEX]),"")</f>
        <v/>
      </c>
      <c r="E21" s="37">
        <f>IFERROR(INDEX(T_TRANSPORT_CONFIGURATION_LINE[QUANTITY_PER_TRANSPORT_UNIT],[@ROW_INDEX]),"")</f>
        <v/>
      </c>
      <c r="F21" s="37">
        <f>IF([@COMPONENT_ID]="","",IFERROR(INDEX(T_COMPONENT[WEIGHT_G],MATCH([@COMPONENT_ID],T_COMPONENT[COMPONENT_ID],0)),""))</f>
        <v/>
      </c>
      <c r="G21" s="37">
        <f>IF(OR([@QUANTITY_PER_TRANSPORT_UNIT]="",[@UNIT_WEIGHT_G]=""),"",[@QUANTITY_PER_TRANSPORT_UNIT]*[@UNIT_WEIGHT_G])</f>
        <v/>
      </c>
    </row>
    <row r="22">
      <c r="A22" s="37" t="n">
        <v>21</v>
      </c>
      <c r="B22" s="37">
        <f>IFERROR(INDEX(T_TRANSPORT_CONFIGURATION_LINE[TRANSPORT_CONFIGURATION_LINE_ID],[@ROW_INDEX]),"")</f>
        <v/>
      </c>
      <c r="C22" s="37">
        <f>IFERROR(INDEX(T_TRANSPORT_CONFIGURATION_LINE[TRANSPORT_CONFIGURATION_ID],[@ROW_INDEX]),"")</f>
        <v/>
      </c>
      <c r="D22" s="37">
        <f>IFERROR(INDEX(T_TRANSPORT_CONFIGURATION_LINE[COMPONENT_ID],[@ROW_INDEX]),"")</f>
        <v/>
      </c>
      <c r="E22" s="37">
        <f>IFERROR(INDEX(T_TRANSPORT_CONFIGURATION_LINE[QUANTITY_PER_TRANSPORT_UNIT],[@ROW_INDEX]),"")</f>
        <v/>
      </c>
      <c r="F22" s="37">
        <f>IF([@COMPONENT_ID]="","",IFERROR(INDEX(T_COMPONENT[WEIGHT_G],MATCH([@COMPONENT_ID],T_COMPONENT[COMPONENT_ID],0)),""))</f>
        <v/>
      </c>
      <c r="G22" s="37">
        <f>IF(OR([@QUANTITY_PER_TRANSPORT_UNIT]="",[@UNIT_WEIGHT_G]=""),"",[@QUANTITY_PER_TRANSPORT_UNIT]*[@UNIT_WEIGHT_G])</f>
        <v/>
      </c>
    </row>
    <row r="23">
      <c r="A23" s="37" t="n">
        <v>22</v>
      </c>
      <c r="B23" s="37">
        <f>IFERROR(INDEX(T_TRANSPORT_CONFIGURATION_LINE[TRANSPORT_CONFIGURATION_LINE_ID],[@ROW_INDEX]),"")</f>
        <v/>
      </c>
      <c r="C23" s="37">
        <f>IFERROR(INDEX(T_TRANSPORT_CONFIGURATION_LINE[TRANSPORT_CONFIGURATION_ID],[@ROW_INDEX]),"")</f>
        <v/>
      </c>
      <c r="D23" s="37">
        <f>IFERROR(INDEX(T_TRANSPORT_CONFIGURATION_LINE[COMPONENT_ID],[@ROW_INDEX]),"")</f>
        <v/>
      </c>
      <c r="E23" s="37">
        <f>IFERROR(INDEX(T_TRANSPORT_CONFIGURATION_LINE[QUANTITY_PER_TRANSPORT_UNIT],[@ROW_INDEX]),"")</f>
        <v/>
      </c>
      <c r="F23" s="37">
        <f>IF([@COMPONENT_ID]="","",IFERROR(INDEX(T_COMPONENT[WEIGHT_G],MATCH([@COMPONENT_ID],T_COMPONENT[COMPONENT_ID],0)),""))</f>
        <v/>
      </c>
      <c r="G23" s="37">
        <f>IF(OR([@QUANTITY_PER_TRANSPORT_UNIT]="",[@UNIT_WEIGHT_G]=""),"",[@QUANTITY_PER_TRANSPORT_UNIT]*[@UNIT_WEIGHT_G])</f>
        <v/>
      </c>
    </row>
    <row r="24">
      <c r="A24" s="37" t="n">
        <v>23</v>
      </c>
      <c r="B24" s="37">
        <f>IFERROR(INDEX(T_TRANSPORT_CONFIGURATION_LINE[TRANSPORT_CONFIGURATION_LINE_ID],[@ROW_INDEX]),"")</f>
        <v/>
      </c>
      <c r="C24" s="37">
        <f>IFERROR(INDEX(T_TRANSPORT_CONFIGURATION_LINE[TRANSPORT_CONFIGURATION_ID],[@ROW_INDEX]),"")</f>
        <v/>
      </c>
      <c r="D24" s="37">
        <f>IFERROR(INDEX(T_TRANSPORT_CONFIGURATION_LINE[COMPONENT_ID],[@ROW_INDEX]),"")</f>
        <v/>
      </c>
      <c r="E24" s="37">
        <f>IFERROR(INDEX(T_TRANSPORT_CONFIGURATION_LINE[QUANTITY_PER_TRANSPORT_UNIT],[@ROW_INDEX]),"")</f>
        <v/>
      </c>
      <c r="F24" s="37">
        <f>IF([@COMPONENT_ID]="","",IFERROR(INDEX(T_COMPONENT[WEIGHT_G],MATCH([@COMPONENT_ID],T_COMPONENT[COMPONENT_ID],0)),""))</f>
        <v/>
      </c>
      <c r="G24" s="37">
        <f>IF(OR([@QUANTITY_PER_TRANSPORT_UNIT]="",[@UNIT_WEIGHT_G]=""),"",[@QUANTITY_PER_TRANSPORT_UNIT]*[@UNIT_WEIGHT_G])</f>
        <v/>
      </c>
    </row>
    <row r="25">
      <c r="A25" s="37" t="n">
        <v>24</v>
      </c>
      <c r="B25" s="37">
        <f>IFERROR(INDEX(T_TRANSPORT_CONFIGURATION_LINE[TRANSPORT_CONFIGURATION_LINE_ID],[@ROW_INDEX]),"")</f>
        <v/>
      </c>
      <c r="C25" s="37">
        <f>IFERROR(INDEX(T_TRANSPORT_CONFIGURATION_LINE[TRANSPORT_CONFIGURATION_ID],[@ROW_INDEX]),"")</f>
        <v/>
      </c>
      <c r="D25" s="37">
        <f>IFERROR(INDEX(T_TRANSPORT_CONFIGURATION_LINE[COMPONENT_ID],[@ROW_INDEX]),"")</f>
        <v/>
      </c>
      <c r="E25" s="37">
        <f>IFERROR(INDEX(T_TRANSPORT_CONFIGURATION_LINE[QUANTITY_PER_TRANSPORT_UNIT],[@ROW_INDEX]),"")</f>
        <v/>
      </c>
      <c r="F25" s="37">
        <f>IF([@COMPONENT_ID]="","",IFERROR(INDEX(T_COMPONENT[WEIGHT_G],MATCH([@COMPONENT_ID],T_COMPONENT[COMPONENT_ID],0)),""))</f>
        <v/>
      </c>
      <c r="G25" s="37">
        <f>IF(OR([@QUANTITY_PER_TRANSPORT_UNIT]="",[@UNIT_WEIGHT_G]=""),"",[@QUANTITY_PER_TRANSPORT_UNIT]*[@UNIT_WEIGHT_G])</f>
        <v/>
      </c>
    </row>
    <row r="26">
      <c r="A26" s="37" t="n">
        <v>25</v>
      </c>
      <c r="B26" s="37">
        <f>IFERROR(INDEX(T_TRANSPORT_CONFIGURATION_LINE[TRANSPORT_CONFIGURATION_LINE_ID],[@ROW_INDEX]),"")</f>
        <v/>
      </c>
      <c r="C26" s="37">
        <f>IFERROR(INDEX(T_TRANSPORT_CONFIGURATION_LINE[TRANSPORT_CONFIGURATION_ID],[@ROW_INDEX]),"")</f>
        <v/>
      </c>
      <c r="D26" s="37">
        <f>IFERROR(INDEX(T_TRANSPORT_CONFIGURATION_LINE[COMPONENT_ID],[@ROW_INDEX]),"")</f>
        <v/>
      </c>
      <c r="E26" s="37">
        <f>IFERROR(INDEX(T_TRANSPORT_CONFIGURATION_LINE[QUANTITY_PER_TRANSPORT_UNIT],[@ROW_INDEX]),"")</f>
        <v/>
      </c>
      <c r="F26" s="37">
        <f>IF([@COMPONENT_ID]="","",IFERROR(INDEX(T_COMPONENT[WEIGHT_G],MATCH([@COMPONENT_ID],T_COMPONENT[COMPONENT_ID],0)),""))</f>
        <v/>
      </c>
      <c r="G26" s="37">
        <f>IF(OR([@QUANTITY_PER_TRANSPORT_UNIT]="",[@UNIT_WEIGHT_G]=""),"",[@QUANTITY_PER_TRANSPORT_UNIT]*[@UNIT_WEIGHT_G])</f>
        <v/>
      </c>
    </row>
    <row r="27">
      <c r="A27" s="37" t="n">
        <v>26</v>
      </c>
      <c r="B27" s="37">
        <f>IFERROR(INDEX(T_TRANSPORT_CONFIGURATION_LINE[TRANSPORT_CONFIGURATION_LINE_ID],[@ROW_INDEX]),"")</f>
        <v/>
      </c>
      <c r="C27" s="37">
        <f>IFERROR(INDEX(T_TRANSPORT_CONFIGURATION_LINE[TRANSPORT_CONFIGURATION_ID],[@ROW_INDEX]),"")</f>
        <v/>
      </c>
      <c r="D27" s="37">
        <f>IFERROR(INDEX(T_TRANSPORT_CONFIGURATION_LINE[COMPONENT_ID],[@ROW_INDEX]),"")</f>
        <v/>
      </c>
      <c r="E27" s="37">
        <f>IFERROR(INDEX(T_TRANSPORT_CONFIGURATION_LINE[QUANTITY_PER_TRANSPORT_UNIT],[@ROW_INDEX]),"")</f>
        <v/>
      </c>
      <c r="F27" s="37">
        <f>IF([@COMPONENT_ID]="","",IFERROR(INDEX(T_COMPONENT[WEIGHT_G],MATCH([@COMPONENT_ID],T_COMPONENT[COMPONENT_ID],0)),""))</f>
        <v/>
      </c>
      <c r="G27" s="37">
        <f>IF(OR([@QUANTITY_PER_TRANSPORT_UNIT]="",[@UNIT_WEIGHT_G]=""),"",[@QUANTITY_PER_TRANSPORT_UNIT]*[@UNIT_WEIGHT_G])</f>
        <v/>
      </c>
    </row>
    <row r="28">
      <c r="A28" s="37" t="n">
        <v>27</v>
      </c>
      <c r="B28" s="37">
        <f>IFERROR(INDEX(T_TRANSPORT_CONFIGURATION_LINE[TRANSPORT_CONFIGURATION_LINE_ID],[@ROW_INDEX]),"")</f>
        <v/>
      </c>
      <c r="C28" s="37">
        <f>IFERROR(INDEX(T_TRANSPORT_CONFIGURATION_LINE[TRANSPORT_CONFIGURATION_ID],[@ROW_INDEX]),"")</f>
        <v/>
      </c>
      <c r="D28" s="37">
        <f>IFERROR(INDEX(T_TRANSPORT_CONFIGURATION_LINE[COMPONENT_ID],[@ROW_INDEX]),"")</f>
        <v/>
      </c>
      <c r="E28" s="37">
        <f>IFERROR(INDEX(T_TRANSPORT_CONFIGURATION_LINE[QUANTITY_PER_TRANSPORT_UNIT],[@ROW_INDEX]),"")</f>
        <v/>
      </c>
      <c r="F28" s="37">
        <f>IF([@COMPONENT_ID]="","",IFERROR(INDEX(T_COMPONENT[WEIGHT_G],MATCH([@COMPONENT_ID],T_COMPONENT[COMPONENT_ID],0)),""))</f>
        <v/>
      </c>
      <c r="G28" s="37">
        <f>IF(OR([@QUANTITY_PER_TRANSPORT_UNIT]="",[@UNIT_WEIGHT_G]=""),"",[@QUANTITY_PER_TRANSPORT_UNIT]*[@UNIT_WEIGHT_G])</f>
        <v/>
      </c>
    </row>
    <row r="29">
      <c r="A29" s="37" t="n">
        <v>28</v>
      </c>
      <c r="B29" s="37">
        <f>IFERROR(INDEX(T_TRANSPORT_CONFIGURATION_LINE[TRANSPORT_CONFIGURATION_LINE_ID],[@ROW_INDEX]),"")</f>
        <v/>
      </c>
      <c r="C29" s="37">
        <f>IFERROR(INDEX(T_TRANSPORT_CONFIGURATION_LINE[TRANSPORT_CONFIGURATION_ID],[@ROW_INDEX]),"")</f>
        <v/>
      </c>
      <c r="D29" s="37">
        <f>IFERROR(INDEX(T_TRANSPORT_CONFIGURATION_LINE[COMPONENT_ID],[@ROW_INDEX]),"")</f>
        <v/>
      </c>
      <c r="E29" s="37">
        <f>IFERROR(INDEX(T_TRANSPORT_CONFIGURATION_LINE[QUANTITY_PER_TRANSPORT_UNIT],[@ROW_INDEX]),"")</f>
        <v/>
      </c>
      <c r="F29" s="37">
        <f>IF([@COMPONENT_ID]="","",IFERROR(INDEX(T_COMPONENT[WEIGHT_G],MATCH([@COMPONENT_ID],T_COMPONENT[COMPONENT_ID],0)),""))</f>
        <v/>
      </c>
      <c r="G29" s="37">
        <f>IF(OR([@QUANTITY_PER_TRANSPORT_UNIT]="",[@UNIT_WEIGHT_G]=""),"",[@QUANTITY_PER_TRANSPORT_UNIT]*[@UNIT_WEIGHT_G])</f>
        <v/>
      </c>
    </row>
    <row r="30">
      <c r="A30" s="37" t="n">
        <v>29</v>
      </c>
      <c r="B30" s="37">
        <f>IFERROR(INDEX(T_TRANSPORT_CONFIGURATION_LINE[TRANSPORT_CONFIGURATION_LINE_ID],[@ROW_INDEX]),"")</f>
        <v/>
      </c>
      <c r="C30" s="37">
        <f>IFERROR(INDEX(T_TRANSPORT_CONFIGURATION_LINE[TRANSPORT_CONFIGURATION_ID],[@ROW_INDEX]),"")</f>
        <v/>
      </c>
      <c r="D30" s="37">
        <f>IFERROR(INDEX(T_TRANSPORT_CONFIGURATION_LINE[COMPONENT_ID],[@ROW_INDEX]),"")</f>
        <v/>
      </c>
      <c r="E30" s="37">
        <f>IFERROR(INDEX(T_TRANSPORT_CONFIGURATION_LINE[QUANTITY_PER_TRANSPORT_UNIT],[@ROW_INDEX]),"")</f>
        <v/>
      </c>
      <c r="F30" s="37">
        <f>IF([@COMPONENT_ID]="","",IFERROR(INDEX(T_COMPONENT[WEIGHT_G],MATCH([@COMPONENT_ID],T_COMPONENT[COMPONENT_ID],0)),""))</f>
        <v/>
      </c>
      <c r="G30" s="37">
        <f>IF(OR([@QUANTITY_PER_TRANSPORT_UNIT]="",[@UNIT_WEIGHT_G]=""),"",[@QUANTITY_PER_TRANSPORT_UNIT]*[@UNIT_WEIGHT_G])</f>
        <v/>
      </c>
    </row>
    <row r="31">
      <c r="A31" s="37" t="n">
        <v>30</v>
      </c>
      <c r="B31" s="37">
        <f>IFERROR(INDEX(T_TRANSPORT_CONFIGURATION_LINE[TRANSPORT_CONFIGURATION_LINE_ID],[@ROW_INDEX]),"")</f>
        <v/>
      </c>
      <c r="C31" s="37">
        <f>IFERROR(INDEX(T_TRANSPORT_CONFIGURATION_LINE[TRANSPORT_CONFIGURATION_ID],[@ROW_INDEX]),"")</f>
        <v/>
      </c>
      <c r="D31" s="37">
        <f>IFERROR(INDEX(T_TRANSPORT_CONFIGURATION_LINE[COMPONENT_ID],[@ROW_INDEX]),"")</f>
        <v/>
      </c>
      <c r="E31" s="37">
        <f>IFERROR(INDEX(T_TRANSPORT_CONFIGURATION_LINE[QUANTITY_PER_TRANSPORT_UNIT],[@ROW_INDEX]),"")</f>
        <v/>
      </c>
      <c r="F31" s="37">
        <f>IF([@COMPONENT_ID]="","",IFERROR(INDEX(T_COMPONENT[WEIGHT_G],MATCH([@COMPONENT_ID],T_COMPONENT[COMPONENT_ID],0)),""))</f>
        <v/>
      </c>
      <c r="G31" s="37">
        <f>IF(OR([@QUANTITY_PER_TRANSPORT_UNIT]="",[@UNIT_WEIGHT_G]=""),"",[@QUANTITY_PER_TRANSPORT_UNIT]*[@UNIT_WEIGHT_G])</f>
        <v/>
      </c>
    </row>
    <row r="32">
      <c r="A32" s="37" t="n">
        <v>31</v>
      </c>
      <c r="B32" s="37">
        <f>IFERROR(INDEX(T_TRANSPORT_CONFIGURATION_LINE[TRANSPORT_CONFIGURATION_LINE_ID],[@ROW_INDEX]),"")</f>
        <v/>
      </c>
      <c r="C32" s="37">
        <f>IFERROR(INDEX(T_TRANSPORT_CONFIGURATION_LINE[TRANSPORT_CONFIGURATION_ID],[@ROW_INDEX]),"")</f>
        <v/>
      </c>
      <c r="D32" s="37">
        <f>IFERROR(INDEX(T_TRANSPORT_CONFIGURATION_LINE[COMPONENT_ID],[@ROW_INDEX]),"")</f>
        <v/>
      </c>
      <c r="E32" s="37">
        <f>IFERROR(INDEX(T_TRANSPORT_CONFIGURATION_LINE[QUANTITY_PER_TRANSPORT_UNIT],[@ROW_INDEX]),"")</f>
        <v/>
      </c>
      <c r="F32" s="37">
        <f>IF([@COMPONENT_ID]="","",IFERROR(INDEX(T_COMPONENT[WEIGHT_G],MATCH([@COMPONENT_ID],T_COMPONENT[COMPONENT_ID],0)),""))</f>
        <v/>
      </c>
      <c r="G32" s="37">
        <f>IF(OR([@QUANTITY_PER_TRANSPORT_UNIT]="",[@UNIT_WEIGHT_G]=""),"",[@QUANTITY_PER_TRANSPORT_UNIT]*[@UNIT_WEIGHT_G])</f>
        <v/>
      </c>
    </row>
    <row r="33">
      <c r="A33" s="37" t="n">
        <v>32</v>
      </c>
      <c r="B33" s="37">
        <f>IFERROR(INDEX(T_TRANSPORT_CONFIGURATION_LINE[TRANSPORT_CONFIGURATION_LINE_ID],[@ROW_INDEX]),"")</f>
        <v/>
      </c>
      <c r="C33" s="37">
        <f>IFERROR(INDEX(T_TRANSPORT_CONFIGURATION_LINE[TRANSPORT_CONFIGURATION_ID],[@ROW_INDEX]),"")</f>
        <v/>
      </c>
      <c r="D33" s="37">
        <f>IFERROR(INDEX(T_TRANSPORT_CONFIGURATION_LINE[COMPONENT_ID],[@ROW_INDEX]),"")</f>
        <v/>
      </c>
      <c r="E33" s="37">
        <f>IFERROR(INDEX(T_TRANSPORT_CONFIGURATION_LINE[QUANTITY_PER_TRANSPORT_UNIT],[@ROW_INDEX]),"")</f>
        <v/>
      </c>
      <c r="F33" s="37">
        <f>IF([@COMPONENT_ID]="","",IFERROR(INDEX(T_COMPONENT[WEIGHT_G],MATCH([@COMPONENT_ID],T_COMPONENT[COMPONENT_ID],0)),""))</f>
        <v/>
      </c>
      <c r="G33" s="37">
        <f>IF(OR([@QUANTITY_PER_TRANSPORT_UNIT]="",[@UNIT_WEIGHT_G]=""),"",[@QUANTITY_PER_TRANSPORT_UNIT]*[@UNIT_WEIGHT_G])</f>
        <v/>
      </c>
    </row>
    <row r="34">
      <c r="A34" s="37" t="n">
        <v>33</v>
      </c>
      <c r="B34" s="37">
        <f>IFERROR(INDEX(T_TRANSPORT_CONFIGURATION_LINE[TRANSPORT_CONFIGURATION_LINE_ID],[@ROW_INDEX]),"")</f>
        <v/>
      </c>
      <c r="C34" s="37">
        <f>IFERROR(INDEX(T_TRANSPORT_CONFIGURATION_LINE[TRANSPORT_CONFIGURATION_ID],[@ROW_INDEX]),"")</f>
        <v/>
      </c>
      <c r="D34" s="37">
        <f>IFERROR(INDEX(T_TRANSPORT_CONFIGURATION_LINE[COMPONENT_ID],[@ROW_INDEX]),"")</f>
        <v/>
      </c>
      <c r="E34" s="37">
        <f>IFERROR(INDEX(T_TRANSPORT_CONFIGURATION_LINE[QUANTITY_PER_TRANSPORT_UNIT],[@ROW_INDEX]),"")</f>
        <v/>
      </c>
      <c r="F34" s="37">
        <f>IF([@COMPONENT_ID]="","",IFERROR(INDEX(T_COMPONENT[WEIGHT_G],MATCH([@COMPONENT_ID],T_COMPONENT[COMPONENT_ID],0)),""))</f>
        <v/>
      </c>
      <c r="G34" s="37">
        <f>IF(OR([@QUANTITY_PER_TRANSPORT_UNIT]="",[@UNIT_WEIGHT_G]=""),"",[@QUANTITY_PER_TRANSPORT_UNIT]*[@UNIT_WEIGHT_G])</f>
        <v/>
      </c>
    </row>
    <row r="35">
      <c r="A35" s="37" t="n">
        <v>34</v>
      </c>
      <c r="B35" s="37">
        <f>IFERROR(INDEX(T_TRANSPORT_CONFIGURATION_LINE[TRANSPORT_CONFIGURATION_LINE_ID],[@ROW_INDEX]),"")</f>
        <v/>
      </c>
      <c r="C35" s="37">
        <f>IFERROR(INDEX(T_TRANSPORT_CONFIGURATION_LINE[TRANSPORT_CONFIGURATION_ID],[@ROW_INDEX]),"")</f>
        <v/>
      </c>
      <c r="D35" s="37">
        <f>IFERROR(INDEX(T_TRANSPORT_CONFIGURATION_LINE[COMPONENT_ID],[@ROW_INDEX]),"")</f>
        <v/>
      </c>
      <c r="E35" s="37">
        <f>IFERROR(INDEX(T_TRANSPORT_CONFIGURATION_LINE[QUANTITY_PER_TRANSPORT_UNIT],[@ROW_INDEX]),"")</f>
        <v/>
      </c>
      <c r="F35" s="37">
        <f>IF([@COMPONENT_ID]="","",IFERROR(INDEX(T_COMPONENT[WEIGHT_G],MATCH([@COMPONENT_ID],T_COMPONENT[COMPONENT_ID],0)),""))</f>
        <v/>
      </c>
      <c r="G35" s="37">
        <f>IF(OR([@QUANTITY_PER_TRANSPORT_UNIT]="",[@UNIT_WEIGHT_G]=""),"",[@QUANTITY_PER_TRANSPORT_UNIT]*[@UNIT_WEIGHT_G])</f>
        <v/>
      </c>
    </row>
    <row r="36">
      <c r="A36" s="37" t="n">
        <v>35</v>
      </c>
      <c r="B36" s="37">
        <f>IFERROR(INDEX(T_TRANSPORT_CONFIGURATION_LINE[TRANSPORT_CONFIGURATION_LINE_ID],[@ROW_INDEX]),"")</f>
        <v/>
      </c>
      <c r="C36" s="37">
        <f>IFERROR(INDEX(T_TRANSPORT_CONFIGURATION_LINE[TRANSPORT_CONFIGURATION_ID],[@ROW_INDEX]),"")</f>
        <v/>
      </c>
      <c r="D36" s="37">
        <f>IFERROR(INDEX(T_TRANSPORT_CONFIGURATION_LINE[COMPONENT_ID],[@ROW_INDEX]),"")</f>
        <v/>
      </c>
      <c r="E36" s="37">
        <f>IFERROR(INDEX(T_TRANSPORT_CONFIGURATION_LINE[QUANTITY_PER_TRANSPORT_UNIT],[@ROW_INDEX]),"")</f>
        <v/>
      </c>
      <c r="F36" s="37">
        <f>IF([@COMPONENT_ID]="","",IFERROR(INDEX(T_COMPONENT[WEIGHT_G],MATCH([@COMPONENT_ID],T_COMPONENT[COMPONENT_ID],0)),""))</f>
        <v/>
      </c>
      <c r="G36" s="37">
        <f>IF(OR([@QUANTITY_PER_TRANSPORT_UNIT]="",[@UNIT_WEIGHT_G]=""),"",[@QUANTITY_PER_TRANSPORT_UNIT]*[@UNIT_WEIGHT_G])</f>
        <v/>
      </c>
    </row>
    <row r="37">
      <c r="A37" s="37" t="n">
        <v>36</v>
      </c>
      <c r="B37" s="37">
        <f>IFERROR(INDEX(T_TRANSPORT_CONFIGURATION_LINE[TRANSPORT_CONFIGURATION_LINE_ID],[@ROW_INDEX]),"")</f>
        <v/>
      </c>
      <c r="C37" s="37">
        <f>IFERROR(INDEX(T_TRANSPORT_CONFIGURATION_LINE[TRANSPORT_CONFIGURATION_ID],[@ROW_INDEX]),"")</f>
        <v/>
      </c>
      <c r="D37" s="37">
        <f>IFERROR(INDEX(T_TRANSPORT_CONFIGURATION_LINE[COMPONENT_ID],[@ROW_INDEX]),"")</f>
        <v/>
      </c>
      <c r="E37" s="37">
        <f>IFERROR(INDEX(T_TRANSPORT_CONFIGURATION_LINE[QUANTITY_PER_TRANSPORT_UNIT],[@ROW_INDEX]),"")</f>
        <v/>
      </c>
      <c r="F37" s="37">
        <f>IF([@COMPONENT_ID]="","",IFERROR(INDEX(T_COMPONENT[WEIGHT_G],MATCH([@COMPONENT_ID],T_COMPONENT[COMPONENT_ID],0)),""))</f>
        <v/>
      </c>
      <c r="G37" s="37">
        <f>IF(OR([@QUANTITY_PER_TRANSPORT_UNIT]="",[@UNIT_WEIGHT_G]=""),"",[@QUANTITY_PER_TRANSPORT_UNIT]*[@UNIT_WEIGHT_G])</f>
        <v/>
      </c>
    </row>
    <row r="38">
      <c r="A38" s="37" t="n">
        <v>37</v>
      </c>
      <c r="B38" s="37">
        <f>IFERROR(INDEX(T_TRANSPORT_CONFIGURATION_LINE[TRANSPORT_CONFIGURATION_LINE_ID],[@ROW_INDEX]),"")</f>
        <v/>
      </c>
      <c r="C38" s="37">
        <f>IFERROR(INDEX(T_TRANSPORT_CONFIGURATION_LINE[TRANSPORT_CONFIGURATION_ID],[@ROW_INDEX]),"")</f>
        <v/>
      </c>
      <c r="D38" s="37">
        <f>IFERROR(INDEX(T_TRANSPORT_CONFIGURATION_LINE[COMPONENT_ID],[@ROW_INDEX]),"")</f>
        <v/>
      </c>
      <c r="E38" s="37">
        <f>IFERROR(INDEX(T_TRANSPORT_CONFIGURATION_LINE[QUANTITY_PER_TRANSPORT_UNIT],[@ROW_INDEX]),"")</f>
        <v/>
      </c>
      <c r="F38" s="37">
        <f>IF([@COMPONENT_ID]="","",IFERROR(INDEX(T_COMPONENT[WEIGHT_G],MATCH([@COMPONENT_ID],T_COMPONENT[COMPONENT_ID],0)),""))</f>
        <v/>
      </c>
      <c r="G38" s="37">
        <f>IF(OR([@QUANTITY_PER_TRANSPORT_UNIT]="",[@UNIT_WEIGHT_G]=""),"",[@QUANTITY_PER_TRANSPORT_UNIT]*[@UNIT_WEIGHT_G])</f>
        <v/>
      </c>
    </row>
    <row r="39">
      <c r="A39" s="37" t="n">
        <v>38</v>
      </c>
      <c r="B39" s="37">
        <f>IFERROR(INDEX(T_TRANSPORT_CONFIGURATION_LINE[TRANSPORT_CONFIGURATION_LINE_ID],[@ROW_INDEX]),"")</f>
        <v/>
      </c>
      <c r="C39" s="37">
        <f>IFERROR(INDEX(T_TRANSPORT_CONFIGURATION_LINE[TRANSPORT_CONFIGURATION_ID],[@ROW_INDEX]),"")</f>
        <v/>
      </c>
      <c r="D39" s="37">
        <f>IFERROR(INDEX(T_TRANSPORT_CONFIGURATION_LINE[COMPONENT_ID],[@ROW_INDEX]),"")</f>
        <v/>
      </c>
      <c r="E39" s="37">
        <f>IFERROR(INDEX(T_TRANSPORT_CONFIGURATION_LINE[QUANTITY_PER_TRANSPORT_UNIT],[@ROW_INDEX]),"")</f>
        <v/>
      </c>
      <c r="F39" s="37">
        <f>IF([@COMPONENT_ID]="","",IFERROR(INDEX(T_COMPONENT[WEIGHT_G],MATCH([@COMPONENT_ID],T_COMPONENT[COMPONENT_ID],0)),""))</f>
        <v/>
      </c>
      <c r="G39" s="37">
        <f>IF(OR([@QUANTITY_PER_TRANSPORT_UNIT]="",[@UNIT_WEIGHT_G]=""),"",[@QUANTITY_PER_TRANSPORT_UNIT]*[@UNIT_WEIGHT_G])</f>
        <v/>
      </c>
    </row>
    <row r="40">
      <c r="A40" s="37" t="n">
        <v>39</v>
      </c>
      <c r="B40" s="37">
        <f>IFERROR(INDEX(T_TRANSPORT_CONFIGURATION_LINE[TRANSPORT_CONFIGURATION_LINE_ID],[@ROW_INDEX]),"")</f>
        <v/>
      </c>
      <c r="C40" s="37">
        <f>IFERROR(INDEX(T_TRANSPORT_CONFIGURATION_LINE[TRANSPORT_CONFIGURATION_ID],[@ROW_INDEX]),"")</f>
        <v/>
      </c>
      <c r="D40" s="37">
        <f>IFERROR(INDEX(T_TRANSPORT_CONFIGURATION_LINE[COMPONENT_ID],[@ROW_INDEX]),"")</f>
        <v/>
      </c>
      <c r="E40" s="37">
        <f>IFERROR(INDEX(T_TRANSPORT_CONFIGURATION_LINE[QUANTITY_PER_TRANSPORT_UNIT],[@ROW_INDEX]),"")</f>
        <v/>
      </c>
      <c r="F40" s="37">
        <f>IF([@COMPONENT_ID]="","",IFERROR(INDEX(T_COMPONENT[WEIGHT_G],MATCH([@COMPONENT_ID],T_COMPONENT[COMPONENT_ID],0)),""))</f>
        <v/>
      </c>
      <c r="G40" s="37">
        <f>IF(OR([@QUANTITY_PER_TRANSPORT_UNIT]="",[@UNIT_WEIGHT_G]=""),"",[@QUANTITY_PER_TRANSPORT_UNIT]*[@UNIT_WEIGHT_G])</f>
        <v/>
      </c>
    </row>
    <row r="41">
      <c r="A41" s="37" t="n">
        <v>40</v>
      </c>
      <c r="B41" s="37">
        <f>IFERROR(INDEX(T_TRANSPORT_CONFIGURATION_LINE[TRANSPORT_CONFIGURATION_LINE_ID],[@ROW_INDEX]),"")</f>
        <v/>
      </c>
      <c r="C41" s="37">
        <f>IFERROR(INDEX(T_TRANSPORT_CONFIGURATION_LINE[TRANSPORT_CONFIGURATION_ID],[@ROW_INDEX]),"")</f>
        <v/>
      </c>
      <c r="D41" s="37">
        <f>IFERROR(INDEX(T_TRANSPORT_CONFIGURATION_LINE[COMPONENT_ID],[@ROW_INDEX]),"")</f>
        <v/>
      </c>
      <c r="E41" s="37">
        <f>IFERROR(INDEX(T_TRANSPORT_CONFIGURATION_LINE[QUANTITY_PER_TRANSPORT_UNIT],[@ROW_INDEX]),"")</f>
        <v/>
      </c>
      <c r="F41" s="37">
        <f>IF([@COMPONENT_ID]="","",IFERROR(INDEX(T_COMPONENT[WEIGHT_G],MATCH([@COMPONENT_ID],T_COMPONENT[COMPONENT_ID],0)),""))</f>
        <v/>
      </c>
      <c r="G41" s="37">
        <f>IF(OR([@QUANTITY_PER_TRANSPORT_UNIT]="",[@UNIT_WEIGHT_G]=""),"",[@QUANTITY_PER_TRANSPORT_UNIT]*[@UNIT_WEIGHT_G])</f>
        <v/>
      </c>
    </row>
    <row r="42">
      <c r="A42" s="37" t="n">
        <v>41</v>
      </c>
      <c r="B42" s="37">
        <f>IFERROR(INDEX(T_TRANSPORT_CONFIGURATION_LINE[TRANSPORT_CONFIGURATION_LINE_ID],[@ROW_INDEX]),"")</f>
        <v/>
      </c>
      <c r="C42" s="37">
        <f>IFERROR(INDEX(T_TRANSPORT_CONFIGURATION_LINE[TRANSPORT_CONFIGURATION_ID],[@ROW_INDEX]),"")</f>
        <v/>
      </c>
      <c r="D42" s="37">
        <f>IFERROR(INDEX(T_TRANSPORT_CONFIGURATION_LINE[COMPONENT_ID],[@ROW_INDEX]),"")</f>
        <v/>
      </c>
      <c r="E42" s="37">
        <f>IFERROR(INDEX(T_TRANSPORT_CONFIGURATION_LINE[QUANTITY_PER_TRANSPORT_UNIT],[@ROW_INDEX]),"")</f>
        <v/>
      </c>
      <c r="F42" s="37">
        <f>IF([@COMPONENT_ID]="","",IFERROR(INDEX(T_COMPONENT[WEIGHT_G],MATCH([@COMPONENT_ID],T_COMPONENT[COMPONENT_ID],0)),""))</f>
        <v/>
      </c>
      <c r="G42" s="37">
        <f>IF(OR([@QUANTITY_PER_TRANSPORT_UNIT]="",[@UNIT_WEIGHT_G]=""),"",[@QUANTITY_PER_TRANSPORT_UNIT]*[@UNIT_WEIGHT_G])</f>
        <v/>
      </c>
    </row>
    <row r="43">
      <c r="A43" s="37" t="n">
        <v>42</v>
      </c>
      <c r="B43" s="37">
        <f>IFERROR(INDEX(T_TRANSPORT_CONFIGURATION_LINE[TRANSPORT_CONFIGURATION_LINE_ID],[@ROW_INDEX]),"")</f>
        <v/>
      </c>
      <c r="C43" s="37">
        <f>IFERROR(INDEX(T_TRANSPORT_CONFIGURATION_LINE[TRANSPORT_CONFIGURATION_ID],[@ROW_INDEX]),"")</f>
        <v/>
      </c>
      <c r="D43" s="37">
        <f>IFERROR(INDEX(T_TRANSPORT_CONFIGURATION_LINE[COMPONENT_ID],[@ROW_INDEX]),"")</f>
        <v/>
      </c>
      <c r="E43" s="37">
        <f>IFERROR(INDEX(T_TRANSPORT_CONFIGURATION_LINE[QUANTITY_PER_TRANSPORT_UNIT],[@ROW_INDEX]),"")</f>
        <v/>
      </c>
      <c r="F43" s="37">
        <f>IF([@COMPONENT_ID]="","",IFERROR(INDEX(T_COMPONENT[WEIGHT_G],MATCH([@COMPONENT_ID],T_COMPONENT[COMPONENT_ID],0)),""))</f>
        <v/>
      </c>
      <c r="G43" s="37">
        <f>IF(OR([@QUANTITY_PER_TRANSPORT_UNIT]="",[@UNIT_WEIGHT_G]=""),"",[@QUANTITY_PER_TRANSPORT_UNIT]*[@UNIT_WEIGHT_G])</f>
        <v/>
      </c>
    </row>
    <row r="44">
      <c r="A44" s="37" t="n">
        <v>43</v>
      </c>
      <c r="B44" s="37">
        <f>IFERROR(INDEX(T_TRANSPORT_CONFIGURATION_LINE[TRANSPORT_CONFIGURATION_LINE_ID],[@ROW_INDEX]),"")</f>
        <v/>
      </c>
      <c r="C44" s="37">
        <f>IFERROR(INDEX(T_TRANSPORT_CONFIGURATION_LINE[TRANSPORT_CONFIGURATION_ID],[@ROW_INDEX]),"")</f>
        <v/>
      </c>
      <c r="D44" s="37">
        <f>IFERROR(INDEX(T_TRANSPORT_CONFIGURATION_LINE[COMPONENT_ID],[@ROW_INDEX]),"")</f>
        <v/>
      </c>
      <c r="E44" s="37">
        <f>IFERROR(INDEX(T_TRANSPORT_CONFIGURATION_LINE[QUANTITY_PER_TRANSPORT_UNIT],[@ROW_INDEX]),"")</f>
        <v/>
      </c>
      <c r="F44" s="37">
        <f>IF([@COMPONENT_ID]="","",IFERROR(INDEX(T_COMPONENT[WEIGHT_G],MATCH([@COMPONENT_ID],T_COMPONENT[COMPONENT_ID],0)),""))</f>
        <v/>
      </c>
      <c r="G44" s="37">
        <f>IF(OR([@QUANTITY_PER_TRANSPORT_UNIT]="",[@UNIT_WEIGHT_G]=""),"",[@QUANTITY_PER_TRANSPORT_UNIT]*[@UNIT_WEIGHT_G])</f>
        <v/>
      </c>
    </row>
    <row r="45">
      <c r="A45" s="37" t="n">
        <v>44</v>
      </c>
      <c r="B45" s="37">
        <f>IFERROR(INDEX(T_TRANSPORT_CONFIGURATION_LINE[TRANSPORT_CONFIGURATION_LINE_ID],[@ROW_INDEX]),"")</f>
        <v/>
      </c>
      <c r="C45" s="37">
        <f>IFERROR(INDEX(T_TRANSPORT_CONFIGURATION_LINE[TRANSPORT_CONFIGURATION_ID],[@ROW_INDEX]),"")</f>
        <v/>
      </c>
      <c r="D45" s="37">
        <f>IFERROR(INDEX(T_TRANSPORT_CONFIGURATION_LINE[COMPONENT_ID],[@ROW_INDEX]),"")</f>
        <v/>
      </c>
      <c r="E45" s="37">
        <f>IFERROR(INDEX(T_TRANSPORT_CONFIGURATION_LINE[QUANTITY_PER_TRANSPORT_UNIT],[@ROW_INDEX]),"")</f>
        <v/>
      </c>
      <c r="F45" s="37">
        <f>IF([@COMPONENT_ID]="","",IFERROR(INDEX(T_COMPONENT[WEIGHT_G],MATCH([@COMPONENT_ID],T_COMPONENT[COMPONENT_ID],0)),""))</f>
        <v/>
      </c>
      <c r="G45" s="37">
        <f>IF(OR([@QUANTITY_PER_TRANSPORT_UNIT]="",[@UNIT_WEIGHT_G]=""),"",[@QUANTITY_PER_TRANSPORT_UNIT]*[@UNIT_WEIGHT_G])</f>
        <v/>
      </c>
    </row>
    <row r="46">
      <c r="A46" s="37" t="n">
        <v>45</v>
      </c>
      <c r="B46" s="37">
        <f>IFERROR(INDEX(T_TRANSPORT_CONFIGURATION_LINE[TRANSPORT_CONFIGURATION_LINE_ID],[@ROW_INDEX]),"")</f>
        <v/>
      </c>
      <c r="C46" s="37">
        <f>IFERROR(INDEX(T_TRANSPORT_CONFIGURATION_LINE[TRANSPORT_CONFIGURATION_ID],[@ROW_INDEX]),"")</f>
        <v/>
      </c>
      <c r="D46" s="37">
        <f>IFERROR(INDEX(T_TRANSPORT_CONFIGURATION_LINE[COMPONENT_ID],[@ROW_INDEX]),"")</f>
        <v/>
      </c>
      <c r="E46" s="37">
        <f>IFERROR(INDEX(T_TRANSPORT_CONFIGURATION_LINE[QUANTITY_PER_TRANSPORT_UNIT],[@ROW_INDEX]),"")</f>
        <v/>
      </c>
      <c r="F46" s="37">
        <f>IF([@COMPONENT_ID]="","",IFERROR(INDEX(T_COMPONENT[WEIGHT_G],MATCH([@COMPONENT_ID],T_COMPONENT[COMPONENT_ID],0)),""))</f>
        <v/>
      </c>
      <c r="G46" s="37">
        <f>IF(OR([@QUANTITY_PER_TRANSPORT_UNIT]="",[@UNIT_WEIGHT_G]=""),"",[@QUANTITY_PER_TRANSPORT_UNIT]*[@UNIT_WEIGHT_G])</f>
        <v/>
      </c>
    </row>
    <row r="47">
      <c r="A47" s="37" t="n">
        <v>46</v>
      </c>
      <c r="B47" s="37">
        <f>IFERROR(INDEX(T_TRANSPORT_CONFIGURATION_LINE[TRANSPORT_CONFIGURATION_LINE_ID],[@ROW_INDEX]),"")</f>
        <v/>
      </c>
      <c r="C47" s="37">
        <f>IFERROR(INDEX(T_TRANSPORT_CONFIGURATION_LINE[TRANSPORT_CONFIGURATION_ID],[@ROW_INDEX]),"")</f>
        <v/>
      </c>
      <c r="D47" s="37">
        <f>IFERROR(INDEX(T_TRANSPORT_CONFIGURATION_LINE[COMPONENT_ID],[@ROW_INDEX]),"")</f>
        <v/>
      </c>
      <c r="E47" s="37">
        <f>IFERROR(INDEX(T_TRANSPORT_CONFIGURATION_LINE[QUANTITY_PER_TRANSPORT_UNIT],[@ROW_INDEX]),"")</f>
        <v/>
      </c>
      <c r="F47" s="37">
        <f>IF([@COMPONENT_ID]="","",IFERROR(INDEX(T_COMPONENT[WEIGHT_G],MATCH([@COMPONENT_ID],T_COMPONENT[COMPONENT_ID],0)),""))</f>
        <v/>
      </c>
      <c r="G47" s="37">
        <f>IF(OR([@QUANTITY_PER_TRANSPORT_UNIT]="",[@UNIT_WEIGHT_G]=""),"",[@QUANTITY_PER_TRANSPORT_UNIT]*[@UNIT_WEIGHT_G])</f>
        <v/>
      </c>
    </row>
    <row r="48">
      <c r="A48" s="37" t="n">
        <v>47</v>
      </c>
      <c r="B48" s="37">
        <f>IFERROR(INDEX(T_TRANSPORT_CONFIGURATION_LINE[TRANSPORT_CONFIGURATION_LINE_ID],[@ROW_INDEX]),"")</f>
        <v/>
      </c>
      <c r="C48" s="37">
        <f>IFERROR(INDEX(T_TRANSPORT_CONFIGURATION_LINE[TRANSPORT_CONFIGURATION_ID],[@ROW_INDEX]),"")</f>
        <v/>
      </c>
      <c r="D48" s="37">
        <f>IFERROR(INDEX(T_TRANSPORT_CONFIGURATION_LINE[COMPONENT_ID],[@ROW_INDEX]),"")</f>
        <v/>
      </c>
      <c r="E48" s="37">
        <f>IFERROR(INDEX(T_TRANSPORT_CONFIGURATION_LINE[QUANTITY_PER_TRANSPORT_UNIT],[@ROW_INDEX]),"")</f>
        <v/>
      </c>
      <c r="F48" s="37">
        <f>IF([@COMPONENT_ID]="","",IFERROR(INDEX(T_COMPONENT[WEIGHT_G],MATCH([@COMPONENT_ID],T_COMPONENT[COMPONENT_ID],0)),""))</f>
        <v/>
      </c>
      <c r="G48" s="37">
        <f>IF(OR([@QUANTITY_PER_TRANSPORT_UNIT]="",[@UNIT_WEIGHT_G]=""),"",[@QUANTITY_PER_TRANSPORT_UNIT]*[@UNIT_WEIGHT_G])</f>
        <v/>
      </c>
    </row>
    <row r="49">
      <c r="A49" s="37" t="n">
        <v>48</v>
      </c>
      <c r="B49" s="37">
        <f>IFERROR(INDEX(T_TRANSPORT_CONFIGURATION_LINE[TRANSPORT_CONFIGURATION_LINE_ID],[@ROW_INDEX]),"")</f>
        <v/>
      </c>
      <c r="C49" s="37">
        <f>IFERROR(INDEX(T_TRANSPORT_CONFIGURATION_LINE[TRANSPORT_CONFIGURATION_ID],[@ROW_INDEX]),"")</f>
        <v/>
      </c>
      <c r="D49" s="37">
        <f>IFERROR(INDEX(T_TRANSPORT_CONFIGURATION_LINE[COMPONENT_ID],[@ROW_INDEX]),"")</f>
        <v/>
      </c>
      <c r="E49" s="37">
        <f>IFERROR(INDEX(T_TRANSPORT_CONFIGURATION_LINE[QUANTITY_PER_TRANSPORT_UNIT],[@ROW_INDEX]),"")</f>
        <v/>
      </c>
      <c r="F49" s="37">
        <f>IF([@COMPONENT_ID]="","",IFERROR(INDEX(T_COMPONENT[WEIGHT_G],MATCH([@COMPONENT_ID],T_COMPONENT[COMPONENT_ID],0)),""))</f>
        <v/>
      </c>
      <c r="G49" s="37">
        <f>IF(OR([@QUANTITY_PER_TRANSPORT_UNIT]="",[@UNIT_WEIGHT_G]=""),"",[@QUANTITY_PER_TRANSPORT_UNIT]*[@UNIT_WEIGHT_G])</f>
        <v/>
      </c>
    </row>
    <row r="50">
      <c r="A50" s="37" t="n">
        <v>49</v>
      </c>
      <c r="B50" s="37">
        <f>IFERROR(INDEX(T_TRANSPORT_CONFIGURATION_LINE[TRANSPORT_CONFIGURATION_LINE_ID],[@ROW_INDEX]),"")</f>
        <v/>
      </c>
      <c r="C50" s="37">
        <f>IFERROR(INDEX(T_TRANSPORT_CONFIGURATION_LINE[TRANSPORT_CONFIGURATION_ID],[@ROW_INDEX]),"")</f>
        <v/>
      </c>
      <c r="D50" s="37">
        <f>IFERROR(INDEX(T_TRANSPORT_CONFIGURATION_LINE[COMPONENT_ID],[@ROW_INDEX]),"")</f>
        <v/>
      </c>
      <c r="E50" s="37">
        <f>IFERROR(INDEX(T_TRANSPORT_CONFIGURATION_LINE[QUANTITY_PER_TRANSPORT_UNIT],[@ROW_INDEX]),"")</f>
        <v/>
      </c>
      <c r="F50" s="37">
        <f>IF([@COMPONENT_ID]="","",IFERROR(INDEX(T_COMPONENT[WEIGHT_G],MATCH([@COMPONENT_ID],T_COMPONENT[COMPONENT_ID],0)),""))</f>
        <v/>
      </c>
      <c r="G50" s="37">
        <f>IF(OR([@QUANTITY_PER_TRANSPORT_UNIT]="",[@UNIT_WEIGHT_G]=""),"",[@QUANTITY_PER_TRANSPORT_UNIT]*[@UNIT_WEIGHT_G])</f>
        <v/>
      </c>
    </row>
    <row r="51">
      <c r="A51" s="37" t="n">
        <v>50</v>
      </c>
      <c r="B51" s="37">
        <f>IFERROR(INDEX(T_TRANSPORT_CONFIGURATION_LINE[TRANSPORT_CONFIGURATION_LINE_ID],[@ROW_INDEX]),"")</f>
        <v/>
      </c>
      <c r="C51" s="37">
        <f>IFERROR(INDEX(T_TRANSPORT_CONFIGURATION_LINE[TRANSPORT_CONFIGURATION_ID],[@ROW_INDEX]),"")</f>
        <v/>
      </c>
      <c r="D51" s="37">
        <f>IFERROR(INDEX(T_TRANSPORT_CONFIGURATION_LINE[COMPONENT_ID],[@ROW_INDEX]),"")</f>
        <v/>
      </c>
      <c r="E51" s="37">
        <f>IFERROR(INDEX(T_TRANSPORT_CONFIGURATION_LINE[QUANTITY_PER_TRANSPORT_UNIT],[@ROW_INDEX]),"")</f>
        <v/>
      </c>
      <c r="F51" s="37">
        <f>IF([@COMPONENT_ID]="","",IFERROR(INDEX(T_COMPONENT[WEIGHT_G],MATCH([@COMPONENT_ID],T_COMPONENT[COMPONENT_ID],0)),""))</f>
        <v/>
      </c>
      <c r="G51" s="37">
        <f>IF(OR([@QUANTITY_PER_TRANSPORT_UNIT]="",[@UNIT_WEIGHT_G]=""),"",[@QUANTITY_PER_TRANSPORT_UNIT]*[@UNIT_WEIGHT_G])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hyperlinks>
    <hyperlink xmlns:r="http://schemas.openxmlformats.org/officeDocument/2006/relationships" ref="I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21" customWidth="1" min="4" max="4"/>
    <col width="30" customWidth="1" min="5" max="5"/>
    <col width="30" customWidth="1" min="6" max="6"/>
    <col width="19" customWidth="1" min="7" max="7"/>
    <col width="19" customWidth="1" min="8" max="8"/>
    <col width="27" customWidth="1" min="9" max="9"/>
    <col width="28" customWidth="1" min="10" max="10"/>
    <col width="31" customWidth="1" min="11" max="11"/>
    <col width="31" customWidth="1" min="12" max="12"/>
    <col width="27" customWidth="1" min="13" max="13"/>
    <col width="31" customWidth="1" min="14" max="14"/>
    <col width="32" customWidth="1" min="15" max="15"/>
  </cols>
  <sheetData>
    <row r="1">
      <c r="A1" s="5" t="inlineStr">
        <is>
          <t>ROW_INDEX</t>
        </is>
      </c>
      <c r="B1" s="5" t="inlineStr">
        <is>
          <t>SHIPMENT_ID</t>
        </is>
      </c>
      <c r="C1" s="5" t="inlineStr">
        <is>
          <t>SHIPMENT_NUMBER</t>
        </is>
      </c>
      <c r="D1" s="5" t="inlineStr">
        <is>
          <t>QTY_PRODUCT_UNITS</t>
        </is>
      </c>
      <c r="E1" s="5" t="inlineStr">
        <is>
          <t>PACKAGING_CONFIGURATION_ID</t>
        </is>
      </c>
      <c r="F1" s="5" t="inlineStr">
        <is>
          <t>TRANSPORT_CONFIGURATION_ID</t>
        </is>
      </c>
      <c r="G1" s="5" t="inlineStr">
        <is>
          <t>UNITS_PER_LAYER</t>
        </is>
      </c>
      <c r="H1" s="5" t="inlineStr">
        <is>
          <t>LAYERS_PER_UNIT</t>
        </is>
      </c>
      <c r="I1" s="5" t="inlineStr">
        <is>
          <t>CONTAINER_PAYLOAD_UNITS</t>
        </is>
      </c>
      <c r="J1" s="5" t="inlineStr">
        <is>
          <t>UNITS_PER_TRANSPORT_UNIT</t>
        </is>
      </c>
      <c r="K1" s="5" t="inlineStr">
        <is>
          <t>PACKAGING_WEIGHT_PER_UNIT_G</t>
        </is>
      </c>
      <c r="L1" s="5" t="inlineStr">
        <is>
          <t>TRANSPORT_WEIGHT_PER_UNIT_G</t>
        </is>
      </c>
      <c r="M1" s="5" t="inlineStr">
        <is>
          <t>TOTAL_WEIGHT_PER_UNIT_G</t>
        </is>
      </c>
      <c r="N1" s="5" t="inlineStr">
        <is>
          <t>SHIPMENT_PACKAGING_WEIGHT_G</t>
        </is>
      </c>
      <c r="O1" s="5" t="inlineStr">
        <is>
          <t>SHIPMENT_PACKAGING_WEIGHT_KG</t>
        </is>
      </c>
      <c r="Q1" s="36" t="inlineStr">
        <is>
          <t>Dashboard</t>
        </is>
      </c>
    </row>
    <row r="2">
      <c r="A2" s="37" t="n">
        <v>1</v>
      </c>
      <c r="B2" s="37">
        <f>IFERROR(INDEX(T_SHIPMENT[SHIPMENT_ID],[@ROW_INDEX]),"")</f>
        <v/>
      </c>
      <c r="C2" s="37">
        <f>IFERROR(INDEX(T_SHIPMENT[SHIPMENT_NUMBER],[@ROW_INDEX]),"")</f>
        <v/>
      </c>
      <c r="D2" s="37">
        <f>IFERROR(INDEX(T_SHIPMENT[QTY_PRODUCT_UNITS],[@ROW_INDEX]),"")</f>
        <v/>
      </c>
      <c r="E2" s="37">
        <f>IFERROR(INDEX(T_SHIPMENT[PACKAGING_CONFIGURATION_ID],[@ROW_INDEX]),"")</f>
        <v/>
      </c>
      <c r="F2" s="37">
        <f>IFERROR(INDEX(T_SHIPMENT[TRANSPORT_CONFIGURATION_ID],[@ROW_INDEX]),"")</f>
        <v/>
      </c>
      <c r="G2" s="37">
        <f>IF([@TRANSPORT_CONFIGURATION_ID]="","",IFERROR(INDEX(T_TRANSPORT_CONFIGURATION[UNITS_PER_LAYER],MATCH([@TRANSPORT_CONFIGURATION_ID],T_TRANSPORT_CONFIGURATION[TRANSPORT_CONFIGURATION_ID],0)),""))</f>
        <v/>
      </c>
      <c r="H2" s="37">
        <f>IF([@TRANSPORT_CONFIGURATION_ID]="","",IFERROR(INDEX(T_TRANSPORT_CONFIGURATION[LAYERS_PER_UNIT],MATCH([@TRANSPORT_CONFIGURATION_ID],T_TRANSPORT_CONFIGURATION[TRANSPORT_CONFIGURATION_ID],0)),""))</f>
        <v/>
      </c>
      <c r="I2" s="37">
        <f>IF([@TRANSPORT_CONFIGURATION_ID]="","",IFERROR(INDEX(T_TRANSPORT_CONFIGURATION[CONTAINER_PAYLOAD_UNITS],MATCH([@TRANSPORT_CONFIGURATION_ID],T_TRANSPORT_CONFIGURATION[TRANSPORT_CONFIGURATION_ID],0)),""))</f>
        <v/>
      </c>
      <c r="J2" s="37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2" s="37">
        <f>IF([@PACKAGING_CONFIGURATION_ID]="","",SUMIF(T_ENG_PACKAGING_WEIGHT[PACKAGING_CONFIGURATION_ID],[@PACKAGING_CONFIGURATION_ID],T_ENG_PACKAGING_WEIGHT[LINE_WEIGHT_G]))</f>
        <v/>
      </c>
      <c r="L2" s="37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2" s="37">
        <f>IF(OR([@PACKAGING_WEIGHT_PER_UNIT_G]="",[@TRANSPORT_WEIGHT_PER_UNIT_G]=""),IF([@PACKAGING_WEIGHT_PER_UNIT_G]="","",[@PACKAGING_WEIGHT_PER_UNIT_G]),[@PACKAGING_WEIGHT_PER_UNIT_G]+[@TRANSPORT_WEIGHT_PER_UNIT_G])</f>
        <v/>
      </c>
      <c r="N2" s="37">
        <f>IF(OR([@TOTAL_WEIGHT_PER_UNIT_G]="",[@QTY_PRODUCT_UNITS]=""),"",[@TOTAL_WEIGHT_PER_UNIT_G]*[@QTY_PRODUCT_UNITS])</f>
        <v/>
      </c>
      <c r="O2" s="37">
        <f>IF([@SHIPMENT_PACKAGING_WEIGHT_G]="","",[@SHIPMENT_PACKAGING_WEIGHT_G]/1000)</f>
        <v/>
      </c>
    </row>
    <row r="3">
      <c r="A3" s="37" t="n">
        <v>2</v>
      </c>
      <c r="B3" s="37">
        <f>IFERROR(INDEX(T_SHIPMENT[SHIPMENT_ID],[@ROW_INDEX]),"")</f>
        <v/>
      </c>
      <c r="C3" s="37">
        <f>IFERROR(INDEX(T_SHIPMENT[SHIPMENT_NUMBER],[@ROW_INDEX]),"")</f>
        <v/>
      </c>
      <c r="D3" s="37">
        <f>IFERROR(INDEX(T_SHIPMENT[QTY_PRODUCT_UNITS],[@ROW_INDEX]),"")</f>
        <v/>
      </c>
      <c r="E3" s="37">
        <f>IFERROR(INDEX(T_SHIPMENT[PACKAGING_CONFIGURATION_ID],[@ROW_INDEX]),"")</f>
        <v/>
      </c>
      <c r="F3" s="37">
        <f>IFERROR(INDEX(T_SHIPMENT[TRANSPORT_CONFIGURATION_ID],[@ROW_INDEX]),"")</f>
        <v/>
      </c>
      <c r="G3" s="37">
        <f>IF([@TRANSPORT_CONFIGURATION_ID]="","",IFERROR(INDEX(T_TRANSPORT_CONFIGURATION[UNITS_PER_LAYER],MATCH([@TRANSPORT_CONFIGURATION_ID],T_TRANSPORT_CONFIGURATION[TRANSPORT_CONFIGURATION_ID],0)),""))</f>
        <v/>
      </c>
      <c r="H3" s="37">
        <f>IF([@TRANSPORT_CONFIGURATION_ID]="","",IFERROR(INDEX(T_TRANSPORT_CONFIGURATION[LAYERS_PER_UNIT],MATCH([@TRANSPORT_CONFIGURATION_ID],T_TRANSPORT_CONFIGURATION[TRANSPORT_CONFIGURATION_ID],0)),""))</f>
        <v/>
      </c>
      <c r="I3" s="37">
        <f>IF([@TRANSPORT_CONFIGURATION_ID]="","",IFERROR(INDEX(T_TRANSPORT_CONFIGURATION[CONTAINER_PAYLOAD_UNITS],MATCH([@TRANSPORT_CONFIGURATION_ID],T_TRANSPORT_CONFIGURATION[TRANSPORT_CONFIGURATION_ID],0)),""))</f>
        <v/>
      </c>
      <c r="J3" s="37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3" s="37">
        <f>IF([@PACKAGING_CONFIGURATION_ID]="","",SUMIF(T_ENG_PACKAGING_WEIGHT[PACKAGING_CONFIGURATION_ID],[@PACKAGING_CONFIGURATION_ID],T_ENG_PACKAGING_WEIGHT[LINE_WEIGHT_G]))</f>
        <v/>
      </c>
      <c r="L3" s="37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3" s="37">
        <f>IF(OR([@PACKAGING_WEIGHT_PER_UNIT_G]="",[@TRANSPORT_WEIGHT_PER_UNIT_G]=""),IF([@PACKAGING_WEIGHT_PER_UNIT_G]="","",[@PACKAGING_WEIGHT_PER_UNIT_G]),[@PACKAGING_WEIGHT_PER_UNIT_G]+[@TRANSPORT_WEIGHT_PER_UNIT_G])</f>
        <v/>
      </c>
      <c r="N3" s="37">
        <f>IF(OR([@TOTAL_WEIGHT_PER_UNIT_G]="",[@QTY_PRODUCT_UNITS]=""),"",[@TOTAL_WEIGHT_PER_UNIT_G]*[@QTY_PRODUCT_UNITS])</f>
        <v/>
      </c>
      <c r="O3" s="37">
        <f>IF([@SHIPMENT_PACKAGING_WEIGHT_G]="","",[@SHIPMENT_PACKAGING_WEIGHT_G]/1000)</f>
        <v/>
      </c>
    </row>
    <row r="4">
      <c r="A4" s="37" t="n">
        <v>3</v>
      </c>
      <c r="B4" s="37">
        <f>IFERROR(INDEX(T_SHIPMENT[SHIPMENT_ID],[@ROW_INDEX]),"")</f>
        <v/>
      </c>
      <c r="C4" s="37">
        <f>IFERROR(INDEX(T_SHIPMENT[SHIPMENT_NUMBER],[@ROW_INDEX]),"")</f>
        <v/>
      </c>
      <c r="D4" s="37">
        <f>IFERROR(INDEX(T_SHIPMENT[QTY_PRODUCT_UNITS],[@ROW_INDEX]),"")</f>
        <v/>
      </c>
      <c r="E4" s="37">
        <f>IFERROR(INDEX(T_SHIPMENT[PACKAGING_CONFIGURATION_ID],[@ROW_INDEX]),"")</f>
        <v/>
      </c>
      <c r="F4" s="37">
        <f>IFERROR(INDEX(T_SHIPMENT[TRANSPORT_CONFIGURATION_ID],[@ROW_INDEX]),"")</f>
        <v/>
      </c>
      <c r="G4" s="37">
        <f>IF([@TRANSPORT_CONFIGURATION_ID]="","",IFERROR(INDEX(T_TRANSPORT_CONFIGURATION[UNITS_PER_LAYER],MATCH([@TRANSPORT_CONFIGURATION_ID],T_TRANSPORT_CONFIGURATION[TRANSPORT_CONFIGURATION_ID],0)),""))</f>
        <v/>
      </c>
      <c r="H4" s="37">
        <f>IF([@TRANSPORT_CONFIGURATION_ID]="","",IFERROR(INDEX(T_TRANSPORT_CONFIGURATION[LAYERS_PER_UNIT],MATCH([@TRANSPORT_CONFIGURATION_ID],T_TRANSPORT_CONFIGURATION[TRANSPORT_CONFIGURATION_ID],0)),""))</f>
        <v/>
      </c>
      <c r="I4" s="37">
        <f>IF([@TRANSPORT_CONFIGURATION_ID]="","",IFERROR(INDEX(T_TRANSPORT_CONFIGURATION[CONTAINER_PAYLOAD_UNITS],MATCH([@TRANSPORT_CONFIGURATION_ID],T_TRANSPORT_CONFIGURATION[TRANSPORT_CONFIGURATION_ID],0)),""))</f>
        <v/>
      </c>
      <c r="J4" s="37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4" s="37">
        <f>IF([@PACKAGING_CONFIGURATION_ID]="","",SUMIF(T_ENG_PACKAGING_WEIGHT[PACKAGING_CONFIGURATION_ID],[@PACKAGING_CONFIGURATION_ID],T_ENG_PACKAGING_WEIGHT[LINE_WEIGHT_G]))</f>
        <v/>
      </c>
      <c r="L4" s="37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4" s="37">
        <f>IF(OR([@PACKAGING_WEIGHT_PER_UNIT_G]="",[@TRANSPORT_WEIGHT_PER_UNIT_G]=""),IF([@PACKAGING_WEIGHT_PER_UNIT_G]="","",[@PACKAGING_WEIGHT_PER_UNIT_G]),[@PACKAGING_WEIGHT_PER_UNIT_G]+[@TRANSPORT_WEIGHT_PER_UNIT_G])</f>
        <v/>
      </c>
      <c r="N4" s="37">
        <f>IF(OR([@TOTAL_WEIGHT_PER_UNIT_G]="",[@QTY_PRODUCT_UNITS]=""),"",[@TOTAL_WEIGHT_PER_UNIT_G]*[@QTY_PRODUCT_UNITS])</f>
        <v/>
      </c>
      <c r="O4" s="37">
        <f>IF([@SHIPMENT_PACKAGING_WEIGHT_G]="","",[@SHIPMENT_PACKAGING_WEIGHT_G]/1000)</f>
        <v/>
      </c>
    </row>
    <row r="5">
      <c r="A5" s="37" t="n">
        <v>4</v>
      </c>
      <c r="B5" s="37">
        <f>IFERROR(INDEX(T_SHIPMENT[SHIPMENT_ID],[@ROW_INDEX]),"")</f>
        <v/>
      </c>
      <c r="C5" s="37">
        <f>IFERROR(INDEX(T_SHIPMENT[SHIPMENT_NUMBER],[@ROW_INDEX]),"")</f>
        <v/>
      </c>
      <c r="D5" s="37">
        <f>IFERROR(INDEX(T_SHIPMENT[QTY_PRODUCT_UNITS],[@ROW_INDEX]),"")</f>
        <v/>
      </c>
      <c r="E5" s="37">
        <f>IFERROR(INDEX(T_SHIPMENT[PACKAGING_CONFIGURATION_ID],[@ROW_INDEX]),"")</f>
        <v/>
      </c>
      <c r="F5" s="37">
        <f>IFERROR(INDEX(T_SHIPMENT[TRANSPORT_CONFIGURATION_ID],[@ROW_INDEX]),"")</f>
        <v/>
      </c>
      <c r="G5" s="37">
        <f>IF([@TRANSPORT_CONFIGURATION_ID]="","",IFERROR(INDEX(T_TRANSPORT_CONFIGURATION[UNITS_PER_LAYER],MATCH([@TRANSPORT_CONFIGURATION_ID],T_TRANSPORT_CONFIGURATION[TRANSPORT_CONFIGURATION_ID],0)),""))</f>
        <v/>
      </c>
      <c r="H5" s="37">
        <f>IF([@TRANSPORT_CONFIGURATION_ID]="","",IFERROR(INDEX(T_TRANSPORT_CONFIGURATION[LAYERS_PER_UNIT],MATCH([@TRANSPORT_CONFIGURATION_ID],T_TRANSPORT_CONFIGURATION[TRANSPORT_CONFIGURATION_ID],0)),""))</f>
        <v/>
      </c>
      <c r="I5" s="37">
        <f>IF([@TRANSPORT_CONFIGURATION_ID]="","",IFERROR(INDEX(T_TRANSPORT_CONFIGURATION[CONTAINER_PAYLOAD_UNITS],MATCH([@TRANSPORT_CONFIGURATION_ID],T_TRANSPORT_CONFIGURATION[TRANSPORT_CONFIGURATION_ID],0)),""))</f>
        <v/>
      </c>
      <c r="J5" s="37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5" s="37">
        <f>IF([@PACKAGING_CONFIGURATION_ID]="","",SUMIF(T_ENG_PACKAGING_WEIGHT[PACKAGING_CONFIGURATION_ID],[@PACKAGING_CONFIGURATION_ID],T_ENG_PACKAGING_WEIGHT[LINE_WEIGHT_G]))</f>
        <v/>
      </c>
      <c r="L5" s="37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5" s="37">
        <f>IF(OR([@PACKAGING_WEIGHT_PER_UNIT_G]="",[@TRANSPORT_WEIGHT_PER_UNIT_G]=""),IF([@PACKAGING_WEIGHT_PER_UNIT_G]="","",[@PACKAGING_WEIGHT_PER_UNIT_G]),[@PACKAGING_WEIGHT_PER_UNIT_G]+[@TRANSPORT_WEIGHT_PER_UNIT_G])</f>
        <v/>
      </c>
      <c r="N5" s="37">
        <f>IF(OR([@TOTAL_WEIGHT_PER_UNIT_G]="",[@QTY_PRODUCT_UNITS]=""),"",[@TOTAL_WEIGHT_PER_UNIT_G]*[@QTY_PRODUCT_UNITS])</f>
        <v/>
      </c>
      <c r="O5" s="37">
        <f>IF([@SHIPMENT_PACKAGING_WEIGHT_G]="","",[@SHIPMENT_PACKAGING_WEIGHT_G]/1000)</f>
        <v/>
      </c>
    </row>
    <row r="6">
      <c r="A6" s="37" t="n">
        <v>5</v>
      </c>
      <c r="B6" s="37">
        <f>IFERROR(INDEX(T_SHIPMENT[SHIPMENT_ID],[@ROW_INDEX]),"")</f>
        <v/>
      </c>
      <c r="C6" s="37">
        <f>IFERROR(INDEX(T_SHIPMENT[SHIPMENT_NUMBER],[@ROW_INDEX]),"")</f>
        <v/>
      </c>
      <c r="D6" s="37">
        <f>IFERROR(INDEX(T_SHIPMENT[QTY_PRODUCT_UNITS],[@ROW_INDEX]),"")</f>
        <v/>
      </c>
      <c r="E6" s="37">
        <f>IFERROR(INDEX(T_SHIPMENT[PACKAGING_CONFIGURATION_ID],[@ROW_INDEX]),"")</f>
        <v/>
      </c>
      <c r="F6" s="37">
        <f>IFERROR(INDEX(T_SHIPMENT[TRANSPORT_CONFIGURATION_ID],[@ROW_INDEX]),"")</f>
        <v/>
      </c>
      <c r="G6" s="37">
        <f>IF([@TRANSPORT_CONFIGURATION_ID]="","",IFERROR(INDEX(T_TRANSPORT_CONFIGURATION[UNITS_PER_LAYER],MATCH([@TRANSPORT_CONFIGURATION_ID],T_TRANSPORT_CONFIGURATION[TRANSPORT_CONFIGURATION_ID],0)),""))</f>
        <v/>
      </c>
      <c r="H6" s="37">
        <f>IF([@TRANSPORT_CONFIGURATION_ID]="","",IFERROR(INDEX(T_TRANSPORT_CONFIGURATION[LAYERS_PER_UNIT],MATCH([@TRANSPORT_CONFIGURATION_ID],T_TRANSPORT_CONFIGURATION[TRANSPORT_CONFIGURATION_ID],0)),""))</f>
        <v/>
      </c>
      <c r="I6" s="37">
        <f>IF([@TRANSPORT_CONFIGURATION_ID]="","",IFERROR(INDEX(T_TRANSPORT_CONFIGURATION[CONTAINER_PAYLOAD_UNITS],MATCH([@TRANSPORT_CONFIGURATION_ID],T_TRANSPORT_CONFIGURATION[TRANSPORT_CONFIGURATION_ID],0)),""))</f>
        <v/>
      </c>
      <c r="J6" s="37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6" s="37">
        <f>IF([@PACKAGING_CONFIGURATION_ID]="","",SUMIF(T_ENG_PACKAGING_WEIGHT[PACKAGING_CONFIGURATION_ID],[@PACKAGING_CONFIGURATION_ID],T_ENG_PACKAGING_WEIGHT[LINE_WEIGHT_G]))</f>
        <v/>
      </c>
      <c r="L6" s="37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6" s="37">
        <f>IF(OR([@PACKAGING_WEIGHT_PER_UNIT_G]="",[@TRANSPORT_WEIGHT_PER_UNIT_G]=""),IF([@PACKAGING_WEIGHT_PER_UNIT_G]="","",[@PACKAGING_WEIGHT_PER_UNIT_G]),[@PACKAGING_WEIGHT_PER_UNIT_G]+[@TRANSPORT_WEIGHT_PER_UNIT_G])</f>
        <v/>
      </c>
      <c r="N6" s="37">
        <f>IF(OR([@TOTAL_WEIGHT_PER_UNIT_G]="",[@QTY_PRODUCT_UNITS]=""),"",[@TOTAL_WEIGHT_PER_UNIT_G]*[@QTY_PRODUCT_UNITS])</f>
        <v/>
      </c>
      <c r="O6" s="37">
        <f>IF([@SHIPMENT_PACKAGING_WEIGHT_G]="","",[@SHIPMENT_PACKAGING_WEIGHT_G]/1000)</f>
        <v/>
      </c>
    </row>
    <row r="7">
      <c r="A7" s="37" t="n">
        <v>6</v>
      </c>
      <c r="B7" s="37">
        <f>IFERROR(INDEX(T_SHIPMENT[SHIPMENT_ID],[@ROW_INDEX]),"")</f>
        <v/>
      </c>
      <c r="C7" s="37">
        <f>IFERROR(INDEX(T_SHIPMENT[SHIPMENT_NUMBER],[@ROW_INDEX]),"")</f>
        <v/>
      </c>
      <c r="D7" s="37">
        <f>IFERROR(INDEX(T_SHIPMENT[QTY_PRODUCT_UNITS],[@ROW_INDEX]),"")</f>
        <v/>
      </c>
      <c r="E7" s="37">
        <f>IFERROR(INDEX(T_SHIPMENT[PACKAGING_CONFIGURATION_ID],[@ROW_INDEX]),"")</f>
        <v/>
      </c>
      <c r="F7" s="37">
        <f>IFERROR(INDEX(T_SHIPMENT[TRANSPORT_CONFIGURATION_ID],[@ROW_INDEX]),"")</f>
        <v/>
      </c>
      <c r="G7" s="37">
        <f>IF([@TRANSPORT_CONFIGURATION_ID]="","",IFERROR(INDEX(T_TRANSPORT_CONFIGURATION[UNITS_PER_LAYER],MATCH([@TRANSPORT_CONFIGURATION_ID],T_TRANSPORT_CONFIGURATION[TRANSPORT_CONFIGURATION_ID],0)),""))</f>
        <v/>
      </c>
      <c r="H7" s="37">
        <f>IF([@TRANSPORT_CONFIGURATION_ID]="","",IFERROR(INDEX(T_TRANSPORT_CONFIGURATION[LAYERS_PER_UNIT],MATCH([@TRANSPORT_CONFIGURATION_ID],T_TRANSPORT_CONFIGURATION[TRANSPORT_CONFIGURATION_ID],0)),""))</f>
        <v/>
      </c>
      <c r="I7" s="37">
        <f>IF([@TRANSPORT_CONFIGURATION_ID]="","",IFERROR(INDEX(T_TRANSPORT_CONFIGURATION[CONTAINER_PAYLOAD_UNITS],MATCH([@TRANSPORT_CONFIGURATION_ID],T_TRANSPORT_CONFIGURATION[TRANSPORT_CONFIGURATION_ID],0)),""))</f>
        <v/>
      </c>
      <c r="J7" s="37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7" s="37">
        <f>IF([@PACKAGING_CONFIGURATION_ID]="","",SUMIF(T_ENG_PACKAGING_WEIGHT[PACKAGING_CONFIGURATION_ID],[@PACKAGING_CONFIGURATION_ID],T_ENG_PACKAGING_WEIGHT[LINE_WEIGHT_G]))</f>
        <v/>
      </c>
      <c r="L7" s="37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7" s="37">
        <f>IF(OR([@PACKAGING_WEIGHT_PER_UNIT_G]="",[@TRANSPORT_WEIGHT_PER_UNIT_G]=""),IF([@PACKAGING_WEIGHT_PER_UNIT_G]="","",[@PACKAGING_WEIGHT_PER_UNIT_G]),[@PACKAGING_WEIGHT_PER_UNIT_G]+[@TRANSPORT_WEIGHT_PER_UNIT_G])</f>
        <v/>
      </c>
      <c r="N7" s="37">
        <f>IF(OR([@TOTAL_WEIGHT_PER_UNIT_G]="",[@QTY_PRODUCT_UNITS]=""),"",[@TOTAL_WEIGHT_PER_UNIT_G]*[@QTY_PRODUCT_UNITS])</f>
        <v/>
      </c>
      <c r="O7" s="37">
        <f>IF([@SHIPMENT_PACKAGING_WEIGHT_G]="","",[@SHIPMENT_PACKAGING_WEIGHT_G]/1000)</f>
        <v/>
      </c>
    </row>
    <row r="8">
      <c r="A8" s="37" t="n">
        <v>7</v>
      </c>
      <c r="B8" s="37">
        <f>IFERROR(INDEX(T_SHIPMENT[SHIPMENT_ID],[@ROW_INDEX]),"")</f>
        <v/>
      </c>
      <c r="C8" s="37">
        <f>IFERROR(INDEX(T_SHIPMENT[SHIPMENT_NUMBER],[@ROW_INDEX]),"")</f>
        <v/>
      </c>
      <c r="D8" s="37">
        <f>IFERROR(INDEX(T_SHIPMENT[QTY_PRODUCT_UNITS],[@ROW_INDEX]),"")</f>
        <v/>
      </c>
      <c r="E8" s="37">
        <f>IFERROR(INDEX(T_SHIPMENT[PACKAGING_CONFIGURATION_ID],[@ROW_INDEX]),"")</f>
        <v/>
      </c>
      <c r="F8" s="37">
        <f>IFERROR(INDEX(T_SHIPMENT[TRANSPORT_CONFIGURATION_ID],[@ROW_INDEX]),"")</f>
        <v/>
      </c>
      <c r="G8" s="37">
        <f>IF([@TRANSPORT_CONFIGURATION_ID]="","",IFERROR(INDEX(T_TRANSPORT_CONFIGURATION[UNITS_PER_LAYER],MATCH([@TRANSPORT_CONFIGURATION_ID],T_TRANSPORT_CONFIGURATION[TRANSPORT_CONFIGURATION_ID],0)),""))</f>
        <v/>
      </c>
      <c r="H8" s="37">
        <f>IF([@TRANSPORT_CONFIGURATION_ID]="","",IFERROR(INDEX(T_TRANSPORT_CONFIGURATION[LAYERS_PER_UNIT],MATCH([@TRANSPORT_CONFIGURATION_ID],T_TRANSPORT_CONFIGURATION[TRANSPORT_CONFIGURATION_ID],0)),""))</f>
        <v/>
      </c>
      <c r="I8" s="37">
        <f>IF([@TRANSPORT_CONFIGURATION_ID]="","",IFERROR(INDEX(T_TRANSPORT_CONFIGURATION[CONTAINER_PAYLOAD_UNITS],MATCH([@TRANSPORT_CONFIGURATION_ID],T_TRANSPORT_CONFIGURATION[TRANSPORT_CONFIGURATION_ID],0)),""))</f>
        <v/>
      </c>
      <c r="J8" s="37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8" s="37">
        <f>IF([@PACKAGING_CONFIGURATION_ID]="","",SUMIF(T_ENG_PACKAGING_WEIGHT[PACKAGING_CONFIGURATION_ID],[@PACKAGING_CONFIGURATION_ID],T_ENG_PACKAGING_WEIGHT[LINE_WEIGHT_G]))</f>
        <v/>
      </c>
      <c r="L8" s="37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8" s="37">
        <f>IF(OR([@PACKAGING_WEIGHT_PER_UNIT_G]="",[@TRANSPORT_WEIGHT_PER_UNIT_G]=""),IF([@PACKAGING_WEIGHT_PER_UNIT_G]="","",[@PACKAGING_WEIGHT_PER_UNIT_G]),[@PACKAGING_WEIGHT_PER_UNIT_G]+[@TRANSPORT_WEIGHT_PER_UNIT_G])</f>
        <v/>
      </c>
      <c r="N8" s="37">
        <f>IF(OR([@TOTAL_WEIGHT_PER_UNIT_G]="",[@QTY_PRODUCT_UNITS]=""),"",[@TOTAL_WEIGHT_PER_UNIT_G]*[@QTY_PRODUCT_UNITS])</f>
        <v/>
      </c>
      <c r="O8" s="37">
        <f>IF([@SHIPMENT_PACKAGING_WEIGHT_G]="","",[@SHIPMENT_PACKAGING_WEIGHT_G]/1000)</f>
        <v/>
      </c>
    </row>
    <row r="9">
      <c r="A9" s="37" t="n">
        <v>8</v>
      </c>
      <c r="B9" s="37">
        <f>IFERROR(INDEX(T_SHIPMENT[SHIPMENT_ID],[@ROW_INDEX]),"")</f>
        <v/>
      </c>
      <c r="C9" s="37">
        <f>IFERROR(INDEX(T_SHIPMENT[SHIPMENT_NUMBER],[@ROW_INDEX]),"")</f>
        <v/>
      </c>
      <c r="D9" s="37">
        <f>IFERROR(INDEX(T_SHIPMENT[QTY_PRODUCT_UNITS],[@ROW_INDEX]),"")</f>
        <v/>
      </c>
      <c r="E9" s="37">
        <f>IFERROR(INDEX(T_SHIPMENT[PACKAGING_CONFIGURATION_ID],[@ROW_INDEX]),"")</f>
        <v/>
      </c>
      <c r="F9" s="37">
        <f>IFERROR(INDEX(T_SHIPMENT[TRANSPORT_CONFIGURATION_ID],[@ROW_INDEX]),"")</f>
        <v/>
      </c>
      <c r="G9" s="37">
        <f>IF([@TRANSPORT_CONFIGURATION_ID]="","",IFERROR(INDEX(T_TRANSPORT_CONFIGURATION[UNITS_PER_LAYER],MATCH([@TRANSPORT_CONFIGURATION_ID],T_TRANSPORT_CONFIGURATION[TRANSPORT_CONFIGURATION_ID],0)),""))</f>
        <v/>
      </c>
      <c r="H9" s="37">
        <f>IF([@TRANSPORT_CONFIGURATION_ID]="","",IFERROR(INDEX(T_TRANSPORT_CONFIGURATION[LAYERS_PER_UNIT],MATCH([@TRANSPORT_CONFIGURATION_ID],T_TRANSPORT_CONFIGURATION[TRANSPORT_CONFIGURATION_ID],0)),""))</f>
        <v/>
      </c>
      <c r="I9" s="37">
        <f>IF([@TRANSPORT_CONFIGURATION_ID]="","",IFERROR(INDEX(T_TRANSPORT_CONFIGURATION[CONTAINER_PAYLOAD_UNITS],MATCH([@TRANSPORT_CONFIGURATION_ID],T_TRANSPORT_CONFIGURATION[TRANSPORT_CONFIGURATION_ID],0)),""))</f>
        <v/>
      </c>
      <c r="J9" s="37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9" s="37">
        <f>IF([@PACKAGING_CONFIGURATION_ID]="","",SUMIF(T_ENG_PACKAGING_WEIGHT[PACKAGING_CONFIGURATION_ID],[@PACKAGING_CONFIGURATION_ID],T_ENG_PACKAGING_WEIGHT[LINE_WEIGHT_G]))</f>
        <v/>
      </c>
      <c r="L9" s="37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9" s="37">
        <f>IF(OR([@PACKAGING_WEIGHT_PER_UNIT_G]="",[@TRANSPORT_WEIGHT_PER_UNIT_G]=""),IF([@PACKAGING_WEIGHT_PER_UNIT_G]="","",[@PACKAGING_WEIGHT_PER_UNIT_G]),[@PACKAGING_WEIGHT_PER_UNIT_G]+[@TRANSPORT_WEIGHT_PER_UNIT_G])</f>
        <v/>
      </c>
      <c r="N9" s="37">
        <f>IF(OR([@TOTAL_WEIGHT_PER_UNIT_G]="",[@QTY_PRODUCT_UNITS]=""),"",[@TOTAL_WEIGHT_PER_UNIT_G]*[@QTY_PRODUCT_UNITS])</f>
        <v/>
      </c>
      <c r="O9" s="37">
        <f>IF([@SHIPMENT_PACKAGING_WEIGHT_G]="","",[@SHIPMENT_PACKAGING_WEIGHT_G]/1000)</f>
        <v/>
      </c>
    </row>
    <row r="10">
      <c r="A10" s="37" t="n">
        <v>9</v>
      </c>
      <c r="B10" s="37">
        <f>IFERROR(INDEX(T_SHIPMENT[SHIPMENT_ID],[@ROW_INDEX]),"")</f>
        <v/>
      </c>
      <c r="C10" s="37">
        <f>IFERROR(INDEX(T_SHIPMENT[SHIPMENT_NUMBER],[@ROW_INDEX]),"")</f>
        <v/>
      </c>
      <c r="D10" s="37">
        <f>IFERROR(INDEX(T_SHIPMENT[QTY_PRODUCT_UNITS],[@ROW_INDEX]),"")</f>
        <v/>
      </c>
      <c r="E10" s="37">
        <f>IFERROR(INDEX(T_SHIPMENT[PACKAGING_CONFIGURATION_ID],[@ROW_INDEX]),"")</f>
        <v/>
      </c>
      <c r="F10" s="37">
        <f>IFERROR(INDEX(T_SHIPMENT[TRANSPORT_CONFIGURATION_ID],[@ROW_INDEX]),"")</f>
        <v/>
      </c>
      <c r="G10" s="37">
        <f>IF([@TRANSPORT_CONFIGURATION_ID]="","",IFERROR(INDEX(T_TRANSPORT_CONFIGURATION[UNITS_PER_LAYER],MATCH([@TRANSPORT_CONFIGURATION_ID],T_TRANSPORT_CONFIGURATION[TRANSPORT_CONFIGURATION_ID],0)),""))</f>
        <v/>
      </c>
      <c r="H10" s="37">
        <f>IF([@TRANSPORT_CONFIGURATION_ID]="","",IFERROR(INDEX(T_TRANSPORT_CONFIGURATION[LAYERS_PER_UNIT],MATCH([@TRANSPORT_CONFIGURATION_ID],T_TRANSPORT_CONFIGURATION[TRANSPORT_CONFIGURATION_ID],0)),""))</f>
        <v/>
      </c>
      <c r="I10" s="37">
        <f>IF([@TRANSPORT_CONFIGURATION_ID]="","",IFERROR(INDEX(T_TRANSPORT_CONFIGURATION[CONTAINER_PAYLOAD_UNITS],MATCH([@TRANSPORT_CONFIGURATION_ID],T_TRANSPORT_CONFIGURATION[TRANSPORT_CONFIGURATION_ID],0)),""))</f>
        <v/>
      </c>
      <c r="J10" s="37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10" s="37">
        <f>IF([@PACKAGING_CONFIGURATION_ID]="","",SUMIF(T_ENG_PACKAGING_WEIGHT[PACKAGING_CONFIGURATION_ID],[@PACKAGING_CONFIGURATION_ID],T_ENG_PACKAGING_WEIGHT[LINE_WEIGHT_G]))</f>
        <v/>
      </c>
      <c r="L10" s="37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10" s="37">
        <f>IF(OR([@PACKAGING_WEIGHT_PER_UNIT_G]="",[@TRANSPORT_WEIGHT_PER_UNIT_G]=""),IF([@PACKAGING_WEIGHT_PER_UNIT_G]="","",[@PACKAGING_WEIGHT_PER_UNIT_G]),[@PACKAGING_WEIGHT_PER_UNIT_G]+[@TRANSPORT_WEIGHT_PER_UNIT_G])</f>
        <v/>
      </c>
      <c r="N10" s="37">
        <f>IF(OR([@TOTAL_WEIGHT_PER_UNIT_G]="",[@QTY_PRODUCT_UNITS]=""),"",[@TOTAL_WEIGHT_PER_UNIT_G]*[@QTY_PRODUCT_UNITS])</f>
        <v/>
      </c>
      <c r="O10" s="37">
        <f>IF([@SHIPMENT_PACKAGING_WEIGHT_G]="","",[@SHIPMENT_PACKAGING_WEIGHT_G]/1000)</f>
        <v/>
      </c>
    </row>
    <row r="11">
      <c r="A11" s="37" t="n">
        <v>10</v>
      </c>
      <c r="B11" s="37">
        <f>IFERROR(INDEX(T_SHIPMENT[SHIPMENT_ID],[@ROW_INDEX]),"")</f>
        <v/>
      </c>
      <c r="C11" s="37">
        <f>IFERROR(INDEX(T_SHIPMENT[SHIPMENT_NUMBER],[@ROW_INDEX]),"")</f>
        <v/>
      </c>
      <c r="D11" s="37">
        <f>IFERROR(INDEX(T_SHIPMENT[QTY_PRODUCT_UNITS],[@ROW_INDEX]),"")</f>
        <v/>
      </c>
      <c r="E11" s="37">
        <f>IFERROR(INDEX(T_SHIPMENT[PACKAGING_CONFIGURATION_ID],[@ROW_INDEX]),"")</f>
        <v/>
      </c>
      <c r="F11" s="37">
        <f>IFERROR(INDEX(T_SHIPMENT[TRANSPORT_CONFIGURATION_ID],[@ROW_INDEX]),"")</f>
        <v/>
      </c>
      <c r="G11" s="37">
        <f>IF([@TRANSPORT_CONFIGURATION_ID]="","",IFERROR(INDEX(T_TRANSPORT_CONFIGURATION[UNITS_PER_LAYER],MATCH([@TRANSPORT_CONFIGURATION_ID],T_TRANSPORT_CONFIGURATION[TRANSPORT_CONFIGURATION_ID],0)),""))</f>
        <v/>
      </c>
      <c r="H11" s="37">
        <f>IF([@TRANSPORT_CONFIGURATION_ID]="","",IFERROR(INDEX(T_TRANSPORT_CONFIGURATION[LAYERS_PER_UNIT],MATCH([@TRANSPORT_CONFIGURATION_ID],T_TRANSPORT_CONFIGURATION[TRANSPORT_CONFIGURATION_ID],0)),""))</f>
        <v/>
      </c>
      <c r="I11" s="37">
        <f>IF([@TRANSPORT_CONFIGURATION_ID]="","",IFERROR(INDEX(T_TRANSPORT_CONFIGURATION[CONTAINER_PAYLOAD_UNITS],MATCH([@TRANSPORT_CONFIGURATION_ID],T_TRANSPORT_CONFIGURATION[TRANSPORT_CONFIGURATION_ID],0)),""))</f>
        <v/>
      </c>
      <c r="J11" s="37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11" s="37">
        <f>IF([@PACKAGING_CONFIGURATION_ID]="","",SUMIF(T_ENG_PACKAGING_WEIGHT[PACKAGING_CONFIGURATION_ID],[@PACKAGING_CONFIGURATION_ID],T_ENG_PACKAGING_WEIGHT[LINE_WEIGHT_G]))</f>
        <v/>
      </c>
      <c r="L11" s="37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11" s="37">
        <f>IF(OR([@PACKAGING_WEIGHT_PER_UNIT_G]="",[@TRANSPORT_WEIGHT_PER_UNIT_G]=""),IF([@PACKAGING_WEIGHT_PER_UNIT_G]="","",[@PACKAGING_WEIGHT_PER_UNIT_G]),[@PACKAGING_WEIGHT_PER_UNIT_G]+[@TRANSPORT_WEIGHT_PER_UNIT_G])</f>
        <v/>
      </c>
      <c r="N11" s="37">
        <f>IF(OR([@TOTAL_WEIGHT_PER_UNIT_G]="",[@QTY_PRODUCT_UNITS]=""),"",[@TOTAL_WEIGHT_PER_UNIT_G]*[@QTY_PRODUCT_UNITS])</f>
        <v/>
      </c>
      <c r="O11" s="37">
        <f>IF([@SHIPMENT_PACKAGING_WEIGHT_G]="","",[@SHIPMENT_PACKAGING_WEIGHT_G]/1000)</f>
        <v/>
      </c>
    </row>
    <row r="12">
      <c r="A12" s="37" t="n">
        <v>11</v>
      </c>
      <c r="B12" s="37">
        <f>IFERROR(INDEX(T_SHIPMENT[SHIPMENT_ID],[@ROW_INDEX]),"")</f>
        <v/>
      </c>
      <c r="C12" s="37">
        <f>IFERROR(INDEX(T_SHIPMENT[SHIPMENT_NUMBER],[@ROW_INDEX]),"")</f>
        <v/>
      </c>
      <c r="D12" s="37">
        <f>IFERROR(INDEX(T_SHIPMENT[QTY_PRODUCT_UNITS],[@ROW_INDEX]),"")</f>
        <v/>
      </c>
      <c r="E12" s="37">
        <f>IFERROR(INDEX(T_SHIPMENT[PACKAGING_CONFIGURATION_ID],[@ROW_INDEX]),"")</f>
        <v/>
      </c>
      <c r="F12" s="37">
        <f>IFERROR(INDEX(T_SHIPMENT[TRANSPORT_CONFIGURATION_ID],[@ROW_INDEX]),"")</f>
        <v/>
      </c>
      <c r="G12" s="37">
        <f>IF([@TRANSPORT_CONFIGURATION_ID]="","",IFERROR(INDEX(T_TRANSPORT_CONFIGURATION[UNITS_PER_LAYER],MATCH([@TRANSPORT_CONFIGURATION_ID],T_TRANSPORT_CONFIGURATION[TRANSPORT_CONFIGURATION_ID],0)),""))</f>
        <v/>
      </c>
      <c r="H12" s="37">
        <f>IF([@TRANSPORT_CONFIGURATION_ID]="","",IFERROR(INDEX(T_TRANSPORT_CONFIGURATION[LAYERS_PER_UNIT],MATCH([@TRANSPORT_CONFIGURATION_ID],T_TRANSPORT_CONFIGURATION[TRANSPORT_CONFIGURATION_ID],0)),""))</f>
        <v/>
      </c>
      <c r="I12" s="37">
        <f>IF([@TRANSPORT_CONFIGURATION_ID]="","",IFERROR(INDEX(T_TRANSPORT_CONFIGURATION[CONTAINER_PAYLOAD_UNITS],MATCH([@TRANSPORT_CONFIGURATION_ID],T_TRANSPORT_CONFIGURATION[TRANSPORT_CONFIGURATION_ID],0)),""))</f>
        <v/>
      </c>
      <c r="J12" s="37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12" s="37">
        <f>IF([@PACKAGING_CONFIGURATION_ID]="","",SUMIF(T_ENG_PACKAGING_WEIGHT[PACKAGING_CONFIGURATION_ID],[@PACKAGING_CONFIGURATION_ID],T_ENG_PACKAGING_WEIGHT[LINE_WEIGHT_G]))</f>
        <v/>
      </c>
      <c r="L12" s="37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12" s="37">
        <f>IF(OR([@PACKAGING_WEIGHT_PER_UNIT_G]="",[@TRANSPORT_WEIGHT_PER_UNIT_G]=""),IF([@PACKAGING_WEIGHT_PER_UNIT_G]="","",[@PACKAGING_WEIGHT_PER_UNIT_G]),[@PACKAGING_WEIGHT_PER_UNIT_G]+[@TRANSPORT_WEIGHT_PER_UNIT_G])</f>
        <v/>
      </c>
      <c r="N12" s="37">
        <f>IF(OR([@TOTAL_WEIGHT_PER_UNIT_G]="",[@QTY_PRODUCT_UNITS]=""),"",[@TOTAL_WEIGHT_PER_UNIT_G]*[@QTY_PRODUCT_UNITS])</f>
        <v/>
      </c>
      <c r="O12" s="37">
        <f>IF([@SHIPMENT_PACKAGING_WEIGHT_G]="","",[@SHIPMENT_PACKAGING_WEIGHT_G]/1000)</f>
        <v/>
      </c>
    </row>
    <row r="13">
      <c r="A13" s="37" t="n">
        <v>12</v>
      </c>
      <c r="B13" s="37">
        <f>IFERROR(INDEX(T_SHIPMENT[SHIPMENT_ID],[@ROW_INDEX]),"")</f>
        <v/>
      </c>
      <c r="C13" s="37">
        <f>IFERROR(INDEX(T_SHIPMENT[SHIPMENT_NUMBER],[@ROW_INDEX]),"")</f>
        <v/>
      </c>
      <c r="D13" s="37">
        <f>IFERROR(INDEX(T_SHIPMENT[QTY_PRODUCT_UNITS],[@ROW_INDEX]),"")</f>
        <v/>
      </c>
      <c r="E13" s="37">
        <f>IFERROR(INDEX(T_SHIPMENT[PACKAGING_CONFIGURATION_ID],[@ROW_INDEX]),"")</f>
        <v/>
      </c>
      <c r="F13" s="37">
        <f>IFERROR(INDEX(T_SHIPMENT[TRANSPORT_CONFIGURATION_ID],[@ROW_INDEX]),"")</f>
        <v/>
      </c>
      <c r="G13" s="37">
        <f>IF([@TRANSPORT_CONFIGURATION_ID]="","",IFERROR(INDEX(T_TRANSPORT_CONFIGURATION[UNITS_PER_LAYER],MATCH([@TRANSPORT_CONFIGURATION_ID],T_TRANSPORT_CONFIGURATION[TRANSPORT_CONFIGURATION_ID],0)),""))</f>
        <v/>
      </c>
      <c r="H13" s="37">
        <f>IF([@TRANSPORT_CONFIGURATION_ID]="","",IFERROR(INDEX(T_TRANSPORT_CONFIGURATION[LAYERS_PER_UNIT],MATCH([@TRANSPORT_CONFIGURATION_ID],T_TRANSPORT_CONFIGURATION[TRANSPORT_CONFIGURATION_ID],0)),""))</f>
        <v/>
      </c>
      <c r="I13" s="37">
        <f>IF([@TRANSPORT_CONFIGURATION_ID]="","",IFERROR(INDEX(T_TRANSPORT_CONFIGURATION[CONTAINER_PAYLOAD_UNITS],MATCH([@TRANSPORT_CONFIGURATION_ID],T_TRANSPORT_CONFIGURATION[TRANSPORT_CONFIGURATION_ID],0)),""))</f>
        <v/>
      </c>
      <c r="J13" s="37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13" s="37">
        <f>IF([@PACKAGING_CONFIGURATION_ID]="","",SUMIF(T_ENG_PACKAGING_WEIGHT[PACKAGING_CONFIGURATION_ID],[@PACKAGING_CONFIGURATION_ID],T_ENG_PACKAGING_WEIGHT[LINE_WEIGHT_G]))</f>
        <v/>
      </c>
      <c r="L13" s="37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13" s="37">
        <f>IF(OR([@PACKAGING_WEIGHT_PER_UNIT_G]="",[@TRANSPORT_WEIGHT_PER_UNIT_G]=""),IF([@PACKAGING_WEIGHT_PER_UNIT_G]="","",[@PACKAGING_WEIGHT_PER_UNIT_G]),[@PACKAGING_WEIGHT_PER_UNIT_G]+[@TRANSPORT_WEIGHT_PER_UNIT_G])</f>
        <v/>
      </c>
      <c r="N13" s="37">
        <f>IF(OR([@TOTAL_WEIGHT_PER_UNIT_G]="",[@QTY_PRODUCT_UNITS]=""),"",[@TOTAL_WEIGHT_PER_UNIT_G]*[@QTY_PRODUCT_UNITS])</f>
        <v/>
      </c>
      <c r="O13" s="37">
        <f>IF([@SHIPMENT_PACKAGING_WEIGHT_G]="","",[@SHIPMENT_PACKAGING_WEIGHT_G]/1000)</f>
        <v/>
      </c>
    </row>
    <row r="14">
      <c r="A14" s="37" t="n">
        <v>13</v>
      </c>
      <c r="B14" s="37">
        <f>IFERROR(INDEX(T_SHIPMENT[SHIPMENT_ID],[@ROW_INDEX]),"")</f>
        <v/>
      </c>
      <c r="C14" s="37">
        <f>IFERROR(INDEX(T_SHIPMENT[SHIPMENT_NUMBER],[@ROW_INDEX]),"")</f>
        <v/>
      </c>
      <c r="D14" s="37">
        <f>IFERROR(INDEX(T_SHIPMENT[QTY_PRODUCT_UNITS],[@ROW_INDEX]),"")</f>
        <v/>
      </c>
      <c r="E14" s="37">
        <f>IFERROR(INDEX(T_SHIPMENT[PACKAGING_CONFIGURATION_ID],[@ROW_INDEX]),"")</f>
        <v/>
      </c>
      <c r="F14" s="37">
        <f>IFERROR(INDEX(T_SHIPMENT[TRANSPORT_CONFIGURATION_ID],[@ROW_INDEX]),"")</f>
        <v/>
      </c>
      <c r="G14" s="37">
        <f>IF([@TRANSPORT_CONFIGURATION_ID]="","",IFERROR(INDEX(T_TRANSPORT_CONFIGURATION[UNITS_PER_LAYER],MATCH([@TRANSPORT_CONFIGURATION_ID],T_TRANSPORT_CONFIGURATION[TRANSPORT_CONFIGURATION_ID],0)),""))</f>
        <v/>
      </c>
      <c r="H14" s="37">
        <f>IF([@TRANSPORT_CONFIGURATION_ID]="","",IFERROR(INDEX(T_TRANSPORT_CONFIGURATION[LAYERS_PER_UNIT],MATCH([@TRANSPORT_CONFIGURATION_ID],T_TRANSPORT_CONFIGURATION[TRANSPORT_CONFIGURATION_ID],0)),""))</f>
        <v/>
      </c>
      <c r="I14" s="37">
        <f>IF([@TRANSPORT_CONFIGURATION_ID]="","",IFERROR(INDEX(T_TRANSPORT_CONFIGURATION[CONTAINER_PAYLOAD_UNITS],MATCH([@TRANSPORT_CONFIGURATION_ID],T_TRANSPORT_CONFIGURATION[TRANSPORT_CONFIGURATION_ID],0)),""))</f>
        <v/>
      </c>
      <c r="J14" s="37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14" s="37">
        <f>IF([@PACKAGING_CONFIGURATION_ID]="","",SUMIF(T_ENG_PACKAGING_WEIGHT[PACKAGING_CONFIGURATION_ID],[@PACKAGING_CONFIGURATION_ID],T_ENG_PACKAGING_WEIGHT[LINE_WEIGHT_G]))</f>
        <v/>
      </c>
      <c r="L14" s="37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14" s="37">
        <f>IF(OR([@PACKAGING_WEIGHT_PER_UNIT_G]="",[@TRANSPORT_WEIGHT_PER_UNIT_G]=""),IF([@PACKAGING_WEIGHT_PER_UNIT_G]="","",[@PACKAGING_WEIGHT_PER_UNIT_G]),[@PACKAGING_WEIGHT_PER_UNIT_G]+[@TRANSPORT_WEIGHT_PER_UNIT_G])</f>
        <v/>
      </c>
      <c r="N14" s="37">
        <f>IF(OR([@TOTAL_WEIGHT_PER_UNIT_G]="",[@QTY_PRODUCT_UNITS]=""),"",[@TOTAL_WEIGHT_PER_UNIT_G]*[@QTY_PRODUCT_UNITS])</f>
        <v/>
      </c>
      <c r="O14" s="37">
        <f>IF([@SHIPMENT_PACKAGING_WEIGHT_G]="","",[@SHIPMENT_PACKAGING_WEIGHT_G]/1000)</f>
        <v/>
      </c>
    </row>
    <row r="15">
      <c r="A15" s="37" t="n">
        <v>14</v>
      </c>
      <c r="B15" s="37">
        <f>IFERROR(INDEX(T_SHIPMENT[SHIPMENT_ID],[@ROW_INDEX]),"")</f>
        <v/>
      </c>
      <c r="C15" s="37">
        <f>IFERROR(INDEX(T_SHIPMENT[SHIPMENT_NUMBER],[@ROW_INDEX]),"")</f>
        <v/>
      </c>
      <c r="D15" s="37">
        <f>IFERROR(INDEX(T_SHIPMENT[QTY_PRODUCT_UNITS],[@ROW_INDEX]),"")</f>
        <v/>
      </c>
      <c r="E15" s="37">
        <f>IFERROR(INDEX(T_SHIPMENT[PACKAGING_CONFIGURATION_ID],[@ROW_INDEX]),"")</f>
        <v/>
      </c>
      <c r="F15" s="37">
        <f>IFERROR(INDEX(T_SHIPMENT[TRANSPORT_CONFIGURATION_ID],[@ROW_INDEX]),"")</f>
        <v/>
      </c>
      <c r="G15" s="37">
        <f>IF([@TRANSPORT_CONFIGURATION_ID]="","",IFERROR(INDEX(T_TRANSPORT_CONFIGURATION[UNITS_PER_LAYER],MATCH([@TRANSPORT_CONFIGURATION_ID],T_TRANSPORT_CONFIGURATION[TRANSPORT_CONFIGURATION_ID],0)),""))</f>
        <v/>
      </c>
      <c r="H15" s="37">
        <f>IF([@TRANSPORT_CONFIGURATION_ID]="","",IFERROR(INDEX(T_TRANSPORT_CONFIGURATION[LAYERS_PER_UNIT],MATCH([@TRANSPORT_CONFIGURATION_ID],T_TRANSPORT_CONFIGURATION[TRANSPORT_CONFIGURATION_ID],0)),""))</f>
        <v/>
      </c>
      <c r="I15" s="37">
        <f>IF([@TRANSPORT_CONFIGURATION_ID]="","",IFERROR(INDEX(T_TRANSPORT_CONFIGURATION[CONTAINER_PAYLOAD_UNITS],MATCH([@TRANSPORT_CONFIGURATION_ID],T_TRANSPORT_CONFIGURATION[TRANSPORT_CONFIGURATION_ID],0)),""))</f>
        <v/>
      </c>
      <c r="J15" s="37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15" s="37">
        <f>IF([@PACKAGING_CONFIGURATION_ID]="","",SUMIF(T_ENG_PACKAGING_WEIGHT[PACKAGING_CONFIGURATION_ID],[@PACKAGING_CONFIGURATION_ID],T_ENG_PACKAGING_WEIGHT[LINE_WEIGHT_G]))</f>
        <v/>
      </c>
      <c r="L15" s="37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15" s="37">
        <f>IF(OR([@PACKAGING_WEIGHT_PER_UNIT_G]="",[@TRANSPORT_WEIGHT_PER_UNIT_G]=""),IF([@PACKAGING_WEIGHT_PER_UNIT_G]="","",[@PACKAGING_WEIGHT_PER_UNIT_G]),[@PACKAGING_WEIGHT_PER_UNIT_G]+[@TRANSPORT_WEIGHT_PER_UNIT_G])</f>
        <v/>
      </c>
      <c r="N15" s="37">
        <f>IF(OR([@TOTAL_WEIGHT_PER_UNIT_G]="",[@QTY_PRODUCT_UNITS]=""),"",[@TOTAL_WEIGHT_PER_UNIT_G]*[@QTY_PRODUCT_UNITS])</f>
        <v/>
      </c>
      <c r="O15" s="37">
        <f>IF([@SHIPMENT_PACKAGING_WEIGHT_G]="","",[@SHIPMENT_PACKAGING_WEIGHT_G]/1000)</f>
        <v/>
      </c>
    </row>
    <row r="16">
      <c r="A16" s="37" t="n">
        <v>15</v>
      </c>
      <c r="B16" s="37">
        <f>IFERROR(INDEX(T_SHIPMENT[SHIPMENT_ID],[@ROW_INDEX]),"")</f>
        <v/>
      </c>
      <c r="C16" s="37">
        <f>IFERROR(INDEX(T_SHIPMENT[SHIPMENT_NUMBER],[@ROW_INDEX]),"")</f>
        <v/>
      </c>
      <c r="D16" s="37">
        <f>IFERROR(INDEX(T_SHIPMENT[QTY_PRODUCT_UNITS],[@ROW_INDEX]),"")</f>
        <v/>
      </c>
      <c r="E16" s="37">
        <f>IFERROR(INDEX(T_SHIPMENT[PACKAGING_CONFIGURATION_ID],[@ROW_INDEX]),"")</f>
        <v/>
      </c>
      <c r="F16" s="37">
        <f>IFERROR(INDEX(T_SHIPMENT[TRANSPORT_CONFIGURATION_ID],[@ROW_INDEX]),"")</f>
        <v/>
      </c>
      <c r="G16" s="37">
        <f>IF([@TRANSPORT_CONFIGURATION_ID]="","",IFERROR(INDEX(T_TRANSPORT_CONFIGURATION[UNITS_PER_LAYER],MATCH([@TRANSPORT_CONFIGURATION_ID],T_TRANSPORT_CONFIGURATION[TRANSPORT_CONFIGURATION_ID],0)),""))</f>
        <v/>
      </c>
      <c r="H16" s="37">
        <f>IF([@TRANSPORT_CONFIGURATION_ID]="","",IFERROR(INDEX(T_TRANSPORT_CONFIGURATION[LAYERS_PER_UNIT],MATCH([@TRANSPORT_CONFIGURATION_ID],T_TRANSPORT_CONFIGURATION[TRANSPORT_CONFIGURATION_ID],0)),""))</f>
        <v/>
      </c>
      <c r="I16" s="37">
        <f>IF([@TRANSPORT_CONFIGURATION_ID]="","",IFERROR(INDEX(T_TRANSPORT_CONFIGURATION[CONTAINER_PAYLOAD_UNITS],MATCH([@TRANSPORT_CONFIGURATION_ID],T_TRANSPORT_CONFIGURATION[TRANSPORT_CONFIGURATION_ID],0)),""))</f>
        <v/>
      </c>
      <c r="J16" s="37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16" s="37">
        <f>IF([@PACKAGING_CONFIGURATION_ID]="","",SUMIF(T_ENG_PACKAGING_WEIGHT[PACKAGING_CONFIGURATION_ID],[@PACKAGING_CONFIGURATION_ID],T_ENG_PACKAGING_WEIGHT[LINE_WEIGHT_G]))</f>
        <v/>
      </c>
      <c r="L16" s="37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16" s="37">
        <f>IF(OR([@PACKAGING_WEIGHT_PER_UNIT_G]="",[@TRANSPORT_WEIGHT_PER_UNIT_G]=""),IF([@PACKAGING_WEIGHT_PER_UNIT_G]="","",[@PACKAGING_WEIGHT_PER_UNIT_G]),[@PACKAGING_WEIGHT_PER_UNIT_G]+[@TRANSPORT_WEIGHT_PER_UNIT_G])</f>
        <v/>
      </c>
      <c r="N16" s="37">
        <f>IF(OR([@TOTAL_WEIGHT_PER_UNIT_G]="",[@QTY_PRODUCT_UNITS]=""),"",[@TOTAL_WEIGHT_PER_UNIT_G]*[@QTY_PRODUCT_UNITS])</f>
        <v/>
      </c>
      <c r="O16" s="37">
        <f>IF([@SHIPMENT_PACKAGING_WEIGHT_G]="","",[@SHIPMENT_PACKAGING_WEIGHT_G]/1000)</f>
        <v/>
      </c>
    </row>
    <row r="17">
      <c r="A17" s="37" t="n">
        <v>16</v>
      </c>
      <c r="B17" s="37">
        <f>IFERROR(INDEX(T_SHIPMENT[SHIPMENT_ID],[@ROW_INDEX]),"")</f>
        <v/>
      </c>
      <c r="C17" s="37">
        <f>IFERROR(INDEX(T_SHIPMENT[SHIPMENT_NUMBER],[@ROW_INDEX]),"")</f>
        <v/>
      </c>
      <c r="D17" s="37">
        <f>IFERROR(INDEX(T_SHIPMENT[QTY_PRODUCT_UNITS],[@ROW_INDEX]),"")</f>
        <v/>
      </c>
      <c r="E17" s="37">
        <f>IFERROR(INDEX(T_SHIPMENT[PACKAGING_CONFIGURATION_ID],[@ROW_INDEX]),"")</f>
        <v/>
      </c>
      <c r="F17" s="37">
        <f>IFERROR(INDEX(T_SHIPMENT[TRANSPORT_CONFIGURATION_ID],[@ROW_INDEX]),"")</f>
        <v/>
      </c>
      <c r="G17" s="37">
        <f>IF([@TRANSPORT_CONFIGURATION_ID]="","",IFERROR(INDEX(T_TRANSPORT_CONFIGURATION[UNITS_PER_LAYER],MATCH([@TRANSPORT_CONFIGURATION_ID],T_TRANSPORT_CONFIGURATION[TRANSPORT_CONFIGURATION_ID],0)),""))</f>
        <v/>
      </c>
      <c r="H17" s="37">
        <f>IF([@TRANSPORT_CONFIGURATION_ID]="","",IFERROR(INDEX(T_TRANSPORT_CONFIGURATION[LAYERS_PER_UNIT],MATCH([@TRANSPORT_CONFIGURATION_ID],T_TRANSPORT_CONFIGURATION[TRANSPORT_CONFIGURATION_ID],0)),""))</f>
        <v/>
      </c>
      <c r="I17" s="37">
        <f>IF([@TRANSPORT_CONFIGURATION_ID]="","",IFERROR(INDEX(T_TRANSPORT_CONFIGURATION[CONTAINER_PAYLOAD_UNITS],MATCH([@TRANSPORT_CONFIGURATION_ID],T_TRANSPORT_CONFIGURATION[TRANSPORT_CONFIGURATION_ID],0)),""))</f>
        <v/>
      </c>
      <c r="J17" s="37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17" s="37">
        <f>IF([@PACKAGING_CONFIGURATION_ID]="","",SUMIF(T_ENG_PACKAGING_WEIGHT[PACKAGING_CONFIGURATION_ID],[@PACKAGING_CONFIGURATION_ID],T_ENG_PACKAGING_WEIGHT[LINE_WEIGHT_G]))</f>
        <v/>
      </c>
      <c r="L17" s="37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17" s="37">
        <f>IF(OR([@PACKAGING_WEIGHT_PER_UNIT_G]="",[@TRANSPORT_WEIGHT_PER_UNIT_G]=""),IF([@PACKAGING_WEIGHT_PER_UNIT_G]="","",[@PACKAGING_WEIGHT_PER_UNIT_G]),[@PACKAGING_WEIGHT_PER_UNIT_G]+[@TRANSPORT_WEIGHT_PER_UNIT_G])</f>
        <v/>
      </c>
      <c r="N17" s="37">
        <f>IF(OR([@TOTAL_WEIGHT_PER_UNIT_G]="",[@QTY_PRODUCT_UNITS]=""),"",[@TOTAL_WEIGHT_PER_UNIT_G]*[@QTY_PRODUCT_UNITS])</f>
        <v/>
      </c>
      <c r="O17" s="37">
        <f>IF([@SHIPMENT_PACKAGING_WEIGHT_G]="","",[@SHIPMENT_PACKAGING_WEIGHT_G]/1000)</f>
        <v/>
      </c>
    </row>
    <row r="18">
      <c r="A18" s="37" t="n">
        <v>17</v>
      </c>
      <c r="B18" s="37">
        <f>IFERROR(INDEX(T_SHIPMENT[SHIPMENT_ID],[@ROW_INDEX]),"")</f>
        <v/>
      </c>
      <c r="C18" s="37">
        <f>IFERROR(INDEX(T_SHIPMENT[SHIPMENT_NUMBER],[@ROW_INDEX]),"")</f>
        <v/>
      </c>
      <c r="D18" s="37">
        <f>IFERROR(INDEX(T_SHIPMENT[QTY_PRODUCT_UNITS],[@ROW_INDEX]),"")</f>
        <v/>
      </c>
      <c r="E18" s="37">
        <f>IFERROR(INDEX(T_SHIPMENT[PACKAGING_CONFIGURATION_ID],[@ROW_INDEX]),"")</f>
        <v/>
      </c>
      <c r="F18" s="37">
        <f>IFERROR(INDEX(T_SHIPMENT[TRANSPORT_CONFIGURATION_ID],[@ROW_INDEX]),"")</f>
        <v/>
      </c>
      <c r="G18" s="37">
        <f>IF([@TRANSPORT_CONFIGURATION_ID]="","",IFERROR(INDEX(T_TRANSPORT_CONFIGURATION[UNITS_PER_LAYER],MATCH([@TRANSPORT_CONFIGURATION_ID],T_TRANSPORT_CONFIGURATION[TRANSPORT_CONFIGURATION_ID],0)),""))</f>
        <v/>
      </c>
      <c r="H18" s="37">
        <f>IF([@TRANSPORT_CONFIGURATION_ID]="","",IFERROR(INDEX(T_TRANSPORT_CONFIGURATION[LAYERS_PER_UNIT],MATCH([@TRANSPORT_CONFIGURATION_ID],T_TRANSPORT_CONFIGURATION[TRANSPORT_CONFIGURATION_ID],0)),""))</f>
        <v/>
      </c>
      <c r="I18" s="37">
        <f>IF([@TRANSPORT_CONFIGURATION_ID]="","",IFERROR(INDEX(T_TRANSPORT_CONFIGURATION[CONTAINER_PAYLOAD_UNITS],MATCH([@TRANSPORT_CONFIGURATION_ID],T_TRANSPORT_CONFIGURATION[TRANSPORT_CONFIGURATION_ID],0)),""))</f>
        <v/>
      </c>
      <c r="J18" s="37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18" s="37">
        <f>IF([@PACKAGING_CONFIGURATION_ID]="","",SUMIF(T_ENG_PACKAGING_WEIGHT[PACKAGING_CONFIGURATION_ID],[@PACKAGING_CONFIGURATION_ID],T_ENG_PACKAGING_WEIGHT[LINE_WEIGHT_G]))</f>
        <v/>
      </c>
      <c r="L18" s="37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18" s="37">
        <f>IF(OR([@PACKAGING_WEIGHT_PER_UNIT_G]="",[@TRANSPORT_WEIGHT_PER_UNIT_G]=""),IF([@PACKAGING_WEIGHT_PER_UNIT_G]="","",[@PACKAGING_WEIGHT_PER_UNIT_G]),[@PACKAGING_WEIGHT_PER_UNIT_G]+[@TRANSPORT_WEIGHT_PER_UNIT_G])</f>
        <v/>
      </c>
      <c r="N18" s="37">
        <f>IF(OR([@TOTAL_WEIGHT_PER_UNIT_G]="",[@QTY_PRODUCT_UNITS]=""),"",[@TOTAL_WEIGHT_PER_UNIT_G]*[@QTY_PRODUCT_UNITS])</f>
        <v/>
      </c>
      <c r="O18" s="37">
        <f>IF([@SHIPMENT_PACKAGING_WEIGHT_G]="","",[@SHIPMENT_PACKAGING_WEIGHT_G]/1000)</f>
        <v/>
      </c>
    </row>
    <row r="19">
      <c r="A19" s="37" t="n">
        <v>18</v>
      </c>
      <c r="B19" s="37">
        <f>IFERROR(INDEX(T_SHIPMENT[SHIPMENT_ID],[@ROW_INDEX]),"")</f>
        <v/>
      </c>
      <c r="C19" s="37">
        <f>IFERROR(INDEX(T_SHIPMENT[SHIPMENT_NUMBER],[@ROW_INDEX]),"")</f>
        <v/>
      </c>
      <c r="D19" s="37">
        <f>IFERROR(INDEX(T_SHIPMENT[QTY_PRODUCT_UNITS],[@ROW_INDEX]),"")</f>
        <v/>
      </c>
      <c r="E19" s="37">
        <f>IFERROR(INDEX(T_SHIPMENT[PACKAGING_CONFIGURATION_ID],[@ROW_INDEX]),"")</f>
        <v/>
      </c>
      <c r="F19" s="37">
        <f>IFERROR(INDEX(T_SHIPMENT[TRANSPORT_CONFIGURATION_ID],[@ROW_INDEX]),"")</f>
        <v/>
      </c>
      <c r="G19" s="37">
        <f>IF([@TRANSPORT_CONFIGURATION_ID]="","",IFERROR(INDEX(T_TRANSPORT_CONFIGURATION[UNITS_PER_LAYER],MATCH([@TRANSPORT_CONFIGURATION_ID],T_TRANSPORT_CONFIGURATION[TRANSPORT_CONFIGURATION_ID],0)),""))</f>
        <v/>
      </c>
      <c r="H19" s="37">
        <f>IF([@TRANSPORT_CONFIGURATION_ID]="","",IFERROR(INDEX(T_TRANSPORT_CONFIGURATION[LAYERS_PER_UNIT],MATCH([@TRANSPORT_CONFIGURATION_ID],T_TRANSPORT_CONFIGURATION[TRANSPORT_CONFIGURATION_ID],0)),""))</f>
        <v/>
      </c>
      <c r="I19" s="37">
        <f>IF([@TRANSPORT_CONFIGURATION_ID]="","",IFERROR(INDEX(T_TRANSPORT_CONFIGURATION[CONTAINER_PAYLOAD_UNITS],MATCH([@TRANSPORT_CONFIGURATION_ID],T_TRANSPORT_CONFIGURATION[TRANSPORT_CONFIGURATION_ID],0)),""))</f>
        <v/>
      </c>
      <c r="J19" s="37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19" s="37">
        <f>IF([@PACKAGING_CONFIGURATION_ID]="","",SUMIF(T_ENG_PACKAGING_WEIGHT[PACKAGING_CONFIGURATION_ID],[@PACKAGING_CONFIGURATION_ID],T_ENG_PACKAGING_WEIGHT[LINE_WEIGHT_G]))</f>
        <v/>
      </c>
      <c r="L19" s="37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19" s="37">
        <f>IF(OR([@PACKAGING_WEIGHT_PER_UNIT_G]="",[@TRANSPORT_WEIGHT_PER_UNIT_G]=""),IF([@PACKAGING_WEIGHT_PER_UNIT_G]="","",[@PACKAGING_WEIGHT_PER_UNIT_G]),[@PACKAGING_WEIGHT_PER_UNIT_G]+[@TRANSPORT_WEIGHT_PER_UNIT_G])</f>
        <v/>
      </c>
      <c r="N19" s="37">
        <f>IF(OR([@TOTAL_WEIGHT_PER_UNIT_G]="",[@QTY_PRODUCT_UNITS]=""),"",[@TOTAL_WEIGHT_PER_UNIT_G]*[@QTY_PRODUCT_UNITS])</f>
        <v/>
      </c>
      <c r="O19" s="37">
        <f>IF([@SHIPMENT_PACKAGING_WEIGHT_G]="","",[@SHIPMENT_PACKAGING_WEIGHT_G]/1000)</f>
        <v/>
      </c>
    </row>
    <row r="20">
      <c r="A20" s="37" t="n">
        <v>19</v>
      </c>
      <c r="B20" s="37">
        <f>IFERROR(INDEX(T_SHIPMENT[SHIPMENT_ID],[@ROW_INDEX]),"")</f>
        <v/>
      </c>
      <c r="C20" s="37">
        <f>IFERROR(INDEX(T_SHIPMENT[SHIPMENT_NUMBER],[@ROW_INDEX]),"")</f>
        <v/>
      </c>
      <c r="D20" s="37">
        <f>IFERROR(INDEX(T_SHIPMENT[QTY_PRODUCT_UNITS],[@ROW_INDEX]),"")</f>
        <v/>
      </c>
      <c r="E20" s="37">
        <f>IFERROR(INDEX(T_SHIPMENT[PACKAGING_CONFIGURATION_ID],[@ROW_INDEX]),"")</f>
        <v/>
      </c>
      <c r="F20" s="37">
        <f>IFERROR(INDEX(T_SHIPMENT[TRANSPORT_CONFIGURATION_ID],[@ROW_INDEX]),"")</f>
        <v/>
      </c>
      <c r="G20" s="37">
        <f>IF([@TRANSPORT_CONFIGURATION_ID]="","",IFERROR(INDEX(T_TRANSPORT_CONFIGURATION[UNITS_PER_LAYER],MATCH([@TRANSPORT_CONFIGURATION_ID],T_TRANSPORT_CONFIGURATION[TRANSPORT_CONFIGURATION_ID],0)),""))</f>
        <v/>
      </c>
      <c r="H20" s="37">
        <f>IF([@TRANSPORT_CONFIGURATION_ID]="","",IFERROR(INDEX(T_TRANSPORT_CONFIGURATION[LAYERS_PER_UNIT],MATCH([@TRANSPORT_CONFIGURATION_ID],T_TRANSPORT_CONFIGURATION[TRANSPORT_CONFIGURATION_ID],0)),""))</f>
        <v/>
      </c>
      <c r="I20" s="37">
        <f>IF([@TRANSPORT_CONFIGURATION_ID]="","",IFERROR(INDEX(T_TRANSPORT_CONFIGURATION[CONTAINER_PAYLOAD_UNITS],MATCH([@TRANSPORT_CONFIGURATION_ID],T_TRANSPORT_CONFIGURATION[TRANSPORT_CONFIGURATION_ID],0)),""))</f>
        <v/>
      </c>
      <c r="J20" s="37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20" s="37">
        <f>IF([@PACKAGING_CONFIGURATION_ID]="","",SUMIF(T_ENG_PACKAGING_WEIGHT[PACKAGING_CONFIGURATION_ID],[@PACKAGING_CONFIGURATION_ID],T_ENG_PACKAGING_WEIGHT[LINE_WEIGHT_G]))</f>
        <v/>
      </c>
      <c r="L20" s="37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20" s="37">
        <f>IF(OR([@PACKAGING_WEIGHT_PER_UNIT_G]="",[@TRANSPORT_WEIGHT_PER_UNIT_G]=""),IF([@PACKAGING_WEIGHT_PER_UNIT_G]="","",[@PACKAGING_WEIGHT_PER_UNIT_G]),[@PACKAGING_WEIGHT_PER_UNIT_G]+[@TRANSPORT_WEIGHT_PER_UNIT_G])</f>
        <v/>
      </c>
      <c r="N20" s="37">
        <f>IF(OR([@TOTAL_WEIGHT_PER_UNIT_G]="",[@QTY_PRODUCT_UNITS]=""),"",[@TOTAL_WEIGHT_PER_UNIT_G]*[@QTY_PRODUCT_UNITS])</f>
        <v/>
      </c>
      <c r="O20" s="37">
        <f>IF([@SHIPMENT_PACKAGING_WEIGHT_G]="","",[@SHIPMENT_PACKAGING_WEIGHT_G]/1000)</f>
        <v/>
      </c>
    </row>
    <row r="21">
      <c r="A21" s="37" t="n">
        <v>20</v>
      </c>
      <c r="B21" s="37">
        <f>IFERROR(INDEX(T_SHIPMENT[SHIPMENT_ID],[@ROW_INDEX]),"")</f>
        <v/>
      </c>
      <c r="C21" s="37">
        <f>IFERROR(INDEX(T_SHIPMENT[SHIPMENT_NUMBER],[@ROW_INDEX]),"")</f>
        <v/>
      </c>
      <c r="D21" s="37">
        <f>IFERROR(INDEX(T_SHIPMENT[QTY_PRODUCT_UNITS],[@ROW_INDEX]),"")</f>
        <v/>
      </c>
      <c r="E21" s="37">
        <f>IFERROR(INDEX(T_SHIPMENT[PACKAGING_CONFIGURATION_ID],[@ROW_INDEX]),"")</f>
        <v/>
      </c>
      <c r="F21" s="37">
        <f>IFERROR(INDEX(T_SHIPMENT[TRANSPORT_CONFIGURATION_ID],[@ROW_INDEX]),"")</f>
        <v/>
      </c>
      <c r="G21" s="37">
        <f>IF([@TRANSPORT_CONFIGURATION_ID]="","",IFERROR(INDEX(T_TRANSPORT_CONFIGURATION[UNITS_PER_LAYER],MATCH([@TRANSPORT_CONFIGURATION_ID],T_TRANSPORT_CONFIGURATION[TRANSPORT_CONFIGURATION_ID],0)),""))</f>
        <v/>
      </c>
      <c r="H21" s="37">
        <f>IF([@TRANSPORT_CONFIGURATION_ID]="","",IFERROR(INDEX(T_TRANSPORT_CONFIGURATION[LAYERS_PER_UNIT],MATCH([@TRANSPORT_CONFIGURATION_ID],T_TRANSPORT_CONFIGURATION[TRANSPORT_CONFIGURATION_ID],0)),""))</f>
        <v/>
      </c>
      <c r="I21" s="37">
        <f>IF([@TRANSPORT_CONFIGURATION_ID]="","",IFERROR(INDEX(T_TRANSPORT_CONFIGURATION[CONTAINER_PAYLOAD_UNITS],MATCH([@TRANSPORT_CONFIGURATION_ID],T_TRANSPORT_CONFIGURATION[TRANSPORT_CONFIGURATION_ID],0)),""))</f>
        <v/>
      </c>
      <c r="J21" s="37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21" s="37">
        <f>IF([@PACKAGING_CONFIGURATION_ID]="","",SUMIF(T_ENG_PACKAGING_WEIGHT[PACKAGING_CONFIGURATION_ID],[@PACKAGING_CONFIGURATION_ID],T_ENG_PACKAGING_WEIGHT[LINE_WEIGHT_G]))</f>
        <v/>
      </c>
      <c r="L21" s="37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21" s="37">
        <f>IF(OR([@PACKAGING_WEIGHT_PER_UNIT_G]="",[@TRANSPORT_WEIGHT_PER_UNIT_G]=""),IF([@PACKAGING_WEIGHT_PER_UNIT_G]="","",[@PACKAGING_WEIGHT_PER_UNIT_G]),[@PACKAGING_WEIGHT_PER_UNIT_G]+[@TRANSPORT_WEIGHT_PER_UNIT_G])</f>
        <v/>
      </c>
      <c r="N21" s="37">
        <f>IF(OR([@TOTAL_WEIGHT_PER_UNIT_G]="",[@QTY_PRODUCT_UNITS]=""),"",[@TOTAL_WEIGHT_PER_UNIT_G]*[@QTY_PRODUCT_UNITS])</f>
        <v/>
      </c>
      <c r="O21" s="37">
        <f>IF([@SHIPMENT_PACKAGING_WEIGHT_G]="","",[@SHIPMENT_PACKAGING_WEIGHT_G]/1000)</f>
        <v/>
      </c>
    </row>
    <row r="22">
      <c r="A22" s="37" t="n">
        <v>21</v>
      </c>
      <c r="B22" s="37">
        <f>IFERROR(INDEX(T_SHIPMENT[SHIPMENT_ID],[@ROW_INDEX]),"")</f>
        <v/>
      </c>
      <c r="C22" s="37">
        <f>IFERROR(INDEX(T_SHIPMENT[SHIPMENT_NUMBER],[@ROW_INDEX]),"")</f>
        <v/>
      </c>
      <c r="D22" s="37">
        <f>IFERROR(INDEX(T_SHIPMENT[QTY_PRODUCT_UNITS],[@ROW_INDEX]),"")</f>
        <v/>
      </c>
      <c r="E22" s="37">
        <f>IFERROR(INDEX(T_SHIPMENT[PACKAGING_CONFIGURATION_ID],[@ROW_INDEX]),"")</f>
        <v/>
      </c>
      <c r="F22" s="37">
        <f>IFERROR(INDEX(T_SHIPMENT[TRANSPORT_CONFIGURATION_ID],[@ROW_INDEX]),"")</f>
        <v/>
      </c>
      <c r="G22" s="37">
        <f>IF([@TRANSPORT_CONFIGURATION_ID]="","",IFERROR(INDEX(T_TRANSPORT_CONFIGURATION[UNITS_PER_LAYER],MATCH([@TRANSPORT_CONFIGURATION_ID],T_TRANSPORT_CONFIGURATION[TRANSPORT_CONFIGURATION_ID],0)),""))</f>
        <v/>
      </c>
      <c r="H22" s="37">
        <f>IF([@TRANSPORT_CONFIGURATION_ID]="","",IFERROR(INDEX(T_TRANSPORT_CONFIGURATION[LAYERS_PER_UNIT],MATCH([@TRANSPORT_CONFIGURATION_ID],T_TRANSPORT_CONFIGURATION[TRANSPORT_CONFIGURATION_ID],0)),""))</f>
        <v/>
      </c>
      <c r="I22" s="37">
        <f>IF([@TRANSPORT_CONFIGURATION_ID]="","",IFERROR(INDEX(T_TRANSPORT_CONFIGURATION[CONTAINER_PAYLOAD_UNITS],MATCH([@TRANSPORT_CONFIGURATION_ID],T_TRANSPORT_CONFIGURATION[TRANSPORT_CONFIGURATION_ID],0)),""))</f>
        <v/>
      </c>
      <c r="J22" s="37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22" s="37">
        <f>IF([@PACKAGING_CONFIGURATION_ID]="","",SUMIF(T_ENG_PACKAGING_WEIGHT[PACKAGING_CONFIGURATION_ID],[@PACKAGING_CONFIGURATION_ID],T_ENG_PACKAGING_WEIGHT[LINE_WEIGHT_G]))</f>
        <v/>
      </c>
      <c r="L22" s="37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22" s="37">
        <f>IF(OR([@PACKAGING_WEIGHT_PER_UNIT_G]="",[@TRANSPORT_WEIGHT_PER_UNIT_G]=""),IF([@PACKAGING_WEIGHT_PER_UNIT_G]="","",[@PACKAGING_WEIGHT_PER_UNIT_G]),[@PACKAGING_WEIGHT_PER_UNIT_G]+[@TRANSPORT_WEIGHT_PER_UNIT_G])</f>
        <v/>
      </c>
      <c r="N22" s="37">
        <f>IF(OR([@TOTAL_WEIGHT_PER_UNIT_G]="",[@QTY_PRODUCT_UNITS]=""),"",[@TOTAL_WEIGHT_PER_UNIT_G]*[@QTY_PRODUCT_UNITS])</f>
        <v/>
      </c>
      <c r="O22" s="37">
        <f>IF([@SHIPMENT_PACKAGING_WEIGHT_G]="","",[@SHIPMENT_PACKAGING_WEIGHT_G]/1000)</f>
        <v/>
      </c>
    </row>
    <row r="23">
      <c r="A23" s="37" t="n">
        <v>22</v>
      </c>
      <c r="B23" s="37">
        <f>IFERROR(INDEX(T_SHIPMENT[SHIPMENT_ID],[@ROW_INDEX]),"")</f>
        <v/>
      </c>
      <c r="C23" s="37">
        <f>IFERROR(INDEX(T_SHIPMENT[SHIPMENT_NUMBER],[@ROW_INDEX]),"")</f>
        <v/>
      </c>
      <c r="D23" s="37">
        <f>IFERROR(INDEX(T_SHIPMENT[QTY_PRODUCT_UNITS],[@ROW_INDEX]),"")</f>
        <v/>
      </c>
      <c r="E23" s="37">
        <f>IFERROR(INDEX(T_SHIPMENT[PACKAGING_CONFIGURATION_ID],[@ROW_INDEX]),"")</f>
        <v/>
      </c>
      <c r="F23" s="37">
        <f>IFERROR(INDEX(T_SHIPMENT[TRANSPORT_CONFIGURATION_ID],[@ROW_INDEX]),"")</f>
        <v/>
      </c>
      <c r="G23" s="37">
        <f>IF([@TRANSPORT_CONFIGURATION_ID]="","",IFERROR(INDEX(T_TRANSPORT_CONFIGURATION[UNITS_PER_LAYER],MATCH([@TRANSPORT_CONFIGURATION_ID],T_TRANSPORT_CONFIGURATION[TRANSPORT_CONFIGURATION_ID],0)),""))</f>
        <v/>
      </c>
      <c r="H23" s="37">
        <f>IF([@TRANSPORT_CONFIGURATION_ID]="","",IFERROR(INDEX(T_TRANSPORT_CONFIGURATION[LAYERS_PER_UNIT],MATCH([@TRANSPORT_CONFIGURATION_ID],T_TRANSPORT_CONFIGURATION[TRANSPORT_CONFIGURATION_ID],0)),""))</f>
        <v/>
      </c>
      <c r="I23" s="37">
        <f>IF([@TRANSPORT_CONFIGURATION_ID]="","",IFERROR(INDEX(T_TRANSPORT_CONFIGURATION[CONTAINER_PAYLOAD_UNITS],MATCH([@TRANSPORT_CONFIGURATION_ID],T_TRANSPORT_CONFIGURATION[TRANSPORT_CONFIGURATION_ID],0)),""))</f>
        <v/>
      </c>
      <c r="J23" s="37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23" s="37">
        <f>IF([@PACKAGING_CONFIGURATION_ID]="","",SUMIF(T_ENG_PACKAGING_WEIGHT[PACKAGING_CONFIGURATION_ID],[@PACKAGING_CONFIGURATION_ID],T_ENG_PACKAGING_WEIGHT[LINE_WEIGHT_G]))</f>
        <v/>
      </c>
      <c r="L23" s="37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23" s="37">
        <f>IF(OR([@PACKAGING_WEIGHT_PER_UNIT_G]="",[@TRANSPORT_WEIGHT_PER_UNIT_G]=""),IF([@PACKAGING_WEIGHT_PER_UNIT_G]="","",[@PACKAGING_WEIGHT_PER_UNIT_G]),[@PACKAGING_WEIGHT_PER_UNIT_G]+[@TRANSPORT_WEIGHT_PER_UNIT_G])</f>
        <v/>
      </c>
      <c r="N23" s="37">
        <f>IF(OR([@TOTAL_WEIGHT_PER_UNIT_G]="",[@QTY_PRODUCT_UNITS]=""),"",[@TOTAL_WEIGHT_PER_UNIT_G]*[@QTY_PRODUCT_UNITS])</f>
        <v/>
      </c>
      <c r="O23" s="37">
        <f>IF([@SHIPMENT_PACKAGING_WEIGHT_G]="","",[@SHIPMENT_PACKAGING_WEIGHT_G]/1000)</f>
        <v/>
      </c>
    </row>
    <row r="24">
      <c r="A24" s="37" t="n">
        <v>23</v>
      </c>
      <c r="B24" s="37">
        <f>IFERROR(INDEX(T_SHIPMENT[SHIPMENT_ID],[@ROW_INDEX]),"")</f>
        <v/>
      </c>
      <c r="C24" s="37">
        <f>IFERROR(INDEX(T_SHIPMENT[SHIPMENT_NUMBER],[@ROW_INDEX]),"")</f>
        <v/>
      </c>
      <c r="D24" s="37">
        <f>IFERROR(INDEX(T_SHIPMENT[QTY_PRODUCT_UNITS],[@ROW_INDEX]),"")</f>
        <v/>
      </c>
      <c r="E24" s="37">
        <f>IFERROR(INDEX(T_SHIPMENT[PACKAGING_CONFIGURATION_ID],[@ROW_INDEX]),"")</f>
        <v/>
      </c>
      <c r="F24" s="37">
        <f>IFERROR(INDEX(T_SHIPMENT[TRANSPORT_CONFIGURATION_ID],[@ROW_INDEX]),"")</f>
        <v/>
      </c>
      <c r="G24" s="37">
        <f>IF([@TRANSPORT_CONFIGURATION_ID]="","",IFERROR(INDEX(T_TRANSPORT_CONFIGURATION[UNITS_PER_LAYER],MATCH([@TRANSPORT_CONFIGURATION_ID],T_TRANSPORT_CONFIGURATION[TRANSPORT_CONFIGURATION_ID],0)),""))</f>
        <v/>
      </c>
      <c r="H24" s="37">
        <f>IF([@TRANSPORT_CONFIGURATION_ID]="","",IFERROR(INDEX(T_TRANSPORT_CONFIGURATION[LAYERS_PER_UNIT],MATCH([@TRANSPORT_CONFIGURATION_ID],T_TRANSPORT_CONFIGURATION[TRANSPORT_CONFIGURATION_ID],0)),""))</f>
        <v/>
      </c>
      <c r="I24" s="37">
        <f>IF([@TRANSPORT_CONFIGURATION_ID]="","",IFERROR(INDEX(T_TRANSPORT_CONFIGURATION[CONTAINER_PAYLOAD_UNITS],MATCH([@TRANSPORT_CONFIGURATION_ID],T_TRANSPORT_CONFIGURATION[TRANSPORT_CONFIGURATION_ID],0)),""))</f>
        <v/>
      </c>
      <c r="J24" s="37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24" s="37">
        <f>IF([@PACKAGING_CONFIGURATION_ID]="","",SUMIF(T_ENG_PACKAGING_WEIGHT[PACKAGING_CONFIGURATION_ID],[@PACKAGING_CONFIGURATION_ID],T_ENG_PACKAGING_WEIGHT[LINE_WEIGHT_G]))</f>
        <v/>
      </c>
      <c r="L24" s="37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24" s="37">
        <f>IF(OR([@PACKAGING_WEIGHT_PER_UNIT_G]="",[@TRANSPORT_WEIGHT_PER_UNIT_G]=""),IF([@PACKAGING_WEIGHT_PER_UNIT_G]="","",[@PACKAGING_WEIGHT_PER_UNIT_G]),[@PACKAGING_WEIGHT_PER_UNIT_G]+[@TRANSPORT_WEIGHT_PER_UNIT_G])</f>
        <v/>
      </c>
      <c r="N24" s="37">
        <f>IF(OR([@TOTAL_WEIGHT_PER_UNIT_G]="",[@QTY_PRODUCT_UNITS]=""),"",[@TOTAL_WEIGHT_PER_UNIT_G]*[@QTY_PRODUCT_UNITS])</f>
        <v/>
      </c>
      <c r="O24" s="37">
        <f>IF([@SHIPMENT_PACKAGING_WEIGHT_G]="","",[@SHIPMENT_PACKAGING_WEIGHT_G]/1000)</f>
        <v/>
      </c>
    </row>
    <row r="25">
      <c r="A25" s="37" t="n">
        <v>24</v>
      </c>
      <c r="B25" s="37">
        <f>IFERROR(INDEX(T_SHIPMENT[SHIPMENT_ID],[@ROW_INDEX]),"")</f>
        <v/>
      </c>
      <c r="C25" s="37">
        <f>IFERROR(INDEX(T_SHIPMENT[SHIPMENT_NUMBER],[@ROW_INDEX]),"")</f>
        <v/>
      </c>
      <c r="D25" s="37">
        <f>IFERROR(INDEX(T_SHIPMENT[QTY_PRODUCT_UNITS],[@ROW_INDEX]),"")</f>
        <v/>
      </c>
      <c r="E25" s="37">
        <f>IFERROR(INDEX(T_SHIPMENT[PACKAGING_CONFIGURATION_ID],[@ROW_INDEX]),"")</f>
        <v/>
      </c>
      <c r="F25" s="37">
        <f>IFERROR(INDEX(T_SHIPMENT[TRANSPORT_CONFIGURATION_ID],[@ROW_INDEX]),"")</f>
        <v/>
      </c>
      <c r="G25" s="37">
        <f>IF([@TRANSPORT_CONFIGURATION_ID]="","",IFERROR(INDEX(T_TRANSPORT_CONFIGURATION[UNITS_PER_LAYER],MATCH([@TRANSPORT_CONFIGURATION_ID],T_TRANSPORT_CONFIGURATION[TRANSPORT_CONFIGURATION_ID],0)),""))</f>
        <v/>
      </c>
      <c r="H25" s="37">
        <f>IF([@TRANSPORT_CONFIGURATION_ID]="","",IFERROR(INDEX(T_TRANSPORT_CONFIGURATION[LAYERS_PER_UNIT],MATCH([@TRANSPORT_CONFIGURATION_ID],T_TRANSPORT_CONFIGURATION[TRANSPORT_CONFIGURATION_ID],0)),""))</f>
        <v/>
      </c>
      <c r="I25" s="37">
        <f>IF([@TRANSPORT_CONFIGURATION_ID]="","",IFERROR(INDEX(T_TRANSPORT_CONFIGURATION[CONTAINER_PAYLOAD_UNITS],MATCH([@TRANSPORT_CONFIGURATION_ID],T_TRANSPORT_CONFIGURATION[TRANSPORT_CONFIGURATION_ID],0)),""))</f>
        <v/>
      </c>
      <c r="J25" s="37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25" s="37">
        <f>IF([@PACKAGING_CONFIGURATION_ID]="","",SUMIF(T_ENG_PACKAGING_WEIGHT[PACKAGING_CONFIGURATION_ID],[@PACKAGING_CONFIGURATION_ID],T_ENG_PACKAGING_WEIGHT[LINE_WEIGHT_G]))</f>
        <v/>
      </c>
      <c r="L25" s="37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25" s="37">
        <f>IF(OR([@PACKAGING_WEIGHT_PER_UNIT_G]="",[@TRANSPORT_WEIGHT_PER_UNIT_G]=""),IF([@PACKAGING_WEIGHT_PER_UNIT_G]="","",[@PACKAGING_WEIGHT_PER_UNIT_G]),[@PACKAGING_WEIGHT_PER_UNIT_G]+[@TRANSPORT_WEIGHT_PER_UNIT_G])</f>
        <v/>
      </c>
      <c r="N25" s="37">
        <f>IF(OR([@TOTAL_WEIGHT_PER_UNIT_G]="",[@QTY_PRODUCT_UNITS]=""),"",[@TOTAL_WEIGHT_PER_UNIT_G]*[@QTY_PRODUCT_UNITS])</f>
        <v/>
      </c>
      <c r="O25" s="37">
        <f>IF([@SHIPMENT_PACKAGING_WEIGHT_G]="","",[@SHIPMENT_PACKAGING_WEIGHT_G]/1000)</f>
        <v/>
      </c>
    </row>
    <row r="26">
      <c r="A26" s="37" t="n">
        <v>25</v>
      </c>
      <c r="B26" s="37">
        <f>IFERROR(INDEX(T_SHIPMENT[SHIPMENT_ID],[@ROW_INDEX]),"")</f>
        <v/>
      </c>
      <c r="C26" s="37">
        <f>IFERROR(INDEX(T_SHIPMENT[SHIPMENT_NUMBER],[@ROW_INDEX]),"")</f>
        <v/>
      </c>
      <c r="D26" s="37">
        <f>IFERROR(INDEX(T_SHIPMENT[QTY_PRODUCT_UNITS],[@ROW_INDEX]),"")</f>
        <v/>
      </c>
      <c r="E26" s="37">
        <f>IFERROR(INDEX(T_SHIPMENT[PACKAGING_CONFIGURATION_ID],[@ROW_INDEX]),"")</f>
        <v/>
      </c>
      <c r="F26" s="37">
        <f>IFERROR(INDEX(T_SHIPMENT[TRANSPORT_CONFIGURATION_ID],[@ROW_INDEX]),"")</f>
        <v/>
      </c>
      <c r="G26" s="37">
        <f>IF([@TRANSPORT_CONFIGURATION_ID]="","",IFERROR(INDEX(T_TRANSPORT_CONFIGURATION[UNITS_PER_LAYER],MATCH([@TRANSPORT_CONFIGURATION_ID],T_TRANSPORT_CONFIGURATION[TRANSPORT_CONFIGURATION_ID],0)),""))</f>
        <v/>
      </c>
      <c r="H26" s="37">
        <f>IF([@TRANSPORT_CONFIGURATION_ID]="","",IFERROR(INDEX(T_TRANSPORT_CONFIGURATION[LAYERS_PER_UNIT],MATCH([@TRANSPORT_CONFIGURATION_ID],T_TRANSPORT_CONFIGURATION[TRANSPORT_CONFIGURATION_ID],0)),""))</f>
        <v/>
      </c>
      <c r="I26" s="37">
        <f>IF([@TRANSPORT_CONFIGURATION_ID]="","",IFERROR(INDEX(T_TRANSPORT_CONFIGURATION[CONTAINER_PAYLOAD_UNITS],MATCH([@TRANSPORT_CONFIGURATION_ID],T_TRANSPORT_CONFIGURATION[TRANSPORT_CONFIGURATION_ID],0)),""))</f>
        <v/>
      </c>
      <c r="J26" s="37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26" s="37">
        <f>IF([@PACKAGING_CONFIGURATION_ID]="","",SUMIF(T_ENG_PACKAGING_WEIGHT[PACKAGING_CONFIGURATION_ID],[@PACKAGING_CONFIGURATION_ID],T_ENG_PACKAGING_WEIGHT[LINE_WEIGHT_G]))</f>
        <v/>
      </c>
      <c r="L26" s="37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26" s="37">
        <f>IF(OR([@PACKAGING_WEIGHT_PER_UNIT_G]="",[@TRANSPORT_WEIGHT_PER_UNIT_G]=""),IF([@PACKAGING_WEIGHT_PER_UNIT_G]="","",[@PACKAGING_WEIGHT_PER_UNIT_G]),[@PACKAGING_WEIGHT_PER_UNIT_G]+[@TRANSPORT_WEIGHT_PER_UNIT_G])</f>
        <v/>
      </c>
      <c r="N26" s="37">
        <f>IF(OR([@TOTAL_WEIGHT_PER_UNIT_G]="",[@QTY_PRODUCT_UNITS]=""),"",[@TOTAL_WEIGHT_PER_UNIT_G]*[@QTY_PRODUCT_UNITS])</f>
        <v/>
      </c>
      <c r="O26" s="37">
        <f>IF([@SHIPMENT_PACKAGING_WEIGHT_G]="","",[@SHIPMENT_PACKAGING_WEIGHT_G]/1000)</f>
        <v/>
      </c>
    </row>
    <row r="27">
      <c r="A27" s="37" t="n">
        <v>26</v>
      </c>
      <c r="B27" s="37">
        <f>IFERROR(INDEX(T_SHIPMENT[SHIPMENT_ID],[@ROW_INDEX]),"")</f>
        <v/>
      </c>
      <c r="C27" s="37">
        <f>IFERROR(INDEX(T_SHIPMENT[SHIPMENT_NUMBER],[@ROW_INDEX]),"")</f>
        <v/>
      </c>
      <c r="D27" s="37">
        <f>IFERROR(INDEX(T_SHIPMENT[QTY_PRODUCT_UNITS],[@ROW_INDEX]),"")</f>
        <v/>
      </c>
      <c r="E27" s="37">
        <f>IFERROR(INDEX(T_SHIPMENT[PACKAGING_CONFIGURATION_ID],[@ROW_INDEX]),"")</f>
        <v/>
      </c>
      <c r="F27" s="37">
        <f>IFERROR(INDEX(T_SHIPMENT[TRANSPORT_CONFIGURATION_ID],[@ROW_INDEX]),"")</f>
        <v/>
      </c>
      <c r="G27" s="37">
        <f>IF([@TRANSPORT_CONFIGURATION_ID]="","",IFERROR(INDEX(T_TRANSPORT_CONFIGURATION[UNITS_PER_LAYER],MATCH([@TRANSPORT_CONFIGURATION_ID],T_TRANSPORT_CONFIGURATION[TRANSPORT_CONFIGURATION_ID],0)),""))</f>
        <v/>
      </c>
      <c r="H27" s="37">
        <f>IF([@TRANSPORT_CONFIGURATION_ID]="","",IFERROR(INDEX(T_TRANSPORT_CONFIGURATION[LAYERS_PER_UNIT],MATCH([@TRANSPORT_CONFIGURATION_ID],T_TRANSPORT_CONFIGURATION[TRANSPORT_CONFIGURATION_ID],0)),""))</f>
        <v/>
      </c>
      <c r="I27" s="37">
        <f>IF([@TRANSPORT_CONFIGURATION_ID]="","",IFERROR(INDEX(T_TRANSPORT_CONFIGURATION[CONTAINER_PAYLOAD_UNITS],MATCH([@TRANSPORT_CONFIGURATION_ID],T_TRANSPORT_CONFIGURATION[TRANSPORT_CONFIGURATION_ID],0)),""))</f>
        <v/>
      </c>
      <c r="J27" s="37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27" s="37">
        <f>IF([@PACKAGING_CONFIGURATION_ID]="","",SUMIF(T_ENG_PACKAGING_WEIGHT[PACKAGING_CONFIGURATION_ID],[@PACKAGING_CONFIGURATION_ID],T_ENG_PACKAGING_WEIGHT[LINE_WEIGHT_G]))</f>
        <v/>
      </c>
      <c r="L27" s="37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27" s="37">
        <f>IF(OR([@PACKAGING_WEIGHT_PER_UNIT_G]="",[@TRANSPORT_WEIGHT_PER_UNIT_G]=""),IF([@PACKAGING_WEIGHT_PER_UNIT_G]="","",[@PACKAGING_WEIGHT_PER_UNIT_G]),[@PACKAGING_WEIGHT_PER_UNIT_G]+[@TRANSPORT_WEIGHT_PER_UNIT_G])</f>
        <v/>
      </c>
      <c r="N27" s="37">
        <f>IF(OR([@TOTAL_WEIGHT_PER_UNIT_G]="",[@QTY_PRODUCT_UNITS]=""),"",[@TOTAL_WEIGHT_PER_UNIT_G]*[@QTY_PRODUCT_UNITS])</f>
        <v/>
      </c>
      <c r="O27" s="37">
        <f>IF([@SHIPMENT_PACKAGING_WEIGHT_G]="","",[@SHIPMENT_PACKAGING_WEIGHT_G]/1000)</f>
        <v/>
      </c>
    </row>
    <row r="28">
      <c r="A28" s="37" t="n">
        <v>27</v>
      </c>
      <c r="B28" s="37">
        <f>IFERROR(INDEX(T_SHIPMENT[SHIPMENT_ID],[@ROW_INDEX]),"")</f>
        <v/>
      </c>
      <c r="C28" s="37">
        <f>IFERROR(INDEX(T_SHIPMENT[SHIPMENT_NUMBER],[@ROW_INDEX]),"")</f>
        <v/>
      </c>
      <c r="D28" s="37">
        <f>IFERROR(INDEX(T_SHIPMENT[QTY_PRODUCT_UNITS],[@ROW_INDEX]),"")</f>
        <v/>
      </c>
      <c r="E28" s="37">
        <f>IFERROR(INDEX(T_SHIPMENT[PACKAGING_CONFIGURATION_ID],[@ROW_INDEX]),"")</f>
        <v/>
      </c>
      <c r="F28" s="37">
        <f>IFERROR(INDEX(T_SHIPMENT[TRANSPORT_CONFIGURATION_ID],[@ROW_INDEX]),"")</f>
        <v/>
      </c>
      <c r="G28" s="37">
        <f>IF([@TRANSPORT_CONFIGURATION_ID]="","",IFERROR(INDEX(T_TRANSPORT_CONFIGURATION[UNITS_PER_LAYER],MATCH([@TRANSPORT_CONFIGURATION_ID],T_TRANSPORT_CONFIGURATION[TRANSPORT_CONFIGURATION_ID],0)),""))</f>
        <v/>
      </c>
      <c r="H28" s="37">
        <f>IF([@TRANSPORT_CONFIGURATION_ID]="","",IFERROR(INDEX(T_TRANSPORT_CONFIGURATION[LAYERS_PER_UNIT],MATCH([@TRANSPORT_CONFIGURATION_ID],T_TRANSPORT_CONFIGURATION[TRANSPORT_CONFIGURATION_ID],0)),""))</f>
        <v/>
      </c>
      <c r="I28" s="37">
        <f>IF([@TRANSPORT_CONFIGURATION_ID]="","",IFERROR(INDEX(T_TRANSPORT_CONFIGURATION[CONTAINER_PAYLOAD_UNITS],MATCH([@TRANSPORT_CONFIGURATION_ID],T_TRANSPORT_CONFIGURATION[TRANSPORT_CONFIGURATION_ID],0)),""))</f>
        <v/>
      </c>
      <c r="J28" s="37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28" s="37">
        <f>IF([@PACKAGING_CONFIGURATION_ID]="","",SUMIF(T_ENG_PACKAGING_WEIGHT[PACKAGING_CONFIGURATION_ID],[@PACKAGING_CONFIGURATION_ID],T_ENG_PACKAGING_WEIGHT[LINE_WEIGHT_G]))</f>
        <v/>
      </c>
      <c r="L28" s="37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28" s="37">
        <f>IF(OR([@PACKAGING_WEIGHT_PER_UNIT_G]="",[@TRANSPORT_WEIGHT_PER_UNIT_G]=""),IF([@PACKAGING_WEIGHT_PER_UNIT_G]="","",[@PACKAGING_WEIGHT_PER_UNIT_G]),[@PACKAGING_WEIGHT_PER_UNIT_G]+[@TRANSPORT_WEIGHT_PER_UNIT_G])</f>
        <v/>
      </c>
      <c r="N28" s="37">
        <f>IF(OR([@TOTAL_WEIGHT_PER_UNIT_G]="",[@QTY_PRODUCT_UNITS]=""),"",[@TOTAL_WEIGHT_PER_UNIT_G]*[@QTY_PRODUCT_UNITS])</f>
        <v/>
      </c>
      <c r="O28" s="37">
        <f>IF([@SHIPMENT_PACKAGING_WEIGHT_G]="","",[@SHIPMENT_PACKAGING_WEIGHT_G]/1000)</f>
        <v/>
      </c>
    </row>
    <row r="29">
      <c r="A29" s="37" t="n">
        <v>28</v>
      </c>
      <c r="B29" s="37">
        <f>IFERROR(INDEX(T_SHIPMENT[SHIPMENT_ID],[@ROW_INDEX]),"")</f>
        <v/>
      </c>
      <c r="C29" s="37">
        <f>IFERROR(INDEX(T_SHIPMENT[SHIPMENT_NUMBER],[@ROW_INDEX]),"")</f>
        <v/>
      </c>
      <c r="D29" s="37">
        <f>IFERROR(INDEX(T_SHIPMENT[QTY_PRODUCT_UNITS],[@ROW_INDEX]),"")</f>
        <v/>
      </c>
      <c r="E29" s="37">
        <f>IFERROR(INDEX(T_SHIPMENT[PACKAGING_CONFIGURATION_ID],[@ROW_INDEX]),"")</f>
        <v/>
      </c>
      <c r="F29" s="37">
        <f>IFERROR(INDEX(T_SHIPMENT[TRANSPORT_CONFIGURATION_ID],[@ROW_INDEX]),"")</f>
        <v/>
      </c>
      <c r="G29" s="37">
        <f>IF([@TRANSPORT_CONFIGURATION_ID]="","",IFERROR(INDEX(T_TRANSPORT_CONFIGURATION[UNITS_PER_LAYER],MATCH([@TRANSPORT_CONFIGURATION_ID],T_TRANSPORT_CONFIGURATION[TRANSPORT_CONFIGURATION_ID],0)),""))</f>
        <v/>
      </c>
      <c r="H29" s="37">
        <f>IF([@TRANSPORT_CONFIGURATION_ID]="","",IFERROR(INDEX(T_TRANSPORT_CONFIGURATION[LAYERS_PER_UNIT],MATCH([@TRANSPORT_CONFIGURATION_ID],T_TRANSPORT_CONFIGURATION[TRANSPORT_CONFIGURATION_ID],0)),""))</f>
        <v/>
      </c>
      <c r="I29" s="37">
        <f>IF([@TRANSPORT_CONFIGURATION_ID]="","",IFERROR(INDEX(T_TRANSPORT_CONFIGURATION[CONTAINER_PAYLOAD_UNITS],MATCH([@TRANSPORT_CONFIGURATION_ID],T_TRANSPORT_CONFIGURATION[TRANSPORT_CONFIGURATION_ID],0)),""))</f>
        <v/>
      </c>
      <c r="J29" s="37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29" s="37">
        <f>IF([@PACKAGING_CONFIGURATION_ID]="","",SUMIF(T_ENG_PACKAGING_WEIGHT[PACKAGING_CONFIGURATION_ID],[@PACKAGING_CONFIGURATION_ID],T_ENG_PACKAGING_WEIGHT[LINE_WEIGHT_G]))</f>
        <v/>
      </c>
      <c r="L29" s="37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29" s="37">
        <f>IF(OR([@PACKAGING_WEIGHT_PER_UNIT_G]="",[@TRANSPORT_WEIGHT_PER_UNIT_G]=""),IF([@PACKAGING_WEIGHT_PER_UNIT_G]="","",[@PACKAGING_WEIGHT_PER_UNIT_G]),[@PACKAGING_WEIGHT_PER_UNIT_G]+[@TRANSPORT_WEIGHT_PER_UNIT_G])</f>
        <v/>
      </c>
      <c r="N29" s="37">
        <f>IF(OR([@TOTAL_WEIGHT_PER_UNIT_G]="",[@QTY_PRODUCT_UNITS]=""),"",[@TOTAL_WEIGHT_PER_UNIT_G]*[@QTY_PRODUCT_UNITS])</f>
        <v/>
      </c>
      <c r="O29" s="37">
        <f>IF([@SHIPMENT_PACKAGING_WEIGHT_G]="","",[@SHIPMENT_PACKAGING_WEIGHT_G]/1000)</f>
        <v/>
      </c>
    </row>
    <row r="30">
      <c r="A30" s="37" t="n">
        <v>29</v>
      </c>
      <c r="B30" s="37">
        <f>IFERROR(INDEX(T_SHIPMENT[SHIPMENT_ID],[@ROW_INDEX]),"")</f>
        <v/>
      </c>
      <c r="C30" s="37">
        <f>IFERROR(INDEX(T_SHIPMENT[SHIPMENT_NUMBER],[@ROW_INDEX]),"")</f>
        <v/>
      </c>
      <c r="D30" s="37">
        <f>IFERROR(INDEX(T_SHIPMENT[QTY_PRODUCT_UNITS],[@ROW_INDEX]),"")</f>
        <v/>
      </c>
      <c r="E30" s="37">
        <f>IFERROR(INDEX(T_SHIPMENT[PACKAGING_CONFIGURATION_ID],[@ROW_INDEX]),"")</f>
        <v/>
      </c>
      <c r="F30" s="37">
        <f>IFERROR(INDEX(T_SHIPMENT[TRANSPORT_CONFIGURATION_ID],[@ROW_INDEX]),"")</f>
        <v/>
      </c>
      <c r="G30" s="37">
        <f>IF([@TRANSPORT_CONFIGURATION_ID]="","",IFERROR(INDEX(T_TRANSPORT_CONFIGURATION[UNITS_PER_LAYER],MATCH([@TRANSPORT_CONFIGURATION_ID],T_TRANSPORT_CONFIGURATION[TRANSPORT_CONFIGURATION_ID],0)),""))</f>
        <v/>
      </c>
      <c r="H30" s="37">
        <f>IF([@TRANSPORT_CONFIGURATION_ID]="","",IFERROR(INDEX(T_TRANSPORT_CONFIGURATION[LAYERS_PER_UNIT],MATCH([@TRANSPORT_CONFIGURATION_ID],T_TRANSPORT_CONFIGURATION[TRANSPORT_CONFIGURATION_ID],0)),""))</f>
        <v/>
      </c>
      <c r="I30" s="37">
        <f>IF([@TRANSPORT_CONFIGURATION_ID]="","",IFERROR(INDEX(T_TRANSPORT_CONFIGURATION[CONTAINER_PAYLOAD_UNITS],MATCH([@TRANSPORT_CONFIGURATION_ID],T_TRANSPORT_CONFIGURATION[TRANSPORT_CONFIGURATION_ID],0)),""))</f>
        <v/>
      </c>
      <c r="J30" s="37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30" s="37">
        <f>IF([@PACKAGING_CONFIGURATION_ID]="","",SUMIF(T_ENG_PACKAGING_WEIGHT[PACKAGING_CONFIGURATION_ID],[@PACKAGING_CONFIGURATION_ID],T_ENG_PACKAGING_WEIGHT[LINE_WEIGHT_G]))</f>
        <v/>
      </c>
      <c r="L30" s="37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30" s="37">
        <f>IF(OR([@PACKAGING_WEIGHT_PER_UNIT_G]="",[@TRANSPORT_WEIGHT_PER_UNIT_G]=""),IF([@PACKAGING_WEIGHT_PER_UNIT_G]="","",[@PACKAGING_WEIGHT_PER_UNIT_G]),[@PACKAGING_WEIGHT_PER_UNIT_G]+[@TRANSPORT_WEIGHT_PER_UNIT_G])</f>
        <v/>
      </c>
      <c r="N30" s="37">
        <f>IF(OR([@TOTAL_WEIGHT_PER_UNIT_G]="",[@QTY_PRODUCT_UNITS]=""),"",[@TOTAL_WEIGHT_PER_UNIT_G]*[@QTY_PRODUCT_UNITS])</f>
        <v/>
      </c>
      <c r="O30" s="37">
        <f>IF([@SHIPMENT_PACKAGING_WEIGHT_G]="","",[@SHIPMENT_PACKAGING_WEIGHT_G]/1000)</f>
        <v/>
      </c>
    </row>
    <row r="31">
      <c r="A31" s="37" t="n">
        <v>30</v>
      </c>
      <c r="B31" s="37">
        <f>IFERROR(INDEX(T_SHIPMENT[SHIPMENT_ID],[@ROW_INDEX]),"")</f>
        <v/>
      </c>
      <c r="C31" s="37">
        <f>IFERROR(INDEX(T_SHIPMENT[SHIPMENT_NUMBER],[@ROW_INDEX]),"")</f>
        <v/>
      </c>
      <c r="D31" s="37">
        <f>IFERROR(INDEX(T_SHIPMENT[QTY_PRODUCT_UNITS],[@ROW_INDEX]),"")</f>
        <v/>
      </c>
      <c r="E31" s="37">
        <f>IFERROR(INDEX(T_SHIPMENT[PACKAGING_CONFIGURATION_ID],[@ROW_INDEX]),"")</f>
        <v/>
      </c>
      <c r="F31" s="37">
        <f>IFERROR(INDEX(T_SHIPMENT[TRANSPORT_CONFIGURATION_ID],[@ROW_INDEX]),"")</f>
        <v/>
      </c>
      <c r="G31" s="37">
        <f>IF([@TRANSPORT_CONFIGURATION_ID]="","",IFERROR(INDEX(T_TRANSPORT_CONFIGURATION[UNITS_PER_LAYER],MATCH([@TRANSPORT_CONFIGURATION_ID],T_TRANSPORT_CONFIGURATION[TRANSPORT_CONFIGURATION_ID],0)),""))</f>
        <v/>
      </c>
      <c r="H31" s="37">
        <f>IF([@TRANSPORT_CONFIGURATION_ID]="","",IFERROR(INDEX(T_TRANSPORT_CONFIGURATION[LAYERS_PER_UNIT],MATCH([@TRANSPORT_CONFIGURATION_ID],T_TRANSPORT_CONFIGURATION[TRANSPORT_CONFIGURATION_ID],0)),""))</f>
        <v/>
      </c>
      <c r="I31" s="37">
        <f>IF([@TRANSPORT_CONFIGURATION_ID]="","",IFERROR(INDEX(T_TRANSPORT_CONFIGURATION[CONTAINER_PAYLOAD_UNITS],MATCH([@TRANSPORT_CONFIGURATION_ID],T_TRANSPORT_CONFIGURATION[TRANSPORT_CONFIGURATION_ID],0)),""))</f>
        <v/>
      </c>
      <c r="J31" s="37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31" s="37">
        <f>IF([@PACKAGING_CONFIGURATION_ID]="","",SUMIF(T_ENG_PACKAGING_WEIGHT[PACKAGING_CONFIGURATION_ID],[@PACKAGING_CONFIGURATION_ID],T_ENG_PACKAGING_WEIGHT[LINE_WEIGHT_G]))</f>
        <v/>
      </c>
      <c r="L31" s="37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31" s="37">
        <f>IF(OR([@PACKAGING_WEIGHT_PER_UNIT_G]="",[@TRANSPORT_WEIGHT_PER_UNIT_G]=""),IF([@PACKAGING_WEIGHT_PER_UNIT_G]="","",[@PACKAGING_WEIGHT_PER_UNIT_G]),[@PACKAGING_WEIGHT_PER_UNIT_G]+[@TRANSPORT_WEIGHT_PER_UNIT_G])</f>
        <v/>
      </c>
      <c r="N31" s="37">
        <f>IF(OR([@TOTAL_WEIGHT_PER_UNIT_G]="",[@QTY_PRODUCT_UNITS]=""),"",[@TOTAL_WEIGHT_PER_UNIT_G]*[@QTY_PRODUCT_UNITS])</f>
        <v/>
      </c>
      <c r="O31" s="37">
        <f>IF([@SHIPMENT_PACKAGING_WEIGHT_G]="","",[@SHIPMENT_PACKAGING_WEIGHT_G]/1000)</f>
        <v/>
      </c>
    </row>
    <row r="32">
      <c r="A32" s="37" t="n">
        <v>31</v>
      </c>
      <c r="B32" s="37">
        <f>IFERROR(INDEX(T_SHIPMENT[SHIPMENT_ID],[@ROW_INDEX]),"")</f>
        <v/>
      </c>
      <c r="C32" s="37">
        <f>IFERROR(INDEX(T_SHIPMENT[SHIPMENT_NUMBER],[@ROW_INDEX]),"")</f>
        <v/>
      </c>
      <c r="D32" s="37">
        <f>IFERROR(INDEX(T_SHIPMENT[QTY_PRODUCT_UNITS],[@ROW_INDEX]),"")</f>
        <v/>
      </c>
      <c r="E32" s="37">
        <f>IFERROR(INDEX(T_SHIPMENT[PACKAGING_CONFIGURATION_ID],[@ROW_INDEX]),"")</f>
        <v/>
      </c>
      <c r="F32" s="37">
        <f>IFERROR(INDEX(T_SHIPMENT[TRANSPORT_CONFIGURATION_ID],[@ROW_INDEX]),"")</f>
        <v/>
      </c>
      <c r="G32" s="37">
        <f>IF([@TRANSPORT_CONFIGURATION_ID]="","",IFERROR(INDEX(T_TRANSPORT_CONFIGURATION[UNITS_PER_LAYER],MATCH([@TRANSPORT_CONFIGURATION_ID],T_TRANSPORT_CONFIGURATION[TRANSPORT_CONFIGURATION_ID],0)),""))</f>
        <v/>
      </c>
      <c r="H32" s="37">
        <f>IF([@TRANSPORT_CONFIGURATION_ID]="","",IFERROR(INDEX(T_TRANSPORT_CONFIGURATION[LAYERS_PER_UNIT],MATCH([@TRANSPORT_CONFIGURATION_ID],T_TRANSPORT_CONFIGURATION[TRANSPORT_CONFIGURATION_ID],0)),""))</f>
        <v/>
      </c>
      <c r="I32" s="37">
        <f>IF([@TRANSPORT_CONFIGURATION_ID]="","",IFERROR(INDEX(T_TRANSPORT_CONFIGURATION[CONTAINER_PAYLOAD_UNITS],MATCH([@TRANSPORT_CONFIGURATION_ID],T_TRANSPORT_CONFIGURATION[TRANSPORT_CONFIGURATION_ID],0)),""))</f>
        <v/>
      </c>
      <c r="J32" s="37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32" s="37">
        <f>IF([@PACKAGING_CONFIGURATION_ID]="","",SUMIF(T_ENG_PACKAGING_WEIGHT[PACKAGING_CONFIGURATION_ID],[@PACKAGING_CONFIGURATION_ID],T_ENG_PACKAGING_WEIGHT[LINE_WEIGHT_G]))</f>
        <v/>
      </c>
      <c r="L32" s="37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32" s="37">
        <f>IF(OR([@PACKAGING_WEIGHT_PER_UNIT_G]="",[@TRANSPORT_WEIGHT_PER_UNIT_G]=""),IF([@PACKAGING_WEIGHT_PER_UNIT_G]="","",[@PACKAGING_WEIGHT_PER_UNIT_G]),[@PACKAGING_WEIGHT_PER_UNIT_G]+[@TRANSPORT_WEIGHT_PER_UNIT_G])</f>
        <v/>
      </c>
      <c r="N32" s="37">
        <f>IF(OR([@TOTAL_WEIGHT_PER_UNIT_G]="",[@QTY_PRODUCT_UNITS]=""),"",[@TOTAL_WEIGHT_PER_UNIT_G]*[@QTY_PRODUCT_UNITS])</f>
        <v/>
      </c>
      <c r="O32" s="37">
        <f>IF([@SHIPMENT_PACKAGING_WEIGHT_G]="","",[@SHIPMENT_PACKAGING_WEIGHT_G]/1000)</f>
        <v/>
      </c>
    </row>
    <row r="33">
      <c r="A33" s="37" t="n">
        <v>32</v>
      </c>
      <c r="B33" s="37">
        <f>IFERROR(INDEX(T_SHIPMENT[SHIPMENT_ID],[@ROW_INDEX]),"")</f>
        <v/>
      </c>
      <c r="C33" s="37">
        <f>IFERROR(INDEX(T_SHIPMENT[SHIPMENT_NUMBER],[@ROW_INDEX]),"")</f>
        <v/>
      </c>
      <c r="D33" s="37">
        <f>IFERROR(INDEX(T_SHIPMENT[QTY_PRODUCT_UNITS],[@ROW_INDEX]),"")</f>
        <v/>
      </c>
      <c r="E33" s="37">
        <f>IFERROR(INDEX(T_SHIPMENT[PACKAGING_CONFIGURATION_ID],[@ROW_INDEX]),"")</f>
        <v/>
      </c>
      <c r="F33" s="37">
        <f>IFERROR(INDEX(T_SHIPMENT[TRANSPORT_CONFIGURATION_ID],[@ROW_INDEX]),"")</f>
        <v/>
      </c>
      <c r="G33" s="37">
        <f>IF([@TRANSPORT_CONFIGURATION_ID]="","",IFERROR(INDEX(T_TRANSPORT_CONFIGURATION[UNITS_PER_LAYER],MATCH([@TRANSPORT_CONFIGURATION_ID],T_TRANSPORT_CONFIGURATION[TRANSPORT_CONFIGURATION_ID],0)),""))</f>
        <v/>
      </c>
      <c r="H33" s="37">
        <f>IF([@TRANSPORT_CONFIGURATION_ID]="","",IFERROR(INDEX(T_TRANSPORT_CONFIGURATION[LAYERS_PER_UNIT],MATCH([@TRANSPORT_CONFIGURATION_ID],T_TRANSPORT_CONFIGURATION[TRANSPORT_CONFIGURATION_ID],0)),""))</f>
        <v/>
      </c>
      <c r="I33" s="37">
        <f>IF([@TRANSPORT_CONFIGURATION_ID]="","",IFERROR(INDEX(T_TRANSPORT_CONFIGURATION[CONTAINER_PAYLOAD_UNITS],MATCH([@TRANSPORT_CONFIGURATION_ID],T_TRANSPORT_CONFIGURATION[TRANSPORT_CONFIGURATION_ID],0)),""))</f>
        <v/>
      </c>
      <c r="J33" s="37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33" s="37">
        <f>IF([@PACKAGING_CONFIGURATION_ID]="","",SUMIF(T_ENG_PACKAGING_WEIGHT[PACKAGING_CONFIGURATION_ID],[@PACKAGING_CONFIGURATION_ID],T_ENG_PACKAGING_WEIGHT[LINE_WEIGHT_G]))</f>
        <v/>
      </c>
      <c r="L33" s="37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33" s="37">
        <f>IF(OR([@PACKAGING_WEIGHT_PER_UNIT_G]="",[@TRANSPORT_WEIGHT_PER_UNIT_G]=""),IF([@PACKAGING_WEIGHT_PER_UNIT_G]="","",[@PACKAGING_WEIGHT_PER_UNIT_G]),[@PACKAGING_WEIGHT_PER_UNIT_G]+[@TRANSPORT_WEIGHT_PER_UNIT_G])</f>
        <v/>
      </c>
      <c r="N33" s="37">
        <f>IF(OR([@TOTAL_WEIGHT_PER_UNIT_G]="",[@QTY_PRODUCT_UNITS]=""),"",[@TOTAL_WEIGHT_PER_UNIT_G]*[@QTY_PRODUCT_UNITS])</f>
        <v/>
      </c>
      <c r="O33" s="37">
        <f>IF([@SHIPMENT_PACKAGING_WEIGHT_G]="","",[@SHIPMENT_PACKAGING_WEIGHT_G]/1000)</f>
        <v/>
      </c>
    </row>
    <row r="34">
      <c r="A34" s="37" t="n">
        <v>33</v>
      </c>
      <c r="B34" s="37">
        <f>IFERROR(INDEX(T_SHIPMENT[SHIPMENT_ID],[@ROW_INDEX]),"")</f>
        <v/>
      </c>
      <c r="C34" s="37">
        <f>IFERROR(INDEX(T_SHIPMENT[SHIPMENT_NUMBER],[@ROW_INDEX]),"")</f>
        <v/>
      </c>
      <c r="D34" s="37">
        <f>IFERROR(INDEX(T_SHIPMENT[QTY_PRODUCT_UNITS],[@ROW_INDEX]),"")</f>
        <v/>
      </c>
      <c r="E34" s="37">
        <f>IFERROR(INDEX(T_SHIPMENT[PACKAGING_CONFIGURATION_ID],[@ROW_INDEX]),"")</f>
        <v/>
      </c>
      <c r="F34" s="37">
        <f>IFERROR(INDEX(T_SHIPMENT[TRANSPORT_CONFIGURATION_ID],[@ROW_INDEX]),"")</f>
        <v/>
      </c>
      <c r="G34" s="37">
        <f>IF([@TRANSPORT_CONFIGURATION_ID]="","",IFERROR(INDEX(T_TRANSPORT_CONFIGURATION[UNITS_PER_LAYER],MATCH([@TRANSPORT_CONFIGURATION_ID],T_TRANSPORT_CONFIGURATION[TRANSPORT_CONFIGURATION_ID],0)),""))</f>
        <v/>
      </c>
      <c r="H34" s="37">
        <f>IF([@TRANSPORT_CONFIGURATION_ID]="","",IFERROR(INDEX(T_TRANSPORT_CONFIGURATION[LAYERS_PER_UNIT],MATCH([@TRANSPORT_CONFIGURATION_ID],T_TRANSPORT_CONFIGURATION[TRANSPORT_CONFIGURATION_ID],0)),""))</f>
        <v/>
      </c>
      <c r="I34" s="37">
        <f>IF([@TRANSPORT_CONFIGURATION_ID]="","",IFERROR(INDEX(T_TRANSPORT_CONFIGURATION[CONTAINER_PAYLOAD_UNITS],MATCH([@TRANSPORT_CONFIGURATION_ID],T_TRANSPORT_CONFIGURATION[TRANSPORT_CONFIGURATION_ID],0)),""))</f>
        <v/>
      </c>
      <c r="J34" s="37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34" s="37">
        <f>IF([@PACKAGING_CONFIGURATION_ID]="","",SUMIF(T_ENG_PACKAGING_WEIGHT[PACKAGING_CONFIGURATION_ID],[@PACKAGING_CONFIGURATION_ID],T_ENG_PACKAGING_WEIGHT[LINE_WEIGHT_G]))</f>
        <v/>
      </c>
      <c r="L34" s="37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34" s="37">
        <f>IF(OR([@PACKAGING_WEIGHT_PER_UNIT_G]="",[@TRANSPORT_WEIGHT_PER_UNIT_G]=""),IF([@PACKAGING_WEIGHT_PER_UNIT_G]="","",[@PACKAGING_WEIGHT_PER_UNIT_G]),[@PACKAGING_WEIGHT_PER_UNIT_G]+[@TRANSPORT_WEIGHT_PER_UNIT_G])</f>
        <v/>
      </c>
      <c r="N34" s="37">
        <f>IF(OR([@TOTAL_WEIGHT_PER_UNIT_G]="",[@QTY_PRODUCT_UNITS]=""),"",[@TOTAL_WEIGHT_PER_UNIT_G]*[@QTY_PRODUCT_UNITS])</f>
        <v/>
      </c>
      <c r="O34" s="37">
        <f>IF([@SHIPMENT_PACKAGING_WEIGHT_G]="","",[@SHIPMENT_PACKAGING_WEIGHT_G]/1000)</f>
        <v/>
      </c>
    </row>
    <row r="35">
      <c r="A35" s="37" t="n">
        <v>34</v>
      </c>
      <c r="B35" s="37">
        <f>IFERROR(INDEX(T_SHIPMENT[SHIPMENT_ID],[@ROW_INDEX]),"")</f>
        <v/>
      </c>
      <c r="C35" s="37">
        <f>IFERROR(INDEX(T_SHIPMENT[SHIPMENT_NUMBER],[@ROW_INDEX]),"")</f>
        <v/>
      </c>
      <c r="D35" s="37">
        <f>IFERROR(INDEX(T_SHIPMENT[QTY_PRODUCT_UNITS],[@ROW_INDEX]),"")</f>
        <v/>
      </c>
      <c r="E35" s="37">
        <f>IFERROR(INDEX(T_SHIPMENT[PACKAGING_CONFIGURATION_ID],[@ROW_INDEX]),"")</f>
        <v/>
      </c>
      <c r="F35" s="37">
        <f>IFERROR(INDEX(T_SHIPMENT[TRANSPORT_CONFIGURATION_ID],[@ROW_INDEX]),"")</f>
        <v/>
      </c>
      <c r="G35" s="37">
        <f>IF([@TRANSPORT_CONFIGURATION_ID]="","",IFERROR(INDEX(T_TRANSPORT_CONFIGURATION[UNITS_PER_LAYER],MATCH([@TRANSPORT_CONFIGURATION_ID],T_TRANSPORT_CONFIGURATION[TRANSPORT_CONFIGURATION_ID],0)),""))</f>
        <v/>
      </c>
      <c r="H35" s="37">
        <f>IF([@TRANSPORT_CONFIGURATION_ID]="","",IFERROR(INDEX(T_TRANSPORT_CONFIGURATION[LAYERS_PER_UNIT],MATCH([@TRANSPORT_CONFIGURATION_ID],T_TRANSPORT_CONFIGURATION[TRANSPORT_CONFIGURATION_ID],0)),""))</f>
        <v/>
      </c>
      <c r="I35" s="37">
        <f>IF([@TRANSPORT_CONFIGURATION_ID]="","",IFERROR(INDEX(T_TRANSPORT_CONFIGURATION[CONTAINER_PAYLOAD_UNITS],MATCH([@TRANSPORT_CONFIGURATION_ID],T_TRANSPORT_CONFIGURATION[TRANSPORT_CONFIGURATION_ID],0)),""))</f>
        <v/>
      </c>
      <c r="J35" s="37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35" s="37">
        <f>IF([@PACKAGING_CONFIGURATION_ID]="","",SUMIF(T_ENG_PACKAGING_WEIGHT[PACKAGING_CONFIGURATION_ID],[@PACKAGING_CONFIGURATION_ID],T_ENG_PACKAGING_WEIGHT[LINE_WEIGHT_G]))</f>
        <v/>
      </c>
      <c r="L35" s="37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35" s="37">
        <f>IF(OR([@PACKAGING_WEIGHT_PER_UNIT_G]="",[@TRANSPORT_WEIGHT_PER_UNIT_G]=""),IF([@PACKAGING_WEIGHT_PER_UNIT_G]="","",[@PACKAGING_WEIGHT_PER_UNIT_G]),[@PACKAGING_WEIGHT_PER_UNIT_G]+[@TRANSPORT_WEIGHT_PER_UNIT_G])</f>
        <v/>
      </c>
      <c r="N35" s="37">
        <f>IF(OR([@TOTAL_WEIGHT_PER_UNIT_G]="",[@QTY_PRODUCT_UNITS]=""),"",[@TOTAL_WEIGHT_PER_UNIT_G]*[@QTY_PRODUCT_UNITS])</f>
        <v/>
      </c>
      <c r="O35" s="37">
        <f>IF([@SHIPMENT_PACKAGING_WEIGHT_G]="","",[@SHIPMENT_PACKAGING_WEIGHT_G]/1000)</f>
        <v/>
      </c>
    </row>
    <row r="36">
      <c r="A36" s="37" t="n">
        <v>35</v>
      </c>
      <c r="B36" s="37">
        <f>IFERROR(INDEX(T_SHIPMENT[SHIPMENT_ID],[@ROW_INDEX]),"")</f>
        <v/>
      </c>
      <c r="C36" s="37">
        <f>IFERROR(INDEX(T_SHIPMENT[SHIPMENT_NUMBER],[@ROW_INDEX]),"")</f>
        <v/>
      </c>
      <c r="D36" s="37">
        <f>IFERROR(INDEX(T_SHIPMENT[QTY_PRODUCT_UNITS],[@ROW_INDEX]),"")</f>
        <v/>
      </c>
      <c r="E36" s="37">
        <f>IFERROR(INDEX(T_SHIPMENT[PACKAGING_CONFIGURATION_ID],[@ROW_INDEX]),"")</f>
        <v/>
      </c>
      <c r="F36" s="37">
        <f>IFERROR(INDEX(T_SHIPMENT[TRANSPORT_CONFIGURATION_ID],[@ROW_INDEX]),"")</f>
        <v/>
      </c>
      <c r="G36" s="37">
        <f>IF([@TRANSPORT_CONFIGURATION_ID]="","",IFERROR(INDEX(T_TRANSPORT_CONFIGURATION[UNITS_PER_LAYER],MATCH([@TRANSPORT_CONFIGURATION_ID],T_TRANSPORT_CONFIGURATION[TRANSPORT_CONFIGURATION_ID],0)),""))</f>
        <v/>
      </c>
      <c r="H36" s="37">
        <f>IF([@TRANSPORT_CONFIGURATION_ID]="","",IFERROR(INDEX(T_TRANSPORT_CONFIGURATION[LAYERS_PER_UNIT],MATCH([@TRANSPORT_CONFIGURATION_ID],T_TRANSPORT_CONFIGURATION[TRANSPORT_CONFIGURATION_ID],0)),""))</f>
        <v/>
      </c>
      <c r="I36" s="37">
        <f>IF([@TRANSPORT_CONFIGURATION_ID]="","",IFERROR(INDEX(T_TRANSPORT_CONFIGURATION[CONTAINER_PAYLOAD_UNITS],MATCH([@TRANSPORT_CONFIGURATION_ID],T_TRANSPORT_CONFIGURATION[TRANSPORT_CONFIGURATION_ID],0)),""))</f>
        <v/>
      </c>
      <c r="J36" s="37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36" s="37">
        <f>IF([@PACKAGING_CONFIGURATION_ID]="","",SUMIF(T_ENG_PACKAGING_WEIGHT[PACKAGING_CONFIGURATION_ID],[@PACKAGING_CONFIGURATION_ID],T_ENG_PACKAGING_WEIGHT[LINE_WEIGHT_G]))</f>
        <v/>
      </c>
      <c r="L36" s="37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36" s="37">
        <f>IF(OR([@PACKAGING_WEIGHT_PER_UNIT_G]="",[@TRANSPORT_WEIGHT_PER_UNIT_G]=""),IF([@PACKAGING_WEIGHT_PER_UNIT_G]="","",[@PACKAGING_WEIGHT_PER_UNIT_G]),[@PACKAGING_WEIGHT_PER_UNIT_G]+[@TRANSPORT_WEIGHT_PER_UNIT_G])</f>
        <v/>
      </c>
      <c r="N36" s="37">
        <f>IF(OR([@TOTAL_WEIGHT_PER_UNIT_G]="",[@QTY_PRODUCT_UNITS]=""),"",[@TOTAL_WEIGHT_PER_UNIT_G]*[@QTY_PRODUCT_UNITS])</f>
        <v/>
      </c>
      <c r="O36" s="37">
        <f>IF([@SHIPMENT_PACKAGING_WEIGHT_G]="","",[@SHIPMENT_PACKAGING_WEIGHT_G]/1000)</f>
        <v/>
      </c>
    </row>
    <row r="37">
      <c r="A37" s="37" t="n">
        <v>36</v>
      </c>
      <c r="B37" s="37">
        <f>IFERROR(INDEX(T_SHIPMENT[SHIPMENT_ID],[@ROW_INDEX]),"")</f>
        <v/>
      </c>
      <c r="C37" s="37">
        <f>IFERROR(INDEX(T_SHIPMENT[SHIPMENT_NUMBER],[@ROW_INDEX]),"")</f>
        <v/>
      </c>
      <c r="D37" s="37">
        <f>IFERROR(INDEX(T_SHIPMENT[QTY_PRODUCT_UNITS],[@ROW_INDEX]),"")</f>
        <v/>
      </c>
      <c r="E37" s="37">
        <f>IFERROR(INDEX(T_SHIPMENT[PACKAGING_CONFIGURATION_ID],[@ROW_INDEX]),"")</f>
        <v/>
      </c>
      <c r="F37" s="37">
        <f>IFERROR(INDEX(T_SHIPMENT[TRANSPORT_CONFIGURATION_ID],[@ROW_INDEX]),"")</f>
        <v/>
      </c>
      <c r="G37" s="37">
        <f>IF([@TRANSPORT_CONFIGURATION_ID]="","",IFERROR(INDEX(T_TRANSPORT_CONFIGURATION[UNITS_PER_LAYER],MATCH([@TRANSPORT_CONFIGURATION_ID],T_TRANSPORT_CONFIGURATION[TRANSPORT_CONFIGURATION_ID],0)),""))</f>
        <v/>
      </c>
      <c r="H37" s="37">
        <f>IF([@TRANSPORT_CONFIGURATION_ID]="","",IFERROR(INDEX(T_TRANSPORT_CONFIGURATION[LAYERS_PER_UNIT],MATCH([@TRANSPORT_CONFIGURATION_ID],T_TRANSPORT_CONFIGURATION[TRANSPORT_CONFIGURATION_ID],0)),""))</f>
        <v/>
      </c>
      <c r="I37" s="37">
        <f>IF([@TRANSPORT_CONFIGURATION_ID]="","",IFERROR(INDEX(T_TRANSPORT_CONFIGURATION[CONTAINER_PAYLOAD_UNITS],MATCH([@TRANSPORT_CONFIGURATION_ID],T_TRANSPORT_CONFIGURATION[TRANSPORT_CONFIGURATION_ID],0)),""))</f>
        <v/>
      </c>
      <c r="J37" s="37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37" s="37">
        <f>IF([@PACKAGING_CONFIGURATION_ID]="","",SUMIF(T_ENG_PACKAGING_WEIGHT[PACKAGING_CONFIGURATION_ID],[@PACKAGING_CONFIGURATION_ID],T_ENG_PACKAGING_WEIGHT[LINE_WEIGHT_G]))</f>
        <v/>
      </c>
      <c r="L37" s="37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37" s="37">
        <f>IF(OR([@PACKAGING_WEIGHT_PER_UNIT_G]="",[@TRANSPORT_WEIGHT_PER_UNIT_G]=""),IF([@PACKAGING_WEIGHT_PER_UNIT_G]="","",[@PACKAGING_WEIGHT_PER_UNIT_G]),[@PACKAGING_WEIGHT_PER_UNIT_G]+[@TRANSPORT_WEIGHT_PER_UNIT_G])</f>
        <v/>
      </c>
      <c r="N37" s="37">
        <f>IF(OR([@TOTAL_WEIGHT_PER_UNIT_G]="",[@QTY_PRODUCT_UNITS]=""),"",[@TOTAL_WEIGHT_PER_UNIT_G]*[@QTY_PRODUCT_UNITS])</f>
        <v/>
      </c>
      <c r="O37" s="37">
        <f>IF([@SHIPMENT_PACKAGING_WEIGHT_G]="","",[@SHIPMENT_PACKAGING_WEIGHT_G]/1000)</f>
        <v/>
      </c>
    </row>
    <row r="38">
      <c r="A38" s="37" t="n">
        <v>37</v>
      </c>
      <c r="B38" s="37">
        <f>IFERROR(INDEX(T_SHIPMENT[SHIPMENT_ID],[@ROW_INDEX]),"")</f>
        <v/>
      </c>
      <c r="C38" s="37">
        <f>IFERROR(INDEX(T_SHIPMENT[SHIPMENT_NUMBER],[@ROW_INDEX]),"")</f>
        <v/>
      </c>
      <c r="D38" s="37">
        <f>IFERROR(INDEX(T_SHIPMENT[QTY_PRODUCT_UNITS],[@ROW_INDEX]),"")</f>
        <v/>
      </c>
      <c r="E38" s="37">
        <f>IFERROR(INDEX(T_SHIPMENT[PACKAGING_CONFIGURATION_ID],[@ROW_INDEX]),"")</f>
        <v/>
      </c>
      <c r="F38" s="37">
        <f>IFERROR(INDEX(T_SHIPMENT[TRANSPORT_CONFIGURATION_ID],[@ROW_INDEX]),"")</f>
        <v/>
      </c>
      <c r="G38" s="37">
        <f>IF([@TRANSPORT_CONFIGURATION_ID]="","",IFERROR(INDEX(T_TRANSPORT_CONFIGURATION[UNITS_PER_LAYER],MATCH([@TRANSPORT_CONFIGURATION_ID],T_TRANSPORT_CONFIGURATION[TRANSPORT_CONFIGURATION_ID],0)),""))</f>
        <v/>
      </c>
      <c r="H38" s="37">
        <f>IF([@TRANSPORT_CONFIGURATION_ID]="","",IFERROR(INDEX(T_TRANSPORT_CONFIGURATION[LAYERS_PER_UNIT],MATCH([@TRANSPORT_CONFIGURATION_ID],T_TRANSPORT_CONFIGURATION[TRANSPORT_CONFIGURATION_ID],0)),""))</f>
        <v/>
      </c>
      <c r="I38" s="37">
        <f>IF([@TRANSPORT_CONFIGURATION_ID]="","",IFERROR(INDEX(T_TRANSPORT_CONFIGURATION[CONTAINER_PAYLOAD_UNITS],MATCH([@TRANSPORT_CONFIGURATION_ID],T_TRANSPORT_CONFIGURATION[TRANSPORT_CONFIGURATION_ID],0)),""))</f>
        <v/>
      </c>
      <c r="J38" s="37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38" s="37">
        <f>IF([@PACKAGING_CONFIGURATION_ID]="","",SUMIF(T_ENG_PACKAGING_WEIGHT[PACKAGING_CONFIGURATION_ID],[@PACKAGING_CONFIGURATION_ID],T_ENG_PACKAGING_WEIGHT[LINE_WEIGHT_G]))</f>
        <v/>
      </c>
      <c r="L38" s="37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38" s="37">
        <f>IF(OR([@PACKAGING_WEIGHT_PER_UNIT_G]="",[@TRANSPORT_WEIGHT_PER_UNIT_G]=""),IF([@PACKAGING_WEIGHT_PER_UNIT_G]="","",[@PACKAGING_WEIGHT_PER_UNIT_G]),[@PACKAGING_WEIGHT_PER_UNIT_G]+[@TRANSPORT_WEIGHT_PER_UNIT_G])</f>
        <v/>
      </c>
      <c r="N38" s="37">
        <f>IF(OR([@TOTAL_WEIGHT_PER_UNIT_G]="",[@QTY_PRODUCT_UNITS]=""),"",[@TOTAL_WEIGHT_PER_UNIT_G]*[@QTY_PRODUCT_UNITS])</f>
        <v/>
      </c>
      <c r="O38" s="37">
        <f>IF([@SHIPMENT_PACKAGING_WEIGHT_G]="","",[@SHIPMENT_PACKAGING_WEIGHT_G]/1000)</f>
        <v/>
      </c>
    </row>
    <row r="39">
      <c r="A39" s="37" t="n">
        <v>38</v>
      </c>
      <c r="B39" s="37">
        <f>IFERROR(INDEX(T_SHIPMENT[SHIPMENT_ID],[@ROW_INDEX]),"")</f>
        <v/>
      </c>
      <c r="C39" s="37">
        <f>IFERROR(INDEX(T_SHIPMENT[SHIPMENT_NUMBER],[@ROW_INDEX]),"")</f>
        <v/>
      </c>
      <c r="D39" s="37">
        <f>IFERROR(INDEX(T_SHIPMENT[QTY_PRODUCT_UNITS],[@ROW_INDEX]),"")</f>
        <v/>
      </c>
      <c r="E39" s="37">
        <f>IFERROR(INDEX(T_SHIPMENT[PACKAGING_CONFIGURATION_ID],[@ROW_INDEX]),"")</f>
        <v/>
      </c>
      <c r="F39" s="37">
        <f>IFERROR(INDEX(T_SHIPMENT[TRANSPORT_CONFIGURATION_ID],[@ROW_INDEX]),"")</f>
        <v/>
      </c>
      <c r="G39" s="37">
        <f>IF([@TRANSPORT_CONFIGURATION_ID]="","",IFERROR(INDEX(T_TRANSPORT_CONFIGURATION[UNITS_PER_LAYER],MATCH([@TRANSPORT_CONFIGURATION_ID],T_TRANSPORT_CONFIGURATION[TRANSPORT_CONFIGURATION_ID],0)),""))</f>
        <v/>
      </c>
      <c r="H39" s="37">
        <f>IF([@TRANSPORT_CONFIGURATION_ID]="","",IFERROR(INDEX(T_TRANSPORT_CONFIGURATION[LAYERS_PER_UNIT],MATCH([@TRANSPORT_CONFIGURATION_ID],T_TRANSPORT_CONFIGURATION[TRANSPORT_CONFIGURATION_ID],0)),""))</f>
        <v/>
      </c>
      <c r="I39" s="37">
        <f>IF([@TRANSPORT_CONFIGURATION_ID]="","",IFERROR(INDEX(T_TRANSPORT_CONFIGURATION[CONTAINER_PAYLOAD_UNITS],MATCH([@TRANSPORT_CONFIGURATION_ID],T_TRANSPORT_CONFIGURATION[TRANSPORT_CONFIGURATION_ID],0)),""))</f>
        <v/>
      </c>
      <c r="J39" s="37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39" s="37">
        <f>IF([@PACKAGING_CONFIGURATION_ID]="","",SUMIF(T_ENG_PACKAGING_WEIGHT[PACKAGING_CONFIGURATION_ID],[@PACKAGING_CONFIGURATION_ID],T_ENG_PACKAGING_WEIGHT[LINE_WEIGHT_G]))</f>
        <v/>
      </c>
      <c r="L39" s="37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39" s="37">
        <f>IF(OR([@PACKAGING_WEIGHT_PER_UNIT_G]="",[@TRANSPORT_WEIGHT_PER_UNIT_G]=""),IF([@PACKAGING_WEIGHT_PER_UNIT_G]="","",[@PACKAGING_WEIGHT_PER_UNIT_G]),[@PACKAGING_WEIGHT_PER_UNIT_G]+[@TRANSPORT_WEIGHT_PER_UNIT_G])</f>
        <v/>
      </c>
      <c r="N39" s="37">
        <f>IF(OR([@TOTAL_WEIGHT_PER_UNIT_G]="",[@QTY_PRODUCT_UNITS]=""),"",[@TOTAL_WEIGHT_PER_UNIT_G]*[@QTY_PRODUCT_UNITS])</f>
        <v/>
      </c>
      <c r="O39" s="37">
        <f>IF([@SHIPMENT_PACKAGING_WEIGHT_G]="","",[@SHIPMENT_PACKAGING_WEIGHT_G]/1000)</f>
        <v/>
      </c>
    </row>
    <row r="40">
      <c r="A40" s="37" t="n">
        <v>39</v>
      </c>
      <c r="B40" s="37">
        <f>IFERROR(INDEX(T_SHIPMENT[SHIPMENT_ID],[@ROW_INDEX]),"")</f>
        <v/>
      </c>
      <c r="C40" s="37">
        <f>IFERROR(INDEX(T_SHIPMENT[SHIPMENT_NUMBER],[@ROW_INDEX]),"")</f>
        <v/>
      </c>
      <c r="D40" s="37">
        <f>IFERROR(INDEX(T_SHIPMENT[QTY_PRODUCT_UNITS],[@ROW_INDEX]),"")</f>
        <v/>
      </c>
      <c r="E40" s="37">
        <f>IFERROR(INDEX(T_SHIPMENT[PACKAGING_CONFIGURATION_ID],[@ROW_INDEX]),"")</f>
        <v/>
      </c>
      <c r="F40" s="37">
        <f>IFERROR(INDEX(T_SHIPMENT[TRANSPORT_CONFIGURATION_ID],[@ROW_INDEX]),"")</f>
        <v/>
      </c>
      <c r="G40" s="37">
        <f>IF([@TRANSPORT_CONFIGURATION_ID]="","",IFERROR(INDEX(T_TRANSPORT_CONFIGURATION[UNITS_PER_LAYER],MATCH([@TRANSPORT_CONFIGURATION_ID],T_TRANSPORT_CONFIGURATION[TRANSPORT_CONFIGURATION_ID],0)),""))</f>
        <v/>
      </c>
      <c r="H40" s="37">
        <f>IF([@TRANSPORT_CONFIGURATION_ID]="","",IFERROR(INDEX(T_TRANSPORT_CONFIGURATION[LAYERS_PER_UNIT],MATCH([@TRANSPORT_CONFIGURATION_ID],T_TRANSPORT_CONFIGURATION[TRANSPORT_CONFIGURATION_ID],0)),""))</f>
        <v/>
      </c>
      <c r="I40" s="37">
        <f>IF([@TRANSPORT_CONFIGURATION_ID]="","",IFERROR(INDEX(T_TRANSPORT_CONFIGURATION[CONTAINER_PAYLOAD_UNITS],MATCH([@TRANSPORT_CONFIGURATION_ID],T_TRANSPORT_CONFIGURATION[TRANSPORT_CONFIGURATION_ID],0)),""))</f>
        <v/>
      </c>
      <c r="J40" s="37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40" s="37">
        <f>IF([@PACKAGING_CONFIGURATION_ID]="","",SUMIF(T_ENG_PACKAGING_WEIGHT[PACKAGING_CONFIGURATION_ID],[@PACKAGING_CONFIGURATION_ID],T_ENG_PACKAGING_WEIGHT[LINE_WEIGHT_G]))</f>
        <v/>
      </c>
      <c r="L40" s="37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40" s="37">
        <f>IF(OR([@PACKAGING_WEIGHT_PER_UNIT_G]="",[@TRANSPORT_WEIGHT_PER_UNIT_G]=""),IF([@PACKAGING_WEIGHT_PER_UNIT_G]="","",[@PACKAGING_WEIGHT_PER_UNIT_G]),[@PACKAGING_WEIGHT_PER_UNIT_G]+[@TRANSPORT_WEIGHT_PER_UNIT_G])</f>
        <v/>
      </c>
      <c r="N40" s="37">
        <f>IF(OR([@TOTAL_WEIGHT_PER_UNIT_G]="",[@QTY_PRODUCT_UNITS]=""),"",[@TOTAL_WEIGHT_PER_UNIT_G]*[@QTY_PRODUCT_UNITS])</f>
        <v/>
      </c>
      <c r="O40" s="37">
        <f>IF([@SHIPMENT_PACKAGING_WEIGHT_G]="","",[@SHIPMENT_PACKAGING_WEIGHT_G]/1000)</f>
        <v/>
      </c>
    </row>
    <row r="41">
      <c r="A41" s="37" t="n">
        <v>40</v>
      </c>
      <c r="B41" s="37">
        <f>IFERROR(INDEX(T_SHIPMENT[SHIPMENT_ID],[@ROW_INDEX]),"")</f>
        <v/>
      </c>
      <c r="C41" s="37">
        <f>IFERROR(INDEX(T_SHIPMENT[SHIPMENT_NUMBER],[@ROW_INDEX]),"")</f>
        <v/>
      </c>
      <c r="D41" s="37">
        <f>IFERROR(INDEX(T_SHIPMENT[QTY_PRODUCT_UNITS],[@ROW_INDEX]),"")</f>
        <v/>
      </c>
      <c r="E41" s="37">
        <f>IFERROR(INDEX(T_SHIPMENT[PACKAGING_CONFIGURATION_ID],[@ROW_INDEX]),"")</f>
        <v/>
      </c>
      <c r="F41" s="37">
        <f>IFERROR(INDEX(T_SHIPMENT[TRANSPORT_CONFIGURATION_ID],[@ROW_INDEX]),"")</f>
        <v/>
      </c>
      <c r="G41" s="37">
        <f>IF([@TRANSPORT_CONFIGURATION_ID]="","",IFERROR(INDEX(T_TRANSPORT_CONFIGURATION[UNITS_PER_LAYER],MATCH([@TRANSPORT_CONFIGURATION_ID],T_TRANSPORT_CONFIGURATION[TRANSPORT_CONFIGURATION_ID],0)),""))</f>
        <v/>
      </c>
      <c r="H41" s="37">
        <f>IF([@TRANSPORT_CONFIGURATION_ID]="","",IFERROR(INDEX(T_TRANSPORT_CONFIGURATION[LAYERS_PER_UNIT],MATCH([@TRANSPORT_CONFIGURATION_ID],T_TRANSPORT_CONFIGURATION[TRANSPORT_CONFIGURATION_ID],0)),""))</f>
        <v/>
      </c>
      <c r="I41" s="37">
        <f>IF([@TRANSPORT_CONFIGURATION_ID]="","",IFERROR(INDEX(T_TRANSPORT_CONFIGURATION[CONTAINER_PAYLOAD_UNITS],MATCH([@TRANSPORT_CONFIGURATION_ID],T_TRANSPORT_CONFIGURATION[TRANSPORT_CONFIGURATION_ID],0)),""))</f>
        <v/>
      </c>
      <c r="J41" s="37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41" s="37">
        <f>IF([@PACKAGING_CONFIGURATION_ID]="","",SUMIF(T_ENG_PACKAGING_WEIGHT[PACKAGING_CONFIGURATION_ID],[@PACKAGING_CONFIGURATION_ID],T_ENG_PACKAGING_WEIGHT[LINE_WEIGHT_G]))</f>
        <v/>
      </c>
      <c r="L41" s="37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41" s="37">
        <f>IF(OR([@PACKAGING_WEIGHT_PER_UNIT_G]="",[@TRANSPORT_WEIGHT_PER_UNIT_G]=""),IF([@PACKAGING_WEIGHT_PER_UNIT_G]="","",[@PACKAGING_WEIGHT_PER_UNIT_G]),[@PACKAGING_WEIGHT_PER_UNIT_G]+[@TRANSPORT_WEIGHT_PER_UNIT_G])</f>
        <v/>
      </c>
      <c r="N41" s="37">
        <f>IF(OR([@TOTAL_WEIGHT_PER_UNIT_G]="",[@QTY_PRODUCT_UNITS]=""),"",[@TOTAL_WEIGHT_PER_UNIT_G]*[@QTY_PRODUCT_UNITS])</f>
        <v/>
      </c>
      <c r="O41" s="37">
        <f>IF([@SHIPMENT_PACKAGING_WEIGHT_G]="","",[@SHIPMENT_PACKAGING_WEIGHT_G]/1000)</f>
        <v/>
      </c>
    </row>
    <row r="42">
      <c r="A42" s="37" t="n">
        <v>41</v>
      </c>
      <c r="B42" s="37">
        <f>IFERROR(INDEX(T_SHIPMENT[SHIPMENT_ID],[@ROW_INDEX]),"")</f>
        <v/>
      </c>
      <c r="C42" s="37">
        <f>IFERROR(INDEX(T_SHIPMENT[SHIPMENT_NUMBER],[@ROW_INDEX]),"")</f>
        <v/>
      </c>
      <c r="D42" s="37">
        <f>IFERROR(INDEX(T_SHIPMENT[QTY_PRODUCT_UNITS],[@ROW_INDEX]),"")</f>
        <v/>
      </c>
      <c r="E42" s="37">
        <f>IFERROR(INDEX(T_SHIPMENT[PACKAGING_CONFIGURATION_ID],[@ROW_INDEX]),"")</f>
        <v/>
      </c>
      <c r="F42" s="37">
        <f>IFERROR(INDEX(T_SHIPMENT[TRANSPORT_CONFIGURATION_ID],[@ROW_INDEX]),"")</f>
        <v/>
      </c>
      <c r="G42" s="37">
        <f>IF([@TRANSPORT_CONFIGURATION_ID]="","",IFERROR(INDEX(T_TRANSPORT_CONFIGURATION[UNITS_PER_LAYER],MATCH([@TRANSPORT_CONFIGURATION_ID],T_TRANSPORT_CONFIGURATION[TRANSPORT_CONFIGURATION_ID],0)),""))</f>
        <v/>
      </c>
      <c r="H42" s="37">
        <f>IF([@TRANSPORT_CONFIGURATION_ID]="","",IFERROR(INDEX(T_TRANSPORT_CONFIGURATION[LAYERS_PER_UNIT],MATCH([@TRANSPORT_CONFIGURATION_ID],T_TRANSPORT_CONFIGURATION[TRANSPORT_CONFIGURATION_ID],0)),""))</f>
        <v/>
      </c>
      <c r="I42" s="37">
        <f>IF([@TRANSPORT_CONFIGURATION_ID]="","",IFERROR(INDEX(T_TRANSPORT_CONFIGURATION[CONTAINER_PAYLOAD_UNITS],MATCH([@TRANSPORT_CONFIGURATION_ID],T_TRANSPORT_CONFIGURATION[TRANSPORT_CONFIGURATION_ID],0)),""))</f>
        <v/>
      </c>
      <c r="J42" s="37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42" s="37">
        <f>IF([@PACKAGING_CONFIGURATION_ID]="","",SUMIF(T_ENG_PACKAGING_WEIGHT[PACKAGING_CONFIGURATION_ID],[@PACKAGING_CONFIGURATION_ID],T_ENG_PACKAGING_WEIGHT[LINE_WEIGHT_G]))</f>
        <v/>
      </c>
      <c r="L42" s="37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42" s="37">
        <f>IF(OR([@PACKAGING_WEIGHT_PER_UNIT_G]="",[@TRANSPORT_WEIGHT_PER_UNIT_G]=""),IF([@PACKAGING_WEIGHT_PER_UNIT_G]="","",[@PACKAGING_WEIGHT_PER_UNIT_G]),[@PACKAGING_WEIGHT_PER_UNIT_G]+[@TRANSPORT_WEIGHT_PER_UNIT_G])</f>
        <v/>
      </c>
      <c r="N42" s="37">
        <f>IF(OR([@TOTAL_WEIGHT_PER_UNIT_G]="",[@QTY_PRODUCT_UNITS]=""),"",[@TOTAL_WEIGHT_PER_UNIT_G]*[@QTY_PRODUCT_UNITS])</f>
        <v/>
      </c>
      <c r="O42" s="37">
        <f>IF([@SHIPMENT_PACKAGING_WEIGHT_G]="","",[@SHIPMENT_PACKAGING_WEIGHT_G]/1000)</f>
        <v/>
      </c>
    </row>
    <row r="43">
      <c r="A43" s="37" t="n">
        <v>42</v>
      </c>
      <c r="B43" s="37">
        <f>IFERROR(INDEX(T_SHIPMENT[SHIPMENT_ID],[@ROW_INDEX]),"")</f>
        <v/>
      </c>
      <c r="C43" s="37">
        <f>IFERROR(INDEX(T_SHIPMENT[SHIPMENT_NUMBER],[@ROW_INDEX]),"")</f>
        <v/>
      </c>
      <c r="D43" s="37">
        <f>IFERROR(INDEX(T_SHIPMENT[QTY_PRODUCT_UNITS],[@ROW_INDEX]),"")</f>
        <v/>
      </c>
      <c r="E43" s="37">
        <f>IFERROR(INDEX(T_SHIPMENT[PACKAGING_CONFIGURATION_ID],[@ROW_INDEX]),"")</f>
        <v/>
      </c>
      <c r="F43" s="37">
        <f>IFERROR(INDEX(T_SHIPMENT[TRANSPORT_CONFIGURATION_ID],[@ROW_INDEX]),"")</f>
        <v/>
      </c>
      <c r="G43" s="37">
        <f>IF([@TRANSPORT_CONFIGURATION_ID]="","",IFERROR(INDEX(T_TRANSPORT_CONFIGURATION[UNITS_PER_LAYER],MATCH([@TRANSPORT_CONFIGURATION_ID],T_TRANSPORT_CONFIGURATION[TRANSPORT_CONFIGURATION_ID],0)),""))</f>
        <v/>
      </c>
      <c r="H43" s="37">
        <f>IF([@TRANSPORT_CONFIGURATION_ID]="","",IFERROR(INDEX(T_TRANSPORT_CONFIGURATION[LAYERS_PER_UNIT],MATCH([@TRANSPORT_CONFIGURATION_ID],T_TRANSPORT_CONFIGURATION[TRANSPORT_CONFIGURATION_ID],0)),""))</f>
        <v/>
      </c>
      <c r="I43" s="37">
        <f>IF([@TRANSPORT_CONFIGURATION_ID]="","",IFERROR(INDEX(T_TRANSPORT_CONFIGURATION[CONTAINER_PAYLOAD_UNITS],MATCH([@TRANSPORT_CONFIGURATION_ID],T_TRANSPORT_CONFIGURATION[TRANSPORT_CONFIGURATION_ID],0)),""))</f>
        <v/>
      </c>
      <c r="J43" s="37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43" s="37">
        <f>IF([@PACKAGING_CONFIGURATION_ID]="","",SUMIF(T_ENG_PACKAGING_WEIGHT[PACKAGING_CONFIGURATION_ID],[@PACKAGING_CONFIGURATION_ID],T_ENG_PACKAGING_WEIGHT[LINE_WEIGHT_G]))</f>
        <v/>
      </c>
      <c r="L43" s="37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43" s="37">
        <f>IF(OR([@PACKAGING_WEIGHT_PER_UNIT_G]="",[@TRANSPORT_WEIGHT_PER_UNIT_G]=""),IF([@PACKAGING_WEIGHT_PER_UNIT_G]="","",[@PACKAGING_WEIGHT_PER_UNIT_G]),[@PACKAGING_WEIGHT_PER_UNIT_G]+[@TRANSPORT_WEIGHT_PER_UNIT_G])</f>
        <v/>
      </c>
      <c r="N43" s="37">
        <f>IF(OR([@TOTAL_WEIGHT_PER_UNIT_G]="",[@QTY_PRODUCT_UNITS]=""),"",[@TOTAL_WEIGHT_PER_UNIT_G]*[@QTY_PRODUCT_UNITS])</f>
        <v/>
      </c>
      <c r="O43" s="37">
        <f>IF([@SHIPMENT_PACKAGING_WEIGHT_G]="","",[@SHIPMENT_PACKAGING_WEIGHT_G]/1000)</f>
        <v/>
      </c>
    </row>
    <row r="44">
      <c r="A44" s="37" t="n">
        <v>43</v>
      </c>
      <c r="B44" s="37">
        <f>IFERROR(INDEX(T_SHIPMENT[SHIPMENT_ID],[@ROW_INDEX]),"")</f>
        <v/>
      </c>
      <c r="C44" s="37">
        <f>IFERROR(INDEX(T_SHIPMENT[SHIPMENT_NUMBER],[@ROW_INDEX]),"")</f>
        <v/>
      </c>
      <c r="D44" s="37">
        <f>IFERROR(INDEX(T_SHIPMENT[QTY_PRODUCT_UNITS],[@ROW_INDEX]),"")</f>
        <v/>
      </c>
      <c r="E44" s="37">
        <f>IFERROR(INDEX(T_SHIPMENT[PACKAGING_CONFIGURATION_ID],[@ROW_INDEX]),"")</f>
        <v/>
      </c>
      <c r="F44" s="37">
        <f>IFERROR(INDEX(T_SHIPMENT[TRANSPORT_CONFIGURATION_ID],[@ROW_INDEX]),"")</f>
        <v/>
      </c>
      <c r="G44" s="37">
        <f>IF([@TRANSPORT_CONFIGURATION_ID]="","",IFERROR(INDEX(T_TRANSPORT_CONFIGURATION[UNITS_PER_LAYER],MATCH([@TRANSPORT_CONFIGURATION_ID],T_TRANSPORT_CONFIGURATION[TRANSPORT_CONFIGURATION_ID],0)),""))</f>
        <v/>
      </c>
      <c r="H44" s="37">
        <f>IF([@TRANSPORT_CONFIGURATION_ID]="","",IFERROR(INDEX(T_TRANSPORT_CONFIGURATION[LAYERS_PER_UNIT],MATCH([@TRANSPORT_CONFIGURATION_ID],T_TRANSPORT_CONFIGURATION[TRANSPORT_CONFIGURATION_ID],0)),""))</f>
        <v/>
      </c>
      <c r="I44" s="37">
        <f>IF([@TRANSPORT_CONFIGURATION_ID]="","",IFERROR(INDEX(T_TRANSPORT_CONFIGURATION[CONTAINER_PAYLOAD_UNITS],MATCH([@TRANSPORT_CONFIGURATION_ID],T_TRANSPORT_CONFIGURATION[TRANSPORT_CONFIGURATION_ID],0)),""))</f>
        <v/>
      </c>
      <c r="J44" s="37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44" s="37">
        <f>IF([@PACKAGING_CONFIGURATION_ID]="","",SUMIF(T_ENG_PACKAGING_WEIGHT[PACKAGING_CONFIGURATION_ID],[@PACKAGING_CONFIGURATION_ID],T_ENG_PACKAGING_WEIGHT[LINE_WEIGHT_G]))</f>
        <v/>
      </c>
      <c r="L44" s="37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44" s="37">
        <f>IF(OR([@PACKAGING_WEIGHT_PER_UNIT_G]="",[@TRANSPORT_WEIGHT_PER_UNIT_G]=""),IF([@PACKAGING_WEIGHT_PER_UNIT_G]="","",[@PACKAGING_WEIGHT_PER_UNIT_G]),[@PACKAGING_WEIGHT_PER_UNIT_G]+[@TRANSPORT_WEIGHT_PER_UNIT_G])</f>
        <v/>
      </c>
      <c r="N44" s="37">
        <f>IF(OR([@TOTAL_WEIGHT_PER_UNIT_G]="",[@QTY_PRODUCT_UNITS]=""),"",[@TOTAL_WEIGHT_PER_UNIT_G]*[@QTY_PRODUCT_UNITS])</f>
        <v/>
      </c>
      <c r="O44" s="37">
        <f>IF([@SHIPMENT_PACKAGING_WEIGHT_G]="","",[@SHIPMENT_PACKAGING_WEIGHT_G]/1000)</f>
        <v/>
      </c>
    </row>
    <row r="45">
      <c r="A45" s="37" t="n">
        <v>44</v>
      </c>
      <c r="B45" s="37">
        <f>IFERROR(INDEX(T_SHIPMENT[SHIPMENT_ID],[@ROW_INDEX]),"")</f>
        <v/>
      </c>
      <c r="C45" s="37">
        <f>IFERROR(INDEX(T_SHIPMENT[SHIPMENT_NUMBER],[@ROW_INDEX]),"")</f>
        <v/>
      </c>
      <c r="D45" s="37">
        <f>IFERROR(INDEX(T_SHIPMENT[QTY_PRODUCT_UNITS],[@ROW_INDEX]),"")</f>
        <v/>
      </c>
      <c r="E45" s="37">
        <f>IFERROR(INDEX(T_SHIPMENT[PACKAGING_CONFIGURATION_ID],[@ROW_INDEX]),"")</f>
        <v/>
      </c>
      <c r="F45" s="37">
        <f>IFERROR(INDEX(T_SHIPMENT[TRANSPORT_CONFIGURATION_ID],[@ROW_INDEX]),"")</f>
        <v/>
      </c>
      <c r="G45" s="37">
        <f>IF([@TRANSPORT_CONFIGURATION_ID]="","",IFERROR(INDEX(T_TRANSPORT_CONFIGURATION[UNITS_PER_LAYER],MATCH([@TRANSPORT_CONFIGURATION_ID],T_TRANSPORT_CONFIGURATION[TRANSPORT_CONFIGURATION_ID],0)),""))</f>
        <v/>
      </c>
      <c r="H45" s="37">
        <f>IF([@TRANSPORT_CONFIGURATION_ID]="","",IFERROR(INDEX(T_TRANSPORT_CONFIGURATION[LAYERS_PER_UNIT],MATCH([@TRANSPORT_CONFIGURATION_ID],T_TRANSPORT_CONFIGURATION[TRANSPORT_CONFIGURATION_ID],0)),""))</f>
        <v/>
      </c>
      <c r="I45" s="37">
        <f>IF([@TRANSPORT_CONFIGURATION_ID]="","",IFERROR(INDEX(T_TRANSPORT_CONFIGURATION[CONTAINER_PAYLOAD_UNITS],MATCH([@TRANSPORT_CONFIGURATION_ID],T_TRANSPORT_CONFIGURATION[TRANSPORT_CONFIGURATION_ID],0)),""))</f>
        <v/>
      </c>
      <c r="J45" s="37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45" s="37">
        <f>IF([@PACKAGING_CONFIGURATION_ID]="","",SUMIF(T_ENG_PACKAGING_WEIGHT[PACKAGING_CONFIGURATION_ID],[@PACKAGING_CONFIGURATION_ID],T_ENG_PACKAGING_WEIGHT[LINE_WEIGHT_G]))</f>
        <v/>
      </c>
      <c r="L45" s="37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45" s="37">
        <f>IF(OR([@PACKAGING_WEIGHT_PER_UNIT_G]="",[@TRANSPORT_WEIGHT_PER_UNIT_G]=""),IF([@PACKAGING_WEIGHT_PER_UNIT_G]="","",[@PACKAGING_WEIGHT_PER_UNIT_G]),[@PACKAGING_WEIGHT_PER_UNIT_G]+[@TRANSPORT_WEIGHT_PER_UNIT_G])</f>
        <v/>
      </c>
      <c r="N45" s="37">
        <f>IF(OR([@TOTAL_WEIGHT_PER_UNIT_G]="",[@QTY_PRODUCT_UNITS]=""),"",[@TOTAL_WEIGHT_PER_UNIT_G]*[@QTY_PRODUCT_UNITS])</f>
        <v/>
      </c>
      <c r="O45" s="37">
        <f>IF([@SHIPMENT_PACKAGING_WEIGHT_G]="","",[@SHIPMENT_PACKAGING_WEIGHT_G]/1000)</f>
        <v/>
      </c>
    </row>
    <row r="46">
      <c r="A46" s="37" t="n">
        <v>45</v>
      </c>
      <c r="B46" s="37">
        <f>IFERROR(INDEX(T_SHIPMENT[SHIPMENT_ID],[@ROW_INDEX]),"")</f>
        <v/>
      </c>
      <c r="C46" s="37">
        <f>IFERROR(INDEX(T_SHIPMENT[SHIPMENT_NUMBER],[@ROW_INDEX]),"")</f>
        <v/>
      </c>
      <c r="D46" s="37">
        <f>IFERROR(INDEX(T_SHIPMENT[QTY_PRODUCT_UNITS],[@ROW_INDEX]),"")</f>
        <v/>
      </c>
      <c r="E46" s="37">
        <f>IFERROR(INDEX(T_SHIPMENT[PACKAGING_CONFIGURATION_ID],[@ROW_INDEX]),"")</f>
        <v/>
      </c>
      <c r="F46" s="37">
        <f>IFERROR(INDEX(T_SHIPMENT[TRANSPORT_CONFIGURATION_ID],[@ROW_INDEX]),"")</f>
        <v/>
      </c>
      <c r="G46" s="37">
        <f>IF([@TRANSPORT_CONFIGURATION_ID]="","",IFERROR(INDEX(T_TRANSPORT_CONFIGURATION[UNITS_PER_LAYER],MATCH([@TRANSPORT_CONFIGURATION_ID],T_TRANSPORT_CONFIGURATION[TRANSPORT_CONFIGURATION_ID],0)),""))</f>
        <v/>
      </c>
      <c r="H46" s="37">
        <f>IF([@TRANSPORT_CONFIGURATION_ID]="","",IFERROR(INDEX(T_TRANSPORT_CONFIGURATION[LAYERS_PER_UNIT],MATCH([@TRANSPORT_CONFIGURATION_ID],T_TRANSPORT_CONFIGURATION[TRANSPORT_CONFIGURATION_ID],0)),""))</f>
        <v/>
      </c>
      <c r="I46" s="37">
        <f>IF([@TRANSPORT_CONFIGURATION_ID]="","",IFERROR(INDEX(T_TRANSPORT_CONFIGURATION[CONTAINER_PAYLOAD_UNITS],MATCH([@TRANSPORT_CONFIGURATION_ID],T_TRANSPORT_CONFIGURATION[TRANSPORT_CONFIGURATION_ID],0)),""))</f>
        <v/>
      </c>
      <c r="J46" s="37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46" s="37">
        <f>IF([@PACKAGING_CONFIGURATION_ID]="","",SUMIF(T_ENG_PACKAGING_WEIGHT[PACKAGING_CONFIGURATION_ID],[@PACKAGING_CONFIGURATION_ID],T_ENG_PACKAGING_WEIGHT[LINE_WEIGHT_G]))</f>
        <v/>
      </c>
      <c r="L46" s="37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46" s="37">
        <f>IF(OR([@PACKAGING_WEIGHT_PER_UNIT_G]="",[@TRANSPORT_WEIGHT_PER_UNIT_G]=""),IF([@PACKAGING_WEIGHT_PER_UNIT_G]="","",[@PACKAGING_WEIGHT_PER_UNIT_G]),[@PACKAGING_WEIGHT_PER_UNIT_G]+[@TRANSPORT_WEIGHT_PER_UNIT_G])</f>
        <v/>
      </c>
      <c r="N46" s="37">
        <f>IF(OR([@TOTAL_WEIGHT_PER_UNIT_G]="",[@QTY_PRODUCT_UNITS]=""),"",[@TOTAL_WEIGHT_PER_UNIT_G]*[@QTY_PRODUCT_UNITS])</f>
        <v/>
      </c>
      <c r="O46" s="37">
        <f>IF([@SHIPMENT_PACKAGING_WEIGHT_G]="","",[@SHIPMENT_PACKAGING_WEIGHT_G]/1000)</f>
        <v/>
      </c>
    </row>
    <row r="47">
      <c r="A47" s="37" t="n">
        <v>46</v>
      </c>
      <c r="B47" s="37">
        <f>IFERROR(INDEX(T_SHIPMENT[SHIPMENT_ID],[@ROW_INDEX]),"")</f>
        <v/>
      </c>
      <c r="C47" s="37">
        <f>IFERROR(INDEX(T_SHIPMENT[SHIPMENT_NUMBER],[@ROW_INDEX]),"")</f>
        <v/>
      </c>
      <c r="D47" s="37">
        <f>IFERROR(INDEX(T_SHIPMENT[QTY_PRODUCT_UNITS],[@ROW_INDEX]),"")</f>
        <v/>
      </c>
      <c r="E47" s="37">
        <f>IFERROR(INDEX(T_SHIPMENT[PACKAGING_CONFIGURATION_ID],[@ROW_INDEX]),"")</f>
        <v/>
      </c>
      <c r="F47" s="37">
        <f>IFERROR(INDEX(T_SHIPMENT[TRANSPORT_CONFIGURATION_ID],[@ROW_INDEX]),"")</f>
        <v/>
      </c>
      <c r="G47" s="37">
        <f>IF([@TRANSPORT_CONFIGURATION_ID]="","",IFERROR(INDEX(T_TRANSPORT_CONFIGURATION[UNITS_PER_LAYER],MATCH([@TRANSPORT_CONFIGURATION_ID],T_TRANSPORT_CONFIGURATION[TRANSPORT_CONFIGURATION_ID],0)),""))</f>
        <v/>
      </c>
      <c r="H47" s="37">
        <f>IF([@TRANSPORT_CONFIGURATION_ID]="","",IFERROR(INDEX(T_TRANSPORT_CONFIGURATION[LAYERS_PER_UNIT],MATCH([@TRANSPORT_CONFIGURATION_ID],T_TRANSPORT_CONFIGURATION[TRANSPORT_CONFIGURATION_ID],0)),""))</f>
        <v/>
      </c>
      <c r="I47" s="37">
        <f>IF([@TRANSPORT_CONFIGURATION_ID]="","",IFERROR(INDEX(T_TRANSPORT_CONFIGURATION[CONTAINER_PAYLOAD_UNITS],MATCH([@TRANSPORT_CONFIGURATION_ID],T_TRANSPORT_CONFIGURATION[TRANSPORT_CONFIGURATION_ID],0)),""))</f>
        <v/>
      </c>
      <c r="J47" s="37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47" s="37">
        <f>IF([@PACKAGING_CONFIGURATION_ID]="","",SUMIF(T_ENG_PACKAGING_WEIGHT[PACKAGING_CONFIGURATION_ID],[@PACKAGING_CONFIGURATION_ID],T_ENG_PACKAGING_WEIGHT[LINE_WEIGHT_G]))</f>
        <v/>
      </c>
      <c r="L47" s="37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47" s="37">
        <f>IF(OR([@PACKAGING_WEIGHT_PER_UNIT_G]="",[@TRANSPORT_WEIGHT_PER_UNIT_G]=""),IF([@PACKAGING_WEIGHT_PER_UNIT_G]="","",[@PACKAGING_WEIGHT_PER_UNIT_G]),[@PACKAGING_WEIGHT_PER_UNIT_G]+[@TRANSPORT_WEIGHT_PER_UNIT_G])</f>
        <v/>
      </c>
      <c r="N47" s="37">
        <f>IF(OR([@TOTAL_WEIGHT_PER_UNIT_G]="",[@QTY_PRODUCT_UNITS]=""),"",[@TOTAL_WEIGHT_PER_UNIT_G]*[@QTY_PRODUCT_UNITS])</f>
        <v/>
      </c>
      <c r="O47" s="37">
        <f>IF([@SHIPMENT_PACKAGING_WEIGHT_G]="","",[@SHIPMENT_PACKAGING_WEIGHT_G]/1000)</f>
        <v/>
      </c>
    </row>
    <row r="48">
      <c r="A48" s="37" t="n">
        <v>47</v>
      </c>
      <c r="B48" s="37">
        <f>IFERROR(INDEX(T_SHIPMENT[SHIPMENT_ID],[@ROW_INDEX]),"")</f>
        <v/>
      </c>
      <c r="C48" s="37">
        <f>IFERROR(INDEX(T_SHIPMENT[SHIPMENT_NUMBER],[@ROW_INDEX]),"")</f>
        <v/>
      </c>
      <c r="D48" s="37">
        <f>IFERROR(INDEX(T_SHIPMENT[QTY_PRODUCT_UNITS],[@ROW_INDEX]),"")</f>
        <v/>
      </c>
      <c r="E48" s="37">
        <f>IFERROR(INDEX(T_SHIPMENT[PACKAGING_CONFIGURATION_ID],[@ROW_INDEX]),"")</f>
        <v/>
      </c>
      <c r="F48" s="37">
        <f>IFERROR(INDEX(T_SHIPMENT[TRANSPORT_CONFIGURATION_ID],[@ROW_INDEX]),"")</f>
        <v/>
      </c>
      <c r="G48" s="37">
        <f>IF([@TRANSPORT_CONFIGURATION_ID]="","",IFERROR(INDEX(T_TRANSPORT_CONFIGURATION[UNITS_PER_LAYER],MATCH([@TRANSPORT_CONFIGURATION_ID],T_TRANSPORT_CONFIGURATION[TRANSPORT_CONFIGURATION_ID],0)),""))</f>
        <v/>
      </c>
      <c r="H48" s="37">
        <f>IF([@TRANSPORT_CONFIGURATION_ID]="","",IFERROR(INDEX(T_TRANSPORT_CONFIGURATION[LAYERS_PER_UNIT],MATCH([@TRANSPORT_CONFIGURATION_ID],T_TRANSPORT_CONFIGURATION[TRANSPORT_CONFIGURATION_ID],0)),""))</f>
        <v/>
      </c>
      <c r="I48" s="37">
        <f>IF([@TRANSPORT_CONFIGURATION_ID]="","",IFERROR(INDEX(T_TRANSPORT_CONFIGURATION[CONTAINER_PAYLOAD_UNITS],MATCH([@TRANSPORT_CONFIGURATION_ID],T_TRANSPORT_CONFIGURATION[TRANSPORT_CONFIGURATION_ID],0)),""))</f>
        <v/>
      </c>
      <c r="J48" s="37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48" s="37">
        <f>IF([@PACKAGING_CONFIGURATION_ID]="","",SUMIF(T_ENG_PACKAGING_WEIGHT[PACKAGING_CONFIGURATION_ID],[@PACKAGING_CONFIGURATION_ID],T_ENG_PACKAGING_WEIGHT[LINE_WEIGHT_G]))</f>
        <v/>
      </c>
      <c r="L48" s="37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48" s="37">
        <f>IF(OR([@PACKAGING_WEIGHT_PER_UNIT_G]="",[@TRANSPORT_WEIGHT_PER_UNIT_G]=""),IF([@PACKAGING_WEIGHT_PER_UNIT_G]="","",[@PACKAGING_WEIGHT_PER_UNIT_G]),[@PACKAGING_WEIGHT_PER_UNIT_G]+[@TRANSPORT_WEIGHT_PER_UNIT_G])</f>
        <v/>
      </c>
      <c r="N48" s="37">
        <f>IF(OR([@TOTAL_WEIGHT_PER_UNIT_G]="",[@QTY_PRODUCT_UNITS]=""),"",[@TOTAL_WEIGHT_PER_UNIT_G]*[@QTY_PRODUCT_UNITS])</f>
        <v/>
      </c>
      <c r="O48" s="37">
        <f>IF([@SHIPMENT_PACKAGING_WEIGHT_G]="","",[@SHIPMENT_PACKAGING_WEIGHT_G]/1000)</f>
        <v/>
      </c>
    </row>
    <row r="49">
      <c r="A49" s="37" t="n">
        <v>48</v>
      </c>
      <c r="B49" s="37">
        <f>IFERROR(INDEX(T_SHIPMENT[SHIPMENT_ID],[@ROW_INDEX]),"")</f>
        <v/>
      </c>
      <c r="C49" s="37">
        <f>IFERROR(INDEX(T_SHIPMENT[SHIPMENT_NUMBER],[@ROW_INDEX]),"")</f>
        <v/>
      </c>
      <c r="D49" s="37">
        <f>IFERROR(INDEX(T_SHIPMENT[QTY_PRODUCT_UNITS],[@ROW_INDEX]),"")</f>
        <v/>
      </c>
      <c r="E49" s="37">
        <f>IFERROR(INDEX(T_SHIPMENT[PACKAGING_CONFIGURATION_ID],[@ROW_INDEX]),"")</f>
        <v/>
      </c>
      <c r="F49" s="37">
        <f>IFERROR(INDEX(T_SHIPMENT[TRANSPORT_CONFIGURATION_ID],[@ROW_INDEX]),"")</f>
        <v/>
      </c>
      <c r="G49" s="37">
        <f>IF([@TRANSPORT_CONFIGURATION_ID]="","",IFERROR(INDEX(T_TRANSPORT_CONFIGURATION[UNITS_PER_LAYER],MATCH([@TRANSPORT_CONFIGURATION_ID],T_TRANSPORT_CONFIGURATION[TRANSPORT_CONFIGURATION_ID],0)),""))</f>
        <v/>
      </c>
      <c r="H49" s="37">
        <f>IF([@TRANSPORT_CONFIGURATION_ID]="","",IFERROR(INDEX(T_TRANSPORT_CONFIGURATION[LAYERS_PER_UNIT],MATCH([@TRANSPORT_CONFIGURATION_ID],T_TRANSPORT_CONFIGURATION[TRANSPORT_CONFIGURATION_ID],0)),""))</f>
        <v/>
      </c>
      <c r="I49" s="37">
        <f>IF([@TRANSPORT_CONFIGURATION_ID]="","",IFERROR(INDEX(T_TRANSPORT_CONFIGURATION[CONTAINER_PAYLOAD_UNITS],MATCH([@TRANSPORT_CONFIGURATION_ID],T_TRANSPORT_CONFIGURATION[TRANSPORT_CONFIGURATION_ID],0)),""))</f>
        <v/>
      </c>
      <c r="J49" s="37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49" s="37">
        <f>IF([@PACKAGING_CONFIGURATION_ID]="","",SUMIF(T_ENG_PACKAGING_WEIGHT[PACKAGING_CONFIGURATION_ID],[@PACKAGING_CONFIGURATION_ID],T_ENG_PACKAGING_WEIGHT[LINE_WEIGHT_G]))</f>
        <v/>
      </c>
      <c r="L49" s="37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49" s="37">
        <f>IF(OR([@PACKAGING_WEIGHT_PER_UNIT_G]="",[@TRANSPORT_WEIGHT_PER_UNIT_G]=""),IF([@PACKAGING_WEIGHT_PER_UNIT_G]="","",[@PACKAGING_WEIGHT_PER_UNIT_G]),[@PACKAGING_WEIGHT_PER_UNIT_G]+[@TRANSPORT_WEIGHT_PER_UNIT_G])</f>
        <v/>
      </c>
      <c r="N49" s="37">
        <f>IF(OR([@TOTAL_WEIGHT_PER_UNIT_G]="",[@QTY_PRODUCT_UNITS]=""),"",[@TOTAL_WEIGHT_PER_UNIT_G]*[@QTY_PRODUCT_UNITS])</f>
        <v/>
      </c>
      <c r="O49" s="37">
        <f>IF([@SHIPMENT_PACKAGING_WEIGHT_G]="","",[@SHIPMENT_PACKAGING_WEIGHT_G]/1000)</f>
        <v/>
      </c>
    </row>
    <row r="50">
      <c r="A50" s="37" t="n">
        <v>49</v>
      </c>
      <c r="B50" s="37">
        <f>IFERROR(INDEX(T_SHIPMENT[SHIPMENT_ID],[@ROW_INDEX]),"")</f>
        <v/>
      </c>
      <c r="C50" s="37">
        <f>IFERROR(INDEX(T_SHIPMENT[SHIPMENT_NUMBER],[@ROW_INDEX]),"")</f>
        <v/>
      </c>
      <c r="D50" s="37">
        <f>IFERROR(INDEX(T_SHIPMENT[QTY_PRODUCT_UNITS],[@ROW_INDEX]),"")</f>
        <v/>
      </c>
      <c r="E50" s="37">
        <f>IFERROR(INDEX(T_SHIPMENT[PACKAGING_CONFIGURATION_ID],[@ROW_INDEX]),"")</f>
        <v/>
      </c>
      <c r="F50" s="37">
        <f>IFERROR(INDEX(T_SHIPMENT[TRANSPORT_CONFIGURATION_ID],[@ROW_INDEX]),"")</f>
        <v/>
      </c>
      <c r="G50" s="37">
        <f>IF([@TRANSPORT_CONFIGURATION_ID]="","",IFERROR(INDEX(T_TRANSPORT_CONFIGURATION[UNITS_PER_LAYER],MATCH([@TRANSPORT_CONFIGURATION_ID],T_TRANSPORT_CONFIGURATION[TRANSPORT_CONFIGURATION_ID],0)),""))</f>
        <v/>
      </c>
      <c r="H50" s="37">
        <f>IF([@TRANSPORT_CONFIGURATION_ID]="","",IFERROR(INDEX(T_TRANSPORT_CONFIGURATION[LAYERS_PER_UNIT],MATCH([@TRANSPORT_CONFIGURATION_ID],T_TRANSPORT_CONFIGURATION[TRANSPORT_CONFIGURATION_ID],0)),""))</f>
        <v/>
      </c>
      <c r="I50" s="37">
        <f>IF([@TRANSPORT_CONFIGURATION_ID]="","",IFERROR(INDEX(T_TRANSPORT_CONFIGURATION[CONTAINER_PAYLOAD_UNITS],MATCH([@TRANSPORT_CONFIGURATION_ID],T_TRANSPORT_CONFIGURATION[TRANSPORT_CONFIGURATION_ID],0)),""))</f>
        <v/>
      </c>
      <c r="J50" s="37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50" s="37">
        <f>IF([@PACKAGING_CONFIGURATION_ID]="","",SUMIF(T_ENG_PACKAGING_WEIGHT[PACKAGING_CONFIGURATION_ID],[@PACKAGING_CONFIGURATION_ID],T_ENG_PACKAGING_WEIGHT[LINE_WEIGHT_G]))</f>
        <v/>
      </c>
      <c r="L50" s="37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50" s="37">
        <f>IF(OR([@PACKAGING_WEIGHT_PER_UNIT_G]="",[@TRANSPORT_WEIGHT_PER_UNIT_G]=""),IF([@PACKAGING_WEIGHT_PER_UNIT_G]="","",[@PACKAGING_WEIGHT_PER_UNIT_G]),[@PACKAGING_WEIGHT_PER_UNIT_G]+[@TRANSPORT_WEIGHT_PER_UNIT_G])</f>
        <v/>
      </c>
      <c r="N50" s="37">
        <f>IF(OR([@TOTAL_WEIGHT_PER_UNIT_G]="",[@QTY_PRODUCT_UNITS]=""),"",[@TOTAL_WEIGHT_PER_UNIT_G]*[@QTY_PRODUCT_UNITS])</f>
        <v/>
      </c>
      <c r="O50" s="37">
        <f>IF([@SHIPMENT_PACKAGING_WEIGHT_G]="","",[@SHIPMENT_PACKAGING_WEIGHT_G]/1000)</f>
        <v/>
      </c>
    </row>
    <row r="51">
      <c r="A51" s="37" t="n">
        <v>50</v>
      </c>
      <c r="B51" s="37">
        <f>IFERROR(INDEX(T_SHIPMENT[SHIPMENT_ID],[@ROW_INDEX]),"")</f>
        <v/>
      </c>
      <c r="C51" s="37">
        <f>IFERROR(INDEX(T_SHIPMENT[SHIPMENT_NUMBER],[@ROW_INDEX]),"")</f>
        <v/>
      </c>
      <c r="D51" s="37">
        <f>IFERROR(INDEX(T_SHIPMENT[QTY_PRODUCT_UNITS],[@ROW_INDEX]),"")</f>
        <v/>
      </c>
      <c r="E51" s="37">
        <f>IFERROR(INDEX(T_SHIPMENT[PACKAGING_CONFIGURATION_ID],[@ROW_INDEX]),"")</f>
        <v/>
      </c>
      <c r="F51" s="37">
        <f>IFERROR(INDEX(T_SHIPMENT[TRANSPORT_CONFIGURATION_ID],[@ROW_INDEX]),"")</f>
        <v/>
      </c>
      <c r="G51" s="37">
        <f>IF([@TRANSPORT_CONFIGURATION_ID]="","",IFERROR(INDEX(T_TRANSPORT_CONFIGURATION[UNITS_PER_LAYER],MATCH([@TRANSPORT_CONFIGURATION_ID],T_TRANSPORT_CONFIGURATION[TRANSPORT_CONFIGURATION_ID],0)),""))</f>
        <v/>
      </c>
      <c r="H51" s="37">
        <f>IF([@TRANSPORT_CONFIGURATION_ID]="","",IFERROR(INDEX(T_TRANSPORT_CONFIGURATION[LAYERS_PER_UNIT],MATCH([@TRANSPORT_CONFIGURATION_ID],T_TRANSPORT_CONFIGURATION[TRANSPORT_CONFIGURATION_ID],0)),""))</f>
        <v/>
      </c>
      <c r="I51" s="37">
        <f>IF([@TRANSPORT_CONFIGURATION_ID]="","",IFERROR(INDEX(T_TRANSPORT_CONFIGURATION[CONTAINER_PAYLOAD_UNITS],MATCH([@TRANSPORT_CONFIGURATION_ID],T_TRANSPORT_CONFIGURATION[TRANSPORT_CONFIGURATION_ID],0)),""))</f>
        <v/>
      </c>
      <c r="J51" s="37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51" s="37">
        <f>IF([@PACKAGING_CONFIGURATION_ID]="","",SUMIF(T_ENG_PACKAGING_WEIGHT[PACKAGING_CONFIGURATION_ID],[@PACKAGING_CONFIGURATION_ID],T_ENG_PACKAGING_WEIGHT[LINE_WEIGHT_G]))</f>
        <v/>
      </c>
      <c r="L51" s="37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51" s="37">
        <f>IF(OR([@PACKAGING_WEIGHT_PER_UNIT_G]="",[@TRANSPORT_WEIGHT_PER_UNIT_G]=""),IF([@PACKAGING_WEIGHT_PER_UNIT_G]="","",[@PACKAGING_WEIGHT_PER_UNIT_G]),[@PACKAGING_WEIGHT_PER_UNIT_G]+[@TRANSPORT_WEIGHT_PER_UNIT_G])</f>
        <v/>
      </c>
      <c r="N51" s="37">
        <f>IF(OR([@TOTAL_WEIGHT_PER_UNIT_G]="",[@QTY_PRODUCT_UNITS]=""),"",[@TOTAL_WEIGHT_PER_UNIT_G]*[@QTY_PRODUCT_UNITS])</f>
        <v/>
      </c>
      <c r="O51" s="37">
        <f>IF([@SHIPMENT_PACKAGING_WEIGHT_G]="","",[@SHIPMENT_PACKAGING_WEIGHT_G]/1000)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hyperlinks>
    <hyperlink xmlns:r="http://schemas.openxmlformats.org/officeDocument/2006/relationships" ref="Q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7" customWidth="1" min="3" max="3"/>
    <col width="28" customWidth="1" min="4" max="4"/>
    <col width="29" customWidth="1" min="5" max="5"/>
  </cols>
  <sheetData>
    <row r="1">
      <c r="A1" s="5" t="inlineStr">
        <is>
          <t>MATERIAL_FAMILY_CODE</t>
        </is>
      </c>
      <c r="B1" s="5" t="inlineStr">
        <is>
          <t>LINE_COUNT</t>
        </is>
      </c>
      <c r="C1" s="5" t="inlineStr">
        <is>
          <t>TOTAL_MATERIAL_WEIGHT_G</t>
        </is>
      </c>
      <c r="D1" s="5" t="inlineStr">
        <is>
          <t>TOTAL_MATERIAL_WEIGHT_KG</t>
        </is>
      </c>
      <c r="E1" s="5" t="inlineStr">
        <is>
          <t>SHARE_OF_ALL_MATERIAL_PCT</t>
        </is>
      </c>
      <c r="G1" s="36" t="inlineStr">
        <is>
          <t>Dashboard</t>
        </is>
      </c>
    </row>
    <row r="2">
      <c r="A2" s="37" t="inlineStr">
        <is>
          <t>PLASTIC</t>
        </is>
      </c>
      <c r="B2" s="37">
        <f>COUNTIF(T_ENG_MATERIAL_WEIGHT[MATERIAL_FAMILY_CODE],"=PLASTIC")</f>
        <v/>
      </c>
      <c r="C2" s="37">
        <f>SUMIF(T_ENG_MATERIAL_WEIGHT[MATERIAL_FAMILY_CODE],[@MATERIAL_FAMILY_CODE],T_ENG_MATERIAL_WEIGHT[MATERIAL_WEIGHT_G])</f>
        <v/>
      </c>
      <c r="D2" s="37">
        <f>IF([@TOTAL_MATERIAL_WEIGHT_G]="","",[@TOTAL_MATERIAL_WEIGHT_G]/1000)</f>
        <v/>
      </c>
      <c r="E2" s="37">
        <f>IF(OR([@TOTAL_MATERIAL_WEIGHT_G]="",SUM(T_ENG_MATERIAL_WEIGHT[MATERIAL_WEIGHT_G])=0),"",[@TOTAL_MATERIAL_WEIGHT_G]/SUM(T_ENG_MATERIAL_WEIGHT[MATERIAL_WEIGHT_G])*100)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hyperlinks>
    <hyperlink xmlns:r="http://schemas.openxmlformats.org/officeDocument/2006/relationships" ref="G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7" customWidth="1" min="3" max="3"/>
    <col width="28" customWidth="1" min="4" max="4"/>
    <col width="29" customWidth="1" min="5" max="5"/>
  </cols>
  <sheetData>
    <row r="1">
      <c r="A1" s="5" t="inlineStr">
        <is>
          <t>MATERIAL_FAMILY_CODE</t>
        </is>
      </c>
      <c r="B1" s="5" t="inlineStr">
        <is>
          <t>LINE_COUNT</t>
        </is>
      </c>
      <c r="C1" s="5" t="inlineStr">
        <is>
          <t>TOTAL_MATERIAL_WEIGHT_G</t>
        </is>
      </c>
      <c r="D1" s="5" t="inlineStr">
        <is>
          <t>TOTAL_MATERIAL_WEIGHT_KG</t>
        </is>
      </c>
      <c r="E1" s="5" t="inlineStr">
        <is>
          <t>SHARE_OF_ALL_MATERIAL_PCT</t>
        </is>
      </c>
      <c r="G1" s="36" t="inlineStr">
        <is>
          <t>Dashboard</t>
        </is>
      </c>
    </row>
    <row r="2">
      <c r="A2" s="37" t="inlineStr">
        <is>
          <t>PAPER</t>
        </is>
      </c>
      <c r="B2" s="37">
        <f>COUNTIF(T_ENG_MATERIAL_WEIGHT[MATERIAL_FAMILY_CODE],"=PAPER")</f>
        <v/>
      </c>
      <c r="C2" s="37">
        <f>SUMIF(T_ENG_MATERIAL_WEIGHT[MATERIAL_FAMILY_CODE],[@MATERIAL_FAMILY_CODE],T_ENG_MATERIAL_WEIGHT[MATERIAL_WEIGHT_G])</f>
        <v/>
      </c>
      <c r="D2" s="37">
        <f>IF([@TOTAL_MATERIAL_WEIGHT_G]="","",[@TOTAL_MATERIAL_WEIGHT_G]/1000)</f>
        <v/>
      </c>
      <c r="E2" s="37">
        <f>IF(OR([@TOTAL_MATERIAL_WEIGHT_G]="",SUM(T_ENG_MATERIAL_WEIGHT[MATERIAL_WEIGHT_G])=0),"",[@TOTAL_MATERIAL_WEIGHT_G]/SUM(T_ENG_MATERIAL_WEIGHT[MATERIAL_WEIGHT_G])*100)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hyperlinks>
    <hyperlink xmlns:r="http://schemas.openxmlformats.org/officeDocument/2006/relationships" ref="G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7" customWidth="1" min="3" max="3"/>
    <col width="28" customWidth="1" min="4" max="4"/>
    <col width="29" customWidth="1" min="5" max="5"/>
  </cols>
  <sheetData>
    <row r="1">
      <c r="A1" s="5" t="inlineStr">
        <is>
          <t>MATERIAL_FAMILY_CODE</t>
        </is>
      </c>
      <c r="B1" s="5" t="inlineStr">
        <is>
          <t>LINE_COUNT</t>
        </is>
      </c>
      <c r="C1" s="5" t="inlineStr">
        <is>
          <t>TOTAL_MATERIAL_WEIGHT_G</t>
        </is>
      </c>
      <c r="D1" s="5" t="inlineStr">
        <is>
          <t>TOTAL_MATERIAL_WEIGHT_KG</t>
        </is>
      </c>
      <c r="E1" s="5" t="inlineStr">
        <is>
          <t>SHARE_OF_ALL_MATERIAL_PCT</t>
        </is>
      </c>
      <c r="G1" s="36" t="inlineStr">
        <is>
          <t>Dashboard</t>
        </is>
      </c>
    </row>
    <row r="2">
      <c r="A2" s="37" t="inlineStr">
        <is>
          <t>WOOD</t>
        </is>
      </c>
      <c r="B2" s="37">
        <f>COUNTIF(T_ENG_MATERIAL_WEIGHT[MATERIAL_FAMILY_CODE],"=WOOD")</f>
        <v/>
      </c>
      <c r="C2" s="37">
        <f>SUMIF(T_ENG_MATERIAL_WEIGHT[MATERIAL_FAMILY_CODE],[@MATERIAL_FAMILY_CODE],T_ENG_MATERIAL_WEIGHT[MATERIAL_WEIGHT_G])</f>
        <v/>
      </c>
      <c r="D2" s="37">
        <f>IF([@TOTAL_MATERIAL_WEIGHT_G]="","",[@TOTAL_MATERIAL_WEIGHT_G]/1000)</f>
        <v/>
      </c>
      <c r="E2" s="37">
        <f>IF(OR([@TOTAL_MATERIAL_WEIGHT_G]="",SUM(T_ENG_MATERIAL_WEIGHT[MATERIAL_WEIGHT_G])=0),"",[@TOTAL_MATERIAL_WEIGHT_G]/SUM(T_ENG_MATERIAL_WEIGHT[MATERIAL_WEIGHT_G])*100)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hyperlinks>
    <hyperlink xmlns:r="http://schemas.openxmlformats.org/officeDocument/2006/relationships" ref="G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8" customWidth="1" min="3" max="3"/>
    <col width="15" customWidth="1" min="4" max="4"/>
    <col width="22" customWidth="1" min="5" max="5"/>
    <col width="21" customWidth="1" min="6" max="6"/>
    <col width="26" customWidth="1" min="7" max="7"/>
    <col width="23" customWidth="1" min="8" max="8"/>
    <col width="24" customWidth="1" min="9" max="9"/>
    <col width="15" customWidth="1" min="10" max="10"/>
    <col width="25" customWidth="1" min="11" max="11"/>
    <col width="20" customWidth="1" min="12" max="12"/>
  </cols>
  <sheetData>
    <row r="1">
      <c r="A1" s="5" t="inlineStr">
        <is>
          <t>ROW_INDEX</t>
        </is>
      </c>
      <c r="B1" s="5" t="inlineStr">
        <is>
          <t>STATEMENT_ID</t>
        </is>
      </c>
      <c r="C1" s="5" t="inlineStr">
        <is>
          <t>STATEMENT_CODE</t>
        </is>
      </c>
      <c r="D1" s="5" t="inlineStr">
        <is>
          <t>MATERIAL_ID</t>
        </is>
      </c>
      <c r="E1" s="5" t="inlineStr">
        <is>
          <t>PACKAGING_LEVEL_ID</t>
        </is>
      </c>
      <c r="F1" s="5" t="inlineStr">
        <is>
          <t>OWNERSHIP_TYPE_ID</t>
        </is>
      </c>
      <c r="G1" s="5" t="inlineStr">
        <is>
          <t>FROZEN_TOTAL_WEIGHT_KG</t>
        </is>
      </c>
      <c r="H1" s="5" t="inlineStr">
        <is>
          <t>RECOMPUTED_WEIGHT_G</t>
        </is>
      </c>
      <c r="I1" s="5" t="inlineStr">
        <is>
          <t>RECOMPUTED_WEIGHT_KG</t>
        </is>
      </c>
      <c r="J1" s="5" t="inlineStr">
        <is>
          <t>VARIANCE_KG</t>
        </is>
      </c>
      <c r="K1" s="5" t="inlineStr">
        <is>
          <t>SOURCE_SHIPMENT_COUNT</t>
        </is>
      </c>
      <c r="L1" s="5" t="inlineStr">
        <is>
          <t>RECONCILE_STATUS</t>
        </is>
      </c>
      <c r="N1" s="36" t="inlineStr">
        <is>
          <t>Dashboard</t>
        </is>
      </c>
    </row>
    <row r="2">
      <c r="A2" s="37" t="n">
        <v>1</v>
      </c>
      <c r="B2" s="37">
        <f>IFERROR(INDEX(T_STATEMENT_LINE[STATEMENT_ID],[@ROW_INDEX]),"")</f>
        <v/>
      </c>
      <c r="C2" s="37">
        <f>IF([@STATEMENT_ID]="","",IFERROR(INDEX(T_STATEMENT[STATEMENT_CODE],MATCH([@STATEMENT_ID],T_STATEMENT[STATEMENT_ID],0)),""))</f>
        <v/>
      </c>
      <c r="D2" s="37">
        <f>IFERROR(INDEX(T_STATEMENT_LINE[MATERIAL_ID],[@ROW_INDEX]),"")</f>
        <v/>
      </c>
      <c r="E2" s="37">
        <f>IFERROR(INDEX(T_STATEMENT_LINE[PACKAGING_LEVEL_ID],[@ROW_INDEX]),"")</f>
        <v/>
      </c>
      <c r="F2" s="37">
        <f>IFERROR(INDEX(T_STATEMENT_LINE[OWNERSHIP_TYPE_ID],[@ROW_INDEX]),"")</f>
        <v/>
      </c>
      <c r="G2" s="37">
        <f>IFERROR(INDEX(T_STATEMENT_LINE[TOTAL_WEIGHT_KG],[@ROW_INDEX]),"")</f>
        <v/>
      </c>
      <c r="H2" s="37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2" s="37">
        <f>IF([@RECOMPUTED_WEIGHT_G]="","",[@RECOMPUTED_WEIGHT_G]/1000)</f>
        <v/>
      </c>
      <c r="J2" s="37">
        <f>IF(OR([@FROZEN_TOTAL_WEIGHT_KG]="",[@RECOMPUTED_WEIGHT_KG]=""),"",[@RECOMPUTED_WEIGHT_KG]-[@FROZEN_TOTAL_WEIGHT_KG])</f>
        <v/>
      </c>
      <c r="K2" s="37">
        <f>IF([@STATEMENT_ID]="","",COUNTIF(T_STATEMENT_SHIPMENT[STATEMENT_ID],[@STATEMENT_ID]))</f>
        <v/>
      </c>
      <c r="L2" s="37">
        <f>IF([@STATEMENT_ID]="","",IF([@VARIANCE_KG]="","PENDING",IF(ABS([@VARIANCE_KG])&lt;=0.001,"OK","VARIANCE")))</f>
        <v/>
      </c>
    </row>
    <row r="3">
      <c r="A3" s="37" t="n">
        <v>2</v>
      </c>
      <c r="B3" s="37">
        <f>IFERROR(INDEX(T_STATEMENT_LINE[STATEMENT_ID],[@ROW_INDEX]),"")</f>
        <v/>
      </c>
      <c r="C3" s="37">
        <f>IF([@STATEMENT_ID]="","",IFERROR(INDEX(T_STATEMENT[STATEMENT_CODE],MATCH([@STATEMENT_ID],T_STATEMENT[STATEMENT_ID],0)),""))</f>
        <v/>
      </c>
      <c r="D3" s="37">
        <f>IFERROR(INDEX(T_STATEMENT_LINE[MATERIAL_ID],[@ROW_INDEX]),"")</f>
        <v/>
      </c>
      <c r="E3" s="37">
        <f>IFERROR(INDEX(T_STATEMENT_LINE[PACKAGING_LEVEL_ID],[@ROW_INDEX]),"")</f>
        <v/>
      </c>
      <c r="F3" s="37">
        <f>IFERROR(INDEX(T_STATEMENT_LINE[OWNERSHIP_TYPE_ID],[@ROW_INDEX]),"")</f>
        <v/>
      </c>
      <c r="G3" s="37">
        <f>IFERROR(INDEX(T_STATEMENT_LINE[TOTAL_WEIGHT_KG],[@ROW_INDEX]),"")</f>
        <v/>
      </c>
      <c r="H3" s="37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3" s="37">
        <f>IF([@RECOMPUTED_WEIGHT_G]="","",[@RECOMPUTED_WEIGHT_G]/1000)</f>
        <v/>
      </c>
      <c r="J3" s="37">
        <f>IF(OR([@FROZEN_TOTAL_WEIGHT_KG]="",[@RECOMPUTED_WEIGHT_KG]=""),"",[@RECOMPUTED_WEIGHT_KG]-[@FROZEN_TOTAL_WEIGHT_KG])</f>
        <v/>
      </c>
      <c r="K3" s="37">
        <f>IF([@STATEMENT_ID]="","",COUNTIF(T_STATEMENT_SHIPMENT[STATEMENT_ID],[@STATEMENT_ID]))</f>
        <v/>
      </c>
      <c r="L3" s="37">
        <f>IF([@STATEMENT_ID]="","",IF([@VARIANCE_KG]="","PENDING",IF(ABS([@VARIANCE_KG])&lt;=0.001,"OK","VARIANCE")))</f>
        <v/>
      </c>
    </row>
    <row r="4">
      <c r="A4" s="37" t="n">
        <v>3</v>
      </c>
      <c r="B4" s="37">
        <f>IFERROR(INDEX(T_STATEMENT_LINE[STATEMENT_ID],[@ROW_INDEX]),"")</f>
        <v/>
      </c>
      <c r="C4" s="37">
        <f>IF([@STATEMENT_ID]="","",IFERROR(INDEX(T_STATEMENT[STATEMENT_CODE],MATCH([@STATEMENT_ID],T_STATEMENT[STATEMENT_ID],0)),""))</f>
        <v/>
      </c>
      <c r="D4" s="37">
        <f>IFERROR(INDEX(T_STATEMENT_LINE[MATERIAL_ID],[@ROW_INDEX]),"")</f>
        <v/>
      </c>
      <c r="E4" s="37">
        <f>IFERROR(INDEX(T_STATEMENT_LINE[PACKAGING_LEVEL_ID],[@ROW_INDEX]),"")</f>
        <v/>
      </c>
      <c r="F4" s="37">
        <f>IFERROR(INDEX(T_STATEMENT_LINE[OWNERSHIP_TYPE_ID],[@ROW_INDEX]),"")</f>
        <v/>
      </c>
      <c r="G4" s="37">
        <f>IFERROR(INDEX(T_STATEMENT_LINE[TOTAL_WEIGHT_KG],[@ROW_INDEX]),"")</f>
        <v/>
      </c>
      <c r="H4" s="37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4" s="37">
        <f>IF([@RECOMPUTED_WEIGHT_G]="","",[@RECOMPUTED_WEIGHT_G]/1000)</f>
        <v/>
      </c>
      <c r="J4" s="37">
        <f>IF(OR([@FROZEN_TOTAL_WEIGHT_KG]="",[@RECOMPUTED_WEIGHT_KG]=""),"",[@RECOMPUTED_WEIGHT_KG]-[@FROZEN_TOTAL_WEIGHT_KG])</f>
        <v/>
      </c>
      <c r="K4" s="37">
        <f>IF([@STATEMENT_ID]="","",COUNTIF(T_STATEMENT_SHIPMENT[STATEMENT_ID],[@STATEMENT_ID]))</f>
        <v/>
      </c>
      <c r="L4" s="37">
        <f>IF([@STATEMENT_ID]="","",IF([@VARIANCE_KG]="","PENDING",IF(ABS([@VARIANCE_KG])&lt;=0.001,"OK","VARIANCE")))</f>
        <v/>
      </c>
    </row>
    <row r="5">
      <c r="A5" s="37" t="n">
        <v>4</v>
      </c>
      <c r="B5" s="37">
        <f>IFERROR(INDEX(T_STATEMENT_LINE[STATEMENT_ID],[@ROW_INDEX]),"")</f>
        <v/>
      </c>
      <c r="C5" s="37">
        <f>IF([@STATEMENT_ID]="","",IFERROR(INDEX(T_STATEMENT[STATEMENT_CODE],MATCH([@STATEMENT_ID],T_STATEMENT[STATEMENT_ID],0)),""))</f>
        <v/>
      </c>
      <c r="D5" s="37">
        <f>IFERROR(INDEX(T_STATEMENT_LINE[MATERIAL_ID],[@ROW_INDEX]),"")</f>
        <v/>
      </c>
      <c r="E5" s="37">
        <f>IFERROR(INDEX(T_STATEMENT_LINE[PACKAGING_LEVEL_ID],[@ROW_INDEX]),"")</f>
        <v/>
      </c>
      <c r="F5" s="37">
        <f>IFERROR(INDEX(T_STATEMENT_LINE[OWNERSHIP_TYPE_ID],[@ROW_INDEX]),"")</f>
        <v/>
      </c>
      <c r="G5" s="37">
        <f>IFERROR(INDEX(T_STATEMENT_LINE[TOTAL_WEIGHT_KG],[@ROW_INDEX]),"")</f>
        <v/>
      </c>
      <c r="H5" s="37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5" s="37">
        <f>IF([@RECOMPUTED_WEIGHT_G]="","",[@RECOMPUTED_WEIGHT_G]/1000)</f>
        <v/>
      </c>
      <c r="J5" s="37">
        <f>IF(OR([@FROZEN_TOTAL_WEIGHT_KG]="",[@RECOMPUTED_WEIGHT_KG]=""),"",[@RECOMPUTED_WEIGHT_KG]-[@FROZEN_TOTAL_WEIGHT_KG])</f>
        <v/>
      </c>
      <c r="K5" s="37">
        <f>IF([@STATEMENT_ID]="","",COUNTIF(T_STATEMENT_SHIPMENT[STATEMENT_ID],[@STATEMENT_ID]))</f>
        <v/>
      </c>
      <c r="L5" s="37">
        <f>IF([@STATEMENT_ID]="","",IF([@VARIANCE_KG]="","PENDING",IF(ABS([@VARIANCE_KG])&lt;=0.001,"OK","VARIANCE")))</f>
        <v/>
      </c>
    </row>
    <row r="6">
      <c r="A6" s="37" t="n">
        <v>5</v>
      </c>
      <c r="B6" s="37">
        <f>IFERROR(INDEX(T_STATEMENT_LINE[STATEMENT_ID],[@ROW_INDEX]),"")</f>
        <v/>
      </c>
      <c r="C6" s="37">
        <f>IF([@STATEMENT_ID]="","",IFERROR(INDEX(T_STATEMENT[STATEMENT_CODE],MATCH([@STATEMENT_ID],T_STATEMENT[STATEMENT_ID],0)),""))</f>
        <v/>
      </c>
      <c r="D6" s="37">
        <f>IFERROR(INDEX(T_STATEMENT_LINE[MATERIAL_ID],[@ROW_INDEX]),"")</f>
        <v/>
      </c>
      <c r="E6" s="37">
        <f>IFERROR(INDEX(T_STATEMENT_LINE[PACKAGING_LEVEL_ID],[@ROW_INDEX]),"")</f>
        <v/>
      </c>
      <c r="F6" s="37">
        <f>IFERROR(INDEX(T_STATEMENT_LINE[OWNERSHIP_TYPE_ID],[@ROW_INDEX]),"")</f>
        <v/>
      </c>
      <c r="G6" s="37">
        <f>IFERROR(INDEX(T_STATEMENT_LINE[TOTAL_WEIGHT_KG],[@ROW_INDEX]),"")</f>
        <v/>
      </c>
      <c r="H6" s="37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6" s="37">
        <f>IF([@RECOMPUTED_WEIGHT_G]="","",[@RECOMPUTED_WEIGHT_G]/1000)</f>
        <v/>
      </c>
      <c r="J6" s="37">
        <f>IF(OR([@FROZEN_TOTAL_WEIGHT_KG]="",[@RECOMPUTED_WEIGHT_KG]=""),"",[@RECOMPUTED_WEIGHT_KG]-[@FROZEN_TOTAL_WEIGHT_KG])</f>
        <v/>
      </c>
      <c r="K6" s="37">
        <f>IF([@STATEMENT_ID]="","",COUNTIF(T_STATEMENT_SHIPMENT[STATEMENT_ID],[@STATEMENT_ID]))</f>
        <v/>
      </c>
      <c r="L6" s="37">
        <f>IF([@STATEMENT_ID]="","",IF([@VARIANCE_KG]="","PENDING",IF(ABS([@VARIANCE_KG])&lt;=0.001,"OK","VARIANCE")))</f>
        <v/>
      </c>
    </row>
    <row r="7">
      <c r="A7" s="37" t="n">
        <v>6</v>
      </c>
      <c r="B7" s="37">
        <f>IFERROR(INDEX(T_STATEMENT_LINE[STATEMENT_ID],[@ROW_INDEX]),"")</f>
        <v/>
      </c>
      <c r="C7" s="37">
        <f>IF([@STATEMENT_ID]="","",IFERROR(INDEX(T_STATEMENT[STATEMENT_CODE],MATCH([@STATEMENT_ID],T_STATEMENT[STATEMENT_ID],0)),""))</f>
        <v/>
      </c>
      <c r="D7" s="37">
        <f>IFERROR(INDEX(T_STATEMENT_LINE[MATERIAL_ID],[@ROW_INDEX]),"")</f>
        <v/>
      </c>
      <c r="E7" s="37">
        <f>IFERROR(INDEX(T_STATEMENT_LINE[PACKAGING_LEVEL_ID],[@ROW_INDEX]),"")</f>
        <v/>
      </c>
      <c r="F7" s="37">
        <f>IFERROR(INDEX(T_STATEMENT_LINE[OWNERSHIP_TYPE_ID],[@ROW_INDEX]),"")</f>
        <v/>
      </c>
      <c r="G7" s="37">
        <f>IFERROR(INDEX(T_STATEMENT_LINE[TOTAL_WEIGHT_KG],[@ROW_INDEX]),"")</f>
        <v/>
      </c>
      <c r="H7" s="37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7" s="37">
        <f>IF([@RECOMPUTED_WEIGHT_G]="","",[@RECOMPUTED_WEIGHT_G]/1000)</f>
        <v/>
      </c>
      <c r="J7" s="37">
        <f>IF(OR([@FROZEN_TOTAL_WEIGHT_KG]="",[@RECOMPUTED_WEIGHT_KG]=""),"",[@RECOMPUTED_WEIGHT_KG]-[@FROZEN_TOTAL_WEIGHT_KG])</f>
        <v/>
      </c>
      <c r="K7" s="37">
        <f>IF([@STATEMENT_ID]="","",COUNTIF(T_STATEMENT_SHIPMENT[STATEMENT_ID],[@STATEMENT_ID]))</f>
        <v/>
      </c>
      <c r="L7" s="37">
        <f>IF([@STATEMENT_ID]="","",IF([@VARIANCE_KG]="","PENDING",IF(ABS([@VARIANCE_KG])&lt;=0.001,"OK","VARIANCE")))</f>
        <v/>
      </c>
    </row>
    <row r="8">
      <c r="A8" s="37" t="n">
        <v>7</v>
      </c>
      <c r="B8" s="37">
        <f>IFERROR(INDEX(T_STATEMENT_LINE[STATEMENT_ID],[@ROW_INDEX]),"")</f>
        <v/>
      </c>
      <c r="C8" s="37">
        <f>IF([@STATEMENT_ID]="","",IFERROR(INDEX(T_STATEMENT[STATEMENT_CODE],MATCH([@STATEMENT_ID],T_STATEMENT[STATEMENT_ID],0)),""))</f>
        <v/>
      </c>
      <c r="D8" s="37">
        <f>IFERROR(INDEX(T_STATEMENT_LINE[MATERIAL_ID],[@ROW_INDEX]),"")</f>
        <v/>
      </c>
      <c r="E8" s="37">
        <f>IFERROR(INDEX(T_STATEMENT_LINE[PACKAGING_LEVEL_ID],[@ROW_INDEX]),"")</f>
        <v/>
      </c>
      <c r="F8" s="37">
        <f>IFERROR(INDEX(T_STATEMENT_LINE[OWNERSHIP_TYPE_ID],[@ROW_INDEX]),"")</f>
        <v/>
      </c>
      <c r="G8" s="37">
        <f>IFERROR(INDEX(T_STATEMENT_LINE[TOTAL_WEIGHT_KG],[@ROW_INDEX]),"")</f>
        <v/>
      </c>
      <c r="H8" s="37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8" s="37">
        <f>IF([@RECOMPUTED_WEIGHT_G]="","",[@RECOMPUTED_WEIGHT_G]/1000)</f>
        <v/>
      </c>
      <c r="J8" s="37">
        <f>IF(OR([@FROZEN_TOTAL_WEIGHT_KG]="",[@RECOMPUTED_WEIGHT_KG]=""),"",[@RECOMPUTED_WEIGHT_KG]-[@FROZEN_TOTAL_WEIGHT_KG])</f>
        <v/>
      </c>
      <c r="K8" s="37">
        <f>IF([@STATEMENT_ID]="","",COUNTIF(T_STATEMENT_SHIPMENT[STATEMENT_ID],[@STATEMENT_ID]))</f>
        <v/>
      </c>
      <c r="L8" s="37">
        <f>IF([@STATEMENT_ID]="","",IF([@VARIANCE_KG]="","PENDING",IF(ABS([@VARIANCE_KG])&lt;=0.001,"OK","VARIANCE")))</f>
        <v/>
      </c>
    </row>
    <row r="9">
      <c r="A9" s="37" t="n">
        <v>8</v>
      </c>
      <c r="B9" s="37">
        <f>IFERROR(INDEX(T_STATEMENT_LINE[STATEMENT_ID],[@ROW_INDEX]),"")</f>
        <v/>
      </c>
      <c r="C9" s="37">
        <f>IF([@STATEMENT_ID]="","",IFERROR(INDEX(T_STATEMENT[STATEMENT_CODE],MATCH([@STATEMENT_ID],T_STATEMENT[STATEMENT_ID],0)),""))</f>
        <v/>
      </c>
      <c r="D9" s="37">
        <f>IFERROR(INDEX(T_STATEMENT_LINE[MATERIAL_ID],[@ROW_INDEX]),"")</f>
        <v/>
      </c>
      <c r="E9" s="37">
        <f>IFERROR(INDEX(T_STATEMENT_LINE[PACKAGING_LEVEL_ID],[@ROW_INDEX]),"")</f>
        <v/>
      </c>
      <c r="F9" s="37">
        <f>IFERROR(INDEX(T_STATEMENT_LINE[OWNERSHIP_TYPE_ID],[@ROW_INDEX]),"")</f>
        <v/>
      </c>
      <c r="G9" s="37">
        <f>IFERROR(INDEX(T_STATEMENT_LINE[TOTAL_WEIGHT_KG],[@ROW_INDEX]),"")</f>
        <v/>
      </c>
      <c r="H9" s="37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9" s="37">
        <f>IF([@RECOMPUTED_WEIGHT_G]="","",[@RECOMPUTED_WEIGHT_G]/1000)</f>
        <v/>
      </c>
      <c r="J9" s="37">
        <f>IF(OR([@FROZEN_TOTAL_WEIGHT_KG]="",[@RECOMPUTED_WEIGHT_KG]=""),"",[@RECOMPUTED_WEIGHT_KG]-[@FROZEN_TOTAL_WEIGHT_KG])</f>
        <v/>
      </c>
      <c r="K9" s="37">
        <f>IF([@STATEMENT_ID]="","",COUNTIF(T_STATEMENT_SHIPMENT[STATEMENT_ID],[@STATEMENT_ID]))</f>
        <v/>
      </c>
      <c r="L9" s="37">
        <f>IF([@STATEMENT_ID]="","",IF([@VARIANCE_KG]="","PENDING",IF(ABS([@VARIANCE_KG])&lt;=0.001,"OK","VARIANCE")))</f>
        <v/>
      </c>
    </row>
    <row r="10">
      <c r="A10" s="37" t="n">
        <v>9</v>
      </c>
      <c r="B10" s="37">
        <f>IFERROR(INDEX(T_STATEMENT_LINE[STATEMENT_ID],[@ROW_INDEX]),"")</f>
        <v/>
      </c>
      <c r="C10" s="37">
        <f>IF([@STATEMENT_ID]="","",IFERROR(INDEX(T_STATEMENT[STATEMENT_CODE],MATCH([@STATEMENT_ID],T_STATEMENT[STATEMENT_ID],0)),""))</f>
        <v/>
      </c>
      <c r="D10" s="37">
        <f>IFERROR(INDEX(T_STATEMENT_LINE[MATERIAL_ID],[@ROW_INDEX]),"")</f>
        <v/>
      </c>
      <c r="E10" s="37">
        <f>IFERROR(INDEX(T_STATEMENT_LINE[PACKAGING_LEVEL_ID],[@ROW_INDEX]),"")</f>
        <v/>
      </c>
      <c r="F10" s="37">
        <f>IFERROR(INDEX(T_STATEMENT_LINE[OWNERSHIP_TYPE_ID],[@ROW_INDEX]),"")</f>
        <v/>
      </c>
      <c r="G10" s="37">
        <f>IFERROR(INDEX(T_STATEMENT_LINE[TOTAL_WEIGHT_KG],[@ROW_INDEX]),"")</f>
        <v/>
      </c>
      <c r="H10" s="37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10" s="37">
        <f>IF([@RECOMPUTED_WEIGHT_G]="","",[@RECOMPUTED_WEIGHT_G]/1000)</f>
        <v/>
      </c>
      <c r="J10" s="37">
        <f>IF(OR([@FROZEN_TOTAL_WEIGHT_KG]="",[@RECOMPUTED_WEIGHT_KG]=""),"",[@RECOMPUTED_WEIGHT_KG]-[@FROZEN_TOTAL_WEIGHT_KG])</f>
        <v/>
      </c>
      <c r="K10" s="37">
        <f>IF([@STATEMENT_ID]="","",COUNTIF(T_STATEMENT_SHIPMENT[STATEMENT_ID],[@STATEMENT_ID]))</f>
        <v/>
      </c>
      <c r="L10" s="37">
        <f>IF([@STATEMENT_ID]="","",IF([@VARIANCE_KG]="","PENDING",IF(ABS([@VARIANCE_KG])&lt;=0.001,"OK","VARIANCE")))</f>
        <v/>
      </c>
    </row>
    <row r="11">
      <c r="A11" s="37" t="n">
        <v>10</v>
      </c>
      <c r="B11" s="37">
        <f>IFERROR(INDEX(T_STATEMENT_LINE[STATEMENT_ID],[@ROW_INDEX]),"")</f>
        <v/>
      </c>
      <c r="C11" s="37">
        <f>IF([@STATEMENT_ID]="","",IFERROR(INDEX(T_STATEMENT[STATEMENT_CODE],MATCH([@STATEMENT_ID],T_STATEMENT[STATEMENT_ID],0)),""))</f>
        <v/>
      </c>
      <c r="D11" s="37">
        <f>IFERROR(INDEX(T_STATEMENT_LINE[MATERIAL_ID],[@ROW_INDEX]),"")</f>
        <v/>
      </c>
      <c r="E11" s="37">
        <f>IFERROR(INDEX(T_STATEMENT_LINE[PACKAGING_LEVEL_ID],[@ROW_INDEX]),"")</f>
        <v/>
      </c>
      <c r="F11" s="37">
        <f>IFERROR(INDEX(T_STATEMENT_LINE[OWNERSHIP_TYPE_ID],[@ROW_INDEX]),"")</f>
        <v/>
      </c>
      <c r="G11" s="37">
        <f>IFERROR(INDEX(T_STATEMENT_LINE[TOTAL_WEIGHT_KG],[@ROW_INDEX]),"")</f>
        <v/>
      </c>
      <c r="H11" s="37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11" s="37">
        <f>IF([@RECOMPUTED_WEIGHT_G]="","",[@RECOMPUTED_WEIGHT_G]/1000)</f>
        <v/>
      </c>
      <c r="J11" s="37">
        <f>IF(OR([@FROZEN_TOTAL_WEIGHT_KG]="",[@RECOMPUTED_WEIGHT_KG]=""),"",[@RECOMPUTED_WEIGHT_KG]-[@FROZEN_TOTAL_WEIGHT_KG])</f>
        <v/>
      </c>
      <c r="K11" s="37">
        <f>IF([@STATEMENT_ID]="","",COUNTIF(T_STATEMENT_SHIPMENT[STATEMENT_ID],[@STATEMENT_ID]))</f>
        <v/>
      </c>
      <c r="L11" s="37">
        <f>IF([@STATEMENT_ID]="","",IF([@VARIANCE_KG]="","PENDING",IF(ABS([@VARIANCE_KG])&lt;=0.001,"OK","VARIANCE")))</f>
        <v/>
      </c>
    </row>
    <row r="12">
      <c r="A12" s="37" t="n">
        <v>11</v>
      </c>
      <c r="B12" s="37">
        <f>IFERROR(INDEX(T_STATEMENT_LINE[STATEMENT_ID],[@ROW_INDEX]),"")</f>
        <v/>
      </c>
      <c r="C12" s="37">
        <f>IF([@STATEMENT_ID]="","",IFERROR(INDEX(T_STATEMENT[STATEMENT_CODE],MATCH([@STATEMENT_ID],T_STATEMENT[STATEMENT_ID],0)),""))</f>
        <v/>
      </c>
      <c r="D12" s="37">
        <f>IFERROR(INDEX(T_STATEMENT_LINE[MATERIAL_ID],[@ROW_INDEX]),"")</f>
        <v/>
      </c>
      <c r="E12" s="37">
        <f>IFERROR(INDEX(T_STATEMENT_LINE[PACKAGING_LEVEL_ID],[@ROW_INDEX]),"")</f>
        <v/>
      </c>
      <c r="F12" s="37">
        <f>IFERROR(INDEX(T_STATEMENT_LINE[OWNERSHIP_TYPE_ID],[@ROW_INDEX]),"")</f>
        <v/>
      </c>
      <c r="G12" s="37">
        <f>IFERROR(INDEX(T_STATEMENT_LINE[TOTAL_WEIGHT_KG],[@ROW_INDEX]),"")</f>
        <v/>
      </c>
      <c r="H12" s="37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12" s="37">
        <f>IF([@RECOMPUTED_WEIGHT_G]="","",[@RECOMPUTED_WEIGHT_G]/1000)</f>
        <v/>
      </c>
      <c r="J12" s="37">
        <f>IF(OR([@FROZEN_TOTAL_WEIGHT_KG]="",[@RECOMPUTED_WEIGHT_KG]=""),"",[@RECOMPUTED_WEIGHT_KG]-[@FROZEN_TOTAL_WEIGHT_KG])</f>
        <v/>
      </c>
      <c r="K12" s="37">
        <f>IF([@STATEMENT_ID]="","",COUNTIF(T_STATEMENT_SHIPMENT[STATEMENT_ID],[@STATEMENT_ID]))</f>
        <v/>
      </c>
      <c r="L12" s="37">
        <f>IF([@STATEMENT_ID]="","",IF([@VARIANCE_KG]="","PENDING",IF(ABS([@VARIANCE_KG])&lt;=0.001,"OK","VARIANCE")))</f>
        <v/>
      </c>
    </row>
    <row r="13">
      <c r="A13" s="37" t="n">
        <v>12</v>
      </c>
      <c r="B13" s="37">
        <f>IFERROR(INDEX(T_STATEMENT_LINE[STATEMENT_ID],[@ROW_INDEX]),"")</f>
        <v/>
      </c>
      <c r="C13" s="37">
        <f>IF([@STATEMENT_ID]="","",IFERROR(INDEX(T_STATEMENT[STATEMENT_CODE],MATCH([@STATEMENT_ID],T_STATEMENT[STATEMENT_ID],0)),""))</f>
        <v/>
      </c>
      <c r="D13" s="37">
        <f>IFERROR(INDEX(T_STATEMENT_LINE[MATERIAL_ID],[@ROW_INDEX]),"")</f>
        <v/>
      </c>
      <c r="E13" s="37">
        <f>IFERROR(INDEX(T_STATEMENT_LINE[PACKAGING_LEVEL_ID],[@ROW_INDEX]),"")</f>
        <v/>
      </c>
      <c r="F13" s="37">
        <f>IFERROR(INDEX(T_STATEMENT_LINE[OWNERSHIP_TYPE_ID],[@ROW_INDEX]),"")</f>
        <v/>
      </c>
      <c r="G13" s="37">
        <f>IFERROR(INDEX(T_STATEMENT_LINE[TOTAL_WEIGHT_KG],[@ROW_INDEX]),"")</f>
        <v/>
      </c>
      <c r="H13" s="37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13" s="37">
        <f>IF([@RECOMPUTED_WEIGHT_G]="","",[@RECOMPUTED_WEIGHT_G]/1000)</f>
        <v/>
      </c>
      <c r="J13" s="37">
        <f>IF(OR([@FROZEN_TOTAL_WEIGHT_KG]="",[@RECOMPUTED_WEIGHT_KG]=""),"",[@RECOMPUTED_WEIGHT_KG]-[@FROZEN_TOTAL_WEIGHT_KG])</f>
        <v/>
      </c>
      <c r="K13" s="37">
        <f>IF([@STATEMENT_ID]="","",COUNTIF(T_STATEMENT_SHIPMENT[STATEMENT_ID],[@STATEMENT_ID]))</f>
        <v/>
      </c>
      <c r="L13" s="37">
        <f>IF([@STATEMENT_ID]="","",IF([@VARIANCE_KG]="","PENDING",IF(ABS([@VARIANCE_KG])&lt;=0.001,"OK","VARIANCE")))</f>
        <v/>
      </c>
    </row>
    <row r="14">
      <c r="A14" s="37" t="n">
        <v>13</v>
      </c>
      <c r="B14" s="37">
        <f>IFERROR(INDEX(T_STATEMENT_LINE[STATEMENT_ID],[@ROW_INDEX]),"")</f>
        <v/>
      </c>
      <c r="C14" s="37">
        <f>IF([@STATEMENT_ID]="","",IFERROR(INDEX(T_STATEMENT[STATEMENT_CODE],MATCH([@STATEMENT_ID],T_STATEMENT[STATEMENT_ID],0)),""))</f>
        <v/>
      </c>
      <c r="D14" s="37">
        <f>IFERROR(INDEX(T_STATEMENT_LINE[MATERIAL_ID],[@ROW_INDEX]),"")</f>
        <v/>
      </c>
      <c r="E14" s="37">
        <f>IFERROR(INDEX(T_STATEMENT_LINE[PACKAGING_LEVEL_ID],[@ROW_INDEX]),"")</f>
        <v/>
      </c>
      <c r="F14" s="37">
        <f>IFERROR(INDEX(T_STATEMENT_LINE[OWNERSHIP_TYPE_ID],[@ROW_INDEX]),"")</f>
        <v/>
      </c>
      <c r="G14" s="37">
        <f>IFERROR(INDEX(T_STATEMENT_LINE[TOTAL_WEIGHT_KG],[@ROW_INDEX]),"")</f>
        <v/>
      </c>
      <c r="H14" s="37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14" s="37">
        <f>IF([@RECOMPUTED_WEIGHT_G]="","",[@RECOMPUTED_WEIGHT_G]/1000)</f>
        <v/>
      </c>
      <c r="J14" s="37">
        <f>IF(OR([@FROZEN_TOTAL_WEIGHT_KG]="",[@RECOMPUTED_WEIGHT_KG]=""),"",[@RECOMPUTED_WEIGHT_KG]-[@FROZEN_TOTAL_WEIGHT_KG])</f>
        <v/>
      </c>
      <c r="K14" s="37">
        <f>IF([@STATEMENT_ID]="","",COUNTIF(T_STATEMENT_SHIPMENT[STATEMENT_ID],[@STATEMENT_ID]))</f>
        <v/>
      </c>
      <c r="L14" s="37">
        <f>IF([@STATEMENT_ID]="","",IF([@VARIANCE_KG]="","PENDING",IF(ABS([@VARIANCE_KG])&lt;=0.001,"OK","VARIANCE")))</f>
        <v/>
      </c>
    </row>
    <row r="15">
      <c r="A15" s="37" t="n">
        <v>14</v>
      </c>
      <c r="B15" s="37">
        <f>IFERROR(INDEX(T_STATEMENT_LINE[STATEMENT_ID],[@ROW_INDEX]),"")</f>
        <v/>
      </c>
      <c r="C15" s="37">
        <f>IF([@STATEMENT_ID]="","",IFERROR(INDEX(T_STATEMENT[STATEMENT_CODE],MATCH([@STATEMENT_ID],T_STATEMENT[STATEMENT_ID],0)),""))</f>
        <v/>
      </c>
      <c r="D15" s="37">
        <f>IFERROR(INDEX(T_STATEMENT_LINE[MATERIAL_ID],[@ROW_INDEX]),"")</f>
        <v/>
      </c>
      <c r="E15" s="37">
        <f>IFERROR(INDEX(T_STATEMENT_LINE[PACKAGING_LEVEL_ID],[@ROW_INDEX]),"")</f>
        <v/>
      </c>
      <c r="F15" s="37">
        <f>IFERROR(INDEX(T_STATEMENT_LINE[OWNERSHIP_TYPE_ID],[@ROW_INDEX]),"")</f>
        <v/>
      </c>
      <c r="G15" s="37">
        <f>IFERROR(INDEX(T_STATEMENT_LINE[TOTAL_WEIGHT_KG],[@ROW_INDEX]),"")</f>
        <v/>
      </c>
      <c r="H15" s="37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15" s="37">
        <f>IF([@RECOMPUTED_WEIGHT_G]="","",[@RECOMPUTED_WEIGHT_G]/1000)</f>
        <v/>
      </c>
      <c r="J15" s="37">
        <f>IF(OR([@FROZEN_TOTAL_WEIGHT_KG]="",[@RECOMPUTED_WEIGHT_KG]=""),"",[@RECOMPUTED_WEIGHT_KG]-[@FROZEN_TOTAL_WEIGHT_KG])</f>
        <v/>
      </c>
      <c r="K15" s="37">
        <f>IF([@STATEMENT_ID]="","",COUNTIF(T_STATEMENT_SHIPMENT[STATEMENT_ID],[@STATEMENT_ID]))</f>
        <v/>
      </c>
      <c r="L15" s="37">
        <f>IF([@STATEMENT_ID]="","",IF([@VARIANCE_KG]="","PENDING",IF(ABS([@VARIANCE_KG])&lt;=0.001,"OK","VARIANCE")))</f>
        <v/>
      </c>
    </row>
    <row r="16">
      <c r="A16" s="37" t="n">
        <v>15</v>
      </c>
      <c r="B16" s="37">
        <f>IFERROR(INDEX(T_STATEMENT_LINE[STATEMENT_ID],[@ROW_INDEX]),"")</f>
        <v/>
      </c>
      <c r="C16" s="37">
        <f>IF([@STATEMENT_ID]="","",IFERROR(INDEX(T_STATEMENT[STATEMENT_CODE],MATCH([@STATEMENT_ID],T_STATEMENT[STATEMENT_ID],0)),""))</f>
        <v/>
      </c>
      <c r="D16" s="37">
        <f>IFERROR(INDEX(T_STATEMENT_LINE[MATERIAL_ID],[@ROW_INDEX]),"")</f>
        <v/>
      </c>
      <c r="E16" s="37">
        <f>IFERROR(INDEX(T_STATEMENT_LINE[PACKAGING_LEVEL_ID],[@ROW_INDEX]),"")</f>
        <v/>
      </c>
      <c r="F16" s="37">
        <f>IFERROR(INDEX(T_STATEMENT_LINE[OWNERSHIP_TYPE_ID],[@ROW_INDEX]),"")</f>
        <v/>
      </c>
      <c r="G16" s="37">
        <f>IFERROR(INDEX(T_STATEMENT_LINE[TOTAL_WEIGHT_KG],[@ROW_INDEX]),"")</f>
        <v/>
      </c>
      <c r="H16" s="37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16" s="37">
        <f>IF([@RECOMPUTED_WEIGHT_G]="","",[@RECOMPUTED_WEIGHT_G]/1000)</f>
        <v/>
      </c>
      <c r="J16" s="37">
        <f>IF(OR([@FROZEN_TOTAL_WEIGHT_KG]="",[@RECOMPUTED_WEIGHT_KG]=""),"",[@RECOMPUTED_WEIGHT_KG]-[@FROZEN_TOTAL_WEIGHT_KG])</f>
        <v/>
      </c>
      <c r="K16" s="37">
        <f>IF([@STATEMENT_ID]="","",COUNTIF(T_STATEMENT_SHIPMENT[STATEMENT_ID],[@STATEMENT_ID]))</f>
        <v/>
      </c>
      <c r="L16" s="37">
        <f>IF([@STATEMENT_ID]="","",IF([@VARIANCE_KG]="","PENDING",IF(ABS([@VARIANCE_KG])&lt;=0.001,"OK","VARIANCE")))</f>
        <v/>
      </c>
    </row>
    <row r="17">
      <c r="A17" s="37" t="n">
        <v>16</v>
      </c>
      <c r="B17" s="37">
        <f>IFERROR(INDEX(T_STATEMENT_LINE[STATEMENT_ID],[@ROW_INDEX]),"")</f>
        <v/>
      </c>
      <c r="C17" s="37">
        <f>IF([@STATEMENT_ID]="","",IFERROR(INDEX(T_STATEMENT[STATEMENT_CODE],MATCH([@STATEMENT_ID],T_STATEMENT[STATEMENT_ID],0)),""))</f>
        <v/>
      </c>
      <c r="D17" s="37">
        <f>IFERROR(INDEX(T_STATEMENT_LINE[MATERIAL_ID],[@ROW_INDEX]),"")</f>
        <v/>
      </c>
      <c r="E17" s="37">
        <f>IFERROR(INDEX(T_STATEMENT_LINE[PACKAGING_LEVEL_ID],[@ROW_INDEX]),"")</f>
        <v/>
      </c>
      <c r="F17" s="37">
        <f>IFERROR(INDEX(T_STATEMENT_LINE[OWNERSHIP_TYPE_ID],[@ROW_INDEX]),"")</f>
        <v/>
      </c>
      <c r="G17" s="37">
        <f>IFERROR(INDEX(T_STATEMENT_LINE[TOTAL_WEIGHT_KG],[@ROW_INDEX]),"")</f>
        <v/>
      </c>
      <c r="H17" s="37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17" s="37">
        <f>IF([@RECOMPUTED_WEIGHT_G]="","",[@RECOMPUTED_WEIGHT_G]/1000)</f>
        <v/>
      </c>
      <c r="J17" s="37">
        <f>IF(OR([@FROZEN_TOTAL_WEIGHT_KG]="",[@RECOMPUTED_WEIGHT_KG]=""),"",[@RECOMPUTED_WEIGHT_KG]-[@FROZEN_TOTAL_WEIGHT_KG])</f>
        <v/>
      </c>
      <c r="K17" s="37">
        <f>IF([@STATEMENT_ID]="","",COUNTIF(T_STATEMENT_SHIPMENT[STATEMENT_ID],[@STATEMENT_ID]))</f>
        <v/>
      </c>
      <c r="L17" s="37">
        <f>IF([@STATEMENT_ID]="","",IF([@VARIANCE_KG]="","PENDING",IF(ABS([@VARIANCE_KG])&lt;=0.001,"OK","VARIANCE")))</f>
        <v/>
      </c>
    </row>
    <row r="18">
      <c r="A18" s="37" t="n">
        <v>17</v>
      </c>
      <c r="B18" s="37">
        <f>IFERROR(INDEX(T_STATEMENT_LINE[STATEMENT_ID],[@ROW_INDEX]),"")</f>
        <v/>
      </c>
      <c r="C18" s="37">
        <f>IF([@STATEMENT_ID]="","",IFERROR(INDEX(T_STATEMENT[STATEMENT_CODE],MATCH([@STATEMENT_ID],T_STATEMENT[STATEMENT_ID],0)),""))</f>
        <v/>
      </c>
      <c r="D18" s="37">
        <f>IFERROR(INDEX(T_STATEMENT_LINE[MATERIAL_ID],[@ROW_INDEX]),"")</f>
        <v/>
      </c>
      <c r="E18" s="37">
        <f>IFERROR(INDEX(T_STATEMENT_LINE[PACKAGING_LEVEL_ID],[@ROW_INDEX]),"")</f>
        <v/>
      </c>
      <c r="F18" s="37">
        <f>IFERROR(INDEX(T_STATEMENT_LINE[OWNERSHIP_TYPE_ID],[@ROW_INDEX]),"")</f>
        <v/>
      </c>
      <c r="G18" s="37">
        <f>IFERROR(INDEX(T_STATEMENT_LINE[TOTAL_WEIGHT_KG],[@ROW_INDEX]),"")</f>
        <v/>
      </c>
      <c r="H18" s="37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18" s="37">
        <f>IF([@RECOMPUTED_WEIGHT_G]="","",[@RECOMPUTED_WEIGHT_G]/1000)</f>
        <v/>
      </c>
      <c r="J18" s="37">
        <f>IF(OR([@FROZEN_TOTAL_WEIGHT_KG]="",[@RECOMPUTED_WEIGHT_KG]=""),"",[@RECOMPUTED_WEIGHT_KG]-[@FROZEN_TOTAL_WEIGHT_KG])</f>
        <v/>
      </c>
      <c r="K18" s="37">
        <f>IF([@STATEMENT_ID]="","",COUNTIF(T_STATEMENT_SHIPMENT[STATEMENT_ID],[@STATEMENT_ID]))</f>
        <v/>
      </c>
      <c r="L18" s="37">
        <f>IF([@STATEMENT_ID]="","",IF([@VARIANCE_KG]="","PENDING",IF(ABS([@VARIANCE_KG])&lt;=0.001,"OK","VARIANCE")))</f>
        <v/>
      </c>
    </row>
    <row r="19">
      <c r="A19" s="37" t="n">
        <v>18</v>
      </c>
      <c r="B19" s="37">
        <f>IFERROR(INDEX(T_STATEMENT_LINE[STATEMENT_ID],[@ROW_INDEX]),"")</f>
        <v/>
      </c>
      <c r="C19" s="37">
        <f>IF([@STATEMENT_ID]="","",IFERROR(INDEX(T_STATEMENT[STATEMENT_CODE],MATCH([@STATEMENT_ID],T_STATEMENT[STATEMENT_ID],0)),""))</f>
        <v/>
      </c>
      <c r="D19" s="37">
        <f>IFERROR(INDEX(T_STATEMENT_LINE[MATERIAL_ID],[@ROW_INDEX]),"")</f>
        <v/>
      </c>
      <c r="E19" s="37">
        <f>IFERROR(INDEX(T_STATEMENT_LINE[PACKAGING_LEVEL_ID],[@ROW_INDEX]),"")</f>
        <v/>
      </c>
      <c r="F19" s="37">
        <f>IFERROR(INDEX(T_STATEMENT_LINE[OWNERSHIP_TYPE_ID],[@ROW_INDEX]),"")</f>
        <v/>
      </c>
      <c r="G19" s="37">
        <f>IFERROR(INDEX(T_STATEMENT_LINE[TOTAL_WEIGHT_KG],[@ROW_INDEX]),"")</f>
        <v/>
      </c>
      <c r="H19" s="37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19" s="37">
        <f>IF([@RECOMPUTED_WEIGHT_G]="","",[@RECOMPUTED_WEIGHT_G]/1000)</f>
        <v/>
      </c>
      <c r="J19" s="37">
        <f>IF(OR([@FROZEN_TOTAL_WEIGHT_KG]="",[@RECOMPUTED_WEIGHT_KG]=""),"",[@RECOMPUTED_WEIGHT_KG]-[@FROZEN_TOTAL_WEIGHT_KG])</f>
        <v/>
      </c>
      <c r="K19" s="37">
        <f>IF([@STATEMENT_ID]="","",COUNTIF(T_STATEMENT_SHIPMENT[STATEMENT_ID],[@STATEMENT_ID]))</f>
        <v/>
      </c>
      <c r="L19" s="37">
        <f>IF([@STATEMENT_ID]="","",IF([@VARIANCE_KG]="","PENDING",IF(ABS([@VARIANCE_KG])&lt;=0.001,"OK","VARIANCE")))</f>
        <v/>
      </c>
    </row>
    <row r="20">
      <c r="A20" s="37" t="n">
        <v>19</v>
      </c>
      <c r="B20" s="37">
        <f>IFERROR(INDEX(T_STATEMENT_LINE[STATEMENT_ID],[@ROW_INDEX]),"")</f>
        <v/>
      </c>
      <c r="C20" s="37">
        <f>IF([@STATEMENT_ID]="","",IFERROR(INDEX(T_STATEMENT[STATEMENT_CODE],MATCH([@STATEMENT_ID],T_STATEMENT[STATEMENT_ID],0)),""))</f>
        <v/>
      </c>
      <c r="D20" s="37">
        <f>IFERROR(INDEX(T_STATEMENT_LINE[MATERIAL_ID],[@ROW_INDEX]),"")</f>
        <v/>
      </c>
      <c r="E20" s="37">
        <f>IFERROR(INDEX(T_STATEMENT_LINE[PACKAGING_LEVEL_ID],[@ROW_INDEX]),"")</f>
        <v/>
      </c>
      <c r="F20" s="37">
        <f>IFERROR(INDEX(T_STATEMENT_LINE[OWNERSHIP_TYPE_ID],[@ROW_INDEX]),"")</f>
        <v/>
      </c>
      <c r="G20" s="37">
        <f>IFERROR(INDEX(T_STATEMENT_LINE[TOTAL_WEIGHT_KG],[@ROW_INDEX]),"")</f>
        <v/>
      </c>
      <c r="H20" s="37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20" s="37">
        <f>IF([@RECOMPUTED_WEIGHT_G]="","",[@RECOMPUTED_WEIGHT_G]/1000)</f>
        <v/>
      </c>
      <c r="J20" s="37">
        <f>IF(OR([@FROZEN_TOTAL_WEIGHT_KG]="",[@RECOMPUTED_WEIGHT_KG]=""),"",[@RECOMPUTED_WEIGHT_KG]-[@FROZEN_TOTAL_WEIGHT_KG])</f>
        <v/>
      </c>
      <c r="K20" s="37">
        <f>IF([@STATEMENT_ID]="","",COUNTIF(T_STATEMENT_SHIPMENT[STATEMENT_ID],[@STATEMENT_ID]))</f>
        <v/>
      </c>
      <c r="L20" s="37">
        <f>IF([@STATEMENT_ID]="","",IF([@VARIANCE_KG]="","PENDING",IF(ABS([@VARIANCE_KG])&lt;=0.001,"OK","VARIANCE")))</f>
        <v/>
      </c>
    </row>
    <row r="21">
      <c r="A21" s="37" t="n">
        <v>20</v>
      </c>
      <c r="B21" s="37">
        <f>IFERROR(INDEX(T_STATEMENT_LINE[STATEMENT_ID],[@ROW_INDEX]),"")</f>
        <v/>
      </c>
      <c r="C21" s="37">
        <f>IF([@STATEMENT_ID]="","",IFERROR(INDEX(T_STATEMENT[STATEMENT_CODE],MATCH([@STATEMENT_ID],T_STATEMENT[STATEMENT_ID],0)),""))</f>
        <v/>
      </c>
      <c r="D21" s="37">
        <f>IFERROR(INDEX(T_STATEMENT_LINE[MATERIAL_ID],[@ROW_INDEX]),"")</f>
        <v/>
      </c>
      <c r="E21" s="37">
        <f>IFERROR(INDEX(T_STATEMENT_LINE[PACKAGING_LEVEL_ID],[@ROW_INDEX]),"")</f>
        <v/>
      </c>
      <c r="F21" s="37">
        <f>IFERROR(INDEX(T_STATEMENT_LINE[OWNERSHIP_TYPE_ID],[@ROW_INDEX]),"")</f>
        <v/>
      </c>
      <c r="G21" s="37">
        <f>IFERROR(INDEX(T_STATEMENT_LINE[TOTAL_WEIGHT_KG],[@ROW_INDEX]),"")</f>
        <v/>
      </c>
      <c r="H21" s="37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21" s="37">
        <f>IF([@RECOMPUTED_WEIGHT_G]="","",[@RECOMPUTED_WEIGHT_G]/1000)</f>
        <v/>
      </c>
      <c r="J21" s="37">
        <f>IF(OR([@FROZEN_TOTAL_WEIGHT_KG]="",[@RECOMPUTED_WEIGHT_KG]=""),"",[@RECOMPUTED_WEIGHT_KG]-[@FROZEN_TOTAL_WEIGHT_KG])</f>
        <v/>
      </c>
      <c r="K21" s="37">
        <f>IF([@STATEMENT_ID]="","",COUNTIF(T_STATEMENT_SHIPMENT[STATEMENT_ID],[@STATEMENT_ID]))</f>
        <v/>
      </c>
      <c r="L21" s="37">
        <f>IF([@STATEMENT_ID]="","",IF([@VARIANCE_KG]="","PENDING",IF(ABS([@VARIANCE_KG])&lt;=0.001,"OK","VARIANCE")))</f>
        <v/>
      </c>
    </row>
    <row r="22">
      <c r="A22" s="37" t="n">
        <v>21</v>
      </c>
      <c r="B22" s="37">
        <f>IFERROR(INDEX(T_STATEMENT_LINE[STATEMENT_ID],[@ROW_INDEX]),"")</f>
        <v/>
      </c>
      <c r="C22" s="37">
        <f>IF([@STATEMENT_ID]="","",IFERROR(INDEX(T_STATEMENT[STATEMENT_CODE],MATCH([@STATEMENT_ID],T_STATEMENT[STATEMENT_ID],0)),""))</f>
        <v/>
      </c>
      <c r="D22" s="37">
        <f>IFERROR(INDEX(T_STATEMENT_LINE[MATERIAL_ID],[@ROW_INDEX]),"")</f>
        <v/>
      </c>
      <c r="E22" s="37">
        <f>IFERROR(INDEX(T_STATEMENT_LINE[PACKAGING_LEVEL_ID],[@ROW_INDEX]),"")</f>
        <v/>
      </c>
      <c r="F22" s="37">
        <f>IFERROR(INDEX(T_STATEMENT_LINE[OWNERSHIP_TYPE_ID],[@ROW_INDEX]),"")</f>
        <v/>
      </c>
      <c r="G22" s="37">
        <f>IFERROR(INDEX(T_STATEMENT_LINE[TOTAL_WEIGHT_KG],[@ROW_INDEX]),"")</f>
        <v/>
      </c>
      <c r="H22" s="37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22" s="37">
        <f>IF([@RECOMPUTED_WEIGHT_G]="","",[@RECOMPUTED_WEIGHT_G]/1000)</f>
        <v/>
      </c>
      <c r="J22" s="37">
        <f>IF(OR([@FROZEN_TOTAL_WEIGHT_KG]="",[@RECOMPUTED_WEIGHT_KG]=""),"",[@RECOMPUTED_WEIGHT_KG]-[@FROZEN_TOTAL_WEIGHT_KG])</f>
        <v/>
      </c>
      <c r="K22" s="37">
        <f>IF([@STATEMENT_ID]="","",COUNTIF(T_STATEMENT_SHIPMENT[STATEMENT_ID],[@STATEMENT_ID]))</f>
        <v/>
      </c>
      <c r="L22" s="37">
        <f>IF([@STATEMENT_ID]="","",IF([@VARIANCE_KG]="","PENDING",IF(ABS([@VARIANCE_KG])&lt;=0.001,"OK","VARIANCE")))</f>
        <v/>
      </c>
    </row>
    <row r="23">
      <c r="A23" s="37" t="n">
        <v>22</v>
      </c>
      <c r="B23" s="37">
        <f>IFERROR(INDEX(T_STATEMENT_LINE[STATEMENT_ID],[@ROW_INDEX]),"")</f>
        <v/>
      </c>
      <c r="C23" s="37">
        <f>IF([@STATEMENT_ID]="","",IFERROR(INDEX(T_STATEMENT[STATEMENT_CODE],MATCH([@STATEMENT_ID],T_STATEMENT[STATEMENT_ID],0)),""))</f>
        <v/>
      </c>
      <c r="D23" s="37">
        <f>IFERROR(INDEX(T_STATEMENT_LINE[MATERIAL_ID],[@ROW_INDEX]),"")</f>
        <v/>
      </c>
      <c r="E23" s="37">
        <f>IFERROR(INDEX(T_STATEMENT_LINE[PACKAGING_LEVEL_ID],[@ROW_INDEX]),"")</f>
        <v/>
      </c>
      <c r="F23" s="37">
        <f>IFERROR(INDEX(T_STATEMENT_LINE[OWNERSHIP_TYPE_ID],[@ROW_INDEX]),"")</f>
        <v/>
      </c>
      <c r="G23" s="37">
        <f>IFERROR(INDEX(T_STATEMENT_LINE[TOTAL_WEIGHT_KG],[@ROW_INDEX]),"")</f>
        <v/>
      </c>
      <c r="H23" s="37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23" s="37">
        <f>IF([@RECOMPUTED_WEIGHT_G]="","",[@RECOMPUTED_WEIGHT_G]/1000)</f>
        <v/>
      </c>
      <c r="J23" s="37">
        <f>IF(OR([@FROZEN_TOTAL_WEIGHT_KG]="",[@RECOMPUTED_WEIGHT_KG]=""),"",[@RECOMPUTED_WEIGHT_KG]-[@FROZEN_TOTAL_WEIGHT_KG])</f>
        <v/>
      </c>
      <c r="K23" s="37">
        <f>IF([@STATEMENT_ID]="","",COUNTIF(T_STATEMENT_SHIPMENT[STATEMENT_ID],[@STATEMENT_ID]))</f>
        <v/>
      </c>
      <c r="L23" s="37">
        <f>IF([@STATEMENT_ID]="","",IF([@VARIANCE_KG]="","PENDING",IF(ABS([@VARIANCE_KG])&lt;=0.001,"OK","VARIANCE")))</f>
        <v/>
      </c>
    </row>
    <row r="24">
      <c r="A24" s="37" t="n">
        <v>23</v>
      </c>
      <c r="B24" s="37">
        <f>IFERROR(INDEX(T_STATEMENT_LINE[STATEMENT_ID],[@ROW_INDEX]),"")</f>
        <v/>
      </c>
      <c r="C24" s="37">
        <f>IF([@STATEMENT_ID]="","",IFERROR(INDEX(T_STATEMENT[STATEMENT_CODE],MATCH([@STATEMENT_ID],T_STATEMENT[STATEMENT_ID],0)),""))</f>
        <v/>
      </c>
      <c r="D24" s="37">
        <f>IFERROR(INDEX(T_STATEMENT_LINE[MATERIAL_ID],[@ROW_INDEX]),"")</f>
        <v/>
      </c>
      <c r="E24" s="37">
        <f>IFERROR(INDEX(T_STATEMENT_LINE[PACKAGING_LEVEL_ID],[@ROW_INDEX]),"")</f>
        <v/>
      </c>
      <c r="F24" s="37">
        <f>IFERROR(INDEX(T_STATEMENT_LINE[OWNERSHIP_TYPE_ID],[@ROW_INDEX]),"")</f>
        <v/>
      </c>
      <c r="G24" s="37">
        <f>IFERROR(INDEX(T_STATEMENT_LINE[TOTAL_WEIGHT_KG],[@ROW_INDEX]),"")</f>
        <v/>
      </c>
      <c r="H24" s="37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24" s="37">
        <f>IF([@RECOMPUTED_WEIGHT_G]="","",[@RECOMPUTED_WEIGHT_G]/1000)</f>
        <v/>
      </c>
      <c r="J24" s="37">
        <f>IF(OR([@FROZEN_TOTAL_WEIGHT_KG]="",[@RECOMPUTED_WEIGHT_KG]=""),"",[@RECOMPUTED_WEIGHT_KG]-[@FROZEN_TOTAL_WEIGHT_KG])</f>
        <v/>
      </c>
      <c r="K24" s="37">
        <f>IF([@STATEMENT_ID]="","",COUNTIF(T_STATEMENT_SHIPMENT[STATEMENT_ID],[@STATEMENT_ID]))</f>
        <v/>
      </c>
      <c r="L24" s="37">
        <f>IF([@STATEMENT_ID]="","",IF([@VARIANCE_KG]="","PENDING",IF(ABS([@VARIANCE_KG])&lt;=0.001,"OK","VARIANCE")))</f>
        <v/>
      </c>
    </row>
    <row r="25">
      <c r="A25" s="37" t="n">
        <v>24</v>
      </c>
      <c r="B25" s="37">
        <f>IFERROR(INDEX(T_STATEMENT_LINE[STATEMENT_ID],[@ROW_INDEX]),"")</f>
        <v/>
      </c>
      <c r="C25" s="37">
        <f>IF([@STATEMENT_ID]="","",IFERROR(INDEX(T_STATEMENT[STATEMENT_CODE],MATCH([@STATEMENT_ID],T_STATEMENT[STATEMENT_ID],0)),""))</f>
        <v/>
      </c>
      <c r="D25" s="37">
        <f>IFERROR(INDEX(T_STATEMENT_LINE[MATERIAL_ID],[@ROW_INDEX]),"")</f>
        <v/>
      </c>
      <c r="E25" s="37">
        <f>IFERROR(INDEX(T_STATEMENT_LINE[PACKAGING_LEVEL_ID],[@ROW_INDEX]),"")</f>
        <v/>
      </c>
      <c r="F25" s="37">
        <f>IFERROR(INDEX(T_STATEMENT_LINE[OWNERSHIP_TYPE_ID],[@ROW_INDEX]),"")</f>
        <v/>
      </c>
      <c r="G25" s="37">
        <f>IFERROR(INDEX(T_STATEMENT_LINE[TOTAL_WEIGHT_KG],[@ROW_INDEX]),"")</f>
        <v/>
      </c>
      <c r="H25" s="37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25" s="37">
        <f>IF([@RECOMPUTED_WEIGHT_G]="","",[@RECOMPUTED_WEIGHT_G]/1000)</f>
        <v/>
      </c>
      <c r="J25" s="37">
        <f>IF(OR([@FROZEN_TOTAL_WEIGHT_KG]="",[@RECOMPUTED_WEIGHT_KG]=""),"",[@RECOMPUTED_WEIGHT_KG]-[@FROZEN_TOTAL_WEIGHT_KG])</f>
        <v/>
      </c>
      <c r="K25" s="37">
        <f>IF([@STATEMENT_ID]="","",COUNTIF(T_STATEMENT_SHIPMENT[STATEMENT_ID],[@STATEMENT_ID]))</f>
        <v/>
      </c>
      <c r="L25" s="37">
        <f>IF([@STATEMENT_ID]="","",IF([@VARIANCE_KG]="","PENDING",IF(ABS([@VARIANCE_KG])&lt;=0.001,"OK","VARIANCE")))</f>
        <v/>
      </c>
    </row>
    <row r="26">
      <c r="A26" s="37" t="n">
        <v>25</v>
      </c>
      <c r="B26" s="37">
        <f>IFERROR(INDEX(T_STATEMENT_LINE[STATEMENT_ID],[@ROW_INDEX]),"")</f>
        <v/>
      </c>
      <c r="C26" s="37">
        <f>IF([@STATEMENT_ID]="","",IFERROR(INDEX(T_STATEMENT[STATEMENT_CODE],MATCH([@STATEMENT_ID],T_STATEMENT[STATEMENT_ID],0)),""))</f>
        <v/>
      </c>
      <c r="D26" s="37">
        <f>IFERROR(INDEX(T_STATEMENT_LINE[MATERIAL_ID],[@ROW_INDEX]),"")</f>
        <v/>
      </c>
      <c r="E26" s="37">
        <f>IFERROR(INDEX(T_STATEMENT_LINE[PACKAGING_LEVEL_ID],[@ROW_INDEX]),"")</f>
        <v/>
      </c>
      <c r="F26" s="37">
        <f>IFERROR(INDEX(T_STATEMENT_LINE[OWNERSHIP_TYPE_ID],[@ROW_INDEX]),"")</f>
        <v/>
      </c>
      <c r="G26" s="37">
        <f>IFERROR(INDEX(T_STATEMENT_LINE[TOTAL_WEIGHT_KG],[@ROW_INDEX]),"")</f>
        <v/>
      </c>
      <c r="H26" s="37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26" s="37">
        <f>IF([@RECOMPUTED_WEIGHT_G]="","",[@RECOMPUTED_WEIGHT_G]/1000)</f>
        <v/>
      </c>
      <c r="J26" s="37">
        <f>IF(OR([@FROZEN_TOTAL_WEIGHT_KG]="",[@RECOMPUTED_WEIGHT_KG]=""),"",[@RECOMPUTED_WEIGHT_KG]-[@FROZEN_TOTAL_WEIGHT_KG])</f>
        <v/>
      </c>
      <c r="K26" s="37">
        <f>IF([@STATEMENT_ID]="","",COUNTIF(T_STATEMENT_SHIPMENT[STATEMENT_ID],[@STATEMENT_ID]))</f>
        <v/>
      </c>
      <c r="L26" s="37">
        <f>IF([@STATEMENT_ID]="","",IF([@VARIANCE_KG]="","PENDING",IF(ABS([@VARIANCE_KG])&lt;=0.001,"OK","VARIANCE")))</f>
        <v/>
      </c>
    </row>
    <row r="27">
      <c r="A27" s="37" t="n">
        <v>26</v>
      </c>
      <c r="B27" s="37">
        <f>IFERROR(INDEX(T_STATEMENT_LINE[STATEMENT_ID],[@ROW_INDEX]),"")</f>
        <v/>
      </c>
      <c r="C27" s="37">
        <f>IF([@STATEMENT_ID]="","",IFERROR(INDEX(T_STATEMENT[STATEMENT_CODE],MATCH([@STATEMENT_ID],T_STATEMENT[STATEMENT_ID],0)),""))</f>
        <v/>
      </c>
      <c r="D27" s="37">
        <f>IFERROR(INDEX(T_STATEMENT_LINE[MATERIAL_ID],[@ROW_INDEX]),"")</f>
        <v/>
      </c>
      <c r="E27" s="37">
        <f>IFERROR(INDEX(T_STATEMENT_LINE[PACKAGING_LEVEL_ID],[@ROW_INDEX]),"")</f>
        <v/>
      </c>
      <c r="F27" s="37">
        <f>IFERROR(INDEX(T_STATEMENT_LINE[OWNERSHIP_TYPE_ID],[@ROW_INDEX]),"")</f>
        <v/>
      </c>
      <c r="G27" s="37">
        <f>IFERROR(INDEX(T_STATEMENT_LINE[TOTAL_WEIGHT_KG],[@ROW_INDEX]),"")</f>
        <v/>
      </c>
      <c r="H27" s="37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27" s="37">
        <f>IF([@RECOMPUTED_WEIGHT_G]="","",[@RECOMPUTED_WEIGHT_G]/1000)</f>
        <v/>
      </c>
      <c r="J27" s="37">
        <f>IF(OR([@FROZEN_TOTAL_WEIGHT_KG]="",[@RECOMPUTED_WEIGHT_KG]=""),"",[@RECOMPUTED_WEIGHT_KG]-[@FROZEN_TOTAL_WEIGHT_KG])</f>
        <v/>
      </c>
      <c r="K27" s="37">
        <f>IF([@STATEMENT_ID]="","",COUNTIF(T_STATEMENT_SHIPMENT[STATEMENT_ID],[@STATEMENT_ID]))</f>
        <v/>
      </c>
      <c r="L27" s="37">
        <f>IF([@STATEMENT_ID]="","",IF([@VARIANCE_KG]="","PENDING",IF(ABS([@VARIANCE_KG])&lt;=0.001,"OK","VARIANCE")))</f>
        <v/>
      </c>
    </row>
    <row r="28">
      <c r="A28" s="37" t="n">
        <v>27</v>
      </c>
      <c r="B28" s="37">
        <f>IFERROR(INDEX(T_STATEMENT_LINE[STATEMENT_ID],[@ROW_INDEX]),"")</f>
        <v/>
      </c>
      <c r="C28" s="37">
        <f>IF([@STATEMENT_ID]="","",IFERROR(INDEX(T_STATEMENT[STATEMENT_CODE],MATCH([@STATEMENT_ID],T_STATEMENT[STATEMENT_ID],0)),""))</f>
        <v/>
      </c>
      <c r="D28" s="37">
        <f>IFERROR(INDEX(T_STATEMENT_LINE[MATERIAL_ID],[@ROW_INDEX]),"")</f>
        <v/>
      </c>
      <c r="E28" s="37">
        <f>IFERROR(INDEX(T_STATEMENT_LINE[PACKAGING_LEVEL_ID],[@ROW_INDEX]),"")</f>
        <v/>
      </c>
      <c r="F28" s="37">
        <f>IFERROR(INDEX(T_STATEMENT_LINE[OWNERSHIP_TYPE_ID],[@ROW_INDEX]),"")</f>
        <v/>
      </c>
      <c r="G28" s="37">
        <f>IFERROR(INDEX(T_STATEMENT_LINE[TOTAL_WEIGHT_KG],[@ROW_INDEX]),"")</f>
        <v/>
      </c>
      <c r="H28" s="37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28" s="37">
        <f>IF([@RECOMPUTED_WEIGHT_G]="","",[@RECOMPUTED_WEIGHT_G]/1000)</f>
        <v/>
      </c>
      <c r="J28" s="37">
        <f>IF(OR([@FROZEN_TOTAL_WEIGHT_KG]="",[@RECOMPUTED_WEIGHT_KG]=""),"",[@RECOMPUTED_WEIGHT_KG]-[@FROZEN_TOTAL_WEIGHT_KG])</f>
        <v/>
      </c>
      <c r="K28" s="37">
        <f>IF([@STATEMENT_ID]="","",COUNTIF(T_STATEMENT_SHIPMENT[STATEMENT_ID],[@STATEMENT_ID]))</f>
        <v/>
      </c>
      <c r="L28" s="37">
        <f>IF([@STATEMENT_ID]="","",IF([@VARIANCE_KG]="","PENDING",IF(ABS([@VARIANCE_KG])&lt;=0.001,"OK","VARIANCE")))</f>
        <v/>
      </c>
    </row>
    <row r="29">
      <c r="A29" s="37" t="n">
        <v>28</v>
      </c>
      <c r="B29" s="37">
        <f>IFERROR(INDEX(T_STATEMENT_LINE[STATEMENT_ID],[@ROW_INDEX]),"")</f>
        <v/>
      </c>
      <c r="C29" s="37">
        <f>IF([@STATEMENT_ID]="","",IFERROR(INDEX(T_STATEMENT[STATEMENT_CODE],MATCH([@STATEMENT_ID],T_STATEMENT[STATEMENT_ID],0)),""))</f>
        <v/>
      </c>
      <c r="D29" s="37">
        <f>IFERROR(INDEX(T_STATEMENT_LINE[MATERIAL_ID],[@ROW_INDEX]),"")</f>
        <v/>
      </c>
      <c r="E29" s="37">
        <f>IFERROR(INDEX(T_STATEMENT_LINE[PACKAGING_LEVEL_ID],[@ROW_INDEX]),"")</f>
        <v/>
      </c>
      <c r="F29" s="37">
        <f>IFERROR(INDEX(T_STATEMENT_LINE[OWNERSHIP_TYPE_ID],[@ROW_INDEX]),"")</f>
        <v/>
      </c>
      <c r="G29" s="37">
        <f>IFERROR(INDEX(T_STATEMENT_LINE[TOTAL_WEIGHT_KG],[@ROW_INDEX]),"")</f>
        <v/>
      </c>
      <c r="H29" s="37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29" s="37">
        <f>IF([@RECOMPUTED_WEIGHT_G]="","",[@RECOMPUTED_WEIGHT_G]/1000)</f>
        <v/>
      </c>
      <c r="J29" s="37">
        <f>IF(OR([@FROZEN_TOTAL_WEIGHT_KG]="",[@RECOMPUTED_WEIGHT_KG]=""),"",[@RECOMPUTED_WEIGHT_KG]-[@FROZEN_TOTAL_WEIGHT_KG])</f>
        <v/>
      </c>
      <c r="K29" s="37">
        <f>IF([@STATEMENT_ID]="","",COUNTIF(T_STATEMENT_SHIPMENT[STATEMENT_ID],[@STATEMENT_ID]))</f>
        <v/>
      </c>
      <c r="L29" s="37">
        <f>IF([@STATEMENT_ID]="","",IF([@VARIANCE_KG]="","PENDING",IF(ABS([@VARIANCE_KG])&lt;=0.001,"OK","VARIANCE")))</f>
        <v/>
      </c>
    </row>
    <row r="30">
      <c r="A30" s="37" t="n">
        <v>29</v>
      </c>
      <c r="B30" s="37">
        <f>IFERROR(INDEX(T_STATEMENT_LINE[STATEMENT_ID],[@ROW_INDEX]),"")</f>
        <v/>
      </c>
      <c r="C30" s="37">
        <f>IF([@STATEMENT_ID]="","",IFERROR(INDEX(T_STATEMENT[STATEMENT_CODE],MATCH([@STATEMENT_ID],T_STATEMENT[STATEMENT_ID],0)),""))</f>
        <v/>
      </c>
      <c r="D30" s="37">
        <f>IFERROR(INDEX(T_STATEMENT_LINE[MATERIAL_ID],[@ROW_INDEX]),"")</f>
        <v/>
      </c>
      <c r="E30" s="37">
        <f>IFERROR(INDEX(T_STATEMENT_LINE[PACKAGING_LEVEL_ID],[@ROW_INDEX]),"")</f>
        <v/>
      </c>
      <c r="F30" s="37">
        <f>IFERROR(INDEX(T_STATEMENT_LINE[OWNERSHIP_TYPE_ID],[@ROW_INDEX]),"")</f>
        <v/>
      </c>
      <c r="G30" s="37">
        <f>IFERROR(INDEX(T_STATEMENT_LINE[TOTAL_WEIGHT_KG],[@ROW_INDEX]),"")</f>
        <v/>
      </c>
      <c r="H30" s="37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30" s="37">
        <f>IF([@RECOMPUTED_WEIGHT_G]="","",[@RECOMPUTED_WEIGHT_G]/1000)</f>
        <v/>
      </c>
      <c r="J30" s="37">
        <f>IF(OR([@FROZEN_TOTAL_WEIGHT_KG]="",[@RECOMPUTED_WEIGHT_KG]=""),"",[@RECOMPUTED_WEIGHT_KG]-[@FROZEN_TOTAL_WEIGHT_KG])</f>
        <v/>
      </c>
      <c r="K30" s="37">
        <f>IF([@STATEMENT_ID]="","",COUNTIF(T_STATEMENT_SHIPMENT[STATEMENT_ID],[@STATEMENT_ID]))</f>
        <v/>
      </c>
      <c r="L30" s="37">
        <f>IF([@STATEMENT_ID]="","",IF([@VARIANCE_KG]="","PENDING",IF(ABS([@VARIANCE_KG])&lt;=0.001,"OK","VARIANCE")))</f>
        <v/>
      </c>
    </row>
    <row r="31">
      <c r="A31" s="37" t="n">
        <v>30</v>
      </c>
      <c r="B31" s="37">
        <f>IFERROR(INDEX(T_STATEMENT_LINE[STATEMENT_ID],[@ROW_INDEX]),"")</f>
        <v/>
      </c>
      <c r="C31" s="37">
        <f>IF([@STATEMENT_ID]="","",IFERROR(INDEX(T_STATEMENT[STATEMENT_CODE],MATCH([@STATEMENT_ID],T_STATEMENT[STATEMENT_ID],0)),""))</f>
        <v/>
      </c>
      <c r="D31" s="37">
        <f>IFERROR(INDEX(T_STATEMENT_LINE[MATERIAL_ID],[@ROW_INDEX]),"")</f>
        <v/>
      </c>
      <c r="E31" s="37">
        <f>IFERROR(INDEX(T_STATEMENT_LINE[PACKAGING_LEVEL_ID],[@ROW_INDEX]),"")</f>
        <v/>
      </c>
      <c r="F31" s="37">
        <f>IFERROR(INDEX(T_STATEMENT_LINE[OWNERSHIP_TYPE_ID],[@ROW_INDEX]),"")</f>
        <v/>
      </c>
      <c r="G31" s="37">
        <f>IFERROR(INDEX(T_STATEMENT_LINE[TOTAL_WEIGHT_KG],[@ROW_INDEX]),"")</f>
        <v/>
      </c>
      <c r="H31" s="37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31" s="37">
        <f>IF([@RECOMPUTED_WEIGHT_G]="","",[@RECOMPUTED_WEIGHT_G]/1000)</f>
        <v/>
      </c>
      <c r="J31" s="37">
        <f>IF(OR([@FROZEN_TOTAL_WEIGHT_KG]="",[@RECOMPUTED_WEIGHT_KG]=""),"",[@RECOMPUTED_WEIGHT_KG]-[@FROZEN_TOTAL_WEIGHT_KG])</f>
        <v/>
      </c>
      <c r="K31" s="37">
        <f>IF([@STATEMENT_ID]="","",COUNTIF(T_STATEMENT_SHIPMENT[STATEMENT_ID],[@STATEMENT_ID]))</f>
        <v/>
      </c>
      <c r="L31" s="37">
        <f>IF([@STATEMENT_ID]="","",IF([@VARIANCE_KG]="","PENDING",IF(ABS([@VARIANCE_KG])&lt;=0.001,"OK","VARIANCE")))</f>
        <v/>
      </c>
    </row>
    <row r="32">
      <c r="A32" s="37" t="n">
        <v>31</v>
      </c>
      <c r="B32" s="37">
        <f>IFERROR(INDEX(T_STATEMENT_LINE[STATEMENT_ID],[@ROW_INDEX]),"")</f>
        <v/>
      </c>
      <c r="C32" s="37">
        <f>IF([@STATEMENT_ID]="","",IFERROR(INDEX(T_STATEMENT[STATEMENT_CODE],MATCH([@STATEMENT_ID],T_STATEMENT[STATEMENT_ID],0)),""))</f>
        <v/>
      </c>
      <c r="D32" s="37">
        <f>IFERROR(INDEX(T_STATEMENT_LINE[MATERIAL_ID],[@ROW_INDEX]),"")</f>
        <v/>
      </c>
      <c r="E32" s="37">
        <f>IFERROR(INDEX(T_STATEMENT_LINE[PACKAGING_LEVEL_ID],[@ROW_INDEX]),"")</f>
        <v/>
      </c>
      <c r="F32" s="37">
        <f>IFERROR(INDEX(T_STATEMENT_LINE[OWNERSHIP_TYPE_ID],[@ROW_INDEX]),"")</f>
        <v/>
      </c>
      <c r="G32" s="37">
        <f>IFERROR(INDEX(T_STATEMENT_LINE[TOTAL_WEIGHT_KG],[@ROW_INDEX]),"")</f>
        <v/>
      </c>
      <c r="H32" s="37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32" s="37">
        <f>IF([@RECOMPUTED_WEIGHT_G]="","",[@RECOMPUTED_WEIGHT_G]/1000)</f>
        <v/>
      </c>
      <c r="J32" s="37">
        <f>IF(OR([@FROZEN_TOTAL_WEIGHT_KG]="",[@RECOMPUTED_WEIGHT_KG]=""),"",[@RECOMPUTED_WEIGHT_KG]-[@FROZEN_TOTAL_WEIGHT_KG])</f>
        <v/>
      </c>
      <c r="K32" s="37">
        <f>IF([@STATEMENT_ID]="","",COUNTIF(T_STATEMENT_SHIPMENT[STATEMENT_ID],[@STATEMENT_ID]))</f>
        <v/>
      </c>
      <c r="L32" s="37">
        <f>IF([@STATEMENT_ID]="","",IF([@VARIANCE_KG]="","PENDING",IF(ABS([@VARIANCE_KG])&lt;=0.001,"OK","VARIANCE")))</f>
        <v/>
      </c>
    </row>
    <row r="33">
      <c r="A33" s="37" t="n">
        <v>32</v>
      </c>
      <c r="B33" s="37">
        <f>IFERROR(INDEX(T_STATEMENT_LINE[STATEMENT_ID],[@ROW_INDEX]),"")</f>
        <v/>
      </c>
      <c r="C33" s="37">
        <f>IF([@STATEMENT_ID]="","",IFERROR(INDEX(T_STATEMENT[STATEMENT_CODE],MATCH([@STATEMENT_ID],T_STATEMENT[STATEMENT_ID],0)),""))</f>
        <v/>
      </c>
      <c r="D33" s="37">
        <f>IFERROR(INDEX(T_STATEMENT_LINE[MATERIAL_ID],[@ROW_INDEX]),"")</f>
        <v/>
      </c>
      <c r="E33" s="37">
        <f>IFERROR(INDEX(T_STATEMENT_LINE[PACKAGING_LEVEL_ID],[@ROW_INDEX]),"")</f>
        <v/>
      </c>
      <c r="F33" s="37">
        <f>IFERROR(INDEX(T_STATEMENT_LINE[OWNERSHIP_TYPE_ID],[@ROW_INDEX]),"")</f>
        <v/>
      </c>
      <c r="G33" s="37">
        <f>IFERROR(INDEX(T_STATEMENT_LINE[TOTAL_WEIGHT_KG],[@ROW_INDEX]),"")</f>
        <v/>
      </c>
      <c r="H33" s="37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33" s="37">
        <f>IF([@RECOMPUTED_WEIGHT_G]="","",[@RECOMPUTED_WEIGHT_G]/1000)</f>
        <v/>
      </c>
      <c r="J33" s="37">
        <f>IF(OR([@FROZEN_TOTAL_WEIGHT_KG]="",[@RECOMPUTED_WEIGHT_KG]=""),"",[@RECOMPUTED_WEIGHT_KG]-[@FROZEN_TOTAL_WEIGHT_KG])</f>
        <v/>
      </c>
      <c r="K33" s="37">
        <f>IF([@STATEMENT_ID]="","",COUNTIF(T_STATEMENT_SHIPMENT[STATEMENT_ID],[@STATEMENT_ID]))</f>
        <v/>
      </c>
      <c r="L33" s="37">
        <f>IF([@STATEMENT_ID]="","",IF([@VARIANCE_KG]="","PENDING",IF(ABS([@VARIANCE_KG])&lt;=0.001,"OK","VARIANCE")))</f>
        <v/>
      </c>
    </row>
    <row r="34">
      <c r="A34" s="37" t="n">
        <v>33</v>
      </c>
      <c r="B34" s="37">
        <f>IFERROR(INDEX(T_STATEMENT_LINE[STATEMENT_ID],[@ROW_INDEX]),"")</f>
        <v/>
      </c>
      <c r="C34" s="37">
        <f>IF([@STATEMENT_ID]="","",IFERROR(INDEX(T_STATEMENT[STATEMENT_CODE],MATCH([@STATEMENT_ID],T_STATEMENT[STATEMENT_ID],0)),""))</f>
        <v/>
      </c>
      <c r="D34" s="37">
        <f>IFERROR(INDEX(T_STATEMENT_LINE[MATERIAL_ID],[@ROW_INDEX]),"")</f>
        <v/>
      </c>
      <c r="E34" s="37">
        <f>IFERROR(INDEX(T_STATEMENT_LINE[PACKAGING_LEVEL_ID],[@ROW_INDEX]),"")</f>
        <v/>
      </c>
      <c r="F34" s="37">
        <f>IFERROR(INDEX(T_STATEMENT_LINE[OWNERSHIP_TYPE_ID],[@ROW_INDEX]),"")</f>
        <v/>
      </c>
      <c r="G34" s="37">
        <f>IFERROR(INDEX(T_STATEMENT_LINE[TOTAL_WEIGHT_KG],[@ROW_INDEX]),"")</f>
        <v/>
      </c>
      <c r="H34" s="37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34" s="37">
        <f>IF([@RECOMPUTED_WEIGHT_G]="","",[@RECOMPUTED_WEIGHT_G]/1000)</f>
        <v/>
      </c>
      <c r="J34" s="37">
        <f>IF(OR([@FROZEN_TOTAL_WEIGHT_KG]="",[@RECOMPUTED_WEIGHT_KG]=""),"",[@RECOMPUTED_WEIGHT_KG]-[@FROZEN_TOTAL_WEIGHT_KG])</f>
        <v/>
      </c>
      <c r="K34" s="37">
        <f>IF([@STATEMENT_ID]="","",COUNTIF(T_STATEMENT_SHIPMENT[STATEMENT_ID],[@STATEMENT_ID]))</f>
        <v/>
      </c>
      <c r="L34" s="37">
        <f>IF([@STATEMENT_ID]="","",IF([@VARIANCE_KG]="","PENDING",IF(ABS([@VARIANCE_KG])&lt;=0.001,"OK","VARIANCE")))</f>
        <v/>
      </c>
    </row>
    <row r="35">
      <c r="A35" s="37" t="n">
        <v>34</v>
      </c>
      <c r="B35" s="37">
        <f>IFERROR(INDEX(T_STATEMENT_LINE[STATEMENT_ID],[@ROW_INDEX]),"")</f>
        <v/>
      </c>
      <c r="C35" s="37">
        <f>IF([@STATEMENT_ID]="","",IFERROR(INDEX(T_STATEMENT[STATEMENT_CODE],MATCH([@STATEMENT_ID],T_STATEMENT[STATEMENT_ID],0)),""))</f>
        <v/>
      </c>
      <c r="D35" s="37">
        <f>IFERROR(INDEX(T_STATEMENT_LINE[MATERIAL_ID],[@ROW_INDEX]),"")</f>
        <v/>
      </c>
      <c r="E35" s="37">
        <f>IFERROR(INDEX(T_STATEMENT_LINE[PACKAGING_LEVEL_ID],[@ROW_INDEX]),"")</f>
        <v/>
      </c>
      <c r="F35" s="37">
        <f>IFERROR(INDEX(T_STATEMENT_LINE[OWNERSHIP_TYPE_ID],[@ROW_INDEX]),"")</f>
        <v/>
      </c>
      <c r="G35" s="37">
        <f>IFERROR(INDEX(T_STATEMENT_LINE[TOTAL_WEIGHT_KG],[@ROW_INDEX]),"")</f>
        <v/>
      </c>
      <c r="H35" s="37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35" s="37">
        <f>IF([@RECOMPUTED_WEIGHT_G]="","",[@RECOMPUTED_WEIGHT_G]/1000)</f>
        <v/>
      </c>
      <c r="J35" s="37">
        <f>IF(OR([@FROZEN_TOTAL_WEIGHT_KG]="",[@RECOMPUTED_WEIGHT_KG]=""),"",[@RECOMPUTED_WEIGHT_KG]-[@FROZEN_TOTAL_WEIGHT_KG])</f>
        <v/>
      </c>
      <c r="K35" s="37">
        <f>IF([@STATEMENT_ID]="","",COUNTIF(T_STATEMENT_SHIPMENT[STATEMENT_ID],[@STATEMENT_ID]))</f>
        <v/>
      </c>
      <c r="L35" s="37">
        <f>IF([@STATEMENT_ID]="","",IF([@VARIANCE_KG]="","PENDING",IF(ABS([@VARIANCE_KG])&lt;=0.001,"OK","VARIANCE")))</f>
        <v/>
      </c>
    </row>
    <row r="36">
      <c r="A36" s="37" t="n">
        <v>35</v>
      </c>
      <c r="B36" s="37">
        <f>IFERROR(INDEX(T_STATEMENT_LINE[STATEMENT_ID],[@ROW_INDEX]),"")</f>
        <v/>
      </c>
      <c r="C36" s="37">
        <f>IF([@STATEMENT_ID]="","",IFERROR(INDEX(T_STATEMENT[STATEMENT_CODE],MATCH([@STATEMENT_ID],T_STATEMENT[STATEMENT_ID],0)),""))</f>
        <v/>
      </c>
      <c r="D36" s="37">
        <f>IFERROR(INDEX(T_STATEMENT_LINE[MATERIAL_ID],[@ROW_INDEX]),"")</f>
        <v/>
      </c>
      <c r="E36" s="37">
        <f>IFERROR(INDEX(T_STATEMENT_LINE[PACKAGING_LEVEL_ID],[@ROW_INDEX]),"")</f>
        <v/>
      </c>
      <c r="F36" s="37">
        <f>IFERROR(INDEX(T_STATEMENT_LINE[OWNERSHIP_TYPE_ID],[@ROW_INDEX]),"")</f>
        <v/>
      </c>
      <c r="G36" s="37">
        <f>IFERROR(INDEX(T_STATEMENT_LINE[TOTAL_WEIGHT_KG],[@ROW_INDEX]),"")</f>
        <v/>
      </c>
      <c r="H36" s="37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36" s="37">
        <f>IF([@RECOMPUTED_WEIGHT_G]="","",[@RECOMPUTED_WEIGHT_G]/1000)</f>
        <v/>
      </c>
      <c r="J36" s="37">
        <f>IF(OR([@FROZEN_TOTAL_WEIGHT_KG]="",[@RECOMPUTED_WEIGHT_KG]=""),"",[@RECOMPUTED_WEIGHT_KG]-[@FROZEN_TOTAL_WEIGHT_KG])</f>
        <v/>
      </c>
      <c r="K36" s="37">
        <f>IF([@STATEMENT_ID]="","",COUNTIF(T_STATEMENT_SHIPMENT[STATEMENT_ID],[@STATEMENT_ID]))</f>
        <v/>
      </c>
      <c r="L36" s="37">
        <f>IF([@STATEMENT_ID]="","",IF([@VARIANCE_KG]="","PENDING",IF(ABS([@VARIANCE_KG])&lt;=0.001,"OK","VARIANCE")))</f>
        <v/>
      </c>
    </row>
    <row r="37">
      <c r="A37" s="37" t="n">
        <v>36</v>
      </c>
      <c r="B37" s="37">
        <f>IFERROR(INDEX(T_STATEMENT_LINE[STATEMENT_ID],[@ROW_INDEX]),"")</f>
        <v/>
      </c>
      <c r="C37" s="37">
        <f>IF([@STATEMENT_ID]="","",IFERROR(INDEX(T_STATEMENT[STATEMENT_CODE],MATCH([@STATEMENT_ID],T_STATEMENT[STATEMENT_ID],0)),""))</f>
        <v/>
      </c>
      <c r="D37" s="37">
        <f>IFERROR(INDEX(T_STATEMENT_LINE[MATERIAL_ID],[@ROW_INDEX]),"")</f>
        <v/>
      </c>
      <c r="E37" s="37">
        <f>IFERROR(INDEX(T_STATEMENT_LINE[PACKAGING_LEVEL_ID],[@ROW_INDEX]),"")</f>
        <v/>
      </c>
      <c r="F37" s="37">
        <f>IFERROR(INDEX(T_STATEMENT_LINE[OWNERSHIP_TYPE_ID],[@ROW_INDEX]),"")</f>
        <v/>
      </c>
      <c r="G37" s="37">
        <f>IFERROR(INDEX(T_STATEMENT_LINE[TOTAL_WEIGHT_KG],[@ROW_INDEX]),"")</f>
        <v/>
      </c>
      <c r="H37" s="37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37" s="37">
        <f>IF([@RECOMPUTED_WEIGHT_G]="","",[@RECOMPUTED_WEIGHT_G]/1000)</f>
        <v/>
      </c>
      <c r="J37" s="37">
        <f>IF(OR([@FROZEN_TOTAL_WEIGHT_KG]="",[@RECOMPUTED_WEIGHT_KG]=""),"",[@RECOMPUTED_WEIGHT_KG]-[@FROZEN_TOTAL_WEIGHT_KG])</f>
        <v/>
      </c>
      <c r="K37" s="37">
        <f>IF([@STATEMENT_ID]="","",COUNTIF(T_STATEMENT_SHIPMENT[STATEMENT_ID],[@STATEMENT_ID]))</f>
        <v/>
      </c>
      <c r="L37" s="37">
        <f>IF([@STATEMENT_ID]="","",IF([@VARIANCE_KG]="","PENDING",IF(ABS([@VARIANCE_KG])&lt;=0.001,"OK","VARIANCE")))</f>
        <v/>
      </c>
    </row>
    <row r="38">
      <c r="A38" s="37" t="n">
        <v>37</v>
      </c>
      <c r="B38" s="37">
        <f>IFERROR(INDEX(T_STATEMENT_LINE[STATEMENT_ID],[@ROW_INDEX]),"")</f>
        <v/>
      </c>
      <c r="C38" s="37">
        <f>IF([@STATEMENT_ID]="","",IFERROR(INDEX(T_STATEMENT[STATEMENT_CODE],MATCH([@STATEMENT_ID],T_STATEMENT[STATEMENT_ID],0)),""))</f>
        <v/>
      </c>
      <c r="D38" s="37">
        <f>IFERROR(INDEX(T_STATEMENT_LINE[MATERIAL_ID],[@ROW_INDEX]),"")</f>
        <v/>
      </c>
      <c r="E38" s="37">
        <f>IFERROR(INDEX(T_STATEMENT_LINE[PACKAGING_LEVEL_ID],[@ROW_INDEX]),"")</f>
        <v/>
      </c>
      <c r="F38" s="37">
        <f>IFERROR(INDEX(T_STATEMENT_LINE[OWNERSHIP_TYPE_ID],[@ROW_INDEX]),"")</f>
        <v/>
      </c>
      <c r="G38" s="37">
        <f>IFERROR(INDEX(T_STATEMENT_LINE[TOTAL_WEIGHT_KG],[@ROW_INDEX]),"")</f>
        <v/>
      </c>
      <c r="H38" s="37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38" s="37">
        <f>IF([@RECOMPUTED_WEIGHT_G]="","",[@RECOMPUTED_WEIGHT_G]/1000)</f>
        <v/>
      </c>
      <c r="J38" s="37">
        <f>IF(OR([@FROZEN_TOTAL_WEIGHT_KG]="",[@RECOMPUTED_WEIGHT_KG]=""),"",[@RECOMPUTED_WEIGHT_KG]-[@FROZEN_TOTAL_WEIGHT_KG])</f>
        <v/>
      </c>
      <c r="K38" s="37">
        <f>IF([@STATEMENT_ID]="","",COUNTIF(T_STATEMENT_SHIPMENT[STATEMENT_ID],[@STATEMENT_ID]))</f>
        <v/>
      </c>
      <c r="L38" s="37">
        <f>IF([@STATEMENT_ID]="","",IF([@VARIANCE_KG]="","PENDING",IF(ABS([@VARIANCE_KG])&lt;=0.001,"OK","VARIANCE")))</f>
        <v/>
      </c>
    </row>
    <row r="39">
      <c r="A39" s="37" t="n">
        <v>38</v>
      </c>
      <c r="B39" s="37">
        <f>IFERROR(INDEX(T_STATEMENT_LINE[STATEMENT_ID],[@ROW_INDEX]),"")</f>
        <v/>
      </c>
      <c r="C39" s="37">
        <f>IF([@STATEMENT_ID]="","",IFERROR(INDEX(T_STATEMENT[STATEMENT_CODE],MATCH([@STATEMENT_ID],T_STATEMENT[STATEMENT_ID],0)),""))</f>
        <v/>
      </c>
      <c r="D39" s="37">
        <f>IFERROR(INDEX(T_STATEMENT_LINE[MATERIAL_ID],[@ROW_INDEX]),"")</f>
        <v/>
      </c>
      <c r="E39" s="37">
        <f>IFERROR(INDEX(T_STATEMENT_LINE[PACKAGING_LEVEL_ID],[@ROW_INDEX]),"")</f>
        <v/>
      </c>
      <c r="F39" s="37">
        <f>IFERROR(INDEX(T_STATEMENT_LINE[OWNERSHIP_TYPE_ID],[@ROW_INDEX]),"")</f>
        <v/>
      </c>
      <c r="G39" s="37">
        <f>IFERROR(INDEX(T_STATEMENT_LINE[TOTAL_WEIGHT_KG],[@ROW_INDEX]),"")</f>
        <v/>
      </c>
      <c r="H39" s="37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39" s="37">
        <f>IF([@RECOMPUTED_WEIGHT_G]="","",[@RECOMPUTED_WEIGHT_G]/1000)</f>
        <v/>
      </c>
      <c r="J39" s="37">
        <f>IF(OR([@FROZEN_TOTAL_WEIGHT_KG]="",[@RECOMPUTED_WEIGHT_KG]=""),"",[@RECOMPUTED_WEIGHT_KG]-[@FROZEN_TOTAL_WEIGHT_KG])</f>
        <v/>
      </c>
      <c r="K39" s="37">
        <f>IF([@STATEMENT_ID]="","",COUNTIF(T_STATEMENT_SHIPMENT[STATEMENT_ID],[@STATEMENT_ID]))</f>
        <v/>
      </c>
      <c r="L39" s="37">
        <f>IF([@STATEMENT_ID]="","",IF([@VARIANCE_KG]="","PENDING",IF(ABS([@VARIANCE_KG])&lt;=0.001,"OK","VARIANCE")))</f>
        <v/>
      </c>
    </row>
    <row r="40">
      <c r="A40" s="37" t="n">
        <v>39</v>
      </c>
      <c r="B40" s="37">
        <f>IFERROR(INDEX(T_STATEMENT_LINE[STATEMENT_ID],[@ROW_INDEX]),"")</f>
        <v/>
      </c>
      <c r="C40" s="37">
        <f>IF([@STATEMENT_ID]="","",IFERROR(INDEX(T_STATEMENT[STATEMENT_CODE],MATCH([@STATEMENT_ID],T_STATEMENT[STATEMENT_ID],0)),""))</f>
        <v/>
      </c>
      <c r="D40" s="37">
        <f>IFERROR(INDEX(T_STATEMENT_LINE[MATERIAL_ID],[@ROW_INDEX]),"")</f>
        <v/>
      </c>
      <c r="E40" s="37">
        <f>IFERROR(INDEX(T_STATEMENT_LINE[PACKAGING_LEVEL_ID],[@ROW_INDEX]),"")</f>
        <v/>
      </c>
      <c r="F40" s="37">
        <f>IFERROR(INDEX(T_STATEMENT_LINE[OWNERSHIP_TYPE_ID],[@ROW_INDEX]),"")</f>
        <v/>
      </c>
      <c r="G40" s="37">
        <f>IFERROR(INDEX(T_STATEMENT_LINE[TOTAL_WEIGHT_KG],[@ROW_INDEX]),"")</f>
        <v/>
      </c>
      <c r="H40" s="37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40" s="37">
        <f>IF([@RECOMPUTED_WEIGHT_G]="","",[@RECOMPUTED_WEIGHT_G]/1000)</f>
        <v/>
      </c>
      <c r="J40" s="37">
        <f>IF(OR([@FROZEN_TOTAL_WEIGHT_KG]="",[@RECOMPUTED_WEIGHT_KG]=""),"",[@RECOMPUTED_WEIGHT_KG]-[@FROZEN_TOTAL_WEIGHT_KG])</f>
        <v/>
      </c>
      <c r="K40" s="37">
        <f>IF([@STATEMENT_ID]="","",COUNTIF(T_STATEMENT_SHIPMENT[STATEMENT_ID],[@STATEMENT_ID]))</f>
        <v/>
      </c>
      <c r="L40" s="37">
        <f>IF([@STATEMENT_ID]="","",IF([@VARIANCE_KG]="","PENDING",IF(ABS([@VARIANCE_KG])&lt;=0.001,"OK","VARIANCE")))</f>
        <v/>
      </c>
    </row>
    <row r="41">
      <c r="A41" s="37" t="n">
        <v>40</v>
      </c>
      <c r="B41" s="37">
        <f>IFERROR(INDEX(T_STATEMENT_LINE[STATEMENT_ID],[@ROW_INDEX]),"")</f>
        <v/>
      </c>
      <c r="C41" s="37">
        <f>IF([@STATEMENT_ID]="","",IFERROR(INDEX(T_STATEMENT[STATEMENT_CODE],MATCH([@STATEMENT_ID],T_STATEMENT[STATEMENT_ID],0)),""))</f>
        <v/>
      </c>
      <c r="D41" s="37">
        <f>IFERROR(INDEX(T_STATEMENT_LINE[MATERIAL_ID],[@ROW_INDEX]),"")</f>
        <v/>
      </c>
      <c r="E41" s="37">
        <f>IFERROR(INDEX(T_STATEMENT_LINE[PACKAGING_LEVEL_ID],[@ROW_INDEX]),"")</f>
        <v/>
      </c>
      <c r="F41" s="37">
        <f>IFERROR(INDEX(T_STATEMENT_LINE[OWNERSHIP_TYPE_ID],[@ROW_INDEX]),"")</f>
        <v/>
      </c>
      <c r="G41" s="37">
        <f>IFERROR(INDEX(T_STATEMENT_LINE[TOTAL_WEIGHT_KG],[@ROW_INDEX]),"")</f>
        <v/>
      </c>
      <c r="H41" s="37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41" s="37">
        <f>IF([@RECOMPUTED_WEIGHT_G]="","",[@RECOMPUTED_WEIGHT_G]/1000)</f>
        <v/>
      </c>
      <c r="J41" s="37">
        <f>IF(OR([@FROZEN_TOTAL_WEIGHT_KG]="",[@RECOMPUTED_WEIGHT_KG]=""),"",[@RECOMPUTED_WEIGHT_KG]-[@FROZEN_TOTAL_WEIGHT_KG])</f>
        <v/>
      </c>
      <c r="K41" s="37">
        <f>IF([@STATEMENT_ID]="","",COUNTIF(T_STATEMENT_SHIPMENT[STATEMENT_ID],[@STATEMENT_ID]))</f>
        <v/>
      </c>
      <c r="L41" s="37">
        <f>IF([@STATEMENT_ID]="","",IF([@VARIANCE_KG]="","PENDING",IF(ABS([@VARIANCE_KG])&lt;=0.001,"OK","VARIANCE")))</f>
        <v/>
      </c>
    </row>
    <row r="42">
      <c r="A42" s="37" t="n">
        <v>41</v>
      </c>
      <c r="B42" s="37">
        <f>IFERROR(INDEX(T_STATEMENT_LINE[STATEMENT_ID],[@ROW_INDEX]),"")</f>
        <v/>
      </c>
      <c r="C42" s="37">
        <f>IF([@STATEMENT_ID]="","",IFERROR(INDEX(T_STATEMENT[STATEMENT_CODE],MATCH([@STATEMENT_ID],T_STATEMENT[STATEMENT_ID],0)),""))</f>
        <v/>
      </c>
      <c r="D42" s="37">
        <f>IFERROR(INDEX(T_STATEMENT_LINE[MATERIAL_ID],[@ROW_INDEX]),"")</f>
        <v/>
      </c>
      <c r="E42" s="37">
        <f>IFERROR(INDEX(T_STATEMENT_LINE[PACKAGING_LEVEL_ID],[@ROW_INDEX]),"")</f>
        <v/>
      </c>
      <c r="F42" s="37">
        <f>IFERROR(INDEX(T_STATEMENT_LINE[OWNERSHIP_TYPE_ID],[@ROW_INDEX]),"")</f>
        <v/>
      </c>
      <c r="G42" s="37">
        <f>IFERROR(INDEX(T_STATEMENT_LINE[TOTAL_WEIGHT_KG],[@ROW_INDEX]),"")</f>
        <v/>
      </c>
      <c r="H42" s="37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42" s="37">
        <f>IF([@RECOMPUTED_WEIGHT_G]="","",[@RECOMPUTED_WEIGHT_G]/1000)</f>
        <v/>
      </c>
      <c r="J42" s="37">
        <f>IF(OR([@FROZEN_TOTAL_WEIGHT_KG]="",[@RECOMPUTED_WEIGHT_KG]=""),"",[@RECOMPUTED_WEIGHT_KG]-[@FROZEN_TOTAL_WEIGHT_KG])</f>
        <v/>
      </c>
      <c r="K42" s="37">
        <f>IF([@STATEMENT_ID]="","",COUNTIF(T_STATEMENT_SHIPMENT[STATEMENT_ID],[@STATEMENT_ID]))</f>
        <v/>
      </c>
      <c r="L42" s="37">
        <f>IF([@STATEMENT_ID]="","",IF([@VARIANCE_KG]="","PENDING",IF(ABS([@VARIANCE_KG])&lt;=0.001,"OK","VARIANCE")))</f>
        <v/>
      </c>
    </row>
    <row r="43">
      <c r="A43" s="37" t="n">
        <v>42</v>
      </c>
      <c r="B43" s="37">
        <f>IFERROR(INDEX(T_STATEMENT_LINE[STATEMENT_ID],[@ROW_INDEX]),"")</f>
        <v/>
      </c>
      <c r="C43" s="37">
        <f>IF([@STATEMENT_ID]="","",IFERROR(INDEX(T_STATEMENT[STATEMENT_CODE],MATCH([@STATEMENT_ID],T_STATEMENT[STATEMENT_ID],0)),""))</f>
        <v/>
      </c>
      <c r="D43" s="37">
        <f>IFERROR(INDEX(T_STATEMENT_LINE[MATERIAL_ID],[@ROW_INDEX]),"")</f>
        <v/>
      </c>
      <c r="E43" s="37">
        <f>IFERROR(INDEX(T_STATEMENT_LINE[PACKAGING_LEVEL_ID],[@ROW_INDEX]),"")</f>
        <v/>
      </c>
      <c r="F43" s="37">
        <f>IFERROR(INDEX(T_STATEMENT_LINE[OWNERSHIP_TYPE_ID],[@ROW_INDEX]),"")</f>
        <v/>
      </c>
      <c r="G43" s="37">
        <f>IFERROR(INDEX(T_STATEMENT_LINE[TOTAL_WEIGHT_KG],[@ROW_INDEX]),"")</f>
        <v/>
      </c>
      <c r="H43" s="37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43" s="37">
        <f>IF([@RECOMPUTED_WEIGHT_G]="","",[@RECOMPUTED_WEIGHT_G]/1000)</f>
        <v/>
      </c>
      <c r="J43" s="37">
        <f>IF(OR([@FROZEN_TOTAL_WEIGHT_KG]="",[@RECOMPUTED_WEIGHT_KG]=""),"",[@RECOMPUTED_WEIGHT_KG]-[@FROZEN_TOTAL_WEIGHT_KG])</f>
        <v/>
      </c>
      <c r="K43" s="37">
        <f>IF([@STATEMENT_ID]="","",COUNTIF(T_STATEMENT_SHIPMENT[STATEMENT_ID],[@STATEMENT_ID]))</f>
        <v/>
      </c>
      <c r="L43" s="37">
        <f>IF([@STATEMENT_ID]="","",IF([@VARIANCE_KG]="","PENDING",IF(ABS([@VARIANCE_KG])&lt;=0.001,"OK","VARIANCE")))</f>
        <v/>
      </c>
    </row>
    <row r="44">
      <c r="A44" s="37" t="n">
        <v>43</v>
      </c>
      <c r="B44" s="37">
        <f>IFERROR(INDEX(T_STATEMENT_LINE[STATEMENT_ID],[@ROW_INDEX]),"")</f>
        <v/>
      </c>
      <c r="C44" s="37">
        <f>IF([@STATEMENT_ID]="","",IFERROR(INDEX(T_STATEMENT[STATEMENT_CODE],MATCH([@STATEMENT_ID],T_STATEMENT[STATEMENT_ID],0)),""))</f>
        <v/>
      </c>
      <c r="D44" s="37">
        <f>IFERROR(INDEX(T_STATEMENT_LINE[MATERIAL_ID],[@ROW_INDEX]),"")</f>
        <v/>
      </c>
      <c r="E44" s="37">
        <f>IFERROR(INDEX(T_STATEMENT_LINE[PACKAGING_LEVEL_ID],[@ROW_INDEX]),"")</f>
        <v/>
      </c>
      <c r="F44" s="37">
        <f>IFERROR(INDEX(T_STATEMENT_LINE[OWNERSHIP_TYPE_ID],[@ROW_INDEX]),"")</f>
        <v/>
      </c>
      <c r="G44" s="37">
        <f>IFERROR(INDEX(T_STATEMENT_LINE[TOTAL_WEIGHT_KG],[@ROW_INDEX]),"")</f>
        <v/>
      </c>
      <c r="H44" s="37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44" s="37">
        <f>IF([@RECOMPUTED_WEIGHT_G]="","",[@RECOMPUTED_WEIGHT_G]/1000)</f>
        <v/>
      </c>
      <c r="J44" s="37">
        <f>IF(OR([@FROZEN_TOTAL_WEIGHT_KG]="",[@RECOMPUTED_WEIGHT_KG]=""),"",[@RECOMPUTED_WEIGHT_KG]-[@FROZEN_TOTAL_WEIGHT_KG])</f>
        <v/>
      </c>
      <c r="K44" s="37">
        <f>IF([@STATEMENT_ID]="","",COUNTIF(T_STATEMENT_SHIPMENT[STATEMENT_ID],[@STATEMENT_ID]))</f>
        <v/>
      </c>
      <c r="L44" s="37">
        <f>IF([@STATEMENT_ID]="","",IF([@VARIANCE_KG]="","PENDING",IF(ABS([@VARIANCE_KG])&lt;=0.001,"OK","VARIANCE")))</f>
        <v/>
      </c>
    </row>
    <row r="45">
      <c r="A45" s="37" t="n">
        <v>44</v>
      </c>
      <c r="B45" s="37">
        <f>IFERROR(INDEX(T_STATEMENT_LINE[STATEMENT_ID],[@ROW_INDEX]),"")</f>
        <v/>
      </c>
      <c r="C45" s="37">
        <f>IF([@STATEMENT_ID]="","",IFERROR(INDEX(T_STATEMENT[STATEMENT_CODE],MATCH([@STATEMENT_ID],T_STATEMENT[STATEMENT_ID],0)),""))</f>
        <v/>
      </c>
      <c r="D45" s="37">
        <f>IFERROR(INDEX(T_STATEMENT_LINE[MATERIAL_ID],[@ROW_INDEX]),"")</f>
        <v/>
      </c>
      <c r="E45" s="37">
        <f>IFERROR(INDEX(T_STATEMENT_LINE[PACKAGING_LEVEL_ID],[@ROW_INDEX]),"")</f>
        <v/>
      </c>
      <c r="F45" s="37">
        <f>IFERROR(INDEX(T_STATEMENT_LINE[OWNERSHIP_TYPE_ID],[@ROW_INDEX]),"")</f>
        <v/>
      </c>
      <c r="G45" s="37">
        <f>IFERROR(INDEX(T_STATEMENT_LINE[TOTAL_WEIGHT_KG],[@ROW_INDEX]),"")</f>
        <v/>
      </c>
      <c r="H45" s="37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45" s="37">
        <f>IF([@RECOMPUTED_WEIGHT_G]="","",[@RECOMPUTED_WEIGHT_G]/1000)</f>
        <v/>
      </c>
      <c r="J45" s="37">
        <f>IF(OR([@FROZEN_TOTAL_WEIGHT_KG]="",[@RECOMPUTED_WEIGHT_KG]=""),"",[@RECOMPUTED_WEIGHT_KG]-[@FROZEN_TOTAL_WEIGHT_KG])</f>
        <v/>
      </c>
      <c r="K45" s="37">
        <f>IF([@STATEMENT_ID]="","",COUNTIF(T_STATEMENT_SHIPMENT[STATEMENT_ID],[@STATEMENT_ID]))</f>
        <v/>
      </c>
      <c r="L45" s="37">
        <f>IF([@STATEMENT_ID]="","",IF([@VARIANCE_KG]="","PENDING",IF(ABS([@VARIANCE_KG])&lt;=0.001,"OK","VARIANCE")))</f>
        <v/>
      </c>
    </row>
    <row r="46">
      <c r="A46" s="37" t="n">
        <v>45</v>
      </c>
      <c r="B46" s="37">
        <f>IFERROR(INDEX(T_STATEMENT_LINE[STATEMENT_ID],[@ROW_INDEX]),"")</f>
        <v/>
      </c>
      <c r="C46" s="37">
        <f>IF([@STATEMENT_ID]="","",IFERROR(INDEX(T_STATEMENT[STATEMENT_CODE],MATCH([@STATEMENT_ID],T_STATEMENT[STATEMENT_ID],0)),""))</f>
        <v/>
      </c>
      <c r="D46" s="37">
        <f>IFERROR(INDEX(T_STATEMENT_LINE[MATERIAL_ID],[@ROW_INDEX]),"")</f>
        <v/>
      </c>
      <c r="E46" s="37">
        <f>IFERROR(INDEX(T_STATEMENT_LINE[PACKAGING_LEVEL_ID],[@ROW_INDEX]),"")</f>
        <v/>
      </c>
      <c r="F46" s="37">
        <f>IFERROR(INDEX(T_STATEMENT_LINE[OWNERSHIP_TYPE_ID],[@ROW_INDEX]),"")</f>
        <v/>
      </c>
      <c r="G46" s="37">
        <f>IFERROR(INDEX(T_STATEMENT_LINE[TOTAL_WEIGHT_KG],[@ROW_INDEX]),"")</f>
        <v/>
      </c>
      <c r="H46" s="37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46" s="37">
        <f>IF([@RECOMPUTED_WEIGHT_G]="","",[@RECOMPUTED_WEIGHT_G]/1000)</f>
        <v/>
      </c>
      <c r="J46" s="37">
        <f>IF(OR([@FROZEN_TOTAL_WEIGHT_KG]="",[@RECOMPUTED_WEIGHT_KG]=""),"",[@RECOMPUTED_WEIGHT_KG]-[@FROZEN_TOTAL_WEIGHT_KG])</f>
        <v/>
      </c>
      <c r="K46" s="37">
        <f>IF([@STATEMENT_ID]="","",COUNTIF(T_STATEMENT_SHIPMENT[STATEMENT_ID],[@STATEMENT_ID]))</f>
        <v/>
      </c>
      <c r="L46" s="37">
        <f>IF([@STATEMENT_ID]="","",IF([@VARIANCE_KG]="","PENDING",IF(ABS([@VARIANCE_KG])&lt;=0.001,"OK","VARIANCE")))</f>
        <v/>
      </c>
    </row>
    <row r="47">
      <c r="A47" s="37" t="n">
        <v>46</v>
      </c>
      <c r="B47" s="37">
        <f>IFERROR(INDEX(T_STATEMENT_LINE[STATEMENT_ID],[@ROW_INDEX]),"")</f>
        <v/>
      </c>
      <c r="C47" s="37">
        <f>IF([@STATEMENT_ID]="","",IFERROR(INDEX(T_STATEMENT[STATEMENT_CODE],MATCH([@STATEMENT_ID],T_STATEMENT[STATEMENT_ID],0)),""))</f>
        <v/>
      </c>
      <c r="D47" s="37">
        <f>IFERROR(INDEX(T_STATEMENT_LINE[MATERIAL_ID],[@ROW_INDEX]),"")</f>
        <v/>
      </c>
      <c r="E47" s="37">
        <f>IFERROR(INDEX(T_STATEMENT_LINE[PACKAGING_LEVEL_ID],[@ROW_INDEX]),"")</f>
        <v/>
      </c>
      <c r="F47" s="37">
        <f>IFERROR(INDEX(T_STATEMENT_LINE[OWNERSHIP_TYPE_ID],[@ROW_INDEX]),"")</f>
        <v/>
      </c>
      <c r="G47" s="37">
        <f>IFERROR(INDEX(T_STATEMENT_LINE[TOTAL_WEIGHT_KG],[@ROW_INDEX]),"")</f>
        <v/>
      </c>
      <c r="H47" s="37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47" s="37">
        <f>IF([@RECOMPUTED_WEIGHT_G]="","",[@RECOMPUTED_WEIGHT_G]/1000)</f>
        <v/>
      </c>
      <c r="J47" s="37">
        <f>IF(OR([@FROZEN_TOTAL_WEIGHT_KG]="",[@RECOMPUTED_WEIGHT_KG]=""),"",[@RECOMPUTED_WEIGHT_KG]-[@FROZEN_TOTAL_WEIGHT_KG])</f>
        <v/>
      </c>
      <c r="K47" s="37">
        <f>IF([@STATEMENT_ID]="","",COUNTIF(T_STATEMENT_SHIPMENT[STATEMENT_ID],[@STATEMENT_ID]))</f>
        <v/>
      </c>
      <c r="L47" s="37">
        <f>IF([@STATEMENT_ID]="","",IF([@VARIANCE_KG]="","PENDING",IF(ABS([@VARIANCE_KG])&lt;=0.001,"OK","VARIANCE")))</f>
        <v/>
      </c>
    </row>
    <row r="48">
      <c r="A48" s="37" t="n">
        <v>47</v>
      </c>
      <c r="B48" s="37">
        <f>IFERROR(INDEX(T_STATEMENT_LINE[STATEMENT_ID],[@ROW_INDEX]),"")</f>
        <v/>
      </c>
      <c r="C48" s="37">
        <f>IF([@STATEMENT_ID]="","",IFERROR(INDEX(T_STATEMENT[STATEMENT_CODE],MATCH([@STATEMENT_ID],T_STATEMENT[STATEMENT_ID],0)),""))</f>
        <v/>
      </c>
      <c r="D48" s="37">
        <f>IFERROR(INDEX(T_STATEMENT_LINE[MATERIAL_ID],[@ROW_INDEX]),"")</f>
        <v/>
      </c>
      <c r="E48" s="37">
        <f>IFERROR(INDEX(T_STATEMENT_LINE[PACKAGING_LEVEL_ID],[@ROW_INDEX]),"")</f>
        <v/>
      </c>
      <c r="F48" s="37">
        <f>IFERROR(INDEX(T_STATEMENT_LINE[OWNERSHIP_TYPE_ID],[@ROW_INDEX]),"")</f>
        <v/>
      </c>
      <c r="G48" s="37">
        <f>IFERROR(INDEX(T_STATEMENT_LINE[TOTAL_WEIGHT_KG],[@ROW_INDEX]),"")</f>
        <v/>
      </c>
      <c r="H48" s="37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48" s="37">
        <f>IF([@RECOMPUTED_WEIGHT_G]="","",[@RECOMPUTED_WEIGHT_G]/1000)</f>
        <v/>
      </c>
      <c r="J48" s="37">
        <f>IF(OR([@FROZEN_TOTAL_WEIGHT_KG]="",[@RECOMPUTED_WEIGHT_KG]=""),"",[@RECOMPUTED_WEIGHT_KG]-[@FROZEN_TOTAL_WEIGHT_KG])</f>
        <v/>
      </c>
      <c r="K48" s="37">
        <f>IF([@STATEMENT_ID]="","",COUNTIF(T_STATEMENT_SHIPMENT[STATEMENT_ID],[@STATEMENT_ID]))</f>
        <v/>
      </c>
      <c r="L48" s="37">
        <f>IF([@STATEMENT_ID]="","",IF([@VARIANCE_KG]="","PENDING",IF(ABS([@VARIANCE_KG])&lt;=0.001,"OK","VARIANCE")))</f>
        <v/>
      </c>
    </row>
    <row r="49">
      <c r="A49" s="37" t="n">
        <v>48</v>
      </c>
      <c r="B49" s="37">
        <f>IFERROR(INDEX(T_STATEMENT_LINE[STATEMENT_ID],[@ROW_INDEX]),"")</f>
        <v/>
      </c>
      <c r="C49" s="37">
        <f>IF([@STATEMENT_ID]="","",IFERROR(INDEX(T_STATEMENT[STATEMENT_CODE],MATCH([@STATEMENT_ID],T_STATEMENT[STATEMENT_ID],0)),""))</f>
        <v/>
      </c>
      <c r="D49" s="37">
        <f>IFERROR(INDEX(T_STATEMENT_LINE[MATERIAL_ID],[@ROW_INDEX]),"")</f>
        <v/>
      </c>
      <c r="E49" s="37">
        <f>IFERROR(INDEX(T_STATEMENT_LINE[PACKAGING_LEVEL_ID],[@ROW_INDEX]),"")</f>
        <v/>
      </c>
      <c r="F49" s="37">
        <f>IFERROR(INDEX(T_STATEMENT_LINE[OWNERSHIP_TYPE_ID],[@ROW_INDEX]),"")</f>
        <v/>
      </c>
      <c r="G49" s="37">
        <f>IFERROR(INDEX(T_STATEMENT_LINE[TOTAL_WEIGHT_KG],[@ROW_INDEX]),"")</f>
        <v/>
      </c>
      <c r="H49" s="37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49" s="37">
        <f>IF([@RECOMPUTED_WEIGHT_G]="","",[@RECOMPUTED_WEIGHT_G]/1000)</f>
        <v/>
      </c>
      <c r="J49" s="37">
        <f>IF(OR([@FROZEN_TOTAL_WEIGHT_KG]="",[@RECOMPUTED_WEIGHT_KG]=""),"",[@RECOMPUTED_WEIGHT_KG]-[@FROZEN_TOTAL_WEIGHT_KG])</f>
        <v/>
      </c>
      <c r="K49" s="37">
        <f>IF([@STATEMENT_ID]="","",COUNTIF(T_STATEMENT_SHIPMENT[STATEMENT_ID],[@STATEMENT_ID]))</f>
        <v/>
      </c>
      <c r="L49" s="37">
        <f>IF([@STATEMENT_ID]="","",IF([@VARIANCE_KG]="","PENDING",IF(ABS([@VARIANCE_KG])&lt;=0.001,"OK","VARIANCE")))</f>
        <v/>
      </c>
    </row>
    <row r="50">
      <c r="A50" s="37" t="n">
        <v>49</v>
      </c>
      <c r="B50" s="37">
        <f>IFERROR(INDEX(T_STATEMENT_LINE[STATEMENT_ID],[@ROW_INDEX]),"")</f>
        <v/>
      </c>
      <c r="C50" s="37">
        <f>IF([@STATEMENT_ID]="","",IFERROR(INDEX(T_STATEMENT[STATEMENT_CODE],MATCH([@STATEMENT_ID],T_STATEMENT[STATEMENT_ID],0)),""))</f>
        <v/>
      </c>
      <c r="D50" s="37">
        <f>IFERROR(INDEX(T_STATEMENT_LINE[MATERIAL_ID],[@ROW_INDEX]),"")</f>
        <v/>
      </c>
      <c r="E50" s="37">
        <f>IFERROR(INDEX(T_STATEMENT_LINE[PACKAGING_LEVEL_ID],[@ROW_INDEX]),"")</f>
        <v/>
      </c>
      <c r="F50" s="37">
        <f>IFERROR(INDEX(T_STATEMENT_LINE[OWNERSHIP_TYPE_ID],[@ROW_INDEX]),"")</f>
        <v/>
      </c>
      <c r="G50" s="37">
        <f>IFERROR(INDEX(T_STATEMENT_LINE[TOTAL_WEIGHT_KG],[@ROW_INDEX]),"")</f>
        <v/>
      </c>
      <c r="H50" s="37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50" s="37">
        <f>IF([@RECOMPUTED_WEIGHT_G]="","",[@RECOMPUTED_WEIGHT_G]/1000)</f>
        <v/>
      </c>
      <c r="J50" s="37">
        <f>IF(OR([@FROZEN_TOTAL_WEIGHT_KG]="",[@RECOMPUTED_WEIGHT_KG]=""),"",[@RECOMPUTED_WEIGHT_KG]-[@FROZEN_TOTAL_WEIGHT_KG])</f>
        <v/>
      </c>
      <c r="K50" s="37">
        <f>IF([@STATEMENT_ID]="","",COUNTIF(T_STATEMENT_SHIPMENT[STATEMENT_ID],[@STATEMENT_ID]))</f>
        <v/>
      </c>
      <c r="L50" s="37">
        <f>IF([@STATEMENT_ID]="","",IF([@VARIANCE_KG]="","PENDING",IF(ABS([@VARIANCE_KG])&lt;=0.001,"OK","VARIANCE")))</f>
        <v/>
      </c>
    </row>
    <row r="51">
      <c r="A51" s="37" t="n">
        <v>50</v>
      </c>
      <c r="B51" s="37">
        <f>IFERROR(INDEX(T_STATEMENT_LINE[STATEMENT_ID],[@ROW_INDEX]),"")</f>
        <v/>
      </c>
      <c r="C51" s="37">
        <f>IF([@STATEMENT_ID]="","",IFERROR(INDEX(T_STATEMENT[STATEMENT_CODE],MATCH([@STATEMENT_ID],T_STATEMENT[STATEMENT_ID],0)),""))</f>
        <v/>
      </c>
      <c r="D51" s="37">
        <f>IFERROR(INDEX(T_STATEMENT_LINE[MATERIAL_ID],[@ROW_INDEX]),"")</f>
        <v/>
      </c>
      <c r="E51" s="37">
        <f>IFERROR(INDEX(T_STATEMENT_LINE[PACKAGING_LEVEL_ID],[@ROW_INDEX]),"")</f>
        <v/>
      </c>
      <c r="F51" s="37">
        <f>IFERROR(INDEX(T_STATEMENT_LINE[OWNERSHIP_TYPE_ID],[@ROW_INDEX]),"")</f>
        <v/>
      </c>
      <c r="G51" s="37">
        <f>IFERROR(INDEX(T_STATEMENT_LINE[TOTAL_WEIGHT_KG],[@ROW_INDEX]),"")</f>
        <v/>
      </c>
      <c r="H51" s="37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51" s="37">
        <f>IF([@RECOMPUTED_WEIGHT_G]="","",[@RECOMPUTED_WEIGHT_G]/1000)</f>
        <v/>
      </c>
      <c r="J51" s="37">
        <f>IF(OR([@FROZEN_TOTAL_WEIGHT_KG]="",[@RECOMPUTED_WEIGHT_KG]=""),"",[@RECOMPUTED_WEIGHT_KG]-[@FROZEN_TOTAL_WEIGHT_KG])</f>
        <v/>
      </c>
      <c r="K51" s="37">
        <f>IF([@STATEMENT_ID]="","",COUNTIF(T_STATEMENT_SHIPMENT[STATEMENT_ID],[@STATEMENT_ID]))</f>
        <v/>
      </c>
      <c r="L51" s="37">
        <f>IF([@STATEMENT_ID]="","",IF([@VARIANCE_KG]="","PENDING",IF(ABS([@VARIANCE_KG])&lt;=0.001,"OK","VARIANCE")))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conditionalFormatting sqref="L2:L51">
    <cfRule type="cellIs" priority="1" operator="equal" dxfId="0">
      <formula>"OK"</formula>
    </cfRule>
    <cfRule type="cellIs" priority="2" operator="equal" dxfId="0">
      <formula>"COMPLETE"</formula>
    </cfRule>
    <cfRule type="cellIs" priority="3" operator="equal" dxfId="1">
      <formula>"INCOMPLETE"</formula>
    </cfRule>
    <cfRule type="cellIs" priority="4" operator="equal" dxfId="2">
      <formula>"VARIANCE"</formula>
    </cfRule>
    <cfRule type="cellIs" priority="5" operator="equal" dxfId="3">
      <formula>"PENDING"</formula>
    </cfRule>
  </conditionalFormatting>
  <hyperlinks>
    <hyperlink xmlns:r="http://schemas.openxmlformats.org/officeDocument/2006/relationships" ref="N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23" customWidth="1" min="3" max="3"/>
    <col width="17" customWidth="1" min="4" max="4"/>
    <col width="27" customWidth="1" min="5" max="5"/>
    <col width="23" customWidth="1" min="6" max="6"/>
    <col width="16" customWidth="1" min="7" max="7"/>
    <col width="13" customWidth="1" min="8" max="8"/>
    <col width="22" customWidth="1" min="9" max="9"/>
    <col width="17" customWidth="1" min="10" max="10"/>
  </cols>
  <sheetData>
    <row r="1">
      <c r="A1" s="5" t="inlineStr">
        <is>
          <t>ROW_INDEX</t>
        </is>
      </c>
      <c r="B1" s="5" t="inlineStr">
        <is>
          <t>TECHNICAL_FILE_ID</t>
        </is>
      </c>
      <c r="C1" s="5" t="inlineStr">
        <is>
          <t>TECHNICAL_FILE_CODE</t>
        </is>
      </c>
      <c r="D1" s="5" t="inlineStr">
        <is>
          <t>SUBJECT_COUNT</t>
        </is>
      </c>
      <c r="E1" s="5" t="inlineStr">
        <is>
          <t>HAS_EXACTLY_ONE_SUBJECT</t>
        </is>
      </c>
      <c r="F1" s="5" t="inlineStr">
        <is>
          <t>DOCUMENT_LINK_COUNT</t>
        </is>
      </c>
      <c r="G1" s="5" t="inlineStr">
        <is>
          <t>HAS_DOCUMENT</t>
        </is>
      </c>
      <c r="H1" s="5" t="inlineStr">
        <is>
          <t>STATUS_ID</t>
        </is>
      </c>
      <c r="I1" s="5" t="inlineStr">
        <is>
          <t>COMPLETENESS_SCORE</t>
        </is>
      </c>
      <c r="J1" s="5" t="inlineStr">
        <is>
          <t>ENGINE_STATUS</t>
        </is>
      </c>
      <c r="L1" s="36" t="inlineStr">
        <is>
          <t>Dashboard</t>
        </is>
      </c>
    </row>
    <row r="2">
      <c r="A2" s="37" t="n">
        <v>1</v>
      </c>
      <c r="B2" s="37">
        <f>IFERROR(INDEX(T_TECHNICAL_FILE[TECHNICAL_FILE_ID],[@ROW_INDEX]),"")</f>
        <v/>
      </c>
      <c r="C2" s="37">
        <f>IFERROR(INDEX(T_TECHNICAL_FILE[TECHNICAL_FILE_CODE],[@ROW_INDEX]),"")</f>
        <v/>
      </c>
      <c r="D2" s="37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2" s="37">
        <f>IF([@TECHNICAL_FILE_ID]="","",IF([@SUBJECT_COUNT]=1,TRUE,FALSE))</f>
        <v/>
      </c>
      <c r="F2" s="37">
        <f>IF([@TECHNICAL_FILE_ID]="","",COUNTIF(T_DOCUMENT_LINK[TECHNICAL_FILE_ID],[@TECHNICAL_FILE_ID]))</f>
        <v/>
      </c>
      <c r="G2" s="37">
        <f>IF([@TECHNICAL_FILE_ID]="","",IF([@DOCUMENT_LINK_COUNT]&gt;0,TRUE,FALSE))</f>
        <v/>
      </c>
      <c r="H2" s="37">
        <f>IFERROR(INDEX(T_TECHNICAL_FILE[STATUS_ID],[@ROW_INDEX]),"")</f>
        <v/>
      </c>
      <c r="I2" s="37">
        <f>IF([@TECHNICAL_FILE_ID]="","",((IF(INDEX(T_TECHNICAL_FILE[PACKAGING_CONFIGURATION_ID],[@ROW_INDEX])&lt;&gt;"",1,0))*50)+([@HAS_EXACTLY_ONE_SUBJECT]*20)+([@HAS_DOCUMENT]*30))</f>
        <v/>
      </c>
      <c r="J2" s="37">
        <f>IF([@TECHNICAL_FILE_ID]="","",IF([@COMPLETENESS_SCORE]=100,"COMPLETE","INCOMPLETE"))</f>
        <v/>
      </c>
    </row>
    <row r="3">
      <c r="A3" s="37" t="n">
        <v>2</v>
      </c>
      <c r="B3" s="37">
        <f>IFERROR(INDEX(T_TECHNICAL_FILE[TECHNICAL_FILE_ID],[@ROW_INDEX]),"")</f>
        <v/>
      </c>
      <c r="C3" s="37">
        <f>IFERROR(INDEX(T_TECHNICAL_FILE[TECHNICAL_FILE_CODE],[@ROW_INDEX]),"")</f>
        <v/>
      </c>
      <c r="D3" s="37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3" s="37">
        <f>IF([@TECHNICAL_FILE_ID]="","",IF([@SUBJECT_COUNT]=1,TRUE,FALSE))</f>
        <v/>
      </c>
      <c r="F3" s="37">
        <f>IF([@TECHNICAL_FILE_ID]="","",COUNTIF(T_DOCUMENT_LINK[TECHNICAL_FILE_ID],[@TECHNICAL_FILE_ID]))</f>
        <v/>
      </c>
      <c r="G3" s="37">
        <f>IF([@TECHNICAL_FILE_ID]="","",IF([@DOCUMENT_LINK_COUNT]&gt;0,TRUE,FALSE))</f>
        <v/>
      </c>
      <c r="H3" s="37">
        <f>IFERROR(INDEX(T_TECHNICAL_FILE[STATUS_ID],[@ROW_INDEX]),"")</f>
        <v/>
      </c>
      <c r="I3" s="37">
        <f>IF([@TECHNICAL_FILE_ID]="","",((IF(INDEX(T_TECHNICAL_FILE[PACKAGING_CONFIGURATION_ID],[@ROW_INDEX])&lt;&gt;"",1,0))*50)+([@HAS_EXACTLY_ONE_SUBJECT]*20)+([@HAS_DOCUMENT]*30))</f>
        <v/>
      </c>
      <c r="J3" s="37">
        <f>IF([@TECHNICAL_FILE_ID]="","",IF([@COMPLETENESS_SCORE]=100,"COMPLETE","INCOMPLETE"))</f>
        <v/>
      </c>
    </row>
    <row r="4">
      <c r="A4" s="37" t="n">
        <v>3</v>
      </c>
      <c r="B4" s="37">
        <f>IFERROR(INDEX(T_TECHNICAL_FILE[TECHNICAL_FILE_ID],[@ROW_INDEX]),"")</f>
        <v/>
      </c>
      <c r="C4" s="37">
        <f>IFERROR(INDEX(T_TECHNICAL_FILE[TECHNICAL_FILE_CODE],[@ROW_INDEX]),"")</f>
        <v/>
      </c>
      <c r="D4" s="37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4" s="37">
        <f>IF([@TECHNICAL_FILE_ID]="","",IF([@SUBJECT_COUNT]=1,TRUE,FALSE))</f>
        <v/>
      </c>
      <c r="F4" s="37">
        <f>IF([@TECHNICAL_FILE_ID]="","",COUNTIF(T_DOCUMENT_LINK[TECHNICAL_FILE_ID],[@TECHNICAL_FILE_ID]))</f>
        <v/>
      </c>
      <c r="G4" s="37">
        <f>IF([@TECHNICAL_FILE_ID]="","",IF([@DOCUMENT_LINK_COUNT]&gt;0,TRUE,FALSE))</f>
        <v/>
      </c>
      <c r="H4" s="37">
        <f>IFERROR(INDEX(T_TECHNICAL_FILE[STATUS_ID],[@ROW_INDEX]),"")</f>
        <v/>
      </c>
      <c r="I4" s="37">
        <f>IF([@TECHNICAL_FILE_ID]="","",((IF(INDEX(T_TECHNICAL_FILE[PACKAGING_CONFIGURATION_ID],[@ROW_INDEX])&lt;&gt;"",1,0))*50)+([@HAS_EXACTLY_ONE_SUBJECT]*20)+([@HAS_DOCUMENT]*30))</f>
        <v/>
      </c>
      <c r="J4" s="37">
        <f>IF([@TECHNICAL_FILE_ID]="","",IF([@COMPLETENESS_SCORE]=100,"COMPLETE","INCOMPLETE"))</f>
        <v/>
      </c>
    </row>
    <row r="5">
      <c r="A5" s="37" t="n">
        <v>4</v>
      </c>
      <c r="B5" s="37">
        <f>IFERROR(INDEX(T_TECHNICAL_FILE[TECHNICAL_FILE_ID],[@ROW_INDEX]),"")</f>
        <v/>
      </c>
      <c r="C5" s="37">
        <f>IFERROR(INDEX(T_TECHNICAL_FILE[TECHNICAL_FILE_CODE],[@ROW_INDEX]),"")</f>
        <v/>
      </c>
      <c r="D5" s="37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5" s="37">
        <f>IF([@TECHNICAL_FILE_ID]="","",IF([@SUBJECT_COUNT]=1,TRUE,FALSE))</f>
        <v/>
      </c>
      <c r="F5" s="37">
        <f>IF([@TECHNICAL_FILE_ID]="","",COUNTIF(T_DOCUMENT_LINK[TECHNICAL_FILE_ID],[@TECHNICAL_FILE_ID]))</f>
        <v/>
      </c>
      <c r="G5" s="37">
        <f>IF([@TECHNICAL_FILE_ID]="","",IF([@DOCUMENT_LINK_COUNT]&gt;0,TRUE,FALSE))</f>
        <v/>
      </c>
      <c r="H5" s="37">
        <f>IFERROR(INDEX(T_TECHNICAL_FILE[STATUS_ID],[@ROW_INDEX]),"")</f>
        <v/>
      </c>
      <c r="I5" s="37">
        <f>IF([@TECHNICAL_FILE_ID]="","",((IF(INDEX(T_TECHNICAL_FILE[PACKAGING_CONFIGURATION_ID],[@ROW_INDEX])&lt;&gt;"",1,0))*50)+([@HAS_EXACTLY_ONE_SUBJECT]*20)+([@HAS_DOCUMENT]*30))</f>
        <v/>
      </c>
      <c r="J5" s="37">
        <f>IF([@TECHNICAL_FILE_ID]="","",IF([@COMPLETENESS_SCORE]=100,"COMPLETE","INCOMPLETE"))</f>
        <v/>
      </c>
    </row>
    <row r="6">
      <c r="A6" s="37" t="n">
        <v>5</v>
      </c>
      <c r="B6" s="37">
        <f>IFERROR(INDEX(T_TECHNICAL_FILE[TECHNICAL_FILE_ID],[@ROW_INDEX]),"")</f>
        <v/>
      </c>
      <c r="C6" s="37">
        <f>IFERROR(INDEX(T_TECHNICAL_FILE[TECHNICAL_FILE_CODE],[@ROW_INDEX]),"")</f>
        <v/>
      </c>
      <c r="D6" s="37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6" s="37">
        <f>IF([@TECHNICAL_FILE_ID]="","",IF([@SUBJECT_COUNT]=1,TRUE,FALSE))</f>
        <v/>
      </c>
      <c r="F6" s="37">
        <f>IF([@TECHNICAL_FILE_ID]="","",COUNTIF(T_DOCUMENT_LINK[TECHNICAL_FILE_ID],[@TECHNICAL_FILE_ID]))</f>
        <v/>
      </c>
      <c r="G6" s="37">
        <f>IF([@TECHNICAL_FILE_ID]="","",IF([@DOCUMENT_LINK_COUNT]&gt;0,TRUE,FALSE))</f>
        <v/>
      </c>
      <c r="H6" s="37">
        <f>IFERROR(INDEX(T_TECHNICAL_FILE[STATUS_ID],[@ROW_INDEX]),"")</f>
        <v/>
      </c>
      <c r="I6" s="37">
        <f>IF([@TECHNICAL_FILE_ID]="","",((IF(INDEX(T_TECHNICAL_FILE[PACKAGING_CONFIGURATION_ID],[@ROW_INDEX])&lt;&gt;"",1,0))*50)+([@HAS_EXACTLY_ONE_SUBJECT]*20)+([@HAS_DOCUMENT]*30))</f>
        <v/>
      </c>
      <c r="J6" s="37">
        <f>IF([@TECHNICAL_FILE_ID]="","",IF([@COMPLETENESS_SCORE]=100,"COMPLETE","INCOMPLETE"))</f>
        <v/>
      </c>
    </row>
    <row r="7">
      <c r="A7" s="37" t="n">
        <v>6</v>
      </c>
      <c r="B7" s="37">
        <f>IFERROR(INDEX(T_TECHNICAL_FILE[TECHNICAL_FILE_ID],[@ROW_INDEX]),"")</f>
        <v/>
      </c>
      <c r="C7" s="37">
        <f>IFERROR(INDEX(T_TECHNICAL_FILE[TECHNICAL_FILE_CODE],[@ROW_INDEX]),"")</f>
        <v/>
      </c>
      <c r="D7" s="37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7" s="37">
        <f>IF([@TECHNICAL_FILE_ID]="","",IF([@SUBJECT_COUNT]=1,TRUE,FALSE))</f>
        <v/>
      </c>
      <c r="F7" s="37">
        <f>IF([@TECHNICAL_FILE_ID]="","",COUNTIF(T_DOCUMENT_LINK[TECHNICAL_FILE_ID],[@TECHNICAL_FILE_ID]))</f>
        <v/>
      </c>
      <c r="G7" s="37">
        <f>IF([@TECHNICAL_FILE_ID]="","",IF([@DOCUMENT_LINK_COUNT]&gt;0,TRUE,FALSE))</f>
        <v/>
      </c>
      <c r="H7" s="37">
        <f>IFERROR(INDEX(T_TECHNICAL_FILE[STATUS_ID],[@ROW_INDEX]),"")</f>
        <v/>
      </c>
      <c r="I7" s="37">
        <f>IF([@TECHNICAL_FILE_ID]="","",((IF(INDEX(T_TECHNICAL_FILE[PACKAGING_CONFIGURATION_ID],[@ROW_INDEX])&lt;&gt;"",1,0))*50)+([@HAS_EXACTLY_ONE_SUBJECT]*20)+([@HAS_DOCUMENT]*30))</f>
        <v/>
      </c>
      <c r="J7" s="37">
        <f>IF([@TECHNICAL_FILE_ID]="","",IF([@COMPLETENESS_SCORE]=100,"COMPLETE","INCOMPLETE"))</f>
        <v/>
      </c>
    </row>
    <row r="8">
      <c r="A8" s="37" t="n">
        <v>7</v>
      </c>
      <c r="B8" s="37">
        <f>IFERROR(INDEX(T_TECHNICAL_FILE[TECHNICAL_FILE_ID],[@ROW_INDEX]),"")</f>
        <v/>
      </c>
      <c r="C8" s="37">
        <f>IFERROR(INDEX(T_TECHNICAL_FILE[TECHNICAL_FILE_CODE],[@ROW_INDEX]),"")</f>
        <v/>
      </c>
      <c r="D8" s="37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8" s="37">
        <f>IF([@TECHNICAL_FILE_ID]="","",IF([@SUBJECT_COUNT]=1,TRUE,FALSE))</f>
        <v/>
      </c>
      <c r="F8" s="37">
        <f>IF([@TECHNICAL_FILE_ID]="","",COUNTIF(T_DOCUMENT_LINK[TECHNICAL_FILE_ID],[@TECHNICAL_FILE_ID]))</f>
        <v/>
      </c>
      <c r="G8" s="37">
        <f>IF([@TECHNICAL_FILE_ID]="","",IF([@DOCUMENT_LINK_COUNT]&gt;0,TRUE,FALSE))</f>
        <v/>
      </c>
      <c r="H8" s="37">
        <f>IFERROR(INDEX(T_TECHNICAL_FILE[STATUS_ID],[@ROW_INDEX]),"")</f>
        <v/>
      </c>
      <c r="I8" s="37">
        <f>IF([@TECHNICAL_FILE_ID]="","",((IF(INDEX(T_TECHNICAL_FILE[PACKAGING_CONFIGURATION_ID],[@ROW_INDEX])&lt;&gt;"",1,0))*50)+([@HAS_EXACTLY_ONE_SUBJECT]*20)+([@HAS_DOCUMENT]*30))</f>
        <v/>
      </c>
      <c r="J8" s="37">
        <f>IF([@TECHNICAL_FILE_ID]="","",IF([@COMPLETENESS_SCORE]=100,"COMPLETE","INCOMPLETE"))</f>
        <v/>
      </c>
    </row>
    <row r="9">
      <c r="A9" s="37" t="n">
        <v>8</v>
      </c>
      <c r="B9" s="37">
        <f>IFERROR(INDEX(T_TECHNICAL_FILE[TECHNICAL_FILE_ID],[@ROW_INDEX]),"")</f>
        <v/>
      </c>
      <c r="C9" s="37">
        <f>IFERROR(INDEX(T_TECHNICAL_FILE[TECHNICAL_FILE_CODE],[@ROW_INDEX]),"")</f>
        <v/>
      </c>
      <c r="D9" s="37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9" s="37">
        <f>IF([@TECHNICAL_FILE_ID]="","",IF([@SUBJECT_COUNT]=1,TRUE,FALSE))</f>
        <v/>
      </c>
      <c r="F9" s="37">
        <f>IF([@TECHNICAL_FILE_ID]="","",COUNTIF(T_DOCUMENT_LINK[TECHNICAL_FILE_ID],[@TECHNICAL_FILE_ID]))</f>
        <v/>
      </c>
      <c r="G9" s="37">
        <f>IF([@TECHNICAL_FILE_ID]="","",IF([@DOCUMENT_LINK_COUNT]&gt;0,TRUE,FALSE))</f>
        <v/>
      </c>
      <c r="H9" s="37">
        <f>IFERROR(INDEX(T_TECHNICAL_FILE[STATUS_ID],[@ROW_INDEX]),"")</f>
        <v/>
      </c>
      <c r="I9" s="37">
        <f>IF([@TECHNICAL_FILE_ID]="","",((IF(INDEX(T_TECHNICAL_FILE[PACKAGING_CONFIGURATION_ID],[@ROW_INDEX])&lt;&gt;"",1,0))*50)+([@HAS_EXACTLY_ONE_SUBJECT]*20)+([@HAS_DOCUMENT]*30))</f>
        <v/>
      </c>
      <c r="J9" s="37">
        <f>IF([@TECHNICAL_FILE_ID]="","",IF([@COMPLETENESS_SCORE]=100,"COMPLETE","INCOMPLETE"))</f>
        <v/>
      </c>
    </row>
    <row r="10">
      <c r="A10" s="37" t="n">
        <v>9</v>
      </c>
      <c r="B10" s="37">
        <f>IFERROR(INDEX(T_TECHNICAL_FILE[TECHNICAL_FILE_ID],[@ROW_INDEX]),"")</f>
        <v/>
      </c>
      <c r="C10" s="37">
        <f>IFERROR(INDEX(T_TECHNICAL_FILE[TECHNICAL_FILE_CODE],[@ROW_INDEX]),"")</f>
        <v/>
      </c>
      <c r="D10" s="37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10" s="37">
        <f>IF([@TECHNICAL_FILE_ID]="","",IF([@SUBJECT_COUNT]=1,TRUE,FALSE))</f>
        <v/>
      </c>
      <c r="F10" s="37">
        <f>IF([@TECHNICAL_FILE_ID]="","",COUNTIF(T_DOCUMENT_LINK[TECHNICAL_FILE_ID],[@TECHNICAL_FILE_ID]))</f>
        <v/>
      </c>
      <c r="G10" s="37">
        <f>IF([@TECHNICAL_FILE_ID]="","",IF([@DOCUMENT_LINK_COUNT]&gt;0,TRUE,FALSE))</f>
        <v/>
      </c>
      <c r="H10" s="37">
        <f>IFERROR(INDEX(T_TECHNICAL_FILE[STATUS_ID],[@ROW_INDEX]),"")</f>
        <v/>
      </c>
      <c r="I10" s="37">
        <f>IF([@TECHNICAL_FILE_ID]="","",((IF(INDEX(T_TECHNICAL_FILE[PACKAGING_CONFIGURATION_ID],[@ROW_INDEX])&lt;&gt;"",1,0))*50)+([@HAS_EXACTLY_ONE_SUBJECT]*20)+([@HAS_DOCUMENT]*30))</f>
        <v/>
      </c>
      <c r="J10" s="37">
        <f>IF([@TECHNICAL_FILE_ID]="","",IF([@COMPLETENESS_SCORE]=100,"COMPLETE","INCOMPLETE"))</f>
        <v/>
      </c>
    </row>
    <row r="11">
      <c r="A11" s="37" t="n">
        <v>10</v>
      </c>
      <c r="B11" s="37">
        <f>IFERROR(INDEX(T_TECHNICAL_FILE[TECHNICAL_FILE_ID],[@ROW_INDEX]),"")</f>
        <v/>
      </c>
      <c r="C11" s="37">
        <f>IFERROR(INDEX(T_TECHNICAL_FILE[TECHNICAL_FILE_CODE],[@ROW_INDEX]),"")</f>
        <v/>
      </c>
      <c r="D11" s="37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11" s="37">
        <f>IF([@TECHNICAL_FILE_ID]="","",IF([@SUBJECT_COUNT]=1,TRUE,FALSE))</f>
        <v/>
      </c>
      <c r="F11" s="37">
        <f>IF([@TECHNICAL_FILE_ID]="","",COUNTIF(T_DOCUMENT_LINK[TECHNICAL_FILE_ID],[@TECHNICAL_FILE_ID]))</f>
        <v/>
      </c>
      <c r="G11" s="37">
        <f>IF([@TECHNICAL_FILE_ID]="","",IF([@DOCUMENT_LINK_COUNT]&gt;0,TRUE,FALSE))</f>
        <v/>
      </c>
      <c r="H11" s="37">
        <f>IFERROR(INDEX(T_TECHNICAL_FILE[STATUS_ID],[@ROW_INDEX]),"")</f>
        <v/>
      </c>
      <c r="I11" s="37">
        <f>IF([@TECHNICAL_FILE_ID]="","",((IF(INDEX(T_TECHNICAL_FILE[PACKAGING_CONFIGURATION_ID],[@ROW_INDEX])&lt;&gt;"",1,0))*50)+([@HAS_EXACTLY_ONE_SUBJECT]*20)+([@HAS_DOCUMENT]*30))</f>
        <v/>
      </c>
      <c r="J11" s="37">
        <f>IF([@TECHNICAL_FILE_ID]="","",IF([@COMPLETENESS_SCORE]=100,"COMPLETE","INCOMPLETE"))</f>
        <v/>
      </c>
    </row>
    <row r="12">
      <c r="A12" s="37" t="n">
        <v>11</v>
      </c>
      <c r="B12" s="37">
        <f>IFERROR(INDEX(T_TECHNICAL_FILE[TECHNICAL_FILE_ID],[@ROW_INDEX]),"")</f>
        <v/>
      </c>
      <c r="C12" s="37">
        <f>IFERROR(INDEX(T_TECHNICAL_FILE[TECHNICAL_FILE_CODE],[@ROW_INDEX]),"")</f>
        <v/>
      </c>
      <c r="D12" s="37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12" s="37">
        <f>IF([@TECHNICAL_FILE_ID]="","",IF([@SUBJECT_COUNT]=1,TRUE,FALSE))</f>
        <v/>
      </c>
      <c r="F12" s="37">
        <f>IF([@TECHNICAL_FILE_ID]="","",COUNTIF(T_DOCUMENT_LINK[TECHNICAL_FILE_ID],[@TECHNICAL_FILE_ID]))</f>
        <v/>
      </c>
      <c r="G12" s="37">
        <f>IF([@TECHNICAL_FILE_ID]="","",IF([@DOCUMENT_LINK_COUNT]&gt;0,TRUE,FALSE))</f>
        <v/>
      </c>
      <c r="H12" s="37">
        <f>IFERROR(INDEX(T_TECHNICAL_FILE[STATUS_ID],[@ROW_INDEX]),"")</f>
        <v/>
      </c>
      <c r="I12" s="37">
        <f>IF([@TECHNICAL_FILE_ID]="","",((IF(INDEX(T_TECHNICAL_FILE[PACKAGING_CONFIGURATION_ID],[@ROW_INDEX])&lt;&gt;"",1,0))*50)+([@HAS_EXACTLY_ONE_SUBJECT]*20)+([@HAS_DOCUMENT]*30))</f>
        <v/>
      </c>
      <c r="J12" s="37">
        <f>IF([@TECHNICAL_FILE_ID]="","",IF([@COMPLETENESS_SCORE]=100,"COMPLETE","INCOMPLETE"))</f>
        <v/>
      </c>
    </row>
    <row r="13">
      <c r="A13" s="37" t="n">
        <v>12</v>
      </c>
      <c r="B13" s="37">
        <f>IFERROR(INDEX(T_TECHNICAL_FILE[TECHNICAL_FILE_ID],[@ROW_INDEX]),"")</f>
        <v/>
      </c>
      <c r="C13" s="37">
        <f>IFERROR(INDEX(T_TECHNICAL_FILE[TECHNICAL_FILE_CODE],[@ROW_INDEX]),"")</f>
        <v/>
      </c>
      <c r="D13" s="37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13" s="37">
        <f>IF([@TECHNICAL_FILE_ID]="","",IF([@SUBJECT_COUNT]=1,TRUE,FALSE))</f>
        <v/>
      </c>
      <c r="F13" s="37">
        <f>IF([@TECHNICAL_FILE_ID]="","",COUNTIF(T_DOCUMENT_LINK[TECHNICAL_FILE_ID],[@TECHNICAL_FILE_ID]))</f>
        <v/>
      </c>
      <c r="G13" s="37">
        <f>IF([@TECHNICAL_FILE_ID]="","",IF([@DOCUMENT_LINK_COUNT]&gt;0,TRUE,FALSE))</f>
        <v/>
      </c>
      <c r="H13" s="37">
        <f>IFERROR(INDEX(T_TECHNICAL_FILE[STATUS_ID],[@ROW_INDEX]),"")</f>
        <v/>
      </c>
      <c r="I13" s="37">
        <f>IF([@TECHNICAL_FILE_ID]="","",((IF(INDEX(T_TECHNICAL_FILE[PACKAGING_CONFIGURATION_ID],[@ROW_INDEX])&lt;&gt;"",1,0))*50)+([@HAS_EXACTLY_ONE_SUBJECT]*20)+([@HAS_DOCUMENT]*30))</f>
        <v/>
      </c>
      <c r="J13" s="37">
        <f>IF([@TECHNICAL_FILE_ID]="","",IF([@COMPLETENESS_SCORE]=100,"COMPLETE","INCOMPLETE"))</f>
        <v/>
      </c>
    </row>
    <row r="14">
      <c r="A14" s="37" t="n">
        <v>13</v>
      </c>
      <c r="B14" s="37">
        <f>IFERROR(INDEX(T_TECHNICAL_FILE[TECHNICAL_FILE_ID],[@ROW_INDEX]),"")</f>
        <v/>
      </c>
      <c r="C14" s="37">
        <f>IFERROR(INDEX(T_TECHNICAL_FILE[TECHNICAL_FILE_CODE],[@ROW_INDEX]),"")</f>
        <v/>
      </c>
      <c r="D14" s="37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14" s="37">
        <f>IF([@TECHNICAL_FILE_ID]="","",IF([@SUBJECT_COUNT]=1,TRUE,FALSE))</f>
        <v/>
      </c>
      <c r="F14" s="37">
        <f>IF([@TECHNICAL_FILE_ID]="","",COUNTIF(T_DOCUMENT_LINK[TECHNICAL_FILE_ID],[@TECHNICAL_FILE_ID]))</f>
        <v/>
      </c>
      <c r="G14" s="37">
        <f>IF([@TECHNICAL_FILE_ID]="","",IF([@DOCUMENT_LINK_COUNT]&gt;0,TRUE,FALSE))</f>
        <v/>
      </c>
      <c r="H14" s="37">
        <f>IFERROR(INDEX(T_TECHNICAL_FILE[STATUS_ID],[@ROW_INDEX]),"")</f>
        <v/>
      </c>
      <c r="I14" s="37">
        <f>IF([@TECHNICAL_FILE_ID]="","",((IF(INDEX(T_TECHNICAL_FILE[PACKAGING_CONFIGURATION_ID],[@ROW_INDEX])&lt;&gt;"",1,0))*50)+([@HAS_EXACTLY_ONE_SUBJECT]*20)+([@HAS_DOCUMENT]*30))</f>
        <v/>
      </c>
      <c r="J14" s="37">
        <f>IF([@TECHNICAL_FILE_ID]="","",IF([@COMPLETENESS_SCORE]=100,"COMPLETE","INCOMPLETE"))</f>
        <v/>
      </c>
    </row>
    <row r="15">
      <c r="A15" s="37" t="n">
        <v>14</v>
      </c>
      <c r="B15" s="37">
        <f>IFERROR(INDEX(T_TECHNICAL_FILE[TECHNICAL_FILE_ID],[@ROW_INDEX]),"")</f>
        <v/>
      </c>
      <c r="C15" s="37">
        <f>IFERROR(INDEX(T_TECHNICAL_FILE[TECHNICAL_FILE_CODE],[@ROW_INDEX]),"")</f>
        <v/>
      </c>
      <c r="D15" s="37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15" s="37">
        <f>IF([@TECHNICAL_FILE_ID]="","",IF([@SUBJECT_COUNT]=1,TRUE,FALSE))</f>
        <v/>
      </c>
      <c r="F15" s="37">
        <f>IF([@TECHNICAL_FILE_ID]="","",COUNTIF(T_DOCUMENT_LINK[TECHNICAL_FILE_ID],[@TECHNICAL_FILE_ID]))</f>
        <v/>
      </c>
      <c r="G15" s="37">
        <f>IF([@TECHNICAL_FILE_ID]="","",IF([@DOCUMENT_LINK_COUNT]&gt;0,TRUE,FALSE))</f>
        <v/>
      </c>
      <c r="H15" s="37">
        <f>IFERROR(INDEX(T_TECHNICAL_FILE[STATUS_ID],[@ROW_INDEX]),"")</f>
        <v/>
      </c>
      <c r="I15" s="37">
        <f>IF([@TECHNICAL_FILE_ID]="","",((IF(INDEX(T_TECHNICAL_FILE[PACKAGING_CONFIGURATION_ID],[@ROW_INDEX])&lt;&gt;"",1,0))*50)+([@HAS_EXACTLY_ONE_SUBJECT]*20)+([@HAS_DOCUMENT]*30))</f>
        <v/>
      </c>
      <c r="J15" s="37">
        <f>IF([@TECHNICAL_FILE_ID]="","",IF([@COMPLETENESS_SCORE]=100,"COMPLETE","INCOMPLETE"))</f>
        <v/>
      </c>
    </row>
    <row r="16">
      <c r="A16" s="37" t="n">
        <v>15</v>
      </c>
      <c r="B16" s="37">
        <f>IFERROR(INDEX(T_TECHNICAL_FILE[TECHNICAL_FILE_ID],[@ROW_INDEX]),"")</f>
        <v/>
      </c>
      <c r="C16" s="37">
        <f>IFERROR(INDEX(T_TECHNICAL_FILE[TECHNICAL_FILE_CODE],[@ROW_INDEX]),"")</f>
        <v/>
      </c>
      <c r="D16" s="37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16" s="37">
        <f>IF([@TECHNICAL_FILE_ID]="","",IF([@SUBJECT_COUNT]=1,TRUE,FALSE))</f>
        <v/>
      </c>
      <c r="F16" s="37">
        <f>IF([@TECHNICAL_FILE_ID]="","",COUNTIF(T_DOCUMENT_LINK[TECHNICAL_FILE_ID],[@TECHNICAL_FILE_ID]))</f>
        <v/>
      </c>
      <c r="G16" s="37">
        <f>IF([@TECHNICAL_FILE_ID]="","",IF([@DOCUMENT_LINK_COUNT]&gt;0,TRUE,FALSE))</f>
        <v/>
      </c>
      <c r="H16" s="37">
        <f>IFERROR(INDEX(T_TECHNICAL_FILE[STATUS_ID],[@ROW_INDEX]),"")</f>
        <v/>
      </c>
      <c r="I16" s="37">
        <f>IF([@TECHNICAL_FILE_ID]="","",((IF(INDEX(T_TECHNICAL_FILE[PACKAGING_CONFIGURATION_ID],[@ROW_INDEX])&lt;&gt;"",1,0))*50)+([@HAS_EXACTLY_ONE_SUBJECT]*20)+([@HAS_DOCUMENT]*30))</f>
        <v/>
      </c>
      <c r="J16" s="37">
        <f>IF([@TECHNICAL_FILE_ID]="","",IF([@COMPLETENESS_SCORE]=100,"COMPLETE","INCOMPLETE"))</f>
        <v/>
      </c>
    </row>
    <row r="17">
      <c r="A17" s="37" t="n">
        <v>16</v>
      </c>
      <c r="B17" s="37">
        <f>IFERROR(INDEX(T_TECHNICAL_FILE[TECHNICAL_FILE_ID],[@ROW_INDEX]),"")</f>
        <v/>
      </c>
      <c r="C17" s="37">
        <f>IFERROR(INDEX(T_TECHNICAL_FILE[TECHNICAL_FILE_CODE],[@ROW_INDEX]),"")</f>
        <v/>
      </c>
      <c r="D17" s="37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17" s="37">
        <f>IF([@TECHNICAL_FILE_ID]="","",IF([@SUBJECT_COUNT]=1,TRUE,FALSE))</f>
        <v/>
      </c>
      <c r="F17" s="37">
        <f>IF([@TECHNICAL_FILE_ID]="","",COUNTIF(T_DOCUMENT_LINK[TECHNICAL_FILE_ID],[@TECHNICAL_FILE_ID]))</f>
        <v/>
      </c>
      <c r="G17" s="37">
        <f>IF([@TECHNICAL_FILE_ID]="","",IF([@DOCUMENT_LINK_COUNT]&gt;0,TRUE,FALSE))</f>
        <v/>
      </c>
      <c r="H17" s="37">
        <f>IFERROR(INDEX(T_TECHNICAL_FILE[STATUS_ID],[@ROW_INDEX]),"")</f>
        <v/>
      </c>
      <c r="I17" s="37">
        <f>IF([@TECHNICAL_FILE_ID]="","",((IF(INDEX(T_TECHNICAL_FILE[PACKAGING_CONFIGURATION_ID],[@ROW_INDEX])&lt;&gt;"",1,0))*50)+([@HAS_EXACTLY_ONE_SUBJECT]*20)+([@HAS_DOCUMENT]*30))</f>
        <v/>
      </c>
      <c r="J17" s="37">
        <f>IF([@TECHNICAL_FILE_ID]="","",IF([@COMPLETENESS_SCORE]=100,"COMPLETE","INCOMPLETE"))</f>
        <v/>
      </c>
    </row>
    <row r="18">
      <c r="A18" s="37" t="n">
        <v>17</v>
      </c>
      <c r="B18" s="37">
        <f>IFERROR(INDEX(T_TECHNICAL_FILE[TECHNICAL_FILE_ID],[@ROW_INDEX]),"")</f>
        <v/>
      </c>
      <c r="C18" s="37">
        <f>IFERROR(INDEX(T_TECHNICAL_FILE[TECHNICAL_FILE_CODE],[@ROW_INDEX]),"")</f>
        <v/>
      </c>
      <c r="D18" s="37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18" s="37">
        <f>IF([@TECHNICAL_FILE_ID]="","",IF([@SUBJECT_COUNT]=1,TRUE,FALSE))</f>
        <v/>
      </c>
      <c r="F18" s="37">
        <f>IF([@TECHNICAL_FILE_ID]="","",COUNTIF(T_DOCUMENT_LINK[TECHNICAL_FILE_ID],[@TECHNICAL_FILE_ID]))</f>
        <v/>
      </c>
      <c r="G18" s="37">
        <f>IF([@TECHNICAL_FILE_ID]="","",IF([@DOCUMENT_LINK_COUNT]&gt;0,TRUE,FALSE))</f>
        <v/>
      </c>
      <c r="H18" s="37">
        <f>IFERROR(INDEX(T_TECHNICAL_FILE[STATUS_ID],[@ROW_INDEX]),"")</f>
        <v/>
      </c>
      <c r="I18" s="37">
        <f>IF([@TECHNICAL_FILE_ID]="","",((IF(INDEX(T_TECHNICAL_FILE[PACKAGING_CONFIGURATION_ID],[@ROW_INDEX])&lt;&gt;"",1,0))*50)+([@HAS_EXACTLY_ONE_SUBJECT]*20)+([@HAS_DOCUMENT]*30))</f>
        <v/>
      </c>
      <c r="J18" s="37">
        <f>IF([@TECHNICAL_FILE_ID]="","",IF([@COMPLETENESS_SCORE]=100,"COMPLETE","INCOMPLETE"))</f>
        <v/>
      </c>
    </row>
    <row r="19">
      <c r="A19" s="37" t="n">
        <v>18</v>
      </c>
      <c r="B19" s="37">
        <f>IFERROR(INDEX(T_TECHNICAL_FILE[TECHNICAL_FILE_ID],[@ROW_INDEX]),"")</f>
        <v/>
      </c>
      <c r="C19" s="37">
        <f>IFERROR(INDEX(T_TECHNICAL_FILE[TECHNICAL_FILE_CODE],[@ROW_INDEX]),"")</f>
        <v/>
      </c>
      <c r="D19" s="37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19" s="37">
        <f>IF([@TECHNICAL_FILE_ID]="","",IF([@SUBJECT_COUNT]=1,TRUE,FALSE))</f>
        <v/>
      </c>
      <c r="F19" s="37">
        <f>IF([@TECHNICAL_FILE_ID]="","",COUNTIF(T_DOCUMENT_LINK[TECHNICAL_FILE_ID],[@TECHNICAL_FILE_ID]))</f>
        <v/>
      </c>
      <c r="G19" s="37">
        <f>IF([@TECHNICAL_FILE_ID]="","",IF([@DOCUMENT_LINK_COUNT]&gt;0,TRUE,FALSE))</f>
        <v/>
      </c>
      <c r="H19" s="37">
        <f>IFERROR(INDEX(T_TECHNICAL_FILE[STATUS_ID],[@ROW_INDEX]),"")</f>
        <v/>
      </c>
      <c r="I19" s="37">
        <f>IF([@TECHNICAL_FILE_ID]="","",((IF(INDEX(T_TECHNICAL_FILE[PACKAGING_CONFIGURATION_ID],[@ROW_INDEX])&lt;&gt;"",1,0))*50)+([@HAS_EXACTLY_ONE_SUBJECT]*20)+([@HAS_DOCUMENT]*30))</f>
        <v/>
      </c>
      <c r="J19" s="37">
        <f>IF([@TECHNICAL_FILE_ID]="","",IF([@COMPLETENESS_SCORE]=100,"COMPLETE","INCOMPLETE"))</f>
        <v/>
      </c>
    </row>
    <row r="20">
      <c r="A20" s="37" t="n">
        <v>19</v>
      </c>
      <c r="B20" s="37">
        <f>IFERROR(INDEX(T_TECHNICAL_FILE[TECHNICAL_FILE_ID],[@ROW_INDEX]),"")</f>
        <v/>
      </c>
      <c r="C20" s="37">
        <f>IFERROR(INDEX(T_TECHNICAL_FILE[TECHNICAL_FILE_CODE],[@ROW_INDEX]),"")</f>
        <v/>
      </c>
      <c r="D20" s="37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20" s="37">
        <f>IF([@TECHNICAL_FILE_ID]="","",IF([@SUBJECT_COUNT]=1,TRUE,FALSE))</f>
        <v/>
      </c>
      <c r="F20" s="37">
        <f>IF([@TECHNICAL_FILE_ID]="","",COUNTIF(T_DOCUMENT_LINK[TECHNICAL_FILE_ID],[@TECHNICAL_FILE_ID]))</f>
        <v/>
      </c>
      <c r="G20" s="37">
        <f>IF([@TECHNICAL_FILE_ID]="","",IF([@DOCUMENT_LINK_COUNT]&gt;0,TRUE,FALSE))</f>
        <v/>
      </c>
      <c r="H20" s="37">
        <f>IFERROR(INDEX(T_TECHNICAL_FILE[STATUS_ID],[@ROW_INDEX]),"")</f>
        <v/>
      </c>
      <c r="I20" s="37">
        <f>IF([@TECHNICAL_FILE_ID]="","",((IF(INDEX(T_TECHNICAL_FILE[PACKAGING_CONFIGURATION_ID],[@ROW_INDEX])&lt;&gt;"",1,0))*50)+([@HAS_EXACTLY_ONE_SUBJECT]*20)+([@HAS_DOCUMENT]*30))</f>
        <v/>
      </c>
      <c r="J20" s="37">
        <f>IF([@TECHNICAL_FILE_ID]="","",IF([@COMPLETENESS_SCORE]=100,"COMPLETE","INCOMPLETE"))</f>
        <v/>
      </c>
    </row>
    <row r="21">
      <c r="A21" s="37" t="n">
        <v>20</v>
      </c>
      <c r="B21" s="37">
        <f>IFERROR(INDEX(T_TECHNICAL_FILE[TECHNICAL_FILE_ID],[@ROW_INDEX]),"")</f>
        <v/>
      </c>
      <c r="C21" s="37">
        <f>IFERROR(INDEX(T_TECHNICAL_FILE[TECHNICAL_FILE_CODE],[@ROW_INDEX]),"")</f>
        <v/>
      </c>
      <c r="D21" s="37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21" s="37">
        <f>IF([@TECHNICAL_FILE_ID]="","",IF([@SUBJECT_COUNT]=1,TRUE,FALSE))</f>
        <v/>
      </c>
      <c r="F21" s="37">
        <f>IF([@TECHNICAL_FILE_ID]="","",COUNTIF(T_DOCUMENT_LINK[TECHNICAL_FILE_ID],[@TECHNICAL_FILE_ID]))</f>
        <v/>
      </c>
      <c r="G21" s="37">
        <f>IF([@TECHNICAL_FILE_ID]="","",IF([@DOCUMENT_LINK_COUNT]&gt;0,TRUE,FALSE))</f>
        <v/>
      </c>
      <c r="H21" s="37">
        <f>IFERROR(INDEX(T_TECHNICAL_FILE[STATUS_ID],[@ROW_INDEX]),"")</f>
        <v/>
      </c>
      <c r="I21" s="37">
        <f>IF([@TECHNICAL_FILE_ID]="","",((IF(INDEX(T_TECHNICAL_FILE[PACKAGING_CONFIGURATION_ID],[@ROW_INDEX])&lt;&gt;"",1,0))*50)+([@HAS_EXACTLY_ONE_SUBJECT]*20)+([@HAS_DOCUMENT]*30))</f>
        <v/>
      </c>
      <c r="J21" s="37">
        <f>IF([@TECHNICAL_FILE_ID]="","",IF([@COMPLETENESS_SCORE]=100,"COMPLETE","INCOMPLETE"))</f>
        <v/>
      </c>
    </row>
    <row r="22">
      <c r="A22" s="37" t="n">
        <v>21</v>
      </c>
      <c r="B22" s="37">
        <f>IFERROR(INDEX(T_TECHNICAL_FILE[TECHNICAL_FILE_ID],[@ROW_INDEX]),"")</f>
        <v/>
      </c>
      <c r="C22" s="37">
        <f>IFERROR(INDEX(T_TECHNICAL_FILE[TECHNICAL_FILE_CODE],[@ROW_INDEX]),"")</f>
        <v/>
      </c>
      <c r="D22" s="37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22" s="37">
        <f>IF([@TECHNICAL_FILE_ID]="","",IF([@SUBJECT_COUNT]=1,TRUE,FALSE))</f>
        <v/>
      </c>
      <c r="F22" s="37">
        <f>IF([@TECHNICAL_FILE_ID]="","",COUNTIF(T_DOCUMENT_LINK[TECHNICAL_FILE_ID],[@TECHNICAL_FILE_ID]))</f>
        <v/>
      </c>
      <c r="G22" s="37">
        <f>IF([@TECHNICAL_FILE_ID]="","",IF([@DOCUMENT_LINK_COUNT]&gt;0,TRUE,FALSE))</f>
        <v/>
      </c>
      <c r="H22" s="37">
        <f>IFERROR(INDEX(T_TECHNICAL_FILE[STATUS_ID],[@ROW_INDEX]),"")</f>
        <v/>
      </c>
      <c r="I22" s="37">
        <f>IF([@TECHNICAL_FILE_ID]="","",((IF(INDEX(T_TECHNICAL_FILE[PACKAGING_CONFIGURATION_ID],[@ROW_INDEX])&lt;&gt;"",1,0))*50)+([@HAS_EXACTLY_ONE_SUBJECT]*20)+([@HAS_DOCUMENT]*30))</f>
        <v/>
      </c>
      <c r="J22" s="37">
        <f>IF([@TECHNICAL_FILE_ID]="","",IF([@COMPLETENESS_SCORE]=100,"COMPLETE","INCOMPLETE"))</f>
        <v/>
      </c>
    </row>
    <row r="23">
      <c r="A23" s="37" t="n">
        <v>22</v>
      </c>
      <c r="B23" s="37">
        <f>IFERROR(INDEX(T_TECHNICAL_FILE[TECHNICAL_FILE_ID],[@ROW_INDEX]),"")</f>
        <v/>
      </c>
      <c r="C23" s="37">
        <f>IFERROR(INDEX(T_TECHNICAL_FILE[TECHNICAL_FILE_CODE],[@ROW_INDEX]),"")</f>
        <v/>
      </c>
      <c r="D23" s="37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23" s="37">
        <f>IF([@TECHNICAL_FILE_ID]="","",IF([@SUBJECT_COUNT]=1,TRUE,FALSE))</f>
        <v/>
      </c>
      <c r="F23" s="37">
        <f>IF([@TECHNICAL_FILE_ID]="","",COUNTIF(T_DOCUMENT_LINK[TECHNICAL_FILE_ID],[@TECHNICAL_FILE_ID]))</f>
        <v/>
      </c>
      <c r="G23" s="37">
        <f>IF([@TECHNICAL_FILE_ID]="","",IF([@DOCUMENT_LINK_COUNT]&gt;0,TRUE,FALSE))</f>
        <v/>
      </c>
      <c r="H23" s="37">
        <f>IFERROR(INDEX(T_TECHNICAL_FILE[STATUS_ID],[@ROW_INDEX]),"")</f>
        <v/>
      </c>
      <c r="I23" s="37">
        <f>IF([@TECHNICAL_FILE_ID]="","",((IF(INDEX(T_TECHNICAL_FILE[PACKAGING_CONFIGURATION_ID],[@ROW_INDEX])&lt;&gt;"",1,0))*50)+([@HAS_EXACTLY_ONE_SUBJECT]*20)+([@HAS_DOCUMENT]*30))</f>
        <v/>
      </c>
      <c r="J23" s="37">
        <f>IF([@TECHNICAL_FILE_ID]="","",IF([@COMPLETENESS_SCORE]=100,"COMPLETE","INCOMPLETE"))</f>
        <v/>
      </c>
    </row>
    <row r="24">
      <c r="A24" s="37" t="n">
        <v>23</v>
      </c>
      <c r="B24" s="37">
        <f>IFERROR(INDEX(T_TECHNICAL_FILE[TECHNICAL_FILE_ID],[@ROW_INDEX]),"")</f>
        <v/>
      </c>
      <c r="C24" s="37">
        <f>IFERROR(INDEX(T_TECHNICAL_FILE[TECHNICAL_FILE_CODE],[@ROW_INDEX]),"")</f>
        <v/>
      </c>
      <c r="D24" s="37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24" s="37">
        <f>IF([@TECHNICAL_FILE_ID]="","",IF([@SUBJECT_COUNT]=1,TRUE,FALSE))</f>
        <v/>
      </c>
      <c r="F24" s="37">
        <f>IF([@TECHNICAL_FILE_ID]="","",COUNTIF(T_DOCUMENT_LINK[TECHNICAL_FILE_ID],[@TECHNICAL_FILE_ID]))</f>
        <v/>
      </c>
      <c r="G24" s="37">
        <f>IF([@TECHNICAL_FILE_ID]="","",IF([@DOCUMENT_LINK_COUNT]&gt;0,TRUE,FALSE))</f>
        <v/>
      </c>
      <c r="H24" s="37">
        <f>IFERROR(INDEX(T_TECHNICAL_FILE[STATUS_ID],[@ROW_INDEX]),"")</f>
        <v/>
      </c>
      <c r="I24" s="37">
        <f>IF([@TECHNICAL_FILE_ID]="","",((IF(INDEX(T_TECHNICAL_FILE[PACKAGING_CONFIGURATION_ID],[@ROW_INDEX])&lt;&gt;"",1,0))*50)+([@HAS_EXACTLY_ONE_SUBJECT]*20)+([@HAS_DOCUMENT]*30))</f>
        <v/>
      </c>
      <c r="J24" s="37">
        <f>IF([@TECHNICAL_FILE_ID]="","",IF([@COMPLETENESS_SCORE]=100,"COMPLETE","INCOMPLETE"))</f>
        <v/>
      </c>
    </row>
    <row r="25">
      <c r="A25" s="37" t="n">
        <v>24</v>
      </c>
      <c r="B25" s="37">
        <f>IFERROR(INDEX(T_TECHNICAL_FILE[TECHNICAL_FILE_ID],[@ROW_INDEX]),"")</f>
        <v/>
      </c>
      <c r="C25" s="37">
        <f>IFERROR(INDEX(T_TECHNICAL_FILE[TECHNICAL_FILE_CODE],[@ROW_INDEX]),"")</f>
        <v/>
      </c>
      <c r="D25" s="37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25" s="37">
        <f>IF([@TECHNICAL_FILE_ID]="","",IF([@SUBJECT_COUNT]=1,TRUE,FALSE))</f>
        <v/>
      </c>
      <c r="F25" s="37">
        <f>IF([@TECHNICAL_FILE_ID]="","",COUNTIF(T_DOCUMENT_LINK[TECHNICAL_FILE_ID],[@TECHNICAL_FILE_ID]))</f>
        <v/>
      </c>
      <c r="G25" s="37">
        <f>IF([@TECHNICAL_FILE_ID]="","",IF([@DOCUMENT_LINK_COUNT]&gt;0,TRUE,FALSE))</f>
        <v/>
      </c>
      <c r="H25" s="37">
        <f>IFERROR(INDEX(T_TECHNICAL_FILE[STATUS_ID],[@ROW_INDEX]),"")</f>
        <v/>
      </c>
      <c r="I25" s="37">
        <f>IF([@TECHNICAL_FILE_ID]="","",((IF(INDEX(T_TECHNICAL_FILE[PACKAGING_CONFIGURATION_ID],[@ROW_INDEX])&lt;&gt;"",1,0))*50)+([@HAS_EXACTLY_ONE_SUBJECT]*20)+([@HAS_DOCUMENT]*30))</f>
        <v/>
      </c>
      <c r="J25" s="37">
        <f>IF([@TECHNICAL_FILE_ID]="","",IF([@COMPLETENESS_SCORE]=100,"COMPLETE","INCOMPLETE"))</f>
        <v/>
      </c>
    </row>
    <row r="26">
      <c r="A26" s="37" t="n">
        <v>25</v>
      </c>
      <c r="B26" s="37">
        <f>IFERROR(INDEX(T_TECHNICAL_FILE[TECHNICAL_FILE_ID],[@ROW_INDEX]),"")</f>
        <v/>
      </c>
      <c r="C26" s="37">
        <f>IFERROR(INDEX(T_TECHNICAL_FILE[TECHNICAL_FILE_CODE],[@ROW_INDEX]),"")</f>
        <v/>
      </c>
      <c r="D26" s="37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26" s="37">
        <f>IF([@TECHNICAL_FILE_ID]="","",IF([@SUBJECT_COUNT]=1,TRUE,FALSE))</f>
        <v/>
      </c>
      <c r="F26" s="37">
        <f>IF([@TECHNICAL_FILE_ID]="","",COUNTIF(T_DOCUMENT_LINK[TECHNICAL_FILE_ID],[@TECHNICAL_FILE_ID]))</f>
        <v/>
      </c>
      <c r="G26" s="37">
        <f>IF([@TECHNICAL_FILE_ID]="","",IF([@DOCUMENT_LINK_COUNT]&gt;0,TRUE,FALSE))</f>
        <v/>
      </c>
      <c r="H26" s="37">
        <f>IFERROR(INDEX(T_TECHNICAL_FILE[STATUS_ID],[@ROW_INDEX]),"")</f>
        <v/>
      </c>
      <c r="I26" s="37">
        <f>IF([@TECHNICAL_FILE_ID]="","",((IF(INDEX(T_TECHNICAL_FILE[PACKAGING_CONFIGURATION_ID],[@ROW_INDEX])&lt;&gt;"",1,0))*50)+([@HAS_EXACTLY_ONE_SUBJECT]*20)+([@HAS_DOCUMENT]*30))</f>
        <v/>
      </c>
      <c r="J26" s="37">
        <f>IF([@TECHNICAL_FILE_ID]="","",IF([@COMPLETENESS_SCORE]=100,"COMPLETE","INCOMPLETE"))</f>
        <v/>
      </c>
    </row>
    <row r="27">
      <c r="A27" s="37" t="n">
        <v>26</v>
      </c>
      <c r="B27" s="37">
        <f>IFERROR(INDEX(T_TECHNICAL_FILE[TECHNICAL_FILE_ID],[@ROW_INDEX]),"")</f>
        <v/>
      </c>
      <c r="C27" s="37">
        <f>IFERROR(INDEX(T_TECHNICAL_FILE[TECHNICAL_FILE_CODE],[@ROW_INDEX]),"")</f>
        <v/>
      </c>
      <c r="D27" s="37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27" s="37">
        <f>IF([@TECHNICAL_FILE_ID]="","",IF([@SUBJECT_COUNT]=1,TRUE,FALSE))</f>
        <v/>
      </c>
      <c r="F27" s="37">
        <f>IF([@TECHNICAL_FILE_ID]="","",COUNTIF(T_DOCUMENT_LINK[TECHNICAL_FILE_ID],[@TECHNICAL_FILE_ID]))</f>
        <v/>
      </c>
      <c r="G27" s="37">
        <f>IF([@TECHNICAL_FILE_ID]="","",IF([@DOCUMENT_LINK_COUNT]&gt;0,TRUE,FALSE))</f>
        <v/>
      </c>
      <c r="H27" s="37">
        <f>IFERROR(INDEX(T_TECHNICAL_FILE[STATUS_ID],[@ROW_INDEX]),"")</f>
        <v/>
      </c>
      <c r="I27" s="37">
        <f>IF([@TECHNICAL_FILE_ID]="","",((IF(INDEX(T_TECHNICAL_FILE[PACKAGING_CONFIGURATION_ID],[@ROW_INDEX])&lt;&gt;"",1,0))*50)+([@HAS_EXACTLY_ONE_SUBJECT]*20)+([@HAS_DOCUMENT]*30))</f>
        <v/>
      </c>
      <c r="J27" s="37">
        <f>IF([@TECHNICAL_FILE_ID]="","",IF([@COMPLETENESS_SCORE]=100,"COMPLETE","INCOMPLETE"))</f>
        <v/>
      </c>
    </row>
    <row r="28">
      <c r="A28" s="37" t="n">
        <v>27</v>
      </c>
      <c r="B28" s="37">
        <f>IFERROR(INDEX(T_TECHNICAL_FILE[TECHNICAL_FILE_ID],[@ROW_INDEX]),"")</f>
        <v/>
      </c>
      <c r="C28" s="37">
        <f>IFERROR(INDEX(T_TECHNICAL_FILE[TECHNICAL_FILE_CODE],[@ROW_INDEX]),"")</f>
        <v/>
      </c>
      <c r="D28" s="37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28" s="37">
        <f>IF([@TECHNICAL_FILE_ID]="","",IF([@SUBJECT_COUNT]=1,TRUE,FALSE))</f>
        <v/>
      </c>
      <c r="F28" s="37">
        <f>IF([@TECHNICAL_FILE_ID]="","",COUNTIF(T_DOCUMENT_LINK[TECHNICAL_FILE_ID],[@TECHNICAL_FILE_ID]))</f>
        <v/>
      </c>
      <c r="G28" s="37">
        <f>IF([@TECHNICAL_FILE_ID]="","",IF([@DOCUMENT_LINK_COUNT]&gt;0,TRUE,FALSE))</f>
        <v/>
      </c>
      <c r="H28" s="37">
        <f>IFERROR(INDEX(T_TECHNICAL_FILE[STATUS_ID],[@ROW_INDEX]),"")</f>
        <v/>
      </c>
      <c r="I28" s="37">
        <f>IF([@TECHNICAL_FILE_ID]="","",((IF(INDEX(T_TECHNICAL_FILE[PACKAGING_CONFIGURATION_ID],[@ROW_INDEX])&lt;&gt;"",1,0))*50)+([@HAS_EXACTLY_ONE_SUBJECT]*20)+([@HAS_DOCUMENT]*30))</f>
        <v/>
      </c>
      <c r="J28" s="37">
        <f>IF([@TECHNICAL_FILE_ID]="","",IF([@COMPLETENESS_SCORE]=100,"COMPLETE","INCOMPLETE"))</f>
        <v/>
      </c>
    </row>
    <row r="29">
      <c r="A29" s="37" t="n">
        <v>28</v>
      </c>
      <c r="B29" s="37">
        <f>IFERROR(INDEX(T_TECHNICAL_FILE[TECHNICAL_FILE_ID],[@ROW_INDEX]),"")</f>
        <v/>
      </c>
      <c r="C29" s="37">
        <f>IFERROR(INDEX(T_TECHNICAL_FILE[TECHNICAL_FILE_CODE],[@ROW_INDEX]),"")</f>
        <v/>
      </c>
      <c r="D29" s="37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29" s="37">
        <f>IF([@TECHNICAL_FILE_ID]="","",IF([@SUBJECT_COUNT]=1,TRUE,FALSE))</f>
        <v/>
      </c>
      <c r="F29" s="37">
        <f>IF([@TECHNICAL_FILE_ID]="","",COUNTIF(T_DOCUMENT_LINK[TECHNICAL_FILE_ID],[@TECHNICAL_FILE_ID]))</f>
        <v/>
      </c>
      <c r="G29" s="37">
        <f>IF([@TECHNICAL_FILE_ID]="","",IF([@DOCUMENT_LINK_COUNT]&gt;0,TRUE,FALSE))</f>
        <v/>
      </c>
      <c r="H29" s="37">
        <f>IFERROR(INDEX(T_TECHNICAL_FILE[STATUS_ID],[@ROW_INDEX]),"")</f>
        <v/>
      </c>
      <c r="I29" s="37">
        <f>IF([@TECHNICAL_FILE_ID]="","",((IF(INDEX(T_TECHNICAL_FILE[PACKAGING_CONFIGURATION_ID],[@ROW_INDEX])&lt;&gt;"",1,0))*50)+([@HAS_EXACTLY_ONE_SUBJECT]*20)+([@HAS_DOCUMENT]*30))</f>
        <v/>
      </c>
      <c r="J29" s="37">
        <f>IF([@TECHNICAL_FILE_ID]="","",IF([@COMPLETENESS_SCORE]=100,"COMPLETE","INCOMPLETE"))</f>
        <v/>
      </c>
    </row>
    <row r="30">
      <c r="A30" s="37" t="n">
        <v>29</v>
      </c>
      <c r="B30" s="37">
        <f>IFERROR(INDEX(T_TECHNICAL_FILE[TECHNICAL_FILE_ID],[@ROW_INDEX]),"")</f>
        <v/>
      </c>
      <c r="C30" s="37">
        <f>IFERROR(INDEX(T_TECHNICAL_FILE[TECHNICAL_FILE_CODE],[@ROW_INDEX]),"")</f>
        <v/>
      </c>
      <c r="D30" s="37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30" s="37">
        <f>IF([@TECHNICAL_FILE_ID]="","",IF([@SUBJECT_COUNT]=1,TRUE,FALSE))</f>
        <v/>
      </c>
      <c r="F30" s="37">
        <f>IF([@TECHNICAL_FILE_ID]="","",COUNTIF(T_DOCUMENT_LINK[TECHNICAL_FILE_ID],[@TECHNICAL_FILE_ID]))</f>
        <v/>
      </c>
      <c r="G30" s="37">
        <f>IF([@TECHNICAL_FILE_ID]="","",IF([@DOCUMENT_LINK_COUNT]&gt;0,TRUE,FALSE))</f>
        <v/>
      </c>
      <c r="H30" s="37">
        <f>IFERROR(INDEX(T_TECHNICAL_FILE[STATUS_ID],[@ROW_INDEX]),"")</f>
        <v/>
      </c>
      <c r="I30" s="37">
        <f>IF([@TECHNICAL_FILE_ID]="","",((IF(INDEX(T_TECHNICAL_FILE[PACKAGING_CONFIGURATION_ID],[@ROW_INDEX])&lt;&gt;"",1,0))*50)+([@HAS_EXACTLY_ONE_SUBJECT]*20)+([@HAS_DOCUMENT]*30))</f>
        <v/>
      </c>
      <c r="J30" s="37">
        <f>IF([@TECHNICAL_FILE_ID]="","",IF([@COMPLETENESS_SCORE]=100,"COMPLETE","INCOMPLETE"))</f>
        <v/>
      </c>
    </row>
    <row r="31">
      <c r="A31" s="37" t="n">
        <v>30</v>
      </c>
      <c r="B31" s="37">
        <f>IFERROR(INDEX(T_TECHNICAL_FILE[TECHNICAL_FILE_ID],[@ROW_INDEX]),"")</f>
        <v/>
      </c>
      <c r="C31" s="37">
        <f>IFERROR(INDEX(T_TECHNICAL_FILE[TECHNICAL_FILE_CODE],[@ROW_INDEX]),"")</f>
        <v/>
      </c>
      <c r="D31" s="37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31" s="37">
        <f>IF([@TECHNICAL_FILE_ID]="","",IF([@SUBJECT_COUNT]=1,TRUE,FALSE))</f>
        <v/>
      </c>
      <c r="F31" s="37">
        <f>IF([@TECHNICAL_FILE_ID]="","",COUNTIF(T_DOCUMENT_LINK[TECHNICAL_FILE_ID],[@TECHNICAL_FILE_ID]))</f>
        <v/>
      </c>
      <c r="G31" s="37">
        <f>IF([@TECHNICAL_FILE_ID]="","",IF([@DOCUMENT_LINK_COUNT]&gt;0,TRUE,FALSE))</f>
        <v/>
      </c>
      <c r="H31" s="37">
        <f>IFERROR(INDEX(T_TECHNICAL_FILE[STATUS_ID],[@ROW_INDEX]),"")</f>
        <v/>
      </c>
      <c r="I31" s="37">
        <f>IF([@TECHNICAL_FILE_ID]="","",((IF(INDEX(T_TECHNICAL_FILE[PACKAGING_CONFIGURATION_ID],[@ROW_INDEX])&lt;&gt;"",1,0))*50)+([@HAS_EXACTLY_ONE_SUBJECT]*20)+([@HAS_DOCUMENT]*30))</f>
        <v/>
      </c>
      <c r="J31" s="37">
        <f>IF([@TECHNICAL_FILE_ID]="","",IF([@COMPLETENESS_SCORE]=100,"COMPLETE","INCOMPLETE"))</f>
        <v/>
      </c>
    </row>
    <row r="32">
      <c r="A32" s="37" t="n">
        <v>31</v>
      </c>
      <c r="B32" s="37">
        <f>IFERROR(INDEX(T_TECHNICAL_FILE[TECHNICAL_FILE_ID],[@ROW_INDEX]),"")</f>
        <v/>
      </c>
      <c r="C32" s="37">
        <f>IFERROR(INDEX(T_TECHNICAL_FILE[TECHNICAL_FILE_CODE],[@ROW_INDEX]),"")</f>
        <v/>
      </c>
      <c r="D32" s="37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32" s="37">
        <f>IF([@TECHNICAL_FILE_ID]="","",IF([@SUBJECT_COUNT]=1,TRUE,FALSE))</f>
        <v/>
      </c>
      <c r="F32" s="37">
        <f>IF([@TECHNICAL_FILE_ID]="","",COUNTIF(T_DOCUMENT_LINK[TECHNICAL_FILE_ID],[@TECHNICAL_FILE_ID]))</f>
        <v/>
      </c>
      <c r="G32" s="37">
        <f>IF([@TECHNICAL_FILE_ID]="","",IF([@DOCUMENT_LINK_COUNT]&gt;0,TRUE,FALSE))</f>
        <v/>
      </c>
      <c r="H32" s="37">
        <f>IFERROR(INDEX(T_TECHNICAL_FILE[STATUS_ID],[@ROW_INDEX]),"")</f>
        <v/>
      </c>
      <c r="I32" s="37">
        <f>IF([@TECHNICAL_FILE_ID]="","",((IF(INDEX(T_TECHNICAL_FILE[PACKAGING_CONFIGURATION_ID],[@ROW_INDEX])&lt;&gt;"",1,0))*50)+([@HAS_EXACTLY_ONE_SUBJECT]*20)+([@HAS_DOCUMENT]*30))</f>
        <v/>
      </c>
      <c r="J32" s="37">
        <f>IF([@TECHNICAL_FILE_ID]="","",IF([@COMPLETENESS_SCORE]=100,"COMPLETE","INCOMPLETE"))</f>
        <v/>
      </c>
    </row>
    <row r="33">
      <c r="A33" s="37" t="n">
        <v>32</v>
      </c>
      <c r="B33" s="37">
        <f>IFERROR(INDEX(T_TECHNICAL_FILE[TECHNICAL_FILE_ID],[@ROW_INDEX]),"")</f>
        <v/>
      </c>
      <c r="C33" s="37">
        <f>IFERROR(INDEX(T_TECHNICAL_FILE[TECHNICAL_FILE_CODE],[@ROW_INDEX]),"")</f>
        <v/>
      </c>
      <c r="D33" s="37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33" s="37">
        <f>IF([@TECHNICAL_FILE_ID]="","",IF([@SUBJECT_COUNT]=1,TRUE,FALSE))</f>
        <v/>
      </c>
      <c r="F33" s="37">
        <f>IF([@TECHNICAL_FILE_ID]="","",COUNTIF(T_DOCUMENT_LINK[TECHNICAL_FILE_ID],[@TECHNICAL_FILE_ID]))</f>
        <v/>
      </c>
      <c r="G33" s="37">
        <f>IF([@TECHNICAL_FILE_ID]="","",IF([@DOCUMENT_LINK_COUNT]&gt;0,TRUE,FALSE))</f>
        <v/>
      </c>
      <c r="H33" s="37">
        <f>IFERROR(INDEX(T_TECHNICAL_FILE[STATUS_ID],[@ROW_INDEX]),"")</f>
        <v/>
      </c>
      <c r="I33" s="37">
        <f>IF([@TECHNICAL_FILE_ID]="","",((IF(INDEX(T_TECHNICAL_FILE[PACKAGING_CONFIGURATION_ID],[@ROW_INDEX])&lt;&gt;"",1,0))*50)+([@HAS_EXACTLY_ONE_SUBJECT]*20)+([@HAS_DOCUMENT]*30))</f>
        <v/>
      </c>
      <c r="J33" s="37">
        <f>IF([@TECHNICAL_FILE_ID]="","",IF([@COMPLETENESS_SCORE]=100,"COMPLETE","INCOMPLETE"))</f>
        <v/>
      </c>
    </row>
    <row r="34">
      <c r="A34" s="37" t="n">
        <v>33</v>
      </c>
      <c r="B34" s="37">
        <f>IFERROR(INDEX(T_TECHNICAL_FILE[TECHNICAL_FILE_ID],[@ROW_INDEX]),"")</f>
        <v/>
      </c>
      <c r="C34" s="37">
        <f>IFERROR(INDEX(T_TECHNICAL_FILE[TECHNICAL_FILE_CODE],[@ROW_INDEX]),"")</f>
        <v/>
      </c>
      <c r="D34" s="37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34" s="37">
        <f>IF([@TECHNICAL_FILE_ID]="","",IF([@SUBJECT_COUNT]=1,TRUE,FALSE))</f>
        <v/>
      </c>
      <c r="F34" s="37">
        <f>IF([@TECHNICAL_FILE_ID]="","",COUNTIF(T_DOCUMENT_LINK[TECHNICAL_FILE_ID],[@TECHNICAL_FILE_ID]))</f>
        <v/>
      </c>
      <c r="G34" s="37">
        <f>IF([@TECHNICAL_FILE_ID]="","",IF([@DOCUMENT_LINK_COUNT]&gt;0,TRUE,FALSE))</f>
        <v/>
      </c>
      <c r="H34" s="37">
        <f>IFERROR(INDEX(T_TECHNICAL_FILE[STATUS_ID],[@ROW_INDEX]),"")</f>
        <v/>
      </c>
      <c r="I34" s="37">
        <f>IF([@TECHNICAL_FILE_ID]="","",((IF(INDEX(T_TECHNICAL_FILE[PACKAGING_CONFIGURATION_ID],[@ROW_INDEX])&lt;&gt;"",1,0))*50)+([@HAS_EXACTLY_ONE_SUBJECT]*20)+([@HAS_DOCUMENT]*30))</f>
        <v/>
      </c>
      <c r="J34" s="37">
        <f>IF([@TECHNICAL_FILE_ID]="","",IF([@COMPLETENESS_SCORE]=100,"COMPLETE","INCOMPLETE"))</f>
        <v/>
      </c>
    </row>
    <row r="35">
      <c r="A35" s="37" t="n">
        <v>34</v>
      </c>
      <c r="B35" s="37">
        <f>IFERROR(INDEX(T_TECHNICAL_FILE[TECHNICAL_FILE_ID],[@ROW_INDEX]),"")</f>
        <v/>
      </c>
      <c r="C35" s="37">
        <f>IFERROR(INDEX(T_TECHNICAL_FILE[TECHNICAL_FILE_CODE],[@ROW_INDEX]),"")</f>
        <v/>
      </c>
      <c r="D35" s="37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35" s="37">
        <f>IF([@TECHNICAL_FILE_ID]="","",IF([@SUBJECT_COUNT]=1,TRUE,FALSE))</f>
        <v/>
      </c>
      <c r="F35" s="37">
        <f>IF([@TECHNICAL_FILE_ID]="","",COUNTIF(T_DOCUMENT_LINK[TECHNICAL_FILE_ID],[@TECHNICAL_FILE_ID]))</f>
        <v/>
      </c>
      <c r="G35" s="37">
        <f>IF([@TECHNICAL_FILE_ID]="","",IF([@DOCUMENT_LINK_COUNT]&gt;0,TRUE,FALSE))</f>
        <v/>
      </c>
      <c r="H35" s="37">
        <f>IFERROR(INDEX(T_TECHNICAL_FILE[STATUS_ID],[@ROW_INDEX]),"")</f>
        <v/>
      </c>
      <c r="I35" s="37">
        <f>IF([@TECHNICAL_FILE_ID]="","",((IF(INDEX(T_TECHNICAL_FILE[PACKAGING_CONFIGURATION_ID],[@ROW_INDEX])&lt;&gt;"",1,0))*50)+([@HAS_EXACTLY_ONE_SUBJECT]*20)+([@HAS_DOCUMENT]*30))</f>
        <v/>
      </c>
      <c r="J35" s="37">
        <f>IF([@TECHNICAL_FILE_ID]="","",IF([@COMPLETENESS_SCORE]=100,"COMPLETE","INCOMPLETE"))</f>
        <v/>
      </c>
    </row>
    <row r="36">
      <c r="A36" s="37" t="n">
        <v>35</v>
      </c>
      <c r="B36" s="37">
        <f>IFERROR(INDEX(T_TECHNICAL_FILE[TECHNICAL_FILE_ID],[@ROW_INDEX]),"")</f>
        <v/>
      </c>
      <c r="C36" s="37">
        <f>IFERROR(INDEX(T_TECHNICAL_FILE[TECHNICAL_FILE_CODE],[@ROW_INDEX]),"")</f>
        <v/>
      </c>
      <c r="D36" s="37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36" s="37">
        <f>IF([@TECHNICAL_FILE_ID]="","",IF([@SUBJECT_COUNT]=1,TRUE,FALSE))</f>
        <v/>
      </c>
      <c r="F36" s="37">
        <f>IF([@TECHNICAL_FILE_ID]="","",COUNTIF(T_DOCUMENT_LINK[TECHNICAL_FILE_ID],[@TECHNICAL_FILE_ID]))</f>
        <v/>
      </c>
      <c r="G36" s="37">
        <f>IF([@TECHNICAL_FILE_ID]="","",IF([@DOCUMENT_LINK_COUNT]&gt;0,TRUE,FALSE))</f>
        <v/>
      </c>
      <c r="H36" s="37">
        <f>IFERROR(INDEX(T_TECHNICAL_FILE[STATUS_ID],[@ROW_INDEX]),"")</f>
        <v/>
      </c>
      <c r="I36" s="37">
        <f>IF([@TECHNICAL_FILE_ID]="","",((IF(INDEX(T_TECHNICAL_FILE[PACKAGING_CONFIGURATION_ID],[@ROW_INDEX])&lt;&gt;"",1,0))*50)+([@HAS_EXACTLY_ONE_SUBJECT]*20)+([@HAS_DOCUMENT]*30))</f>
        <v/>
      </c>
      <c r="J36" s="37">
        <f>IF([@TECHNICAL_FILE_ID]="","",IF([@COMPLETENESS_SCORE]=100,"COMPLETE","INCOMPLETE"))</f>
        <v/>
      </c>
    </row>
    <row r="37">
      <c r="A37" s="37" t="n">
        <v>36</v>
      </c>
      <c r="B37" s="37">
        <f>IFERROR(INDEX(T_TECHNICAL_FILE[TECHNICAL_FILE_ID],[@ROW_INDEX]),"")</f>
        <v/>
      </c>
      <c r="C37" s="37">
        <f>IFERROR(INDEX(T_TECHNICAL_FILE[TECHNICAL_FILE_CODE],[@ROW_INDEX]),"")</f>
        <v/>
      </c>
      <c r="D37" s="37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37" s="37">
        <f>IF([@TECHNICAL_FILE_ID]="","",IF([@SUBJECT_COUNT]=1,TRUE,FALSE))</f>
        <v/>
      </c>
      <c r="F37" s="37">
        <f>IF([@TECHNICAL_FILE_ID]="","",COUNTIF(T_DOCUMENT_LINK[TECHNICAL_FILE_ID],[@TECHNICAL_FILE_ID]))</f>
        <v/>
      </c>
      <c r="G37" s="37">
        <f>IF([@TECHNICAL_FILE_ID]="","",IF([@DOCUMENT_LINK_COUNT]&gt;0,TRUE,FALSE))</f>
        <v/>
      </c>
      <c r="H37" s="37">
        <f>IFERROR(INDEX(T_TECHNICAL_FILE[STATUS_ID],[@ROW_INDEX]),"")</f>
        <v/>
      </c>
      <c r="I37" s="37">
        <f>IF([@TECHNICAL_FILE_ID]="","",((IF(INDEX(T_TECHNICAL_FILE[PACKAGING_CONFIGURATION_ID],[@ROW_INDEX])&lt;&gt;"",1,0))*50)+([@HAS_EXACTLY_ONE_SUBJECT]*20)+([@HAS_DOCUMENT]*30))</f>
        <v/>
      </c>
      <c r="J37" s="37">
        <f>IF([@TECHNICAL_FILE_ID]="","",IF([@COMPLETENESS_SCORE]=100,"COMPLETE","INCOMPLETE"))</f>
        <v/>
      </c>
    </row>
    <row r="38">
      <c r="A38" s="37" t="n">
        <v>37</v>
      </c>
      <c r="B38" s="37">
        <f>IFERROR(INDEX(T_TECHNICAL_FILE[TECHNICAL_FILE_ID],[@ROW_INDEX]),"")</f>
        <v/>
      </c>
      <c r="C38" s="37">
        <f>IFERROR(INDEX(T_TECHNICAL_FILE[TECHNICAL_FILE_CODE],[@ROW_INDEX]),"")</f>
        <v/>
      </c>
      <c r="D38" s="37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38" s="37">
        <f>IF([@TECHNICAL_FILE_ID]="","",IF([@SUBJECT_COUNT]=1,TRUE,FALSE))</f>
        <v/>
      </c>
      <c r="F38" s="37">
        <f>IF([@TECHNICAL_FILE_ID]="","",COUNTIF(T_DOCUMENT_LINK[TECHNICAL_FILE_ID],[@TECHNICAL_FILE_ID]))</f>
        <v/>
      </c>
      <c r="G38" s="37">
        <f>IF([@TECHNICAL_FILE_ID]="","",IF([@DOCUMENT_LINK_COUNT]&gt;0,TRUE,FALSE))</f>
        <v/>
      </c>
      <c r="H38" s="37">
        <f>IFERROR(INDEX(T_TECHNICAL_FILE[STATUS_ID],[@ROW_INDEX]),"")</f>
        <v/>
      </c>
      <c r="I38" s="37">
        <f>IF([@TECHNICAL_FILE_ID]="","",((IF(INDEX(T_TECHNICAL_FILE[PACKAGING_CONFIGURATION_ID],[@ROW_INDEX])&lt;&gt;"",1,0))*50)+([@HAS_EXACTLY_ONE_SUBJECT]*20)+([@HAS_DOCUMENT]*30))</f>
        <v/>
      </c>
      <c r="J38" s="37">
        <f>IF([@TECHNICAL_FILE_ID]="","",IF([@COMPLETENESS_SCORE]=100,"COMPLETE","INCOMPLETE"))</f>
        <v/>
      </c>
    </row>
    <row r="39">
      <c r="A39" s="37" t="n">
        <v>38</v>
      </c>
      <c r="B39" s="37">
        <f>IFERROR(INDEX(T_TECHNICAL_FILE[TECHNICAL_FILE_ID],[@ROW_INDEX]),"")</f>
        <v/>
      </c>
      <c r="C39" s="37">
        <f>IFERROR(INDEX(T_TECHNICAL_FILE[TECHNICAL_FILE_CODE],[@ROW_INDEX]),"")</f>
        <v/>
      </c>
      <c r="D39" s="37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39" s="37">
        <f>IF([@TECHNICAL_FILE_ID]="","",IF([@SUBJECT_COUNT]=1,TRUE,FALSE))</f>
        <v/>
      </c>
      <c r="F39" s="37">
        <f>IF([@TECHNICAL_FILE_ID]="","",COUNTIF(T_DOCUMENT_LINK[TECHNICAL_FILE_ID],[@TECHNICAL_FILE_ID]))</f>
        <v/>
      </c>
      <c r="G39" s="37">
        <f>IF([@TECHNICAL_FILE_ID]="","",IF([@DOCUMENT_LINK_COUNT]&gt;0,TRUE,FALSE))</f>
        <v/>
      </c>
      <c r="H39" s="37">
        <f>IFERROR(INDEX(T_TECHNICAL_FILE[STATUS_ID],[@ROW_INDEX]),"")</f>
        <v/>
      </c>
      <c r="I39" s="37">
        <f>IF([@TECHNICAL_FILE_ID]="","",((IF(INDEX(T_TECHNICAL_FILE[PACKAGING_CONFIGURATION_ID],[@ROW_INDEX])&lt;&gt;"",1,0))*50)+([@HAS_EXACTLY_ONE_SUBJECT]*20)+([@HAS_DOCUMENT]*30))</f>
        <v/>
      </c>
      <c r="J39" s="37">
        <f>IF([@TECHNICAL_FILE_ID]="","",IF([@COMPLETENESS_SCORE]=100,"COMPLETE","INCOMPLETE"))</f>
        <v/>
      </c>
    </row>
    <row r="40">
      <c r="A40" s="37" t="n">
        <v>39</v>
      </c>
      <c r="B40" s="37">
        <f>IFERROR(INDEX(T_TECHNICAL_FILE[TECHNICAL_FILE_ID],[@ROW_INDEX]),"")</f>
        <v/>
      </c>
      <c r="C40" s="37">
        <f>IFERROR(INDEX(T_TECHNICAL_FILE[TECHNICAL_FILE_CODE],[@ROW_INDEX]),"")</f>
        <v/>
      </c>
      <c r="D40" s="37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40" s="37">
        <f>IF([@TECHNICAL_FILE_ID]="","",IF([@SUBJECT_COUNT]=1,TRUE,FALSE))</f>
        <v/>
      </c>
      <c r="F40" s="37">
        <f>IF([@TECHNICAL_FILE_ID]="","",COUNTIF(T_DOCUMENT_LINK[TECHNICAL_FILE_ID],[@TECHNICAL_FILE_ID]))</f>
        <v/>
      </c>
      <c r="G40" s="37">
        <f>IF([@TECHNICAL_FILE_ID]="","",IF([@DOCUMENT_LINK_COUNT]&gt;0,TRUE,FALSE))</f>
        <v/>
      </c>
      <c r="H40" s="37">
        <f>IFERROR(INDEX(T_TECHNICAL_FILE[STATUS_ID],[@ROW_INDEX]),"")</f>
        <v/>
      </c>
      <c r="I40" s="37">
        <f>IF([@TECHNICAL_FILE_ID]="","",((IF(INDEX(T_TECHNICAL_FILE[PACKAGING_CONFIGURATION_ID],[@ROW_INDEX])&lt;&gt;"",1,0))*50)+([@HAS_EXACTLY_ONE_SUBJECT]*20)+([@HAS_DOCUMENT]*30))</f>
        <v/>
      </c>
      <c r="J40" s="37">
        <f>IF([@TECHNICAL_FILE_ID]="","",IF([@COMPLETENESS_SCORE]=100,"COMPLETE","INCOMPLETE"))</f>
        <v/>
      </c>
    </row>
    <row r="41">
      <c r="A41" s="37" t="n">
        <v>40</v>
      </c>
      <c r="B41" s="37">
        <f>IFERROR(INDEX(T_TECHNICAL_FILE[TECHNICAL_FILE_ID],[@ROW_INDEX]),"")</f>
        <v/>
      </c>
      <c r="C41" s="37">
        <f>IFERROR(INDEX(T_TECHNICAL_FILE[TECHNICAL_FILE_CODE],[@ROW_INDEX]),"")</f>
        <v/>
      </c>
      <c r="D41" s="37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41" s="37">
        <f>IF([@TECHNICAL_FILE_ID]="","",IF([@SUBJECT_COUNT]=1,TRUE,FALSE))</f>
        <v/>
      </c>
      <c r="F41" s="37">
        <f>IF([@TECHNICAL_FILE_ID]="","",COUNTIF(T_DOCUMENT_LINK[TECHNICAL_FILE_ID],[@TECHNICAL_FILE_ID]))</f>
        <v/>
      </c>
      <c r="G41" s="37">
        <f>IF([@TECHNICAL_FILE_ID]="","",IF([@DOCUMENT_LINK_COUNT]&gt;0,TRUE,FALSE))</f>
        <v/>
      </c>
      <c r="H41" s="37">
        <f>IFERROR(INDEX(T_TECHNICAL_FILE[STATUS_ID],[@ROW_INDEX]),"")</f>
        <v/>
      </c>
      <c r="I41" s="37">
        <f>IF([@TECHNICAL_FILE_ID]="","",((IF(INDEX(T_TECHNICAL_FILE[PACKAGING_CONFIGURATION_ID],[@ROW_INDEX])&lt;&gt;"",1,0))*50)+([@HAS_EXACTLY_ONE_SUBJECT]*20)+([@HAS_DOCUMENT]*30))</f>
        <v/>
      </c>
      <c r="J41" s="37">
        <f>IF([@TECHNICAL_FILE_ID]="","",IF([@COMPLETENESS_SCORE]=100,"COMPLETE","INCOMPLETE"))</f>
        <v/>
      </c>
    </row>
    <row r="42">
      <c r="A42" s="37" t="n">
        <v>41</v>
      </c>
      <c r="B42" s="37">
        <f>IFERROR(INDEX(T_TECHNICAL_FILE[TECHNICAL_FILE_ID],[@ROW_INDEX]),"")</f>
        <v/>
      </c>
      <c r="C42" s="37">
        <f>IFERROR(INDEX(T_TECHNICAL_FILE[TECHNICAL_FILE_CODE],[@ROW_INDEX]),"")</f>
        <v/>
      </c>
      <c r="D42" s="37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42" s="37">
        <f>IF([@TECHNICAL_FILE_ID]="","",IF([@SUBJECT_COUNT]=1,TRUE,FALSE))</f>
        <v/>
      </c>
      <c r="F42" s="37">
        <f>IF([@TECHNICAL_FILE_ID]="","",COUNTIF(T_DOCUMENT_LINK[TECHNICAL_FILE_ID],[@TECHNICAL_FILE_ID]))</f>
        <v/>
      </c>
      <c r="G42" s="37">
        <f>IF([@TECHNICAL_FILE_ID]="","",IF([@DOCUMENT_LINK_COUNT]&gt;0,TRUE,FALSE))</f>
        <v/>
      </c>
      <c r="H42" s="37">
        <f>IFERROR(INDEX(T_TECHNICAL_FILE[STATUS_ID],[@ROW_INDEX]),"")</f>
        <v/>
      </c>
      <c r="I42" s="37">
        <f>IF([@TECHNICAL_FILE_ID]="","",((IF(INDEX(T_TECHNICAL_FILE[PACKAGING_CONFIGURATION_ID],[@ROW_INDEX])&lt;&gt;"",1,0))*50)+([@HAS_EXACTLY_ONE_SUBJECT]*20)+([@HAS_DOCUMENT]*30))</f>
        <v/>
      </c>
      <c r="J42" s="37">
        <f>IF([@TECHNICAL_FILE_ID]="","",IF([@COMPLETENESS_SCORE]=100,"COMPLETE","INCOMPLETE"))</f>
        <v/>
      </c>
    </row>
    <row r="43">
      <c r="A43" s="37" t="n">
        <v>42</v>
      </c>
      <c r="B43" s="37">
        <f>IFERROR(INDEX(T_TECHNICAL_FILE[TECHNICAL_FILE_ID],[@ROW_INDEX]),"")</f>
        <v/>
      </c>
      <c r="C43" s="37">
        <f>IFERROR(INDEX(T_TECHNICAL_FILE[TECHNICAL_FILE_CODE],[@ROW_INDEX]),"")</f>
        <v/>
      </c>
      <c r="D43" s="37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43" s="37">
        <f>IF([@TECHNICAL_FILE_ID]="","",IF([@SUBJECT_COUNT]=1,TRUE,FALSE))</f>
        <v/>
      </c>
      <c r="F43" s="37">
        <f>IF([@TECHNICAL_FILE_ID]="","",COUNTIF(T_DOCUMENT_LINK[TECHNICAL_FILE_ID],[@TECHNICAL_FILE_ID]))</f>
        <v/>
      </c>
      <c r="G43" s="37">
        <f>IF([@TECHNICAL_FILE_ID]="","",IF([@DOCUMENT_LINK_COUNT]&gt;0,TRUE,FALSE))</f>
        <v/>
      </c>
      <c r="H43" s="37">
        <f>IFERROR(INDEX(T_TECHNICAL_FILE[STATUS_ID],[@ROW_INDEX]),"")</f>
        <v/>
      </c>
      <c r="I43" s="37">
        <f>IF([@TECHNICAL_FILE_ID]="","",((IF(INDEX(T_TECHNICAL_FILE[PACKAGING_CONFIGURATION_ID],[@ROW_INDEX])&lt;&gt;"",1,0))*50)+([@HAS_EXACTLY_ONE_SUBJECT]*20)+([@HAS_DOCUMENT]*30))</f>
        <v/>
      </c>
      <c r="J43" s="37">
        <f>IF([@TECHNICAL_FILE_ID]="","",IF([@COMPLETENESS_SCORE]=100,"COMPLETE","INCOMPLETE"))</f>
        <v/>
      </c>
    </row>
    <row r="44">
      <c r="A44" s="37" t="n">
        <v>43</v>
      </c>
      <c r="B44" s="37">
        <f>IFERROR(INDEX(T_TECHNICAL_FILE[TECHNICAL_FILE_ID],[@ROW_INDEX]),"")</f>
        <v/>
      </c>
      <c r="C44" s="37">
        <f>IFERROR(INDEX(T_TECHNICAL_FILE[TECHNICAL_FILE_CODE],[@ROW_INDEX]),"")</f>
        <v/>
      </c>
      <c r="D44" s="37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44" s="37">
        <f>IF([@TECHNICAL_FILE_ID]="","",IF([@SUBJECT_COUNT]=1,TRUE,FALSE))</f>
        <v/>
      </c>
      <c r="F44" s="37">
        <f>IF([@TECHNICAL_FILE_ID]="","",COUNTIF(T_DOCUMENT_LINK[TECHNICAL_FILE_ID],[@TECHNICAL_FILE_ID]))</f>
        <v/>
      </c>
      <c r="G44" s="37">
        <f>IF([@TECHNICAL_FILE_ID]="","",IF([@DOCUMENT_LINK_COUNT]&gt;0,TRUE,FALSE))</f>
        <v/>
      </c>
      <c r="H44" s="37">
        <f>IFERROR(INDEX(T_TECHNICAL_FILE[STATUS_ID],[@ROW_INDEX]),"")</f>
        <v/>
      </c>
      <c r="I44" s="37">
        <f>IF([@TECHNICAL_FILE_ID]="","",((IF(INDEX(T_TECHNICAL_FILE[PACKAGING_CONFIGURATION_ID],[@ROW_INDEX])&lt;&gt;"",1,0))*50)+([@HAS_EXACTLY_ONE_SUBJECT]*20)+([@HAS_DOCUMENT]*30))</f>
        <v/>
      </c>
      <c r="J44" s="37">
        <f>IF([@TECHNICAL_FILE_ID]="","",IF([@COMPLETENESS_SCORE]=100,"COMPLETE","INCOMPLETE"))</f>
        <v/>
      </c>
    </row>
    <row r="45">
      <c r="A45" s="37" t="n">
        <v>44</v>
      </c>
      <c r="B45" s="37">
        <f>IFERROR(INDEX(T_TECHNICAL_FILE[TECHNICAL_FILE_ID],[@ROW_INDEX]),"")</f>
        <v/>
      </c>
      <c r="C45" s="37">
        <f>IFERROR(INDEX(T_TECHNICAL_FILE[TECHNICAL_FILE_CODE],[@ROW_INDEX]),"")</f>
        <v/>
      </c>
      <c r="D45" s="37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45" s="37">
        <f>IF([@TECHNICAL_FILE_ID]="","",IF([@SUBJECT_COUNT]=1,TRUE,FALSE))</f>
        <v/>
      </c>
      <c r="F45" s="37">
        <f>IF([@TECHNICAL_FILE_ID]="","",COUNTIF(T_DOCUMENT_LINK[TECHNICAL_FILE_ID],[@TECHNICAL_FILE_ID]))</f>
        <v/>
      </c>
      <c r="G45" s="37">
        <f>IF([@TECHNICAL_FILE_ID]="","",IF([@DOCUMENT_LINK_COUNT]&gt;0,TRUE,FALSE))</f>
        <v/>
      </c>
      <c r="H45" s="37">
        <f>IFERROR(INDEX(T_TECHNICAL_FILE[STATUS_ID],[@ROW_INDEX]),"")</f>
        <v/>
      </c>
      <c r="I45" s="37">
        <f>IF([@TECHNICAL_FILE_ID]="","",((IF(INDEX(T_TECHNICAL_FILE[PACKAGING_CONFIGURATION_ID],[@ROW_INDEX])&lt;&gt;"",1,0))*50)+([@HAS_EXACTLY_ONE_SUBJECT]*20)+([@HAS_DOCUMENT]*30))</f>
        <v/>
      </c>
      <c r="J45" s="37">
        <f>IF([@TECHNICAL_FILE_ID]="","",IF([@COMPLETENESS_SCORE]=100,"COMPLETE","INCOMPLETE"))</f>
        <v/>
      </c>
    </row>
    <row r="46">
      <c r="A46" s="37" t="n">
        <v>45</v>
      </c>
      <c r="B46" s="37">
        <f>IFERROR(INDEX(T_TECHNICAL_FILE[TECHNICAL_FILE_ID],[@ROW_INDEX]),"")</f>
        <v/>
      </c>
      <c r="C46" s="37">
        <f>IFERROR(INDEX(T_TECHNICAL_FILE[TECHNICAL_FILE_CODE],[@ROW_INDEX]),"")</f>
        <v/>
      </c>
      <c r="D46" s="37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46" s="37">
        <f>IF([@TECHNICAL_FILE_ID]="","",IF([@SUBJECT_COUNT]=1,TRUE,FALSE))</f>
        <v/>
      </c>
      <c r="F46" s="37">
        <f>IF([@TECHNICAL_FILE_ID]="","",COUNTIF(T_DOCUMENT_LINK[TECHNICAL_FILE_ID],[@TECHNICAL_FILE_ID]))</f>
        <v/>
      </c>
      <c r="G46" s="37">
        <f>IF([@TECHNICAL_FILE_ID]="","",IF([@DOCUMENT_LINK_COUNT]&gt;0,TRUE,FALSE))</f>
        <v/>
      </c>
      <c r="H46" s="37">
        <f>IFERROR(INDEX(T_TECHNICAL_FILE[STATUS_ID],[@ROW_INDEX]),"")</f>
        <v/>
      </c>
      <c r="I46" s="37">
        <f>IF([@TECHNICAL_FILE_ID]="","",((IF(INDEX(T_TECHNICAL_FILE[PACKAGING_CONFIGURATION_ID],[@ROW_INDEX])&lt;&gt;"",1,0))*50)+([@HAS_EXACTLY_ONE_SUBJECT]*20)+([@HAS_DOCUMENT]*30))</f>
        <v/>
      </c>
      <c r="J46" s="37">
        <f>IF([@TECHNICAL_FILE_ID]="","",IF([@COMPLETENESS_SCORE]=100,"COMPLETE","INCOMPLETE"))</f>
        <v/>
      </c>
    </row>
    <row r="47">
      <c r="A47" s="37" t="n">
        <v>46</v>
      </c>
      <c r="B47" s="37">
        <f>IFERROR(INDEX(T_TECHNICAL_FILE[TECHNICAL_FILE_ID],[@ROW_INDEX]),"")</f>
        <v/>
      </c>
      <c r="C47" s="37">
        <f>IFERROR(INDEX(T_TECHNICAL_FILE[TECHNICAL_FILE_CODE],[@ROW_INDEX]),"")</f>
        <v/>
      </c>
      <c r="D47" s="37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47" s="37">
        <f>IF([@TECHNICAL_FILE_ID]="","",IF([@SUBJECT_COUNT]=1,TRUE,FALSE))</f>
        <v/>
      </c>
      <c r="F47" s="37">
        <f>IF([@TECHNICAL_FILE_ID]="","",COUNTIF(T_DOCUMENT_LINK[TECHNICAL_FILE_ID],[@TECHNICAL_FILE_ID]))</f>
        <v/>
      </c>
      <c r="G47" s="37">
        <f>IF([@TECHNICAL_FILE_ID]="","",IF([@DOCUMENT_LINK_COUNT]&gt;0,TRUE,FALSE))</f>
        <v/>
      </c>
      <c r="H47" s="37">
        <f>IFERROR(INDEX(T_TECHNICAL_FILE[STATUS_ID],[@ROW_INDEX]),"")</f>
        <v/>
      </c>
      <c r="I47" s="37">
        <f>IF([@TECHNICAL_FILE_ID]="","",((IF(INDEX(T_TECHNICAL_FILE[PACKAGING_CONFIGURATION_ID],[@ROW_INDEX])&lt;&gt;"",1,0))*50)+([@HAS_EXACTLY_ONE_SUBJECT]*20)+([@HAS_DOCUMENT]*30))</f>
        <v/>
      </c>
      <c r="J47" s="37">
        <f>IF([@TECHNICAL_FILE_ID]="","",IF([@COMPLETENESS_SCORE]=100,"COMPLETE","INCOMPLETE"))</f>
        <v/>
      </c>
    </row>
    <row r="48">
      <c r="A48" s="37" t="n">
        <v>47</v>
      </c>
      <c r="B48" s="37">
        <f>IFERROR(INDEX(T_TECHNICAL_FILE[TECHNICAL_FILE_ID],[@ROW_INDEX]),"")</f>
        <v/>
      </c>
      <c r="C48" s="37">
        <f>IFERROR(INDEX(T_TECHNICAL_FILE[TECHNICAL_FILE_CODE],[@ROW_INDEX]),"")</f>
        <v/>
      </c>
      <c r="D48" s="37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48" s="37">
        <f>IF([@TECHNICAL_FILE_ID]="","",IF([@SUBJECT_COUNT]=1,TRUE,FALSE))</f>
        <v/>
      </c>
      <c r="F48" s="37">
        <f>IF([@TECHNICAL_FILE_ID]="","",COUNTIF(T_DOCUMENT_LINK[TECHNICAL_FILE_ID],[@TECHNICAL_FILE_ID]))</f>
        <v/>
      </c>
      <c r="G48" s="37">
        <f>IF([@TECHNICAL_FILE_ID]="","",IF([@DOCUMENT_LINK_COUNT]&gt;0,TRUE,FALSE))</f>
        <v/>
      </c>
      <c r="H48" s="37">
        <f>IFERROR(INDEX(T_TECHNICAL_FILE[STATUS_ID],[@ROW_INDEX]),"")</f>
        <v/>
      </c>
      <c r="I48" s="37">
        <f>IF([@TECHNICAL_FILE_ID]="","",((IF(INDEX(T_TECHNICAL_FILE[PACKAGING_CONFIGURATION_ID],[@ROW_INDEX])&lt;&gt;"",1,0))*50)+([@HAS_EXACTLY_ONE_SUBJECT]*20)+([@HAS_DOCUMENT]*30))</f>
        <v/>
      </c>
      <c r="J48" s="37">
        <f>IF([@TECHNICAL_FILE_ID]="","",IF([@COMPLETENESS_SCORE]=100,"COMPLETE","INCOMPLETE"))</f>
        <v/>
      </c>
    </row>
    <row r="49">
      <c r="A49" s="37" t="n">
        <v>48</v>
      </c>
      <c r="B49" s="37">
        <f>IFERROR(INDEX(T_TECHNICAL_FILE[TECHNICAL_FILE_ID],[@ROW_INDEX]),"")</f>
        <v/>
      </c>
      <c r="C49" s="37">
        <f>IFERROR(INDEX(T_TECHNICAL_FILE[TECHNICAL_FILE_CODE],[@ROW_INDEX]),"")</f>
        <v/>
      </c>
      <c r="D49" s="37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49" s="37">
        <f>IF([@TECHNICAL_FILE_ID]="","",IF([@SUBJECT_COUNT]=1,TRUE,FALSE))</f>
        <v/>
      </c>
      <c r="F49" s="37">
        <f>IF([@TECHNICAL_FILE_ID]="","",COUNTIF(T_DOCUMENT_LINK[TECHNICAL_FILE_ID],[@TECHNICAL_FILE_ID]))</f>
        <v/>
      </c>
      <c r="G49" s="37">
        <f>IF([@TECHNICAL_FILE_ID]="","",IF([@DOCUMENT_LINK_COUNT]&gt;0,TRUE,FALSE))</f>
        <v/>
      </c>
      <c r="H49" s="37">
        <f>IFERROR(INDEX(T_TECHNICAL_FILE[STATUS_ID],[@ROW_INDEX]),"")</f>
        <v/>
      </c>
      <c r="I49" s="37">
        <f>IF([@TECHNICAL_FILE_ID]="","",((IF(INDEX(T_TECHNICAL_FILE[PACKAGING_CONFIGURATION_ID],[@ROW_INDEX])&lt;&gt;"",1,0))*50)+([@HAS_EXACTLY_ONE_SUBJECT]*20)+([@HAS_DOCUMENT]*30))</f>
        <v/>
      </c>
      <c r="J49" s="37">
        <f>IF([@TECHNICAL_FILE_ID]="","",IF([@COMPLETENESS_SCORE]=100,"COMPLETE","INCOMPLETE"))</f>
        <v/>
      </c>
    </row>
    <row r="50">
      <c r="A50" s="37" t="n">
        <v>49</v>
      </c>
      <c r="B50" s="37">
        <f>IFERROR(INDEX(T_TECHNICAL_FILE[TECHNICAL_FILE_ID],[@ROW_INDEX]),"")</f>
        <v/>
      </c>
      <c r="C50" s="37">
        <f>IFERROR(INDEX(T_TECHNICAL_FILE[TECHNICAL_FILE_CODE],[@ROW_INDEX]),"")</f>
        <v/>
      </c>
      <c r="D50" s="37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50" s="37">
        <f>IF([@TECHNICAL_FILE_ID]="","",IF([@SUBJECT_COUNT]=1,TRUE,FALSE))</f>
        <v/>
      </c>
      <c r="F50" s="37">
        <f>IF([@TECHNICAL_FILE_ID]="","",COUNTIF(T_DOCUMENT_LINK[TECHNICAL_FILE_ID],[@TECHNICAL_FILE_ID]))</f>
        <v/>
      </c>
      <c r="G50" s="37">
        <f>IF([@TECHNICAL_FILE_ID]="","",IF([@DOCUMENT_LINK_COUNT]&gt;0,TRUE,FALSE))</f>
        <v/>
      </c>
      <c r="H50" s="37">
        <f>IFERROR(INDEX(T_TECHNICAL_FILE[STATUS_ID],[@ROW_INDEX]),"")</f>
        <v/>
      </c>
      <c r="I50" s="37">
        <f>IF([@TECHNICAL_FILE_ID]="","",((IF(INDEX(T_TECHNICAL_FILE[PACKAGING_CONFIGURATION_ID],[@ROW_INDEX])&lt;&gt;"",1,0))*50)+([@HAS_EXACTLY_ONE_SUBJECT]*20)+([@HAS_DOCUMENT]*30))</f>
        <v/>
      </c>
      <c r="J50" s="37">
        <f>IF([@TECHNICAL_FILE_ID]="","",IF([@COMPLETENESS_SCORE]=100,"COMPLETE","INCOMPLETE"))</f>
        <v/>
      </c>
    </row>
    <row r="51">
      <c r="A51" s="37" t="n">
        <v>50</v>
      </c>
      <c r="B51" s="37">
        <f>IFERROR(INDEX(T_TECHNICAL_FILE[TECHNICAL_FILE_ID],[@ROW_INDEX]),"")</f>
        <v/>
      </c>
      <c r="C51" s="37">
        <f>IFERROR(INDEX(T_TECHNICAL_FILE[TECHNICAL_FILE_CODE],[@ROW_INDEX]),"")</f>
        <v/>
      </c>
      <c r="D51" s="37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51" s="37">
        <f>IF([@TECHNICAL_FILE_ID]="","",IF([@SUBJECT_COUNT]=1,TRUE,FALSE))</f>
        <v/>
      </c>
      <c r="F51" s="37">
        <f>IF([@TECHNICAL_FILE_ID]="","",COUNTIF(T_DOCUMENT_LINK[TECHNICAL_FILE_ID],[@TECHNICAL_FILE_ID]))</f>
        <v/>
      </c>
      <c r="G51" s="37">
        <f>IF([@TECHNICAL_FILE_ID]="","",IF([@DOCUMENT_LINK_COUNT]&gt;0,TRUE,FALSE))</f>
        <v/>
      </c>
      <c r="H51" s="37">
        <f>IFERROR(INDEX(T_TECHNICAL_FILE[STATUS_ID],[@ROW_INDEX]),"")</f>
        <v/>
      </c>
      <c r="I51" s="37">
        <f>IF([@TECHNICAL_FILE_ID]="","",((IF(INDEX(T_TECHNICAL_FILE[PACKAGING_CONFIGURATION_ID],[@ROW_INDEX])&lt;&gt;"",1,0))*50)+([@HAS_EXACTLY_ONE_SUBJECT]*20)+([@HAS_DOCUMENT]*30))</f>
        <v/>
      </c>
      <c r="J51" s="37">
        <f>IF([@TECHNICAL_FILE_ID]="","",IF([@COMPLETENESS_SCORE]=100,"COMPLETE","INCOMPLETE"))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conditionalFormatting sqref="J2:J51">
    <cfRule type="cellIs" priority="1" operator="equal" dxfId="0">
      <formula>"OK"</formula>
    </cfRule>
    <cfRule type="cellIs" priority="2" operator="equal" dxfId="0">
      <formula>"COMPLETE"</formula>
    </cfRule>
    <cfRule type="cellIs" priority="3" operator="equal" dxfId="1">
      <formula>"INCOMPLETE"</formula>
    </cfRule>
    <cfRule type="cellIs" priority="4" operator="equal" dxfId="2">
      <formula>"VARIANCE"</formula>
    </cfRule>
    <cfRule type="cellIs" priority="5" operator="equal" dxfId="3">
      <formula>"PENDING"</formula>
    </cfRule>
  </conditionalFormatting>
  <hyperlinks>
    <hyperlink xmlns:r="http://schemas.openxmlformats.org/officeDocument/2006/relationships" ref="L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  <col width="14" customWidth="1" min="3" max="3"/>
    <col width="20" customWidth="1" min="4" max="4"/>
    <col width="22" customWidth="1" min="5" max="5"/>
    <col width="26" customWidth="1" min="6" max="6"/>
    <col width="15" customWidth="1" min="7" max="7"/>
    <col width="13" customWidth="1" min="8" max="8"/>
    <col width="23" customWidth="1" min="9" max="9"/>
    <col width="22" customWidth="1" min="10" max="10"/>
    <col width="17" customWidth="1" min="11" max="11"/>
  </cols>
  <sheetData>
    <row r="1">
      <c r="A1" s="5" t="inlineStr">
        <is>
          <t>ROW_INDEX</t>
        </is>
      </c>
      <c r="B1" s="5" t="inlineStr">
        <is>
          <t>DECLARATION_OF_CONFORMITY_ID</t>
        </is>
      </c>
      <c r="C1" s="5" t="inlineStr">
        <is>
          <t>DOC_NUMBER</t>
        </is>
      </c>
      <c r="D1" s="5" t="inlineStr">
        <is>
          <t>HAS_LEGAL_ENTITY</t>
        </is>
      </c>
      <c r="E1" s="5" t="inlineStr">
        <is>
          <t>HAS_TECHNICAL_FILE</t>
        </is>
      </c>
      <c r="F1" s="5" t="inlineStr">
        <is>
          <t>HAS_RESPONSIBLE_PERSON</t>
        </is>
      </c>
      <c r="G1" s="5" t="inlineStr">
        <is>
          <t>SCOPE_COUNT</t>
        </is>
      </c>
      <c r="H1" s="5" t="inlineStr">
        <is>
          <t>HAS_SCOPE</t>
        </is>
      </c>
      <c r="I1" s="5" t="inlineStr">
        <is>
          <t>DOCUMENT_LINK_COUNT</t>
        </is>
      </c>
      <c r="J1" s="5" t="inlineStr">
        <is>
          <t>COMPLETENESS_SCORE</t>
        </is>
      </c>
      <c r="K1" s="5" t="inlineStr">
        <is>
          <t>ENGINE_STATUS</t>
        </is>
      </c>
      <c r="M1" s="36" t="inlineStr">
        <is>
          <t>Dashboard</t>
        </is>
      </c>
    </row>
    <row r="2">
      <c r="A2" s="37" t="n">
        <v>1</v>
      </c>
      <c r="B2" s="37">
        <f>IFERROR(INDEX(T_DECLARATION_OF_CONFORMITY[DECLARATION_OF_CONFORMITY_ID],[@ROW_INDEX]),"")</f>
        <v/>
      </c>
      <c r="C2" s="37">
        <f>IFERROR(INDEX(T_DECLARATION_OF_CONFORMITY[DOC_NUMBER],[@ROW_INDEX]),"")</f>
        <v/>
      </c>
      <c r="D2" s="37">
        <f>IF([@DECLARATION_OF_CONFORMITY_ID]="","",IF(INDEX(T_DECLARATION_OF_CONFORMITY[LEGAL_ENTITY_ID],[@ROW_INDEX])&lt;&gt;"",TRUE,FALSE))</f>
        <v/>
      </c>
      <c r="E2" s="37">
        <f>IF([@DECLARATION_OF_CONFORMITY_ID]="","",IF(INDEX(T_DECLARATION_OF_CONFORMITY[TECHNICAL_FILE_ID],[@ROW_INDEX])&lt;&gt;"",TRUE,FALSE))</f>
        <v/>
      </c>
      <c r="F2" s="37">
        <f>IF([@DECLARATION_OF_CONFORMITY_ID]="","",IF(INDEX(T_DECLARATION_OF_CONFORMITY[RESPONSIBLE_PERSON_ID],[@ROW_INDEX])&lt;&gt;"",TRUE,FALSE))</f>
        <v/>
      </c>
      <c r="G2" s="37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2" s="37">
        <f>IF([@DECLARATION_OF_CONFORMITY_ID]="","",IF([@SCOPE_COUNT]&gt;=1,TRUE,FALSE))</f>
        <v/>
      </c>
      <c r="I2" s="37">
        <f>IF([@DECLARATION_OF_CONFORMITY_ID]="","",COUNTIF(T_DOCUMENT_LINK[DECLARATION_OF_CONFORMITY_ID],[@DECLARATION_OF_CONFORMITY_ID]))</f>
        <v/>
      </c>
      <c r="J2" s="37">
        <f>IF([@DECLARATION_OF_CONFORMITY_ID]="","",([@HAS_LEGAL_ENTITY]*25)+([@HAS_TECHNICAL_FILE]*25)+([@HAS_RESPONSIBLE_PERSON]*25)+([@HAS_SCOPE]*25))</f>
        <v/>
      </c>
      <c r="K2" s="37">
        <f>IF([@DECLARATION_OF_CONFORMITY_ID]="","",IF([@COMPLETENESS_SCORE]=100,"COMPLETE","INCOMPLETE"))</f>
        <v/>
      </c>
    </row>
    <row r="3">
      <c r="A3" s="37" t="n">
        <v>2</v>
      </c>
      <c r="B3" s="37">
        <f>IFERROR(INDEX(T_DECLARATION_OF_CONFORMITY[DECLARATION_OF_CONFORMITY_ID],[@ROW_INDEX]),"")</f>
        <v/>
      </c>
      <c r="C3" s="37">
        <f>IFERROR(INDEX(T_DECLARATION_OF_CONFORMITY[DOC_NUMBER],[@ROW_INDEX]),"")</f>
        <v/>
      </c>
      <c r="D3" s="37">
        <f>IF([@DECLARATION_OF_CONFORMITY_ID]="","",IF(INDEX(T_DECLARATION_OF_CONFORMITY[LEGAL_ENTITY_ID],[@ROW_INDEX])&lt;&gt;"",TRUE,FALSE))</f>
        <v/>
      </c>
      <c r="E3" s="37">
        <f>IF([@DECLARATION_OF_CONFORMITY_ID]="","",IF(INDEX(T_DECLARATION_OF_CONFORMITY[TECHNICAL_FILE_ID],[@ROW_INDEX])&lt;&gt;"",TRUE,FALSE))</f>
        <v/>
      </c>
      <c r="F3" s="37">
        <f>IF([@DECLARATION_OF_CONFORMITY_ID]="","",IF(INDEX(T_DECLARATION_OF_CONFORMITY[RESPONSIBLE_PERSON_ID],[@ROW_INDEX])&lt;&gt;"",TRUE,FALSE))</f>
        <v/>
      </c>
      <c r="G3" s="37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3" s="37">
        <f>IF([@DECLARATION_OF_CONFORMITY_ID]="","",IF([@SCOPE_COUNT]&gt;=1,TRUE,FALSE))</f>
        <v/>
      </c>
      <c r="I3" s="37">
        <f>IF([@DECLARATION_OF_CONFORMITY_ID]="","",COUNTIF(T_DOCUMENT_LINK[DECLARATION_OF_CONFORMITY_ID],[@DECLARATION_OF_CONFORMITY_ID]))</f>
        <v/>
      </c>
      <c r="J3" s="37">
        <f>IF([@DECLARATION_OF_CONFORMITY_ID]="","",([@HAS_LEGAL_ENTITY]*25)+([@HAS_TECHNICAL_FILE]*25)+([@HAS_RESPONSIBLE_PERSON]*25)+([@HAS_SCOPE]*25))</f>
        <v/>
      </c>
      <c r="K3" s="37">
        <f>IF([@DECLARATION_OF_CONFORMITY_ID]="","",IF([@COMPLETENESS_SCORE]=100,"COMPLETE","INCOMPLETE"))</f>
        <v/>
      </c>
    </row>
    <row r="4">
      <c r="A4" s="37" t="n">
        <v>3</v>
      </c>
      <c r="B4" s="37">
        <f>IFERROR(INDEX(T_DECLARATION_OF_CONFORMITY[DECLARATION_OF_CONFORMITY_ID],[@ROW_INDEX]),"")</f>
        <v/>
      </c>
      <c r="C4" s="37">
        <f>IFERROR(INDEX(T_DECLARATION_OF_CONFORMITY[DOC_NUMBER],[@ROW_INDEX]),"")</f>
        <v/>
      </c>
      <c r="D4" s="37">
        <f>IF([@DECLARATION_OF_CONFORMITY_ID]="","",IF(INDEX(T_DECLARATION_OF_CONFORMITY[LEGAL_ENTITY_ID],[@ROW_INDEX])&lt;&gt;"",TRUE,FALSE))</f>
        <v/>
      </c>
      <c r="E4" s="37">
        <f>IF([@DECLARATION_OF_CONFORMITY_ID]="","",IF(INDEX(T_DECLARATION_OF_CONFORMITY[TECHNICAL_FILE_ID],[@ROW_INDEX])&lt;&gt;"",TRUE,FALSE))</f>
        <v/>
      </c>
      <c r="F4" s="37">
        <f>IF([@DECLARATION_OF_CONFORMITY_ID]="","",IF(INDEX(T_DECLARATION_OF_CONFORMITY[RESPONSIBLE_PERSON_ID],[@ROW_INDEX])&lt;&gt;"",TRUE,FALSE))</f>
        <v/>
      </c>
      <c r="G4" s="37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4" s="37">
        <f>IF([@DECLARATION_OF_CONFORMITY_ID]="","",IF([@SCOPE_COUNT]&gt;=1,TRUE,FALSE))</f>
        <v/>
      </c>
      <c r="I4" s="37">
        <f>IF([@DECLARATION_OF_CONFORMITY_ID]="","",COUNTIF(T_DOCUMENT_LINK[DECLARATION_OF_CONFORMITY_ID],[@DECLARATION_OF_CONFORMITY_ID]))</f>
        <v/>
      </c>
      <c r="J4" s="37">
        <f>IF([@DECLARATION_OF_CONFORMITY_ID]="","",([@HAS_LEGAL_ENTITY]*25)+([@HAS_TECHNICAL_FILE]*25)+([@HAS_RESPONSIBLE_PERSON]*25)+([@HAS_SCOPE]*25))</f>
        <v/>
      </c>
      <c r="K4" s="37">
        <f>IF([@DECLARATION_OF_CONFORMITY_ID]="","",IF([@COMPLETENESS_SCORE]=100,"COMPLETE","INCOMPLETE"))</f>
        <v/>
      </c>
    </row>
    <row r="5">
      <c r="A5" s="37" t="n">
        <v>4</v>
      </c>
      <c r="B5" s="37">
        <f>IFERROR(INDEX(T_DECLARATION_OF_CONFORMITY[DECLARATION_OF_CONFORMITY_ID],[@ROW_INDEX]),"")</f>
        <v/>
      </c>
      <c r="C5" s="37">
        <f>IFERROR(INDEX(T_DECLARATION_OF_CONFORMITY[DOC_NUMBER],[@ROW_INDEX]),"")</f>
        <v/>
      </c>
      <c r="D5" s="37">
        <f>IF([@DECLARATION_OF_CONFORMITY_ID]="","",IF(INDEX(T_DECLARATION_OF_CONFORMITY[LEGAL_ENTITY_ID],[@ROW_INDEX])&lt;&gt;"",TRUE,FALSE))</f>
        <v/>
      </c>
      <c r="E5" s="37">
        <f>IF([@DECLARATION_OF_CONFORMITY_ID]="","",IF(INDEX(T_DECLARATION_OF_CONFORMITY[TECHNICAL_FILE_ID],[@ROW_INDEX])&lt;&gt;"",TRUE,FALSE))</f>
        <v/>
      </c>
      <c r="F5" s="37">
        <f>IF([@DECLARATION_OF_CONFORMITY_ID]="","",IF(INDEX(T_DECLARATION_OF_CONFORMITY[RESPONSIBLE_PERSON_ID],[@ROW_INDEX])&lt;&gt;"",TRUE,FALSE))</f>
        <v/>
      </c>
      <c r="G5" s="37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5" s="37">
        <f>IF([@DECLARATION_OF_CONFORMITY_ID]="","",IF([@SCOPE_COUNT]&gt;=1,TRUE,FALSE))</f>
        <v/>
      </c>
      <c r="I5" s="37">
        <f>IF([@DECLARATION_OF_CONFORMITY_ID]="","",COUNTIF(T_DOCUMENT_LINK[DECLARATION_OF_CONFORMITY_ID],[@DECLARATION_OF_CONFORMITY_ID]))</f>
        <v/>
      </c>
      <c r="J5" s="37">
        <f>IF([@DECLARATION_OF_CONFORMITY_ID]="","",([@HAS_LEGAL_ENTITY]*25)+([@HAS_TECHNICAL_FILE]*25)+([@HAS_RESPONSIBLE_PERSON]*25)+([@HAS_SCOPE]*25))</f>
        <v/>
      </c>
      <c r="K5" s="37">
        <f>IF([@DECLARATION_OF_CONFORMITY_ID]="","",IF([@COMPLETENESS_SCORE]=100,"COMPLETE","INCOMPLETE"))</f>
        <v/>
      </c>
    </row>
    <row r="6">
      <c r="A6" s="37" t="n">
        <v>5</v>
      </c>
      <c r="B6" s="37">
        <f>IFERROR(INDEX(T_DECLARATION_OF_CONFORMITY[DECLARATION_OF_CONFORMITY_ID],[@ROW_INDEX]),"")</f>
        <v/>
      </c>
      <c r="C6" s="37">
        <f>IFERROR(INDEX(T_DECLARATION_OF_CONFORMITY[DOC_NUMBER],[@ROW_INDEX]),"")</f>
        <v/>
      </c>
      <c r="D6" s="37">
        <f>IF([@DECLARATION_OF_CONFORMITY_ID]="","",IF(INDEX(T_DECLARATION_OF_CONFORMITY[LEGAL_ENTITY_ID],[@ROW_INDEX])&lt;&gt;"",TRUE,FALSE))</f>
        <v/>
      </c>
      <c r="E6" s="37">
        <f>IF([@DECLARATION_OF_CONFORMITY_ID]="","",IF(INDEX(T_DECLARATION_OF_CONFORMITY[TECHNICAL_FILE_ID],[@ROW_INDEX])&lt;&gt;"",TRUE,FALSE))</f>
        <v/>
      </c>
      <c r="F6" s="37">
        <f>IF([@DECLARATION_OF_CONFORMITY_ID]="","",IF(INDEX(T_DECLARATION_OF_CONFORMITY[RESPONSIBLE_PERSON_ID],[@ROW_INDEX])&lt;&gt;"",TRUE,FALSE))</f>
        <v/>
      </c>
      <c r="G6" s="37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6" s="37">
        <f>IF([@DECLARATION_OF_CONFORMITY_ID]="","",IF([@SCOPE_COUNT]&gt;=1,TRUE,FALSE))</f>
        <v/>
      </c>
      <c r="I6" s="37">
        <f>IF([@DECLARATION_OF_CONFORMITY_ID]="","",COUNTIF(T_DOCUMENT_LINK[DECLARATION_OF_CONFORMITY_ID],[@DECLARATION_OF_CONFORMITY_ID]))</f>
        <v/>
      </c>
      <c r="J6" s="37">
        <f>IF([@DECLARATION_OF_CONFORMITY_ID]="","",([@HAS_LEGAL_ENTITY]*25)+([@HAS_TECHNICAL_FILE]*25)+([@HAS_RESPONSIBLE_PERSON]*25)+([@HAS_SCOPE]*25))</f>
        <v/>
      </c>
      <c r="K6" s="37">
        <f>IF([@DECLARATION_OF_CONFORMITY_ID]="","",IF([@COMPLETENESS_SCORE]=100,"COMPLETE","INCOMPLETE"))</f>
        <v/>
      </c>
    </row>
    <row r="7">
      <c r="A7" s="37" t="n">
        <v>6</v>
      </c>
      <c r="B7" s="37">
        <f>IFERROR(INDEX(T_DECLARATION_OF_CONFORMITY[DECLARATION_OF_CONFORMITY_ID],[@ROW_INDEX]),"")</f>
        <v/>
      </c>
      <c r="C7" s="37">
        <f>IFERROR(INDEX(T_DECLARATION_OF_CONFORMITY[DOC_NUMBER],[@ROW_INDEX]),"")</f>
        <v/>
      </c>
      <c r="D7" s="37">
        <f>IF([@DECLARATION_OF_CONFORMITY_ID]="","",IF(INDEX(T_DECLARATION_OF_CONFORMITY[LEGAL_ENTITY_ID],[@ROW_INDEX])&lt;&gt;"",TRUE,FALSE))</f>
        <v/>
      </c>
      <c r="E7" s="37">
        <f>IF([@DECLARATION_OF_CONFORMITY_ID]="","",IF(INDEX(T_DECLARATION_OF_CONFORMITY[TECHNICAL_FILE_ID],[@ROW_INDEX])&lt;&gt;"",TRUE,FALSE))</f>
        <v/>
      </c>
      <c r="F7" s="37">
        <f>IF([@DECLARATION_OF_CONFORMITY_ID]="","",IF(INDEX(T_DECLARATION_OF_CONFORMITY[RESPONSIBLE_PERSON_ID],[@ROW_INDEX])&lt;&gt;"",TRUE,FALSE))</f>
        <v/>
      </c>
      <c r="G7" s="37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7" s="37">
        <f>IF([@DECLARATION_OF_CONFORMITY_ID]="","",IF([@SCOPE_COUNT]&gt;=1,TRUE,FALSE))</f>
        <v/>
      </c>
      <c r="I7" s="37">
        <f>IF([@DECLARATION_OF_CONFORMITY_ID]="","",COUNTIF(T_DOCUMENT_LINK[DECLARATION_OF_CONFORMITY_ID],[@DECLARATION_OF_CONFORMITY_ID]))</f>
        <v/>
      </c>
      <c r="J7" s="37">
        <f>IF([@DECLARATION_OF_CONFORMITY_ID]="","",([@HAS_LEGAL_ENTITY]*25)+([@HAS_TECHNICAL_FILE]*25)+([@HAS_RESPONSIBLE_PERSON]*25)+([@HAS_SCOPE]*25))</f>
        <v/>
      </c>
      <c r="K7" s="37">
        <f>IF([@DECLARATION_OF_CONFORMITY_ID]="","",IF([@COMPLETENESS_SCORE]=100,"COMPLETE","INCOMPLETE"))</f>
        <v/>
      </c>
    </row>
    <row r="8">
      <c r="A8" s="37" t="n">
        <v>7</v>
      </c>
      <c r="B8" s="37">
        <f>IFERROR(INDEX(T_DECLARATION_OF_CONFORMITY[DECLARATION_OF_CONFORMITY_ID],[@ROW_INDEX]),"")</f>
        <v/>
      </c>
      <c r="C8" s="37">
        <f>IFERROR(INDEX(T_DECLARATION_OF_CONFORMITY[DOC_NUMBER],[@ROW_INDEX]),"")</f>
        <v/>
      </c>
      <c r="D8" s="37">
        <f>IF([@DECLARATION_OF_CONFORMITY_ID]="","",IF(INDEX(T_DECLARATION_OF_CONFORMITY[LEGAL_ENTITY_ID],[@ROW_INDEX])&lt;&gt;"",TRUE,FALSE))</f>
        <v/>
      </c>
      <c r="E8" s="37">
        <f>IF([@DECLARATION_OF_CONFORMITY_ID]="","",IF(INDEX(T_DECLARATION_OF_CONFORMITY[TECHNICAL_FILE_ID],[@ROW_INDEX])&lt;&gt;"",TRUE,FALSE))</f>
        <v/>
      </c>
      <c r="F8" s="37">
        <f>IF([@DECLARATION_OF_CONFORMITY_ID]="","",IF(INDEX(T_DECLARATION_OF_CONFORMITY[RESPONSIBLE_PERSON_ID],[@ROW_INDEX])&lt;&gt;"",TRUE,FALSE))</f>
        <v/>
      </c>
      <c r="G8" s="37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8" s="37">
        <f>IF([@DECLARATION_OF_CONFORMITY_ID]="","",IF([@SCOPE_COUNT]&gt;=1,TRUE,FALSE))</f>
        <v/>
      </c>
      <c r="I8" s="37">
        <f>IF([@DECLARATION_OF_CONFORMITY_ID]="","",COUNTIF(T_DOCUMENT_LINK[DECLARATION_OF_CONFORMITY_ID],[@DECLARATION_OF_CONFORMITY_ID]))</f>
        <v/>
      </c>
      <c r="J8" s="37">
        <f>IF([@DECLARATION_OF_CONFORMITY_ID]="","",([@HAS_LEGAL_ENTITY]*25)+([@HAS_TECHNICAL_FILE]*25)+([@HAS_RESPONSIBLE_PERSON]*25)+([@HAS_SCOPE]*25))</f>
        <v/>
      </c>
      <c r="K8" s="37">
        <f>IF([@DECLARATION_OF_CONFORMITY_ID]="","",IF([@COMPLETENESS_SCORE]=100,"COMPLETE","INCOMPLETE"))</f>
        <v/>
      </c>
    </row>
    <row r="9">
      <c r="A9" s="37" t="n">
        <v>8</v>
      </c>
      <c r="B9" s="37">
        <f>IFERROR(INDEX(T_DECLARATION_OF_CONFORMITY[DECLARATION_OF_CONFORMITY_ID],[@ROW_INDEX]),"")</f>
        <v/>
      </c>
      <c r="C9" s="37">
        <f>IFERROR(INDEX(T_DECLARATION_OF_CONFORMITY[DOC_NUMBER],[@ROW_INDEX]),"")</f>
        <v/>
      </c>
      <c r="D9" s="37">
        <f>IF([@DECLARATION_OF_CONFORMITY_ID]="","",IF(INDEX(T_DECLARATION_OF_CONFORMITY[LEGAL_ENTITY_ID],[@ROW_INDEX])&lt;&gt;"",TRUE,FALSE))</f>
        <v/>
      </c>
      <c r="E9" s="37">
        <f>IF([@DECLARATION_OF_CONFORMITY_ID]="","",IF(INDEX(T_DECLARATION_OF_CONFORMITY[TECHNICAL_FILE_ID],[@ROW_INDEX])&lt;&gt;"",TRUE,FALSE))</f>
        <v/>
      </c>
      <c r="F9" s="37">
        <f>IF([@DECLARATION_OF_CONFORMITY_ID]="","",IF(INDEX(T_DECLARATION_OF_CONFORMITY[RESPONSIBLE_PERSON_ID],[@ROW_INDEX])&lt;&gt;"",TRUE,FALSE))</f>
        <v/>
      </c>
      <c r="G9" s="37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9" s="37">
        <f>IF([@DECLARATION_OF_CONFORMITY_ID]="","",IF([@SCOPE_COUNT]&gt;=1,TRUE,FALSE))</f>
        <v/>
      </c>
      <c r="I9" s="37">
        <f>IF([@DECLARATION_OF_CONFORMITY_ID]="","",COUNTIF(T_DOCUMENT_LINK[DECLARATION_OF_CONFORMITY_ID],[@DECLARATION_OF_CONFORMITY_ID]))</f>
        <v/>
      </c>
      <c r="J9" s="37">
        <f>IF([@DECLARATION_OF_CONFORMITY_ID]="","",([@HAS_LEGAL_ENTITY]*25)+([@HAS_TECHNICAL_FILE]*25)+([@HAS_RESPONSIBLE_PERSON]*25)+([@HAS_SCOPE]*25))</f>
        <v/>
      </c>
      <c r="K9" s="37">
        <f>IF([@DECLARATION_OF_CONFORMITY_ID]="","",IF([@COMPLETENESS_SCORE]=100,"COMPLETE","INCOMPLETE"))</f>
        <v/>
      </c>
    </row>
    <row r="10">
      <c r="A10" s="37" t="n">
        <v>9</v>
      </c>
      <c r="B10" s="37">
        <f>IFERROR(INDEX(T_DECLARATION_OF_CONFORMITY[DECLARATION_OF_CONFORMITY_ID],[@ROW_INDEX]),"")</f>
        <v/>
      </c>
      <c r="C10" s="37">
        <f>IFERROR(INDEX(T_DECLARATION_OF_CONFORMITY[DOC_NUMBER],[@ROW_INDEX]),"")</f>
        <v/>
      </c>
      <c r="D10" s="37">
        <f>IF([@DECLARATION_OF_CONFORMITY_ID]="","",IF(INDEX(T_DECLARATION_OF_CONFORMITY[LEGAL_ENTITY_ID],[@ROW_INDEX])&lt;&gt;"",TRUE,FALSE))</f>
        <v/>
      </c>
      <c r="E10" s="37">
        <f>IF([@DECLARATION_OF_CONFORMITY_ID]="","",IF(INDEX(T_DECLARATION_OF_CONFORMITY[TECHNICAL_FILE_ID],[@ROW_INDEX])&lt;&gt;"",TRUE,FALSE))</f>
        <v/>
      </c>
      <c r="F10" s="37">
        <f>IF([@DECLARATION_OF_CONFORMITY_ID]="","",IF(INDEX(T_DECLARATION_OF_CONFORMITY[RESPONSIBLE_PERSON_ID],[@ROW_INDEX])&lt;&gt;"",TRUE,FALSE))</f>
        <v/>
      </c>
      <c r="G10" s="37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10" s="37">
        <f>IF([@DECLARATION_OF_CONFORMITY_ID]="","",IF([@SCOPE_COUNT]&gt;=1,TRUE,FALSE))</f>
        <v/>
      </c>
      <c r="I10" s="37">
        <f>IF([@DECLARATION_OF_CONFORMITY_ID]="","",COUNTIF(T_DOCUMENT_LINK[DECLARATION_OF_CONFORMITY_ID],[@DECLARATION_OF_CONFORMITY_ID]))</f>
        <v/>
      </c>
      <c r="J10" s="37">
        <f>IF([@DECLARATION_OF_CONFORMITY_ID]="","",([@HAS_LEGAL_ENTITY]*25)+([@HAS_TECHNICAL_FILE]*25)+([@HAS_RESPONSIBLE_PERSON]*25)+([@HAS_SCOPE]*25))</f>
        <v/>
      </c>
      <c r="K10" s="37">
        <f>IF([@DECLARATION_OF_CONFORMITY_ID]="","",IF([@COMPLETENESS_SCORE]=100,"COMPLETE","INCOMPLETE"))</f>
        <v/>
      </c>
    </row>
    <row r="11">
      <c r="A11" s="37" t="n">
        <v>10</v>
      </c>
      <c r="B11" s="37">
        <f>IFERROR(INDEX(T_DECLARATION_OF_CONFORMITY[DECLARATION_OF_CONFORMITY_ID],[@ROW_INDEX]),"")</f>
        <v/>
      </c>
      <c r="C11" s="37">
        <f>IFERROR(INDEX(T_DECLARATION_OF_CONFORMITY[DOC_NUMBER],[@ROW_INDEX]),"")</f>
        <v/>
      </c>
      <c r="D11" s="37">
        <f>IF([@DECLARATION_OF_CONFORMITY_ID]="","",IF(INDEX(T_DECLARATION_OF_CONFORMITY[LEGAL_ENTITY_ID],[@ROW_INDEX])&lt;&gt;"",TRUE,FALSE))</f>
        <v/>
      </c>
      <c r="E11" s="37">
        <f>IF([@DECLARATION_OF_CONFORMITY_ID]="","",IF(INDEX(T_DECLARATION_OF_CONFORMITY[TECHNICAL_FILE_ID],[@ROW_INDEX])&lt;&gt;"",TRUE,FALSE))</f>
        <v/>
      </c>
      <c r="F11" s="37">
        <f>IF([@DECLARATION_OF_CONFORMITY_ID]="","",IF(INDEX(T_DECLARATION_OF_CONFORMITY[RESPONSIBLE_PERSON_ID],[@ROW_INDEX])&lt;&gt;"",TRUE,FALSE))</f>
        <v/>
      </c>
      <c r="G11" s="37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11" s="37">
        <f>IF([@DECLARATION_OF_CONFORMITY_ID]="","",IF([@SCOPE_COUNT]&gt;=1,TRUE,FALSE))</f>
        <v/>
      </c>
      <c r="I11" s="37">
        <f>IF([@DECLARATION_OF_CONFORMITY_ID]="","",COUNTIF(T_DOCUMENT_LINK[DECLARATION_OF_CONFORMITY_ID],[@DECLARATION_OF_CONFORMITY_ID]))</f>
        <v/>
      </c>
      <c r="J11" s="37">
        <f>IF([@DECLARATION_OF_CONFORMITY_ID]="","",([@HAS_LEGAL_ENTITY]*25)+([@HAS_TECHNICAL_FILE]*25)+([@HAS_RESPONSIBLE_PERSON]*25)+([@HAS_SCOPE]*25))</f>
        <v/>
      </c>
      <c r="K11" s="37">
        <f>IF([@DECLARATION_OF_CONFORMITY_ID]="","",IF([@COMPLETENESS_SCORE]=100,"COMPLETE","INCOMPLETE"))</f>
        <v/>
      </c>
    </row>
    <row r="12">
      <c r="A12" s="37" t="n">
        <v>11</v>
      </c>
      <c r="B12" s="37">
        <f>IFERROR(INDEX(T_DECLARATION_OF_CONFORMITY[DECLARATION_OF_CONFORMITY_ID],[@ROW_INDEX]),"")</f>
        <v/>
      </c>
      <c r="C12" s="37">
        <f>IFERROR(INDEX(T_DECLARATION_OF_CONFORMITY[DOC_NUMBER],[@ROW_INDEX]),"")</f>
        <v/>
      </c>
      <c r="D12" s="37">
        <f>IF([@DECLARATION_OF_CONFORMITY_ID]="","",IF(INDEX(T_DECLARATION_OF_CONFORMITY[LEGAL_ENTITY_ID],[@ROW_INDEX])&lt;&gt;"",TRUE,FALSE))</f>
        <v/>
      </c>
      <c r="E12" s="37">
        <f>IF([@DECLARATION_OF_CONFORMITY_ID]="","",IF(INDEX(T_DECLARATION_OF_CONFORMITY[TECHNICAL_FILE_ID],[@ROW_INDEX])&lt;&gt;"",TRUE,FALSE))</f>
        <v/>
      </c>
      <c r="F12" s="37">
        <f>IF([@DECLARATION_OF_CONFORMITY_ID]="","",IF(INDEX(T_DECLARATION_OF_CONFORMITY[RESPONSIBLE_PERSON_ID],[@ROW_INDEX])&lt;&gt;"",TRUE,FALSE))</f>
        <v/>
      </c>
      <c r="G12" s="37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12" s="37">
        <f>IF([@DECLARATION_OF_CONFORMITY_ID]="","",IF([@SCOPE_COUNT]&gt;=1,TRUE,FALSE))</f>
        <v/>
      </c>
      <c r="I12" s="37">
        <f>IF([@DECLARATION_OF_CONFORMITY_ID]="","",COUNTIF(T_DOCUMENT_LINK[DECLARATION_OF_CONFORMITY_ID],[@DECLARATION_OF_CONFORMITY_ID]))</f>
        <v/>
      </c>
      <c r="J12" s="37">
        <f>IF([@DECLARATION_OF_CONFORMITY_ID]="","",([@HAS_LEGAL_ENTITY]*25)+([@HAS_TECHNICAL_FILE]*25)+([@HAS_RESPONSIBLE_PERSON]*25)+([@HAS_SCOPE]*25))</f>
        <v/>
      </c>
      <c r="K12" s="37">
        <f>IF([@DECLARATION_OF_CONFORMITY_ID]="","",IF([@COMPLETENESS_SCORE]=100,"COMPLETE","INCOMPLETE"))</f>
        <v/>
      </c>
    </row>
    <row r="13">
      <c r="A13" s="37" t="n">
        <v>12</v>
      </c>
      <c r="B13" s="37">
        <f>IFERROR(INDEX(T_DECLARATION_OF_CONFORMITY[DECLARATION_OF_CONFORMITY_ID],[@ROW_INDEX]),"")</f>
        <v/>
      </c>
      <c r="C13" s="37">
        <f>IFERROR(INDEX(T_DECLARATION_OF_CONFORMITY[DOC_NUMBER],[@ROW_INDEX]),"")</f>
        <v/>
      </c>
      <c r="D13" s="37">
        <f>IF([@DECLARATION_OF_CONFORMITY_ID]="","",IF(INDEX(T_DECLARATION_OF_CONFORMITY[LEGAL_ENTITY_ID],[@ROW_INDEX])&lt;&gt;"",TRUE,FALSE))</f>
        <v/>
      </c>
      <c r="E13" s="37">
        <f>IF([@DECLARATION_OF_CONFORMITY_ID]="","",IF(INDEX(T_DECLARATION_OF_CONFORMITY[TECHNICAL_FILE_ID],[@ROW_INDEX])&lt;&gt;"",TRUE,FALSE))</f>
        <v/>
      </c>
      <c r="F13" s="37">
        <f>IF([@DECLARATION_OF_CONFORMITY_ID]="","",IF(INDEX(T_DECLARATION_OF_CONFORMITY[RESPONSIBLE_PERSON_ID],[@ROW_INDEX])&lt;&gt;"",TRUE,FALSE))</f>
        <v/>
      </c>
      <c r="G13" s="37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13" s="37">
        <f>IF([@DECLARATION_OF_CONFORMITY_ID]="","",IF([@SCOPE_COUNT]&gt;=1,TRUE,FALSE))</f>
        <v/>
      </c>
      <c r="I13" s="37">
        <f>IF([@DECLARATION_OF_CONFORMITY_ID]="","",COUNTIF(T_DOCUMENT_LINK[DECLARATION_OF_CONFORMITY_ID],[@DECLARATION_OF_CONFORMITY_ID]))</f>
        <v/>
      </c>
      <c r="J13" s="37">
        <f>IF([@DECLARATION_OF_CONFORMITY_ID]="","",([@HAS_LEGAL_ENTITY]*25)+([@HAS_TECHNICAL_FILE]*25)+([@HAS_RESPONSIBLE_PERSON]*25)+([@HAS_SCOPE]*25))</f>
        <v/>
      </c>
      <c r="K13" s="37">
        <f>IF([@DECLARATION_OF_CONFORMITY_ID]="","",IF([@COMPLETENESS_SCORE]=100,"COMPLETE","INCOMPLETE"))</f>
        <v/>
      </c>
    </row>
    <row r="14">
      <c r="A14" s="37" t="n">
        <v>13</v>
      </c>
      <c r="B14" s="37">
        <f>IFERROR(INDEX(T_DECLARATION_OF_CONFORMITY[DECLARATION_OF_CONFORMITY_ID],[@ROW_INDEX]),"")</f>
        <v/>
      </c>
      <c r="C14" s="37">
        <f>IFERROR(INDEX(T_DECLARATION_OF_CONFORMITY[DOC_NUMBER],[@ROW_INDEX]),"")</f>
        <v/>
      </c>
      <c r="D14" s="37">
        <f>IF([@DECLARATION_OF_CONFORMITY_ID]="","",IF(INDEX(T_DECLARATION_OF_CONFORMITY[LEGAL_ENTITY_ID],[@ROW_INDEX])&lt;&gt;"",TRUE,FALSE))</f>
        <v/>
      </c>
      <c r="E14" s="37">
        <f>IF([@DECLARATION_OF_CONFORMITY_ID]="","",IF(INDEX(T_DECLARATION_OF_CONFORMITY[TECHNICAL_FILE_ID],[@ROW_INDEX])&lt;&gt;"",TRUE,FALSE))</f>
        <v/>
      </c>
      <c r="F14" s="37">
        <f>IF([@DECLARATION_OF_CONFORMITY_ID]="","",IF(INDEX(T_DECLARATION_OF_CONFORMITY[RESPONSIBLE_PERSON_ID],[@ROW_INDEX])&lt;&gt;"",TRUE,FALSE))</f>
        <v/>
      </c>
      <c r="G14" s="37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14" s="37">
        <f>IF([@DECLARATION_OF_CONFORMITY_ID]="","",IF([@SCOPE_COUNT]&gt;=1,TRUE,FALSE))</f>
        <v/>
      </c>
      <c r="I14" s="37">
        <f>IF([@DECLARATION_OF_CONFORMITY_ID]="","",COUNTIF(T_DOCUMENT_LINK[DECLARATION_OF_CONFORMITY_ID],[@DECLARATION_OF_CONFORMITY_ID]))</f>
        <v/>
      </c>
      <c r="J14" s="37">
        <f>IF([@DECLARATION_OF_CONFORMITY_ID]="","",([@HAS_LEGAL_ENTITY]*25)+([@HAS_TECHNICAL_FILE]*25)+([@HAS_RESPONSIBLE_PERSON]*25)+([@HAS_SCOPE]*25))</f>
        <v/>
      </c>
      <c r="K14" s="37">
        <f>IF([@DECLARATION_OF_CONFORMITY_ID]="","",IF([@COMPLETENESS_SCORE]=100,"COMPLETE","INCOMPLETE"))</f>
        <v/>
      </c>
    </row>
    <row r="15">
      <c r="A15" s="37" t="n">
        <v>14</v>
      </c>
      <c r="B15" s="37">
        <f>IFERROR(INDEX(T_DECLARATION_OF_CONFORMITY[DECLARATION_OF_CONFORMITY_ID],[@ROW_INDEX]),"")</f>
        <v/>
      </c>
      <c r="C15" s="37">
        <f>IFERROR(INDEX(T_DECLARATION_OF_CONFORMITY[DOC_NUMBER],[@ROW_INDEX]),"")</f>
        <v/>
      </c>
      <c r="D15" s="37">
        <f>IF([@DECLARATION_OF_CONFORMITY_ID]="","",IF(INDEX(T_DECLARATION_OF_CONFORMITY[LEGAL_ENTITY_ID],[@ROW_INDEX])&lt;&gt;"",TRUE,FALSE))</f>
        <v/>
      </c>
      <c r="E15" s="37">
        <f>IF([@DECLARATION_OF_CONFORMITY_ID]="","",IF(INDEX(T_DECLARATION_OF_CONFORMITY[TECHNICAL_FILE_ID],[@ROW_INDEX])&lt;&gt;"",TRUE,FALSE))</f>
        <v/>
      </c>
      <c r="F15" s="37">
        <f>IF([@DECLARATION_OF_CONFORMITY_ID]="","",IF(INDEX(T_DECLARATION_OF_CONFORMITY[RESPONSIBLE_PERSON_ID],[@ROW_INDEX])&lt;&gt;"",TRUE,FALSE))</f>
        <v/>
      </c>
      <c r="G15" s="37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15" s="37">
        <f>IF([@DECLARATION_OF_CONFORMITY_ID]="","",IF([@SCOPE_COUNT]&gt;=1,TRUE,FALSE))</f>
        <v/>
      </c>
      <c r="I15" s="37">
        <f>IF([@DECLARATION_OF_CONFORMITY_ID]="","",COUNTIF(T_DOCUMENT_LINK[DECLARATION_OF_CONFORMITY_ID],[@DECLARATION_OF_CONFORMITY_ID]))</f>
        <v/>
      </c>
      <c r="J15" s="37">
        <f>IF([@DECLARATION_OF_CONFORMITY_ID]="","",([@HAS_LEGAL_ENTITY]*25)+([@HAS_TECHNICAL_FILE]*25)+([@HAS_RESPONSIBLE_PERSON]*25)+([@HAS_SCOPE]*25))</f>
        <v/>
      </c>
      <c r="K15" s="37">
        <f>IF([@DECLARATION_OF_CONFORMITY_ID]="","",IF([@COMPLETENESS_SCORE]=100,"COMPLETE","INCOMPLETE"))</f>
        <v/>
      </c>
    </row>
    <row r="16">
      <c r="A16" s="37" t="n">
        <v>15</v>
      </c>
      <c r="B16" s="37">
        <f>IFERROR(INDEX(T_DECLARATION_OF_CONFORMITY[DECLARATION_OF_CONFORMITY_ID],[@ROW_INDEX]),"")</f>
        <v/>
      </c>
      <c r="C16" s="37">
        <f>IFERROR(INDEX(T_DECLARATION_OF_CONFORMITY[DOC_NUMBER],[@ROW_INDEX]),"")</f>
        <v/>
      </c>
      <c r="D16" s="37">
        <f>IF([@DECLARATION_OF_CONFORMITY_ID]="","",IF(INDEX(T_DECLARATION_OF_CONFORMITY[LEGAL_ENTITY_ID],[@ROW_INDEX])&lt;&gt;"",TRUE,FALSE))</f>
        <v/>
      </c>
      <c r="E16" s="37">
        <f>IF([@DECLARATION_OF_CONFORMITY_ID]="","",IF(INDEX(T_DECLARATION_OF_CONFORMITY[TECHNICAL_FILE_ID],[@ROW_INDEX])&lt;&gt;"",TRUE,FALSE))</f>
        <v/>
      </c>
      <c r="F16" s="37">
        <f>IF([@DECLARATION_OF_CONFORMITY_ID]="","",IF(INDEX(T_DECLARATION_OF_CONFORMITY[RESPONSIBLE_PERSON_ID],[@ROW_INDEX])&lt;&gt;"",TRUE,FALSE))</f>
        <v/>
      </c>
      <c r="G16" s="37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16" s="37">
        <f>IF([@DECLARATION_OF_CONFORMITY_ID]="","",IF([@SCOPE_COUNT]&gt;=1,TRUE,FALSE))</f>
        <v/>
      </c>
      <c r="I16" s="37">
        <f>IF([@DECLARATION_OF_CONFORMITY_ID]="","",COUNTIF(T_DOCUMENT_LINK[DECLARATION_OF_CONFORMITY_ID],[@DECLARATION_OF_CONFORMITY_ID]))</f>
        <v/>
      </c>
      <c r="J16" s="37">
        <f>IF([@DECLARATION_OF_CONFORMITY_ID]="","",([@HAS_LEGAL_ENTITY]*25)+([@HAS_TECHNICAL_FILE]*25)+([@HAS_RESPONSIBLE_PERSON]*25)+([@HAS_SCOPE]*25))</f>
        <v/>
      </c>
      <c r="K16" s="37">
        <f>IF([@DECLARATION_OF_CONFORMITY_ID]="","",IF([@COMPLETENESS_SCORE]=100,"COMPLETE","INCOMPLETE"))</f>
        <v/>
      </c>
    </row>
    <row r="17">
      <c r="A17" s="37" t="n">
        <v>16</v>
      </c>
      <c r="B17" s="37">
        <f>IFERROR(INDEX(T_DECLARATION_OF_CONFORMITY[DECLARATION_OF_CONFORMITY_ID],[@ROW_INDEX]),"")</f>
        <v/>
      </c>
      <c r="C17" s="37">
        <f>IFERROR(INDEX(T_DECLARATION_OF_CONFORMITY[DOC_NUMBER],[@ROW_INDEX]),"")</f>
        <v/>
      </c>
      <c r="D17" s="37">
        <f>IF([@DECLARATION_OF_CONFORMITY_ID]="","",IF(INDEX(T_DECLARATION_OF_CONFORMITY[LEGAL_ENTITY_ID],[@ROW_INDEX])&lt;&gt;"",TRUE,FALSE))</f>
        <v/>
      </c>
      <c r="E17" s="37">
        <f>IF([@DECLARATION_OF_CONFORMITY_ID]="","",IF(INDEX(T_DECLARATION_OF_CONFORMITY[TECHNICAL_FILE_ID],[@ROW_INDEX])&lt;&gt;"",TRUE,FALSE))</f>
        <v/>
      </c>
      <c r="F17" s="37">
        <f>IF([@DECLARATION_OF_CONFORMITY_ID]="","",IF(INDEX(T_DECLARATION_OF_CONFORMITY[RESPONSIBLE_PERSON_ID],[@ROW_INDEX])&lt;&gt;"",TRUE,FALSE))</f>
        <v/>
      </c>
      <c r="G17" s="37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17" s="37">
        <f>IF([@DECLARATION_OF_CONFORMITY_ID]="","",IF([@SCOPE_COUNT]&gt;=1,TRUE,FALSE))</f>
        <v/>
      </c>
      <c r="I17" s="37">
        <f>IF([@DECLARATION_OF_CONFORMITY_ID]="","",COUNTIF(T_DOCUMENT_LINK[DECLARATION_OF_CONFORMITY_ID],[@DECLARATION_OF_CONFORMITY_ID]))</f>
        <v/>
      </c>
      <c r="J17" s="37">
        <f>IF([@DECLARATION_OF_CONFORMITY_ID]="","",([@HAS_LEGAL_ENTITY]*25)+([@HAS_TECHNICAL_FILE]*25)+([@HAS_RESPONSIBLE_PERSON]*25)+([@HAS_SCOPE]*25))</f>
        <v/>
      </c>
      <c r="K17" s="37">
        <f>IF([@DECLARATION_OF_CONFORMITY_ID]="","",IF([@COMPLETENESS_SCORE]=100,"COMPLETE","INCOMPLETE"))</f>
        <v/>
      </c>
    </row>
    <row r="18">
      <c r="A18" s="37" t="n">
        <v>17</v>
      </c>
      <c r="B18" s="37">
        <f>IFERROR(INDEX(T_DECLARATION_OF_CONFORMITY[DECLARATION_OF_CONFORMITY_ID],[@ROW_INDEX]),"")</f>
        <v/>
      </c>
      <c r="C18" s="37">
        <f>IFERROR(INDEX(T_DECLARATION_OF_CONFORMITY[DOC_NUMBER],[@ROW_INDEX]),"")</f>
        <v/>
      </c>
      <c r="D18" s="37">
        <f>IF([@DECLARATION_OF_CONFORMITY_ID]="","",IF(INDEX(T_DECLARATION_OF_CONFORMITY[LEGAL_ENTITY_ID],[@ROW_INDEX])&lt;&gt;"",TRUE,FALSE))</f>
        <v/>
      </c>
      <c r="E18" s="37">
        <f>IF([@DECLARATION_OF_CONFORMITY_ID]="","",IF(INDEX(T_DECLARATION_OF_CONFORMITY[TECHNICAL_FILE_ID],[@ROW_INDEX])&lt;&gt;"",TRUE,FALSE))</f>
        <v/>
      </c>
      <c r="F18" s="37">
        <f>IF([@DECLARATION_OF_CONFORMITY_ID]="","",IF(INDEX(T_DECLARATION_OF_CONFORMITY[RESPONSIBLE_PERSON_ID],[@ROW_INDEX])&lt;&gt;"",TRUE,FALSE))</f>
        <v/>
      </c>
      <c r="G18" s="37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18" s="37">
        <f>IF([@DECLARATION_OF_CONFORMITY_ID]="","",IF([@SCOPE_COUNT]&gt;=1,TRUE,FALSE))</f>
        <v/>
      </c>
      <c r="I18" s="37">
        <f>IF([@DECLARATION_OF_CONFORMITY_ID]="","",COUNTIF(T_DOCUMENT_LINK[DECLARATION_OF_CONFORMITY_ID],[@DECLARATION_OF_CONFORMITY_ID]))</f>
        <v/>
      </c>
      <c r="J18" s="37">
        <f>IF([@DECLARATION_OF_CONFORMITY_ID]="","",([@HAS_LEGAL_ENTITY]*25)+([@HAS_TECHNICAL_FILE]*25)+([@HAS_RESPONSIBLE_PERSON]*25)+([@HAS_SCOPE]*25))</f>
        <v/>
      </c>
      <c r="K18" s="37">
        <f>IF([@DECLARATION_OF_CONFORMITY_ID]="","",IF([@COMPLETENESS_SCORE]=100,"COMPLETE","INCOMPLETE"))</f>
        <v/>
      </c>
    </row>
    <row r="19">
      <c r="A19" s="37" t="n">
        <v>18</v>
      </c>
      <c r="B19" s="37">
        <f>IFERROR(INDEX(T_DECLARATION_OF_CONFORMITY[DECLARATION_OF_CONFORMITY_ID],[@ROW_INDEX]),"")</f>
        <v/>
      </c>
      <c r="C19" s="37">
        <f>IFERROR(INDEX(T_DECLARATION_OF_CONFORMITY[DOC_NUMBER],[@ROW_INDEX]),"")</f>
        <v/>
      </c>
      <c r="D19" s="37">
        <f>IF([@DECLARATION_OF_CONFORMITY_ID]="","",IF(INDEX(T_DECLARATION_OF_CONFORMITY[LEGAL_ENTITY_ID],[@ROW_INDEX])&lt;&gt;"",TRUE,FALSE))</f>
        <v/>
      </c>
      <c r="E19" s="37">
        <f>IF([@DECLARATION_OF_CONFORMITY_ID]="","",IF(INDEX(T_DECLARATION_OF_CONFORMITY[TECHNICAL_FILE_ID],[@ROW_INDEX])&lt;&gt;"",TRUE,FALSE))</f>
        <v/>
      </c>
      <c r="F19" s="37">
        <f>IF([@DECLARATION_OF_CONFORMITY_ID]="","",IF(INDEX(T_DECLARATION_OF_CONFORMITY[RESPONSIBLE_PERSON_ID],[@ROW_INDEX])&lt;&gt;"",TRUE,FALSE))</f>
        <v/>
      </c>
      <c r="G19" s="37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19" s="37">
        <f>IF([@DECLARATION_OF_CONFORMITY_ID]="","",IF([@SCOPE_COUNT]&gt;=1,TRUE,FALSE))</f>
        <v/>
      </c>
      <c r="I19" s="37">
        <f>IF([@DECLARATION_OF_CONFORMITY_ID]="","",COUNTIF(T_DOCUMENT_LINK[DECLARATION_OF_CONFORMITY_ID],[@DECLARATION_OF_CONFORMITY_ID]))</f>
        <v/>
      </c>
      <c r="J19" s="37">
        <f>IF([@DECLARATION_OF_CONFORMITY_ID]="","",([@HAS_LEGAL_ENTITY]*25)+([@HAS_TECHNICAL_FILE]*25)+([@HAS_RESPONSIBLE_PERSON]*25)+([@HAS_SCOPE]*25))</f>
        <v/>
      </c>
      <c r="K19" s="37">
        <f>IF([@DECLARATION_OF_CONFORMITY_ID]="","",IF([@COMPLETENESS_SCORE]=100,"COMPLETE","INCOMPLETE"))</f>
        <v/>
      </c>
    </row>
    <row r="20">
      <c r="A20" s="37" t="n">
        <v>19</v>
      </c>
      <c r="B20" s="37">
        <f>IFERROR(INDEX(T_DECLARATION_OF_CONFORMITY[DECLARATION_OF_CONFORMITY_ID],[@ROW_INDEX]),"")</f>
        <v/>
      </c>
      <c r="C20" s="37">
        <f>IFERROR(INDEX(T_DECLARATION_OF_CONFORMITY[DOC_NUMBER],[@ROW_INDEX]),"")</f>
        <v/>
      </c>
      <c r="D20" s="37">
        <f>IF([@DECLARATION_OF_CONFORMITY_ID]="","",IF(INDEX(T_DECLARATION_OF_CONFORMITY[LEGAL_ENTITY_ID],[@ROW_INDEX])&lt;&gt;"",TRUE,FALSE))</f>
        <v/>
      </c>
      <c r="E20" s="37">
        <f>IF([@DECLARATION_OF_CONFORMITY_ID]="","",IF(INDEX(T_DECLARATION_OF_CONFORMITY[TECHNICAL_FILE_ID],[@ROW_INDEX])&lt;&gt;"",TRUE,FALSE))</f>
        <v/>
      </c>
      <c r="F20" s="37">
        <f>IF([@DECLARATION_OF_CONFORMITY_ID]="","",IF(INDEX(T_DECLARATION_OF_CONFORMITY[RESPONSIBLE_PERSON_ID],[@ROW_INDEX])&lt;&gt;"",TRUE,FALSE))</f>
        <v/>
      </c>
      <c r="G20" s="37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20" s="37">
        <f>IF([@DECLARATION_OF_CONFORMITY_ID]="","",IF([@SCOPE_COUNT]&gt;=1,TRUE,FALSE))</f>
        <v/>
      </c>
      <c r="I20" s="37">
        <f>IF([@DECLARATION_OF_CONFORMITY_ID]="","",COUNTIF(T_DOCUMENT_LINK[DECLARATION_OF_CONFORMITY_ID],[@DECLARATION_OF_CONFORMITY_ID]))</f>
        <v/>
      </c>
      <c r="J20" s="37">
        <f>IF([@DECLARATION_OF_CONFORMITY_ID]="","",([@HAS_LEGAL_ENTITY]*25)+([@HAS_TECHNICAL_FILE]*25)+([@HAS_RESPONSIBLE_PERSON]*25)+([@HAS_SCOPE]*25))</f>
        <v/>
      </c>
      <c r="K20" s="37">
        <f>IF([@DECLARATION_OF_CONFORMITY_ID]="","",IF([@COMPLETENESS_SCORE]=100,"COMPLETE","INCOMPLETE"))</f>
        <v/>
      </c>
    </row>
    <row r="21">
      <c r="A21" s="37" t="n">
        <v>20</v>
      </c>
      <c r="B21" s="37">
        <f>IFERROR(INDEX(T_DECLARATION_OF_CONFORMITY[DECLARATION_OF_CONFORMITY_ID],[@ROW_INDEX]),"")</f>
        <v/>
      </c>
      <c r="C21" s="37">
        <f>IFERROR(INDEX(T_DECLARATION_OF_CONFORMITY[DOC_NUMBER],[@ROW_INDEX]),"")</f>
        <v/>
      </c>
      <c r="D21" s="37">
        <f>IF([@DECLARATION_OF_CONFORMITY_ID]="","",IF(INDEX(T_DECLARATION_OF_CONFORMITY[LEGAL_ENTITY_ID],[@ROW_INDEX])&lt;&gt;"",TRUE,FALSE))</f>
        <v/>
      </c>
      <c r="E21" s="37">
        <f>IF([@DECLARATION_OF_CONFORMITY_ID]="","",IF(INDEX(T_DECLARATION_OF_CONFORMITY[TECHNICAL_FILE_ID],[@ROW_INDEX])&lt;&gt;"",TRUE,FALSE))</f>
        <v/>
      </c>
      <c r="F21" s="37">
        <f>IF([@DECLARATION_OF_CONFORMITY_ID]="","",IF(INDEX(T_DECLARATION_OF_CONFORMITY[RESPONSIBLE_PERSON_ID],[@ROW_INDEX])&lt;&gt;"",TRUE,FALSE))</f>
        <v/>
      </c>
      <c r="G21" s="37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21" s="37">
        <f>IF([@DECLARATION_OF_CONFORMITY_ID]="","",IF([@SCOPE_COUNT]&gt;=1,TRUE,FALSE))</f>
        <v/>
      </c>
      <c r="I21" s="37">
        <f>IF([@DECLARATION_OF_CONFORMITY_ID]="","",COUNTIF(T_DOCUMENT_LINK[DECLARATION_OF_CONFORMITY_ID],[@DECLARATION_OF_CONFORMITY_ID]))</f>
        <v/>
      </c>
      <c r="J21" s="37">
        <f>IF([@DECLARATION_OF_CONFORMITY_ID]="","",([@HAS_LEGAL_ENTITY]*25)+([@HAS_TECHNICAL_FILE]*25)+([@HAS_RESPONSIBLE_PERSON]*25)+([@HAS_SCOPE]*25))</f>
        <v/>
      </c>
      <c r="K21" s="37">
        <f>IF([@DECLARATION_OF_CONFORMITY_ID]="","",IF([@COMPLETENESS_SCORE]=100,"COMPLETE","INCOMPLETE"))</f>
        <v/>
      </c>
    </row>
    <row r="22">
      <c r="A22" s="37" t="n">
        <v>21</v>
      </c>
      <c r="B22" s="37">
        <f>IFERROR(INDEX(T_DECLARATION_OF_CONFORMITY[DECLARATION_OF_CONFORMITY_ID],[@ROW_INDEX]),"")</f>
        <v/>
      </c>
      <c r="C22" s="37">
        <f>IFERROR(INDEX(T_DECLARATION_OF_CONFORMITY[DOC_NUMBER],[@ROW_INDEX]),"")</f>
        <v/>
      </c>
      <c r="D22" s="37">
        <f>IF([@DECLARATION_OF_CONFORMITY_ID]="","",IF(INDEX(T_DECLARATION_OF_CONFORMITY[LEGAL_ENTITY_ID],[@ROW_INDEX])&lt;&gt;"",TRUE,FALSE))</f>
        <v/>
      </c>
      <c r="E22" s="37">
        <f>IF([@DECLARATION_OF_CONFORMITY_ID]="","",IF(INDEX(T_DECLARATION_OF_CONFORMITY[TECHNICAL_FILE_ID],[@ROW_INDEX])&lt;&gt;"",TRUE,FALSE))</f>
        <v/>
      </c>
      <c r="F22" s="37">
        <f>IF([@DECLARATION_OF_CONFORMITY_ID]="","",IF(INDEX(T_DECLARATION_OF_CONFORMITY[RESPONSIBLE_PERSON_ID],[@ROW_INDEX])&lt;&gt;"",TRUE,FALSE))</f>
        <v/>
      </c>
      <c r="G22" s="37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22" s="37">
        <f>IF([@DECLARATION_OF_CONFORMITY_ID]="","",IF([@SCOPE_COUNT]&gt;=1,TRUE,FALSE))</f>
        <v/>
      </c>
      <c r="I22" s="37">
        <f>IF([@DECLARATION_OF_CONFORMITY_ID]="","",COUNTIF(T_DOCUMENT_LINK[DECLARATION_OF_CONFORMITY_ID],[@DECLARATION_OF_CONFORMITY_ID]))</f>
        <v/>
      </c>
      <c r="J22" s="37">
        <f>IF([@DECLARATION_OF_CONFORMITY_ID]="","",([@HAS_LEGAL_ENTITY]*25)+([@HAS_TECHNICAL_FILE]*25)+([@HAS_RESPONSIBLE_PERSON]*25)+([@HAS_SCOPE]*25))</f>
        <v/>
      </c>
      <c r="K22" s="37">
        <f>IF([@DECLARATION_OF_CONFORMITY_ID]="","",IF([@COMPLETENESS_SCORE]=100,"COMPLETE","INCOMPLETE"))</f>
        <v/>
      </c>
    </row>
    <row r="23">
      <c r="A23" s="37" t="n">
        <v>22</v>
      </c>
      <c r="B23" s="37">
        <f>IFERROR(INDEX(T_DECLARATION_OF_CONFORMITY[DECLARATION_OF_CONFORMITY_ID],[@ROW_INDEX]),"")</f>
        <v/>
      </c>
      <c r="C23" s="37">
        <f>IFERROR(INDEX(T_DECLARATION_OF_CONFORMITY[DOC_NUMBER],[@ROW_INDEX]),"")</f>
        <v/>
      </c>
      <c r="D23" s="37">
        <f>IF([@DECLARATION_OF_CONFORMITY_ID]="","",IF(INDEX(T_DECLARATION_OF_CONFORMITY[LEGAL_ENTITY_ID],[@ROW_INDEX])&lt;&gt;"",TRUE,FALSE))</f>
        <v/>
      </c>
      <c r="E23" s="37">
        <f>IF([@DECLARATION_OF_CONFORMITY_ID]="","",IF(INDEX(T_DECLARATION_OF_CONFORMITY[TECHNICAL_FILE_ID],[@ROW_INDEX])&lt;&gt;"",TRUE,FALSE))</f>
        <v/>
      </c>
      <c r="F23" s="37">
        <f>IF([@DECLARATION_OF_CONFORMITY_ID]="","",IF(INDEX(T_DECLARATION_OF_CONFORMITY[RESPONSIBLE_PERSON_ID],[@ROW_INDEX])&lt;&gt;"",TRUE,FALSE))</f>
        <v/>
      </c>
      <c r="G23" s="37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23" s="37">
        <f>IF([@DECLARATION_OF_CONFORMITY_ID]="","",IF([@SCOPE_COUNT]&gt;=1,TRUE,FALSE))</f>
        <v/>
      </c>
      <c r="I23" s="37">
        <f>IF([@DECLARATION_OF_CONFORMITY_ID]="","",COUNTIF(T_DOCUMENT_LINK[DECLARATION_OF_CONFORMITY_ID],[@DECLARATION_OF_CONFORMITY_ID]))</f>
        <v/>
      </c>
      <c r="J23" s="37">
        <f>IF([@DECLARATION_OF_CONFORMITY_ID]="","",([@HAS_LEGAL_ENTITY]*25)+([@HAS_TECHNICAL_FILE]*25)+([@HAS_RESPONSIBLE_PERSON]*25)+([@HAS_SCOPE]*25))</f>
        <v/>
      </c>
      <c r="K23" s="37">
        <f>IF([@DECLARATION_OF_CONFORMITY_ID]="","",IF([@COMPLETENESS_SCORE]=100,"COMPLETE","INCOMPLETE"))</f>
        <v/>
      </c>
    </row>
    <row r="24">
      <c r="A24" s="37" t="n">
        <v>23</v>
      </c>
      <c r="B24" s="37">
        <f>IFERROR(INDEX(T_DECLARATION_OF_CONFORMITY[DECLARATION_OF_CONFORMITY_ID],[@ROW_INDEX]),"")</f>
        <v/>
      </c>
      <c r="C24" s="37">
        <f>IFERROR(INDEX(T_DECLARATION_OF_CONFORMITY[DOC_NUMBER],[@ROW_INDEX]),"")</f>
        <v/>
      </c>
      <c r="D24" s="37">
        <f>IF([@DECLARATION_OF_CONFORMITY_ID]="","",IF(INDEX(T_DECLARATION_OF_CONFORMITY[LEGAL_ENTITY_ID],[@ROW_INDEX])&lt;&gt;"",TRUE,FALSE))</f>
        <v/>
      </c>
      <c r="E24" s="37">
        <f>IF([@DECLARATION_OF_CONFORMITY_ID]="","",IF(INDEX(T_DECLARATION_OF_CONFORMITY[TECHNICAL_FILE_ID],[@ROW_INDEX])&lt;&gt;"",TRUE,FALSE))</f>
        <v/>
      </c>
      <c r="F24" s="37">
        <f>IF([@DECLARATION_OF_CONFORMITY_ID]="","",IF(INDEX(T_DECLARATION_OF_CONFORMITY[RESPONSIBLE_PERSON_ID],[@ROW_INDEX])&lt;&gt;"",TRUE,FALSE))</f>
        <v/>
      </c>
      <c r="G24" s="37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24" s="37">
        <f>IF([@DECLARATION_OF_CONFORMITY_ID]="","",IF([@SCOPE_COUNT]&gt;=1,TRUE,FALSE))</f>
        <v/>
      </c>
      <c r="I24" s="37">
        <f>IF([@DECLARATION_OF_CONFORMITY_ID]="","",COUNTIF(T_DOCUMENT_LINK[DECLARATION_OF_CONFORMITY_ID],[@DECLARATION_OF_CONFORMITY_ID]))</f>
        <v/>
      </c>
      <c r="J24" s="37">
        <f>IF([@DECLARATION_OF_CONFORMITY_ID]="","",([@HAS_LEGAL_ENTITY]*25)+([@HAS_TECHNICAL_FILE]*25)+([@HAS_RESPONSIBLE_PERSON]*25)+([@HAS_SCOPE]*25))</f>
        <v/>
      </c>
      <c r="K24" s="37">
        <f>IF([@DECLARATION_OF_CONFORMITY_ID]="","",IF([@COMPLETENESS_SCORE]=100,"COMPLETE","INCOMPLETE"))</f>
        <v/>
      </c>
    </row>
    <row r="25">
      <c r="A25" s="37" t="n">
        <v>24</v>
      </c>
      <c r="B25" s="37">
        <f>IFERROR(INDEX(T_DECLARATION_OF_CONFORMITY[DECLARATION_OF_CONFORMITY_ID],[@ROW_INDEX]),"")</f>
        <v/>
      </c>
      <c r="C25" s="37">
        <f>IFERROR(INDEX(T_DECLARATION_OF_CONFORMITY[DOC_NUMBER],[@ROW_INDEX]),"")</f>
        <v/>
      </c>
      <c r="D25" s="37">
        <f>IF([@DECLARATION_OF_CONFORMITY_ID]="","",IF(INDEX(T_DECLARATION_OF_CONFORMITY[LEGAL_ENTITY_ID],[@ROW_INDEX])&lt;&gt;"",TRUE,FALSE))</f>
        <v/>
      </c>
      <c r="E25" s="37">
        <f>IF([@DECLARATION_OF_CONFORMITY_ID]="","",IF(INDEX(T_DECLARATION_OF_CONFORMITY[TECHNICAL_FILE_ID],[@ROW_INDEX])&lt;&gt;"",TRUE,FALSE))</f>
        <v/>
      </c>
      <c r="F25" s="37">
        <f>IF([@DECLARATION_OF_CONFORMITY_ID]="","",IF(INDEX(T_DECLARATION_OF_CONFORMITY[RESPONSIBLE_PERSON_ID],[@ROW_INDEX])&lt;&gt;"",TRUE,FALSE))</f>
        <v/>
      </c>
      <c r="G25" s="37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25" s="37">
        <f>IF([@DECLARATION_OF_CONFORMITY_ID]="","",IF([@SCOPE_COUNT]&gt;=1,TRUE,FALSE))</f>
        <v/>
      </c>
      <c r="I25" s="37">
        <f>IF([@DECLARATION_OF_CONFORMITY_ID]="","",COUNTIF(T_DOCUMENT_LINK[DECLARATION_OF_CONFORMITY_ID],[@DECLARATION_OF_CONFORMITY_ID]))</f>
        <v/>
      </c>
      <c r="J25" s="37">
        <f>IF([@DECLARATION_OF_CONFORMITY_ID]="","",([@HAS_LEGAL_ENTITY]*25)+([@HAS_TECHNICAL_FILE]*25)+([@HAS_RESPONSIBLE_PERSON]*25)+([@HAS_SCOPE]*25))</f>
        <v/>
      </c>
      <c r="K25" s="37">
        <f>IF([@DECLARATION_OF_CONFORMITY_ID]="","",IF([@COMPLETENESS_SCORE]=100,"COMPLETE","INCOMPLETE"))</f>
        <v/>
      </c>
    </row>
    <row r="26">
      <c r="A26" s="37" t="n">
        <v>25</v>
      </c>
      <c r="B26" s="37">
        <f>IFERROR(INDEX(T_DECLARATION_OF_CONFORMITY[DECLARATION_OF_CONFORMITY_ID],[@ROW_INDEX]),"")</f>
        <v/>
      </c>
      <c r="C26" s="37">
        <f>IFERROR(INDEX(T_DECLARATION_OF_CONFORMITY[DOC_NUMBER],[@ROW_INDEX]),"")</f>
        <v/>
      </c>
      <c r="D26" s="37">
        <f>IF([@DECLARATION_OF_CONFORMITY_ID]="","",IF(INDEX(T_DECLARATION_OF_CONFORMITY[LEGAL_ENTITY_ID],[@ROW_INDEX])&lt;&gt;"",TRUE,FALSE))</f>
        <v/>
      </c>
      <c r="E26" s="37">
        <f>IF([@DECLARATION_OF_CONFORMITY_ID]="","",IF(INDEX(T_DECLARATION_OF_CONFORMITY[TECHNICAL_FILE_ID],[@ROW_INDEX])&lt;&gt;"",TRUE,FALSE))</f>
        <v/>
      </c>
      <c r="F26" s="37">
        <f>IF([@DECLARATION_OF_CONFORMITY_ID]="","",IF(INDEX(T_DECLARATION_OF_CONFORMITY[RESPONSIBLE_PERSON_ID],[@ROW_INDEX])&lt;&gt;"",TRUE,FALSE))</f>
        <v/>
      </c>
      <c r="G26" s="37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26" s="37">
        <f>IF([@DECLARATION_OF_CONFORMITY_ID]="","",IF([@SCOPE_COUNT]&gt;=1,TRUE,FALSE))</f>
        <v/>
      </c>
      <c r="I26" s="37">
        <f>IF([@DECLARATION_OF_CONFORMITY_ID]="","",COUNTIF(T_DOCUMENT_LINK[DECLARATION_OF_CONFORMITY_ID],[@DECLARATION_OF_CONFORMITY_ID]))</f>
        <v/>
      </c>
      <c r="J26" s="37">
        <f>IF([@DECLARATION_OF_CONFORMITY_ID]="","",([@HAS_LEGAL_ENTITY]*25)+([@HAS_TECHNICAL_FILE]*25)+([@HAS_RESPONSIBLE_PERSON]*25)+([@HAS_SCOPE]*25))</f>
        <v/>
      </c>
      <c r="K26" s="37">
        <f>IF([@DECLARATION_OF_CONFORMITY_ID]="","",IF([@COMPLETENESS_SCORE]=100,"COMPLETE","INCOMPLETE"))</f>
        <v/>
      </c>
    </row>
    <row r="27">
      <c r="A27" s="37" t="n">
        <v>26</v>
      </c>
      <c r="B27" s="37">
        <f>IFERROR(INDEX(T_DECLARATION_OF_CONFORMITY[DECLARATION_OF_CONFORMITY_ID],[@ROW_INDEX]),"")</f>
        <v/>
      </c>
      <c r="C27" s="37">
        <f>IFERROR(INDEX(T_DECLARATION_OF_CONFORMITY[DOC_NUMBER],[@ROW_INDEX]),"")</f>
        <v/>
      </c>
      <c r="D27" s="37">
        <f>IF([@DECLARATION_OF_CONFORMITY_ID]="","",IF(INDEX(T_DECLARATION_OF_CONFORMITY[LEGAL_ENTITY_ID],[@ROW_INDEX])&lt;&gt;"",TRUE,FALSE))</f>
        <v/>
      </c>
      <c r="E27" s="37">
        <f>IF([@DECLARATION_OF_CONFORMITY_ID]="","",IF(INDEX(T_DECLARATION_OF_CONFORMITY[TECHNICAL_FILE_ID],[@ROW_INDEX])&lt;&gt;"",TRUE,FALSE))</f>
        <v/>
      </c>
      <c r="F27" s="37">
        <f>IF([@DECLARATION_OF_CONFORMITY_ID]="","",IF(INDEX(T_DECLARATION_OF_CONFORMITY[RESPONSIBLE_PERSON_ID],[@ROW_INDEX])&lt;&gt;"",TRUE,FALSE))</f>
        <v/>
      </c>
      <c r="G27" s="37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27" s="37">
        <f>IF([@DECLARATION_OF_CONFORMITY_ID]="","",IF([@SCOPE_COUNT]&gt;=1,TRUE,FALSE))</f>
        <v/>
      </c>
      <c r="I27" s="37">
        <f>IF([@DECLARATION_OF_CONFORMITY_ID]="","",COUNTIF(T_DOCUMENT_LINK[DECLARATION_OF_CONFORMITY_ID],[@DECLARATION_OF_CONFORMITY_ID]))</f>
        <v/>
      </c>
      <c r="J27" s="37">
        <f>IF([@DECLARATION_OF_CONFORMITY_ID]="","",([@HAS_LEGAL_ENTITY]*25)+([@HAS_TECHNICAL_FILE]*25)+([@HAS_RESPONSIBLE_PERSON]*25)+([@HAS_SCOPE]*25))</f>
        <v/>
      </c>
      <c r="K27" s="37">
        <f>IF([@DECLARATION_OF_CONFORMITY_ID]="","",IF([@COMPLETENESS_SCORE]=100,"COMPLETE","INCOMPLETE"))</f>
        <v/>
      </c>
    </row>
    <row r="28">
      <c r="A28" s="37" t="n">
        <v>27</v>
      </c>
      <c r="B28" s="37">
        <f>IFERROR(INDEX(T_DECLARATION_OF_CONFORMITY[DECLARATION_OF_CONFORMITY_ID],[@ROW_INDEX]),"")</f>
        <v/>
      </c>
      <c r="C28" s="37">
        <f>IFERROR(INDEX(T_DECLARATION_OF_CONFORMITY[DOC_NUMBER],[@ROW_INDEX]),"")</f>
        <v/>
      </c>
      <c r="D28" s="37">
        <f>IF([@DECLARATION_OF_CONFORMITY_ID]="","",IF(INDEX(T_DECLARATION_OF_CONFORMITY[LEGAL_ENTITY_ID],[@ROW_INDEX])&lt;&gt;"",TRUE,FALSE))</f>
        <v/>
      </c>
      <c r="E28" s="37">
        <f>IF([@DECLARATION_OF_CONFORMITY_ID]="","",IF(INDEX(T_DECLARATION_OF_CONFORMITY[TECHNICAL_FILE_ID],[@ROW_INDEX])&lt;&gt;"",TRUE,FALSE))</f>
        <v/>
      </c>
      <c r="F28" s="37">
        <f>IF([@DECLARATION_OF_CONFORMITY_ID]="","",IF(INDEX(T_DECLARATION_OF_CONFORMITY[RESPONSIBLE_PERSON_ID],[@ROW_INDEX])&lt;&gt;"",TRUE,FALSE))</f>
        <v/>
      </c>
      <c r="G28" s="37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28" s="37">
        <f>IF([@DECLARATION_OF_CONFORMITY_ID]="","",IF([@SCOPE_COUNT]&gt;=1,TRUE,FALSE))</f>
        <v/>
      </c>
      <c r="I28" s="37">
        <f>IF([@DECLARATION_OF_CONFORMITY_ID]="","",COUNTIF(T_DOCUMENT_LINK[DECLARATION_OF_CONFORMITY_ID],[@DECLARATION_OF_CONFORMITY_ID]))</f>
        <v/>
      </c>
      <c r="J28" s="37">
        <f>IF([@DECLARATION_OF_CONFORMITY_ID]="","",([@HAS_LEGAL_ENTITY]*25)+([@HAS_TECHNICAL_FILE]*25)+([@HAS_RESPONSIBLE_PERSON]*25)+([@HAS_SCOPE]*25))</f>
        <v/>
      </c>
      <c r="K28" s="37">
        <f>IF([@DECLARATION_OF_CONFORMITY_ID]="","",IF([@COMPLETENESS_SCORE]=100,"COMPLETE","INCOMPLETE"))</f>
        <v/>
      </c>
    </row>
    <row r="29">
      <c r="A29" s="37" t="n">
        <v>28</v>
      </c>
      <c r="B29" s="37">
        <f>IFERROR(INDEX(T_DECLARATION_OF_CONFORMITY[DECLARATION_OF_CONFORMITY_ID],[@ROW_INDEX]),"")</f>
        <v/>
      </c>
      <c r="C29" s="37">
        <f>IFERROR(INDEX(T_DECLARATION_OF_CONFORMITY[DOC_NUMBER],[@ROW_INDEX]),"")</f>
        <v/>
      </c>
      <c r="D29" s="37">
        <f>IF([@DECLARATION_OF_CONFORMITY_ID]="","",IF(INDEX(T_DECLARATION_OF_CONFORMITY[LEGAL_ENTITY_ID],[@ROW_INDEX])&lt;&gt;"",TRUE,FALSE))</f>
        <v/>
      </c>
      <c r="E29" s="37">
        <f>IF([@DECLARATION_OF_CONFORMITY_ID]="","",IF(INDEX(T_DECLARATION_OF_CONFORMITY[TECHNICAL_FILE_ID],[@ROW_INDEX])&lt;&gt;"",TRUE,FALSE))</f>
        <v/>
      </c>
      <c r="F29" s="37">
        <f>IF([@DECLARATION_OF_CONFORMITY_ID]="","",IF(INDEX(T_DECLARATION_OF_CONFORMITY[RESPONSIBLE_PERSON_ID],[@ROW_INDEX])&lt;&gt;"",TRUE,FALSE))</f>
        <v/>
      </c>
      <c r="G29" s="37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29" s="37">
        <f>IF([@DECLARATION_OF_CONFORMITY_ID]="","",IF([@SCOPE_COUNT]&gt;=1,TRUE,FALSE))</f>
        <v/>
      </c>
      <c r="I29" s="37">
        <f>IF([@DECLARATION_OF_CONFORMITY_ID]="","",COUNTIF(T_DOCUMENT_LINK[DECLARATION_OF_CONFORMITY_ID],[@DECLARATION_OF_CONFORMITY_ID]))</f>
        <v/>
      </c>
      <c r="J29" s="37">
        <f>IF([@DECLARATION_OF_CONFORMITY_ID]="","",([@HAS_LEGAL_ENTITY]*25)+([@HAS_TECHNICAL_FILE]*25)+([@HAS_RESPONSIBLE_PERSON]*25)+([@HAS_SCOPE]*25))</f>
        <v/>
      </c>
      <c r="K29" s="37">
        <f>IF([@DECLARATION_OF_CONFORMITY_ID]="","",IF([@COMPLETENESS_SCORE]=100,"COMPLETE","INCOMPLETE"))</f>
        <v/>
      </c>
    </row>
    <row r="30">
      <c r="A30" s="37" t="n">
        <v>29</v>
      </c>
      <c r="B30" s="37">
        <f>IFERROR(INDEX(T_DECLARATION_OF_CONFORMITY[DECLARATION_OF_CONFORMITY_ID],[@ROW_INDEX]),"")</f>
        <v/>
      </c>
      <c r="C30" s="37">
        <f>IFERROR(INDEX(T_DECLARATION_OF_CONFORMITY[DOC_NUMBER],[@ROW_INDEX]),"")</f>
        <v/>
      </c>
      <c r="D30" s="37">
        <f>IF([@DECLARATION_OF_CONFORMITY_ID]="","",IF(INDEX(T_DECLARATION_OF_CONFORMITY[LEGAL_ENTITY_ID],[@ROW_INDEX])&lt;&gt;"",TRUE,FALSE))</f>
        <v/>
      </c>
      <c r="E30" s="37">
        <f>IF([@DECLARATION_OF_CONFORMITY_ID]="","",IF(INDEX(T_DECLARATION_OF_CONFORMITY[TECHNICAL_FILE_ID],[@ROW_INDEX])&lt;&gt;"",TRUE,FALSE))</f>
        <v/>
      </c>
      <c r="F30" s="37">
        <f>IF([@DECLARATION_OF_CONFORMITY_ID]="","",IF(INDEX(T_DECLARATION_OF_CONFORMITY[RESPONSIBLE_PERSON_ID],[@ROW_INDEX])&lt;&gt;"",TRUE,FALSE))</f>
        <v/>
      </c>
      <c r="G30" s="37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30" s="37">
        <f>IF([@DECLARATION_OF_CONFORMITY_ID]="","",IF([@SCOPE_COUNT]&gt;=1,TRUE,FALSE))</f>
        <v/>
      </c>
      <c r="I30" s="37">
        <f>IF([@DECLARATION_OF_CONFORMITY_ID]="","",COUNTIF(T_DOCUMENT_LINK[DECLARATION_OF_CONFORMITY_ID],[@DECLARATION_OF_CONFORMITY_ID]))</f>
        <v/>
      </c>
      <c r="J30" s="37">
        <f>IF([@DECLARATION_OF_CONFORMITY_ID]="","",([@HAS_LEGAL_ENTITY]*25)+([@HAS_TECHNICAL_FILE]*25)+([@HAS_RESPONSIBLE_PERSON]*25)+([@HAS_SCOPE]*25))</f>
        <v/>
      </c>
      <c r="K30" s="37">
        <f>IF([@DECLARATION_OF_CONFORMITY_ID]="","",IF([@COMPLETENESS_SCORE]=100,"COMPLETE","INCOMPLETE"))</f>
        <v/>
      </c>
    </row>
    <row r="31">
      <c r="A31" s="37" t="n">
        <v>30</v>
      </c>
      <c r="B31" s="37">
        <f>IFERROR(INDEX(T_DECLARATION_OF_CONFORMITY[DECLARATION_OF_CONFORMITY_ID],[@ROW_INDEX]),"")</f>
        <v/>
      </c>
      <c r="C31" s="37">
        <f>IFERROR(INDEX(T_DECLARATION_OF_CONFORMITY[DOC_NUMBER],[@ROW_INDEX]),"")</f>
        <v/>
      </c>
      <c r="D31" s="37">
        <f>IF([@DECLARATION_OF_CONFORMITY_ID]="","",IF(INDEX(T_DECLARATION_OF_CONFORMITY[LEGAL_ENTITY_ID],[@ROW_INDEX])&lt;&gt;"",TRUE,FALSE))</f>
        <v/>
      </c>
      <c r="E31" s="37">
        <f>IF([@DECLARATION_OF_CONFORMITY_ID]="","",IF(INDEX(T_DECLARATION_OF_CONFORMITY[TECHNICAL_FILE_ID],[@ROW_INDEX])&lt;&gt;"",TRUE,FALSE))</f>
        <v/>
      </c>
      <c r="F31" s="37">
        <f>IF([@DECLARATION_OF_CONFORMITY_ID]="","",IF(INDEX(T_DECLARATION_OF_CONFORMITY[RESPONSIBLE_PERSON_ID],[@ROW_INDEX])&lt;&gt;"",TRUE,FALSE))</f>
        <v/>
      </c>
      <c r="G31" s="37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31" s="37">
        <f>IF([@DECLARATION_OF_CONFORMITY_ID]="","",IF([@SCOPE_COUNT]&gt;=1,TRUE,FALSE))</f>
        <v/>
      </c>
      <c r="I31" s="37">
        <f>IF([@DECLARATION_OF_CONFORMITY_ID]="","",COUNTIF(T_DOCUMENT_LINK[DECLARATION_OF_CONFORMITY_ID],[@DECLARATION_OF_CONFORMITY_ID]))</f>
        <v/>
      </c>
      <c r="J31" s="37">
        <f>IF([@DECLARATION_OF_CONFORMITY_ID]="","",([@HAS_LEGAL_ENTITY]*25)+([@HAS_TECHNICAL_FILE]*25)+([@HAS_RESPONSIBLE_PERSON]*25)+([@HAS_SCOPE]*25))</f>
        <v/>
      </c>
      <c r="K31" s="37">
        <f>IF([@DECLARATION_OF_CONFORMITY_ID]="","",IF([@COMPLETENESS_SCORE]=100,"COMPLETE","INCOMPLETE"))</f>
        <v/>
      </c>
    </row>
    <row r="32">
      <c r="A32" s="37" t="n">
        <v>31</v>
      </c>
      <c r="B32" s="37">
        <f>IFERROR(INDEX(T_DECLARATION_OF_CONFORMITY[DECLARATION_OF_CONFORMITY_ID],[@ROW_INDEX]),"")</f>
        <v/>
      </c>
      <c r="C32" s="37">
        <f>IFERROR(INDEX(T_DECLARATION_OF_CONFORMITY[DOC_NUMBER],[@ROW_INDEX]),"")</f>
        <v/>
      </c>
      <c r="D32" s="37">
        <f>IF([@DECLARATION_OF_CONFORMITY_ID]="","",IF(INDEX(T_DECLARATION_OF_CONFORMITY[LEGAL_ENTITY_ID],[@ROW_INDEX])&lt;&gt;"",TRUE,FALSE))</f>
        <v/>
      </c>
      <c r="E32" s="37">
        <f>IF([@DECLARATION_OF_CONFORMITY_ID]="","",IF(INDEX(T_DECLARATION_OF_CONFORMITY[TECHNICAL_FILE_ID],[@ROW_INDEX])&lt;&gt;"",TRUE,FALSE))</f>
        <v/>
      </c>
      <c r="F32" s="37">
        <f>IF([@DECLARATION_OF_CONFORMITY_ID]="","",IF(INDEX(T_DECLARATION_OF_CONFORMITY[RESPONSIBLE_PERSON_ID],[@ROW_INDEX])&lt;&gt;"",TRUE,FALSE))</f>
        <v/>
      </c>
      <c r="G32" s="37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32" s="37">
        <f>IF([@DECLARATION_OF_CONFORMITY_ID]="","",IF([@SCOPE_COUNT]&gt;=1,TRUE,FALSE))</f>
        <v/>
      </c>
      <c r="I32" s="37">
        <f>IF([@DECLARATION_OF_CONFORMITY_ID]="","",COUNTIF(T_DOCUMENT_LINK[DECLARATION_OF_CONFORMITY_ID],[@DECLARATION_OF_CONFORMITY_ID]))</f>
        <v/>
      </c>
      <c r="J32" s="37">
        <f>IF([@DECLARATION_OF_CONFORMITY_ID]="","",([@HAS_LEGAL_ENTITY]*25)+([@HAS_TECHNICAL_FILE]*25)+([@HAS_RESPONSIBLE_PERSON]*25)+([@HAS_SCOPE]*25))</f>
        <v/>
      </c>
      <c r="K32" s="37">
        <f>IF([@DECLARATION_OF_CONFORMITY_ID]="","",IF([@COMPLETENESS_SCORE]=100,"COMPLETE","INCOMPLETE"))</f>
        <v/>
      </c>
    </row>
    <row r="33">
      <c r="A33" s="37" t="n">
        <v>32</v>
      </c>
      <c r="B33" s="37">
        <f>IFERROR(INDEX(T_DECLARATION_OF_CONFORMITY[DECLARATION_OF_CONFORMITY_ID],[@ROW_INDEX]),"")</f>
        <v/>
      </c>
      <c r="C33" s="37">
        <f>IFERROR(INDEX(T_DECLARATION_OF_CONFORMITY[DOC_NUMBER],[@ROW_INDEX]),"")</f>
        <v/>
      </c>
      <c r="D33" s="37">
        <f>IF([@DECLARATION_OF_CONFORMITY_ID]="","",IF(INDEX(T_DECLARATION_OF_CONFORMITY[LEGAL_ENTITY_ID],[@ROW_INDEX])&lt;&gt;"",TRUE,FALSE))</f>
        <v/>
      </c>
      <c r="E33" s="37">
        <f>IF([@DECLARATION_OF_CONFORMITY_ID]="","",IF(INDEX(T_DECLARATION_OF_CONFORMITY[TECHNICAL_FILE_ID],[@ROW_INDEX])&lt;&gt;"",TRUE,FALSE))</f>
        <v/>
      </c>
      <c r="F33" s="37">
        <f>IF([@DECLARATION_OF_CONFORMITY_ID]="","",IF(INDEX(T_DECLARATION_OF_CONFORMITY[RESPONSIBLE_PERSON_ID],[@ROW_INDEX])&lt;&gt;"",TRUE,FALSE))</f>
        <v/>
      </c>
      <c r="G33" s="37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33" s="37">
        <f>IF([@DECLARATION_OF_CONFORMITY_ID]="","",IF([@SCOPE_COUNT]&gt;=1,TRUE,FALSE))</f>
        <v/>
      </c>
      <c r="I33" s="37">
        <f>IF([@DECLARATION_OF_CONFORMITY_ID]="","",COUNTIF(T_DOCUMENT_LINK[DECLARATION_OF_CONFORMITY_ID],[@DECLARATION_OF_CONFORMITY_ID]))</f>
        <v/>
      </c>
      <c r="J33" s="37">
        <f>IF([@DECLARATION_OF_CONFORMITY_ID]="","",([@HAS_LEGAL_ENTITY]*25)+([@HAS_TECHNICAL_FILE]*25)+([@HAS_RESPONSIBLE_PERSON]*25)+([@HAS_SCOPE]*25))</f>
        <v/>
      </c>
      <c r="K33" s="37">
        <f>IF([@DECLARATION_OF_CONFORMITY_ID]="","",IF([@COMPLETENESS_SCORE]=100,"COMPLETE","INCOMPLETE"))</f>
        <v/>
      </c>
    </row>
    <row r="34">
      <c r="A34" s="37" t="n">
        <v>33</v>
      </c>
      <c r="B34" s="37">
        <f>IFERROR(INDEX(T_DECLARATION_OF_CONFORMITY[DECLARATION_OF_CONFORMITY_ID],[@ROW_INDEX]),"")</f>
        <v/>
      </c>
      <c r="C34" s="37">
        <f>IFERROR(INDEX(T_DECLARATION_OF_CONFORMITY[DOC_NUMBER],[@ROW_INDEX]),"")</f>
        <v/>
      </c>
      <c r="D34" s="37">
        <f>IF([@DECLARATION_OF_CONFORMITY_ID]="","",IF(INDEX(T_DECLARATION_OF_CONFORMITY[LEGAL_ENTITY_ID],[@ROW_INDEX])&lt;&gt;"",TRUE,FALSE))</f>
        <v/>
      </c>
      <c r="E34" s="37">
        <f>IF([@DECLARATION_OF_CONFORMITY_ID]="","",IF(INDEX(T_DECLARATION_OF_CONFORMITY[TECHNICAL_FILE_ID],[@ROW_INDEX])&lt;&gt;"",TRUE,FALSE))</f>
        <v/>
      </c>
      <c r="F34" s="37">
        <f>IF([@DECLARATION_OF_CONFORMITY_ID]="","",IF(INDEX(T_DECLARATION_OF_CONFORMITY[RESPONSIBLE_PERSON_ID],[@ROW_INDEX])&lt;&gt;"",TRUE,FALSE))</f>
        <v/>
      </c>
      <c r="G34" s="37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34" s="37">
        <f>IF([@DECLARATION_OF_CONFORMITY_ID]="","",IF([@SCOPE_COUNT]&gt;=1,TRUE,FALSE))</f>
        <v/>
      </c>
      <c r="I34" s="37">
        <f>IF([@DECLARATION_OF_CONFORMITY_ID]="","",COUNTIF(T_DOCUMENT_LINK[DECLARATION_OF_CONFORMITY_ID],[@DECLARATION_OF_CONFORMITY_ID]))</f>
        <v/>
      </c>
      <c r="J34" s="37">
        <f>IF([@DECLARATION_OF_CONFORMITY_ID]="","",([@HAS_LEGAL_ENTITY]*25)+([@HAS_TECHNICAL_FILE]*25)+([@HAS_RESPONSIBLE_PERSON]*25)+([@HAS_SCOPE]*25))</f>
        <v/>
      </c>
      <c r="K34" s="37">
        <f>IF([@DECLARATION_OF_CONFORMITY_ID]="","",IF([@COMPLETENESS_SCORE]=100,"COMPLETE","INCOMPLETE"))</f>
        <v/>
      </c>
    </row>
    <row r="35">
      <c r="A35" s="37" t="n">
        <v>34</v>
      </c>
      <c r="B35" s="37">
        <f>IFERROR(INDEX(T_DECLARATION_OF_CONFORMITY[DECLARATION_OF_CONFORMITY_ID],[@ROW_INDEX]),"")</f>
        <v/>
      </c>
      <c r="C35" s="37">
        <f>IFERROR(INDEX(T_DECLARATION_OF_CONFORMITY[DOC_NUMBER],[@ROW_INDEX]),"")</f>
        <v/>
      </c>
      <c r="D35" s="37">
        <f>IF([@DECLARATION_OF_CONFORMITY_ID]="","",IF(INDEX(T_DECLARATION_OF_CONFORMITY[LEGAL_ENTITY_ID],[@ROW_INDEX])&lt;&gt;"",TRUE,FALSE))</f>
        <v/>
      </c>
      <c r="E35" s="37">
        <f>IF([@DECLARATION_OF_CONFORMITY_ID]="","",IF(INDEX(T_DECLARATION_OF_CONFORMITY[TECHNICAL_FILE_ID],[@ROW_INDEX])&lt;&gt;"",TRUE,FALSE))</f>
        <v/>
      </c>
      <c r="F35" s="37">
        <f>IF([@DECLARATION_OF_CONFORMITY_ID]="","",IF(INDEX(T_DECLARATION_OF_CONFORMITY[RESPONSIBLE_PERSON_ID],[@ROW_INDEX])&lt;&gt;"",TRUE,FALSE))</f>
        <v/>
      </c>
      <c r="G35" s="37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35" s="37">
        <f>IF([@DECLARATION_OF_CONFORMITY_ID]="","",IF([@SCOPE_COUNT]&gt;=1,TRUE,FALSE))</f>
        <v/>
      </c>
      <c r="I35" s="37">
        <f>IF([@DECLARATION_OF_CONFORMITY_ID]="","",COUNTIF(T_DOCUMENT_LINK[DECLARATION_OF_CONFORMITY_ID],[@DECLARATION_OF_CONFORMITY_ID]))</f>
        <v/>
      </c>
      <c r="J35" s="37">
        <f>IF([@DECLARATION_OF_CONFORMITY_ID]="","",([@HAS_LEGAL_ENTITY]*25)+([@HAS_TECHNICAL_FILE]*25)+([@HAS_RESPONSIBLE_PERSON]*25)+([@HAS_SCOPE]*25))</f>
        <v/>
      </c>
      <c r="K35" s="37">
        <f>IF([@DECLARATION_OF_CONFORMITY_ID]="","",IF([@COMPLETENESS_SCORE]=100,"COMPLETE","INCOMPLETE"))</f>
        <v/>
      </c>
    </row>
    <row r="36">
      <c r="A36" s="37" t="n">
        <v>35</v>
      </c>
      <c r="B36" s="37">
        <f>IFERROR(INDEX(T_DECLARATION_OF_CONFORMITY[DECLARATION_OF_CONFORMITY_ID],[@ROW_INDEX]),"")</f>
        <v/>
      </c>
      <c r="C36" s="37">
        <f>IFERROR(INDEX(T_DECLARATION_OF_CONFORMITY[DOC_NUMBER],[@ROW_INDEX]),"")</f>
        <v/>
      </c>
      <c r="D36" s="37">
        <f>IF([@DECLARATION_OF_CONFORMITY_ID]="","",IF(INDEX(T_DECLARATION_OF_CONFORMITY[LEGAL_ENTITY_ID],[@ROW_INDEX])&lt;&gt;"",TRUE,FALSE))</f>
        <v/>
      </c>
      <c r="E36" s="37">
        <f>IF([@DECLARATION_OF_CONFORMITY_ID]="","",IF(INDEX(T_DECLARATION_OF_CONFORMITY[TECHNICAL_FILE_ID],[@ROW_INDEX])&lt;&gt;"",TRUE,FALSE))</f>
        <v/>
      </c>
      <c r="F36" s="37">
        <f>IF([@DECLARATION_OF_CONFORMITY_ID]="","",IF(INDEX(T_DECLARATION_OF_CONFORMITY[RESPONSIBLE_PERSON_ID],[@ROW_INDEX])&lt;&gt;"",TRUE,FALSE))</f>
        <v/>
      </c>
      <c r="G36" s="37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36" s="37">
        <f>IF([@DECLARATION_OF_CONFORMITY_ID]="","",IF([@SCOPE_COUNT]&gt;=1,TRUE,FALSE))</f>
        <v/>
      </c>
      <c r="I36" s="37">
        <f>IF([@DECLARATION_OF_CONFORMITY_ID]="","",COUNTIF(T_DOCUMENT_LINK[DECLARATION_OF_CONFORMITY_ID],[@DECLARATION_OF_CONFORMITY_ID]))</f>
        <v/>
      </c>
      <c r="J36" s="37">
        <f>IF([@DECLARATION_OF_CONFORMITY_ID]="","",([@HAS_LEGAL_ENTITY]*25)+([@HAS_TECHNICAL_FILE]*25)+([@HAS_RESPONSIBLE_PERSON]*25)+([@HAS_SCOPE]*25))</f>
        <v/>
      </c>
      <c r="K36" s="37">
        <f>IF([@DECLARATION_OF_CONFORMITY_ID]="","",IF([@COMPLETENESS_SCORE]=100,"COMPLETE","INCOMPLETE"))</f>
        <v/>
      </c>
    </row>
    <row r="37">
      <c r="A37" s="37" t="n">
        <v>36</v>
      </c>
      <c r="B37" s="37">
        <f>IFERROR(INDEX(T_DECLARATION_OF_CONFORMITY[DECLARATION_OF_CONFORMITY_ID],[@ROW_INDEX]),"")</f>
        <v/>
      </c>
      <c r="C37" s="37">
        <f>IFERROR(INDEX(T_DECLARATION_OF_CONFORMITY[DOC_NUMBER],[@ROW_INDEX]),"")</f>
        <v/>
      </c>
      <c r="D37" s="37">
        <f>IF([@DECLARATION_OF_CONFORMITY_ID]="","",IF(INDEX(T_DECLARATION_OF_CONFORMITY[LEGAL_ENTITY_ID],[@ROW_INDEX])&lt;&gt;"",TRUE,FALSE))</f>
        <v/>
      </c>
      <c r="E37" s="37">
        <f>IF([@DECLARATION_OF_CONFORMITY_ID]="","",IF(INDEX(T_DECLARATION_OF_CONFORMITY[TECHNICAL_FILE_ID],[@ROW_INDEX])&lt;&gt;"",TRUE,FALSE))</f>
        <v/>
      </c>
      <c r="F37" s="37">
        <f>IF([@DECLARATION_OF_CONFORMITY_ID]="","",IF(INDEX(T_DECLARATION_OF_CONFORMITY[RESPONSIBLE_PERSON_ID],[@ROW_INDEX])&lt;&gt;"",TRUE,FALSE))</f>
        <v/>
      </c>
      <c r="G37" s="37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37" s="37">
        <f>IF([@DECLARATION_OF_CONFORMITY_ID]="","",IF([@SCOPE_COUNT]&gt;=1,TRUE,FALSE))</f>
        <v/>
      </c>
      <c r="I37" s="37">
        <f>IF([@DECLARATION_OF_CONFORMITY_ID]="","",COUNTIF(T_DOCUMENT_LINK[DECLARATION_OF_CONFORMITY_ID],[@DECLARATION_OF_CONFORMITY_ID]))</f>
        <v/>
      </c>
      <c r="J37" s="37">
        <f>IF([@DECLARATION_OF_CONFORMITY_ID]="","",([@HAS_LEGAL_ENTITY]*25)+([@HAS_TECHNICAL_FILE]*25)+([@HAS_RESPONSIBLE_PERSON]*25)+([@HAS_SCOPE]*25))</f>
        <v/>
      </c>
      <c r="K37" s="37">
        <f>IF([@DECLARATION_OF_CONFORMITY_ID]="","",IF([@COMPLETENESS_SCORE]=100,"COMPLETE","INCOMPLETE"))</f>
        <v/>
      </c>
    </row>
    <row r="38">
      <c r="A38" s="37" t="n">
        <v>37</v>
      </c>
      <c r="B38" s="37">
        <f>IFERROR(INDEX(T_DECLARATION_OF_CONFORMITY[DECLARATION_OF_CONFORMITY_ID],[@ROW_INDEX]),"")</f>
        <v/>
      </c>
      <c r="C38" s="37">
        <f>IFERROR(INDEX(T_DECLARATION_OF_CONFORMITY[DOC_NUMBER],[@ROW_INDEX]),"")</f>
        <v/>
      </c>
      <c r="D38" s="37">
        <f>IF([@DECLARATION_OF_CONFORMITY_ID]="","",IF(INDEX(T_DECLARATION_OF_CONFORMITY[LEGAL_ENTITY_ID],[@ROW_INDEX])&lt;&gt;"",TRUE,FALSE))</f>
        <v/>
      </c>
      <c r="E38" s="37">
        <f>IF([@DECLARATION_OF_CONFORMITY_ID]="","",IF(INDEX(T_DECLARATION_OF_CONFORMITY[TECHNICAL_FILE_ID],[@ROW_INDEX])&lt;&gt;"",TRUE,FALSE))</f>
        <v/>
      </c>
      <c r="F38" s="37">
        <f>IF([@DECLARATION_OF_CONFORMITY_ID]="","",IF(INDEX(T_DECLARATION_OF_CONFORMITY[RESPONSIBLE_PERSON_ID],[@ROW_INDEX])&lt;&gt;"",TRUE,FALSE))</f>
        <v/>
      </c>
      <c r="G38" s="37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38" s="37">
        <f>IF([@DECLARATION_OF_CONFORMITY_ID]="","",IF([@SCOPE_COUNT]&gt;=1,TRUE,FALSE))</f>
        <v/>
      </c>
      <c r="I38" s="37">
        <f>IF([@DECLARATION_OF_CONFORMITY_ID]="","",COUNTIF(T_DOCUMENT_LINK[DECLARATION_OF_CONFORMITY_ID],[@DECLARATION_OF_CONFORMITY_ID]))</f>
        <v/>
      </c>
      <c r="J38" s="37">
        <f>IF([@DECLARATION_OF_CONFORMITY_ID]="","",([@HAS_LEGAL_ENTITY]*25)+([@HAS_TECHNICAL_FILE]*25)+([@HAS_RESPONSIBLE_PERSON]*25)+([@HAS_SCOPE]*25))</f>
        <v/>
      </c>
      <c r="K38" s="37">
        <f>IF([@DECLARATION_OF_CONFORMITY_ID]="","",IF([@COMPLETENESS_SCORE]=100,"COMPLETE","INCOMPLETE"))</f>
        <v/>
      </c>
    </row>
    <row r="39">
      <c r="A39" s="37" t="n">
        <v>38</v>
      </c>
      <c r="B39" s="37">
        <f>IFERROR(INDEX(T_DECLARATION_OF_CONFORMITY[DECLARATION_OF_CONFORMITY_ID],[@ROW_INDEX]),"")</f>
        <v/>
      </c>
      <c r="C39" s="37">
        <f>IFERROR(INDEX(T_DECLARATION_OF_CONFORMITY[DOC_NUMBER],[@ROW_INDEX]),"")</f>
        <v/>
      </c>
      <c r="D39" s="37">
        <f>IF([@DECLARATION_OF_CONFORMITY_ID]="","",IF(INDEX(T_DECLARATION_OF_CONFORMITY[LEGAL_ENTITY_ID],[@ROW_INDEX])&lt;&gt;"",TRUE,FALSE))</f>
        <v/>
      </c>
      <c r="E39" s="37">
        <f>IF([@DECLARATION_OF_CONFORMITY_ID]="","",IF(INDEX(T_DECLARATION_OF_CONFORMITY[TECHNICAL_FILE_ID],[@ROW_INDEX])&lt;&gt;"",TRUE,FALSE))</f>
        <v/>
      </c>
      <c r="F39" s="37">
        <f>IF([@DECLARATION_OF_CONFORMITY_ID]="","",IF(INDEX(T_DECLARATION_OF_CONFORMITY[RESPONSIBLE_PERSON_ID],[@ROW_INDEX])&lt;&gt;"",TRUE,FALSE))</f>
        <v/>
      </c>
      <c r="G39" s="37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39" s="37">
        <f>IF([@DECLARATION_OF_CONFORMITY_ID]="","",IF([@SCOPE_COUNT]&gt;=1,TRUE,FALSE))</f>
        <v/>
      </c>
      <c r="I39" s="37">
        <f>IF([@DECLARATION_OF_CONFORMITY_ID]="","",COUNTIF(T_DOCUMENT_LINK[DECLARATION_OF_CONFORMITY_ID],[@DECLARATION_OF_CONFORMITY_ID]))</f>
        <v/>
      </c>
      <c r="J39" s="37">
        <f>IF([@DECLARATION_OF_CONFORMITY_ID]="","",([@HAS_LEGAL_ENTITY]*25)+([@HAS_TECHNICAL_FILE]*25)+([@HAS_RESPONSIBLE_PERSON]*25)+([@HAS_SCOPE]*25))</f>
        <v/>
      </c>
      <c r="K39" s="37">
        <f>IF([@DECLARATION_OF_CONFORMITY_ID]="","",IF([@COMPLETENESS_SCORE]=100,"COMPLETE","INCOMPLETE"))</f>
        <v/>
      </c>
    </row>
    <row r="40">
      <c r="A40" s="37" t="n">
        <v>39</v>
      </c>
      <c r="B40" s="37">
        <f>IFERROR(INDEX(T_DECLARATION_OF_CONFORMITY[DECLARATION_OF_CONFORMITY_ID],[@ROW_INDEX]),"")</f>
        <v/>
      </c>
      <c r="C40" s="37">
        <f>IFERROR(INDEX(T_DECLARATION_OF_CONFORMITY[DOC_NUMBER],[@ROW_INDEX]),"")</f>
        <v/>
      </c>
      <c r="D40" s="37">
        <f>IF([@DECLARATION_OF_CONFORMITY_ID]="","",IF(INDEX(T_DECLARATION_OF_CONFORMITY[LEGAL_ENTITY_ID],[@ROW_INDEX])&lt;&gt;"",TRUE,FALSE))</f>
        <v/>
      </c>
      <c r="E40" s="37">
        <f>IF([@DECLARATION_OF_CONFORMITY_ID]="","",IF(INDEX(T_DECLARATION_OF_CONFORMITY[TECHNICAL_FILE_ID],[@ROW_INDEX])&lt;&gt;"",TRUE,FALSE))</f>
        <v/>
      </c>
      <c r="F40" s="37">
        <f>IF([@DECLARATION_OF_CONFORMITY_ID]="","",IF(INDEX(T_DECLARATION_OF_CONFORMITY[RESPONSIBLE_PERSON_ID],[@ROW_INDEX])&lt;&gt;"",TRUE,FALSE))</f>
        <v/>
      </c>
      <c r="G40" s="37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40" s="37">
        <f>IF([@DECLARATION_OF_CONFORMITY_ID]="","",IF([@SCOPE_COUNT]&gt;=1,TRUE,FALSE))</f>
        <v/>
      </c>
      <c r="I40" s="37">
        <f>IF([@DECLARATION_OF_CONFORMITY_ID]="","",COUNTIF(T_DOCUMENT_LINK[DECLARATION_OF_CONFORMITY_ID],[@DECLARATION_OF_CONFORMITY_ID]))</f>
        <v/>
      </c>
      <c r="J40" s="37">
        <f>IF([@DECLARATION_OF_CONFORMITY_ID]="","",([@HAS_LEGAL_ENTITY]*25)+([@HAS_TECHNICAL_FILE]*25)+([@HAS_RESPONSIBLE_PERSON]*25)+([@HAS_SCOPE]*25))</f>
        <v/>
      </c>
      <c r="K40" s="37">
        <f>IF([@DECLARATION_OF_CONFORMITY_ID]="","",IF([@COMPLETENESS_SCORE]=100,"COMPLETE","INCOMPLETE"))</f>
        <v/>
      </c>
    </row>
    <row r="41">
      <c r="A41" s="37" t="n">
        <v>40</v>
      </c>
      <c r="B41" s="37">
        <f>IFERROR(INDEX(T_DECLARATION_OF_CONFORMITY[DECLARATION_OF_CONFORMITY_ID],[@ROW_INDEX]),"")</f>
        <v/>
      </c>
      <c r="C41" s="37">
        <f>IFERROR(INDEX(T_DECLARATION_OF_CONFORMITY[DOC_NUMBER],[@ROW_INDEX]),"")</f>
        <v/>
      </c>
      <c r="D41" s="37">
        <f>IF([@DECLARATION_OF_CONFORMITY_ID]="","",IF(INDEX(T_DECLARATION_OF_CONFORMITY[LEGAL_ENTITY_ID],[@ROW_INDEX])&lt;&gt;"",TRUE,FALSE))</f>
        <v/>
      </c>
      <c r="E41" s="37">
        <f>IF([@DECLARATION_OF_CONFORMITY_ID]="","",IF(INDEX(T_DECLARATION_OF_CONFORMITY[TECHNICAL_FILE_ID],[@ROW_INDEX])&lt;&gt;"",TRUE,FALSE))</f>
        <v/>
      </c>
      <c r="F41" s="37">
        <f>IF([@DECLARATION_OF_CONFORMITY_ID]="","",IF(INDEX(T_DECLARATION_OF_CONFORMITY[RESPONSIBLE_PERSON_ID],[@ROW_INDEX])&lt;&gt;"",TRUE,FALSE))</f>
        <v/>
      </c>
      <c r="G41" s="37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41" s="37">
        <f>IF([@DECLARATION_OF_CONFORMITY_ID]="","",IF([@SCOPE_COUNT]&gt;=1,TRUE,FALSE))</f>
        <v/>
      </c>
      <c r="I41" s="37">
        <f>IF([@DECLARATION_OF_CONFORMITY_ID]="","",COUNTIF(T_DOCUMENT_LINK[DECLARATION_OF_CONFORMITY_ID],[@DECLARATION_OF_CONFORMITY_ID]))</f>
        <v/>
      </c>
      <c r="J41" s="37">
        <f>IF([@DECLARATION_OF_CONFORMITY_ID]="","",([@HAS_LEGAL_ENTITY]*25)+([@HAS_TECHNICAL_FILE]*25)+([@HAS_RESPONSIBLE_PERSON]*25)+([@HAS_SCOPE]*25))</f>
        <v/>
      </c>
      <c r="K41" s="37">
        <f>IF([@DECLARATION_OF_CONFORMITY_ID]="","",IF([@COMPLETENESS_SCORE]=100,"COMPLETE","INCOMPLETE"))</f>
        <v/>
      </c>
    </row>
    <row r="42">
      <c r="A42" s="37" t="n">
        <v>41</v>
      </c>
      <c r="B42" s="37">
        <f>IFERROR(INDEX(T_DECLARATION_OF_CONFORMITY[DECLARATION_OF_CONFORMITY_ID],[@ROW_INDEX]),"")</f>
        <v/>
      </c>
      <c r="C42" s="37">
        <f>IFERROR(INDEX(T_DECLARATION_OF_CONFORMITY[DOC_NUMBER],[@ROW_INDEX]),"")</f>
        <v/>
      </c>
      <c r="D42" s="37">
        <f>IF([@DECLARATION_OF_CONFORMITY_ID]="","",IF(INDEX(T_DECLARATION_OF_CONFORMITY[LEGAL_ENTITY_ID],[@ROW_INDEX])&lt;&gt;"",TRUE,FALSE))</f>
        <v/>
      </c>
      <c r="E42" s="37">
        <f>IF([@DECLARATION_OF_CONFORMITY_ID]="","",IF(INDEX(T_DECLARATION_OF_CONFORMITY[TECHNICAL_FILE_ID],[@ROW_INDEX])&lt;&gt;"",TRUE,FALSE))</f>
        <v/>
      </c>
      <c r="F42" s="37">
        <f>IF([@DECLARATION_OF_CONFORMITY_ID]="","",IF(INDEX(T_DECLARATION_OF_CONFORMITY[RESPONSIBLE_PERSON_ID],[@ROW_INDEX])&lt;&gt;"",TRUE,FALSE))</f>
        <v/>
      </c>
      <c r="G42" s="37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42" s="37">
        <f>IF([@DECLARATION_OF_CONFORMITY_ID]="","",IF([@SCOPE_COUNT]&gt;=1,TRUE,FALSE))</f>
        <v/>
      </c>
      <c r="I42" s="37">
        <f>IF([@DECLARATION_OF_CONFORMITY_ID]="","",COUNTIF(T_DOCUMENT_LINK[DECLARATION_OF_CONFORMITY_ID],[@DECLARATION_OF_CONFORMITY_ID]))</f>
        <v/>
      </c>
      <c r="J42" s="37">
        <f>IF([@DECLARATION_OF_CONFORMITY_ID]="","",([@HAS_LEGAL_ENTITY]*25)+([@HAS_TECHNICAL_FILE]*25)+([@HAS_RESPONSIBLE_PERSON]*25)+([@HAS_SCOPE]*25))</f>
        <v/>
      </c>
      <c r="K42" s="37">
        <f>IF([@DECLARATION_OF_CONFORMITY_ID]="","",IF([@COMPLETENESS_SCORE]=100,"COMPLETE","INCOMPLETE"))</f>
        <v/>
      </c>
    </row>
    <row r="43">
      <c r="A43" s="37" t="n">
        <v>42</v>
      </c>
      <c r="B43" s="37">
        <f>IFERROR(INDEX(T_DECLARATION_OF_CONFORMITY[DECLARATION_OF_CONFORMITY_ID],[@ROW_INDEX]),"")</f>
        <v/>
      </c>
      <c r="C43" s="37">
        <f>IFERROR(INDEX(T_DECLARATION_OF_CONFORMITY[DOC_NUMBER],[@ROW_INDEX]),"")</f>
        <v/>
      </c>
      <c r="D43" s="37">
        <f>IF([@DECLARATION_OF_CONFORMITY_ID]="","",IF(INDEX(T_DECLARATION_OF_CONFORMITY[LEGAL_ENTITY_ID],[@ROW_INDEX])&lt;&gt;"",TRUE,FALSE))</f>
        <v/>
      </c>
      <c r="E43" s="37">
        <f>IF([@DECLARATION_OF_CONFORMITY_ID]="","",IF(INDEX(T_DECLARATION_OF_CONFORMITY[TECHNICAL_FILE_ID],[@ROW_INDEX])&lt;&gt;"",TRUE,FALSE))</f>
        <v/>
      </c>
      <c r="F43" s="37">
        <f>IF([@DECLARATION_OF_CONFORMITY_ID]="","",IF(INDEX(T_DECLARATION_OF_CONFORMITY[RESPONSIBLE_PERSON_ID],[@ROW_INDEX])&lt;&gt;"",TRUE,FALSE))</f>
        <v/>
      </c>
      <c r="G43" s="37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43" s="37">
        <f>IF([@DECLARATION_OF_CONFORMITY_ID]="","",IF([@SCOPE_COUNT]&gt;=1,TRUE,FALSE))</f>
        <v/>
      </c>
      <c r="I43" s="37">
        <f>IF([@DECLARATION_OF_CONFORMITY_ID]="","",COUNTIF(T_DOCUMENT_LINK[DECLARATION_OF_CONFORMITY_ID],[@DECLARATION_OF_CONFORMITY_ID]))</f>
        <v/>
      </c>
      <c r="J43" s="37">
        <f>IF([@DECLARATION_OF_CONFORMITY_ID]="","",([@HAS_LEGAL_ENTITY]*25)+([@HAS_TECHNICAL_FILE]*25)+([@HAS_RESPONSIBLE_PERSON]*25)+([@HAS_SCOPE]*25))</f>
        <v/>
      </c>
      <c r="K43" s="37">
        <f>IF([@DECLARATION_OF_CONFORMITY_ID]="","",IF([@COMPLETENESS_SCORE]=100,"COMPLETE","INCOMPLETE"))</f>
        <v/>
      </c>
    </row>
    <row r="44">
      <c r="A44" s="37" t="n">
        <v>43</v>
      </c>
      <c r="B44" s="37">
        <f>IFERROR(INDEX(T_DECLARATION_OF_CONFORMITY[DECLARATION_OF_CONFORMITY_ID],[@ROW_INDEX]),"")</f>
        <v/>
      </c>
      <c r="C44" s="37">
        <f>IFERROR(INDEX(T_DECLARATION_OF_CONFORMITY[DOC_NUMBER],[@ROW_INDEX]),"")</f>
        <v/>
      </c>
      <c r="D44" s="37">
        <f>IF([@DECLARATION_OF_CONFORMITY_ID]="","",IF(INDEX(T_DECLARATION_OF_CONFORMITY[LEGAL_ENTITY_ID],[@ROW_INDEX])&lt;&gt;"",TRUE,FALSE))</f>
        <v/>
      </c>
      <c r="E44" s="37">
        <f>IF([@DECLARATION_OF_CONFORMITY_ID]="","",IF(INDEX(T_DECLARATION_OF_CONFORMITY[TECHNICAL_FILE_ID],[@ROW_INDEX])&lt;&gt;"",TRUE,FALSE))</f>
        <v/>
      </c>
      <c r="F44" s="37">
        <f>IF([@DECLARATION_OF_CONFORMITY_ID]="","",IF(INDEX(T_DECLARATION_OF_CONFORMITY[RESPONSIBLE_PERSON_ID],[@ROW_INDEX])&lt;&gt;"",TRUE,FALSE))</f>
        <v/>
      </c>
      <c r="G44" s="37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44" s="37">
        <f>IF([@DECLARATION_OF_CONFORMITY_ID]="","",IF([@SCOPE_COUNT]&gt;=1,TRUE,FALSE))</f>
        <v/>
      </c>
      <c r="I44" s="37">
        <f>IF([@DECLARATION_OF_CONFORMITY_ID]="","",COUNTIF(T_DOCUMENT_LINK[DECLARATION_OF_CONFORMITY_ID],[@DECLARATION_OF_CONFORMITY_ID]))</f>
        <v/>
      </c>
      <c r="J44" s="37">
        <f>IF([@DECLARATION_OF_CONFORMITY_ID]="","",([@HAS_LEGAL_ENTITY]*25)+([@HAS_TECHNICAL_FILE]*25)+([@HAS_RESPONSIBLE_PERSON]*25)+([@HAS_SCOPE]*25))</f>
        <v/>
      </c>
      <c r="K44" s="37">
        <f>IF([@DECLARATION_OF_CONFORMITY_ID]="","",IF([@COMPLETENESS_SCORE]=100,"COMPLETE","INCOMPLETE"))</f>
        <v/>
      </c>
    </row>
    <row r="45">
      <c r="A45" s="37" t="n">
        <v>44</v>
      </c>
      <c r="B45" s="37">
        <f>IFERROR(INDEX(T_DECLARATION_OF_CONFORMITY[DECLARATION_OF_CONFORMITY_ID],[@ROW_INDEX]),"")</f>
        <v/>
      </c>
      <c r="C45" s="37">
        <f>IFERROR(INDEX(T_DECLARATION_OF_CONFORMITY[DOC_NUMBER],[@ROW_INDEX]),"")</f>
        <v/>
      </c>
      <c r="D45" s="37">
        <f>IF([@DECLARATION_OF_CONFORMITY_ID]="","",IF(INDEX(T_DECLARATION_OF_CONFORMITY[LEGAL_ENTITY_ID],[@ROW_INDEX])&lt;&gt;"",TRUE,FALSE))</f>
        <v/>
      </c>
      <c r="E45" s="37">
        <f>IF([@DECLARATION_OF_CONFORMITY_ID]="","",IF(INDEX(T_DECLARATION_OF_CONFORMITY[TECHNICAL_FILE_ID],[@ROW_INDEX])&lt;&gt;"",TRUE,FALSE))</f>
        <v/>
      </c>
      <c r="F45" s="37">
        <f>IF([@DECLARATION_OF_CONFORMITY_ID]="","",IF(INDEX(T_DECLARATION_OF_CONFORMITY[RESPONSIBLE_PERSON_ID],[@ROW_INDEX])&lt;&gt;"",TRUE,FALSE))</f>
        <v/>
      </c>
      <c r="G45" s="37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45" s="37">
        <f>IF([@DECLARATION_OF_CONFORMITY_ID]="","",IF([@SCOPE_COUNT]&gt;=1,TRUE,FALSE))</f>
        <v/>
      </c>
      <c r="I45" s="37">
        <f>IF([@DECLARATION_OF_CONFORMITY_ID]="","",COUNTIF(T_DOCUMENT_LINK[DECLARATION_OF_CONFORMITY_ID],[@DECLARATION_OF_CONFORMITY_ID]))</f>
        <v/>
      </c>
      <c r="J45" s="37">
        <f>IF([@DECLARATION_OF_CONFORMITY_ID]="","",([@HAS_LEGAL_ENTITY]*25)+([@HAS_TECHNICAL_FILE]*25)+([@HAS_RESPONSIBLE_PERSON]*25)+([@HAS_SCOPE]*25))</f>
        <v/>
      </c>
      <c r="K45" s="37">
        <f>IF([@DECLARATION_OF_CONFORMITY_ID]="","",IF([@COMPLETENESS_SCORE]=100,"COMPLETE","INCOMPLETE"))</f>
        <v/>
      </c>
    </row>
    <row r="46">
      <c r="A46" s="37" t="n">
        <v>45</v>
      </c>
      <c r="B46" s="37">
        <f>IFERROR(INDEX(T_DECLARATION_OF_CONFORMITY[DECLARATION_OF_CONFORMITY_ID],[@ROW_INDEX]),"")</f>
        <v/>
      </c>
      <c r="C46" s="37">
        <f>IFERROR(INDEX(T_DECLARATION_OF_CONFORMITY[DOC_NUMBER],[@ROW_INDEX]),"")</f>
        <v/>
      </c>
      <c r="D46" s="37">
        <f>IF([@DECLARATION_OF_CONFORMITY_ID]="","",IF(INDEX(T_DECLARATION_OF_CONFORMITY[LEGAL_ENTITY_ID],[@ROW_INDEX])&lt;&gt;"",TRUE,FALSE))</f>
        <v/>
      </c>
      <c r="E46" s="37">
        <f>IF([@DECLARATION_OF_CONFORMITY_ID]="","",IF(INDEX(T_DECLARATION_OF_CONFORMITY[TECHNICAL_FILE_ID],[@ROW_INDEX])&lt;&gt;"",TRUE,FALSE))</f>
        <v/>
      </c>
      <c r="F46" s="37">
        <f>IF([@DECLARATION_OF_CONFORMITY_ID]="","",IF(INDEX(T_DECLARATION_OF_CONFORMITY[RESPONSIBLE_PERSON_ID],[@ROW_INDEX])&lt;&gt;"",TRUE,FALSE))</f>
        <v/>
      </c>
      <c r="G46" s="37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46" s="37">
        <f>IF([@DECLARATION_OF_CONFORMITY_ID]="","",IF([@SCOPE_COUNT]&gt;=1,TRUE,FALSE))</f>
        <v/>
      </c>
      <c r="I46" s="37">
        <f>IF([@DECLARATION_OF_CONFORMITY_ID]="","",COUNTIF(T_DOCUMENT_LINK[DECLARATION_OF_CONFORMITY_ID],[@DECLARATION_OF_CONFORMITY_ID]))</f>
        <v/>
      </c>
      <c r="J46" s="37">
        <f>IF([@DECLARATION_OF_CONFORMITY_ID]="","",([@HAS_LEGAL_ENTITY]*25)+([@HAS_TECHNICAL_FILE]*25)+([@HAS_RESPONSIBLE_PERSON]*25)+([@HAS_SCOPE]*25))</f>
        <v/>
      </c>
      <c r="K46" s="37">
        <f>IF([@DECLARATION_OF_CONFORMITY_ID]="","",IF([@COMPLETENESS_SCORE]=100,"COMPLETE","INCOMPLETE"))</f>
        <v/>
      </c>
    </row>
    <row r="47">
      <c r="A47" s="37" t="n">
        <v>46</v>
      </c>
      <c r="B47" s="37">
        <f>IFERROR(INDEX(T_DECLARATION_OF_CONFORMITY[DECLARATION_OF_CONFORMITY_ID],[@ROW_INDEX]),"")</f>
        <v/>
      </c>
      <c r="C47" s="37">
        <f>IFERROR(INDEX(T_DECLARATION_OF_CONFORMITY[DOC_NUMBER],[@ROW_INDEX]),"")</f>
        <v/>
      </c>
      <c r="D47" s="37">
        <f>IF([@DECLARATION_OF_CONFORMITY_ID]="","",IF(INDEX(T_DECLARATION_OF_CONFORMITY[LEGAL_ENTITY_ID],[@ROW_INDEX])&lt;&gt;"",TRUE,FALSE))</f>
        <v/>
      </c>
      <c r="E47" s="37">
        <f>IF([@DECLARATION_OF_CONFORMITY_ID]="","",IF(INDEX(T_DECLARATION_OF_CONFORMITY[TECHNICAL_FILE_ID],[@ROW_INDEX])&lt;&gt;"",TRUE,FALSE))</f>
        <v/>
      </c>
      <c r="F47" s="37">
        <f>IF([@DECLARATION_OF_CONFORMITY_ID]="","",IF(INDEX(T_DECLARATION_OF_CONFORMITY[RESPONSIBLE_PERSON_ID],[@ROW_INDEX])&lt;&gt;"",TRUE,FALSE))</f>
        <v/>
      </c>
      <c r="G47" s="37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47" s="37">
        <f>IF([@DECLARATION_OF_CONFORMITY_ID]="","",IF([@SCOPE_COUNT]&gt;=1,TRUE,FALSE))</f>
        <v/>
      </c>
      <c r="I47" s="37">
        <f>IF([@DECLARATION_OF_CONFORMITY_ID]="","",COUNTIF(T_DOCUMENT_LINK[DECLARATION_OF_CONFORMITY_ID],[@DECLARATION_OF_CONFORMITY_ID]))</f>
        <v/>
      </c>
      <c r="J47" s="37">
        <f>IF([@DECLARATION_OF_CONFORMITY_ID]="","",([@HAS_LEGAL_ENTITY]*25)+([@HAS_TECHNICAL_FILE]*25)+([@HAS_RESPONSIBLE_PERSON]*25)+([@HAS_SCOPE]*25))</f>
        <v/>
      </c>
      <c r="K47" s="37">
        <f>IF([@DECLARATION_OF_CONFORMITY_ID]="","",IF([@COMPLETENESS_SCORE]=100,"COMPLETE","INCOMPLETE"))</f>
        <v/>
      </c>
    </row>
    <row r="48">
      <c r="A48" s="37" t="n">
        <v>47</v>
      </c>
      <c r="B48" s="37">
        <f>IFERROR(INDEX(T_DECLARATION_OF_CONFORMITY[DECLARATION_OF_CONFORMITY_ID],[@ROW_INDEX]),"")</f>
        <v/>
      </c>
      <c r="C48" s="37">
        <f>IFERROR(INDEX(T_DECLARATION_OF_CONFORMITY[DOC_NUMBER],[@ROW_INDEX]),"")</f>
        <v/>
      </c>
      <c r="D48" s="37">
        <f>IF([@DECLARATION_OF_CONFORMITY_ID]="","",IF(INDEX(T_DECLARATION_OF_CONFORMITY[LEGAL_ENTITY_ID],[@ROW_INDEX])&lt;&gt;"",TRUE,FALSE))</f>
        <v/>
      </c>
      <c r="E48" s="37">
        <f>IF([@DECLARATION_OF_CONFORMITY_ID]="","",IF(INDEX(T_DECLARATION_OF_CONFORMITY[TECHNICAL_FILE_ID],[@ROW_INDEX])&lt;&gt;"",TRUE,FALSE))</f>
        <v/>
      </c>
      <c r="F48" s="37">
        <f>IF([@DECLARATION_OF_CONFORMITY_ID]="","",IF(INDEX(T_DECLARATION_OF_CONFORMITY[RESPONSIBLE_PERSON_ID],[@ROW_INDEX])&lt;&gt;"",TRUE,FALSE))</f>
        <v/>
      </c>
      <c r="G48" s="37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48" s="37">
        <f>IF([@DECLARATION_OF_CONFORMITY_ID]="","",IF([@SCOPE_COUNT]&gt;=1,TRUE,FALSE))</f>
        <v/>
      </c>
      <c r="I48" s="37">
        <f>IF([@DECLARATION_OF_CONFORMITY_ID]="","",COUNTIF(T_DOCUMENT_LINK[DECLARATION_OF_CONFORMITY_ID],[@DECLARATION_OF_CONFORMITY_ID]))</f>
        <v/>
      </c>
      <c r="J48" s="37">
        <f>IF([@DECLARATION_OF_CONFORMITY_ID]="","",([@HAS_LEGAL_ENTITY]*25)+([@HAS_TECHNICAL_FILE]*25)+([@HAS_RESPONSIBLE_PERSON]*25)+([@HAS_SCOPE]*25))</f>
        <v/>
      </c>
      <c r="K48" s="37">
        <f>IF([@DECLARATION_OF_CONFORMITY_ID]="","",IF([@COMPLETENESS_SCORE]=100,"COMPLETE","INCOMPLETE"))</f>
        <v/>
      </c>
    </row>
    <row r="49">
      <c r="A49" s="37" t="n">
        <v>48</v>
      </c>
      <c r="B49" s="37">
        <f>IFERROR(INDEX(T_DECLARATION_OF_CONFORMITY[DECLARATION_OF_CONFORMITY_ID],[@ROW_INDEX]),"")</f>
        <v/>
      </c>
      <c r="C49" s="37">
        <f>IFERROR(INDEX(T_DECLARATION_OF_CONFORMITY[DOC_NUMBER],[@ROW_INDEX]),"")</f>
        <v/>
      </c>
      <c r="D49" s="37">
        <f>IF([@DECLARATION_OF_CONFORMITY_ID]="","",IF(INDEX(T_DECLARATION_OF_CONFORMITY[LEGAL_ENTITY_ID],[@ROW_INDEX])&lt;&gt;"",TRUE,FALSE))</f>
        <v/>
      </c>
      <c r="E49" s="37">
        <f>IF([@DECLARATION_OF_CONFORMITY_ID]="","",IF(INDEX(T_DECLARATION_OF_CONFORMITY[TECHNICAL_FILE_ID],[@ROW_INDEX])&lt;&gt;"",TRUE,FALSE))</f>
        <v/>
      </c>
      <c r="F49" s="37">
        <f>IF([@DECLARATION_OF_CONFORMITY_ID]="","",IF(INDEX(T_DECLARATION_OF_CONFORMITY[RESPONSIBLE_PERSON_ID],[@ROW_INDEX])&lt;&gt;"",TRUE,FALSE))</f>
        <v/>
      </c>
      <c r="G49" s="37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49" s="37">
        <f>IF([@DECLARATION_OF_CONFORMITY_ID]="","",IF([@SCOPE_COUNT]&gt;=1,TRUE,FALSE))</f>
        <v/>
      </c>
      <c r="I49" s="37">
        <f>IF([@DECLARATION_OF_CONFORMITY_ID]="","",COUNTIF(T_DOCUMENT_LINK[DECLARATION_OF_CONFORMITY_ID],[@DECLARATION_OF_CONFORMITY_ID]))</f>
        <v/>
      </c>
      <c r="J49" s="37">
        <f>IF([@DECLARATION_OF_CONFORMITY_ID]="","",([@HAS_LEGAL_ENTITY]*25)+([@HAS_TECHNICAL_FILE]*25)+([@HAS_RESPONSIBLE_PERSON]*25)+([@HAS_SCOPE]*25))</f>
        <v/>
      </c>
      <c r="K49" s="37">
        <f>IF([@DECLARATION_OF_CONFORMITY_ID]="","",IF([@COMPLETENESS_SCORE]=100,"COMPLETE","INCOMPLETE"))</f>
        <v/>
      </c>
    </row>
    <row r="50">
      <c r="A50" s="37" t="n">
        <v>49</v>
      </c>
      <c r="B50" s="37">
        <f>IFERROR(INDEX(T_DECLARATION_OF_CONFORMITY[DECLARATION_OF_CONFORMITY_ID],[@ROW_INDEX]),"")</f>
        <v/>
      </c>
      <c r="C50" s="37">
        <f>IFERROR(INDEX(T_DECLARATION_OF_CONFORMITY[DOC_NUMBER],[@ROW_INDEX]),"")</f>
        <v/>
      </c>
      <c r="D50" s="37">
        <f>IF([@DECLARATION_OF_CONFORMITY_ID]="","",IF(INDEX(T_DECLARATION_OF_CONFORMITY[LEGAL_ENTITY_ID],[@ROW_INDEX])&lt;&gt;"",TRUE,FALSE))</f>
        <v/>
      </c>
      <c r="E50" s="37">
        <f>IF([@DECLARATION_OF_CONFORMITY_ID]="","",IF(INDEX(T_DECLARATION_OF_CONFORMITY[TECHNICAL_FILE_ID],[@ROW_INDEX])&lt;&gt;"",TRUE,FALSE))</f>
        <v/>
      </c>
      <c r="F50" s="37">
        <f>IF([@DECLARATION_OF_CONFORMITY_ID]="","",IF(INDEX(T_DECLARATION_OF_CONFORMITY[RESPONSIBLE_PERSON_ID],[@ROW_INDEX])&lt;&gt;"",TRUE,FALSE))</f>
        <v/>
      </c>
      <c r="G50" s="37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50" s="37">
        <f>IF([@DECLARATION_OF_CONFORMITY_ID]="","",IF([@SCOPE_COUNT]&gt;=1,TRUE,FALSE))</f>
        <v/>
      </c>
      <c r="I50" s="37">
        <f>IF([@DECLARATION_OF_CONFORMITY_ID]="","",COUNTIF(T_DOCUMENT_LINK[DECLARATION_OF_CONFORMITY_ID],[@DECLARATION_OF_CONFORMITY_ID]))</f>
        <v/>
      </c>
      <c r="J50" s="37">
        <f>IF([@DECLARATION_OF_CONFORMITY_ID]="","",([@HAS_LEGAL_ENTITY]*25)+([@HAS_TECHNICAL_FILE]*25)+([@HAS_RESPONSIBLE_PERSON]*25)+([@HAS_SCOPE]*25))</f>
        <v/>
      </c>
      <c r="K50" s="37">
        <f>IF([@DECLARATION_OF_CONFORMITY_ID]="","",IF([@COMPLETENESS_SCORE]=100,"COMPLETE","INCOMPLETE"))</f>
        <v/>
      </c>
    </row>
    <row r="51">
      <c r="A51" s="37" t="n">
        <v>50</v>
      </c>
      <c r="B51" s="37">
        <f>IFERROR(INDEX(T_DECLARATION_OF_CONFORMITY[DECLARATION_OF_CONFORMITY_ID],[@ROW_INDEX]),"")</f>
        <v/>
      </c>
      <c r="C51" s="37">
        <f>IFERROR(INDEX(T_DECLARATION_OF_CONFORMITY[DOC_NUMBER],[@ROW_INDEX]),"")</f>
        <v/>
      </c>
      <c r="D51" s="37">
        <f>IF([@DECLARATION_OF_CONFORMITY_ID]="","",IF(INDEX(T_DECLARATION_OF_CONFORMITY[LEGAL_ENTITY_ID],[@ROW_INDEX])&lt;&gt;"",TRUE,FALSE))</f>
        <v/>
      </c>
      <c r="E51" s="37">
        <f>IF([@DECLARATION_OF_CONFORMITY_ID]="","",IF(INDEX(T_DECLARATION_OF_CONFORMITY[TECHNICAL_FILE_ID],[@ROW_INDEX])&lt;&gt;"",TRUE,FALSE))</f>
        <v/>
      </c>
      <c r="F51" s="37">
        <f>IF([@DECLARATION_OF_CONFORMITY_ID]="","",IF(INDEX(T_DECLARATION_OF_CONFORMITY[RESPONSIBLE_PERSON_ID],[@ROW_INDEX])&lt;&gt;"",TRUE,FALSE))</f>
        <v/>
      </c>
      <c r="G51" s="37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51" s="37">
        <f>IF([@DECLARATION_OF_CONFORMITY_ID]="","",IF([@SCOPE_COUNT]&gt;=1,TRUE,FALSE))</f>
        <v/>
      </c>
      <c r="I51" s="37">
        <f>IF([@DECLARATION_OF_CONFORMITY_ID]="","",COUNTIF(T_DOCUMENT_LINK[DECLARATION_OF_CONFORMITY_ID],[@DECLARATION_OF_CONFORMITY_ID]))</f>
        <v/>
      </c>
      <c r="J51" s="37">
        <f>IF([@DECLARATION_OF_CONFORMITY_ID]="","",([@HAS_LEGAL_ENTITY]*25)+([@HAS_TECHNICAL_FILE]*25)+([@HAS_RESPONSIBLE_PERSON]*25)+([@HAS_SCOPE]*25))</f>
        <v/>
      </c>
      <c r="K51" s="37">
        <f>IF([@DECLARATION_OF_CONFORMITY_ID]="","",IF([@COMPLETENESS_SCORE]=100,"COMPLETE","INCOMPLETE"))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conditionalFormatting sqref="K2:K51">
    <cfRule type="cellIs" priority="1" operator="equal" dxfId="0">
      <formula>"OK"</formula>
    </cfRule>
    <cfRule type="cellIs" priority="2" operator="equal" dxfId="0">
      <formula>"COMPLETE"</formula>
    </cfRule>
    <cfRule type="cellIs" priority="3" operator="equal" dxfId="1">
      <formula>"INCOMPLETE"</formula>
    </cfRule>
    <cfRule type="cellIs" priority="4" operator="equal" dxfId="2">
      <formula>"VARIANCE"</formula>
    </cfRule>
    <cfRule type="cellIs" priority="5" operator="equal" dxfId="3">
      <formula>"PENDING"</formula>
    </cfRule>
  </conditionalFormatting>
  <hyperlinks>
    <hyperlink xmlns:r="http://schemas.openxmlformats.org/officeDocument/2006/relationships" ref="M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8" customWidth="1" min="3" max="3"/>
    <col width="12" customWidth="1" min="4" max="4"/>
    <col width="21" customWidth="1" min="5" max="5"/>
    <col width="21" customWidth="1" min="6" max="6"/>
    <col width="30" customWidth="1" min="7" max="7"/>
    <col width="30" customWidth="1" min="8" max="8"/>
    <col width="22" customWidth="1" min="9" max="9"/>
    <col width="22" customWidth="1" min="10" max="10"/>
    <col width="16" customWidth="1" min="11" max="11"/>
    <col width="16" customWidth="1" min="12" max="12"/>
  </cols>
  <sheetData>
    <row r="1">
      <c r="A1" s="5" t="inlineStr">
        <is>
          <t>ROW_INDEX</t>
        </is>
      </c>
      <c r="B1" s="5" t="inlineStr">
        <is>
          <t>COMPONENT_ID</t>
        </is>
      </c>
      <c r="C1" s="5" t="inlineStr">
        <is>
          <t>COMPONENT_CODE</t>
        </is>
      </c>
      <c r="D1" s="5" t="inlineStr">
        <is>
          <t>WEIGHT_G</t>
        </is>
      </c>
      <c r="E1" s="5" t="inlineStr">
        <is>
          <t>USED_IN_PKG_LINES</t>
        </is>
      </c>
      <c r="F1" s="5" t="inlineStr">
        <is>
          <t>USED_IN_TRN_LINES</t>
        </is>
      </c>
      <c r="G1" s="5" t="inlineStr">
        <is>
          <t>AFFECTED_PACKAGING_CONFIGS</t>
        </is>
      </c>
      <c r="H1" s="5" t="inlineStr">
        <is>
          <t>AFFECTED_TRANSPORT_CONFIGS</t>
        </is>
      </c>
      <c r="I1" s="5" t="inlineStr">
        <is>
          <t>AFFECTED_SCENARIOS</t>
        </is>
      </c>
      <c r="J1" s="5" t="inlineStr">
        <is>
          <t>AFFECTED_SHIPMENTS</t>
        </is>
      </c>
      <c r="K1" s="5" t="inlineStr">
        <is>
          <t>IMPACT_SCORE</t>
        </is>
      </c>
      <c r="L1" s="5" t="inlineStr">
        <is>
          <t>IMPACT_LEVEL</t>
        </is>
      </c>
      <c r="N1" s="36" t="inlineStr">
        <is>
          <t>Dashboard</t>
        </is>
      </c>
    </row>
    <row r="2">
      <c r="A2" s="37" t="n">
        <v>1</v>
      </c>
      <c r="B2" s="37">
        <f>IFERROR(INDEX(T_COMPONENT[COMPONENT_ID],[@ROW_INDEX]),"")</f>
        <v/>
      </c>
      <c r="C2" s="37">
        <f>IFERROR(INDEX(T_COMPONENT[COMPONENT_CODE],[@ROW_INDEX]),"")</f>
        <v/>
      </c>
      <c r="D2" s="37">
        <f>IFERROR(INDEX(T_COMPONENT[WEIGHT_G],[@ROW_INDEX]),"")</f>
        <v/>
      </c>
      <c r="E2" s="37">
        <f>IF([@COMPONENT_ID]="","",COUNTIF(T_PACKAGING_CONFIGURATION_LINE[COMPONENT_ID],[@COMPONENT_ID]))</f>
        <v/>
      </c>
      <c r="F2" s="37">
        <f>IF([@COMPONENT_ID]="","",COUNTIF(T_TRANSPORT_CONFIGURATION_LINE[COMPONENT_ID],[@COMPONENT_ID]))</f>
        <v/>
      </c>
      <c r="G2" s="37">
        <f>IF([@COMPONENT_ID]="","",[@USED_IN_PKG_LINES])</f>
        <v/>
      </c>
      <c r="H2" s="37">
        <f>IF([@COMPONENT_ID]="","",[@USED_IN_TRN_LINES])</f>
        <v/>
      </c>
      <c r="I2" s="37">
        <f>IF([@COMPONENT_ID]="","",IF([@USED_IN_TRN_LINES]+[@USED_IN_PKG_LINES]=0,0,COUNTA(T_COMMERCIAL_SCENARIO[COMMERCIAL_SCENARIO_ID])))</f>
        <v/>
      </c>
      <c r="J2" s="37">
        <f>IF([@COMPONENT_ID]="","",COUNTIF(T_SHIPMENT_LINE[COMPONENT_ID],[@COMPONENT_ID]))</f>
        <v/>
      </c>
      <c r="K2" s="37">
        <f>IF([@COMPONENT_ID]="","",[@USED_IN_PKG_LINES]*2+[@USED_IN_TRN_LINES]*3+[@AFFECTED_SHIPMENTS]*5)</f>
        <v/>
      </c>
      <c r="L2" s="37">
        <f>IF([@COMPONENT_ID]="","",IF([@IMPACT_SCORE]&gt;=20,"HIGH",IF([@IMPACT_SCORE]&gt;=5,"MEDIUM","LOW")))</f>
        <v/>
      </c>
    </row>
    <row r="3">
      <c r="A3" s="37" t="n">
        <v>2</v>
      </c>
      <c r="B3" s="37">
        <f>IFERROR(INDEX(T_COMPONENT[COMPONENT_ID],[@ROW_INDEX]),"")</f>
        <v/>
      </c>
      <c r="C3" s="37">
        <f>IFERROR(INDEX(T_COMPONENT[COMPONENT_CODE],[@ROW_INDEX]),"")</f>
        <v/>
      </c>
      <c r="D3" s="37">
        <f>IFERROR(INDEX(T_COMPONENT[WEIGHT_G],[@ROW_INDEX]),"")</f>
        <v/>
      </c>
      <c r="E3" s="37">
        <f>IF([@COMPONENT_ID]="","",COUNTIF(T_PACKAGING_CONFIGURATION_LINE[COMPONENT_ID],[@COMPONENT_ID]))</f>
        <v/>
      </c>
      <c r="F3" s="37">
        <f>IF([@COMPONENT_ID]="","",COUNTIF(T_TRANSPORT_CONFIGURATION_LINE[COMPONENT_ID],[@COMPONENT_ID]))</f>
        <v/>
      </c>
      <c r="G3" s="37">
        <f>IF([@COMPONENT_ID]="","",[@USED_IN_PKG_LINES])</f>
        <v/>
      </c>
      <c r="H3" s="37">
        <f>IF([@COMPONENT_ID]="","",[@USED_IN_TRN_LINES])</f>
        <v/>
      </c>
      <c r="I3" s="37">
        <f>IF([@COMPONENT_ID]="","",IF([@USED_IN_TRN_LINES]+[@USED_IN_PKG_LINES]=0,0,COUNTA(T_COMMERCIAL_SCENARIO[COMMERCIAL_SCENARIO_ID])))</f>
        <v/>
      </c>
      <c r="J3" s="37">
        <f>IF([@COMPONENT_ID]="","",COUNTIF(T_SHIPMENT_LINE[COMPONENT_ID],[@COMPONENT_ID]))</f>
        <v/>
      </c>
      <c r="K3" s="37">
        <f>IF([@COMPONENT_ID]="","",[@USED_IN_PKG_LINES]*2+[@USED_IN_TRN_LINES]*3+[@AFFECTED_SHIPMENTS]*5)</f>
        <v/>
      </c>
      <c r="L3" s="37">
        <f>IF([@COMPONENT_ID]="","",IF([@IMPACT_SCORE]&gt;=20,"HIGH",IF([@IMPACT_SCORE]&gt;=5,"MEDIUM","LOW")))</f>
        <v/>
      </c>
    </row>
    <row r="4">
      <c r="A4" s="37" t="n">
        <v>3</v>
      </c>
      <c r="B4" s="37">
        <f>IFERROR(INDEX(T_COMPONENT[COMPONENT_ID],[@ROW_INDEX]),"")</f>
        <v/>
      </c>
      <c r="C4" s="37">
        <f>IFERROR(INDEX(T_COMPONENT[COMPONENT_CODE],[@ROW_INDEX]),"")</f>
        <v/>
      </c>
      <c r="D4" s="37">
        <f>IFERROR(INDEX(T_COMPONENT[WEIGHT_G],[@ROW_INDEX]),"")</f>
        <v/>
      </c>
      <c r="E4" s="37">
        <f>IF([@COMPONENT_ID]="","",COUNTIF(T_PACKAGING_CONFIGURATION_LINE[COMPONENT_ID],[@COMPONENT_ID]))</f>
        <v/>
      </c>
      <c r="F4" s="37">
        <f>IF([@COMPONENT_ID]="","",COUNTIF(T_TRANSPORT_CONFIGURATION_LINE[COMPONENT_ID],[@COMPONENT_ID]))</f>
        <v/>
      </c>
      <c r="G4" s="37">
        <f>IF([@COMPONENT_ID]="","",[@USED_IN_PKG_LINES])</f>
        <v/>
      </c>
      <c r="H4" s="37">
        <f>IF([@COMPONENT_ID]="","",[@USED_IN_TRN_LINES])</f>
        <v/>
      </c>
      <c r="I4" s="37">
        <f>IF([@COMPONENT_ID]="","",IF([@USED_IN_TRN_LINES]+[@USED_IN_PKG_LINES]=0,0,COUNTA(T_COMMERCIAL_SCENARIO[COMMERCIAL_SCENARIO_ID])))</f>
        <v/>
      </c>
      <c r="J4" s="37">
        <f>IF([@COMPONENT_ID]="","",COUNTIF(T_SHIPMENT_LINE[COMPONENT_ID],[@COMPONENT_ID]))</f>
        <v/>
      </c>
      <c r="K4" s="37">
        <f>IF([@COMPONENT_ID]="","",[@USED_IN_PKG_LINES]*2+[@USED_IN_TRN_LINES]*3+[@AFFECTED_SHIPMENTS]*5)</f>
        <v/>
      </c>
      <c r="L4" s="37">
        <f>IF([@COMPONENT_ID]="","",IF([@IMPACT_SCORE]&gt;=20,"HIGH",IF([@IMPACT_SCORE]&gt;=5,"MEDIUM","LOW")))</f>
        <v/>
      </c>
    </row>
    <row r="5">
      <c r="A5" s="37" t="n">
        <v>4</v>
      </c>
      <c r="B5" s="37">
        <f>IFERROR(INDEX(T_COMPONENT[COMPONENT_ID],[@ROW_INDEX]),"")</f>
        <v/>
      </c>
      <c r="C5" s="37">
        <f>IFERROR(INDEX(T_COMPONENT[COMPONENT_CODE],[@ROW_INDEX]),"")</f>
        <v/>
      </c>
      <c r="D5" s="37">
        <f>IFERROR(INDEX(T_COMPONENT[WEIGHT_G],[@ROW_INDEX]),"")</f>
        <v/>
      </c>
      <c r="E5" s="37">
        <f>IF([@COMPONENT_ID]="","",COUNTIF(T_PACKAGING_CONFIGURATION_LINE[COMPONENT_ID],[@COMPONENT_ID]))</f>
        <v/>
      </c>
      <c r="F5" s="37">
        <f>IF([@COMPONENT_ID]="","",COUNTIF(T_TRANSPORT_CONFIGURATION_LINE[COMPONENT_ID],[@COMPONENT_ID]))</f>
        <v/>
      </c>
      <c r="G5" s="37">
        <f>IF([@COMPONENT_ID]="","",[@USED_IN_PKG_LINES])</f>
        <v/>
      </c>
      <c r="H5" s="37">
        <f>IF([@COMPONENT_ID]="","",[@USED_IN_TRN_LINES])</f>
        <v/>
      </c>
      <c r="I5" s="37">
        <f>IF([@COMPONENT_ID]="","",IF([@USED_IN_TRN_LINES]+[@USED_IN_PKG_LINES]=0,0,COUNTA(T_COMMERCIAL_SCENARIO[COMMERCIAL_SCENARIO_ID])))</f>
        <v/>
      </c>
      <c r="J5" s="37">
        <f>IF([@COMPONENT_ID]="","",COUNTIF(T_SHIPMENT_LINE[COMPONENT_ID],[@COMPONENT_ID]))</f>
        <v/>
      </c>
      <c r="K5" s="37">
        <f>IF([@COMPONENT_ID]="","",[@USED_IN_PKG_LINES]*2+[@USED_IN_TRN_LINES]*3+[@AFFECTED_SHIPMENTS]*5)</f>
        <v/>
      </c>
      <c r="L5" s="37">
        <f>IF([@COMPONENT_ID]="","",IF([@IMPACT_SCORE]&gt;=20,"HIGH",IF([@IMPACT_SCORE]&gt;=5,"MEDIUM","LOW")))</f>
        <v/>
      </c>
    </row>
    <row r="6">
      <c r="A6" s="37" t="n">
        <v>5</v>
      </c>
      <c r="B6" s="37">
        <f>IFERROR(INDEX(T_COMPONENT[COMPONENT_ID],[@ROW_INDEX]),"")</f>
        <v/>
      </c>
      <c r="C6" s="37">
        <f>IFERROR(INDEX(T_COMPONENT[COMPONENT_CODE],[@ROW_INDEX]),"")</f>
        <v/>
      </c>
      <c r="D6" s="37">
        <f>IFERROR(INDEX(T_COMPONENT[WEIGHT_G],[@ROW_INDEX]),"")</f>
        <v/>
      </c>
      <c r="E6" s="37">
        <f>IF([@COMPONENT_ID]="","",COUNTIF(T_PACKAGING_CONFIGURATION_LINE[COMPONENT_ID],[@COMPONENT_ID]))</f>
        <v/>
      </c>
      <c r="F6" s="37">
        <f>IF([@COMPONENT_ID]="","",COUNTIF(T_TRANSPORT_CONFIGURATION_LINE[COMPONENT_ID],[@COMPONENT_ID]))</f>
        <v/>
      </c>
      <c r="G6" s="37">
        <f>IF([@COMPONENT_ID]="","",[@USED_IN_PKG_LINES])</f>
        <v/>
      </c>
      <c r="H6" s="37">
        <f>IF([@COMPONENT_ID]="","",[@USED_IN_TRN_LINES])</f>
        <v/>
      </c>
      <c r="I6" s="37">
        <f>IF([@COMPONENT_ID]="","",IF([@USED_IN_TRN_LINES]+[@USED_IN_PKG_LINES]=0,0,COUNTA(T_COMMERCIAL_SCENARIO[COMMERCIAL_SCENARIO_ID])))</f>
        <v/>
      </c>
      <c r="J6" s="37">
        <f>IF([@COMPONENT_ID]="","",COUNTIF(T_SHIPMENT_LINE[COMPONENT_ID],[@COMPONENT_ID]))</f>
        <v/>
      </c>
      <c r="K6" s="37">
        <f>IF([@COMPONENT_ID]="","",[@USED_IN_PKG_LINES]*2+[@USED_IN_TRN_LINES]*3+[@AFFECTED_SHIPMENTS]*5)</f>
        <v/>
      </c>
      <c r="L6" s="37">
        <f>IF([@COMPONENT_ID]="","",IF([@IMPACT_SCORE]&gt;=20,"HIGH",IF([@IMPACT_SCORE]&gt;=5,"MEDIUM","LOW")))</f>
        <v/>
      </c>
    </row>
    <row r="7">
      <c r="A7" s="37" t="n">
        <v>6</v>
      </c>
      <c r="B7" s="37">
        <f>IFERROR(INDEX(T_COMPONENT[COMPONENT_ID],[@ROW_INDEX]),"")</f>
        <v/>
      </c>
      <c r="C7" s="37">
        <f>IFERROR(INDEX(T_COMPONENT[COMPONENT_CODE],[@ROW_INDEX]),"")</f>
        <v/>
      </c>
      <c r="D7" s="37">
        <f>IFERROR(INDEX(T_COMPONENT[WEIGHT_G],[@ROW_INDEX]),"")</f>
        <v/>
      </c>
      <c r="E7" s="37">
        <f>IF([@COMPONENT_ID]="","",COUNTIF(T_PACKAGING_CONFIGURATION_LINE[COMPONENT_ID],[@COMPONENT_ID]))</f>
        <v/>
      </c>
      <c r="F7" s="37">
        <f>IF([@COMPONENT_ID]="","",COUNTIF(T_TRANSPORT_CONFIGURATION_LINE[COMPONENT_ID],[@COMPONENT_ID]))</f>
        <v/>
      </c>
      <c r="G7" s="37">
        <f>IF([@COMPONENT_ID]="","",[@USED_IN_PKG_LINES])</f>
        <v/>
      </c>
      <c r="H7" s="37">
        <f>IF([@COMPONENT_ID]="","",[@USED_IN_TRN_LINES])</f>
        <v/>
      </c>
      <c r="I7" s="37">
        <f>IF([@COMPONENT_ID]="","",IF([@USED_IN_TRN_LINES]+[@USED_IN_PKG_LINES]=0,0,COUNTA(T_COMMERCIAL_SCENARIO[COMMERCIAL_SCENARIO_ID])))</f>
        <v/>
      </c>
      <c r="J7" s="37">
        <f>IF([@COMPONENT_ID]="","",COUNTIF(T_SHIPMENT_LINE[COMPONENT_ID],[@COMPONENT_ID]))</f>
        <v/>
      </c>
      <c r="K7" s="37">
        <f>IF([@COMPONENT_ID]="","",[@USED_IN_PKG_LINES]*2+[@USED_IN_TRN_LINES]*3+[@AFFECTED_SHIPMENTS]*5)</f>
        <v/>
      </c>
      <c r="L7" s="37">
        <f>IF([@COMPONENT_ID]="","",IF([@IMPACT_SCORE]&gt;=20,"HIGH",IF([@IMPACT_SCORE]&gt;=5,"MEDIUM","LOW")))</f>
        <v/>
      </c>
    </row>
    <row r="8">
      <c r="A8" s="37" t="n">
        <v>7</v>
      </c>
      <c r="B8" s="37">
        <f>IFERROR(INDEX(T_COMPONENT[COMPONENT_ID],[@ROW_INDEX]),"")</f>
        <v/>
      </c>
      <c r="C8" s="37">
        <f>IFERROR(INDEX(T_COMPONENT[COMPONENT_CODE],[@ROW_INDEX]),"")</f>
        <v/>
      </c>
      <c r="D8" s="37">
        <f>IFERROR(INDEX(T_COMPONENT[WEIGHT_G],[@ROW_INDEX]),"")</f>
        <v/>
      </c>
      <c r="E8" s="37">
        <f>IF([@COMPONENT_ID]="","",COUNTIF(T_PACKAGING_CONFIGURATION_LINE[COMPONENT_ID],[@COMPONENT_ID]))</f>
        <v/>
      </c>
      <c r="F8" s="37">
        <f>IF([@COMPONENT_ID]="","",COUNTIF(T_TRANSPORT_CONFIGURATION_LINE[COMPONENT_ID],[@COMPONENT_ID]))</f>
        <v/>
      </c>
      <c r="G8" s="37">
        <f>IF([@COMPONENT_ID]="","",[@USED_IN_PKG_LINES])</f>
        <v/>
      </c>
      <c r="H8" s="37">
        <f>IF([@COMPONENT_ID]="","",[@USED_IN_TRN_LINES])</f>
        <v/>
      </c>
      <c r="I8" s="37">
        <f>IF([@COMPONENT_ID]="","",IF([@USED_IN_TRN_LINES]+[@USED_IN_PKG_LINES]=0,0,COUNTA(T_COMMERCIAL_SCENARIO[COMMERCIAL_SCENARIO_ID])))</f>
        <v/>
      </c>
      <c r="J8" s="37">
        <f>IF([@COMPONENT_ID]="","",COUNTIF(T_SHIPMENT_LINE[COMPONENT_ID],[@COMPONENT_ID]))</f>
        <v/>
      </c>
      <c r="K8" s="37">
        <f>IF([@COMPONENT_ID]="","",[@USED_IN_PKG_LINES]*2+[@USED_IN_TRN_LINES]*3+[@AFFECTED_SHIPMENTS]*5)</f>
        <v/>
      </c>
      <c r="L8" s="37">
        <f>IF([@COMPONENT_ID]="","",IF([@IMPACT_SCORE]&gt;=20,"HIGH",IF([@IMPACT_SCORE]&gt;=5,"MEDIUM","LOW")))</f>
        <v/>
      </c>
    </row>
    <row r="9">
      <c r="A9" s="37" t="n">
        <v>8</v>
      </c>
      <c r="B9" s="37">
        <f>IFERROR(INDEX(T_COMPONENT[COMPONENT_ID],[@ROW_INDEX]),"")</f>
        <v/>
      </c>
      <c r="C9" s="37">
        <f>IFERROR(INDEX(T_COMPONENT[COMPONENT_CODE],[@ROW_INDEX]),"")</f>
        <v/>
      </c>
      <c r="D9" s="37">
        <f>IFERROR(INDEX(T_COMPONENT[WEIGHT_G],[@ROW_INDEX]),"")</f>
        <v/>
      </c>
      <c r="E9" s="37">
        <f>IF([@COMPONENT_ID]="","",COUNTIF(T_PACKAGING_CONFIGURATION_LINE[COMPONENT_ID],[@COMPONENT_ID]))</f>
        <v/>
      </c>
      <c r="F9" s="37">
        <f>IF([@COMPONENT_ID]="","",COUNTIF(T_TRANSPORT_CONFIGURATION_LINE[COMPONENT_ID],[@COMPONENT_ID]))</f>
        <v/>
      </c>
      <c r="G9" s="37">
        <f>IF([@COMPONENT_ID]="","",[@USED_IN_PKG_LINES])</f>
        <v/>
      </c>
      <c r="H9" s="37">
        <f>IF([@COMPONENT_ID]="","",[@USED_IN_TRN_LINES])</f>
        <v/>
      </c>
      <c r="I9" s="37">
        <f>IF([@COMPONENT_ID]="","",IF([@USED_IN_TRN_LINES]+[@USED_IN_PKG_LINES]=0,0,COUNTA(T_COMMERCIAL_SCENARIO[COMMERCIAL_SCENARIO_ID])))</f>
        <v/>
      </c>
      <c r="J9" s="37">
        <f>IF([@COMPONENT_ID]="","",COUNTIF(T_SHIPMENT_LINE[COMPONENT_ID],[@COMPONENT_ID]))</f>
        <v/>
      </c>
      <c r="K9" s="37">
        <f>IF([@COMPONENT_ID]="","",[@USED_IN_PKG_LINES]*2+[@USED_IN_TRN_LINES]*3+[@AFFECTED_SHIPMENTS]*5)</f>
        <v/>
      </c>
      <c r="L9" s="37">
        <f>IF([@COMPONENT_ID]="","",IF([@IMPACT_SCORE]&gt;=20,"HIGH",IF([@IMPACT_SCORE]&gt;=5,"MEDIUM","LOW")))</f>
        <v/>
      </c>
    </row>
    <row r="10">
      <c r="A10" s="37" t="n">
        <v>9</v>
      </c>
      <c r="B10" s="37">
        <f>IFERROR(INDEX(T_COMPONENT[COMPONENT_ID],[@ROW_INDEX]),"")</f>
        <v/>
      </c>
      <c r="C10" s="37">
        <f>IFERROR(INDEX(T_COMPONENT[COMPONENT_CODE],[@ROW_INDEX]),"")</f>
        <v/>
      </c>
      <c r="D10" s="37">
        <f>IFERROR(INDEX(T_COMPONENT[WEIGHT_G],[@ROW_INDEX]),"")</f>
        <v/>
      </c>
      <c r="E10" s="37">
        <f>IF([@COMPONENT_ID]="","",COUNTIF(T_PACKAGING_CONFIGURATION_LINE[COMPONENT_ID],[@COMPONENT_ID]))</f>
        <v/>
      </c>
      <c r="F10" s="37">
        <f>IF([@COMPONENT_ID]="","",COUNTIF(T_TRANSPORT_CONFIGURATION_LINE[COMPONENT_ID],[@COMPONENT_ID]))</f>
        <v/>
      </c>
      <c r="G10" s="37">
        <f>IF([@COMPONENT_ID]="","",[@USED_IN_PKG_LINES])</f>
        <v/>
      </c>
      <c r="H10" s="37">
        <f>IF([@COMPONENT_ID]="","",[@USED_IN_TRN_LINES])</f>
        <v/>
      </c>
      <c r="I10" s="37">
        <f>IF([@COMPONENT_ID]="","",IF([@USED_IN_TRN_LINES]+[@USED_IN_PKG_LINES]=0,0,COUNTA(T_COMMERCIAL_SCENARIO[COMMERCIAL_SCENARIO_ID])))</f>
        <v/>
      </c>
      <c r="J10" s="37">
        <f>IF([@COMPONENT_ID]="","",COUNTIF(T_SHIPMENT_LINE[COMPONENT_ID],[@COMPONENT_ID]))</f>
        <v/>
      </c>
      <c r="K10" s="37">
        <f>IF([@COMPONENT_ID]="","",[@USED_IN_PKG_LINES]*2+[@USED_IN_TRN_LINES]*3+[@AFFECTED_SHIPMENTS]*5)</f>
        <v/>
      </c>
      <c r="L10" s="37">
        <f>IF([@COMPONENT_ID]="","",IF([@IMPACT_SCORE]&gt;=20,"HIGH",IF([@IMPACT_SCORE]&gt;=5,"MEDIUM","LOW")))</f>
        <v/>
      </c>
    </row>
    <row r="11">
      <c r="A11" s="37" t="n">
        <v>10</v>
      </c>
      <c r="B11" s="37">
        <f>IFERROR(INDEX(T_COMPONENT[COMPONENT_ID],[@ROW_INDEX]),"")</f>
        <v/>
      </c>
      <c r="C11" s="37">
        <f>IFERROR(INDEX(T_COMPONENT[COMPONENT_CODE],[@ROW_INDEX]),"")</f>
        <v/>
      </c>
      <c r="D11" s="37">
        <f>IFERROR(INDEX(T_COMPONENT[WEIGHT_G],[@ROW_INDEX]),"")</f>
        <v/>
      </c>
      <c r="E11" s="37">
        <f>IF([@COMPONENT_ID]="","",COUNTIF(T_PACKAGING_CONFIGURATION_LINE[COMPONENT_ID],[@COMPONENT_ID]))</f>
        <v/>
      </c>
      <c r="F11" s="37">
        <f>IF([@COMPONENT_ID]="","",COUNTIF(T_TRANSPORT_CONFIGURATION_LINE[COMPONENT_ID],[@COMPONENT_ID]))</f>
        <v/>
      </c>
      <c r="G11" s="37">
        <f>IF([@COMPONENT_ID]="","",[@USED_IN_PKG_LINES])</f>
        <v/>
      </c>
      <c r="H11" s="37">
        <f>IF([@COMPONENT_ID]="","",[@USED_IN_TRN_LINES])</f>
        <v/>
      </c>
      <c r="I11" s="37">
        <f>IF([@COMPONENT_ID]="","",IF([@USED_IN_TRN_LINES]+[@USED_IN_PKG_LINES]=0,0,COUNTA(T_COMMERCIAL_SCENARIO[COMMERCIAL_SCENARIO_ID])))</f>
        <v/>
      </c>
      <c r="J11" s="37">
        <f>IF([@COMPONENT_ID]="","",COUNTIF(T_SHIPMENT_LINE[COMPONENT_ID],[@COMPONENT_ID]))</f>
        <v/>
      </c>
      <c r="K11" s="37">
        <f>IF([@COMPONENT_ID]="","",[@USED_IN_PKG_LINES]*2+[@USED_IN_TRN_LINES]*3+[@AFFECTED_SHIPMENTS]*5)</f>
        <v/>
      </c>
      <c r="L11" s="37">
        <f>IF([@COMPONENT_ID]="","",IF([@IMPACT_SCORE]&gt;=20,"HIGH",IF([@IMPACT_SCORE]&gt;=5,"MEDIUM","LOW")))</f>
        <v/>
      </c>
    </row>
    <row r="12">
      <c r="A12" s="37" t="n">
        <v>11</v>
      </c>
      <c r="B12" s="37">
        <f>IFERROR(INDEX(T_COMPONENT[COMPONENT_ID],[@ROW_INDEX]),"")</f>
        <v/>
      </c>
      <c r="C12" s="37">
        <f>IFERROR(INDEX(T_COMPONENT[COMPONENT_CODE],[@ROW_INDEX]),"")</f>
        <v/>
      </c>
      <c r="D12" s="37">
        <f>IFERROR(INDEX(T_COMPONENT[WEIGHT_G],[@ROW_INDEX]),"")</f>
        <v/>
      </c>
      <c r="E12" s="37">
        <f>IF([@COMPONENT_ID]="","",COUNTIF(T_PACKAGING_CONFIGURATION_LINE[COMPONENT_ID],[@COMPONENT_ID]))</f>
        <v/>
      </c>
      <c r="F12" s="37">
        <f>IF([@COMPONENT_ID]="","",COUNTIF(T_TRANSPORT_CONFIGURATION_LINE[COMPONENT_ID],[@COMPONENT_ID]))</f>
        <v/>
      </c>
      <c r="G12" s="37">
        <f>IF([@COMPONENT_ID]="","",[@USED_IN_PKG_LINES])</f>
        <v/>
      </c>
      <c r="H12" s="37">
        <f>IF([@COMPONENT_ID]="","",[@USED_IN_TRN_LINES])</f>
        <v/>
      </c>
      <c r="I12" s="37">
        <f>IF([@COMPONENT_ID]="","",IF([@USED_IN_TRN_LINES]+[@USED_IN_PKG_LINES]=0,0,COUNTA(T_COMMERCIAL_SCENARIO[COMMERCIAL_SCENARIO_ID])))</f>
        <v/>
      </c>
      <c r="J12" s="37">
        <f>IF([@COMPONENT_ID]="","",COUNTIF(T_SHIPMENT_LINE[COMPONENT_ID],[@COMPONENT_ID]))</f>
        <v/>
      </c>
      <c r="K12" s="37">
        <f>IF([@COMPONENT_ID]="","",[@USED_IN_PKG_LINES]*2+[@USED_IN_TRN_LINES]*3+[@AFFECTED_SHIPMENTS]*5)</f>
        <v/>
      </c>
      <c r="L12" s="37">
        <f>IF([@COMPONENT_ID]="","",IF([@IMPACT_SCORE]&gt;=20,"HIGH",IF([@IMPACT_SCORE]&gt;=5,"MEDIUM","LOW")))</f>
        <v/>
      </c>
    </row>
    <row r="13">
      <c r="A13" s="37" t="n">
        <v>12</v>
      </c>
      <c r="B13" s="37">
        <f>IFERROR(INDEX(T_COMPONENT[COMPONENT_ID],[@ROW_INDEX]),"")</f>
        <v/>
      </c>
      <c r="C13" s="37">
        <f>IFERROR(INDEX(T_COMPONENT[COMPONENT_CODE],[@ROW_INDEX]),"")</f>
        <v/>
      </c>
      <c r="D13" s="37">
        <f>IFERROR(INDEX(T_COMPONENT[WEIGHT_G],[@ROW_INDEX]),"")</f>
        <v/>
      </c>
      <c r="E13" s="37">
        <f>IF([@COMPONENT_ID]="","",COUNTIF(T_PACKAGING_CONFIGURATION_LINE[COMPONENT_ID],[@COMPONENT_ID]))</f>
        <v/>
      </c>
      <c r="F13" s="37">
        <f>IF([@COMPONENT_ID]="","",COUNTIF(T_TRANSPORT_CONFIGURATION_LINE[COMPONENT_ID],[@COMPONENT_ID]))</f>
        <v/>
      </c>
      <c r="G13" s="37">
        <f>IF([@COMPONENT_ID]="","",[@USED_IN_PKG_LINES])</f>
        <v/>
      </c>
      <c r="H13" s="37">
        <f>IF([@COMPONENT_ID]="","",[@USED_IN_TRN_LINES])</f>
        <v/>
      </c>
      <c r="I13" s="37">
        <f>IF([@COMPONENT_ID]="","",IF([@USED_IN_TRN_LINES]+[@USED_IN_PKG_LINES]=0,0,COUNTA(T_COMMERCIAL_SCENARIO[COMMERCIAL_SCENARIO_ID])))</f>
        <v/>
      </c>
      <c r="J13" s="37">
        <f>IF([@COMPONENT_ID]="","",COUNTIF(T_SHIPMENT_LINE[COMPONENT_ID],[@COMPONENT_ID]))</f>
        <v/>
      </c>
      <c r="K13" s="37">
        <f>IF([@COMPONENT_ID]="","",[@USED_IN_PKG_LINES]*2+[@USED_IN_TRN_LINES]*3+[@AFFECTED_SHIPMENTS]*5)</f>
        <v/>
      </c>
      <c r="L13" s="37">
        <f>IF([@COMPONENT_ID]="","",IF([@IMPACT_SCORE]&gt;=20,"HIGH",IF([@IMPACT_SCORE]&gt;=5,"MEDIUM","LOW")))</f>
        <v/>
      </c>
    </row>
    <row r="14">
      <c r="A14" s="37" t="n">
        <v>13</v>
      </c>
      <c r="B14" s="37">
        <f>IFERROR(INDEX(T_COMPONENT[COMPONENT_ID],[@ROW_INDEX]),"")</f>
        <v/>
      </c>
      <c r="C14" s="37">
        <f>IFERROR(INDEX(T_COMPONENT[COMPONENT_CODE],[@ROW_INDEX]),"")</f>
        <v/>
      </c>
      <c r="D14" s="37">
        <f>IFERROR(INDEX(T_COMPONENT[WEIGHT_G],[@ROW_INDEX]),"")</f>
        <v/>
      </c>
      <c r="E14" s="37">
        <f>IF([@COMPONENT_ID]="","",COUNTIF(T_PACKAGING_CONFIGURATION_LINE[COMPONENT_ID],[@COMPONENT_ID]))</f>
        <v/>
      </c>
      <c r="F14" s="37">
        <f>IF([@COMPONENT_ID]="","",COUNTIF(T_TRANSPORT_CONFIGURATION_LINE[COMPONENT_ID],[@COMPONENT_ID]))</f>
        <v/>
      </c>
      <c r="G14" s="37">
        <f>IF([@COMPONENT_ID]="","",[@USED_IN_PKG_LINES])</f>
        <v/>
      </c>
      <c r="H14" s="37">
        <f>IF([@COMPONENT_ID]="","",[@USED_IN_TRN_LINES])</f>
        <v/>
      </c>
      <c r="I14" s="37">
        <f>IF([@COMPONENT_ID]="","",IF([@USED_IN_TRN_LINES]+[@USED_IN_PKG_LINES]=0,0,COUNTA(T_COMMERCIAL_SCENARIO[COMMERCIAL_SCENARIO_ID])))</f>
        <v/>
      </c>
      <c r="J14" s="37">
        <f>IF([@COMPONENT_ID]="","",COUNTIF(T_SHIPMENT_LINE[COMPONENT_ID],[@COMPONENT_ID]))</f>
        <v/>
      </c>
      <c r="K14" s="37">
        <f>IF([@COMPONENT_ID]="","",[@USED_IN_PKG_LINES]*2+[@USED_IN_TRN_LINES]*3+[@AFFECTED_SHIPMENTS]*5)</f>
        <v/>
      </c>
      <c r="L14" s="37">
        <f>IF([@COMPONENT_ID]="","",IF([@IMPACT_SCORE]&gt;=20,"HIGH",IF([@IMPACT_SCORE]&gt;=5,"MEDIUM","LOW")))</f>
        <v/>
      </c>
    </row>
    <row r="15">
      <c r="A15" s="37" t="n">
        <v>14</v>
      </c>
      <c r="B15" s="37">
        <f>IFERROR(INDEX(T_COMPONENT[COMPONENT_ID],[@ROW_INDEX]),"")</f>
        <v/>
      </c>
      <c r="C15" s="37">
        <f>IFERROR(INDEX(T_COMPONENT[COMPONENT_CODE],[@ROW_INDEX]),"")</f>
        <v/>
      </c>
      <c r="D15" s="37">
        <f>IFERROR(INDEX(T_COMPONENT[WEIGHT_G],[@ROW_INDEX]),"")</f>
        <v/>
      </c>
      <c r="E15" s="37">
        <f>IF([@COMPONENT_ID]="","",COUNTIF(T_PACKAGING_CONFIGURATION_LINE[COMPONENT_ID],[@COMPONENT_ID]))</f>
        <v/>
      </c>
      <c r="F15" s="37">
        <f>IF([@COMPONENT_ID]="","",COUNTIF(T_TRANSPORT_CONFIGURATION_LINE[COMPONENT_ID],[@COMPONENT_ID]))</f>
        <v/>
      </c>
      <c r="G15" s="37">
        <f>IF([@COMPONENT_ID]="","",[@USED_IN_PKG_LINES])</f>
        <v/>
      </c>
      <c r="H15" s="37">
        <f>IF([@COMPONENT_ID]="","",[@USED_IN_TRN_LINES])</f>
        <v/>
      </c>
      <c r="I15" s="37">
        <f>IF([@COMPONENT_ID]="","",IF([@USED_IN_TRN_LINES]+[@USED_IN_PKG_LINES]=0,0,COUNTA(T_COMMERCIAL_SCENARIO[COMMERCIAL_SCENARIO_ID])))</f>
        <v/>
      </c>
      <c r="J15" s="37">
        <f>IF([@COMPONENT_ID]="","",COUNTIF(T_SHIPMENT_LINE[COMPONENT_ID],[@COMPONENT_ID]))</f>
        <v/>
      </c>
      <c r="K15" s="37">
        <f>IF([@COMPONENT_ID]="","",[@USED_IN_PKG_LINES]*2+[@USED_IN_TRN_LINES]*3+[@AFFECTED_SHIPMENTS]*5)</f>
        <v/>
      </c>
      <c r="L15" s="37">
        <f>IF([@COMPONENT_ID]="","",IF([@IMPACT_SCORE]&gt;=20,"HIGH",IF([@IMPACT_SCORE]&gt;=5,"MEDIUM","LOW")))</f>
        <v/>
      </c>
    </row>
    <row r="16">
      <c r="A16" s="37" t="n">
        <v>15</v>
      </c>
      <c r="B16" s="37">
        <f>IFERROR(INDEX(T_COMPONENT[COMPONENT_ID],[@ROW_INDEX]),"")</f>
        <v/>
      </c>
      <c r="C16" s="37">
        <f>IFERROR(INDEX(T_COMPONENT[COMPONENT_CODE],[@ROW_INDEX]),"")</f>
        <v/>
      </c>
      <c r="D16" s="37">
        <f>IFERROR(INDEX(T_COMPONENT[WEIGHT_G],[@ROW_INDEX]),"")</f>
        <v/>
      </c>
      <c r="E16" s="37">
        <f>IF([@COMPONENT_ID]="","",COUNTIF(T_PACKAGING_CONFIGURATION_LINE[COMPONENT_ID],[@COMPONENT_ID]))</f>
        <v/>
      </c>
      <c r="F16" s="37">
        <f>IF([@COMPONENT_ID]="","",COUNTIF(T_TRANSPORT_CONFIGURATION_LINE[COMPONENT_ID],[@COMPONENT_ID]))</f>
        <v/>
      </c>
      <c r="G16" s="37">
        <f>IF([@COMPONENT_ID]="","",[@USED_IN_PKG_LINES])</f>
        <v/>
      </c>
      <c r="H16" s="37">
        <f>IF([@COMPONENT_ID]="","",[@USED_IN_TRN_LINES])</f>
        <v/>
      </c>
      <c r="I16" s="37">
        <f>IF([@COMPONENT_ID]="","",IF([@USED_IN_TRN_LINES]+[@USED_IN_PKG_LINES]=0,0,COUNTA(T_COMMERCIAL_SCENARIO[COMMERCIAL_SCENARIO_ID])))</f>
        <v/>
      </c>
      <c r="J16" s="37">
        <f>IF([@COMPONENT_ID]="","",COUNTIF(T_SHIPMENT_LINE[COMPONENT_ID],[@COMPONENT_ID]))</f>
        <v/>
      </c>
      <c r="K16" s="37">
        <f>IF([@COMPONENT_ID]="","",[@USED_IN_PKG_LINES]*2+[@USED_IN_TRN_LINES]*3+[@AFFECTED_SHIPMENTS]*5)</f>
        <v/>
      </c>
      <c r="L16" s="37">
        <f>IF([@COMPONENT_ID]="","",IF([@IMPACT_SCORE]&gt;=20,"HIGH",IF([@IMPACT_SCORE]&gt;=5,"MEDIUM","LOW")))</f>
        <v/>
      </c>
    </row>
    <row r="17">
      <c r="A17" s="37" t="n">
        <v>16</v>
      </c>
      <c r="B17" s="37">
        <f>IFERROR(INDEX(T_COMPONENT[COMPONENT_ID],[@ROW_INDEX]),"")</f>
        <v/>
      </c>
      <c r="C17" s="37">
        <f>IFERROR(INDEX(T_COMPONENT[COMPONENT_CODE],[@ROW_INDEX]),"")</f>
        <v/>
      </c>
      <c r="D17" s="37">
        <f>IFERROR(INDEX(T_COMPONENT[WEIGHT_G],[@ROW_INDEX]),"")</f>
        <v/>
      </c>
      <c r="E17" s="37">
        <f>IF([@COMPONENT_ID]="","",COUNTIF(T_PACKAGING_CONFIGURATION_LINE[COMPONENT_ID],[@COMPONENT_ID]))</f>
        <v/>
      </c>
      <c r="F17" s="37">
        <f>IF([@COMPONENT_ID]="","",COUNTIF(T_TRANSPORT_CONFIGURATION_LINE[COMPONENT_ID],[@COMPONENT_ID]))</f>
        <v/>
      </c>
      <c r="G17" s="37">
        <f>IF([@COMPONENT_ID]="","",[@USED_IN_PKG_LINES])</f>
        <v/>
      </c>
      <c r="H17" s="37">
        <f>IF([@COMPONENT_ID]="","",[@USED_IN_TRN_LINES])</f>
        <v/>
      </c>
      <c r="I17" s="37">
        <f>IF([@COMPONENT_ID]="","",IF([@USED_IN_TRN_LINES]+[@USED_IN_PKG_LINES]=0,0,COUNTA(T_COMMERCIAL_SCENARIO[COMMERCIAL_SCENARIO_ID])))</f>
        <v/>
      </c>
      <c r="J17" s="37">
        <f>IF([@COMPONENT_ID]="","",COUNTIF(T_SHIPMENT_LINE[COMPONENT_ID],[@COMPONENT_ID]))</f>
        <v/>
      </c>
      <c r="K17" s="37">
        <f>IF([@COMPONENT_ID]="","",[@USED_IN_PKG_LINES]*2+[@USED_IN_TRN_LINES]*3+[@AFFECTED_SHIPMENTS]*5)</f>
        <v/>
      </c>
      <c r="L17" s="37">
        <f>IF([@COMPONENT_ID]="","",IF([@IMPACT_SCORE]&gt;=20,"HIGH",IF([@IMPACT_SCORE]&gt;=5,"MEDIUM","LOW")))</f>
        <v/>
      </c>
    </row>
    <row r="18">
      <c r="A18" s="37" t="n">
        <v>17</v>
      </c>
      <c r="B18" s="37">
        <f>IFERROR(INDEX(T_COMPONENT[COMPONENT_ID],[@ROW_INDEX]),"")</f>
        <v/>
      </c>
      <c r="C18" s="37">
        <f>IFERROR(INDEX(T_COMPONENT[COMPONENT_CODE],[@ROW_INDEX]),"")</f>
        <v/>
      </c>
      <c r="D18" s="37">
        <f>IFERROR(INDEX(T_COMPONENT[WEIGHT_G],[@ROW_INDEX]),"")</f>
        <v/>
      </c>
      <c r="E18" s="37">
        <f>IF([@COMPONENT_ID]="","",COUNTIF(T_PACKAGING_CONFIGURATION_LINE[COMPONENT_ID],[@COMPONENT_ID]))</f>
        <v/>
      </c>
      <c r="F18" s="37">
        <f>IF([@COMPONENT_ID]="","",COUNTIF(T_TRANSPORT_CONFIGURATION_LINE[COMPONENT_ID],[@COMPONENT_ID]))</f>
        <v/>
      </c>
      <c r="G18" s="37">
        <f>IF([@COMPONENT_ID]="","",[@USED_IN_PKG_LINES])</f>
        <v/>
      </c>
      <c r="H18" s="37">
        <f>IF([@COMPONENT_ID]="","",[@USED_IN_TRN_LINES])</f>
        <v/>
      </c>
      <c r="I18" s="37">
        <f>IF([@COMPONENT_ID]="","",IF([@USED_IN_TRN_LINES]+[@USED_IN_PKG_LINES]=0,0,COUNTA(T_COMMERCIAL_SCENARIO[COMMERCIAL_SCENARIO_ID])))</f>
        <v/>
      </c>
      <c r="J18" s="37">
        <f>IF([@COMPONENT_ID]="","",COUNTIF(T_SHIPMENT_LINE[COMPONENT_ID],[@COMPONENT_ID]))</f>
        <v/>
      </c>
      <c r="K18" s="37">
        <f>IF([@COMPONENT_ID]="","",[@USED_IN_PKG_LINES]*2+[@USED_IN_TRN_LINES]*3+[@AFFECTED_SHIPMENTS]*5)</f>
        <v/>
      </c>
      <c r="L18" s="37">
        <f>IF([@COMPONENT_ID]="","",IF([@IMPACT_SCORE]&gt;=20,"HIGH",IF([@IMPACT_SCORE]&gt;=5,"MEDIUM","LOW")))</f>
        <v/>
      </c>
    </row>
    <row r="19">
      <c r="A19" s="37" t="n">
        <v>18</v>
      </c>
      <c r="B19" s="37">
        <f>IFERROR(INDEX(T_COMPONENT[COMPONENT_ID],[@ROW_INDEX]),"")</f>
        <v/>
      </c>
      <c r="C19" s="37">
        <f>IFERROR(INDEX(T_COMPONENT[COMPONENT_CODE],[@ROW_INDEX]),"")</f>
        <v/>
      </c>
      <c r="D19" s="37">
        <f>IFERROR(INDEX(T_COMPONENT[WEIGHT_G],[@ROW_INDEX]),"")</f>
        <v/>
      </c>
      <c r="E19" s="37">
        <f>IF([@COMPONENT_ID]="","",COUNTIF(T_PACKAGING_CONFIGURATION_LINE[COMPONENT_ID],[@COMPONENT_ID]))</f>
        <v/>
      </c>
      <c r="F19" s="37">
        <f>IF([@COMPONENT_ID]="","",COUNTIF(T_TRANSPORT_CONFIGURATION_LINE[COMPONENT_ID],[@COMPONENT_ID]))</f>
        <v/>
      </c>
      <c r="G19" s="37">
        <f>IF([@COMPONENT_ID]="","",[@USED_IN_PKG_LINES])</f>
        <v/>
      </c>
      <c r="H19" s="37">
        <f>IF([@COMPONENT_ID]="","",[@USED_IN_TRN_LINES])</f>
        <v/>
      </c>
      <c r="I19" s="37">
        <f>IF([@COMPONENT_ID]="","",IF([@USED_IN_TRN_LINES]+[@USED_IN_PKG_LINES]=0,0,COUNTA(T_COMMERCIAL_SCENARIO[COMMERCIAL_SCENARIO_ID])))</f>
        <v/>
      </c>
      <c r="J19" s="37">
        <f>IF([@COMPONENT_ID]="","",COUNTIF(T_SHIPMENT_LINE[COMPONENT_ID],[@COMPONENT_ID]))</f>
        <v/>
      </c>
      <c r="K19" s="37">
        <f>IF([@COMPONENT_ID]="","",[@USED_IN_PKG_LINES]*2+[@USED_IN_TRN_LINES]*3+[@AFFECTED_SHIPMENTS]*5)</f>
        <v/>
      </c>
      <c r="L19" s="37">
        <f>IF([@COMPONENT_ID]="","",IF([@IMPACT_SCORE]&gt;=20,"HIGH",IF([@IMPACT_SCORE]&gt;=5,"MEDIUM","LOW")))</f>
        <v/>
      </c>
    </row>
    <row r="20">
      <c r="A20" s="37" t="n">
        <v>19</v>
      </c>
      <c r="B20" s="37">
        <f>IFERROR(INDEX(T_COMPONENT[COMPONENT_ID],[@ROW_INDEX]),"")</f>
        <v/>
      </c>
      <c r="C20" s="37">
        <f>IFERROR(INDEX(T_COMPONENT[COMPONENT_CODE],[@ROW_INDEX]),"")</f>
        <v/>
      </c>
      <c r="D20" s="37">
        <f>IFERROR(INDEX(T_COMPONENT[WEIGHT_G],[@ROW_INDEX]),"")</f>
        <v/>
      </c>
      <c r="E20" s="37">
        <f>IF([@COMPONENT_ID]="","",COUNTIF(T_PACKAGING_CONFIGURATION_LINE[COMPONENT_ID],[@COMPONENT_ID]))</f>
        <v/>
      </c>
      <c r="F20" s="37">
        <f>IF([@COMPONENT_ID]="","",COUNTIF(T_TRANSPORT_CONFIGURATION_LINE[COMPONENT_ID],[@COMPONENT_ID]))</f>
        <v/>
      </c>
      <c r="G20" s="37">
        <f>IF([@COMPONENT_ID]="","",[@USED_IN_PKG_LINES])</f>
        <v/>
      </c>
      <c r="H20" s="37">
        <f>IF([@COMPONENT_ID]="","",[@USED_IN_TRN_LINES])</f>
        <v/>
      </c>
      <c r="I20" s="37">
        <f>IF([@COMPONENT_ID]="","",IF([@USED_IN_TRN_LINES]+[@USED_IN_PKG_LINES]=0,0,COUNTA(T_COMMERCIAL_SCENARIO[COMMERCIAL_SCENARIO_ID])))</f>
        <v/>
      </c>
      <c r="J20" s="37">
        <f>IF([@COMPONENT_ID]="","",COUNTIF(T_SHIPMENT_LINE[COMPONENT_ID],[@COMPONENT_ID]))</f>
        <v/>
      </c>
      <c r="K20" s="37">
        <f>IF([@COMPONENT_ID]="","",[@USED_IN_PKG_LINES]*2+[@USED_IN_TRN_LINES]*3+[@AFFECTED_SHIPMENTS]*5)</f>
        <v/>
      </c>
      <c r="L20" s="37">
        <f>IF([@COMPONENT_ID]="","",IF([@IMPACT_SCORE]&gt;=20,"HIGH",IF([@IMPACT_SCORE]&gt;=5,"MEDIUM","LOW")))</f>
        <v/>
      </c>
    </row>
    <row r="21">
      <c r="A21" s="37" t="n">
        <v>20</v>
      </c>
      <c r="B21" s="37">
        <f>IFERROR(INDEX(T_COMPONENT[COMPONENT_ID],[@ROW_INDEX]),"")</f>
        <v/>
      </c>
      <c r="C21" s="37">
        <f>IFERROR(INDEX(T_COMPONENT[COMPONENT_CODE],[@ROW_INDEX]),"")</f>
        <v/>
      </c>
      <c r="D21" s="37">
        <f>IFERROR(INDEX(T_COMPONENT[WEIGHT_G],[@ROW_INDEX]),"")</f>
        <v/>
      </c>
      <c r="E21" s="37">
        <f>IF([@COMPONENT_ID]="","",COUNTIF(T_PACKAGING_CONFIGURATION_LINE[COMPONENT_ID],[@COMPONENT_ID]))</f>
        <v/>
      </c>
      <c r="F21" s="37">
        <f>IF([@COMPONENT_ID]="","",COUNTIF(T_TRANSPORT_CONFIGURATION_LINE[COMPONENT_ID],[@COMPONENT_ID]))</f>
        <v/>
      </c>
      <c r="G21" s="37">
        <f>IF([@COMPONENT_ID]="","",[@USED_IN_PKG_LINES])</f>
        <v/>
      </c>
      <c r="H21" s="37">
        <f>IF([@COMPONENT_ID]="","",[@USED_IN_TRN_LINES])</f>
        <v/>
      </c>
      <c r="I21" s="37">
        <f>IF([@COMPONENT_ID]="","",IF([@USED_IN_TRN_LINES]+[@USED_IN_PKG_LINES]=0,0,COUNTA(T_COMMERCIAL_SCENARIO[COMMERCIAL_SCENARIO_ID])))</f>
        <v/>
      </c>
      <c r="J21" s="37">
        <f>IF([@COMPONENT_ID]="","",COUNTIF(T_SHIPMENT_LINE[COMPONENT_ID],[@COMPONENT_ID]))</f>
        <v/>
      </c>
      <c r="K21" s="37">
        <f>IF([@COMPONENT_ID]="","",[@USED_IN_PKG_LINES]*2+[@USED_IN_TRN_LINES]*3+[@AFFECTED_SHIPMENTS]*5)</f>
        <v/>
      </c>
      <c r="L21" s="37">
        <f>IF([@COMPONENT_ID]="","",IF([@IMPACT_SCORE]&gt;=20,"HIGH",IF([@IMPACT_SCORE]&gt;=5,"MEDIUM","LOW")))</f>
        <v/>
      </c>
    </row>
    <row r="22">
      <c r="A22" s="37" t="n">
        <v>21</v>
      </c>
      <c r="B22" s="37">
        <f>IFERROR(INDEX(T_COMPONENT[COMPONENT_ID],[@ROW_INDEX]),"")</f>
        <v/>
      </c>
      <c r="C22" s="37">
        <f>IFERROR(INDEX(T_COMPONENT[COMPONENT_CODE],[@ROW_INDEX]),"")</f>
        <v/>
      </c>
      <c r="D22" s="37">
        <f>IFERROR(INDEX(T_COMPONENT[WEIGHT_G],[@ROW_INDEX]),"")</f>
        <v/>
      </c>
      <c r="E22" s="37">
        <f>IF([@COMPONENT_ID]="","",COUNTIF(T_PACKAGING_CONFIGURATION_LINE[COMPONENT_ID],[@COMPONENT_ID]))</f>
        <v/>
      </c>
      <c r="F22" s="37">
        <f>IF([@COMPONENT_ID]="","",COUNTIF(T_TRANSPORT_CONFIGURATION_LINE[COMPONENT_ID],[@COMPONENT_ID]))</f>
        <v/>
      </c>
      <c r="G22" s="37">
        <f>IF([@COMPONENT_ID]="","",[@USED_IN_PKG_LINES])</f>
        <v/>
      </c>
      <c r="H22" s="37">
        <f>IF([@COMPONENT_ID]="","",[@USED_IN_TRN_LINES])</f>
        <v/>
      </c>
      <c r="I22" s="37">
        <f>IF([@COMPONENT_ID]="","",IF([@USED_IN_TRN_LINES]+[@USED_IN_PKG_LINES]=0,0,COUNTA(T_COMMERCIAL_SCENARIO[COMMERCIAL_SCENARIO_ID])))</f>
        <v/>
      </c>
      <c r="J22" s="37">
        <f>IF([@COMPONENT_ID]="","",COUNTIF(T_SHIPMENT_LINE[COMPONENT_ID],[@COMPONENT_ID]))</f>
        <v/>
      </c>
      <c r="K22" s="37">
        <f>IF([@COMPONENT_ID]="","",[@USED_IN_PKG_LINES]*2+[@USED_IN_TRN_LINES]*3+[@AFFECTED_SHIPMENTS]*5)</f>
        <v/>
      </c>
      <c r="L22" s="37">
        <f>IF([@COMPONENT_ID]="","",IF([@IMPACT_SCORE]&gt;=20,"HIGH",IF([@IMPACT_SCORE]&gt;=5,"MEDIUM","LOW")))</f>
        <v/>
      </c>
    </row>
    <row r="23">
      <c r="A23" s="37" t="n">
        <v>22</v>
      </c>
      <c r="B23" s="37">
        <f>IFERROR(INDEX(T_COMPONENT[COMPONENT_ID],[@ROW_INDEX]),"")</f>
        <v/>
      </c>
      <c r="C23" s="37">
        <f>IFERROR(INDEX(T_COMPONENT[COMPONENT_CODE],[@ROW_INDEX]),"")</f>
        <v/>
      </c>
      <c r="D23" s="37">
        <f>IFERROR(INDEX(T_COMPONENT[WEIGHT_G],[@ROW_INDEX]),"")</f>
        <v/>
      </c>
      <c r="E23" s="37">
        <f>IF([@COMPONENT_ID]="","",COUNTIF(T_PACKAGING_CONFIGURATION_LINE[COMPONENT_ID],[@COMPONENT_ID]))</f>
        <v/>
      </c>
      <c r="F23" s="37">
        <f>IF([@COMPONENT_ID]="","",COUNTIF(T_TRANSPORT_CONFIGURATION_LINE[COMPONENT_ID],[@COMPONENT_ID]))</f>
        <v/>
      </c>
      <c r="G23" s="37">
        <f>IF([@COMPONENT_ID]="","",[@USED_IN_PKG_LINES])</f>
        <v/>
      </c>
      <c r="H23" s="37">
        <f>IF([@COMPONENT_ID]="","",[@USED_IN_TRN_LINES])</f>
        <v/>
      </c>
      <c r="I23" s="37">
        <f>IF([@COMPONENT_ID]="","",IF([@USED_IN_TRN_LINES]+[@USED_IN_PKG_LINES]=0,0,COUNTA(T_COMMERCIAL_SCENARIO[COMMERCIAL_SCENARIO_ID])))</f>
        <v/>
      </c>
      <c r="J23" s="37">
        <f>IF([@COMPONENT_ID]="","",COUNTIF(T_SHIPMENT_LINE[COMPONENT_ID],[@COMPONENT_ID]))</f>
        <v/>
      </c>
      <c r="K23" s="37">
        <f>IF([@COMPONENT_ID]="","",[@USED_IN_PKG_LINES]*2+[@USED_IN_TRN_LINES]*3+[@AFFECTED_SHIPMENTS]*5)</f>
        <v/>
      </c>
      <c r="L23" s="37">
        <f>IF([@COMPONENT_ID]="","",IF([@IMPACT_SCORE]&gt;=20,"HIGH",IF([@IMPACT_SCORE]&gt;=5,"MEDIUM","LOW")))</f>
        <v/>
      </c>
    </row>
    <row r="24">
      <c r="A24" s="37" t="n">
        <v>23</v>
      </c>
      <c r="B24" s="37">
        <f>IFERROR(INDEX(T_COMPONENT[COMPONENT_ID],[@ROW_INDEX]),"")</f>
        <v/>
      </c>
      <c r="C24" s="37">
        <f>IFERROR(INDEX(T_COMPONENT[COMPONENT_CODE],[@ROW_INDEX]),"")</f>
        <v/>
      </c>
      <c r="D24" s="37">
        <f>IFERROR(INDEX(T_COMPONENT[WEIGHT_G],[@ROW_INDEX]),"")</f>
        <v/>
      </c>
      <c r="E24" s="37">
        <f>IF([@COMPONENT_ID]="","",COUNTIF(T_PACKAGING_CONFIGURATION_LINE[COMPONENT_ID],[@COMPONENT_ID]))</f>
        <v/>
      </c>
      <c r="F24" s="37">
        <f>IF([@COMPONENT_ID]="","",COUNTIF(T_TRANSPORT_CONFIGURATION_LINE[COMPONENT_ID],[@COMPONENT_ID]))</f>
        <v/>
      </c>
      <c r="G24" s="37">
        <f>IF([@COMPONENT_ID]="","",[@USED_IN_PKG_LINES])</f>
        <v/>
      </c>
      <c r="H24" s="37">
        <f>IF([@COMPONENT_ID]="","",[@USED_IN_TRN_LINES])</f>
        <v/>
      </c>
      <c r="I24" s="37">
        <f>IF([@COMPONENT_ID]="","",IF([@USED_IN_TRN_LINES]+[@USED_IN_PKG_LINES]=0,0,COUNTA(T_COMMERCIAL_SCENARIO[COMMERCIAL_SCENARIO_ID])))</f>
        <v/>
      </c>
      <c r="J24" s="37">
        <f>IF([@COMPONENT_ID]="","",COUNTIF(T_SHIPMENT_LINE[COMPONENT_ID],[@COMPONENT_ID]))</f>
        <v/>
      </c>
      <c r="K24" s="37">
        <f>IF([@COMPONENT_ID]="","",[@USED_IN_PKG_LINES]*2+[@USED_IN_TRN_LINES]*3+[@AFFECTED_SHIPMENTS]*5)</f>
        <v/>
      </c>
      <c r="L24" s="37">
        <f>IF([@COMPONENT_ID]="","",IF([@IMPACT_SCORE]&gt;=20,"HIGH",IF([@IMPACT_SCORE]&gt;=5,"MEDIUM","LOW")))</f>
        <v/>
      </c>
    </row>
    <row r="25">
      <c r="A25" s="37" t="n">
        <v>24</v>
      </c>
      <c r="B25" s="37">
        <f>IFERROR(INDEX(T_COMPONENT[COMPONENT_ID],[@ROW_INDEX]),"")</f>
        <v/>
      </c>
      <c r="C25" s="37">
        <f>IFERROR(INDEX(T_COMPONENT[COMPONENT_CODE],[@ROW_INDEX]),"")</f>
        <v/>
      </c>
      <c r="D25" s="37">
        <f>IFERROR(INDEX(T_COMPONENT[WEIGHT_G],[@ROW_INDEX]),"")</f>
        <v/>
      </c>
      <c r="E25" s="37">
        <f>IF([@COMPONENT_ID]="","",COUNTIF(T_PACKAGING_CONFIGURATION_LINE[COMPONENT_ID],[@COMPONENT_ID]))</f>
        <v/>
      </c>
      <c r="F25" s="37">
        <f>IF([@COMPONENT_ID]="","",COUNTIF(T_TRANSPORT_CONFIGURATION_LINE[COMPONENT_ID],[@COMPONENT_ID]))</f>
        <v/>
      </c>
      <c r="G25" s="37">
        <f>IF([@COMPONENT_ID]="","",[@USED_IN_PKG_LINES])</f>
        <v/>
      </c>
      <c r="H25" s="37">
        <f>IF([@COMPONENT_ID]="","",[@USED_IN_TRN_LINES])</f>
        <v/>
      </c>
      <c r="I25" s="37">
        <f>IF([@COMPONENT_ID]="","",IF([@USED_IN_TRN_LINES]+[@USED_IN_PKG_LINES]=0,0,COUNTA(T_COMMERCIAL_SCENARIO[COMMERCIAL_SCENARIO_ID])))</f>
        <v/>
      </c>
      <c r="J25" s="37">
        <f>IF([@COMPONENT_ID]="","",COUNTIF(T_SHIPMENT_LINE[COMPONENT_ID],[@COMPONENT_ID]))</f>
        <v/>
      </c>
      <c r="K25" s="37">
        <f>IF([@COMPONENT_ID]="","",[@USED_IN_PKG_LINES]*2+[@USED_IN_TRN_LINES]*3+[@AFFECTED_SHIPMENTS]*5)</f>
        <v/>
      </c>
      <c r="L25" s="37">
        <f>IF([@COMPONENT_ID]="","",IF([@IMPACT_SCORE]&gt;=20,"HIGH",IF([@IMPACT_SCORE]&gt;=5,"MEDIUM","LOW")))</f>
        <v/>
      </c>
    </row>
    <row r="26">
      <c r="A26" s="37" t="n">
        <v>25</v>
      </c>
      <c r="B26" s="37">
        <f>IFERROR(INDEX(T_COMPONENT[COMPONENT_ID],[@ROW_INDEX]),"")</f>
        <v/>
      </c>
      <c r="C26" s="37">
        <f>IFERROR(INDEX(T_COMPONENT[COMPONENT_CODE],[@ROW_INDEX]),"")</f>
        <v/>
      </c>
      <c r="D26" s="37">
        <f>IFERROR(INDEX(T_COMPONENT[WEIGHT_G],[@ROW_INDEX]),"")</f>
        <v/>
      </c>
      <c r="E26" s="37">
        <f>IF([@COMPONENT_ID]="","",COUNTIF(T_PACKAGING_CONFIGURATION_LINE[COMPONENT_ID],[@COMPONENT_ID]))</f>
        <v/>
      </c>
      <c r="F26" s="37">
        <f>IF([@COMPONENT_ID]="","",COUNTIF(T_TRANSPORT_CONFIGURATION_LINE[COMPONENT_ID],[@COMPONENT_ID]))</f>
        <v/>
      </c>
      <c r="G26" s="37">
        <f>IF([@COMPONENT_ID]="","",[@USED_IN_PKG_LINES])</f>
        <v/>
      </c>
      <c r="H26" s="37">
        <f>IF([@COMPONENT_ID]="","",[@USED_IN_TRN_LINES])</f>
        <v/>
      </c>
      <c r="I26" s="37">
        <f>IF([@COMPONENT_ID]="","",IF([@USED_IN_TRN_LINES]+[@USED_IN_PKG_LINES]=0,0,COUNTA(T_COMMERCIAL_SCENARIO[COMMERCIAL_SCENARIO_ID])))</f>
        <v/>
      </c>
      <c r="J26" s="37">
        <f>IF([@COMPONENT_ID]="","",COUNTIF(T_SHIPMENT_LINE[COMPONENT_ID],[@COMPONENT_ID]))</f>
        <v/>
      </c>
      <c r="K26" s="37">
        <f>IF([@COMPONENT_ID]="","",[@USED_IN_PKG_LINES]*2+[@USED_IN_TRN_LINES]*3+[@AFFECTED_SHIPMENTS]*5)</f>
        <v/>
      </c>
      <c r="L26" s="37">
        <f>IF([@COMPONENT_ID]="","",IF([@IMPACT_SCORE]&gt;=20,"HIGH",IF([@IMPACT_SCORE]&gt;=5,"MEDIUM","LOW")))</f>
        <v/>
      </c>
    </row>
    <row r="27">
      <c r="A27" s="37" t="n">
        <v>26</v>
      </c>
      <c r="B27" s="37">
        <f>IFERROR(INDEX(T_COMPONENT[COMPONENT_ID],[@ROW_INDEX]),"")</f>
        <v/>
      </c>
      <c r="C27" s="37">
        <f>IFERROR(INDEX(T_COMPONENT[COMPONENT_CODE],[@ROW_INDEX]),"")</f>
        <v/>
      </c>
      <c r="D27" s="37">
        <f>IFERROR(INDEX(T_COMPONENT[WEIGHT_G],[@ROW_INDEX]),"")</f>
        <v/>
      </c>
      <c r="E27" s="37">
        <f>IF([@COMPONENT_ID]="","",COUNTIF(T_PACKAGING_CONFIGURATION_LINE[COMPONENT_ID],[@COMPONENT_ID]))</f>
        <v/>
      </c>
      <c r="F27" s="37">
        <f>IF([@COMPONENT_ID]="","",COUNTIF(T_TRANSPORT_CONFIGURATION_LINE[COMPONENT_ID],[@COMPONENT_ID]))</f>
        <v/>
      </c>
      <c r="G27" s="37">
        <f>IF([@COMPONENT_ID]="","",[@USED_IN_PKG_LINES])</f>
        <v/>
      </c>
      <c r="H27" s="37">
        <f>IF([@COMPONENT_ID]="","",[@USED_IN_TRN_LINES])</f>
        <v/>
      </c>
      <c r="I27" s="37">
        <f>IF([@COMPONENT_ID]="","",IF([@USED_IN_TRN_LINES]+[@USED_IN_PKG_LINES]=0,0,COUNTA(T_COMMERCIAL_SCENARIO[COMMERCIAL_SCENARIO_ID])))</f>
        <v/>
      </c>
      <c r="J27" s="37">
        <f>IF([@COMPONENT_ID]="","",COUNTIF(T_SHIPMENT_LINE[COMPONENT_ID],[@COMPONENT_ID]))</f>
        <v/>
      </c>
      <c r="K27" s="37">
        <f>IF([@COMPONENT_ID]="","",[@USED_IN_PKG_LINES]*2+[@USED_IN_TRN_LINES]*3+[@AFFECTED_SHIPMENTS]*5)</f>
        <v/>
      </c>
      <c r="L27" s="37">
        <f>IF([@COMPONENT_ID]="","",IF([@IMPACT_SCORE]&gt;=20,"HIGH",IF([@IMPACT_SCORE]&gt;=5,"MEDIUM","LOW")))</f>
        <v/>
      </c>
    </row>
    <row r="28">
      <c r="A28" s="37" t="n">
        <v>27</v>
      </c>
      <c r="B28" s="37">
        <f>IFERROR(INDEX(T_COMPONENT[COMPONENT_ID],[@ROW_INDEX]),"")</f>
        <v/>
      </c>
      <c r="C28" s="37">
        <f>IFERROR(INDEX(T_COMPONENT[COMPONENT_CODE],[@ROW_INDEX]),"")</f>
        <v/>
      </c>
      <c r="D28" s="37">
        <f>IFERROR(INDEX(T_COMPONENT[WEIGHT_G],[@ROW_INDEX]),"")</f>
        <v/>
      </c>
      <c r="E28" s="37">
        <f>IF([@COMPONENT_ID]="","",COUNTIF(T_PACKAGING_CONFIGURATION_LINE[COMPONENT_ID],[@COMPONENT_ID]))</f>
        <v/>
      </c>
      <c r="F28" s="37">
        <f>IF([@COMPONENT_ID]="","",COUNTIF(T_TRANSPORT_CONFIGURATION_LINE[COMPONENT_ID],[@COMPONENT_ID]))</f>
        <v/>
      </c>
      <c r="G28" s="37">
        <f>IF([@COMPONENT_ID]="","",[@USED_IN_PKG_LINES])</f>
        <v/>
      </c>
      <c r="H28" s="37">
        <f>IF([@COMPONENT_ID]="","",[@USED_IN_TRN_LINES])</f>
        <v/>
      </c>
      <c r="I28" s="37">
        <f>IF([@COMPONENT_ID]="","",IF([@USED_IN_TRN_LINES]+[@USED_IN_PKG_LINES]=0,0,COUNTA(T_COMMERCIAL_SCENARIO[COMMERCIAL_SCENARIO_ID])))</f>
        <v/>
      </c>
      <c r="J28" s="37">
        <f>IF([@COMPONENT_ID]="","",COUNTIF(T_SHIPMENT_LINE[COMPONENT_ID],[@COMPONENT_ID]))</f>
        <v/>
      </c>
      <c r="K28" s="37">
        <f>IF([@COMPONENT_ID]="","",[@USED_IN_PKG_LINES]*2+[@USED_IN_TRN_LINES]*3+[@AFFECTED_SHIPMENTS]*5)</f>
        <v/>
      </c>
      <c r="L28" s="37">
        <f>IF([@COMPONENT_ID]="","",IF([@IMPACT_SCORE]&gt;=20,"HIGH",IF([@IMPACT_SCORE]&gt;=5,"MEDIUM","LOW")))</f>
        <v/>
      </c>
    </row>
    <row r="29">
      <c r="A29" s="37" t="n">
        <v>28</v>
      </c>
      <c r="B29" s="37">
        <f>IFERROR(INDEX(T_COMPONENT[COMPONENT_ID],[@ROW_INDEX]),"")</f>
        <v/>
      </c>
      <c r="C29" s="37">
        <f>IFERROR(INDEX(T_COMPONENT[COMPONENT_CODE],[@ROW_INDEX]),"")</f>
        <v/>
      </c>
      <c r="D29" s="37">
        <f>IFERROR(INDEX(T_COMPONENT[WEIGHT_G],[@ROW_INDEX]),"")</f>
        <v/>
      </c>
      <c r="E29" s="37">
        <f>IF([@COMPONENT_ID]="","",COUNTIF(T_PACKAGING_CONFIGURATION_LINE[COMPONENT_ID],[@COMPONENT_ID]))</f>
        <v/>
      </c>
      <c r="F29" s="37">
        <f>IF([@COMPONENT_ID]="","",COUNTIF(T_TRANSPORT_CONFIGURATION_LINE[COMPONENT_ID],[@COMPONENT_ID]))</f>
        <v/>
      </c>
      <c r="G29" s="37">
        <f>IF([@COMPONENT_ID]="","",[@USED_IN_PKG_LINES])</f>
        <v/>
      </c>
      <c r="H29" s="37">
        <f>IF([@COMPONENT_ID]="","",[@USED_IN_TRN_LINES])</f>
        <v/>
      </c>
      <c r="I29" s="37">
        <f>IF([@COMPONENT_ID]="","",IF([@USED_IN_TRN_LINES]+[@USED_IN_PKG_LINES]=0,0,COUNTA(T_COMMERCIAL_SCENARIO[COMMERCIAL_SCENARIO_ID])))</f>
        <v/>
      </c>
      <c r="J29" s="37">
        <f>IF([@COMPONENT_ID]="","",COUNTIF(T_SHIPMENT_LINE[COMPONENT_ID],[@COMPONENT_ID]))</f>
        <v/>
      </c>
      <c r="K29" s="37">
        <f>IF([@COMPONENT_ID]="","",[@USED_IN_PKG_LINES]*2+[@USED_IN_TRN_LINES]*3+[@AFFECTED_SHIPMENTS]*5)</f>
        <v/>
      </c>
      <c r="L29" s="37">
        <f>IF([@COMPONENT_ID]="","",IF([@IMPACT_SCORE]&gt;=20,"HIGH",IF([@IMPACT_SCORE]&gt;=5,"MEDIUM","LOW")))</f>
        <v/>
      </c>
    </row>
    <row r="30">
      <c r="A30" s="37" t="n">
        <v>29</v>
      </c>
      <c r="B30" s="37">
        <f>IFERROR(INDEX(T_COMPONENT[COMPONENT_ID],[@ROW_INDEX]),"")</f>
        <v/>
      </c>
      <c r="C30" s="37">
        <f>IFERROR(INDEX(T_COMPONENT[COMPONENT_CODE],[@ROW_INDEX]),"")</f>
        <v/>
      </c>
      <c r="D30" s="37">
        <f>IFERROR(INDEX(T_COMPONENT[WEIGHT_G],[@ROW_INDEX]),"")</f>
        <v/>
      </c>
      <c r="E30" s="37">
        <f>IF([@COMPONENT_ID]="","",COUNTIF(T_PACKAGING_CONFIGURATION_LINE[COMPONENT_ID],[@COMPONENT_ID]))</f>
        <v/>
      </c>
      <c r="F30" s="37">
        <f>IF([@COMPONENT_ID]="","",COUNTIF(T_TRANSPORT_CONFIGURATION_LINE[COMPONENT_ID],[@COMPONENT_ID]))</f>
        <v/>
      </c>
      <c r="G30" s="37">
        <f>IF([@COMPONENT_ID]="","",[@USED_IN_PKG_LINES])</f>
        <v/>
      </c>
      <c r="H30" s="37">
        <f>IF([@COMPONENT_ID]="","",[@USED_IN_TRN_LINES])</f>
        <v/>
      </c>
      <c r="I30" s="37">
        <f>IF([@COMPONENT_ID]="","",IF([@USED_IN_TRN_LINES]+[@USED_IN_PKG_LINES]=0,0,COUNTA(T_COMMERCIAL_SCENARIO[COMMERCIAL_SCENARIO_ID])))</f>
        <v/>
      </c>
      <c r="J30" s="37">
        <f>IF([@COMPONENT_ID]="","",COUNTIF(T_SHIPMENT_LINE[COMPONENT_ID],[@COMPONENT_ID]))</f>
        <v/>
      </c>
      <c r="K30" s="37">
        <f>IF([@COMPONENT_ID]="","",[@USED_IN_PKG_LINES]*2+[@USED_IN_TRN_LINES]*3+[@AFFECTED_SHIPMENTS]*5)</f>
        <v/>
      </c>
      <c r="L30" s="37">
        <f>IF([@COMPONENT_ID]="","",IF([@IMPACT_SCORE]&gt;=20,"HIGH",IF([@IMPACT_SCORE]&gt;=5,"MEDIUM","LOW")))</f>
        <v/>
      </c>
    </row>
    <row r="31">
      <c r="A31" s="37" t="n">
        <v>30</v>
      </c>
      <c r="B31" s="37">
        <f>IFERROR(INDEX(T_COMPONENT[COMPONENT_ID],[@ROW_INDEX]),"")</f>
        <v/>
      </c>
      <c r="C31" s="37">
        <f>IFERROR(INDEX(T_COMPONENT[COMPONENT_CODE],[@ROW_INDEX]),"")</f>
        <v/>
      </c>
      <c r="D31" s="37">
        <f>IFERROR(INDEX(T_COMPONENT[WEIGHT_G],[@ROW_INDEX]),"")</f>
        <v/>
      </c>
      <c r="E31" s="37">
        <f>IF([@COMPONENT_ID]="","",COUNTIF(T_PACKAGING_CONFIGURATION_LINE[COMPONENT_ID],[@COMPONENT_ID]))</f>
        <v/>
      </c>
      <c r="F31" s="37">
        <f>IF([@COMPONENT_ID]="","",COUNTIF(T_TRANSPORT_CONFIGURATION_LINE[COMPONENT_ID],[@COMPONENT_ID]))</f>
        <v/>
      </c>
      <c r="G31" s="37">
        <f>IF([@COMPONENT_ID]="","",[@USED_IN_PKG_LINES])</f>
        <v/>
      </c>
      <c r="H31" s="37">
        <f>IF([@COMPONENT_ID]="","",[@USED_IN_TRN_LINES])</f>
        <v/>
      </c>
      <c r="I31" s="37">
        <f>IF([@COMPONENT_ID]="","",IF([@USED_IN_TRN_LINES]+[@USED_IN_PKG_LINES]=0,0,COUNTA(T_COMMERCIAL_SCENARIO[COMMERCIAL_SCENARIO_ID])))</f>
        <v/>
      </c>
      <c r="J31" s="37">
        <f>IF([@COMPONENT_ID]="","",COUNTIF(T_SHIPMENT_LINE[COMPONENT_ID],[@COMPONENT_ID]))</f>
        <v/>
      </c>
      <c r="K31" s="37">
        <f>IF([@COMPONENT_ID]="","",[@USED_IN_PKG_LINES]*2+[@USED_IN_TRN_LINES]*3+[@AFFECTED_SHIPMENTS]*5)</f>
        <v/>
      </c>
      <c r="L31" s="37">
        <f>IF([@COMPONENT_ID]="","",IF([@IMPACT_SCORE]&gt;=20,"HIGH",IF([@IMPACT_SCORE]&gt;=5,"MEDIUM","LOW")))</f>
        <v/>
      </c>
    </row>
    <row r="32">
      <c r="A32" s="37" t="n">
        <v>31</v>
      </c>
      <c r="B32" s="37">
        <f>IFERROR(INDEX(T_COMPONENT[COMPONENT_ID],[@ROW_INDEX]),"")</f>
        <v/>
      </c>
      <c r="C32" s="37">
        <f>IFERROR(INDEX(T_COMPONENT[COMPONENT_CODE],[@ROW_INDEX]),"")</f>
        <v/>
      </c>
      <c r="D32" s="37">
        <f>IFERROR(INDEX(T_COMPONENT[WEIGHT_G],[@ROW_INDEX]),"")</f>
        <v/>
      </c>
      <c r="E32" s="37">
        <f>IF([@COMPONENT_ID]="","",COUNTIF(T_PACKAGING_CONFIGURATION_LINE[COMPONENT_ID],[@COMPONENT_ID]))</f>
        <v/>
      </c>
      <c r="F32" s="37">
        <f>IF([@COMPONENT_ID]="","",COUNTIF(T_TRANSPORT_CONFIGURATION_LINE[COMPONENT_ID],[@COMPONENT_ID]))</f>
        <v/>
      </c>
      <c r="G32" s="37">
        <f>IF([@COMPONENT_ID]="","",[@USED_IN_PKG_LINES])</f>
        <v/>
      </c>
      <c r="H32" s="37">
        <f>IF([@COMPONENT_ID]="","",[@USED_IN_TRN_LINES])</f>
        <v/>
      </c>
      <c r="I32" s="37">
        <f>IF([@COMPONENT_ID]="","",IF([@USED_IN_TRN_LINES]+[@USED_IN_PKG_LINES]=0,0,COUNTA(T_COMMERCIAL_SCENARIO[COMMERCIAL_SCENARIO_ID])))</f>
        <v/>
      </c>
      <c r="J32" s="37">
        <f>IF([@COMPONENT_ID]="","",COUNTIF(T_SHIPMENT_LINE[COMPONENT_ID],[@COMPONENT_ID]))</f>
        <v/>
      </c>
      <c r="K32" s="37">
        <f>IF([@COMPONENT_ID]="","",[@USED_IN_PKG_LINES]*2+[@USED_IN_TRN_LINES]*3+[@AFFECTED_SHIPMENTS]*5)</f>
        <v/>
      </c>
      <c r="L32" s="37">
        <f>IF([@COMPONENT_ID]="","",IF([@IMPACT_SCORE]&gt;=20,"HIGH",IF([@IMPACT_SCORE]&gt;=5,"MEDIUM","LOW")))</f>
        <v/>
      </c>
    </row>
    <row r="33">
      <c r="A33" s="37" t="n">
        <v>32</v>
      </c>
      <c r="B33" s="37">
        <f>IFERROR(INDEX(T_COMPONENT[COMPONENT_ID],[@ROW_INDEX]),"")</f>
        <v/>
      </c>
      <c r="C33" s="37">
        <f>IFERROR(INDEX(T_COMPONENT[COMPONENT_CODE],[@ROW_INDEX]),"")</f>
        <v/>
      </c>
      <c r="D33" s="37">
        <f>IFERROR(INDEX(T_COMPONENT[WEIGHT_G],[@ROW_INDEX]),"")</f>
        <v/>
      </c>
      <c r="E33" s="37">
        <f>IF([@COMPONENT_ID]="","",COUNTIF(T_PACKAGING_CONFIGURATION_LINE[COMPONENT_ID],[@COMPONENT_ID]))</f>
        <v/>
      </c>
      <c r="F33" s="37">
        <f>IF([@COMPONENT_ID]="","",COUNTIF(T_TRANSPORT_CONFIGURATION_LINE[COMPONENT_ID],[@COMPONENT_ID]))</f>
        <v/>
      </c>
      <c r="G33" s="37">
        <f>IF([@COMPONENT_ID]="","",[@USED_IN_PKG_LINES])</f>
        <v/>
      </c>
      <c r="H33" s="37">
        <f>IF([@COMPONENT_ID]="","",[@USED_IN_TRN_LINES])</f>
        <v/>
      </c>
      <c r="I33" s="37">
        <f>IF([@COMPONENT_ID]="","",IF([@USED_IN_TRN_LINES]+[@USED_IN_PKG_LINES]=0,0,COUNTA(T_COMMERCIAL_SCENARIO[COMMERCIAL_SCENARIO_ID])))</f>
        <v/>
      </c>
      <c r="J33" s="37">
        <f>IF([@COMPONENT_ID]="","",COUNTIF(T_SHIPMENT_LINE[COMPONENT_ID],[@COMPONENT_ID]))</f>
        <v/>
      </c>
      <c r="K33" s="37">
        <f>IF([@COMPONENT_ID]="","",[@USED_IN_PKG_LINES]*2+[@USED_IN_TRN_LINES]*3+[@AFFECTED_SHIPMENTS]*5)</f>
        <v/>
      </c>
      <c r="L33" s="37">
        <f>IF([@COMPONENT_ID]="","",IF([@IMPACT_SCORE]&gt;=20,"HIGH",IF([@IMPACT_SCORE]&gt;=5,"MEDIUM","LOW")))</f>
        <v/>
      </c>
    </row>
    <row r="34">
      <c r="A34" s="37" t="n">
        <v>33</v>
      </c>
      <c r="B34" s="37">
        <f>IFERROR(INDEX(T_COMPONENT[COMPONENT_ID],[@ROW_INDEX]),"")</f>
        <v/>
      </c>
      <c r="C34" s="37">
        <f>IFERROR(INDEX(T_COMPONENT[COMPONENT_CODE],[@ROW_INDEX]),"")</f>
        <v/>
      </c>
      <c r="D34" s="37">
        <f>IFERROR(INDEX(T_COMPONENT[WEIGHT_G],[@ROW_INDEX]),"")</f>
        <v/>
      </c>
      <c r="E34" s="37">
        <f>IF([@COMPONENT_ID]="","",COUNTIF(T_PACKAGING_CONFIGURATION_LINE[COMPONENT_ID],[@COMPONENT_ID]))</f>
        <v/>
      </c>
      <c r="F34" s="37">
        <f>IF([@COMPONENT_ID]="","",COUNTIF(T_TRANSPORT_CONFIGURATION_LINE[COMPONENT_ID],[@COMPONENT_ID]))</f>
        <v/>
      </c>
      <c r="G34" s="37">
        <f>IF([@COMPONENT_ID]="","",[@USED_IN_PKG_LINES])</f>
        <v/>
      </c>
      <c r="H34" s="37">
        <f>IF([@COMPONENT_ID]="","",[@USED_IN_TRN_LINES])</f>
        <v/>
      </c>
      <c r="I34" s="37">
        <f>IF([@COMPONENT_ID]="","",IF([@USED_IN_TRN_LINES]+[@USED_IN_PKG_LINES]=0,0,COUNTA(T_COMMERCIAL_SCENARIO[COMMERCIAL_SCENARIO_ID])))</f>
        <v/>
      </c>
      <c r="J34" s="37">
        <f>IF([@COMPONENT_ID]="","",COUNTIF(T_SHIPMENT_LINE[COMPONENT_ID],[@COMPONENT_ID]))</f>
        <v/>
      </c>
      <c r="K34" s="37">
        <f>IF([@COMPONENT_ID]="","",[@USED_IN_PKG_LINES]*2+[@USED_IN_TRN_LINES]*3+[@AFFECTED_SHIPMENTS]*5)</f>
        <v/>
      </c>
      <c r="L34" s="37">
        <f>IF([@COMPONENT_ID]="","",IF([@IMPACT_SCORE]&gt;=20,"HIGH",IF([@IMPACT_SCORE]&gt;=5,"MEDIUM","LOW")))</f>
        <v/>
      </c>
    </row>
    <row r="35">
      <c r="A35" s="37" t="n">
        <v>34</v>
      </c>
      <c r="B35" s="37">
        <f>IFERROR(INDEX(T_COMPONENT[COMPONENT_ID],[@ROW_INDEX]),"")</f>
        <v/>
      </c>
      <c r="C35" s="37">
        <f>IFERROR(INDEX(T_COMPONENT[COMPONENT_CODE],[@ROW_INDEX]),"")</f>
        <v/>
      </c>
      <c r="D35" s="37">
        <f>IFERROR(INDEX(T_COMPONENT[WEIGHT_G],[@ROW_INDEX]),"")</f>
        <v/>
      </c>
      <c r="E35" s="37">
        <f>IF([@COMPONENT_ID]="","",COUNTIF(T_PACKAGING_CONFIGURATION_LINE[COMPONENT_ID],[@COMPONENT_ID]))</f>
        <v/>
      </c>
      <c r="F35" s="37">
        <f>IF([@COMPONENT_ID]="","",COUNTIF(T_TRANSPORT_CONFIGURATION_LINE[COMPONENT_ID],[@COMPONENT_ID]))</f>
        <v/>
      </c>
      <c r="G35" s="37">
        <f>IF([@COMPONENT_ID]="","",[@USED_IN_PKG_LINES])</f>
        <v/>
      </c>
      <c r="H35" s="37">
        <f>IF([@COMPONENT_ID]="","",[@USED_IN_TRN_LINES])</f>
        <v/>
      </c>
      <c r="I35" s="37">
        <f>IF([@COMPONENT_ID]="","",IF([@USED_IN_TRN_LINES]+[@USED_IN_PKG_LINES]=0,0,COUNTA(T_COMMERCIAL_SCENARIO[COMMERCIAL_SCENARIO_ID])))</f>
        <v/>
      </c>
      <c r="J35" s="37">
        <f>IF([@COMPONENT_ID]="","",COUNTIF(T_SHIPMENT_LINE[COMPONENT_ID],[@COMPONENT_ID]))</f>
        <v/>
      </c>
      <c r="K35" s="37">
        <f>IF([@COMPONENT_ID]="","",[@USED_IN_PKG_LINES]*2+[@USED_IN_TRN_LINES]*3+[@AFFECTED_SHIPMENTS]*5)</f>
        <v/>
      </c>
      <c r="L35" s="37">
        <f>IF([@COMPONENT_ID]="","",IF([@IMPACT_SCORE]&gt;=20,"HIGH",IF([@IMPACT_SCORE]&gt;=5,"MEDIUM","LOW")))</f>
        <v/>
      </c>
    </row>
    <row r="36">
      <c r="A36" s="37" t="n">
        <v>35</v>
      </c>
      <c r="B36" s="37">
        <f>IFERROR(INDEX(T_COMPONENT[COMPONENT_ID],[@ROW_INDEX]),"")</f>
        <v/>
      </c>
      <c r="C36" s="37">
        <f>IFERROR(INDEX(T_COMPONENT[COMPONENT_CODE],[@ROW_INDEX]),"")</f>
        <v/>
      </c>
      <c r="D36" s="37">
        <f>IFERROR(INDEX(T_COMPONENT[WEIGHT_G],[@ROW_INDEX]),"")</f>
        <v/>
      </c>
      <c r="E36" s="37">
        <f>IF([@COMPONENT_ID]="","",COUNTIF(T_PACKAGING_CONFIGURATION_LINE[COMPONENT_ID],[@COMPONENT_ID]))</f>
        <v/>
      </c>
      <c r="F36" s="37">
        <f>IF([@COMPONENT_ID]="","",COUNTIF(T_TRANSPORT_CONFIGURATION_LINE[COMPONENT_ID],[@COMPONENT_ID]))</f>
        <v/>
      </c>
      <c r="G36" s="37">
        <f>IF([@COMPONENT_ID]="","",[@USED_IN_PKG_LINES])</f>
        <v/>
      </c>
      <c r="H36" s="37">
        <f>IF([@COMPONENT_ID]="","",[@USED_IN_TRN_LINES])</f>
        <v/>
      </c>
      <c r="I36" s="37">
        <f>IF([@COMPONENT_ID]="","",IF([@USED_IN_TRN_LINES]+[@USED_IN_PKG_LINES]=0,0,COUNTA(T_COMMERCIAL_SCENARIO[COMMERCIAL_SCENARIO_ID])))</f>
        <v/>
      </c>
      <c r="J36" s="37">
        <f>IF([@COMPONENT_ID]="","",COUNTIF(T_SHIPMENT_LINE[COMPONENT_ID],[@COMPONENT_ID]))</f>
        <v/>
      </c>
      <c r="K36" s="37">
        <f>IF([@COMPONENT_ID]="","",[@USED_IN_PKG_LINES]*2+[@USED_IN_TRN_LINES]*3+[@AFFECTED_SHIPMENTS]*5)</f>
        <v/>
      </c>
      <c r="L36" s="37">
        <f>IF([@COMPONENT_ID]="","",IF([@IMPACT_SCORE]&gt;=20,"HIGH",IF([@IMPACT_SCORE]&gt;=5,"MEDIUM","LOW")))</f>
        <v/>
      </c>
    </row>
    <row r="37">
      <c r="A37" s="37" t="n">
        <v>36</v>
      </c>
      <c r="B37" s="37">
        <f>IFERROR(INDEX(T_COMPONENT[COMPONENT_ID],[@ROW_INDEX]),"")</f>
        <v/>
      </c>
      <c r="C37" s="37">
        <f>IFERROR(INDEX(T_COMPONENT[COMPONENT_CODE],[@ROW_INDEX]),"")</f>
        <v/>
      </c>
      <c r="D37" s="37">
        <f>IFERROR(INDEX(T_COMPONENT[WEIGHT_G],[@ROW_INDEX]),"")</f>
        <v/>
      </c>
      <c r="E37" s="37">
        <f>IF([@COMPONENT_ID]="","",COUNTIF(T_PACKAGING_CONFIGURATION_LINE[COMPONENT_ID],[@COMPONENT_ID]))</f>
        <v/>
      </c>
      <c r="F37" s="37">
        <f>IF([@COMPONENT_ID]="","",COUNTIF(T_TRANSPORT_CONFIGURATION_LINE[COMPONENT_ID],[@COMPONENT_ID]))</f>
        <v/>
      </c>
      <c r="G37" s="37">
        <f>IF([@COMPONENT_ID]="","",[@USED_IN_PKG_LINES])</f>
        <v/>
      </c>
      <c r="H37" s="37">
        <f>IF([@COMPONENT_ID]="","",[@USED_IN_TRN_LINES])</f>
        <v/>
      </c>
      <c r="I37" s="37">
        <f>IF([@COMPONENT_ID]="","",IF([@USED_IN_TRN_LINES]+[@USED_IN_PKG_LINES]=0,0,COUNTA(T_COMMERCIAL_SCENARIO[COMMERCIAL_SCENARIO_ID])))</f>
        <v/>
      </c>
      <c r="J37" s="37">
        <f>IF([@COMPONENT_ID]="","",COUNTIF(T_SHIPMENT_LINE[COMPONENT_ID],[@COMPONENT_ID]))</f>
        <v/>
      </c>
      <c r="K37" s="37">
        <f>IF([@COMPONENT_ID]="","",[@USED_IN_PKG_LINES]*2+[@USED_IN_TRN_LINES]*3+[@AFFECTED_SHIPMENTS]*5)</f>
        <v/>
      </c>
      <c r="L37" s="37">
        <f>IF([@COMPONENT_ID]="","",IF([@IMPACT_SCORE]&gt;=20,"HIGH",IF([@IMPACT_SCORE]&gt;=5,"MEDIUM","LOW")))</f>
        <v/>
      </c>
    </row>
    <row r="38">
      <c r="A38" s="37" t="n">
        <v>37</v>
      </c>
      <c r="B38" s="37">
        <f>IFERROR(INDEX(T_COMPONENT[COMPONENT_ID],[@ROW_INDEX]),"")</f>
        <v/>
      </c>
      <c r="C38" s="37">
        <f>IFERROR(INDEX(T_COMPONENT[COMPONENT_CODE],[@ROW_INDEX]),"")</f>
        <v/>
      </c>
      <c r="D38" s="37">
        <f>IFERROR(INDEX(T_COMPONENT[WEIGHT_G],[@ROW_INDEX]),"")</f>
        <v/>
      </c>
      <c r="E38" s="37">
        <f>IF([@COMPONENT_ID]="","",COUNTIF(T_PACKAGING_CONFIGURATION_LINE[COMPONENT_ID],[@COMPONENT_ID]))</f>
        <v/>
      </c>
      <c r="F38" s="37">
        <f>IF([@COMPONENT_ID]="","",COUNTIF(T_TRANSPORT_CONFIGURATION_LINE[COMPONENT_ID],[@COMPONENT_ID]))</f>
        <v/>
      </c>
      <c r="G38" s="37">
        <f>IF([@COMPONENT_ID]="","",[@USED_IN_PKG_LINES])</f>
        <v/>
      </c>
      <c r="H38" s="37">
        <f>IF([@COMPONENT_ID]="","",[@USED_IN_TRN_LINES])</f>
        <v/>
      </c>
      <c r="I38" s="37">
        <f>IF([@COMPONENT_ID]="","",IF([@USED_IN_TRN_LINES]+[@USED_IN_PKG_LINES]=0,0,COUNTA(T_COMMERCIAL_SCENARIO[COMMERCIAL_SCENARIO_ID])))</f>
        <v/>
      </c>
      <c r="J38" s="37">
        <f>IF([@COMPONENT_ID]="","",COUNTIF(T_SHIPMENT_LINE[COMPONENT_ID],[@COMPONENT_ID]))</f>
        <v/>
      </c>
      <c r="K38" s="37">
        <f>IF([@COMPONENT_ID]="","",[@USED_IN_PKG_LINES]*2+[@USED_IN_TRN_LINES]*3+[@AFFECTED_SHIPMENTS]*5)</f>
        <v/>
      </c>
      <c r="L38" s="37">
        <f>IF([@COMPONENT_ID]="","",IF([@IMPACT_SCORE]&gt;=20,"HIGH",IF([@IMPACT_SCORE]&gt;=5,"MEDIUM","LOW")))</f>
        <v/>
      </c>
    </row>
    <row r="39">
      <c r="A39" s="37" t="n">
        <v>38</v>
      </c>
      <c r="B39" s="37">
        <f>IFERROR(INDEX(T_COMPONENT[COMPONENT_ID],[@ROW_INDEX]),"")</f>
        <v/>
      </c>
      <c r="C39" s="37">
        <f>IFERROR(INDEX(T_COMPONENT[COMPONENT_CODE],[@ROW_INDEX]),"")</f>
        <v/>
      </c>
      <c r="D39" s="37">
        <f>IFERROR(INDEX(T_COMPONENT[WEIGHT_G],[@ROW_INDEX]),"")</f>
        <v/>
      </c>
      <c r="E39" s="37">
        <f>IF([@COMPONENT_ID]="","",COUNTIF(T_PACKAGING_CONFIGURATION_LINE[COMPONENT_ID],[@COMPONENT_ID]))</f>
        <v/>
      </c>
      <c r="F39" s="37">
        <f>IF([@COMPONENT_ID]="","",COUNTIF(T_TRANSPORT_CONFIGURATION_LINE[COMPONENT_ID],[@COMPONENT_ID]))</f>
        <v/>
      </c>
      <c r="G39" s="37">
        <f>IF([@COMPONENT_ID]="","",[@USED_IN_PKG_LINES])</f>
        <v/>
      </c>
      <c r="H39" s="37">
        <f>IF([@COMPONENT_ID]="","",[@USED_IN_TRN_LINES])</f>
        <v/>
      </c>
      <c r="I39" s="37">
        <f>IF([@COMPONENT_ID]="","",IF([@USED_IN_TRN_LINES]+[@USED_IN_PKG_LINES]=0,0,COUNTA(T_COMMERCIAL_SCENARIO[COMMERCIAL_SCENARIO_ID])))</f>
        <v/>
      </c>
      <c r="J39" s="37">
        <f>IF([@COMPONENT_ID]="","",COUNTIF(T_SHIPMENT_LINE[COMPONENT_ID],[@COMPONENT_ID]))</f>
        <v/>
      </c>
      <c r="K39" s="37">
        <f>IF([@COMPONENT_ID]="","",[@USED_IN_PKG_LINES]*2+[@USED_IN_TRN_LINES]*3+[@AFFECTED_SHIPMENTS]*5)</f>
        <v/>
      </c>
      <c r="L39" s="37">
        <f>IF([@COMPONENT_ID]="","",IF([@IMPACT_SCORE]&gt;=20,"HIGH",IF([@IMPACT_SCORE]&gt;=5,"MEDIUM","LOW")))</f>
        <v/>
      </c>
    </row>
    <row r="40">
      <c r="A40" s="37" t="n">
        <v>39</v>
      </c>
      <c r="B40" s="37">
        <f>IFERROR(INDEX(T_COMPONENT[COMPONENT_ID],[@ROW_INDEX]),"")</f>
        <v/>
      </c>
      <c r="C40" s="37">
        <f>IFERROR(INDEX(T_COMPONENT[COMPONENT_CODE],[@ROW_INDEX]),"")</f>
        <v/>
      </c>
      <c r="D40" s="37">
        <f>IFERROR(INDEX(T_COMPONENT[WEIGHT_G],[@ROW_INDEX]),"")</f>
        <v/>
      </c>
      <c r="E40" s="37">
        <f>IF([@COMPONENT_ID]="","",COUNTIF(T_PACKAGING_CONFIGURATION_LINE[COMPONENT_ID],[@COMPONENT_ID]))</f>
        <v/>
      </c>
      <c r="F40" s="37">
        <f>IF([@COMPONENT_ID]="","",COUNTIF(T_TRANSPORT_CONFIGURATION_LINE[COMPONENT_ID],[@COMPONENT_ID]))</f>
        <v/>
      </c>
      <c r="G40" s="37">
        <f>IF([@COMPONENT_ID]="","",[@USED_IN_PKG_LINES])</f>
        <v/>
      </c>
      <c r="H40" s="37">
        <f>IF([@COMPONENT_ID]="","",[@USED_IN_TRN_LINES])</f>
        <v/>
      </c>
      <c r="I40" s="37">
        <f>IF([@COMPONENT_ID]="","",IF([@USED_IN_TRN_LINES]+[@USED_IN_PKG_LINES]=0,0,COUNTA(T_COMMERCIAL_SCENARIO[COMMERCIAL_SCENARIO_ID])))</f>
        <v/>
      </c>
      <c r="J40" s="37">
        <f>IF([@COMPONENT_ID]="","",COUNTIF(T_SHIPMENT_LINE[COMPONENT_ID],[@COMPONENT_ID]))</f>
        <v/>
      </c>
      <c r="K40" s="37">
        <f>IF([@COMPONENT_ID]="","",[@USED_IN_PKG_LINES]*2+[@USED_IN_TRN_LINES]*3+[@AFFECTED_SHIPMENTS]*5)</f>
        <v/>
      </c>
      <c r="L40" s="37">
        <f>IF([@COMPONENT_ID]="","",IF([@IMPACT_SCORE]&gt;=20,"HIGH",IF([@IMPACT_SCORE]&gt;=5,"MEDIUM","LOW")))</f>
        <v/>
      </c>
    </row>
    <row r="41">
      <c r="A41" s="37" t="n">
        <v>40</v>
      </c>
      <c r="B41" s="37">
        <f>IFERROR(INDEX(T_COMPONENT[COMPONENT_ID],[@ROW_INDEX]),"")</f>
        <v/>
      </c>
      <c r="C41" s="37">
        <f>IFERROR(INDEX(T_COMPONENT[COMPONENT_CODE],[@ROW_INDEX]),"")</f>
        <v/>
      </c>
      <c r="D41" s="37">
        <f>IFERROR(INDEX(T_COMPONENT[WEIGHT_G],[@ROW_INDEX]),"")</f>
        <v/>
      </c>
      <c r="E41" s="37">
        <f>IF([@COMPONENT_ID]="","",COUNTIF(T_PACKAGING_CONFIGURATION_LINE[COMPONENT_ID],[@COMPONENT_ID]))</f>
        <v/>
      </c>
      <c r="F41" s="37">
        <f>IF([@COMPONENT_ID]="","",COUNTIF(T_TRANSPORT_CONFIGURATION_LINE[COMPONENT_ID],[@COMPONENT_ID]))</f>
        <v/>
      </c>
      <c r="G41" s="37">
        <f>IF([@COMPONENT_ID]="","",[@USED_IN_PKG_LINES])</f>
        <v/>
      </c>
      <c r="H41" s="37">
        <f>IF([@COMPONENT_ID]="","",[@USED_IN_TRN_LINES])</f>
        <v/>
      </c>
      <c r="I41" s="37">
        <f>IF([@COMPONENT_ID]="","",IF([@USED_IN_TRN_LINES]+[@USED_IN_PKG_LINES]=0,0,COUNTA(T_COMMERCIAL_SCENARIO[COMMERCIAL_SCENARIO_ID])))</f>
        <v/>
      </c>
      <c r="J41" s="37">
        <f>IF([@COMPONENT_ID]="","",COUNTIF(T_SHIPMENT_LINE[COMPONENT_ID],[@COMPONENT_ID]))</f>
        <v/>
      </c>
      <c r="K41" s="37">
        <f>IF([@COMPONENT_ID]="","",[@USED_IN_PKG_LINES]*2+[@USED_IN_TRN_LINES]*3+[@AFFECTED_SHIPMENTS]*5)</f>
        <v/>
      </c>
      <c r="L41" s="37">
        <f>IF([@COMPONENT_ID]="","",IF([@IMPACT_SCORE]&gt;=20,"HIGH",IF([@IMPACT_SCORE]&gt;=5,"MEDIUM","LOW")))</f>
        <v/>
      </c>
    </row>
    <row r="42">
      <c r="A42" s="37" t="n">
        <v>41</v>
      </c>
      <c r="B42" s="37">
        <f>IFERROR(INDEX(T_COMPONENT[COMPONENT_ID],[@ROW_INDEX]),"")</f>
        <v/>
      </c>
      <c r="C42" s="37">
        <f>IFERROR(INDEX(T_COMPONENT[COMPONENT_CODE],[@ROW_INDEX]),"")</f>
        <v/>
      </c>
      <c r="D42" s="37">
        <f>IFERROR(INDEX(T_COMPONENT[WEIGHT_G],[@ROW_INDEX]),"")</f>
        <v/>
      </c>
      <c r="E42" s="37">
        <f>IF([@COMPONENT_ID]="","",COUNTIF(T_PACKAGING_CONFIGURATION_LINE[COMPONENT_ID],[@COMPONENT_ID]))</f>
        <v/>
      </c>
      <c r="F42" s="37">
        <f>IF([@COMPONENT_ID]="","",COUNTIF(T_TRANSPORT_CONFIGURATION_LINE[COMPONENT_ID],[@COMPONENT_ID]))</f>
        <v/>
      </c>
      <c r="G42" s="37">
        <f>IF([@COMPONENT_ID]="","",[@USED_IN_PKG_LINES])</f>
        <v/>
      </c>
      <c r="H42" s="37">
        <f>IF([@COMPONENT_ID]="","",[@USED_IN_TRN_LINES])</f>
        <v/>
      </c>
      <c r="I42" s="37">
        <f>IF([@COMPONENT_ID]="","",IF([@USED_IN_TRN_LINES]+[@USED_IN_PKG_LINES]=0,0,COUNTA(T_COMMERCIAL_SCENARIO[COMMERCIAL_SCENARIO_ID])))</f>
        <v/>
      </c>
      <c r="J42" s="37">
        <f>IF([@COMPONENT_ID]="","",COUNTIF(T_SHIPMENT_LINE[COMPONENT_ID],[@COMPONENT_ID]))</f>
        <v/>
      </c>
      <c r="K42" s="37">
        <f>IF([@COMPONENT_ID]="","",[@USED_IN_PKG_LINES]*2+[@USED_IN_TRN_LINES]*3+[@AFFECTED_SHIPMENTS]*5)</f>
        <v/>
      </c>
      <c r="L42" s="37">
        <f>IF([@COMPONENT_ID]="","",IF([@IMPACT_SCORE]&gt;=20,"HIGH",IF([@IMPACT_SCORE]&gt;=5,"MEDIUM","LOW")))</f>
        <v/>
      </c>
    </row>
    <row r="43">
      <c r="A43" s="37" t="n">
        <v>42</v>
      </c>
      <c r="B43" s="37">
        <f>IFERROR(INDEX(T_COMPONENT[COMPONENT_ID],[@ROW_INDEX]),"")</f>
        <v/>
      </c>
      <c r="C43" s="37">
        <f>IFERROR(INDEX(T_COMPONENT[COMPONENT_CODE],[@ROW_INDEX]),"")</f>
        <v/>
      </c>
      <c r="D43" s="37">
        <f>IFERROR(INDEX(T_COMPONENT[WEIGHT_G],[@ROW_INDEX]),"")</f>
        <v/>
      </c>
      <c r="E43" s="37">
        <f>IF([@COMPONENT_ID]="","",COUNTIF(T_PACKAGING_CONFIGURATION_LINE[COMPONENT_ID],[@COMPONENT_ID]))</f>
        <v/>
      </c>
      <c r="F43" s="37">
        <f>IF([@COMPONENT_ID]="","",COUNTIF(T_TRANSPORT_CONFIGURATION_LINE[COMPONENT_ID],[@COMPONENT_ID]))</f>
        <v/>
      </c>
      <c r="G43" s="37">
        <f>IF([@COMPONENT_ID]="","",[@USED_IN_PKG_LINES])</f>
        <v/>
      </c>
      <c r="H43" s="37">
        <f>IF([@COMPONENT_ID]="","",[@USED_IN_TRN_LINES])</f>
        <v/>
      </c>
      <c r="I43" s="37">
        <f>IF([@COMPONENT_ID]="","",IF([@USED_IN_TRN_LINES]+[@USED_IN_PKG_LINES]=0,0,COUNTA(T_COMMERCIAL_SCENARIO[COMMERCIAL_SCENARIO_ID])))</f>
        <v/>
      </c>
      <c r="J43" s="37">
        <f>IF([@COMPONENT_ID]="","",COUNTIF(T_SHIPMENT_LINE[COMPONENT_ID],[@COMPONENT_ID]))</f>
        <v/>
      </c>
      <c r="K43" s="37">
        <f>IF([@COMPONENT_ID]="","",[@USED_IN_PKG_LINES]*2+[@USED_IN_TRN_LINES]*3+[@AFFECTED_SHIPMENTS]*5)</f>
        <v/>
      </c>
      <c r="L43" s="37">
        <f>IF([@COMPONENT_ID]="","",IF([@IMPACT_SCORE]&gt;=20,"HIGH",IF([@IMPACT_SCORE]&gt;=5,"MEDIUM","LOW")))</f>
        <v/>
      </c>
    </row>
    <row r="44">
      <c r="A44" s="37" t="n">
        <v>43</v>
      </c>
      <c r="B44" s="37">
        <f>IFERROR(INDEX(T_COMPONENT[COMPONENT_ID],[@ROW_INDEX]),"")</f>
        <v/>
      </c>
      <c r="C44" s="37">
        <f>IFERROR(INDEX(T_COMPONENT[COMPONENT_CODE],[@ROW_INDEX]),"")</f>
        <v/>
      </c>
      <c r="D44" s="37">
        <f>IFERROR(INDEX(T_COMPONENT[WEIGHT_G],[@ROW_INDEX]),"")</f>
        <v/>
      </c>
      <c r="E44" s="37">
        <f>IF([@COMPONENT_ID]="","",COUNTIF(T_PACKAGING_CONFIGURATION_LINE[COMPONENT_ID],[@COMPONENT_ID]))</f>
        <v/>
      </c>
      <c r="F44" s="37">
        <f>IF([@COMPONENT_ID]="","",COUNTIF(T_TRANSPORT_CONFIGURATION_LINE[COMPONENT_ID],[@COMPONENT_ID]))</f>
        <v/>
      </c>
      <c r="G44" s="37">
        <f>IF([@COMPONENT_ID]="","",[@USED_IN_PKG_LINES])</f>
        <v/>
      </c>
      <c r="H44" s="37">
        <f>IF([@COMPONENT_ID]="","",[@USED_IN_TRN_LINES])</f>
        <v/>
      </c>
      <c r="I44" s="37">
        <f>IF([@COMPONENT_ID]="","",IF([@USED_IN_TRN_LINES]+[@USED_IN_PKG_LINES]=0,0,COUNTA(T_COMMERCIAL_SCENARIO[COMMERCIAL_SCENARIO_ID])))</f>
        <v/>
      </c>
      <c r="J44" s="37">
        <f>IF([@COMPONENT_ID]="","",COUNTIF(T_SHIPMENT_LINE[COMPONENT_ID],[@COMPONENT_ID]))</f>
        <v/>
      </c>
      <c r="K44" s="37">
        <f>IF([@COMPONENT_ID]="","",[@USED_IN_PKG_LINES]*2+[@USED_IN_TRN_LINES]*3+[@AFFECTED_SHIPMENTS]*5)</f>
        <v/>
      </c>
      <c r="L44" s="37">
        <f>IF([@COMPONENT_ID]="","",IF([@IMPACT_SCORE]&gt;=20,"HIGH",IF([@IMPACT_SCORE]&gt;=5,"MEDIUM","LOW")))</f>
        <v/>
      </c>
    </row>
    <row r="45">
      <c r="A45" s="37" t="n">
        <v>44</v>
      </c>
      <c r="B45" s="37">
        <f>IFERROR(INDEX(T_COMPONENT[COMPONENT_ID],[@ROW_INDEX]),"")</f>
        <v/>
      </c>
      <c r="C45" s="37">
        <f>IFERROR(INDEX(T_COMPONENT[COMPONENT_CODE],[@ROW_INDEX]),"")</f>
        <v/>
      </c>
      <c r="D45" s="37">
        <f>IFERROR(INDEX(T_COMPONENT[WEIGHT_G],[@ROW_INDEX]),"")</f>
        <v/>
      </c>
      <c r="E45" s="37">
        <f>IF([@COMPONENT_ID]="","",COUNTIF(T_PACKAGING_CONFIGURATION_LINE[COMPONENT_ID],[@COMPONENT_ID]))</f>
        <v/>
      </c>
      <c r="F45" s="37">
        <f>IF([@COMPONENT_ID]="","",COUNTIF(T_TRANSPORT_CONFIGURATION_LINE[COMPONENT_ID],[@COMPONENT_ID]))</f>
        <v/>
      </c>
      <c r="G45" s="37">
        <f>IF([@COMPONENT_ID]="","",[@USED_IN_PKG_LINES])</f>
        <v/>
      </c>
      <c r="H45" s="37">
        <f>IF([@COMPONENT_ID]="","",[@USED_IN_TRN_LINES])</f>
        <v/>
      </c>
      <c r="I45" s="37">
        <f>IF([@COMPONENT_ID]="","",IF([@USED_IN_TRN_LINES]+[@USED_IN_PKG_LINES]=0,0,COUNTA(T_COMMERCIAL_SCENARIO[COMMERCIAL_SCENARIO_ID])))</f>
        <v/>
      </c>
      <c r="J45" s="37">
        <f>IF([@COMPONENT_ID]="","",COUNTIF(T_SHIPMENT_LINE[COMPONENT_ID],[@COMPONENT_ID]))</f>
        <v/>
      </c>
      <c r="K45" s="37">
        <f>IF([@COMPONENT_ID]="","",[@USED_IN_PKG_LINES]*2+[@USED_IN_TRN_LINES]*3+[@AFFECTED_SHIPMENTS]*5)</f>
        <v/>
      </c>
      <c r="L45" s="37">
        <f>IF([@COMPONENT_ID]="","",IF([@IMPACT_SCORE]&gt;=20,"HIGH",IF([@IMPACT_SCORE]&gt;=5,"MEDIUM","LOW")))</f>
        <v/>
      </c>
    </row>
    <row r="46">
      <c r="A46" s="37" t="n">
        <v>45</v>
      </c>
      <c r="B46" s="37">
        <f>IFERROR(INDEX(T_COMPONENT[COMPONENT_ID],[@ROW_INDEX]),"")</f>
        <v/>
      </c>
      <c r="C46" s="37">
        <f>IFERROR(INDEX(T_COMPONENT[COMPONENT_CODE],[@ROW_INDEX]),"")</f>
        <v/>
      </c>
      <c r="D46" s="37">
        <f>IFERROR(INDEX(T_COMPONENT[WEIGHT_G],[@ROW_INDEX]),"")</f>
        <v/>
      </c>
      <c r="E46" s="37">
        <f>IF([@COMPONENT_ID]="","",COUNTIF(T_PACKAGING_CONFIGURATION_LINE[COMPONENT_ID],[@COMPONENT_ID]))</f>
        <v/>
      </c>
      <c r="F46" s="37">
        <f>IF([@COMPONENT_ID]="","",COUNTIF(T_TRANSPORT_CONFIGURATION_LINE[COMPONENT_ID],[@COMPONENT_ID]))</f>
        <v/>
      </c>
      <c r="G46" s="37">
        <f>IF([@COMPONENT_ID]="","",[@USED_IN_PKG_LINES])</f>
        <v/>
      </c>
      <c r="H46" s="37">
        <f>IF([@COMPONENT_ID]="","",[@USED_IN_TRN_LINES])</f>
        <v/>
      </c>
      <c r="I46" s="37">
        <f>IF([@COMPONENT_ID]="","",IF([@USED_IN_TRN_LINES]+[@USED_IN_PKG_LINES]=0,0,COUNTA(T_COMMERCIAL_SCENARIO[COMMERCIAL_SCENARIO_ID])))</f>
        <v/>
      </c>
      <c r="J46" s="37">
        <f>IF([@COMPONENT_ID]="","",COUNTIF(T_SHIPMENT_LINE[COMPONENT_ID],[@COMPONENT_ID]))</f>
        <v/>
      </c>
      <c r="K46" s="37">
        <f>IF([@COMPONENT_ID]="","",[@USED_IN_PKG_LINES]*2+[@USED_IN_TRN_LINES]*3+[@AFFECTED_SHIPMENTS]*5)</f>
        <v/>
      </c>
      <c r="L46" s="37">
        <f>IF([@COMPONENT_ID]="","",IF([@IMPACT_SCORE]&gt;=20,"HIGH",IF([@IMPACT_SCORE]&gt;=5,"MEDIUM","LOW")))</f>
        <v/>
      </c>
    </row>
    <row r="47">
      <c r="A47" s="37" t="n">
        <v>46</v>
      </c>
      <c r="B47" s="37">
        <f>IFERROR(INDEX(T_COMPONENT[COMPONENT_ID],[@ROW_INDEX]),"")</f>
        <v/>
      </c>
      <c r="C47" s="37">
        <f>IFERROR(INDEX(T_COMPONENT[COMPONENT_CODE],[@ROW_INDEX]),"")</f>
        <v/>
      </c>
      <c r="D47" s="37">
        <f>IFERROR(INDEX(T_COMPONENT[WEIGHT_G],[@ROW_INDEX]),"")</f>
        <v/>
      </c>
      <c r="E47" s="37">
        <f>IF([@COMPONENT_ID]="","",COUNTIF(T_PACKAGING_CONFIGURATION_LINE[COMPONENT_ID],[@COMPONENT_ID]))</f>
        <v/>
      </c>
      <c r="F47" s="37">
        <f>IF([@COMPONENT_ID]="","",COUNTIF(T_TRANSPORT_CONFIGURATION_LINE[COMPONENT_ID],[@COMPONENT_ID]))</f>
        <v/>
      </c>
      <c r="G47" s="37">
        <f>IF([@COMPONENT_ID]="","",[@USED_IN_PKG_LINES])</f>
        <v/>
      </c>
      <c r="H47" s="37">
        <f>IF([@COMPONENT_ID]="","",[@USED_IN_TRN_LINES])</f>
        <v/>
      </c>
      <c r="I47" s="37">
        <f>IF([@COMPONENT_ID]="","",IF([@USED_IN_TRN_LINES]+[@USED_IN_PKG_LINES]=0,0,COUNTA(T_COMMERCIAL_SCENARIO[COMMERCIAL_SCENARIO_ID])))</f>
        <v/>
      </c>
      <c r="J47" s="37">
        <f>IF([@COMPONENT_ID]="","",COUNTIF(T_SHIPMENT_LINE[COMPONENT_ID],[@COMPONENT_ID]))</f>
        <v/>
      </c>
      <c r="K47" s="37">
        <f>IF([@COMPONENT_ID]="","",[@USED_IN_PKG_LINES]*2+[@USED_IN_TRN_LINES]*3+[@AFFECTED_SHIPMENTS]*5)</f>
        <v/>
      </c>
      <c r="L47" s="37">
        <f>IF([@COMPONENT_ID]="","",IF([@IMPACT_SCORE]&gt;=20,"HIGH",IF([@IMPACT_SCORE]&gt;=5,"MEDIUM","LOW")))</f>
        <v/>
      </c>
    </row>
    <row r="48">
      <c r="A48" s="37" t="n">
        <v>47</v>
      </c>
      <c r="B48" s="37">
        <f>IFERROR(INDEX(T_COMPONENT[COMPONENT_ID],[@ROW_INDEX]),"")</f>
        <v/>
      </c>
      <c r="C48" s="37">
        <f>IFERROR(INDEX(T_COMPONENT[COMPONENT_CODE],[@ROW_INDEX]),"")</f>
        <v/>
      </c>
      <c r="D48" s="37">
        <f>IFERROR(INDEX(T_COMPONENT[WEIGHT_G],[@ROW_INDEX]),"")</f>
        <v/>
      </c>
      <c r="E48" s="37">
        <f>IF([@COMPONENT_ID]="","",COUNTIF(T_PACKAGING_CONFIGURATION_LINE[COMPONENT_ID],[@COMPONENT_ID]))</f>
        <v/>
      </c>
      <c r="F48" s="37">
        <f>IF([@COMPONENT_ID]="","",COUNTIF(T_TRANSPORT_CONFIGURATION_LINE[COMPONENT_ID],[@COMPONENT_ID]))</f>
        <v/>
      </c>
      <c r="G48" s="37">
        <f>IF([@COMPONENT_ID]="","",[@USED_IN_PKG_LINES])</f>
        <v/>
      </c>
      <c r="H48" s="37">
        <f>IF([@COMPONENT_ID]="","",[@USED_IN_TRN_LINES])</f>
        <v/>
      </c>
      <c r="I48" s="37">
        <f>IF([@COMPONENT_ID]="","",IF([@USED_IN_TRN_LINES]+[@USED_IN_PKG_LINES]=0,0,COUNTA(T_COMMERCIAL_SCENARIO[COMMERCIAL_SCENARIO_ID])))</f>
        <v/>
      </c>
      <c r="J48" s="37">
        <f>IF([@COMPONENT_ID]="","",COUNTIF(T_SHIPMENT_LINE[COMPONENT_ID],[@COMPONENT_ID]))</f>
        <v/>
      </c>
      <c r="K48" s="37">
        <f>IF([@COMPONENT_ID]="","",[@USED_IN_PKG_LINES]*2+[@USED_IN_TRN_LINES]*3+[@AFFECTED_SHIPMENTS]*5)</f>
        <v/>
      </c>
      <c r="L48" s="37">
        <f>IF([@COMPONENT_ID]="","",IF([@IMPACT_SCORE]&gt;=20,"HIGH",IF([@IMPACT_SCORE]&gt;=5,"MEDIUM","LOW")))</f>
        <v/>
      </c>
    </row>
    <row r="49">
      <c r="A49" s="37" t="n">
        <v>48</v>
      </c>
      <c r="B49" s="37">
        <f>IFERROR(INDEX(T_COMPONENT[COMPONENT_ID],[@ROW_INDEX]),"")</f>
        <v/>
      </c>
      <c r="C49" s="37">
        <f>IFERROR(INDEX(T_COMPONENT[COMPONENT_CODE],[@ROW_INDEX]),"")</f>
        <v/>
      </c>
      <c r="D49" s="37">
        <f>IFERROR(INDEX(T_COMPONENT[WEIGHT_G],[@ROW_INDEX]),"")</f>
        <v/>
      </c>
      <c r="E49" s="37">
        <f>IF([@COMPONENT_ID]="","",COUNTIF(T_PACKAGING_CONFIGURATION_LINE[COMPONENT_ID],[@COMPONENT_ID]))</f>
        <v/>
      </c>
      <c r="F49" s="37">
        <f>IF([@COMPONENT_ID]="","",COUNTIF(T_TRANSPORT_CONFIGURATION_LINE[COMPONENT_ID],[@COMPONENT_ID]))</f>
        <v/>
      </c>
      <c r="G49" s="37">
        <f>IF([@COMPONENT_ID]="","",[@USED_IN_PKG_LINES])</f>
        <v/>
      </c>
      <c r="H49" s="37">
        <f>IF([@COMPONENT_ID]="","",[@USED_IN_TRN_LINES])</f>
        <v/>
      </c>
      <c r="I49" s="37">
        <f>IF([@COMPONENT_ID]="","",IF([@USED_IN_TRN_LINES]+[@USED_IN_PKG_LINES]=0,0,COUNTA(T_COMMERCIAL_SCENARIO[COMMERCIAL_SCENARIO_ID])))</f>
        <v/>
      </c>
      <c r="J49" s="37">
        <f>IF([@COMPONENT_ID]="","",COUNTIF(T_SHIPMENT_LINE[COMPONENT_ID],[@COMPONENT_ID]))</f>
        <v/>
      </c>
      <c r="K49" s="37">
        <f>IF([@COMPONENT_ID]="","",[@USED_IN_PKG_LINES]*2+[@USED_IN_TRN_LINES]*3+[@AFFECTED_SHIPMENTS]*5)</f>
        <v/>
      </c>
      <c r="L49" s="37">
        <f>IF([@COMPONENT_ID]="","",IF([@IMPACT_SCORE]&gt;=20,"HIGH",IF([@IMPACT_SCORE]&gt;=5,"MEDIUM","LOW")))</f>
        <v/>
      </c>
    </row>
    <row r="50">
      <c r="A50" s="37" t="n">
        <v>49</v>
      </c>
      <c r="B50" s="37">
        <f>IFERROR(INDEX(T_COMPONENT[COMPONENT_ID],[@ROW_INDEX]),"")</f>
        <v/>
      </c>
      <c r="C50" s="37">
        <f>IFERROR(INDEX(T_COMPONENT[COMPONENT_CODE],[@ROW_INDEX]),"")</f>
        <v/>
      </c>
      <c r="D50" s="37">
        <f>IFERROR(INDEX(T_COMPONENT[WEIGHT_G],[@ROW_INDEX]),"")</f>
        <v/>
      </c>
      <c r="E50" s="37">
        <f>IF([@COMPONENT_ID]="","",COUNTIF(T_PACKAGING_CONFIGURATION_LINE[COMPONENT_ID],[@COMPONENT_ID]))</f>
        <v/>
      </c>
      <c r="F50" s="37">
        <f>IF([@COMPONENT_ID]="","",COUNTIF(T_TRANSPORT_CONFIGURATION_LINE[COMPONENT_ID],[@COMPONENT_ID]))</f>
        <v/>
      </c>
      <c r="G50" s="37">
        <f>IF([@COMPONENT_ID]="","",[@USED_IN_PKG_LINES])</f>
        <v/>
      </c>
      <c r="H50" s="37">
        <f>IF([@COMPONENT_ID]="","",[@USED_IN_TRN_LINES])</f>
        <v/>
      </c>
      <c r="I50" s="37">
        <f>IF([@COMPONENT_ID]="","",IF([@USED_IN_TRN_LINES]+[@USED_IN_PKG_LINES]=0,0,COUNTA(T_COMMERCIAL_SCENARIO[COMMERCIAL_SCENARIO_ID])))</f>
        <v/>
      </c>
      <c r="J50" s="37">
        <f>IF([@COMPONENT_ID]="","",COUNTIF(T_SHIPMENT_LINE[COMPONENT_ID],[@COMPONENT_ID]))</f>
        <v/>
      </c>
      <c r="K50" s="37">
        <f>IF([@COMPONENT_ID]="","",[@USED_IN_PKG_LINES]*2+[@USED_IN_TRN_LINES]*3+[@AFFECTED_SHIPMENTS]*5)</f>
        <v/>
      </c>
      <c r="L50" s="37">
        <f>IF([@COMPONENT_ID]="","",IF([@IMPACT_SCORE]&gt;=20,"HIGH",IF([@IMPACT_SCORE]&gt;=5,"MEDIUM","LOW")))</f>
        <v/>
      </c>
    </row>
    <row r="51">
      <c r="A51" s="37" t="n">
        <v>50</v>
      </c>
      <c r="B51" s="37">
        <f>IFERROR(INDEX(T_COMPONENT[COMPONENT_ID],[@ROW_INDEX]),"")</f>
        <v/>
      </c>
      <c r="C51" s="37">
        <f>IFERROR(INDEX(T_COMPONENT[COMPONENT_CODE],[@ROW_INDEX]),"")</f>
        <v/>
      </c>
      <c r="D51" s="37">
        <f>IFERROR(INDEX(T_COMPONENT[WEIGHT_G],[@ROW_INDEX]),"")</f>
        <v/>
      </c>
      <c r="E51" s="37">
        <f>IF([@COMPONENT_ID]="","",COUNTIF(T_PACKAGING_CONFIGURATION_LINE[COMPONENT_ID],[@COMPONENT_ID]))</f>
        <v/>
      </c>
      <c r="F51" s="37">
        <f>IF([@COMPONENT_ID]="","",COUNTIF(T_TRANSPORT_CONFIGURATION_LINE[COMPONENT_ID],[@COMPONENT_ID]))</f>
        <v/>
      </c>
      <c r="G51" s="37">
        <f>IF([@COMPONENT_ID]="","",[@USED_IN_PKG_LINES])</f>
        <v/>
      </c>
      <c r="H51" s="37">
        <f>IF([@COMPONENT_ID]="","",[@USED_IN_TRN_LINES])</f>
        <v/>
      </c>
      <c r="I51" s="37">
        <f>IF([@COMPONENT_ID]="","",IF([@USED_IN_TRN_LINES]+[@USED_IN_PKG_LINES]=0,0,COUNTA(T_COMMERCIAL_SCENARIO[COMMERCIAL_SCENARIO_ID])))</f>
        <v/>
      </c>
      <c r="J51" s="37">
        <f>IF([@COMPONENT_ID]="","",COUNTIF(T_SHIPMENT_LINE[COMPONENT_ID],[@COMPONENT_ID]))</f>
        <v/>
      </c>
      <c r="K51" s="37">
        <f>IF([@COMPONENT_ID]="","",[@USED_IN_PKG_LINES]*2+[@USED_IN_TRN_LINES]*3+[@AFFECTED_SHIPMENTS]*5)</f>
        <v/>
      </c>
      <c r="L51" s="37">
        <f>IF([@COMPONENT_ID]="","",IF([@IMPACT_SCORE]&gt;=20,"HIGH",IF([@IMPACT_SCORE]&gt;=5,"MEDIUM","LOW")))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conditionalFormatting sqref="L2:L51">
    <cfRule type="cellIs" priority="1" operator="equal" dxfId="4">
      <formula>"HIGH"</formula>
    </cfRule>
    <cfRule type="cellIs" priority="2" operator="equal" dxfId="5">
      <formula>"MEDIUM"</formula>
    </cfRule>
    <cfRule type="cellIs" priority="3" operator="equal" dxfId="6">
      <formula>"LOW"</formula>
    </cfRule>
  </conditionalFormatting>
  <hyperlinks>
    <hyperlink xmlns:r="http://schemas.openxmlformats.org/officeDocument/2006/relationships" ref="N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  <col width="12" customWidth="1" min="5" max="5"/>
  </cols>
  <sheetData>
    <row r="1">
      <c r="A1" s="5" t="inlineStr">
        <is>
          <t>ROW_INDEX</t>
        </is>
      </c>
      <c r="B1" s="5" t="inlineStr">
        <is>
          <t>RULE_ID</t>
        </is>
      </c>
      <c r="C1" s="5" t="inlineStr">
        <is>
          <t>RULE_NAME</t>
        </is>
      </c>
      <c r="D1" s="5" t="inlineStr">
        <is>
          <t>RESULT</t>
        </is>
      </c>
      <c r="E1" s="5" t="inlineStr">
        <is>
          <t>SEVERITY</t>
        </is>
      </c>
      <c r="G1" s="36" t="inlineStr">
        <is>
          <t>Dashboard</t>
        </is>
      </c>
    </row>
    <row r="2">
      <c r="A2" s="37" t="n">
        <v>1</v>
      </c>
      <c r="B2" s="37" t="inlineStr">
        <is>
          <t>V-WT-01</t>
        </is>
      </c>
      <c r="C2" s="37" t="inlineStr">
        <is>
          <t>MISSING_WEIGHT</t>
        </is>
      </c>
      <c r="D2" s="37">
        <f>IF(OR(COUNTIF(T_COMPONENT[WEIGHT_G],"&lt;="&amp;0)&gt;0,COUNTBLANK(T_COMPONENT[WEIGHT_G])&gt;0),"ERROR","OK")</f>
        <v/>
      </c>
      <c r="E2" s="37" t="inlineStr">
        <is>
          <t>ERROR</t>
        </is>
      </c>
    </row>
    <row r="3">
      <c r="A3" s="37" t="n">
        <v>2</v>
      </c>
      <c r="B3" s="37" t="inlineStr">
        <is>
          <t>V-SUP-01</t>
        </is>
      </c>
      <c r="C3" s="37" t="inlineStr">
        <is>
          <t>MISSING_SUPPLIER</t>
        </is>
      </c>
      <c r="D3" s="37">
        <f>IF(COUNTBLANK(T_COMPONENT[SUPPLIER_ID])&gt;0,"WARN","OK")</f>
        <v/>
      </c>
      <c r="E3" s="37" t="inlineStr">
        <is>
          <t>WARN</t>
        </is>
      </c>
    </row>
    <row r="4">
      <c r="A4" s="37" t="n">
        <v>3</v>
      </c>
      <c r="B4" s="37" t="inlineStr">
        <is>
          <t>V-EVD-01</t>
        </is>
      </c>
      <c r="C4" s="37" t="inlineStr">
        <is>
          <t>MISSING_EVIDENCE</t>
        </is>
      </c>
      <c r="D4" s="37">
        <f>IF(COUNTA(T_COMPONENT[COMPONENT_ID])=0,"PENDING",IF(COUNTA(T_DOCUMENT_LINK[COMPONENT_ID])&gt;0,"OK","WARN"))</f>
        <v/>
      </c>
      <c r="E4" s="37" t="inlineStr">
        <is>
          <t>WARN</t>
        </is>
      </c>
    </row>
    <row r="5">
      <c r="A5" s="37" t="n">
        <v>4</v>
      </c>
      <c r="B5" s="37" t="inlineStr">
        <is>
          <t>V-DOC-01</t>
        </is>
      </c>
      <c r="C5" s="37" t="inlineStr">
        <is>
          <t>MISSING_DOCUMENTS</t>
        </is>
      </c>
      <c r="D5" s="37">
        <f>IF(COUNTIF(T_ENG_TECHNICAL_FILE[HAS_DOCUMENT],FALSE)&gt;0,"WARN","OK")</f>
        <v/>
      </c>
      <c r="E5" s="37" t="inlineStr">
        <is>
          <t>WARN</t>
        </is>
      </c>
    </row>
    <row r="6">
      <c r="A6" s="37" t="n">
        <v>5</v>
      </c>
      <c r="B6" s="37" t="inlineStr">
        <is>
          <t>V-DUP-01</t>
        </is>
      </c>
      <c r="C6" s="37" t="inlineStr">
        <is>
          <t>DUPLICATE_COMPONENT_CODE</t>
        </is>
      </c>
      <c r="D6" s="37">
        <f>IF(COUNTA(T_COMPONENT[COMPONENT_CODE])=0,"PENDING",IFERROR(IF(COUNTA(T_COMPONENT[COMPONENT_CODE])&lt;&gt;SUMPRODUCT(1/COUNTIF(T_COMPONENT[COMPONENT_CODE],T_COMPONENT[COMPONENT_CODE]&amp;"")),"ERROR","OK"),"OK"))</f>
        <v/>
      </c>
      <c r="E6" s="37" t="inlineStr">
        <is>
          <t>ERROR</t>
        </is>
      </c>
    </row>
    <row r="7">
      <c r="A7" s="37" t="n">
        <v>6</v>
      </c>
      <c r="B7" s="37" t="inlineStr">
        <is>
          <t>V-ACT-01</t>
        </is>
      </c>
      <c r="C7" s="37" t="inlineStr">
        <is>
          <t>INACTIVE_COMPONENT_IN_BOM</t>
        </is>
      </c>
      <c r="D7" s="37">
        <f>IF(COUNTA(T_PACKAGING_CONFIGURATION_LINE[COMPONENT_ID])=0,"PENDING","OK")</f>
        <v/>
      </c>
      <c r="E7" s="37" t="inlineStr">
        <is>
          <t>WARN</t>
        </is>
      </c>
    </row>
    <row r="8">
      <c r="A8" s="37" t="n">
        <v>7</v>
      </c>
      <c r="B8" s="37" t="inlineStr">
        <is>
          <t>V-MAT-01</t>
        </is>
      </c>
      <c r="C8" s="37" t="inlineStr">
        <is>
          <t>MATERIAL_SHARE_ENGINE_READY</t>
        </is>
      </c>
      <c r="D8" s="37">
        <f>IF(COUNTA(T_ENG_MATERIAL_WEIGHT[ROW_INDEX])&gt;0,"OK","ERROR")</f>
        <v/>
      </c>
      <c r="E8" s="37" t="inlineStr">
        <is>
          <t>ERROR</t>
        </is>
      </c>
    </row>
    <row r="9">
      <c r="A9" s="37" t="n">
        <v>8</v>
      </c>
      <c r="B9" s="37" t="inlineStr">
        <is>
          <t>V-MAT-02</t>
        </is>
      </c>
      <c r="C9" s="37" t="inlineStr">
        <is>
          <t>COMPONENT_MATERIAL_LINKED</t>
        </is>
      </c>
      <c r="D9" s="37">
        <f>IF(COUNTA(T_COMPONENT[COMPONENT_ID])=0,"PENDING",IF(COUNTA(T_COMPONENT_MATERIAL[COMPONENT_MATERIAL_ID])&gt;0,"OK","WARN"))</f>
        <v/>
      </c>
      <c r="E9" s="37" t="inlineStr">
        <is>
          <t>WARN</t>
        </is>
      </c>
    </row>
    <row r="10">
      <c r="A10" s="37" t="n">
        <v>9</v>
      </c>
      <c r="B10" s="37" t="inlineStr">
        <is>
          <t>V-CFG-01</t>
        </is>
      </c>
      <c r="C10" s="37" t="inlineStr">
        <is>
          <t>PACKAGING_HAS_LINES</t>
        </is>
      </c>
      <c r="D10" s="37">
        <f>IF(COUNTA(T_PACKAGING_CONFIGURATION[PACKAGING_CONFIGURATION_ID])=0,"PENDING",IF(COUNTA(T_PACKAGING_CONFIGURATION_LINE[PACKAGING_CONFIGURATION_LINE_ID])&gt;0,"OK","ERROR"))</f>
        <v/>
      </c>
      <c r="E10" s="37" t="inlineStr">
        <is>
          <t>ERROR</t>
        </is>
      </c>
    </row>
    <row r="11">
      <c r="A11" s="37" t="n">
        <v>10</v>
      </c>
      <c r="B11" s="37" t="inlineStr">
        <is>
          <t>V-TRN-01</t>
        </is>
      </c>
      <c r="C11" s="37" t="inlineStr">
        <is>
          <t>TRANSPORT_HAS_LINES</t>
        </is>
      </c>
      <c r="D11" s="37">
        <f>IF(COUNTA(T_TRANSPORT_CONFIGURATION[TRANSPORT_CONFIGURATION_ID])=0,"PENDING",IF(COUNTA(T_TRANSPORT_CONFIGURATION_LINE[TRANSPORT_CONFIGURATION_LINE_ID])&gt;0,"OK","WARN"))</f>
        <v/>
      </c>
      <c r="E11" s="37" t="inlineStr">
        <is>
          <t>WARN</t>
        </is>
      </c>
    </row>
    <row r="12">
      <c r="A12" s="37" t="n">
        <v>11</v>
      </c>
      <c r="B12" s="37" t="inlineStr">
        <is>
          <t>V-SCN-01</t>
        </is>
      </c>
      <c r="C12" s="37" t="inlineStr">
        <is>
          <t>SCENARIO_CORE_FKS</t>
        </is>
      </c>
      <c r="D12" s="37">
        <f>IF(COUNTA(T_COMMERCIAL_SCENARIO[COMMERCIAL_SCENARIO_ID])=0,"PENDING",IF(COUNTBLANK(T_COMMERCIAL_SCENARIO[PRODUCT_ID])+COUNTBLANK(T_COMMERCIAL_SCENARIO[TRANSPORT_CONFIGURATION_ID])&gt;0,"ERROR","OK"))</f>
        <v/>
      </c>
      <c r="E12" s="37" t="inlineStr">
        <is>
          <t>ERROR</t>
        </is>
      </c>
    </row>
    <row r="13">
      <c r="A13" s="37" t="n">
        <v>12</v>
      </c>
      <c r="B13" s="37" t="inlineStr">
        <is>
          <t>V-REL-01</t>
        </is>
      </c>
      <c r="C13" s="37" t="inlineStr">
        <is>
          <t>BROKEN_RELATIONSHIPS_CATALOG</t>
        </is>
      </c>
      <c r="D13" s="37">
        <f>IF(COUNTA(T_SYS_RELATIONSHIPS[RELATIONSHIP_ID])&gt;0,"OK","ERROR")</f>
        <v/>
      </c>
      <c r="E13" s="37" t="inlineStr">
        <is>
          <t>ERROR</t>
        </is>
      </c>
    </row>
    <row r="14">
      <c r="A14" s="37" t="n">
        <v>13</v>
      </c>
      <c r="B14" s="37" t="inlineStr">
        <is>
          <t>V-LKP-01</t>
        </is>
      </c>
      <c r="C14" s="37" t="inlineStr">
        <is>
          <t>INVALID_LOOKUP_SEED</t>
        </is>
      </c>
      <c r="D14" s="37">
        <f>IF(COUNTA(T_LKP_STATUS[STATUS_ID])&gt;0,"OK","ERROR")</f>
        <v/>
      </c>
      <c r="E14" s="37" t="inlineStr">
        <is>
          <t>ERROR</t>
        </is>
      </c>
    </row>
    <row r="15">
      <c r="A15" s="37" t="n">
        <v>14</v>
      </c>
      <c r="B15" s="37" t="inlineStr">
        <is>
          <t>V-SHP-01</t>
        </is>
      </c>
      <c r="C15" s="37" t="inlineStr">
        <is>
          <t>SHIPMENT_QTY_POSITIVE</t>
        </is>
      </c>
      <c r="D15" s="37">
        <f>IF(COUNTIF(T_SHIPMENT[QTY_PRODUCT_UNITS],"&lt;="&amp;0)&gt;0,"ERROR","OK")</f>
        <v/>
      </c>
      <c r="E15" s="37" t="inlineStr">
        <is>
          <t>ERROR</t>
        </is>
      </c>
    </row>
    <row r="16">
      <c r="A16" s="37" t="n">
        <v>15</v>
      </c>
      <c r="B16" s="37" t="inlineStr">
        <is>
          <t>V-SHP-02</t>
        </is>
      </c>
      <c r="C16" s="37" t="inlineStr">
        <is>
          <t>SHIPMENT_LINE_FREEZE</t>
        </is>
      </c>
      <c r="D16" s="37">
        <f>IF(COUNTA(T_SHIPMENT[SHIPMENT_ID])=0,"PENDING",IF(COUNTA(T_SHIPMENT_LINE[SHIPMENT_LINE_ID])&gt;0,"OK","WARN"))</f>
        <v/>
      </c>
      <c r="E16" s="37" t="inlineStr">
        <is>
          <t>WARN</t>
        </is>
      </c>
    </row>
    <row r="17">
      <c r="A17" s="37" t="n">
        <v>16</v>
      </c>
      <c r="B17" s="37" t="inlineStr">
        <is>
          <t>V-STM-01</t>
        </is>
      </c>
      <c r="C17" s="37" t="inlineStr">
        <is>
          <t>STATEMENT_LINES</t>
        </is>
      </c>
      <c r="D17" s="37">
        <f>IF(COUNTA(T_STATEMENT[STATEMENT_ID])=0,"PENDING",IF(COUNTA(T_STATEMENT_LINE[STATEMENT_LINE_ID])&gt;0,"OK","WARN"))</f>
        <v/>
      </c>
      <c r="E17" s="37" t="inlineStr">
        <is>
          <t>WARN</t>
        </is>
      </c>
    </row>
    <row r="18">
      <c r="A18" s="37" t="n">
        <v>17</v>
      </c>
      <c r="B18" s="37" t="inlineStr">
        <is>
          <t>V-STM-02</t>
        </is>
      </c>
      <c r="C18" s="37" t="inlineStr">
        <is>
          <t>STATEMENT_VARIANCE</t>
        </is>
      </c>
      <c r="D18" s="37">
        <f>IF(COUNTIF(T_ENG_STATEMENT[RECONCILE_STATUS],"VARIANCE")&gt;0,"ERROR",IF(COUNTIF(T_ENG_STATEMENT[RECONCILE_STATUS],"OK")&gt;0,"OK","PENDING"))</f>
        <v/>
      </c>
      <c r="E18" s="37" t="inlineStr">
        <is>
          <t>ERROR</t>
        </is>
      </c>
    </row>
    <row r="19">
      <c r="A19" s="37" t="n">
        <v>18</v>
      </c>
      <c r="B19" s="37" t="inlineStr">
        <is>
          <t>V-TF-01</t>
        </is>
      </c>
      <c r="C19" s="37" t="inlineStr">
        <is>
          <t>TECH_FILE_SUBJECT_XOR</t>
        </is>
      </c>
      <c r="D19" s="37">
        <f>IF(COUNTIF(T_ENG_TECHNICAL_FILE[HAS_EXACTLY_ONE_SUBJECT],FALSE)&gt;0,"ERROR",IF(COUNTA(T_ENG_TECHNICAL_FILE[TECHNICAL_FILE_ID])=0,"PENDING","OK"))</f>
        <v/>
      </c>
      <c r="E19" s="37" t="inlineStr">
        <is>
          <t>ERROR</t>
        </is>
      </c>
    </row>
    <row r="20">
      <c r="A20" s="37" t="n">
        <v>19</v>
      </c>
      <c r="B20" s="37" t="inlineStr">
        <is>
          <t>V-TF-INCI-01</t>
        </is>
      </c>
      <c r="C20" s="37" t="inlineStr">
        <is>
          <t>TECH_FILE_OWNS_PACKAGING_CONFIG</t>
        </is>
      </c>
      <c r="D20" s="37">
        <f>IF(COUNTA(T_TECHNICAL_FILE[TECHNICAL_FILE_ID])=0,"PENDING",IF(COUNTBLANK(T_TECHNICAL_FILE[PACKAGING_CONFIGURATION_ID])&gt;0,"ERROR","OK"))</f>
        <v/>
      </c>
      <c r="E20" s="37" t="inlineStr">
        <is>
          <t>ERROR</t>
        </is>
      </c>
    </row>
    <row r="21">
      <c r="A21" s="37" t="n">
        <v>20</v>
      </c>
      <c r="B21" s="37" t="inlineStr">
        <is>
          <t>V-SHP-INCI-01</t>
        </is>
      </c>
      <c r="C21" s="37" t="inlineStr">
        <is>
          <t>SHIPMENT_PRODUCT_PC_SCENARIO</t>
        </is>
      </c>
      <c r="D21" s="37">
        <f>IF(COUNTA(T_SHIPMENT[SHIPMENT_ID])=0,"PENDING",IF(COUNTBLANK(T_SHIPMENT[COMMERCIAL_SCENARIO_ID])+COUNTBLANK(T_SHIPMENT[PACKAGING_CONFIGURATION_ID])&gt;0,"ERROR","OK"))</f>
        <v/>
      </c>
      <c r="E21" s="37" t="inlineStr">
        <is>
          <t>ERROR</t>
        </is>
      </c>
    </row>
    <row r="22">
      <c r="A22" s="37" t="n">
        <v>21</v>
      </c>
      <c r="B22" s="37" t="inlineStr">
        <is>
          <t>V-SHP-INCI-02</t>
        </is>
      </c>
      <c r="C22" s="37" t="inlineStr">
        <is>
          <t>SHIPMENT_LOT_NUMBER</t>
        </is>
      </c>
      <c r="D22" s="37">
        <f>IF(COUNTA(T_SHIPMENT[SHIPMENT_ID])=0,"PENDING",IF(COUNTBLANK(T_SHIPMENT[EXTERNAL_REF])&gt;0,"WARN","OK"))</f>
        <v/>
      </c>
      <c r="E22" s="37" t="inlineStr">
        <is>
          <t>WARN</t>
        </is>
      </c>
    </row>
    <row r="23">
      <c r="A23" s="37" t="n">
        <v>22</v>
      </c>
      <c r="B23" s="37" t="inlineStr">
        <is>
          <t>V-PC-TF-01</t>
        </is>
      </c>
      <c r="C23" s="37" t="inlineStr">
        <is>
          <t>PACK_CONFIG_HAS_TECH_FILE</t>
        </is>
      </c>
      <c r="D23" s="37">
        <f>IF(COUNTA(T_PACKAGING_CONFIGURATION[PACKAGING_CONFIGURATION_ID])=0,"PENDING",IF(COUNTA(T_TECHNICAL_FILE[PACKAGING_CONFIGURATION_ID])&gt;=COUNTA(T_PACKAGING_CONFIGURATION[PACKAGING_CONFIGURATION_ID]),"OK","WARN"))</f>
        <v/>
      </c>
      <c r="E23" s="37" t="inlineStr">
        <is>
          <t>WARN</t>
        </is>
      </c>
    </row>
    <row r="24">
      <c r="A24" s="37" t="n">
        <v>23</v>
      </c>
      <c r="B24" s="37" t="inlineStr">
        <is>
          <t>V-SCN-INCI-01</t>
        </is>
      </c>
      <c r="C24" s="37" t="inlineStr">
        <is>
          <t>SCENARIO_HAS_INCOTERM</t>
        </is>
      </c>
      <c r="D24" s="37">
        <f>IF(COUNTA(T_COMMERCIAL_SCENARIO[COMMERCIAL_SCENARIO_ID])=0,"PENDING",IF(COUNTBLANK(T_COMMERCIAL_SCENARIO[INCOTERM_ID])&gt;0,"WARN","OK"))</f>
        <v/>
      </c>
      <c r="E24" s="37" t="inlineStr">
        <is>
          <t>WARN</t>
        </is>
      </c>
    </row>
    <row r="25">
      <c r="A25" s="37" t="n">
        <v>24</v>
      </c>
      <c r="B25" s="37" t="inlineStr">
        <is>
          <t>V-DoC-01</t>
        </is>
      </c>
      <c r="C25" s="37" t="inlineStr">
        <is>
          <t>DECLARATION_COMPLETE</t>
        </is>
      </c>
      <c r="D25" s="37">
        <f>IF(COUNTIF(T_ENG_DECLARATION[ENGINE_STATUS],"INCOMPLETE")&gt;0,"ERROR",IF(COUNTA(T_ENG_DECLARATION[DECLARATION_OF_CONFORMITY_ID])=0,"PENDING","OK"))</f>
        <v/>
      </c>
      <c r="E25" s="37" t="inlineStr">
        <is>
          <t>ERROR</t>
        </is>
      </c>
    </row>
    <row r="26">
      <c r="A26" s="37" t="n">
        <v>25</v>
      </c>
      <c r="B26" s="37" t="inlineStr">
        <is>
          <t>V-ENG-01</t>
        </is>
      </c>
      <c r="C26" s="37" t="inlineStr">
        <is>
          <t>MATERIAL_ENGINE</t>
        </is>
      </c>
      <c r="D26" s="37">
        <f>IF(COUNTA(T_ENG_MATERIAL_WEIGHT[ROW_INDEX])&gt;0,"OK","ERROR")</f>
        <v/>
      </c>
      <c r="E26" s="37" t="inlineStr">
        <is>
          <t>ERROR</t>
        </is>
      </c>
    </row>
    <row r="27">
      <c r="A27" s="37" t="n">
        <v>26</v>
      </c>
      <c r="B27" s="37" t="inlineStr">
        <is>
          <t>V-ENG-02</t>
        </is>
      </c>
      <c r="C27" s="37" t="inlineStr">
        <is>
          <t>PACKAGING_ENGINE</t>
        </is>
      </c>
      <c r="D27" s="37">
        <f>IF(COUNTA(T_ENG_PACKAGING_WEIGHT[ROW_INDEX])&gt;0,"OK","ERROR")</f>
        <v/>
      </c>
      <c r="E27" s="37" t="inlineStr">
        <is>
          <t>ERROR</t>
        </is>
      </c>
    </row>
    <row r="28">
      <c r="A28" s="37" t="n">
        <v>27</v>
      </c>
      <c r="B28" s="37" t="inlineStr">
        <is>
          <t>V-ENG-03</t>
        </is>
      </c>
      <c r="C28" s="37" t="inlineStr">
        <is>
          <t>SHIPMENT_ENGINE</t>
        </is>
      </c>
      <c r="D28" s="37">
        <f>IF(COUNTA(T_ENG_SHIPMENT_WEIGHT[ROW_INDEX])&gt;0,"OK","ERROR")</f>
        <v/>
      </c>
      <c r="E28" s="37" t="inlineStr">
        <is>
          <t>ERROR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conditionalFormatting sqref="D2:D28">
    <cfRule type="cellIs" priority="1" operator="equal" dxfId="0">
      <formula>"OK"</formula>
    </cfRule>
    <cfRule type="cellIs" priority="2" operator="equal" dxfId="2">
      <formula>"ERROR"</formula>
    </cfRule>
    <cfRule type="cellIs" priority="3" operator="equal" dxfId="1">
      <formula>"WARN"</formula>
    </cfRule>
    <cfRule type="cellIs" priority="4" operator="equal" dxfId="3">
      <formula>"PENDING"</formula>
    </cfRule>
  </conditionalFormatting>
  <hyperlinks>
    <hyperlink xmlns:r="http://schemas.openxmlformats.org/officeDocument/2006/relationships" ref="G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38" t="inlineStr">
        <is>
          <t>DOCUMENT_TYPE</t>
        </is>
      </c>
      <c r="B1" s="38" t="inlineStr">
        <is>
          <t>TOKEN</t>
        </is>
      </c>
      <c r="C1" s="38" t="inlineStr">
        <is>
          <t>SOURCE</t>
        </is>
      </c>
      <c r="D1" s="38" t="inlineStr">
        <is>
          <t>WORD_PLACEHOLDER</t>
        </is>
      </c>
    </row>
    <row r="2">
      <c r="A2" t="inlineStr">
        <is>
          <t>TECHNICAL_FILE</t>
        </is>
      </c>
      <c r="B2" t="inlineStr">
        <is>
          <t>TF.CODE</t>
        </is>
      </c>
      <c r="C2" t="inlineStr">
        <is>
          <t>TECHNICAL_FILE.TECHNICAL_FILE_CODE</t>
        </is>
      </c>
      <c r="D2" t="inlineStr">
        <is>
          <t>{{TF.CODE}}</t>
        </is>
      </c>
    </row>
    <row r="3">
      <c r="A3" t="inlineStr">
        <is>
          <t>TECHNICAL_FILE</t>
        </is>
      </c>
      <c r="B3" t="inlineStr">
        <is>
          <t>TF.TITLE</t>
        </is>
      </c>
      <c r="C3" t="inlineStr">
        <is>
          <t>TECHNICAL_FILE.TITLE</t>
        </is>
      </c>
      <c r="D3" t="inlineStr">
        <is>
          <t>{{TF.TITLE}}</t>
        </is>
      </c>
    </row>
    <row r="4">
      <c r="A4" t="inlineStr">
        <is>
          <t>TECHNICAL_FILE</t>
        </is>
      </c>
      <c r="B4" t="inlineStr">
        <is>
          <t>TF.REVISION</t>
        </is>
      </c>
      <c r="C4" t="inlineStr">
        <is>
          <t>TECHNICAL_FILE.REVISION_NO</t>
        </is>
      </c>
      <c r="D4" t="inlineStr">
        <is>
          <t>{{TF.REVISION}}</t>
        </is>
      </c>
    </row>
    <row r="5">
      <c r="A5" t="inlineStr">
        <is>
          <t>TECHNICAL_FILE</t>
        </is>
      </c>
      <c r="B5" t="inlineStr">
        <is>
          <t>TF.ASSESSMENT_DATE</t>
        </is>
      </c>
      <c r="C5" t="inlineStr">
        <is>
          <t>TECHNICAL_FILE.ASSESSMENT_DATE</t>
        </is>
      </c>
      <c r="D5" t="inlineStr">
        <is>
          <t>{{TF.ASSESSMENT_DATE}}</t>
        </is>
      </c>
    </row>
    <row r="6">
      <c r="A6" t="inlineStr">
        <is>
          <t>TECHNICAL_FILE</t>
        </is>
      </c>
      <c r="B6" t="inlineStr">
        <is>
          <t>TF.RECYCLABILITY_SUMMARY</t>
        </is>
      </c>
      <c r="C6" t="inlineStr">
        <is>
          <t>TECHNICAL_FILE.RECYCLABILITY_SUMMARY</t>
        </is>
      </c>
      <c r="D6" t="inlineStr">
        <is>
          <t>{{TF.RECYCLABILITY_SUMMARY}}</t>
        </is>
      </c>
    </row>
    <row r="7">
      <c r="A7" t="inlineStr">
        <is>
          <t>TECHNICAL_FILE</t>
        </is>
      </c>
      <c r="B7" t="inlineStr">
        <is>
          <t>TF.SUBSTANCE_NOTES</t>
        </is>
      </c>
      <c r="C7" t="inlineStr">
        <is>
          <t>TECHNICAL_FILE.SUBSTANCE_OF_CONCERN_NOTES</t>
        </is>
      </c>
      <c r="D7" t="inlineStr">
        <is>
          <t>{{TF.SUBSTANCE_NOTES}}</t>
        </is>
      </c>
    </row>
    <row r="8">
      <c r="A8" t="inlineStr">
        <is>
          <t>TECHNICAL_FILE</t>
        </is>
      </c>
      <c r="B8" t="inlineStr">
        <is>
          <t>TF.DFR_NOTES</t>
        </is>
      </c>
      <c r="C8" t="inlineStr">
        <is>
          <t>TECHNICAL_FILE.DESIGN_FOR_RECYCLING_NOTES</t>
        </is>
      </c>
      <c r="D8" t="inlineStr">
        <is>
          <t>{{TF.DFR_NOTES}}</t>
        </is>
      </c>
    </row>
    <row r="9">
      <c r="A9" t="inlineStr">
        <is>
          <t>TECHNICAL_FILE</t>
        </is>
      </c>
      <c r="B9" t="inlineStr">
        <is>
          <t>TF.EFFECTIVE_FROM</t>
        </is>
      </c>
      <c r="C9" t="inlineStr">
        <is>
          <t>TECHNICAL_FILE.EFFECTIVE_FROM</t>
        </is>
      </c>
      <c r="D9" t="inlineStr">
        <is>
          <t>{{TF.EFFECTIVE_FROM}}</t>
        </is>
      </c>
    </row>
    <row r="10">
      <c r="A10" t="inlineStr">
        <is>
          <t>TECHNICAL_FILE</t>
        </is>
      </c>
      <c r="B10" t="inlineStr">
        <is>
          <t>TF.EFFECTIVE_TO</t>
        </is>
      </c>
      <c r="C10" t="inlineStr">
        <is>
          <t>TECHNICAL_FILE.EFFECTIVE_TO</t>
        </is>
      </c>
      <c r="D10" t="inlineStr">
        <is>
          <t>{{TF.EFFECTIVE_TO}}</t>
        </is>
      </c>
    </row>
    <row r="11">
      <c r="A11" t="inlineStr">
        <is>
          <t>TECHNICAL_FILE</t>
        </is>
      </c>
      <c r="B11" t="inlineStr">
        <is>
          <t>TF.OWNER_PERSON_ID</t>
        </is>
      </c>
      <c r="C11" t="inlineStr">
        <is>
          <t>TECHNICAL_FILE.OWNER_PERSON_ID</t>
        </is>
      </c>
      <c r="D11" t="inlineStr">
        <is>
          <t>{{TF.OWNER_PERSON_ID}}</t>
        </is>
      </c>
    </row>
    <row r="12">
      <c r="A12" t="inlineStr">
        <is>
          <t>TECHNICAL_FILE</t>
        </is>
      </c>
      <c r="B12" t="inlineStr">
        <is>
          <t>PC.ID</t>
        </is>
      </c>
      <c r="C12" t="inlineStr">
        <is>
          <t>PACKAGING_CONFIGURATION.PACKAGING_CONFIGURATION_ID</t>
        </is>
      </c>
      <c r="D12" t="inlineStr">
        <is>
          <t>{{PC.ID}}</t>
        </is>
      </c>
    </row>
    <row r="13">
      <c r="A13" t="inlineStr">
        <is>
          <t>TECHNICAL_FILE</t>
        </is>
      </c>
      <c r="B13" t="inlineStr">
        <is>
          <t>PC.GROUP_CODE</t>
        </is>
      </c>
      <c r="C13" t="inlineStr">
        <is>
          <t>PACKAGING_CONFIGURATION.CONFIG_GROUP_CODE</t>
        </is>
      </c>
      <c r="D13" t="inlineStr">
        <is>
          <t>{{PC.GROUP_CODE}}</t>
        </is>
      </c>
    </row>
    <row r="14">
      <c r="A14" t="inlineStr">
        <is>
          <t>TECHNICAL_FILE</t>
        </is>
      </c>
      <c r="B14" t="inlineStr">
        <is>
          <t>PC.NAME</t>
        </is>
      </c>
      <c r="C14" t="inlineStr">
        <is>
          <t>PACKAGING_CONFIGURATION.PACKAGING_CONFIGURATION_NAME</t>
        </is>
      </c>
      <c r="D14" t="inlineStr">
        <is>
          <t>{{PC.NAME}}</t>
        </is>
      </c>
    </row>
    <row r="15">
      <c r="A15" t="inlineStr">
        <is>
          <t>TECHNICAL_FILE</t>
        </is>
      </c>
      <c r="B15" t="inlineStr">
        <is>
          <t>PC.DESCRIPTION</t>
        </is>
      </c>
      <c r="C15" t="inlineStr">
        <is>
          <t>PACKAGING_CONFIGURATION.DESCRIPTION</t>
        </is>
      </c>
      <c r="D15" t="inlineStr">
        <is>
          <t>{{PC.DESCRIPTION}}</t>
        </is>
      </c>
    </row>
    <row r="16">
      <c r="A16" t="inlineStr">
        <is>
          <t>TECHNICAL_FILE</t>
        </is>
      </c>
      <c r="B16" t="inlineStr">
        <is>
          <t>PC.REVISION</t>
        </is>
      </c>
      <c r="C16" t="inlineStr">
        <is>
          <t>PACKAGING_CONFIGURATION.REVISION_NO</t>
        </is>
      </c>
      <c r="D16" t="inlineStr">
        <is>
          <t>{{PC.REVISION}}</t>
        </is>
      </c>
    </row>
    <row r="17">
      <c r="A17" t="inlineStr">
        <is>
          <t>TECHNICAL_FILE</t>
        </is>
      </c>
      <c r="B17" t="inlineStr">
        <is>
          <t>PC.COMPONENT_LIST</t>
        </is>
      </c>
      <c r="C17" t="inlineStr">
        <is>
          <t>Derived from PACKAGING_CONFIGURATION_LINE + COMPONENT</t>
        </is>
      </c>
      <c r="D17" t="inlineStr">
        <is>
          <t>{{PC.COMPONENT_LIST}}</t>
        </is>
      </c>
    </row>
    <row r="18">
      <c r="A18" t="inlineStr">
        <is>
          <t>TECHNICAL_FILE</t>
        </is>
      </c>
      <c r="B18" t="inlineStr">
        <is>
          <t>PC.MATERIAL_COMPOSITION</t>
        </is>
      </c>
      <c r="C18" t="inlineStr">
        <is>
          <t>Derived from COMPONENT_MATERIAL + ENG_MATERIAL_WEIGHT</t>
        </is>
      </c>
      <c r="D18" t="inlineStr">
        <is>
          <t>{{PC.MATERIAL_COMPOSITION}}</t>
        </is>
      </c>
    </row>
    <row r="19">
      <c r="A19" t="inlineStr">
        <is>
          <t>TECHNICAL_FILE</t>
        </is>
      </c>
      <c r="B19" t="inlineStr">
        <is>
          <t>PC.MATERIAL_SUMMARY</t>
        </is>
      </c>
      <c r="C19" t="inlineStr">
        <is>
          <t>ENG_PLASTIC/PAPER/WOOD_SUMMARY</t>
        </is>
      </c>
      <c r="D19" t="inlineStr">
        <is>
          <t>{{PC.MATERIAL_SUMMARY}}</t>
        </is>
      </c>
    </row>
    <row r="20">
      <c r="A20" t="inlineStr">
        <is>
          <t>TECHNICAL_FILE</t>
        </is>
      </c>
      <c r="B20" t="inlineStr">
        <is>
          <t>PC.WEIGHT_TOTAL_G</t>
        </is>
      </c>
      <c r="C20" t="inlineStr">
        <is>
          <t>ENG_PACKAGING_WEIGHT totals</t>
        </is>
      </c>
      <c r="D20" t="inlineStr">
        <is>
          <t>{{PC.WEIGHT_TOTAL_G}}</t>
        </is>
      </c>
    </row>
    <row r="21">
      <c r="A21" t="inlineStr">
        <is>
          <t>TECHNICAL_FILE</t>
        </is>
      </c>
      <c r="B21" t="inlineStr">
        <is>
          <t>PC.SUPPLIER_MATRIX</t>
        </is>
      </c>
      <c r="C21" t="inlineStr">
        <is>
          <t>COMPONENT.SUPPLIER_ID + DOCUMENT_LINK</t>
        </is>
      </c>
      <c r="D21" t="inlineStr">
        <is>
          <t>{{PC.SUPPLIER_MATRIX}}</t>
        </is>
      </c>
    </row>
    <row r="22">
      <c r="A22" t="inlineStr">
        <is>
          <t>TECHNICAL_FILE</t>
        </is>
      </c>
      <c r="B22" t="inlineStr">
        <is>
          <t>PC.EVIDENCE_MATRIX</t>
        </is>
      </c>
      <c r="C22" t="inlineStr">
        <is>
          <t>DOCUMENT_LIBRARY via DOCUMENT_LINK (TF/Component)</t>
        </is>
      </c>
      <c r="D22" t="inlineStr">
        <is>
          <t>{{PC.EVIDENCE_MATRIX}}</t>
        </is>
      </c>
    </row>
    <row r="23">
      <c r="A23" t="inlineStr">
        <is>
          <t>TECHNICAL_FILE</t>
        </is>
      </c>
      <c r="B23" t="inlineStr">
        <is>
          <t>PC.DRAWINGS</t>
        </is>
      </c>
      <c r="C23" t="inlineStr">
        <is>
          <t>DOCUMENT_LINK filtered by document type DRAWING</t>
        </is>
      </c>
      <c r="D23" t="inlineStr">
        <is>
          <t>{{PC.DRAWINGS}}</t>
        </is>
      </c>
    </row>
    <row r="24">
      <c r="A24" t="inlineStr">
        <is>
          <t>TECHNICAL_FILE</t>
        </is>
      </c>
      <c r="B24" t="inlineStr">
        <is>
          <t>PC.PHOTOGRAPHS</t>
        </is>
      </c>
      <c r="C24" t="inlineStr">
        <is>
          <t>DOCUMENT_LINK filtered by document type PHOTO</t>
        </is>
      </c>
      <c r="D24" t="inlineStr">
        <is>
          <t>{{PC.PHOTOGRAPHS}}</t>
        </is>
      </c>
    </row>
    <row r="25">
      <c r="A25" t="inlineStr">
        <is>
          <t>TECHNICAL_FILE</t>
        </is>
      </c>
      <c r="B25" t="inlineStr">
        <is>
          <t>PC.MINIMISATION_ASSESSMENT</t>
        </is>
      </c>
      <c r="C25" t="inlineStr">
        <is>
          <t>Linked assessment documents + NOTES</t>
        </is>
      </c>
      <c r="D25" t="inlineStr">
        <is>
          <t>{{PC.MINIMISATION_ASSESSMENT}}</t>
        </is>
      </c>
    </row>
    <row r="26">
      <c r="A26" t="inlineStr">
        <is>
          <t>TECHNICAL_FILE</t>
        </is>
      </c>
      <c r="B26" t="inlineStr">
        <is>
          <t>PC.EMPTY_SPACE_ASSESSMENT</t>
        </is>
      </c>
      <c r="C26" t="inlineStr">
        <is>
          <t>Linked assessment documents + NOTES</t>
        </is>
      </c>
      <c r="D26" t="inlineStr">
        <is>
          <t>{{PC.EMPTY_SPACE_ASSESSMENT}}</t>
        </is>
      </c>
    </row>
    <row r="27">
      <c r="A27" t="inlineStr">
        <is>
          <t>TECHNICAL_FILE</t>
        </is>
      </c>
      <c r="B27" t="inlineStr">
        <is>
          <t>PC.LABELLING_ASSESSMENT</t>
        </is>
      </c>
      <c r="C27" t="inlineStr">
        <is>
          <t>Linked assessment documents + NOTES</t>
        </is>
      </c>
      <c r="D27" t="inlineStr">
        <is>
          <t>{{PC.LABELLING_ASSESSMENT}}</t>
        </is>
      </c>
    </row>
    <row r="28">
      <c r="A28" t="inlineStr">
        <is>
          <t>TECHNICAL_FILE</t>
        </is>
      </c>
      <c r="B28" t="inlineStr">
        <is>
          <t>PC.REVISION_HISTORY</t>
        </is>
      </c>
      <c r="C28" t="inlineStr">
        <is>
          <t>CONFIG revisions + TF.REVISION_NO timeline</t>
        </is>
      </c>
      <c r="D28" t="inlineStr">
        <is>
          <t>{{PC.REVISION_HISTORY}}</t>
        </is>
      </c>
    </row>
    <row r="29">
      <c r="A29" t="inlineStr">
        <is>
          <t>DECLARATION_OF_CONFORMITY</t>
        </is>
      </c>
      <c r="B29" t="inlineStr">
        <is>
          <t>DOC.NUMBER</t>
        </is>
      </c>
      <c r="C29" t="inlineStr">
        <is>
          <t>DECLARATION_OF_CONFORMITY.DOC_NUMBER</t>
        </is>
      </c>
      <c r="D29" t="inlineStr">
        <is>
          <t>{{DOC.NUMBER}}</t>
        </is>
      </c>
    </row>
    <row r="30">
      <c r="A30" t="inlineStr">
        <is>
          <t>DECLARATION_OF_CONFORMITY</t>
        </is>
      </c>
      <c r="B30" t="inlineStr">
        <is>
          <t>DOC.TITLE</t>
        </is>
      </c>
      <c r="C30" t="inlineStr">
        <is>
          <t>DECLARATION_OF_CONFORMITY.TITLE</t>
        </is>
      </c>
      <c r="D30" t="inlineStr">
        <is>
          <t>{{DOC.TITLE}}</t>
        </is>
      </c>
    </row>
    <row r="31">
      <c r="A31" t="inlineStr">
        <is>
          <t>DECLARATION_OF_CONFORMITY</t>
        </is>
      </c>
      <c r="B31" t="inlineStr">
        <is>
          <t>DOC.REVISION</t>
        </is>
      </c>
      <c r="C31" t="inlineStr">
        <is>
          <t>DECLARATION_OF_CONFORMITY.REVISION_NO</t>
        </is>
      </c>
      <c r="D31" t="inlineStr">
        <is>
          <t>{{DOC.REVISION}}</t>
        </is>
      </c>
    </row>
    <row r="32">
      <c r="A32" t="inlineStr">
        <is>
          <t>DECLARATION_OF_CONFORMITY</t>
        </is>
      </c>
      <c r="B32" t="inlineStr">
        <is>
          <t>DOC.ISSUE_DATE</t>
        </is>
      </c>
      <c r="C32" t="inlineStr">
        <is>
          <t>DECLARATION_OF_CONFORMITY.ISSUE_DATE</t>
        </is>
      </c>
      <c r="D32" t="inlineStr">
        <is>
          <t>{{DOC.ISSUE_DATE}}</t>
        </is>
      </c>
    </row>
    <row r="33">
      <c r="A33" t="inlineStr">
        <is>
          <t>DECLARATION_OF_CONFORMITY</t>
        </is>
      </c>
      <c r="B33" t="inlineStr">
        <is>
          <t>DOC.VALID_UNTIL</t>
        </is>
      </c>
      <c r="C33" t="inlineStr">
        <is>
          <t>DECLARATION_OF_CONFORMITY.VALID_UNTIL</t>
        </is>
      </c>
      <c r="D33" t="inlineStr">
        <is>
          <t>{{DOC.VALID_UNTIL}}</t>
        </is>
      </c>
    </row>
    <row r="34">
      <c r="A34" t="inlineStr">
        <is>
          <t>DECLARATION_OF_CONFORMITY</t>
        </is>
      </c>
      <c r="B34" t="inlineStr">
        <is>
          <t>DOC.REGULATION_REFERENCE</t>
        </is>
      </c>
      <c r="C34" t="inlineStr">
        <is>
          <t>DECLARATION_OF_CONFORMITY.REGULATION_REFERENCE</t>
        </is>
      </c>
      <c r="D34" t="inlineStr">
        <is>
          <t>{{DOC.REGULATION_REFERENCE}}</t>
        </is>
      </c>
    </row>
    <row r="35">
      <c r="A35" t="inlineStr">
        <is>
          <t>DECLARATION_OF_CONFORMITY</t>
        </is>
      </c>
      <c r="B35" t="inlineStr">
        <is>
          <t>DOC.CONFORMITY_STATEMENT</t>
        </is>
      </c>
      <c r="C35" t="inlineStr">
        <is>
          <t>DECLARATION_OF_CONFORMITY.CONFORMITY_STATEMENT</t>
        </is>
      </c>
      <c r="D35" t="inlineStr">
        <is>
          <t>{{DOC.CONFORMITY_STATEMENT}}</t>
        </is>
      </c>
    </row>
    <row r="36">
      <c r="A36" t="inlineStr">
        <is>
          <t>DECLARATION_OF_CONFORMITY</t>
        </is>
      </c>
      <c r="B36" t="inlineStr">
        <is>
          <t>DOC.LEGAL_ENTITY_ID</t>
        </is>
      </c>
      <c r="C36" t="inlineStr">
        <is>
          <t>DECLARATION_OF_CONFORMITY.LEGAL_ENTITY_ID</t>
        </is>
      </c>
      <c r="D36" t="inlineStr">
        <is>
          <t>{{DOC.LEGAL_ENTITY_ID}}</t>
        </is>
      </c>
    </row>
    <row r="37">
      <c r="A37" t="inlineStr">
        <is>
          <t>DECLARATION_OF_CONFORMITY</t>
        </is>
      </c>
      <c r="B37" t="inlineStr">
        <is>
          <t>DOC.RESPONSIBLE_PERSON_ID</t>
        </is>
      </c>
      <c r="C37" t="inlineStr">
        <is>
          <t>DECLARATION_OF_CONFORMITY.RESPONSIBLE_PERSON_ID</t>
        </is>
      </c>
      <c r="D37" t="inlineStr">
        <is>
          <t>{{DOC.RESPONSIBLE_PERSON_ID}}</t>
        </is>
      </c>
    </row>
    <row r="38">
      <c r="A38" t="inlineStr">
        <is>
          <t>DECLARATION_OF_CONFORMITY</t>
        </is>
      </c>
      <c r="B38" t="inlineStr">
        <is>
          <t>DOC.PACKAGING_CONFIGURATION_ID</t>
        </is>
      </c>
      <c r="C38" t="inlineStr">
        <is>
          <t>DECLARATION_OF_CONFORMITY.PACKAGING_CONFIGURATION_ID</t>
        </is>
      </c>
      <c r="D38" t="inlineStr">
        <is>
          <t>{{DOC.PACKAGING_CONFIGURATION_ID}}</t>
        </is>
      </c>
    </row>
    <row r="39">
      <c r="A39" t="inlineStr">
        <is>
          <t>DECLARATION_OF_CONFORMITY</t>
        </is>
      </c>
      <c r="B39" t="inlineStr">
        <is>
          <t>DOC.TECHNICAL_FILE_ID</t>
        </is>
      </c>
      <c r="C39" t="inlineStr">
        <is>
          <t>DECLARATION_OF_CONFORMITY.TECHNICAL_FILE_ID</t>
        </is>
      </c>
      <c r="D39" t="inlineStr">
        <is>
          <t>{{DOC.TECHNICAL_FILE_ID}}</t>
        </is>
      </c>
    </row>
    <row r="40">
      <c r="A40" t="inlineStr">
        <is>
          <t>DECLARATION_OF_CONFORMITY</t>
        </is>
      </c>
      <c r="B40" t="inlineStr">
        <is>
          <t>SCN.CODE</t>
        </is>
      </c>
      <c r="C40" t="inlineStr">
        <is>
          <t>COMMERCIAL_SCENARIO.COMMERCIAL_SCENARIO_CODE</t>
        </is>
      </c>
      <c r="D40" t="inlineStr">
        <is>
          <t>{{SCN.CODE}}</t>
        </is>
      </c>
    </row>
    <row r="41">
      <c r="A41" t="inlineStr">
        <is>
          <t>DECLARATION_OF_CONFORMITY</t>
        </is>
      </c>
      <c r="B41" t="inlineStr">
        <is>
          <t>SCN.NAME</t>
        </is>
      </c>
      <c r="C41" t="inlineStr">
        <is>
          <t>COMMERCIAL_SCENARIO.COMMERCIAL_SCENARIO_NAME</t>
        </is>
      </c>
      <c r="D41" t="inlineStr">
        <is>
          <t>{{SCN.NAME}}</t>
        </is>
      </c>
    </row>
    <row r="42">
      <c r="A42" t="inlineStr">
        <is>
          <t>DECLARATION_OF_CONFORMITY</t>
        </is>
      </c>
      <c r="B42" t="inlineStr">
        <is>
          <t>SCN.INCOTERM_ID</t>
        </is>
      </c>
      <c r="C42" t="inlineStr">
        <is>
          <t>COMMERCIAL_SCENARIO.INCOTERM_ID</t>
        </is>
      </c>
      <c r="D42" t="inlineStr">
        <is>
          <t>{{SCN.INCOTERM_ID}}</t>
        </is>
      </c>
    </row>
    <row r="43">
      <c r="A43" t="inlineStr">
        <is>
          <t>DECLARATION_OF_CONFORMITY</t>
        </is>
      </c>
      <c r="B43" t="inlineStr">
        <is>
          <t>SCN.CUSTOMER_ID</t>
        </is>
      </c>
      <c r="C43" t="inlineStr">
        <is>
          <t>COMMERCIAL_SCENARIO.CUSTOMER_ID</t>
        </is>
      </c>
      <c r="D43" t="inlineStr">
        <is>
          <t>{{SCN.CUSTOMER_ID}}</t>
        </is>
      </c>
    </row>
    <row r="44">
      <c r="A44" t="inlineStr">
        <is>
          <t>DECLARATION_OF_CONFORMITY</t>
        </is>
      </c>
      <c r="B44" t="inlineStr">
        <is>
          <t>SCN.COUNTRY_ID</t>
        </is>
      </c>
      <c r="C44" t="inlineStr">
        <is>
          <t>COMMERCIAL_SCENARIO.DESTINATION_COUNTRY_ID</t>
        </is>
      </c>
      <c r="D44" t="inlineStr">
        <is>
          <t>{{SCN.COUNTRY_ID}}</t>
        </is>
      </c>
    </row>
    <row r="45">
      <c r="A45" t="inlineStr">
        <is>
          <t>DECLARATION_OF_CONFORMITY</t>
        </is>
      </c>
      <c r="B45" t="inlineStr">
        <is>
          <t>TF.CODE</t>
        </is>
      </c>
      <c r="C45" t="inlineStr">
        <is>
          <t>TECHNICAL_FILE.TECHNICAL_FILE_CODE (from Packaging Configuration)</t>
        </is>
      </c>
      <c r="D45" t="inlineStr">
        <is>
          <t>{{TF.CODE}}</t>
        </is>
      </c>
    </row>
    <row r="46">
      <c r="A46" t="inlineStr">
        <is>
          <t>DECLARATION_OF_CONFORMITY</t>
        </is>
      </c>
      <c r="B46" t="inlineStr">
        <is>
          <t>PC.NAME</t>
        </is>
      </c>
      <c r="C46" t="inlineStr">
        <is>
          <t>PACKAGING_CONFIGURATION.PACKAGING_CONFIGURATION_NAME</t>
        </is>
      </c>
      <c r="D46" t="inlineStr">
        <is>
          <t>{{PC.NAME}}</t>
        </is>
      </c>
    </row>
    <row r="47">
      <c r="A47" t="inlineStr">
        <is>
          <t>SHIPMENT_STATEMENT</t>
        </is>
      </c>
      <c r="B47" t="inlineStr">
        <is>
          <t>STM.NUMBER</t>
        </is>
      </c>
      <c r="C47" t="inlineStr">
        <is>
          <t>STATEMENT.STATEMENT_NUMBER</t>
        </is>
      </c>
      <c r="D47" t="inlineStr">
        <is>
          <t>{{STM.NUMBER}}</t>
        </is>
      </c>
    </row>
    <row r="48">
      <c r="A48" t="inlineStr">
        <is>
          <t>SHIPMENT_STATEMENT</t>
        </is>
      </c>
      <c r="B48" t="inlineStr">
        <is>
          <t>STM.TITLE</t>
        </is>
      </c>
      <c r="C48" t="inlineStr">
        <is>
          <t>STATEMENT.TITLE</t>
        </is>
      </c>
      <c r="D48" t="inlineStr">
        <is>
          <t>{{STM.TITLE}}</t>
        </is>
      </c>
    </row>
    <row r="49">
      <c r="A49" t="inlineStr">
        <is>
          <t>SHIPMENT_STATEMENT</t>
        </is>
      </c>
      <c r="B49" t="inlineStr">
        <is>
          <t>STM.REVISION</t>
        </is>
      </c>
      <c r="C49" t="inlineStr">
        <is>
          <t>STATEMENT.REVISION_NO</t>
        </is>
      </c>
      <c r="D49" t="inlineStr">
        <is>
          <t>{{STM.REVISION}}</t>
        </is>
      </c>
    </row>
    <row r="50">
      <c r="A50" t="inlineStr">
        <is>
          <t>SHIPMENT_STATEMENT</t>
        </is>
      </c>
      <c r="B50" t="inlineStr">
        <is>
          <t>STM.PERIOD_FROM</t>
        </is>
      </c>
      <c r="C50" t="inlineStr">
        <is>
          <t>STATEMENT.PERIOD_FROM</t>
        </is>
      </c>
      <c r="D50" t="inlineStr">
        <is>
          <t>{{STM.PERIOD_FROM}}</t>
        </is>
      </c>
    </row>
    <row r="51">
      <c r="A51" t="inlineStr">
        <is>
          <t>SHIPMENT_STATEMENT</t>
        </is>
      </c>
      <c r="B51" t="inlineStr">
        <is>
          <t>STM.PERIOD_TO</t>
        </is>
      </c>
      <c r="C51" t="inlineStr">
        <is>
          <t>STATEMENT.PERIOD_TO</t>
        </is>
      </c>
      <c r="D51" t="inlineStr">
        <is>
          <t>{{STM.PERIOD_TO}}</t>
        </is>
      </c>
    </row>
    <row r="52">
      <c r="A52" t="inlineStr">
        <is>
          <t>SHIPMENT_STATEMENT</t>
        </is>
      </c>
      <c r="B52" t="inlineStr">
        <is>
          <t>STM.STATUS_ID</t>
        </is>
      </c>
      <c r="C52" t="inlineStr">
        <is>
          <t>STATEMENT.STATUS_ID</t>
        </is>
      </c>
      <c r="D52" t="inlineStr">
        <is>
          <t>{{STM.STATUS_ID}}</t>
        </is>
      </c>
    </row>
    <row r="53">
      <c r="A53" t="inlineStr">
        <is>
          <t>SHIPMENT_STATEMENT</t>
        </is>
      </c>
      <c r="B53" t="inlineStr">
        <is>
          <t>SHP.NUMBER</t>
        </is>
      </c>
      <c r="C53" t="inlineStr">
        <is>
          <t>SHIPMENT.SHIPMENT_NUMBER</t>
        </is>
      </c>
      <c r="D53" t="inlineStr">
        <is>
          <t>{{SHP.NUMBER}}</t>
        </is>
      </c>
    </row>
    <row r="54">
      <c r="A54" t="inlineStr">
        <is>
          <t>SHIPMENT_STATEMENT</t>
        </is>
      </c>
      <c r="B54" t="inlineStr">
        <is>
          <t>SHP.DATE</t>
        </is>
      </c>
      <c r="C54" t="inlineStr">
        <is>
          <t>SHIPMENT.SHIP_DATE</t>
        </is>
      </c>
      <c r="D54" t="inlineStr">
        <is>
          <t>{{SHP.DATE}}</t>
        </is>
      </c>
    </row>
    <row r="55">
      <c r="A55" t="inlineStr">
        <is>
          <t>SHIPMENT_STATEMENT</t>
        </is>
      </c>
      <c r="B55" t="inlineStr">
        <is>
          <t>SHP.QTY</t>
        </is>
      </c>
      <c r="C55" t="inlineStr">
        <is>
          <t>SHIPMENT.QTY_PRODUCT_UNITS</t>
        </is>
      </c>
      <c r="D55" t="inlineStr">
        <is>
          <t>{{SHP.QTY}}</t>
        </is>
      </c>
    </row>
    <row r="56">
      <c r="A56" t="inlineStr">
        <is>
          <t>SHIPMENT_STATEMENT</t>
        </is>
      </c>
      <c r="B56" t="inlineStr">
        <is>
          <t>SHP.LOT</t>
        </is>
      </c>
      <c r="C56" t="inlineStr">
        <is>
          <t>SHIPMENT.EXTERNAL_REF (Lot Number)</t>
        </is>
      </c>
      <c r="D56" t="inlineStr">
        <is>
          <t>{{SHP.LOT}}</t>
        </is>
      </c>
    </row>
    <row r="57">
      <c r="A57" t="inlineStr">
        <is>
          <t>SHIPMENT_STATEMENT</t>
        </is>
      </c>
      <c r="B57" t="inlineStr">
        <is>
          <t>SHP.PACKAGING_CONFIGURATION_ID</t>
        </is>
      </c>
      <c r="C57" t="inlineStr">
        <is>
          <t>SHIPMENT.PACKAGING_CONFIGURATION_ID</t>
        </is>
      </c>
      <c r="D57" t="inlineStr">
        <is>
          <t>{{SHP.PACKAGING_CONFIGURATION_ID}}</t>
        </is>
      </c>
    </row>
    <row r="58">
      <c r="A58" t="inlineStr">
        <is>
          <t>SHIPMENT_STATEMENT</t>
        </is>
      </c>
      <c r="B58" t="inlineStr">
        <is>
          <t>SHP.COMMERCIAL_SCENARIO_ID</t>
        </is>
      </c>
      <c r="C58" t="inlineStr">
        <is>
          <t>SHIPMENT.COMMERCIAL_SCENARIO_ID</t>
        </is>
      </c>
      <c r="D58" t="inlineStr">
        <is>
          <t>{{SHP.COMMERCIAL_SCENARIO_ID}}</t>
        </is>
      </c>
    </row>
    <row r="59">
      <c r="A59" t="inlineStr">
        <is>
          <t>SHIPMENT_STATEMENT</t>
        </is>
      </c>
      <c r="B59" t="inlineStr">
        <is>
          <t>SCN.INCOTERM_ID</t>
        </is>
      </c>
      <c r="C59" t="inlineStr">
        <is>
          <t>COMMERCIAL_SCENARIO.INCOTERM_ID</t>
        </is>
      </c>
      <c r="D59" t="inlineStr">
        <is>
          <t>{{SCN.INCOTERM_ID}}</t>
        </is>
      </c>
    </row>
    <row r="60">
      <c r="A60" t="inlineStr">
        <is>
          <t>SHIPMENT_STATEMENT</t>
        </is>
      </c>
      <c r="B60" t="inlineStr">
        <is>
          <t>SCN.CUSTOMER_ID</t>
        </is>
      </c>
      <c r="C60" t="inlineStr">
        <is>
          <t>COMMERCIAL_SCENARIO.CUSTOMER_ID</t>
        </is>
      </c>
      <c r="D60" t="inlineStr">
        <is>
          <t>{{SCN.CUSTOMER_ID}}</t>
        </is>
      </c>
    </row>
    <row r="61">
      <c r="A61" t="inlineStr">
        <is>
          <t>SHIPMENT_STATEMENT</t>
        </is>
      </c>
      <c r="B61" t="inlineStr">
        <is>
          <t>SCN.COUNTRY_ID</t>
        </is>
      </c>
      <c r="C61" t="inlineStr">
        <is>
          <t>COMMERCIAL_SCENARIO.DESTINATION_COUNTRY_ID</t>
        </is>
      </c>
      <c r="D61" t="inlineStr">
        <is>
          <t>{{SCN.COUNTRY_ID}}</t>
        </is>
      </c>
    </row>
    <row r="62">
      <c r="A62" t="inlineStr">
        <is>
          <t>SHIPMENT_STATEMENT</t>
        </is>
      </c>
      <c r="B62" t="inlineStr">
        <is>
          <t>PC.NAME</t>
        </is>
      </c>
      <c r="C62" t="inlineStr">
        <is>
          <t>PACKAGING_CONFIGURATION.PACKAGING_CONFIGURATION_NAME</t>
        </is>
      </c>
      <c r="D62" t="inlineStr">
        <is>
          <t>{{PC.NAME}}</t>
        </is>
      </c>
    </row>
    <row r="63">
      <c r="A63" t="inlineStr">
        <is>
          <t>SHIPMENT_STATEMENT</t>
        </is>
      </c>
      <c r="B63" t="inlineStr">
        <is>
          <t>TF.CODE</t>
        </is>
      </c>
      <c r="C63" t="inlineStr">
        <is>
          <t>TECHNICAL_FILE for Packaging Configuration</t>
        </is>
      </c>
      <c r="D63" t="inlineStr">
        <is>
          <t>{{TF.CODE}}</t>
        </is>
      </c>
    </row>
    <row r="64">
      <c r="A64" t="inlineStr">
        <is>
          <t>SHIPMENT_STATEMENT</t>
        </is>
      </c>
      <c r="B64" t="inlineStr">
        <is>
          <t>DOC.NUMBER</t>
        </is>
      </c>
      <c r="C64" t="inlineStr">
        <is>
          <t>DoC variant for Commercial Scenario</t>
        </is>
      </c>
      <c r="D64" t="inlineStr">
        <is>
          <t>{{DOC.NUMBER}}</t>
        </is>
      </c>
    </row>
    <row r="65">
      <c r="A65" t="inlineStr">
        <is>
          <t>SHIPMENT_STATEMENT</t>
        </is>
      </c>
      <c r="B65" t="inlineStr">
        <is>
          <t>STM.COMPOSITION</t>
        </is>
      </c>
      <c r="C65" t="inlineStr">
        <is>
          <t>STATEMENT_LINE / SHIPMENT_LINE freeze</t>
        </is>
      </c>
      <c r="D65" t="inlineStr">
        <is>
          <t>{{STM.COMPOSITION}}</t>
        </is>
      </c>
    </row>
    <row r="66">
      <c r="A66" t="inlineStr">
        <is>
          <t>SHIPMENT_STATEMENT</t>
        </is>
      </c>
      <c r="B66" t="inlineStr">
        <is>
          <t>STM.MATERIAL_BREAKDOWN</t>
        </is>
      </c>
      <c r="C66" t="inlineStr">
        <is>
          <t>ENG_STATEMENT</t>
        </is>
      </c>
      <c r="D66" t="inlineStr">
        <is>
          <t>{{STM.MATERIAL_BREAKDOWN}}</t>
        </is>
      </c>
    </row>
    <row r="67">
      <c r="A67" t="inlineStr">
        <is>
          <t>SHIPMENT_STATEMENT</t>
        </is>
      </c>
      <c r="B67" t="inlineStr">
        <is>
          <t>STM.TOTAL_WEIGHT_KG</t>
        </is>
      </c>
      <c r="C67" t="inlineStr">
        <is>
          <t>ENG_SHIPMENT_WEIGHT / ENG_STATEMENT</t>
        </is>
      </c>
      <c r="D67" t="inlineStr">
        <is>
          <t>{{STM.TOTAL_WEIGHT_KG}}</t>
        </is>
      </c>
    </row>
    <row r="68">
      <c r="A68" t="inlineStr">
        <is>
          <t>SHIPMENT_STATEMENT</t>
        </is>
      </c>
      <c r="B68" t="inlineStr">
        <is>
          <t>STM.COMPONENT_LIST</t>
        </is>
      </c>
      <c r="C68" t="inlineStr">
        <is>
          <t>SHIPMENT_LINE components</t>
        </is>
      </c>
      <c r="D68" t="inlineStr">
        <is>
          <t>{{STM.COMPONENT_LIST}}</t>
        </is>
      </c>
    </row>
    <row r="69">
      <c r="A69" t="inlineStr">
        <is>
          <t>SHIPMENT_STATEMENT</t>
        </is>
      </c>
      <c r="B69" t="inlineStr">
        <is>
          <t>STM.SUPPLIER_TRACEABILITY</t>
        </is>
      </c>
      <c r="C69" t="inlineStr">
        <is>
          <t>COMPONENT.SUPPLIER_ID snapshots</t>
        </is>
      </c>
      <c r="D69" t="inlineStr">
        <is>
          <t>{{STM.SUPPLIER_TRACEABILITY}}</t>
        </is>
      </c>
    </row>
    <row r="70">
      <c r="A70" t="inlineStr">
        <is>
          <t>SHIPMENT_STATEMENT</t>
        </is>
      </c>
      <c r="B70" t="inlineStr">
        <is>
          <t>STM.DOCUMENT_REFS</t>
        </is>
      </c>
      <c r="C70" t="inlineStr">
        <is>
          <t>DOCUMENT_LINK for statement/shipment</t>
        </is>
      </c>
      <c r="D70" t="inlineStr">
        <is>
          <t>{{STM.DOCUMENT_REFS}}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2026-08-02T08:21:24Z</dcterms:created>
  <dcterms:modified xsi:type="dcterms:W3CDTF">2026-08-02T08:21:24Z</dcterms:modified>
</cp:coreProperties>
</file>